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7"/>
  <workbookPr filterPrivacy="1"/>
  <xr:revisionPtr revIDLastSave="0" documentId="13_ncr:1_{A156EDB2-FCC7-4A3A-BBEE-E186ED69CC5B}" xr6:coauthVersionLast="36" xr6:coauthVersionMax="36" xr10:uidLastSave="{00000000-0000-0000-0000-000000000000}"/>
  <bookViews>
    <workbookView xWindow="0" yWindow="0" windowWidth="19200" windowHeight="6930" tabRatio="904" xr2:uid="{00000000-000D-0000-FFFF-FFFF00000000}"/>
  </bookViews>
  <sheets>
    <sheet name="D" sheetId="51" r:id="rId1"/>
    <sheet name="S | 01 " sheetId="14" r:id="rId2"/>
    <sheet name="S | 02" sheetId="75" r:id="rId3"/>
    <sheet name="S | 03" sheetId="80" r:id="rId4"/>
    <sheet name="NAV" sheetId="37" r:id="rId5"/>
    <sheet name="CF (Equity, Debt)" sheetId="17" r:id="rId6"/>
    <sheet name="CF (Funds)" sheetId="40" r:id="rId7"/>
    <sheet name="1. IRR Equity" sheetId="32" r:id="rId8"/>
    <sheet name="2. IRR Debt" sheetId="52" r:id="rId9"/>
    <sheet name="3. IRR Funds" sheetId="49" r:id="rId10"/>
    <sheet name="4.All" sheetId="58" r:id="rId11"/>
    <sheet name="5. Mozn-IRR" sheetId="73" r:id="rId12"/>
    <sheet name="5. G42 Investments-IRR" sheetId="76" r:id="rId13"/>
    <sheet name="5.Core42-IRR" sheetId="83" r:id="rId14"/>
    <sheet name="5.G42 Capital-IRR" sheetId="85" r:id="rId15"/>
    <sheet name="5. Glossary" sheetId="81" state="hidden" r:id="rId16"/>
    <sheet name="6. %" sheetId="44" r:id="rId17"/>
    <sheet name="7. Board" sheetId="28" r:id="rId18"/>
    <sheet name="8. Log" sheetId="68" r:id="rId19"/>
    <sheet name="5. CF Profile" sheetId="50" state="hidden" r:id="rId20"/>
    <sheet name="5. NewSpace" sheetId="77" state="hidden" r:id="rId21"/>
    <sheet name="1.1 Geo" sheetId="63" state="hidden" r:id="rId22"/>
    <sheet name="1.2 Attribution" sheetId="60" state="hidden" r:id="rId23"/>
  </sheets>
  <externalReferences>
    <externalReference r:id="rId24"/>
    <externalReference r:id="rId25"/>
  </externalReferences>
  <definedNames>
    <definedName name="_xlnm._FilterDatabase" localSheetId="10" hidden="1">'4.All'!$B$7:$E$107</definedName>
    <definedName name="_xlnm._FilterDatabase" localSheetId="19" hidden="1">'5. CF Profile'!$C$5:$H$99</definedName>
    <definedName name="_xlnm._FilterDatabase" localSheetId="12" hidden="1">'5. G42 Investments-IRR'!$B$11:$I$78</definedName>
    <definedName name="_xlnm._FilterDatabase" localSheetId="11" hidden="1">'5. Mozn-IRR'!$B$11:$I$71</definedName>
    <definedName name="CIQWBGuid" hidden="1">"30a4d636-7e5a-4be6-b336-6a264c95dcbd"</definedName>
    <definedName name="CIQWBInfo" hidden="1">"{ ""CIQVersion"":""9.48.1616.5174"" }"</definedName>
    <definedName name="Company">[1]UEL!$B$18:$B$20</definedName>
    <definedName name="Dates">[1]ONT!$N$2:$AN$2</definedName>
    <definedName name="DetailedCapShares">'[2]Current Cap'!$T$133</definedName>
    <definedName name="FAGroup">[1]UEL!$B$3:$B$15</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5">'5. Glossary'!$A$1:$D$30</definedName>
    <definedName name="_xlnm.Print_Area" localSheetId="0">D!$A$1:$Q$27</definedName>
    <definedName name="_xlnm.Print_Area" localSheetId="4">NAV!$A$1:$H$45</definedName>
    <definedName name="_xlnm.Print_Area" localSheetId="2">'S | 02'!$A$1:$U$60</definedName>
    <definedName name="_xlnm.Print_Area" localSheetId="3">'S | 03'!$A$1:$S$99</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47" i="75" l="1"/>
  <c r="E39" i="37" l="1"/>
  <c r="L41" i="14"/>
  <c r="G41" i="77"/>
  <c r="G48" i="77"/>
  <c r="F13" i="85"/>
  <c r="K9" i="85" s="1"/>
  <c r="B13" i="85"/>
  <c r="C13" i="85" s="1"/>
  <c r="C14" i="85"/>
  <c r="G13" i="85"/>
  <c r="L14" i="85" s="1"/>
  <c r="E13" i="85"/>
  <c r="M9" i="85"/>
  <c r="H5" i="85"/>
  <c r="H2" i="85" s="1"/>
  <c r="H4" i="85"/>
  <c r="E4" i="85"/>
  <c r="E14" i="85" s="1"/>
  <c r="L14" i="83"/>
  <c r="M9" i="83"/>
  <c r="C14" i="83"/>
  <c r="P54" i="75"/>
  <c r="P52" i="75"/>
  <c r="P47" i="75"/>
  <c r="C69" i="73"/>
  <c r="C68" i="73"/>
  <c r="C67" i="73"/>
  <c r="C66" i="73"/>
  <c r="C65" i="73"/>
  <c r="C60" i="73"/>
  <c r="G13" i="83"/>
  <c r="F13" i="83"/>
  <c r="K9" i="83" s="1"/>
  <c r="E13" i="83"/>
  <c r="B13" i="83"/>
  <c r="C13" i="83" s="1"/>
  <c r="E4" i="83"/>
  <c r="F30" i="80"/>
  <c r="E22" i="44"/>
  <c r="H48" i="17"/>
  <c r="B53" i="58"/>
  <c r="C53" i="58"/>
  <c r="D53" i="58"/>
  <c r="G53" i="58" s="1"/>
  <c r="E53" i="58"/>
  <c r="AM33" i="32"/>
  <c r="AG33" i="32"/>
  <c r="X84" i="32"/>
  <c r="U84" i="32"/>
  <c r="Q84" i="32"/>
  <c r="AE83" i="32"/>
  <c r="AE86" i="32" s="1"/>
  <c r="AE82" i="32"/>
  <c r="AE55" i="32"/>
  <c r="G55" i="32"/>
  <c r="E55" i="32"/>
  <c r="D55" i="32"/>
  <c r="C55" i="32"/>
  <c r="B55" i="32"/>
  <c r="L12" i="83" l="1"/>
  <c r="R9" i="85"/>
  <c r="L12" i="85"/>
  <c r="I13" i="85"/>
  <c r="I13" i="83"/>
  <c r="E14" i="83"/>
  <c r="R9" i="83" l="1"/>
  <c r="E31" i="37" l="1"/>
  <c r="F78" i="32" s="1"/>
  <c r="B49" i="17"/>
  <c r="F16" i="37"/>
  <c r="E49" i="17"/>
  <c r="F21" i="40"/>
  <c r="H21" i="40" s="1"/>
  <c r="D31" i="37"/>
  <c r="D30" i="37"/>
  <c r="D29" i="37"/>
  <c r="D28" i="37"/>
  <c r="D27" i="37"/>
  <c r="C31" i="37"/>
  <c r="C30" i="37"/>
  <c r="C29" i="37"/>
  <c r="B31" i="37"/>
  <c r="B30" i="37"/>
  <c r="F30" i="37" s="1"/>
  <c r="B29" i="37"/>
  <c r="F29" i="37" s="1"/>
  <c r="AE78" i="32" l="1"/>
  <c r="AE84" i="32" s="1"/>
  <c r="G78" i="32"/>
  <c r="F31" i="37"/>
  <c r="B78" i="32"/>
  <c r="I45" i="75"/>
  <c r="H45" i="75"/>
  <c r="G45" i="75"/>
  <c r="F45" i="75"/>
  <c r="E45" i="75"/>
  <c r="I30" i="14"/>
  <c r="C30" i="44"/>
  <c r="D14" i="85" l="1"/>
  <c r="D13" i="85"/>
  <c r="AE87" i="32"/>
  <c r="AE85" i="32"/>
  <c r="B64" i="76"/>
  <c r="C64" i="76" s="1"/>
  <c r="E64" i="76"/>
  <c r="F64" i="76"/>
  <c r="G64" i="76"/>
  <c r="I64" i="76" s="1"/>
  <c r="B62" i="76"/>
  <c r="C62" i="76" s="1"/>
  <c r="E62" i="76"/>
  <c r="F62" i="76"/>
  <c r="G62" i="76"/>
  <c r="I62" i="76"/>
  <c r="B63" i="76"/>
  <c r="C63" i="76" s="1"/>
  <c r="E63" i="76"/>
  <c r="F63" i="76"/>
  <c r="I63" i="76" s="1"/>
  <c r="G63" i="76"/>
  <c r="B53" i="76"/>
  <c r="C53" i="76" s="1"/>
  <c r="E53" i="76"/>
  <c r="F53" i="76"/>
  <c r="B47" i="73"/>
  <c r="C47" i="73" s="1"/>
  <c r="E47" i="73"/>
  <c r="F47" i="73"/>
  <c r="I47" i="73" s="1"/>
  <c r="G47" i="73"/>
  <c r="D92" i="58"/>
  <c r="C92" i="58"/>
  <c r="B92" i="58"/>
  <c r="B102" i="58"/>
  <c r="C102" i="58"/>
  <c r="D102" i="58"/>
  <c r="G102" i="58" s="1"/>
  <c r="E102" i="58"/>
  <c r="B100" i="58"/>
  <c r="C100" i="58"/>
  <c r="D100" i="58"/>
  <c r="E100" i="58"/>
  <c r="B101" i="58"/>
  <c r="C101" i="58"/>
  <c r="D101" i="58"/>
  <c r="E101" i="58"/>
  <c r="E52" i="58"/>
  <c r="C52" i="58"/>
  <c r="B52" i="58"/>
  <c r="E51" i="58"/>
  <c r="D51" i="58"/>
  <c r="C51" i="58"/>
  <c r="B51" i="58"/>
  <c r="M80" i="49"/>
  <c r="M18" i="49"/>
  <c r="M17" i="49"/>
  <c r="M16" i="49"/>
  <c r="B25" i="49"/>
  <c r="I80" i="49" s="1"/>
  <c r="C25" i="49"/>
  <c r="J80" i="49" s="1"/>
  <c r="D25" i="49"/>
  <c r="K80" i="49" s="1"/>
  <c r="E25" i="49"/>
  <c r="L80" i="49" s="1"/>
  <c r="B51" i="49"/>
  <c r="C51" i="49"/>
  <c r="E51" i="49"/>
  <c r="E50" i="49"/>
  <c r="L18" i="49" s="1"/>
  <c r="D50" i="49"/>
  <c r="K18" i="49" s="1"/>
  <c r="C50" i="49"/>
  <c r="J18" i="49" s="1"/>
  <c r="B50" i="49"/>
  <c r="I18" i="49" s="1"/>
  <c r="E49" i="49"/>
  <c r="L17" i="49" s="1"/>
  <c r="D49" i="49"/>
  <c r="K17" i="49" s="1"/>
  <c r="C49" i="49"/>
  <c r="J17" i="49" s="1"/>
  <c r="B49" i="49"/>
  <c r="I17" i="49" s="1"/>
  <c r="E48" i="49"/>
  <c r="L16" i="49" s="1"/>
  <c r="D48" i="49"/>
  <c r="K16" i="49" s="1"/>
  <c r="C48" i="49"/>
  <c r="J16" i="49" s="1"/>
  <c r="B48" i="49"/>
  <c r="I16" i="49" s="1"/>
  <c r="B52" i="49"/>
  <c r="C52" i="49"/>
  <c r="E52" i="49"/>
  <c r="B53" i="49"/>
  <c r="C53" i="49"/>
  <c r="E53" i="49"/>
  <c r="B54" i="49"/>
  <c r="C54" i="49"/>
  <c r="E54" i="49"/>
  <c r="B55" i="49"/>
  <c r="C55" i="49"/>
  <c r="E55" i="49"/>
  <c r="B56" i="49"/>
  <c r="C56" i="49"/>
  <c r="E56" i="49"/>
  <c r="AM10" i="32"/>
  <c r="AG32" i="32"/>
  <c r="AM32" i="32" s="1"/>
  <c r="M84" i="32"/>
  <c r="B77" i="32"/>
  <c r="E54" i="32"/>
  <c r="C54" i="32"/>
  <c r="B54" i="32"/>
  <c r="E53" i="32"/>
  <c r="D53" i="32"/>
  <c r="G53" i="32" s="1"/>
  <c r="Y53" i="32" s="1"/>
  <c r="C53" i="32"/>
  <c r="B53" i="32"/>
  <c r="L43" i="14"/>
  <c r="S11" i="49" s="1"/>
  <c r="G100" i="58" l="1"/>
  <c r="G51" i="58"/>
  <c r="G101" i="58"/>
  <c r="N80" i="49"/>
  <c r="N18" i="49"/>
  <c r="N17" i="49"/>
  <c r="N16" i="49"/>
  <c r="G25" i="49"/>
  <c r="G49" i="49"/>
  <c r="G50" i="49"/>
  <c r="G48" i="49"/>
  <c r="K29" i="77"/>
  <c r="J29" i="77"/>
  <c r="I29" i="77"/>
  <c r="H29" i="77"/>
  <c r="G29" i="77"/>
  <c r="C41" i="77" l="1"/>
  <c r="D41" i="77"/>
  <c r="E41" i="77"/>
  <c r="F41" i="77"/>
  <c r="G42" i="77"/>
  <c r="D44" i="77"/>
  <c r="D45" i="77" s="1"/>
  <c r="D48" i="77"/>
  <c r="R50" i="75"/>
  <c r="Q50" i="75"/>
  <c r="G20" i="77" l="1"/>
  <c r="G21" i="77" s="1"/>
  <c r="H20" i="77"/>
  <c r="H21" i="77" s="1"/>
  <c r="I20" i="77"/>
  <c r="I21" i="77" s="1"/>
  <c r="J20" i="77"/>
  <c r="J21" i="77" s="1"/>
  <c r="K20" i="77"/>
  <c r="K21" i="77" s="1"/>
  <c r="D26" i="77"/>
  <c r="E26" i="77"/>
  <c r="G26" i="77"/>
  <c r="H26" i="77"/>
  <c r="I26" i="77"/>
  <c r="J26" i="77"/>
  <c r="K26" i="77"/>
  <c r="N35" i="80"/>
  <c r="N36" i="80"/>
  <c r="P30" i="75" l="1"/>
  <c r="E48" i="17" l="1"/>
  <c r="B48" i="17"/>
  <c r="I50" i="75"/>
  <c r="H50" i="75"/>
  <c r="G50" i="75"/>
  <c r="F50" i="75"/>
  <c r="E50" i="75"/>
  <c r="I47" i="17"/>
  <c r="E47" i="17" s="1"/>
  <c r="B47" i="17"/>
  <c r="I29" i="14"/>
  <c r="J50" i="75" s="1"/>
  <c r="C29" i="44"/>
  <c r="C28" i="44"/>
  <c r="C27" i="44"/>
  <c r="F29" i="44"/>
  <c r="D14" i="83" l="1"/>
  <c r="D13" i="83"/>
  <c r="D54" i="32"/>
  <c r="G54" i="32" s="1"/>
  <c r="AD54" i="32" s="1"/>
  <c r="D52" i="58"/>
  <c r="G52" i="58" s="1"/>
  <c r="F25" i="44"/>
  <c r="AD82" i="32" l="1"/>
  <c r="AD83" i="32"/>
  <c r="AD86" i="32" s="1"/>
  <c r="M53" i="49"/>
  <c r="C40" i="49"/>
  <c r="J53" i="49" s="1"/>
  <c r="B40" i="49"/>
  <c r="I53" i="49" s="1"/>
  <c r="J29" i="17"/>
  <c r="D22" i="44"/>
  <c r="F36" i="40"/>
  <c r="E92" i="58" l="1"/>
  <c r="G92" i="58" s="1"/>
  <c r="G53" i="76"/>
  <c r="I53" i="76" s="1"/>
  <c r="K53" i="49"/>
  <c r="E41" i="37"/>
  <c r="E40" i="49"/>
  <c r="L53" i="49" s="1"/>
  <c r="N53" i="49" s="1"/>
  <c r="G40" i="49" l="1"/>
  <c r="H73" i="50" l="1"/>
  <c r="G73" i="50"/>
  <c r="E73" i="50"/>
  <c r="F73" i="50" s="1"/>
  <c r="C73" i="50"/>
  <c r="G38" i="76"/>
  <c r="F38" i="76"/>
  <c r="E38" i="76"/>
  <c r="B38" i="76"/>
  <c r="E77" i="58"/>
  <c r="D77" i="58"/>
  <c r="C77" i="58"/>
  <c r="B77" i="58"/>
  <c r="H72" i="50"/>
  <c r="G72" i="50"/>
  <c r="E72" i="50"/>
  <c r="F72" i="50" s="1"/>
  <c r="C72" i="50"/>
  <c r="H48" i="50"/>
  <c r="G48" i="50"/>
  <c r="E48" i="50"/>
  <c r="F48" i="50" s="1"/>
  <c r="C48" i="50"/>
  <c r="H47" i="50"/>
  <c r="G47" i="50"/>
  <c r="E47" i="50"/>
  <c r="F47" i="50" s="1"/>
  <c r="C47" i="50"/>
  <c r="H46" i="50"/>
  <c r="G46" i="50"/>
  <c r="E46" i="50"/>
  <c r="F46" i="50" s="1"/>
  <c r="C46" i="50"/>
  <c r="H45" i="50"/>
  <c r="G45" i="50"/>
  <c r="E45" i="50"/>
  <c r="F45" i="50" s="1"/>
  <c r="C45" i="50"/>
  <c r="G20" i="76"/>
  <c r="G19" i="76"/>
  <c r="F20" i="76"/>
  <c r="F19" i="76"/>
  <c r="B20" i="76"/>
  <c r="B19" i="76"/>
  <c r="E20" i="76"/>
  <c r="E19" i="76"/>
  <c r="G37" i="76"/>
  <c r="F37" i="76"/>
  <c r="E37" i="76"/>
  <c r="B37" i="76"/>
  <c r="C37" i="76" s="1"/>
  <c r="G46" i="73"/>
  <c r="F46" i="73"/>
  <c r="E46" i="73"/>
  <c r="B46" i="73"/>
  <c r="G45" i="73"/>
  <c r="F45" i="73"/>
  <c r="I45" i="73" s="1"/>
  <c r="E45" i="73"/>
  <c r="B45" i="73"/>
  <c r="C45" i="73" s="1"/>
  <c r="E76" i="58"/>
  <c r="D76" i="58"/>
  <c r="C76" i="58"/>
  <c r="B76" i="58"/>
  <c r="E50" i="58"/>
  <c r="D50" i="58"/>
  <c r="C50" i="58"/>
  <c r="B50" i="58"/>
  <c r="E49" i="58"/>
  <c r="D49" i="58"/>
  <c r="C49" i="58"/>
  <c r="B49" i="58"/>
  <c r="E48" i="58"/>
  <c r="D48" i="58"/>
  <c r="C48" i="58"/>
  <c r="B48" i="58"/>
  <c r="E47" i="58"/>
  <c r="D47" i="58"/>
  <c r="C47" i="58"/>
  <c r="B47" i="58"/>
  <c r="T27" i="75"/>
  <c r="T28" i="75"/>
  <c r="M79" i="49"/>
  <c r="E24" i="49"/>
  <c r="L79" i="49" s="1"/>
  <c r="D24" i="49"/>
  <c r="C24" i="49"/>
  <c r="J79" i="49" s="1"/>
  <c r="B24" i="49"/>
  <c r="I79" i="49" s="1"/>
  <c r="E52" i="32"/>
  <c r="D52" i="32"/>
  <c r="C52" i="32"/>
  <c r="B52" i="32"/>
  <c r="E51" i="32"/>
  <c r="D51" i="32"/>
  <c r="C51" i="32"/>
  <c r="B51" i="32"/>
  <c r="E50" i="32"/>
  <c r="D50" i="32"/>
  <c r="C50" i="32"/>
  <c r="B50" i="32"/>
  <c r="E49" i="32"/>
  <c r="D49" i="32"/>
  <c r="C49" i="32"/>
  <c r="B49" i="32"/>
  <c r="O9" i="37"/>
  <c r="O8" i="37"/>
  <c r="B46" i="17"/>
  <c r="B45" i="17"/>
  <c r="B44" i="17"/>
  <c r="B43" i="17"/>
  <c r="G48" i="58" l="1"/>
  <c r="G49" i="58"/>
  <c r="G24" i="49"/>
  <c r="G49" i="32"/>
  <c r="X49" i="32" s="1"/>
  <c r="G51" i="32"/>
  <c r="U51" i="32" s="1"/>
  <c r="G50" i="32"/>
  <c r="X50" i="32" s="1"/>
  <c r="G52" i="32"/>
  <c r="T52" i="32" s="1"/>
  <c r="I19" i="76"/>
  <c r="I20" i="76"/>
  <c r="I37" i="76"/>
  <c r="I38" i="76"/>
  <c r="G77" i="58"/>
  <c r="C38" i="76"/>
  <c r="K79" i="49"/>
  <c r="N79" i="49" s="1"/>
  <c r="G76" i="58"/>
  <c r="C19" i="76"/>
  <c r="C20" i="76"/>
  <c r="I46" i="73"/>
  <c r="C46" i="73"/>
  <c r="G50" i="58"/>
  <c r="G47" i="58"/>
  <c r="E14" i="44" l="1"/>
  <c r="E2" i="51" l="1"/>
  <c r="G28" i="37" l="1"/>
  <c r="H71" i="50" l="1"/>
  <c r="G71" i="50"/>
  <c r="E71" i="50"/>
  <c r="F71" i="50" s="1"/>
  <c r="C71" i="50"/>
  <c r="H44" i="50"/>
  <c r="G44" i="50"/>
  <c r="E44" i="50"/>
  <c r="F44" i="50" s="1"/>
  <c r="C44" i="50"/>
  <c r="H43" i="50"/>
  <c r="E43" i="50"/>
  <c r="F43" i="50" s="1"/>
  <c r="C43" i="50"/>
  <c r="H42" i="50"/>
  <c r="G42" i="50"/>
  <c r="E42" i="50"/>
  <c r="F42" i="50" s="1"/>
  <c r="C42" i="50"/>
  <c r="G36" i="76"/>
  <c r="F36" i="76"/>
  <c r="E36" i="76"/>
  <c r="B36" i="76"/>
  <c r="C36" i="76" s="1"/>
  <c r="E9" i="75"/>
  <c r="R9" i="75"/>
  <c r="Q9" i="75"/>
  <c r="I9" i="75"/>
  <c r="H9" i="75"/>
  <c r="G9" i="75"/>
  <c r="D69" i="73" s="1"/>
  <c r="F9" i="75"/>
  <c r="G44" i="73"/>
  <c r="F44" i="73"/>
  <c r="E44" i="73"/>
  <c r="B44" i="73"/>
  <c r="G43" i="73"/>
  <c r="F43" i="73"/>
  <c r="E43" i="73"/>
  <c r="B43" i="73"/>
  <c r="G42" i="73"/>
  <c r="F42" i="73"/>
  <c r="E42" i="73"/>
  <c r="B42" i="73"/>
  <c r="E75" i="58"/>
  <c r="D75" i="58"/>
  <c r="C75" i="58"/>
  <c r="B75" i="58"/>
  <c r="E46" i="58"/>
  <c r="D46" i="58"/>
  <c r="C46" i="58"/>
  <c r="B46" i="58"/>
  <c r="E45" i="58"/>
  <c r="D45" i="58"/>
  <c r="C45" i="58"/>
  <c r="B45" i="58"/>
  <c r="E44" i="58"/>
  <c r="D44" i="58"/>
  <c r="C44" i="58"/>
  <c r="B44" i="58"/>
  <c r="M78" i="49"/>
  <c r="B23" i="49"/>
  <c r="I78" i="49" s="1"/>
  <c r="C23" i="49"/>
  <c r="J78" i="49" s="1"/>
  <c r="D23" i="49"/>
  <c r="K78" i="49" s="1"/>
  <c r="E23" i="49"/>
  <c r="L78" i="49" s="1"/>
  <c r="AG31" i="32"/>
  <c r="B76" i="32"/>
  <c r="J42" i="17"/>
  <c r="E48" i="32"/>
  <c r="D48" i="32"/>
  <c r="AC48" i="32" s="1"/>
  <c r="C48" i="32"/>
  <c r="B48" i="32"/>
  <c r="E47" i="32"/>
  <c r="C47" i="32"/>
  <c r="B47" i="32"/>
  <c r="E46" i="32"/>
  <c r="Q46" i="32" s="1"/>
  <c r="D46" i="32"/>
  <c r="C46" i="32"/>
  <c r="B46" i="32"/>
  <c r="E18" i="44"/>
  <c r="E41" i="17"/>
  <c r="G43" i="50" s="1"/>
  <c r="B42" i="17"/>
  <c r="B41" i="17"/>
  <c r="B40" i="17"/>
  <c r="L29" i="44"/>
  <c r="L31" i="44" s="1"/>
  <c r="E28" i="44" s="1"/>
  <c r="F28" i="44" s="1"/>
  <c r="I28" i="14" l="1"/>
  <c r="J9" i="75" s="1"/>
  <c r="O28" i="80"/>
  <c r="AM31" i="32"/>
  <c r="AC82" i="32"/>
  <c r="AC83" i="32"/>
  <c r="AC86" i="32" s="1"/>
  <c r="G46" i="32"/>
  <c r="I36" i="76"/>
  <c r="G23" i="49"/>
  <c r="N78" i="49"/>
  <c r="D47" i="32"/>
  <c r="G47" i="32" s="1"/>
  <c r="G44" i="58"/>
  <c r="G46" i="58"/>
  <c r="G48" i="32"/>
  <c r="I43" i="73"/>
  <c r="I42" i="73"/>
  <c r="I44" i="73"/>
  <c r="D44" i="73"/>
  <c r="C44" i="73"/>
  <c r="C43" i="73"/>
  <c r="C42" i="73"/>
  <c r="G45" i="58"/>
  <c r="G75" i="58"/>
  <c r="S47" i="32" l="1"/>
  <c r="AG30" i="32"/>
  <c r="G41" i="50"/>
  <c r="E41" i="50"/>
  <c r="F41" i="50" s="1"/>
  <c r="C41" i="50"/>
  <c r="H40" i="50"/>
  <c r="E40" i="50"/>
  <c r="F40" i="50" s="1"/>
  <c r="C40" i="50"/>
  <c r="H39" i="50"/>
  <c r="E39" i="50"/>
  <c r="F39" i="50" s="1"/>
  <c r="C39" i="50"/>
  <c r="H38" i="50"/>
  <c r="E38" i="50"/>
  <c r="F38" i="50" s="1"/>
  <c r="C38" i="50"/>
  <c r="F41" i="73"/>
  <c r="E41" i="73"/>
  <c r="B41" i="73"/>
  <c r="E40" i="73"/>
  <c r="B40" i="73"/>
  <c r="C40" i="73" s="1"/>
  <c r="E39" i="73"/>
  <c r="B39" i="73"/>
  <c r="E38" i="73"/>
  <c r="B38" i="73"/>
  <c r="E37" i="73"/>
  <c r="B37" i="73"/>
  <c r="B43" i="58"/>
  <c r="C43" i="58"/>
  <c r="D43" i="58"/>
  <c r="C42" i="58"/>
  <c r="B42" i="58"/>
  <c r="C41" i="58"/>
  <c r="B41" i="58"/>
  <c r="C40" i="58"/>
  <c r="B40" i="58"/>
  <c r="C28" i="37"/>
  <c r="B28" i="37"/>
  <c r="D45" i="32"/>
  <c r="C45" i="32"/>
  <c r="B45" i="32"/>
  <c r="C44" i="32"/>
  <c r="B44" i="32"/>
  <c r="C43" i="32"/>
  <c r="B43" i="32"/>
  <c r="C42" i="32"/>
  <c r="B42" i="32"/>
  <c r="I10" i="75"/>
  <c r="H10" i="75"/>
  <c r="G10" i="75"/>
  <c r="D68" i="73" s="1"/>
  <c r="F10" i="75"/>
  <c r="E10" i="75"/>
  <c r="B75" i="32" l="1"/>
  <c r="F28" i="37"/>
  <c r="D39" i="73"/>
  <c r="D38" i="73"/>
  <c r="C38" i="73"/>
  <c r="C41" i="73"/>
  <c r="C37" i="73"/>
  <c r="C39" i="73"/>
  <c r="F27" i="44"/>
  <c r="I27" i="14" s="1"/>
  <c r="J10" i="75" s="1"/>
  <c r="F17" i="44"/>
  <c r="F18" i="44"/>
  <c r="F39" i="17"/>
  <c r="E37" i="17"/>
  <c r="E38" i="17"/>
  <c r="E25" i="37" s="1"/>
  <c r="E36" i="17"/>
  <c r="B39" i="17"/>
  <c r="B38" i="17"/>
  <c r="B37" i="17"/>
  <c r="B36" i="17"/>
  <c r="B35" i="17"/>
  <c r="B34" i="17"/>
  <c r="B33" i="17"/>
  <c r="F39" i="73" l="1"/>
  <c r="I39" i="73" s="1"/>
  <c r="D41" i="58"/>
  <c r="G41" i="58" s="1"/>
  <c r="G39" i="50"/>
  <c r="D43" i="32"/>
  <c r="G43" i="32" s="1"/>
  <c r="AB43" i="32" s="1"/>
  <c r="G38" i="50"/>
  <c r="D42" i="32"/>
  <c r="G42" i="32" s="1"/>
  <c r="AB42" i="32" s="1"/>
  <c r="F38" i="73"/>
  <c r="I38" i="73" s="1"/>
  <c r="D40" i="58"/>
  <c r="G40" i="58" s="1"/>
  <c r="D44" i="32"/>
  <c r="G44" i="32" s="1"/>
  <c r="Y44" i="32" s="1"/>
  <c r="F40" i="73"/>
  <c r="I40" i="73" s="1"/>
  <c r="D42" i="58"/>
  <c r="G42" i="58" s="1"/>
  <c r="G40" i="50"/>
  <c r="H41" i="50"/>
  <c r="E45" i="32"/>
  <c r="G45" i="32" s="1"/>
  <c r="T45" i="32" s="1"/>
  <c r="G41" i="73"/>
  <c r="I41" i="73" s="1"/>
  <c r="E43" i="58"/>
  <c r="G43" i="58" s="1"/>
  <c r="E18" i="40"/>
  <c r="G70" i="50" s="1"/>
  <c r="H70" i="50"/>
  <c r="E70" i="50"/>
  <c r="F70" i="50" s="1"/>
  <c r="C70" i="50"/>
  <c r="E35" i="76"/>
  <c r="B35" i="76"/>
  <c r="C74" i="58"/>
  <c r="B74" i="58"/>
  <c r="M77" i="49"/>
  <c r="C22" i="49"/>
  <c r="J77" i="49" s="1"/>
  <c r="B22" i="49"/>
  <c r="I77" i="49" s="1"/>
  <c r="D74" i="58" l="1"/>
  <c r="AB83" i="32"/>
  <c r="AB82" i="32"/>
  <c r="D22" i="49"/>
  <c r="K77" i="49" s="1"/>
  <c r="F35" i="76"/>
  <c r="G35" i="76"/>
  <c r="E22" i="49"/>
  <c r="E74" i="58"/>
  <c r="C35" i="76"/>
  <c r="G74" i="58" l="1"/>
  <c r="AB86" i="32"/>
  <c r="I35" i="76"/>
  <c r="G22" i="49"/>
  <c r="L77" i="49"/>
  <c r="N77" i="49" s="1"/>
  <c r="D23" i="44"/>
  <c r="D36" i="44" l="1"/>
  <c r="F36" i="44"/>
  <c r="F35" i="44"/>
  <c r="E3" i="60"/>
  <c r="L24" i="60"/>
  <c r="F39" i="44" l="1"/>
  <c r="F38" i="44"/>
  <c r="F37" i="44"/>
  <c r="H93" i="50" l="1"/>
  <c r="E93" i="50"/>
  <c r="F93" i="50" s="1"/>
  <c r="C93" i="50"/>
  <c r="H37" i="50" l="1"/>
  <c r="E37" i="50"/>
  <c r="F37" i="50" s="1"/>
  <c r="C37" i="50"/>
  <c r="Q13" i="49"/>
  <c r="Q12" i="49"/>
  <c r="AG29" i="32"/>
  <c r="F20" i="44" l="1"/>
  <c r="F21" i="44" l="1"/>
  <c r="C39" i="58"/>
  <c r="B39" i="58"/>
  <c r="C41" i="32"/>
  <c r="B41" i="32"/>
  <c r="C27" i="37"/>
  <c r="I11" i="75"/>
  <c r="H11" i="75"/>
  <c r="G11" i="75"/>
  <c r="D37" i="73" s="1"/>
  <c r="F11" i="75"/>
  <c r="E11" i="75"/>
  <c r="I24" i="14"/>
  <c r="I25" i="14"/>
  <c r="C25" i="44"/>
  <c r="C26" i="44"/>
  <c r="C10" i="44"/>
  <c r="C11" i="44"/>
  <c r="C12" i="44"/>
  <c r="C13" i="44"/>
  <c r="C14" i="44"/>
  <c r="C15" i="44"/>
  <c r="C16" i="44"/>
  <c r="C17" i="44"/>
  <c r="C18" i="44"/>
  <c r="C19" i="44"/>
  <c r="C20" i="44"/>
  <c r="C21" i="44"/>
  <c r="C22" i="44"/>
  <c r="C23" i="44"/>
  <c r="C24" i="44"/>
  <c r="C9" i="44"/>
  <c r="I12" i="14"/>
  <c r="I15" i="14"/>
  <c r="I16" i="14"/>
  <c r="I17" i="14"/>
  <c r="I21" i="14"/>
  <c r="B27" i="37"/>
  <c r="B26" i="37"/>
  <c r="I35" i="17"/>
  <c r="E35" i="17" s="1"/>
  <c r="M26" i="14"/>
  <c r="B74" i="32" l="1"/>
  <c r="F27" i="37"/>
  <c r="B73" i="32"/>
  <c r="F26" i="37"/>
  <c r="E26" i="37" s="1"/>
  <c r="G37" i="50"/>
  <c r="F37" i="73"/>
  <c r="I37" i="73" s="1"/>
  <c r="M11" i="75"/>
  <c r="M27" i="14"/>
  <c r="M28" i="14" s="1"/>
  <c r="M29" i="14" s="1"/>
  <c r="D39" i="58"/>
  <c r="G39" i="58" s="1"/>
  <c r="D41" i="32"/>
  <c r="G41" i="32" s="1"/>
  <c r="AA41" i="32" s="1"/>
  <c r="D67" i="73"/>
  <c r="M50" i="75" l="1"/>
  <c r="M52" i="75" s="1"/>
  <c r="M30" i="14"/>
  <c r="AA83" i="32"/>
  <c r="AA82" i="32"/>
  <c r="M10" i="75"/>
  <c r="M9" i="75"/>
  <c r="AA86" i="32" l="1"/>
  <c r="C69" i="50"/>
  <c r="E69" i="50"/>
  <c r="F69" i="50" s="1"/>
  <c r="H69" i="50"/>
  <c r="C36" i="50"/>
  <c r="E36" i="50"/>
  <c r="F36" i="50" s="1"/>
  <c r="H36" i="50"/>
  <c r="G34" i="76"/>
  <c r="E34" i="76"/>
  <c r="B34" i="76"/>
  <c r="E16" i="76"/>
  <c r="B16" i="76"/>
  <c r="C16" i="76" s="1"/>
  <c r="B38" i="58"/>
  <c r="C38" i="58"/>
  <c r="E73" i="58"/>
  <c r="C73" i="58"/>
  <c r="B73" i="58"/>
  <c r="M76" i="49"/>
  <c r="E21" i="49"/>
  <c r="L76" i="49" s="1"/>
  <c r="C21" i="49"/>
  <c r="J76" i="49" s="1"/>
  <c r="B21" i="49"/>
  <c r="I76" i="49" s="1"/>
  <c r="C40" i="32"/>
  <c r="B40" i="32"/>
  <c r="E17" i="40"/>
  <c r="F34" i="76" s="1"/>
  <c r="I34" i="17"/>
  <c r="E34" i="17" s="1"/>
  <c r="D38" i="58" s="1"/>
  <c r="G38" i="58" s="1"/>
  <c r="I34" i="76" l="1"/>
  <c r="G36" i="50"/>
  <c r="F16" i="76"/>
  <c r="I16" i="76" s="1"/>
  <c r="D40" i="32"/>
  <c r="G40" i="32" s="1"/>
  <c r="W40" i="32" s="1"/>
  <c r="D73" i="58"/>
  <c r="G73" i="58" s="1"/>
  <c r="G69" i="50"/>
  <c r="D21" i="49"/>
  <c r="G21" i="49" s="1"/>
  <c r="C34" i="76"/>
  <c r="K76" i="49" l="1"/>
  <c r="N76" i="49" s="1"/>
  <c r="D99" i="58"/>
  <c r="C99" i="58"/>
  <c r="B99" i="58"/>
  <c r="E98" i="58"/>
  <c r="C98" i="58"/>
  <c r="B98" i="58"/>
  <c r="F61" i="76"/>
  <c r="E61" i="76"/>
  <c r="B61" i="76"/>
  <c r="C61" i="76" s="1"/>
  <c r="G60" i="76"/>
  <c r="E60" i="76"/>
  <c r="B60" i="76"/>
  <c r="C60" i="76" s="1"/>
  <c r="M14" i="49"/>
  <c r="E46" i="49"/>
  <c r="L14" i="49" s="1"/>
  <c r="C46" i="49"/>
  <c r="J14" i="49" s="1"/>
  <c r="B46" i="49"/>
  <c r="I14" i="49" s="1"/>
  <c r="H42" i="40"/>
  <c r="E42" i="40"/>
  <c r="G93" i="50" s="1"/>
  <c r="F43" i="40"/>
  <c r="E99" i="58" s="1"/>
  <c r="O22" i="77"/>
  <c r="M41" i="14" l="1"/>
  <c r="F60" i="76"/>
  <c r="D98" i="58"/>
  <c r="G98" i="58" s="1"/>
  <c r="D46" i="49"/>
  <c r="G46" i="49" s="1"/>
  <c r="G61" i="76"/>
  <c r="I61" i="76" s="1"/>
  <c r="G99" i="58"/>
  <c r="O24" i="77"/>
  <c r="O23" i="77"/>
  <c r="P22" i="77"/>
  <c r="I60" i="76"/>
  <c r="K14" i="49" l="1"/>
  <c r="N14" i="49" s="1"/>
  <c r="P23" i="77"/>
  <c r="P24" i="77"/>
  <c r="C68" i="50"/>
  <c r="E68" i="50"/>
  <c r="F68" i="50" s="1"/>
  <c r="H68" i="50"/>
  <c r="B33" i="76"/>
  <c r="C33" i="76" s="1"/>
  <c r="E33" i="76"/>
  <c r="G33" i="76"/>
  <c r="B72" i="58"/>
  <c r="C72" i="58"/>
  <c r="E72" i="58"/>
  <c r="M75" i="49"/>
  <c r="B20" i="49"/>
  <c r="I75" i="49" s="1"/>
  <c r="C20" i="49"/>
  <c r="J75" i="49" s="1"/>
  <c r="E20" i="49"/>
  <c r="L75" i="49" s="1"/>
  <c r="E16" i="40"/>
  <c r="D20" i="49" s="1"/>
  <c r="G68" i="50" l="1"/>
  <c r="D72" i="58"/>
  <c r="G72" i="58" s="1"/>
  <c r="F33" i="76"/>
  <c r="I33" i="76" s="1"/>
  <c r="K75" i="49"/>
  <c r="N75" i="49" s="1"/>
  <c r="G20" i="49"/>
  <c r="H94" i="50" l="1"/>
  <c r="G94" i="50"/>
  <c r="E94" i="50"/>
  <c r="F94" i="50" s="1"/>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B8" i="49"/>
  <c r="M15" i="49"/>
  <c r="M13" i="49"/>
  <c r="M12" i="49"/>
  <c r="M11" i="49"/>
  <c r="B47" i="49"/>
  <c r="I15" i="49" s="1"/>
  <c r="C47" i="49"/>
  <c r="J15" i="49" s="1"/>
  <c r="D47" i="49"/>
  <c r="E47" i="49"/>
  <c r="L15" i="49" s="1"/>
  <c r="B45" i="49"/>
  <c r="I13" i="49" s="1"/>
  <c r="C45" i="49"/>
  <c r="J13" i="49" s="1"/>
  <c r="E45" i="49"/>
  <c r="L13" i="49" s="1"/>
  <c r="B44" i="49"/>
  <c r="I12" i="49" s="1"/>
  <c r="C44" i="49"/>
  <c r="J12" i="49" s="1"/>
  <c r="E44" i="49"/>
  <c r="L12" i="49" s="1"/>
  <c r="F23" i="44"/>
  <c r="I23" i="14" s="1"/>
  <c r="J45" i="75" s="1"/>
  <c r="H5" i="83" l="1"/>
  <c r="H2" i="83" s="1"/>
  <c r="H4" i="83"/>
  <c r="H5" i="73"/>
  <c r="H4" i="73"/>
  <c r="G47" i="49"/>
  <c r="K15" i="49"/>
  <c r="N15" i="49" s="1"/>
  <c r="H2" i="73" l="1"/>
  <c r="K21" i="37"/>
  <c r="D9" i="51" l="1"/>
  <c r="P42" i="75" l="1"/>
  <c r="G54" i="50" l="1"/>
  <c r="E54" i="50"/>
  <c r="F54" i="50" s="1"/>
  <c r="C54" i="50"/>
  <c r="F51" i="73" l="1"/>
  <c r="E51" i="73"/>
  <c r="B51" i="73"/>
  <c r="J29" i="52"/>
  <c r="D58" i="58"/>
  <c r="C58" i="58"/>
  <c r="B58" i="58"/>
  <c r="B12" i="52"/>
  <c r="C12" i="52"/>
  <c r="D12" i="52"/>
  <c r="E34" i="32"/>
  <c r="I53" i="17"/>
  <c r="H54" i="17"/>
  <c r="I54" i="17" s="1"/>
  <c r="F56" i="17"/>
  <c r="H54" i="50" s="1"/>
  <c r="E12" i="52" l="1"/>
  <c r="T11" i="52" s="1"/>
  <c r="M37" i="14"/>
  <c r="M16" i="75" s="1"/>
  <c r="E58" i="58"/>
  <c r="G58" i="58" s="1"/>
  <c r="H56" i="17"/>
  <c r="G51" i="73"/>
  <c r="I51" i="73" s="1"/>
  <c r="C51" i="73"/>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s="1"/>
  <c r="M38" i="75"/>
  <c r="S38" i="75"/>
  <c r="J38" i="75"/>
  <c r="I38" i="75"/>
  <c r="H38" i="75"/>
  <c r="G38" i="75"/>
  <c r="F38" i="75"/>
  <c r="E38" i="75"/>
  <c r="M40" i="75"/>
  <c r="K40" i="75"/>
  <c r="J40" i="75"/>
  <c r="I40" i="75"/>
  <c r="H40" i="75"/>
  <c r="G40" i="75"/>
  <c r="F40" i="75"/>
  <c r="E40" i="75"/>
  <c r="K39" i="75"/>
  <c r="J39" i="75"/>
  <c r="I39" i="75"/>
  <c r="H39" i="75"/>
  <c r="G39" i="75"/>
  <c r="F39" i="75"/>
  <c r="E39" i="75"/>
  <c r="M37" i="75"/>
  <c r="S37" i="75"/>
  <c r="J37" i="75"/>
  <c r="I37" i="75"/>
  <c r="H37" i="75"/>
  <c r="G37" i="75"/>
  <c r="F37" i="75"/>
  <c r="E37" i="75"/>
  <c r="S36" i="75"/>
  <c r="J36" i="75"/>
  <c r="I36" i="75"/>
  <c r="H36" i="75"/>
  <c r="G36" i="75"/>
  <c r="D53" i="76" s="1"/>
  <c r="F36" i="75"/>
  <c r="E36" i="75"/>
  <c r="I35" i="75"/>
  <c r="H35" i="75"/>
  <c r="G35" i="75"/>
  <c r="D16" i="76" s="1"/>
  <c r="F35" i="75"/>
  <c r="E35" i="75"/>
  <c r="I34" i="75"/>
  <c r="H34" i="75"/>
  <c r="G34" i="75"/>
  <c r="F34" i="75"/>
  <c r="E34" i="75"/>
  <c r="I33" i="75"/>
  <c r="H33" i="75"/>
  <c r="G33" i="75"/>
  <c r="F33" i="75"/>
  <c r="E33" i="75"/>
  <c r="N27" i="75"/>
  <c r="M27" i="75"/>
  <c r="M15" i="75"/>
  <c r="M12" i="75"/>
  <c r="M13" i="75"/>
  <c r="S28" i="75"/>
  <c r="I28" i="75"/>
  <c r="H28" i="75"/>
  <c r="G28" i="75"/>
  <c r="F28" i="75"/>
  <c r="S27" i="75"/>
  <c r="L27" i="75"/>
  <c r="K27" i="75"/>
  <c r="J27" i="75"/>
  <c r="I27" i="75"/>
  <c r="H27" i="75"/>
  <c r="G27" i="75"/>
  <c r="F27" i="75"/>
  <c r="S15" i="75"/>
  <c r="K15" i="75"/>
  <c r="J15" i="75"/>
  <c r="I15" i="75"/>
  <c r="H15" i="75"/>
  <c r="G15" i="75"/>
  <c r="F15" i="75"/>
  <c r="S16" i="75"/>
  <c r="L16" i="75"/>
  <c r="K16" i="75"/>
  <c r="J16" i="75"/>
  <c r="I16" i="75"/>
  <c r="H16" i="75"/>
  <c r="G16" i="75"/>
  <c r="D51" i="73" s="1"/>
  <c r="F16" i="75"/>
  <c r="S21" i="75"/>
  <c r="I21" i="75"/>
  <c r="H21" i="75"/>
  <c r="G21" i="75"/>
  <c r="F21" i="75"/>
  <c r="S17" i="75"/>
  <c r="I17" i="75"/>
  <c r="H17" i="75"/>
  <c r="G17" i="75"/>
  <c r="D42" i="73" s="1"/>
  <c r="F17" i="75"/>
  <c r="S18" i="75"/>
  <c r="I18" i="75"/>
  <c r="H18" i="75"/>
  <c r="G18" i="75"/>
  <c r="F18" i="75"/>
  <c r="S19" i="75"/>
  <c r="I19" i="75"/>
  <c r="H19" i="75"/>
  <c r="G19" i="75"/>
  <c r="F19" i="75"/>
  <c r="J12" i="75"/>
  <c r="I12" i="75"/>
  <c r="H12" i="75"/>
  <c r="G12" i="75"/>
  <c r="D66" i="73" s="1"/>
  <c r="F12" i="75"/>
  <c r="K13" i="75"/>
  <c r="J13" i="75"/>
  <c r="I13" i="75"/>
  <c r="H13" i="75"/>
  <c r="G13" i="75"/>
  <c r="F13" i="75"/>
  <c r="S14" i="75"/>
  <c r="I14" i="75"/>
  <c r="H14" i="75"/>
  <c r="G14" i="75"/>
  <c r="D45" i="73" s="1"/>
  <c r="F14" i="75"/>
  <c r="S20" i="75"/>
  <c r="I20" i="75"/>
  <c r="H20" i="75"/>
  <c r="G20" i="75"/>
  <c r="D43" i="73" s="1"/>
  <c r="F20" i="75"/>
  <c r="S26" i="75"/>
  <c r="I26" i="75"/>
  <c r="H26" i="75"/>
  <c r="G26" i="75"/>
  <c r="F26" i="75"/>
  <c r="S25" i="75"/>
  <c r="I25" i="75"/>
  <c r="H25" i="75"/>
  <c r="G25" i="75"/>
  <c r="F25" i="75"/>
  <c r="S22" i="75"/>
  <c r="I22" i="75"/>
  <c r="H22" i="75"/>
  <c r="G22" i="75"/>
  <c r="F22" i="75"/>
  <c r="S23" i="75"/>
  <c r="I23" i="75"/>
  <c r="H23" i="75"/>
  <c r="G23" i="75"/>
  <c r="F23" i="75"/>
  <c r="S24" i="75"/>
  <c r="I24" i="75"/>
  <c r="H24" i="75"/>
  <c r="G24" i="75"/>
  <c r="F24" i="75"/>
  <c r="E28" i="75"/>
  <c r="E27" i="75"/>
  <c r="E15" i="75"/>
  <c r="E16" i="75"/>
  <c r="E21" i="75"/>
  <c r="E17" i="75"/>
  <c r="E18" i="75"/>
  <c r="E19" i="75"/>
  <c r="E12" i="75"/>
  <c r="E13" i="75"/>
  <c r="E14" i="75"/>
  <c r="E20" i="75"/>
  <c r="E26" i="75"/>
  <c r="E25" i="75"/>
  <c r="E22" i="75"/>
  <c r="E23" i="75"/>
  <c r="E24" i="75"/>
  <c r="E36" i="73"/>
  <c r="B36" i="73"/>
  <c r="C36" i="73" s="1"/>
  <c r="E29" i="73"/>
  <c r="B29" i="73"/>
  <c r="C29" i="73" s="1"/>
  <c r="B37" i="58"/>
  <c r="C37" i="58"/>
  <c r="M92" i="49"/>
  <c r="M91" i="49"/>
  <c r="M90" i="49"/>
  <c r="M89" i="49"/>
  <c r="M88" i="49"/>
  <c r="M74" i="49"/>
  <c r="M73" i="49"/>
  <c r="M72" i="49"/>
  <c r="M71" i="49"/>
  <c r="M70" i="49"/>
  <c r="M69" i="49"/>
  <c r="M68" i="49"/>
  <c r="M67" i="49"/>
  <c r="M66" i="49"/>
  <c r="M65" i="49"/>
  <c r="M64" i="49"/>
  <c r="M63" i="49"/>
  <c r="M10" i="49"/>
  <c r="M9" i="49"/>
  <c r="M52" i="49"/>
  <c r="M51" i="49"/>
  <c r="M50" i="49"/>
  <c r="M49" i="49"/>
  <c r="M48" i="49"/>
  <c r="M47" i="49"/>
  <c r="M46" i="49"/>
  <c r="M45" i="49"/>
  <c r="M44" i="49"/>
  <c r="M43" i="49"/>
  <c r="M42" i="49"/>
  <c r="M41" i="49"/>
  <c r="M40" i="49"/>
  <c r="M39" i="49"/>
  <c r="L92" i="49"/>
  <c r="J92" i="49"/>
  <c r="I92" i="49"/>
  <c r="L91" i="49"/>
  <c r="J91" i="49"/>
  <c r="I91" i="49"/>
  <c r="L90" i="49"/>
  <c r="J90" i="49"/>
  <c r="I90" i="49"/>
  <c r="L89" i="49"/>
  <c r="J89" i="49"/>
  <c r="I89" i="49"/>
  <c r="L88" i="49"/>
  <c r="J88" i="49"/>
  <c r="I88" i="49"/>
  <c r="J30" i="49"/>
  <c r="I30" i="49"/>
  <c r="E43" i="49"/>
  <c r="L11" i="49" s="1"/>
  <c r="C43" i="49"/>
  <c r="J11" i="49" s="1"/>
  <c r="B43" i="49"/>
  <c r="I11" i="49" s="1"/>
  <c r="E42" i="49"/>
  <c r="L10" i="49" s="1"/>
  <c r="D42" i="49"/>
  <c r="K10" i="49" s="1"/>
  <c r="C42" i="49"/>
  <c r="J10" i="49" s="1"/>
  <c r="B42" i="49"/>
  <c r="I10" i="49" s="1"/>
  <c r="E41" i="49"/>
  <c r="L9" i="49" s="1"/>
  <c r="C41" i="49"/>
  <c r="J9" i="49" s="1"/>
  <c r="B41" i="49"/>
  <c r="I9" i="49" s="1"/>
  <c r="E39" i="49"/>
  <c r="L52" i="49" s="1"/>
  <c r="C39" i="49"/>
  <c r="J52" i="49" s="1"/>
  <c r="B39" i="49"/>
  <c r="I52" i="49" s="1"/>
  <c r="E38" i="49"/>
  <c r="L51" i="49" s="1"/>
  <c r="C38" i="49"/>
  <c r="J51" i="49" s="1"/>
  <c r="B38" i="49"/>
  <c r="I51" i="49" s="1"/>
  <c r="D37" i="49"/>
  <c r="K50" i="49" s="1"/>
  <c r="C37" i="49"/>
  <c r="J50" i="49" s="1"/>
  <c r="B37" i="49"/>
  <c r="I50" i="49" s="1"/>
  <c r="E36" i="49"/>
  <c r="L49" i="49" s="1"/>
  <c r="C36" i="49"/>
  <c r="J49" i="49" s="1"/>
  <c r="B36" i="49"/>
  <c r="I49" i="49" s="1"/>
  <c r="E35" i="49"/>
  <c r="L48" i="49" s="1"/>
  <c r="C35" i="49"/>
  <c r="J48" i="49" s="1"/>
  <c r="B35" i="49"/>
  <c r="I48" i="49" s="1"/>
  <c r="D34" i="49"/>
  <c r="K47" i="49" s="1"/>
  <c r="C34" i="49"/>
  <c r="J47" i="49" s="1"/>
  <c r="B34" i="49"/>
  <c r="I47" i="49" s="1"/>
  <c r="E33" i="49"/>
  <c r="L46" i="49" s="1"/>
  <c r="C33" i="49"/>
  <c r="J46" i="49" s="1"/>
  <c r="B33" i="49"/>
  <c r="I46" i="49" s="1"/>
  <c r="E32" i="49"/>
  <c r="L45" i="49" s="1"/>
  <c r="C32" i="49"/>
  <c r="J45" i="49" s="1"/>
  <c r="B32" i="49"/>
  <c r="I45" i="49" s="1"/>
  <c r="E31" i="49"/>
  <c r="L44" i="49" s="1"/>
  <c r="C31" i="49"/>
  <c r="J44" i="49" s="1"/>
  <c r="B31" i="49"/>
  <c r="I44" i="49" s="1"/>
  <c r="E30" i="49"/>
  <c r="L43" i="49" s="1"/>
  <c r="C30" i="49"/>
  <c r="J43" i="49" s="1"/>
  <c r="B30" i="49"/>
  <c r="I43" i="49" s="1"/>
  <c r="E29" i="49"/>
  <c r="L42" i="49" s="1"/>
  <c r="C29" i="49"/>
  <c r="J42" i="49" s="1"/>
  <c r="B29" i="49"/>
  <c r="I42" i="49" s="1"/>
  <c r="E28" i="49"/>
  <c r="L41" i="49" s="1"/>
  <c r="C28" i="49"/>
  <c r="J41" i="49" s="1"/>
  <c r="B28" i="49"/>
  <c r="I41" i="49" s="1"/>
  <c r="E27" i="49"/>
  <c r="L40" i="49" s="1"/>
  <c r="C27" i="49"/>
  <c r="J40" i="49" s="1"/>
  <c r="B27" i="49"/>
  <c r="I40" i="49" s="1"/>
  <c r="E26" i="49"/>
  <c r="L39" i="49" s="1"/>
  <c r="C26" i="49"/>
  <c r="J39" i="49" s="1"/>
  <c r="B26" i="49"/>
  <c r="I39" i="49" s="1"/>
  <c r="D19" i="49"/>
  <c r="K74" i="49" s="1"/>
  <c r="C19" i="49"/>
  <c r="J74" i="49" s="1"/>
  <c r="B19" i="49"/>
  <c r="I74" i="49" s="1"/>
  <c r="E18" i="49"/>
  <c r="L73" i="49" s="1"/>
  <c r="C18" i="49"/>
  <c r="J73" i="49" s="1"/>
  <c r="B18" i="49"/>
  <c r="I73" i="49" s="1"/>
  <c r="D17" i="49"/>
  <c r="K72" i="49" s="1"/>
  <c r="C17" i="49"/>
  <c r="J72" i="49" s="1"/>
  <c r="B17" i="49"/>
  <c r="I72" i="49" s="1"/>
  <c r="E16" i="49"/>
  <c r="L71" i="49" s="1"/>
  <c r="C16" i="49"/>
  <c r="J71" i="49" s="1"/>
  <c r="B16" i="49"/>
  <c r="I71" i="49" s="1"/>
  <c r="E15" i="49"/>
  <c r="L70" i="49" s="1"/>
  <c r="C15" i="49"/>
  <c r="J70" i="49" s="1"/>
  <c r="B15" i="49"/>
  <c r="I70" i="49" s="1"/>
  <c r="E14" i="49"/>
  <c r="L69" i="49" s="1"/>
  <c r="C14" i="49"/>
  <c r="J69" i="49" s="1"/>
  <c r="B14" i="49"/>
  <c r="I69" i="49" s="1"/>
  <c r="D13" i="49"/>
  <c r="K68" i="49" s="1"/>
  <c r="C13" i="49"/>
  <c r="J68" i="49" s="1"/>
  <c r="B13" i="49"/>
  <c r="I68" i="49" s="1"/>
  <c r="E12" i="49"/>
  <c r="L67" i="49" s="1"/>
  <c r="C12" i="49"/>
  <c r="J67" i="49" s="1"/>
  <c r="B12" i="49"/>
  <c r="I67" i="49" s="1"/>
  <c r="E11" i="49"/>
  <c r="L66" i="49" s="1"/>
  <c r="C11" i="49"/>
  <c r="J66" i="49" s="1"/>
  <c r="B11" i="49"/>
  <c r="I66" i="49" s="1"/>
  <c r="D10" i="49"/>
  <c r="K65" i="49" s="1"/>
  <c r="C10" i="49"/>
  <c r="J65" i="49" s="1"/>
  <c r="B10" i="49"/>
  <c r="I65" i="49" s="1"/>
  <c r="E9" i="49"/>
  <c r="L64" i="49" s="1"/>
  <c r="C9" i="49"/>
  <c r="J64" i="49" s="1"/>
  <c r="B9" i="49"/>
  <c r="E8" i="49"/>
  <c r="L63" i="49" s="1"/>
  <c r="C8" i="49"/>
  <c r="J63" i="49" s="1"/>
  <c r="I63" i="49"/>
  <c r="D9" i="52"/>
  <c r="K9" i="52" s="1"/>
  <c r="D10" i="52"/>
  <c r="C11" i="52"/>
  <c r="J28" i="52" s="1"/>
  <c r="B11" i="52"/>
  <c r="I28" i="52" s="1"/>
  <c r="C10" i="52"/>
  <c r="J19" i="52" s="1"/>
  <c r="B10" i="52"/>
  <c r="I19" i="52" s="1"/>
  <c r="C9" i="52"/>
  <c r="J9" i="52" s="1"/>
  <c r="B9" i="52"/>
  <c r="I9" i="52" s="1"/>
  <c r="AG28" i="32"/>
  <c r="F73" i="32"/>
  <c r="G73" i="32" s="1"/>
  <c r="Z73" i="32" s="1"/>
  <c r="Z84" i="32" s="1"/>
  <c r="B39" i="32"/>
  <c r="C39" i="32"/>
  <c r="I33" i="17"/>
  <c r="E33" i="17" s="1"/>
  <c r="F36" i="73" s="1"/>
  <c r="I36" i="73" s="1"/>
  <c r="D40" i="73" l="1"/>
  <c r="D47" i="73"/>
  <c r="D64" i="76"/>
  <c r="D62" i="76"/>
  <c r="D63" i="76"/>
  <c r="D37" i="76"/>
  <c r="D38" i="76"/>
  <c r="D41" i="73"/>
  <c r="D46" i="73"/>
  <c r="D20" i="76"/>
  <c r="D19" i="76"/>
  <c r="D35" i="76"/>
  <c r="D36" i="76"/>
  <c r="D33" i="76"/>
  <c r="D34" i="76"/>
  <c r="D61" i="76"/>
  <c r="D60" i="76"/>
  <c r="I64" i="49"/>
  <c r="F2" i="49"/>
  <c r="G12" i="52"/>
  <c r="B14" i="52"/>
  <c r="I10" i="52" s="1"/>
  <c r="G35" i="50"/>
  <c r="D39" i="32"/>
  <c r="G39" i="32" s="1"/>
  <c r="Z39" i="32" s="1"/>
  <c r="D37" i="58"/>
  <c r="G37" i="58" s="1"/>
  <c r="B16" i="52"/>
  <c r="I29" i="52" s="1"/>
  <c r="B15" i="52"/>
  <c r="I20" i="52" s="1"/>
  <c r="L31" i="60"/>
  <c r="O31" i="60"/>
  <c r="D36" i="73"/>
  <c r="D29" i="73"/>
  <c r="G15" i="37"/>
  <c r="G23" i="37"/>
  <c r="K22" i="37"/>
  <c r="K23" i="37" s="1"/>
  <c r="D26" i="37"/>
  <c r="Z83" i="32" l="1"/>
  <c r="Z82" i="32"/>
  <c r="Z87" i="32" s="1"/>
  <c r="C26" i="37"/>
  <c r="B25" i="37"/>
  <c r="B24" i="37"/>
  <c r="B23" i="37"/>
  <c r="B22" i="37"/>
  <c r="B21" i="37"/>
  <c r="B20" i="37"/>
  <c r="B19" i="37"/>
  <c r="B18" i="37"/>
  <c r="B17" i="37"/>
  <c r="B16" i="37"/>
  <c r="B63" i="32" s="1"/>
  <c r="B15" i="37"/>
  <c r="B14" i="37"/>
  <c r="B13" i="37"/>
  <c r="B12" i="37"/>
  <c r="B11" i="37"/>
  <c r="B10" i="37"/>
  <c r="F10" i="37" l="1"/>
  <c r="F133" i="58"/>
  <c r="G133" i="58" s="1"/>
  <c r="B60" i="32"/>
  <c r="F13" i="37"/>
  <c r="B69" i="32"/>
  <c r="F22" i="37"/>
  <c r="B70" i="32"/>
  <c r="F23" i="37"/>
  <c r="B62" i="32"/>
  <c r="F15" i="37"/>
  <c r="B64" i="32"/>
  <c r="F17" i="37"/>
  <c r="B72" i="32"/>
  <c r="F25" i="37"/>
  <c r="B68" i="32"/>
  <c r="F21" i="37"/>
  <c r="B71" i="32"/>
  <c r="F24" i="37"/>
  <c r="B66" i="32"/>
  <c r="F19" i="37"/>
  <c r="B61" i="32"/>
  <c r="F14" i="37"/>
  <c r="B65" i="32"/>
  <c r="F18" i="37"/>
  <c r="B58" i="32"/>
  <c r="F11" i="37"/>
  <c r="B59" i="32"/>
  <c r="F12" i="37"/>
  <c r="B67" i="32"/>
  <c r="F20" i="37"/>
  <c r="N30" i="14"/>
  <c r="F61" i="49"/>
  <c r="G61" i="49" s="1"/>
  <c r="F59" i="49"/>
  <c r="G59" i="49" s="1"/>
  <c r="N36" i="14"/>
  <c r="F57" i="49"/>
  <c r="G57" i="49" s="1"/>
  <c r="F58" i="49"/>
  <c r="G58" i="49" s="1"/>
  <c r="Z85" i="32"/>
  <c r="B57" i="32"/>
  <c r="Z86" i="32"/>
  <c r="H73" i="76"/>
  <c r="F110" i="58"/>
  <c r="F125" i="58"/>
  <c r="F138" i="58"/>
  <c r="F135" i="58"/>
  <c r="F137" i="58"/>
  <c r="H66" i="73"/>
  <c r="I66" i="73" s="1"/>
  <c r="F112" i="58"/>
  <c r="N44" i="14"/>
  <c r="N43" i="14"/>
  <c r="N36" i="75" s="1"/>
  <c r="N41" i="14"/>
  <c r="N37" i="75" s="1"/>
  <c r="N25" i="14"/>
  <c r="H56" i="73"/>
  <c r="H54" i="73"/>
  <c r="M19" i="49" l="1"/>
  <c r="M54" i="49"/>
  <c r="N54" i="49" s="1"/>
  <c r="M81" i="49"/>
  <c r="N39" i="75"/>
  <c r="N12" i="75"/>
  <c r="N12" i="14"/>
  <c r="N21" i="75" s="1"/>
  <c r="N10" i="14"/>
  <c r="N26" i="75" s="1"/>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s="1"/>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D64" i="73"/>
  <c r="C64" i="73"/>
  <c r="E33" i="73"/>
  <c r="B33" i="73"/>
  <c r="D33" i="73" s="1"/>
  <c r="C33" i="73" l="1"/>
  <c r="L14" i="73"/>
  <c r="E18" i="76"/>
  <c r="B18" i="76"/>
  <c r="D18" i="76" s="1"/>
  <c r="C35" i="58"/>
  <c r="B35" i="58"/>
  <c r="C18" i="76" l="1"/>
  <c r="C37" i="32"/>
  <c r="B37" i="32"/>
  <c r="I31" i="17"/>
  <c r="E31" i="17" s="1"/>
  <c r="E16" i="37"/>
  <c r="F115" i="58" s="1"/>
  <c r="F123" i="58"/>
  <c r="G33" i="50" l="1"/>
  <c r="D35" i="58"/>
  <c r="G35" i="58" s="1"/>
  <c r="F18" i="76"/>
  <c r="I18" i="76" s="1"/>
  <c r="D37" i="32"/>
  <c r="G37" i="32" s="1"/>
  <c r="H59" i="73"/>
  <c r="N15" i="14"/>
  <c r="N22" i="75" s="1"/>
  <c r="N23" i="14"/>
  <c r="O35" i="14"/>
  <c r="N33" i="75" l="1"/>
  <c r="N45" i="75"/>
  <c r="N47" i="75" s="1"/>
  <c r="X37" i="32"/>
  <c r="O27" i="75"/>
  <c r="F11" i="60"/>
  <c r="D78" i="76"/>
  <c r="C78" i="76"/>
  <c r="D77" i="76"/>
  <c r="C77" i="76"/>
  <c r="D76" i="76"/>
  <c r="C76" i="76"/>
  <c r="D75" i="76"/>
  <c r="C75" i="76"/>
  <c r="D74" i="76"/>
  <c r="C74" i="76"/>
  <c r="D73" i="76"/>
  <c r="C73" i="76"/>
  <c r="D72" i="76"/>
  <c r="C72" i="76"/>
  <c r="D71" i="76"/>
  <c r="C71" i="76"/>
  <c r="G70" i="76"/>
  <c r="E70" i="76"/>
  <c r="B70" i="76"/>
  <c r="D70" i="76" s="1"/>
  <c r="G69" i="76"/>
  <c r="E69" i="76"/>
  <c r="B69" i="76"/>
  <c r="D69" i="76" s="1"/>
  <c r="G68" i="76"/>
  <c r="E68" i="76"/>
  <c r="B68" i="76"/>
  <c r="D68" i="76" s="1"/>
  <c r="G67" i="76"/>
  <c r="E67" i="76"/>
  <c r="B67" i="76"/>
  <c r="D67" i="76" s="1"/>
  <c r="G66" i="76"/>
  <c r="E66" i="76"/>
  <c r="B66" i="76"/>
  <c r="C66" i="76" s="1"/>
  <c r="G65" i="76"/>
  <c r="E65" i="76"/>
  <c r="B65" i="76"/>
  <c r="D65" i="76" s="1"/>
  <c r="G59" i="76"/>
  <c r="E59" i="76"/>
  <c r="B59" i="76"/>
  <c r="D59" i="76" s="1"/>
  <c r="G58" i="76"/>
  <c r="E58" i="76"/>
  <c r="B58" i="76"/>
  <c r="D58" i="76" s="1"/>
  <c r="G57" i="76"/>
  <c r="E57" i="76"/>
  <c r="B57" i="76"/>
  <c r="D57" i="76" s="1"/>
  <c r="G56" i="76"/>
  <c r="F56" i="76"/>
  <c r="E56" i="76"/>
  <c r="B56" i="76"/>
  <c r="D56" i="76" s="1"/>
  <c r="G55" i="76"/>
  <c r="E55" i="76"/>
  <c r="B55" i="76"/>
  <c r="D55" i="76" s="1"/>
  <c r="G52" i="76"/>
  <c r="E52" i="76"/>
  <c r="B52" i="76"/>
  <c r="D52" i="76" s="1"/>
  <c r="G51" i="76"/>
  <c r="E51" i="76"/>
  <c r="B51" i="76"/>
  <c r="C51" i="76" s="1"/>
  <c r="F50" i="76"/>
  <c r="E50" i="76"/>
  <c r="B50" i="76"/>
  <c r="D50" i="76" s="1"/>
  <c r="G49" i="76"/>
  <c r="E49" i="76"/>
  <c r="B49" i="76"/>
  <c r="D49" i="76" s="1"/>
  <c r="G48" i="76"/>
  <c r="E48" i="76"/>
  <c r="B48" i="76"/>
  <c r="D48" i="76" s="1"/>
  <c r="F47" i="76"/>
  <c r="E47" i="76"/>
  <c r="B47" i="76"/>
  <c r="D47" i="76" s="1"/>
  <c r="G46" i="76"/>
  <c r="E46" i="76"/>
  <c r="B46" i="76"/>
  <c r="D46" i="76" s="1"/>
  <c r="G45" i="76"/>
  <c r="E45" i="76"/>
  <c r="B45" i="76"/>
  <c r="D45" i="76" s="1"/>
  <c r="G44" i="76"/>
  <c r="E44" i="76"/>
  <c r="B44" i="76"/>
  <c r="D44" i="76" s="1"/>
  <c r="G43" i="76"/>
  <c r="E43" i="76"/>
  <c r="B43" i="76"/>
  <c r="C43" i="76" s="1"/>
  <c r="G42" i="76"/>
  <c r="E42" i="76"/>
  <c r="B42" i="76"/>
  <c r="D42" i="76" s="1"/>
  <c r="G41" i="76"/>
  <c r="E41" i="76"/>
  <c r="B41" i="76"/>
  <c r="D41" i="76" s="1"/>
  <c r="G40" i="76"/>
  <c r="E40" i="76"/>
  <c r="B40" i="76"/>
  <c r="D40" i="76" s="1"/>
  <c r="G39" i="76"/>
  <c r="E39" i="76"/>
  <c r="B39" i="76"/>
  <c r="D39" i="76" s="1"/>
  <c r="F32" i="76"/>
  <c r="E32" i="76"/>
  <c r="B32" i="76"/>
  <c r="D32" i="76" s="1"/>
  <c r="G31" i="76"/>
  <c r="E31" i="76"/>
  <c r="B31" i="76"/>
  <c r="D31" i="76" s="1"/>
  <c r="F30" i="76"/>
  <c r="E30" i="76"/>
  <c r="B30" i="76"/>
  <c r="D30" i="76" s="1"/>
  <c r="G29" i="76"/>
  <c r="E29" i="76"/>
  <c r="B29" i="76"/>
  <c r="C29" i="76" s="1"/>
  <c r="G28" i="76"/>
  <c r="E28" i="76"/>
  <c r="B28" i="76"/>
  <c r="D28" i="76" s="1"/>
  <c r="G27" i="76"/>
  <c r="E27" i="76"/>
  <c r="B27" i="76"/>
  <c r="D27" i="76" s="1"/>
  <c r="F26" i="76"/>
  <c r="E26" i="76"/>
  <c r="B26" i="76"/>
  <c r="D26" i="76" s="1"/>
  <c r="G25" i="76"/>
  <c r="E25" i="76"/>
  <c r="B25" i="76"/>
  <c r="D25" i="76" s="1"/>
  <c r="G24" i="76"/>
  <c r="E24" i="76"/>
  <c r="B24" i="76"/>
  <c r="D24" i="76" s="1"/>
  <c r="F23" i="76"/>
  <c r="E23" i="76"/>
  <c r="B23" i="76"/>
  <c r="D23" i="76" s="1"/>
  <c r="G22" i="76"/>
  <c r="E22" i="76"/>
  <c r="B22" i="76"/>
  <c r="D22" i="76" s="1"/>
  <c r="G21" i="76"/>
  <c r="E21" i="76"/>
  <c r="B21" i="76"/>
  <c r="C21" i="76" s="1"/>
  <c r="E17" i="76"/>
  <c r="B17" i="76"/>
  <c r="D17" i="76" s="1"/>
  <c r="E15" i="76"/>
  <c r="B15" i="76"/>
  <c r="D15" i="76" s="1"/>
  <c r="E14" i="76"/>
  <c r="B14" i="76"/>
  <c r="C14" i="76" s="1"/>
  <c r="E13" i="76"/>
  <c r="B13" i="76"/>
  <c r="E4" i="76"/>
  <c r="E73" i="76" s="1"/>
  <c r="D71" i="73"/>
  <c r="D70" i="73"/>
  <c r="D65" i="73"/>
  <c r="D63" i="73"/>
  <c r="D62" i="73"/>
  <c r="D61" i="73"/>
  <c r="D59" i="73"/>
  <c r="D58" i="73"/>
  <c r="D57" i="73"/>
  <c r="D56" i="73"/>
  <c r="D55" i="73"/>
  <c r="D54" i="73"/>
  <c r="D53" i="73"/>
  <c r="C71" i="73"/>
  <c r="C70" i="73"/>
  <c r="C63" i="73"/>
  <c r="C62" i="73"/>
  <c r="C61" i="73"/>
  <c r="C59" i="73"/>
  <c r="C58" i="73"/>
  <c r="C57" i="73"/>
  <c r="C56" i="73"/>
  <c r="C55" i="73"/>
  <c r="C54" i="73"/>
  <c r="C53" i="73"/>
  <c r="D2" i="75"/>
  <c r="D13" i="76" l="1"/>
  <c r="H2" i="76"/>
  <c r="O37" i="14"/>
  <c r="O16" i="75" s="1"/>
  <c r="N16" i="75"/>
  <c r="I56" i="76"/>
  <c r="C42" i="76"/>
  <c r="D29" i="76"/>
  <c r="C57" i="76"/>
  <c r="C28" i="76"/>
  <c r="D21" i="76"/>
  <c r="D66" i="76"/>
  <c r="C70" i="76"/>
  <c r="C39" i="76"/>
  <c r="D51" i="76"/>
  <c r="C65" i="76"/>
  <c r="C25" i="76"/>
  <c r="D43" i="76"/>
  <c r="C50" i="76"/>
  <c r="C47" i="76"/>
  <c r="D14" i="76"/>
  <c r="C17" i="76"/>
  <c r="C15" i="76"/>
  <c r="C27" i="76"/>
  <c r="C41" i="76"/>
  <c r="C49" i="76"/>
  <c r="C59" i="76"/>
  <c r="E77" i="76"/>
  <c r="C13" i="76"/>
  <c r="C26" i="76"/>
  <c r="C40" i="76"/>
  <c r="C48" i="76"/>
  <c r="C58" i="76"/>
  <c r="E74" i="76"/>
  <c r="C24" i="76"/>
  <c r="C32" i="76"/>
  <c r="C46" i="76"/>
  <c r="C56" i="76"/>
  <c r="C69" i="76"/>
  <c r="E72" i="76"/>
  <c r="E76" i="76"/>
  <c r="C23" i="76"/>
  <c r="C31" i="76"/>
  <c r="C45" i="76"/>
  <c r="C55" i="76"/>
  <c r="C68" i="76"/>
  <c r="C22" i="76"/>
  <c r="C30" i="76"/>
  <c r="C44" i="76"/>
  <c r="C52" i="76"/>
  <c r="C67" i="76"/>
  <c r="E78" i="76"/>
  <c r="E71" i="76"/>
  <c r="E75" i="76"/>
  <c r="E50" i="73" l="1"/>
  <c r="B50" i="73"/>
  <c r="F49" i="73"/>
  <c r="I49" i="73" s="1"/>
  <c r="E49" i="73"/>
  <c r="B49" i="73"/>
  <c r="F48" i="73"/>
  <c r="I48" i="73" s="1"/>
  <c r="E48" i="73"/>
  <c r="B48" i="73"/>
  <c r="E35" i="73"/>
  <c r="B35" i="73"/>
  <c r="F34" i="73"/>
  <c r="I34" i="73" s="1"/>
  <c r="E34" i="73"/>
  <c r="B34" i="73"/>
  <c r="E32" i="73"/>
  <c r="B32" i="73"/>
  <c r="E31" i="73"/>
  <c r="B31" i="73"/>
  <c r="E30" i="73"/>
  <c r="B30" i="73"/>
  <c r="E28" i="73"/>
  <c r="B28" i="73"/>
  <c r="E27" i="73"/>
  <c r="B27" i="73"/>
  <c r="E26" i="73"/>
  <c r="B26" i="73"/>
  <c r="E25" i="73"/>
  <c r="B25" i="73"/>
  <c r="E24" i="73"/>
  <c r="B24" i="73"/>
  <c r="E23" i="73"/>
  <c r="B23" i="73"/>
  <c r="E22" i="73"/>
  <c r="B22" i="73"/>
  <c r="E21" i="73"/>
  <c r="B21" i="73"/>
  <c r="E20" i="73"/>
  <c r="B20" i="73"/>
  <c r="E19" i="73"/>
  <c r="B19" i="73"/>
  <c r="E18" i="73"/>
  <c r="B18" i="73"/>
  <c r="E17" i="73"/>
  <c r="B17" i="73"/>
  <c r="E16" i="73"/>
  <c r="B16" i="73"/>
  <c r="E15" i="73"/>
  <c r="B15" i="73"/>
  <c r="E14" i="73"/>
  <c r="B14" i="73"/>
  <c r="E13" i="73"/>
  <c r="B13" i="73"/>
  <c r="E12" i="73"/>
  <c r="B12" i="73"/>
  <c r="E4" i="73"/>
  <c r="E69" i="73" l="1"/>
  <c r="E67" i="73"/>
  <c r="E68" i="73"/>
  <c r="E64" i="73"/>
  <c r="E66" i="73"/>
  <c r="E60" i="73"/>
  <c r="C18" i="73"/>
  <c r="D18" i="73"/>
  <c r="C26" i="73"/>
  <c r="D26" i="73"/>
  <c r="C50" i="73"/>
  <c r="D50" i="73"/>
  <c r="C13" i="73"/>
  <c r="D13" i="73"/>
  <c r="C21" i="73"/>
  <c r="D21" i="73"/>
  <c r="C35" i="73"/>
  <c r="D35" i="73"/>
  <c r="C16" i="73"/>
  <c r="D16" i="73"/>
  <c r="C24" i="73"/>
  <c r="D24" i="73"/>
  <c r="C32" i="73"/>
  <c r="D32" i="73"/>
  <c r="C48" i="73"/>
  <c r="D48" i="73"/>
  <c r="C19" i="73"/>
  <c r="D19" i="73"/>
  <c r="C27" i="73"/>
  <c r="D27" i="73"/>
  <c r="C15" i="73"/>
  <c r="D15" i="73"/>
  <c r="C14" i="73"/>
  <c r="D14" i="73"/>
  <c r="C22" i="73"/>
  <c r="D22" i="73"/>
  <c r="C30" i="73"/>
  <c r="D30" i="73"/>
  <c r="C23" i="73"/>
  <c r="D23" i="73"/>
  <c r="C31" i="73"/>
  <c r="D31" i="73"/>
  <c r="C17" i="73"/>
  <c r="D17" i="73"/>
  <c r="C25" i="73"/>
  <c r="D25" i="73"/>
  <c r="C49" i="73"/>
  <c r="D49" i="73"/>
  <c r="C12" i="73"/>
  <c r="D12" i="73"/>
  <c r="C20" i="73"/>
  <c r="D20" i="73"/>
  <c r="C28" i="73"/>
  <c r="D28" i="73"/>
  <c r="C34" i="73"/>
  <c r="D34" i="73"/>
  <c r="M9" i="73"/>
  <c r="E62" i="73"/>
  <c r="E53" i="73"/>
  <c r="E61" i="73"/>
  <c r="E70" i="73"/>
  <c r="E56" i="73"/>
  <c r="E54" i="73"/>
  <c r="E71" i="73"/>
  <c r="E59" i="73"/>
  <c r="E57" i="73"/>
  <c r="E65" i="73"/>
  <c r="E55" i="73"/>
  <c r="E63" i="73"/>
  <c r="E58" i="73"/>
  <c r="F100" i="50" l="1"/>
  <c r="F34" i="50"/>
  <c r="E108" i="58"/>
  <c r="C108" i="58"/>
  <c r="B108" i="58"/>
  <c r="C36" i="58"/>
  <c r="B36" i="58"/>
  <c r="Q42" i="14"/>
  <c r="Q38" i="75" s="1"/>
  <c r="AH27" i="32" l="1"/>
  <c r="AG27" i="32"/>
  <c r="AG26" i="32"/>
  <c r="AG25" i="32"/>
  <c r="AG24" i="32"/>
  <c r="AG23" i="32"/>
  <c r="AG22" i="32"/>
  <c r="AG21" i="32"/>
  <c r="AG20" i="32"/>
  <c r="AG19" i="32"/>
  <c r="AG18" i="32"/>
  <c r="AG17" i="32"/>
  <c r="AG16" i="32"/>
  <c r="AG15" i="32"/>
  <c r="AG14" i="32"/>
  <c r="AG13" i="32"/>
  <c r="AG12" i="32"/>
  <c r="I32" i="17"/>
  <c r="E32" i="17" s="1"/>
  <c r="B38" i="32"/>
  <c r="C38" i="32"/>
  <c r="D25" i="37"/>
  <c r="E52" i="40"/>
  <c r="D56" i="49" s="1"/>
  <c r="G56" i="49" s="1"/>
  <c r="H65" i="73" l="1"/>
  <c r="I65" i="73" s="1"/>
  <c r="F124" i="58"/>
  <c r="G124" i="58" s="1"/>
  <c r="N24" i="14"/>
  <c r="N13" i="75" s="1"/>
  <c r="F72" i="32"/>
  <c r="G72" i="32" s="1"/>
  <c r="G100" i="50"/>
  <c r="F70" i="76"/>
  <c r="I70" i="76" s="1"/>
  <c r="D108" i="58"/>
  <c r="G108" i="58" s="1"/>
  <c r="G34" i="50"/>
  <c r="F35" i="73"/>
  <c r="I35" i="73" s="1"/>
  <c r="D36" i="58"/>
  <c r="G36" i="58" s="1"/>
  <c r="D38" i="32"/>
  <c r="G38" i="32" s="1"/>
  <c r="Y72" i="32" l="1"/>
  <c r="Y84" i="32" s="1"/>
  <c r="K92" i="49"/>
  <c r="N92" i="49" s="1"/>
  <c r="M93" i="49"/>
  <c r="F139" i="58"/>
  <c r="N45" i="14"/>
  <c r="Y38" i="32"/>
  <c r="I20" i="14"/>
  <c r="Y82" i="32" l="1"/>
  <c r="Y83" i="32"/>
  <c r="N40" i="75"/>
  <c r="E15" i="37"/>
  <c r="Y85" i="32" l="1"/>
  <c r="Y87" i="32"/>
  <c r="Y86" i="32"/>
  <c r="F114" i="58"/>
  <c r="H58" i="73"/>
  <c r="N14" i="14"/>
  <c r="N24" i="75" s="1"/>
  <c r="D2" i="14"/>
  <c r="C2" i="37" l="1"/>
  <c r="K6" i="37" s="1"/>
  <c r="D2" i="80"/>
  <c r="D3" i="44"/>
  <c r="K18" i="63"/>
  <c r="E107" i="58"/>
  <c r="C107" i="58"/>
  <c r="B107" i="58"/>
  <c r="E106" i="58"/>
  <c r="C106" i="58"/>
  <c r="B106" i="58"/>
  <c r="E105" i="58"/>
  <c r="C105" i="58"/>
  <c r="B105" i="58"/>
  <c r="E104" i="58"/>
  <c r="C104" i="58"/>
  <c r="B104" i="58"/>
  <c r="E103" i="58"/>
  <c r="C103" i="58"/>
  <c r="B103" i="58"/>
  <c r="E97" i="58"/>
  <c r="C97" i="58"/>
  <c r="B97" i="58"/>
  <c r="E96" i="58"/>
  <c r="C96" i="58"/>
  <c r="B96" i="58"/>
  <c r="E95" i="58"/>
  <c r="C95" i="58"/>
  <c r="B95" i="58"/>
  <c r="E94" i="58"/>
  <c r="D94" i="58"/>
  <c r="C94" i="58"/>
  <c r="B94" i="58"/>
  <c r="E93" i="58"/>
  <c r="C93" i="58"/>
  <c r="B93" i="58"/>
  <c r="E91" i="58"/>
  <c r="C91" i="58"/>
  <c r="B91" i="58"/>
  <c r="E90" i="58"/>
  <c r="C90" i="58"/>
  <c r="B90" i="58"/>
  <c r="D89" i="58"/>
  <c r="C89" i="58"/>
  <c r="B89" i="58"/>
  <c r="E88" i="58"/>
  <c r="C88" i="58"/>
  <c r="B88" i="58"/>
  <c r="E87" i="58"/>
  <c r="C87" i="58"/>
  <c r="B87" i="58"/>
  <c r="D86" i="58"/>
  <c r="C86" i="58"/>
  <c r="B86" i="58"/>
  <c r="E85" i="58"/>
  <c r="C85" i="58"/>
  <c r="B85" i="58"/>
  <c r="E84" i="58"/>
  <c r="C84" i="58"/>
  <c r="B84" i="58"/>
  <c r="E83" i="58"/>
  <c r="C83" i="58"/>
  <c r="B83" i="58"/>
  <c r="E82" i="58"/>
  <c r="C82" i="58"/>
  <c r="B82" i="58"/>
  <c r="E81" i="58"/>
  <c r="C81" i="58"/>
  <c r="B81" i="58"/>
  <c r="E80" i="58"/>
  <c r="C80" i="58"/>
  <c r="B80" i="58"/>
  <c r="E79" i="58"/>
  <c r="C79" i="58"/>
  <c r="B79" i="58"/>
  <c r="E78" i="58"/>
  <c r="C78" i="58"/>
  <c r="B78" i="58"/>
  <c r="D71" i="58"/>
  <c r="C71" i="58"/>
  <c r="B71" i="58"/>
  <c r="E70" i="58"/>
  <c r="C70" i="58"/>
  <c r="B70" i="58"/>
  <c r="D69" i="58"/>
  <c r="C69" i="58"/>
  <c r="B69" i="58"/>
  <c r="E68" i="58"/>
  <c r="C68" i="58"/>
  <c r="B68" i="58"/>
  <c r="E67" i="58"/>
  <c r="C67" i="58"/>
  <c r="B67" i="58"/>
  <c r="E66" i="58"/>
  <c r="C66" i="58"/>
  <c r="B66" i="58"/>
  <c r="D65" i="58"/>
  <c r="C65" i="58"/>
  <c r="B65" i="58"/>
  <c r="E64" i="58"/>
  <c r="C64" i="58"/>
  <c r="B64" i="58"/>
  <c r="E63" i="58"/>
  <c r="C63" i="58"/>
  <c r="B63" i="58"/>
  <c r="D62" i="58"/>
  <c r="C62" i="58"/>
  <c r="B62" i="58"/>
  <c r="E61" i="58"/>
  <c r="C61" i="58"/>
  <c r="B61" i="58"/>
  <c r="E60" i="58"/>
  <c r="C60" i="58"/>
  <c r="B60" i="58"/>
  <c r="C57" i="58"/>
  <c r="B57" i="58"/>
  <c r="D56" i="58"/>
  <c r="C56" i="58"/>
  <c r="B56" i="58"/>
  <c r="D55" i="58"/>
  <c r="C55" i="58"/>
  <c r="B55" i="58"/>
  <c r="C34" i="58"/>
  <c r="B34" i="58"/>
  <c r="C33" i="58"/>
  <c r="B33" i="58"/>
  <c r="D32" i="58"/>
  <c r="C32" i="58"/>
  <c r="B32" i="58"/>
  <c r="C31" i="58"/>
  <c r="B31" i="58"/>
  <c r="C30" i="58"/>
  <c r="B30" i="58"/>
  <c r="C29" i="58"/>
  <c r="B29" i="58"/>
  <c r="C28" i="58"/>
  <c r="B28" i="58"/>
  <c r="C27" i="58"/>
  <c r="B27" i="58"/>
  <c r="C26" i="58"/>
  <c r="B26" i="58"/>
  <c r="C25" i="58"/>
  <c r="B25" i="58"/>
  <c r="C24" i="58"/>
  <c r="B24" i="58"/>
  <c r="C23" i="58"/>
  <c r="B23" i="58"/>
  <c r="C22" i="58"/>
  <c r="B22" i="58"/>
  <c r="C21" i="58"/>
  <c r="B21" i="58"/>
  <c r="C20" i="58"/>
  <c r="B20" i="58"/>
  <c r="C19" i="58"/>
  <c r="B19" i="58"/>
  <c r="C18" i="58"/>
  <c r="B18" i="58"/>
  <c r="C17" i="58"/>
  <c r="B17" i="58"/>
  <c r="C16" i="58"/>
  <c r="B16" i="58"/>
  <c r="C15" i="58"/>
  <c r="B15" i="58"/>
  <c r="C14" i="58"/>
  <c r="B14" i="58"/>
  <c r="C13" i="58"/>
  <c r="B13" i="58"/>
  <c r="C12" i="58"/>
  <c r="B12" i="58"/>
  <c r="C11" i="58"/>
  <c r="B11" i="58"/>
  <c r="C10" i="58"/>
  <c r="B10" i="58"/>
  <c r="C9" i="58"/>
  <c r="B9" i="58"/>
  <c r="C8" i="58"/>
  <c r="B8" i="58"/>
  <c r="C36" i="32"/>
  <c r="B36" i="32"/>
  <c r="C35" i="32"/>
  <c r="B35" i="32"/>
  <c r="D34" i="32"/>
  <c r="C34" i="32"/>
  <c r="B34" i="32"/>
  <c r="C33" i="32"/>
  <c r="B33" i="32"/>
  <c r="C32" i="32"/>
  <c r="B32" i="32"/>
  <c r="C31" i="32"/>
  <c r="B31" i="32"/>
  <c r="C30" i="32"/>
  <c r="B30" i="32"/>
  <c r="C29" i="32"/>
  <c r="B29" i="32"/>
  <c r="C28" i="32"/>
  <c r="B28" i="32"/>
  <c r="C27" i="32"/>
  <c r="B27" i="32"/>
  <c r="C26" i="32"/>
  <c r="B26" i="32"/>
  <c r="C25" i="32"/>
  <c r="B25" i="32"/>
  <c r="C24" i="32"/>
  <c r="B24" i="32"/>
  <c r="C23" i="32"/>
  <c r="B23" i="32"/>
  <c r="C22" i="32"/>
  <c r="B22" i="32"/>
  <c r="C21" i="32"/>
  <c r="B21" i="32"/>
  <c r="C20" i="32"/>
  <c r="B20" i="32"/>
  <c r="C19" i="32"/>
  <c r="B19" i="32"/>
  <c r="C18" i="32"/>
  <c r="B18" i="32"/>
  <c r="C17" i="32"/>
  <c r="B17" i="32"/>
  <c r="C16" i="32"/>
  <c r="B16" i="32"/>
  <c r="C15" i="32"/>
  <c r="B15" i="32"/>
  <c r="C14" i="32"/>
  <c r="B14" i="32"/>
  <c r="C13" i="32"/>
  <c r="B13" i="32"/>
  <c r="C12" i="32"/>
  <c r="B12" i="32"/>
  <c r="C11" i="32"/>
  <c r="B11" i="32"/>
  <c r="C10" i="32"/>
  <c r="B10" i="32"/>
  <c r="E7" i="37" l="1"/>
  <c r="G7" i="37"/>
  <c r="I2" i="58"/>
  <c r="N5" i="63"/>
  <c r="J28" i="63" l="1"/>
  <c r="K28" i="63"/>
  <c r="I28" i="63"/>
  <c r="H28" i="63"/>
  <c r="G28" i="63"/>
  <c r="F10" i="44" l="1"/>
  <c r="I10" i="14" l="1"/>
  <c r="G94" i="58" l="1"/>
  <c r="G56" i="58"/>
  <c r="G55" i="58"/>
  <c r="G32" i="58"/>
  <c r="C4" i="58"/>
  <c r="D15" i="51"/>
  <c r="D12" i="51"/>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G34" i="32"/>
  <c r="F71" i="32"/>
  <c r="G71" i="32" s="1"/>
  <c r="F63" i="32"/>
  <c r="G63" i="32" s="1"/>
  <c r="F60" i="32"/>
  <c r="G60" i="32" s="1"/>
  <c r="F58" i="32"/>
  <c r="G58" i="32" s="1"/>
  <c r="H34" i="32"/>
  <c r="G10" i="52"/>
  <c r="G9" i="52"/>
  <c r="S12" i="52"/>
  <c r="G12" i="51" s="1"/>
  <c r="T10" i="52"/>
  <c r="T9" i="52"/>
  <c r="R10" i="52"/>
  <c r="Q10" i="52" s="1"/>
  <c r="R9" i="52"/>
  <c r="Q9" i="52" s="1"/>
  <c r="J34" i="52"/>
  <c r="J33" i="52"/>
  <c r="J32" i="52"/>
  <c r="N29" i="52"/>
  <c r="N28" i="52"/>
  <c r="N20" i="52"/>
  <c r="N19" i="52"/>
  <c r="N9" i="52"/>
  <c r="J25" i="52"/>
  <c r="J24" i="52"/>
  <c r="J23" i="52"/>
  <c r="J15" i="52"/>
  <c r="E55" i="17"/>
  <c r="M34" i="49"/>
  <c r="M96" i="49"/>
  <c r="M22" i="49"/>
  <c r="N19" i="49"/>
  <c r="N10" i="49"/>
  <c r="G42" i="49"/>
  <c r="H41" i="40"/>
  <c r="E41" i="40" s="1"/>
  <c r="D45" i="49" s="1"/>
  <c r="H40" i="40"/>
  <c r="E40" i="40" s="1"/>
  <c r="D44" i="49" s="1"/>
  <c r="H39" i="40"/>
  <c r="E39" i="40" s="1"/>
  <c r="C132" i="58" l="1"/>
  <c r="C133" i="58"/>
  <c r="L26" i="50"/>
  <c r="R26" i="50"/>
  <c r="Q26" i="50"/>
  <c r="K26" i="50"/>
  <c r="S26" i="50"/>
  <c r="M26" i="50"/>
  <c r="C127" i="58"/>
  <c r="C128" i="58"/>
  <c r="S25" i="50"/>
  <c r="M25" i="50"/>
  <c r="R25" i="50"/>
  <c r="L25" i="50"/>
  <c r="Q25" i="50"/>
  <c r="K25" i="50"/>
  <c r="G45" i="49"/>
  <c r="K13" i="49"/>
  <c r="N13" i="49" s="1"/>
  <c r="K12" i="49"/>
  <c r="N12" i="49" s="1"/>
  <c r="G44" i="49"/>
  <c r="C129" i="58"/>
  <c r="C126" i="58"/>
  <c r="M24" i="50"/>
  <c r="S24" i="50"/>
  <c r="R24" i="50"/>
  <c r="L24" i="50"/>
  <c r="Q24" i="50"/>
  <c r="K24" i="50"/>
  <c r="K23" i="50"/>
  <c r="Q23" i="50"/>
  <c r="R23" i="50"/>
  <c r="L23" i="50"/>
  <c r="S23" i="50"/>
  <c r="M23" i="50"/>
  <c r="G92" i="50"/>
  <c r="M21" i="50" s="1"/>
  <c r="F59" i="76"/>
  <c r="I59" i="76" s="1"/>
  <c r="D43" i="49"/>
  <c r="K11" i="49" s="1"/>
  <c r="N11" i="49" s="1"/>
  <c r="G90" i="50"/>
  <c r="F57" i="76"/>
  <c r="I57" i="76" s="1"/>
  <c r="G91" i="50"/>
  <c r="F58" i="76"/>
  <c r="I58" i="76" s="1"/>
  <c r="D11" i="52"/>
  <c r="G53" i="50"/>
  <c r="F50" i="73"/>
  <c r="D57" i="58"/>
  <c r="G57" i="58" s="1"/>
  <c r="L13" i="50"/>
  <c r="R22" i="50"/>
  <c r="L22" i="50"/>
  <c r="S22" i="50"/>
  <c r="M22" i="50"/>
  <c r="Q22" i="50"/>
  <c r="K22" i="50"/>
  <c r="M10" i="50"/>
  <c r="M8" i="50"/>
  <c r="M7" i="50"/>
  <c r="Q14" i="50"/>
  <c r="C125" i="58"/>
  <c r="C124" i="58"/>
  <c r="D97" i="58"/>
  <c r="G97" i="58" s="1"/>
  <c r="D95" i="58"/>
  <c r="G95" i="58" s="1"/>
  <c r="D96" i="58"/>
  <c r="G96" i="58" s="1"/>
  <c r="S13" i="50"/>
  <c r="Q15" i="50"/>
  <c r="R14" i="50"/>
  <c r="L21" i="50"/>
  <c r="R21" i="50"/>
  <c r="R13" i="50"/>
  <c r="C116" i="58"/>
  <c r="C138" i="58"/>
  <c r="C109" i="58"/>
  <c r="C123" i="58"/>
  <c r="C115" i="58"/>
  <c r="C137" i="58"/>
  <c r="C122" i="58"/>
  <c r="C114" i="58"/>
  <c r="C136" i="58"/>
  <c r="C121" i="58"/>
  <c r="C113" i="58"/>
  <c r="C135" i="58"/>
  <c r="C120" i="58"/>
  <c r="C112" i="58"/>
  <c r="C119" i="58"/>
  <c r="C111" i="58"/>
  <c r="C131" i="58"/>
  <c r="C118" i="58"/>
  <c r="C110" i="58"/>
  <c r="C130" i="58"/>
  <c r="C117" i="58"/>
  <c r="C139" i="58"/>
  <c r="S12" i="50"/>
  <c r="L14" i="50"/>
  <c r="Q21" i="50"/>
  <c r="Q13" i="50"/>
  <c r="R20" i="50"/>
  <c r="R12" i="50"/>
  <c r="S19" i="50"/>
  <c r="S11" i="50"/>
  <c r="Q7" i="50"/>
  <c r="L7" i="50"/>
  <c r="L15" i="50"/>
  <c r="Q20" i="50"/>
  <c r="Q12" i="50"/>
  <c r="R19" i="50"/>
  <c r="R11" i="50"/>
  <c r="S10" i="50"/>
  <c r="K15" i="50"/>
  <c r="L8" i="50"/>
  <c r="L16" i="50"/>
  <c r="Q19" i="50"/>
  <c r="Q11" i="50"/>
  <c r="R18" i="50"/>
  <c r="R10" i="50"/>
  <c r="S9" i="50"/>
  <c r="L9" i="50"/>
  <c r="L17" i="50"/>
  <c r="Q18" i="50"/>
  <c r="Q10" i="50"/>
  <c r="R17" i="50"/>
  <c r="R9" i="50"/>
  <c r="S16" i="50"/>
  <c r="S8" i="50"/>
  <c r="K17" i="50"/>
  <c r="L10" i="50"/>
  <c r="L18" i="50"/>
  <c r="Q17" i="50"/>
  <c r="Q9" i="50"/>
  <c r="R16" i="50"/>
  <c r="R8" i="50"/>
  <c r="K10" i="50"/>
  <c r="L11" i="50"/>
  <c r="L19" i="50"/>
  <c r="Q16" i="50"/>
  <c r="Q8" i="50"/>
  <c r="R15" i="50"/>
  <c r="S7" i="50"/>
  <c r="L12" i="50"/>
  <c r="L20" i="50"/>
  <c r="R7" i="50"/>
  <c r="S21" i="50"/>
  <c r="D18" i="51"/>
  <c r="Y9" i="52"/>
  <c r="Y10" i="52"/>
  <c r="T12" i="52"/>
  <c r="Q27" i="50" l="1"/>
  <c r="L27" i="50"/>
  <c r="R27" i="50"/>
  <c r="G43" i="49"/>
  <c r="I50" i="73"/>
  <c r="R11" i="52"/>
  <c r="G11" i="52"/>
  <c r="H12" i="51"/>
  <c r="Q11" i="52" l="1"/>
  <c r="Q12" i="52" s="1"/>
  <c r="Y11" i="52"/>
  <c r="R12" i="52"/>
  <c r="Q18" i="52"/>
  <c r="N81" i="49"/>
  <c r="Y12" i="52" l="1"/>
  <c r="F12" i="51"/>
  <c r="E12" i="51"/>
  <c r="J42" i="14"/>
  <c r="E37" i="40"/>
  <c r="J34" i="75"/>
  <c r="J14" i="75"/>
  <c r="J19" i="75"/>
  <c r="J17" i="75"/>
  <c r="J22" i="75"/>
  <c r="J21" i="75"/>
  <c r="J26" i="75"/>
  <c r="E15" i="44"/>
  <c r="K38" i="75" l="1"/>
  <c r="Q10" i="49"/>
  <c r="I18" i="14"/>
  <c r="J20" i="75" s="1"/>
  <c r="J33" i="75"/>
  <c r="D41" i="49"/>
  <c r="G88" i="50"/>
  <c r="F55" i="76"/>
  <c r="I55" i="76" s="1"/>
  <c r="M12" i="51"/>
  <c r="D93" i="58"/>
  <c r="G93" i="58" s="1"/>
  <c r="K9" i="49" l="1"/>
  <c r="G41" i="49"/>
  <c r="J24" i="49" l="1"/>
  <c r="J23" i="49"/>
  <c r="J22" i="49"/>
  <c r="N9" i="49"/>
  <c r="F19" i="44" l="1"/>
  <c r="I19" i="14" l="1"/>
  <c r="J18" i="75" s="1"/>
  <c r="F22" i="44"/>
  <c r="I22" i="14" l="1"/>
  <c r="F13" i="44"/>
  <c r="J35" i="75" l="1"/>
  <c r="I13" i="14"/>
  <c r="J23" i="75" s="1"/>
  <c r="F11" i="44"/>
  <c r="F14" i="44"/>
  <c r="F9" i="44"/>
  <c r="I9" i="14" l="1"/>
  <c r="J28" i="75" s="1"/>
  <c r="I14" i="14"/>
  <c r="J24" i="75" s="1"/>
  <c r="I11" i="14"/>
  <c r="J25" i="75" s="1"/>
  <c r="K36" i="14"/>
  <c r="O36" i="14" l="1"/>
  <c r="L15" i="75"/>
  <c r="E12" i="37"/>
  <c r="F111" i="58" s="1"/>
  <c r="O15" i="75" l="1"/>
  <c r="N15" i="75"/>
  <c r="H55" i="73"/>
  <c r="N11" i="14"/>
  <c r="N25" i="75" s="1"/>
  <c r="F59" i="32"/>
  <c r="G59" i="32" s="1"/>
  <c r="E32" i="40"/>
  <c r="E10" i="40"/>
  <c r="E51" i="40"/>
  <c r="D55" i="49" s="1"/>
  <c r="G55" i="49" s="1"/>
  <c r="E50" i="40"/>
  <c r="D54" i="49" s="1"/>
  <c r="G54" i="49" s="1"/>
  <c r="E49" i="40"/>
  <c r="D53" i="49" s="1"/>
  <c r="G53" i="49" s="1"/>
  <c r="E48" i="40"/>
  <c r="D52" i="49" s="1"/>
  <c r="G52" i="49" s="1"/>
  <c r="E35" i="40"/>
  <c r="E34" i="40"/>
  <c r="F33" i="40"/>
  <c r="E31" i="40"/>
  <c r="F30" i="40"/>
  <c r="M43" i="14" s="1"/>
  <c r="M36" i="75" s="1"/>
  <c r="E29" i="40"/>
  <c r="E28" i="40"/>
  <c r="E27" i="40"/>
  <c r="E26" i="40"/>
  <c r="E25" i="40"/>
  <c r="E24" i="40"/>
  <c r="E23" i="40"/>
  <c r="E22" i="40"/>
  <c r="F15" i="40"/>
  <c r="E14" i="40"/>
  <c r="F13" i="40"/>
  <c r="E12" i="40"/>
  <c r="E11" i="40"/>
  <c r="F9" i="40"/>
  <c r="E8" i="40"/>
  <c r="E7" i="40"/>
  <c r="F6" i="40"/>
  <c r="M44" i="14" s="1"/>
  <c r="M39" i="75" s="1"/>
  <c r="E5" i="40"/>
  <c r="E4" i="40"/>
  <c r="H58" i="50" l="1"/>
  <c r="E10" i="49"/>
  <c r="G23" i="76"/>
  <c r="D14" i="49"/>
  <c r="G62" i="50"/>
  <c r="F27" i="76"/>
  <c r="I27" i="76" s="1"/>
  <c r="D26" i="49"/>
  <c r="G74" i="50"/>
  <c r="M9" i="50" s="1"/>
  <c r="F39" i="76"/>
  <c r="I39" i="76" s="1"/>
  <c r="H82" i="50"/>
  <c r="S14" i="50" s="1"/>
  <c r="E34" i="49"/>
  <c r="G47" i="76"/>
  <c r="I47" i="76" s="1"/>
  <c r="D12" i="49"/>
  <c r="G60" i="50"/>
  <c r="F25" i="76"/>
  <c r="I25" i="76" s="1"/>
  <c r="D27" i="49"/>
  <c r="G75" i="50"/>
  <c r="F40" i="76"/>
  <c r="I40" i="76" s="1"/>
  <c r="H61" i="50"/>
  <c r="E13" i="49"/>
  <c r="G26" i="76"/>
  <c r="I26" i="76" s="1"/>
  <c r="D28" i="49"/>
  <c r="G76" i="50"/>
  <c r="M11" i="50" s="1"/>
  <c r="F41" i="76"/>
  <c r="I41" i="76" s="1"/>
  <c r="E37" i="49"/>
  <c r="H85" i="50"/>
  <c r="S17" i="50" s="1"/>
  <c r="G50" i="76"/>
  <c r="I50" i="76" s="1"/>
  <c r="D36" i="49"/>
  <c r="G84" i="50"/>
  <c r="M17" i="50" s="1"/>
  <c r="F49" i="76"/>
  <c r="I49" i="76" s="1"/>
  <c r="D11" i="49"/>
  <c r="G59" i="50"/>
  <c r="F24" i="76"/>
  <c r="I24" i="76" s="1"/>
  <c r="G99" i="50"/>
  <c r="F69" i="76"/>
  <c r="I69" i="76" s="1"/>
  <c r="D35" i="49"/>
  <c r="G83" i="50"/>
  <c r="M16" i="50" s="1"/>
  <c r="F48" i="76"/>
  <c r="I48" i="76" s="1"/>
  <c r="D15" i="49"/>
  <c r="G63" i="50"/>
  <c r="F28" i="76"/>
  <c r="I28" i="76" s="1"/>
  <c r="D29" i="49"/>
  <c r="G77" i="50"/>
  <c r="F42" i="76"/>
  <c r="I42" i="76" s="1"/>
  <c r="D38" i="49"/>
  <c r="G86" i="50"/>
  <c r="F51" i="76"/>
  <c r="I51" i="76" s="1"/>
  <c r="D16" i="49"/>
  <c r="G64" i="50"/>
  <c r="F29" i="76"/>
  <c r="I29" i="76" s="1"/>
  <c r="D39" i="49"/>
  <c r="G87" i="50"/>
  <c r="F52" i="76"/>
  <c r="I52" i="76" s="1"/>
  <c r="D8" i="49"/>
  <c r="G56" i="50"/>
  <c r="F21" i="76"/>
  <c r="I21" i="76" s="1"/>
  <c r="D31" i="49"/>
  <c r="G79" i="50"/>
  <c r="F44" i="76"/>
  <c r="I44" i="76" s="1"/>
  <c r="G96" i="50"/>
  <c r="F66" i="76"/>
  <c r="I66" i="76" s="1"/>
  <c r="D30" i="49"/>
  <c r="G78" i="50"/>
  <c r="F43" i="76"/>
  <c r="I43" i="76" s="1"/>
  <c r="E17" i="49"/>
  <c r="H65" i="50"/>
  <c r="S18" i="50" s="1"/>
  <c r="G30" i="76"/>
  <c r="I30" i="76" s="1"/>
  <c r="D9" i="49"/>
  <c r="G57" i="50"/>
  <c r="F22" i="76"/>
  <c r="I22" i="76" s="1"/>
  <c r="D18" i="49"/>
  <c r="G66" i="50"/>
  <c r="F31" i="76"/>
  <c r="I31" i="76" s="1"/>
  <c r="D32" i="49"/>
  <c r="G80" i="50"/>
  <c r="F45" i="76"/>
  <c r="I45" i="76" s="1"/>
  <c r="G97" i="50"/>
  <c r="M19" i="50" s="1"/>
  <c r="F67" i="76"/>
  <c r="I67" i="76" s="1"/>
  <c r="E19" i="49"/>
  <c r="H67" i="50"/>
  <c r="S20" i="50" s="1"/>
  <c r="G32" i="76"/>
  <c r="I32" i="76" s="1"/>
  <c r="D33" i="49"/>
  <c r="G81" i="50"/>
  <c r="F46" i="76"/>
  <c r="I46" i="76" s="1"/>
  <c r="G98" i="50"/>
  <c r="F68" i="76"/>
  <c r="I68" i="76" s="1"/>
  <c r="D64" i="58"/>
  <c r="G64" i="58" s="1"/>
  <c r="D81" i="58"/>
  <c r="G81" i="58" s="1"/>
  <c r="D91" i="58"/>
  <c r="G91" i="58" s="1"/>
  <c r="D87" i="58"/>
  <c r="G87" i="58" s="1"/>
  <c r="D88" i="58"/>
  <c r="G88" i="58" s="1"/>
  <c r="D82" i="58"/>
  <c r="G82" i="58" s="1"/>
  <c r="E69" i="58"/>
  <c r="G69" i="58" s="1"/>
  <c r="D83" i="58"/>
  <c r="G83" i="58" s="1"/>
  <c r="D104" i="58"/>
  <c r="G104" i="58" s="1"/>
  <c r="D80" i="58"/>
  <c r="G80" i="58" s="1"/>
  <c r="D67" i="58"/>
  <c r="G67" i="58" s="1"/>
  <c r="D61" i="58"/>
  <c r="G61" i="58" s="1"/>
  <c r="D105" i="58"/>
  <c r="G105" i="58" s="1"/>
  <c r="D79" i="58"/>
  <c r="G79" i="58" s="1"/>
  <c r="E65" i="58"/>
  <c r="G65" i="58" s="1"/>
  <c r="D90" i="58"/>
  <c r="G90" i="58" s="1"/>
  <c r="D60" i="58"/>
  <c r="D84" i="58"/>
  <c r="G84" i="58" s="1"/>
  <c r="E62" i="58"/>
  <c r="E71" i="58"/>
  <c r="G71" i="58" s="1"/>
  <c r="D85" i="58"/>
  <c r="G85" i="58" s="1"/>
  <c r="D106" i="58"/>
  <c r="G106" i="58" s="1"/>
  <c r="D66" i="58"/>
  <c r="G66" i="58" s="1"/>
  <c r="E89" i="58"/>
  <c r="G89" i="58" s="1"/>
  <c r="D68" i="58"/>
  <c r="G68" i="58" s="1"/>
  <c r="D70" i="58"/>
  <c r="G70" i="58" s="1"/>
  <c r="D63" i="58"/>
  <c r="G63" i="58" s="1"/>
  <c r="D78" i="58"/>
  <c r="G78" i="58" s="1"/>
  <c r="E86" i="58"/>
  <c r="G86" i="58" s="1"/>
  <c r="D107" i="58"/>
  <c r="G107" i="58" s="1"/>
  <c r="M34" i="32"/>
  <c r="X71" i="32"/>
  <c r="P63" i="32"/>
  <c r="P84" i="32" s="1"/>
  <c r="L59" i="32"/>
  <c r="L84" i="32" s="1"/>
  <c r="K58" i="32"/>
  <c r="K84" i="32" s="1"/>
  <c r="M20" i="50" l="1"/>
  <c r="M12" i="50"/>
  <c r="S15" i="50"/>
  <c r="S27" i="50" s="1"/>
  <c r="M14" i="50"/>
  <c r="L74" i="49"/>
  <c r="N74" i="49" s="1"/>
  <c r="G19" i="49"/>
  <c r="M15" i="50"/>
  <c r="K63" i="49"/>
  <c r="G8" i="49"/>
  <c r="K66" i="49"/>
  <c r="N66" i="49" s="1"/>
  <c r="G11" i="49"/>
  <c r="K39" i="49"/>
  <c r="G26" i="49"/>
  <c r="K89" i="49"/>
  <c r="N89" i="49" s="1"/>
  <c r="K64" i="49"/>
  <c r="N64" i="49" s="1"/>
  <c r="G9" i="49"/>
  <c r="K51" i="49"/>
  <c r="N51" i="49" s="1"/>
  <c r="G38" i="49"/>
  <c r="K41" i="49"/>
  <c r="N41" i="49" s="1"/>
  <c r="G28" i="49"/>
  <c r="K70" i="49"/>
  <c r="N70" i="49" s="1"/>
  <c r="G15" i="49"/>
  <c r="K88" i="49"/>
  <c r="K48" i="49"/>
  <c r="N48" i="49" s="1"/>
  <c r="G35" i="49"/>
  <c r="K67" i="49"/>
  <c r="N67" i="49" s="1"/>
  <c r="G12" i="49"/>
  <c r="M18" i="50"/>
  <c r="K46" i="49"/>
  <c r="N46" i="49" s="1"/>
  <c r="G33" i="49"/>
  <c r="K45" i="49"/>
  <c r="N45" i="49" s="1"/>
  <c r="G32" i="49"/>
  <c r="K52" i="49"/>
  <c r="N52" i="49" s="1"/>
  <c r="G39" i="49"/>
  <c r="K49" i="49"/>
  <c r="N49" i="49" s="1"/>
  <c r="G36" i="49"/>
  <c r="L68" i="49"/>
  <c r="N68" i="49" s="1"/>
  <c r="G13" i="49"/>
  <c r="K69" i="49"/>
  <c r="N69" i="49" s="1"/>
  <c r="G14" i="49"/>
  <c r="K90" i="49"/>
  <c r="N90" i="49" s="1"/>
  <c r="K43" i="49"/>
  <c r="N43" i="49" s="1"/>
  <c r="G30" i="49"/>
  <c r="K40" i="49"/>
  <c r="N40" i="49" s="1"/>
  <c r="G27" i="49"/>
  <c r="L72" i="49"/>
  <c r="N72" i="49" s="1"/>
  <c r="G17" i="49"/>
  <c r="K42" i="49"/>
  <c r="N42" i="49" s="1"/>
  <c r="G29" i="49"/>
  <c r="L47" i="49"/>
  <c r="G34" i="49"/>
  <c r="I23" i="76"/>
  <c r="M9" i="76"/>
  <c r="L14" i="76"/>
  <c r="K44" i="49"/>
  <c r="N44" i="49" s="1"/>
  <c r="G31" i="49"/>
  <c r="K91" i="49"/>
  <c r="N91" i="49" s="1"/>
  <c r="L65" i="49"/>
  <c r="G10" i="49"/>
  <c r="K73" i="49"/>
  <c r="N73" i="49" s="1"/>
  <c r="G18" i="49"/>
  <c r="K71" i="49"/>
  <c r="N71" i="49" s="1"/>
  <c r="G16" i="49"/>
  <c r="L50" i="49"/>
  <c r="N50" i="49" s="1"/>
  <c r="G37" i="49"/>
  <c r="G62" i="58"/>
  <c r="L9" i="58"/>
  <c r="G60" i="58"/>
  <c r="M84" i="49" l="1"/>
  <c r="M58" i="49"/>
  <c r="J59" i="49"/>
  <c r="N39" i="49"/>
  <c r="J86" i="49"/>
  <c r="J84" i="49"/>
  <c r="N65" i="49"/>
  <c r="J98" i="49"/>
  <c r="N88" i="49"/>
  <c r="J85" i="49"/>
  <c r="N63" i="49"/>
  <c r="J60" i="49"/>
  <c r="J58" i="49"/>
  <c r="N47" i="49"/>
  <c r="E25" i="17"/>
  <c r="E24" i="17"/>
  <c r="E20" i="37" s="1"/>
  <c r="E17" i="17"/>
  <c r="E16" i="17"/>
  <c r="I30" i="17"/>
  <c r="E30" i="17" s="1"/>
  <c r="G32" i="50" s="1"/>
  <c r="K21" i="50" s="1"/>
  <c r="I29" i="17"/>
  <c r="E29" i="17" s="1"/>
  <c r="I27" i="17"/>
  <c r="E27" i="17" s="1"/>
  <c r="I26" i="17"/>
  <c r="E26" i="17" s="1"/>
  <c r="I23" i="17"/>
  <c r="E23" i="17" s="1"/>
  <c r="E19" i="37" s="1"/>
  <c r="I22" i="17"/>
  <c r="E22" i="17" s="1"/>
  <c r="I21" i="17"/>
  <c r="E21" i="17" s="1"/>
  <c r="I20" i="17"/>
  <c r="E20" i="17" s="1"/>
  <c r="I14" i="17"/>
  <c r="E14" i="17" s="1"/>
  <c r="I13" i="17"/>
  <c r="E13" i="17" s="1"/>
  <c r="I12" i="17"/>
  <c r="E12" i="17" s="1"/>
  <c r="I11" i="17"/>
  <c r="E11" i="17" s="1"/>
  <c r="E15" i="17"/>
  <c r="I10" i="17"/>
  <c r="E10" i="17" s="1"/>
  <c r="I8" i="17"/>
  <c r="E8" i="17" s="1"/>
  <c r="I7" i="17"/>
  <c r="E7" i="17" s="1"/>
  <c r="I6" i="17"/>
  <c r="E6" i="17" s="1"/>
  <c r="I5" i="17"/>
  <c r="E5" i="17" s="1"/>
  <c r="I4" i="17"/>
  <c r="E4" i="17" s="1"/>
  <c r="G10" i="50" l="1"/>
  <c r="F16" i="73"/>
  <c r="I16" i="73" s="1"/>
  <c r="D12" i="58"/>
  <c r="G12" i="58" s="1"/>
  <c r="D14" i="32"/>
  <c r="G23" i="50"/>
  <c r="F29" i="73"/>
  <c r="I29" i="73" s="1"/>
  <c r="D25" i="58"/>
  <c r="G25" i="58" s="1"/>
  <c r="D27" i="32"/>
  <c r="G19" i="50"/>
  <c r="F25" i="73"/>
  <c r="I25" i="73" s="1"/>
  <c r="D21" i="58"/>
  <c r="G21" i="58" s="1"/>
  <c r="D23" i="32"/>
  <c r="E18" i="37"/>
  <c r="F117" i="58" s="1"/>
  <c r="G24" i="50"/>
  <c r="F30" i="73"/>
  <c r="I30" i="73" s="1"/>
  <c r="D26" i="58"/>
  <c r="G26" i="58" s="1"/>
  <c r="D28" i="32"/>
  <c r="G26" i="50"/>
  <c r="F32" i="73"/>
  <c r="I32" i="73" s="1"/>
  <c r="D28" i="58"/>
  <c r="G28" i="58" s="1"/>
  <c r="D30" i="32"/>
  <c r="F118" i="58"/>
  <c r="G25" i="50"/>
  <c r="F31" i="73"/>
  <c r="I31" i="73" s="1"/>
  <c r="D27" i="58"/>
  <c r="G27" i="58" s="1"/>
  <c r="D29" i="32"/>
  <c r="G27" i="50"/>
  <c r="F33" i="73"/>
  <c r="I33" i="73" s="1"/>
  <c r="D29" i="58"/>
  <c r="G29" i="58" s="1"/>
  <c r="D31" i="32"/>
  <c r="H31" i="32" s="1"/>
  <c r="G17" i="50"/>
  <c r="F23" i="73"/>
  <c r="I23" i="73" s="1"/>
  <c r="D19" i="58"/>
  <c r="G19" i="58" s="1"/>
  <c r="D21" i="32"/>
  <c r="G6" i="50"/>
  <c r="F12" i="73"/>
  <c r="D8" i="58"/>
  <c r="G8" i="58" s="1"/>
  <c r="D10" i="32"/>
  <c r="G14" i="50"/>
  <c r="F20" i="73"/>
  <c r="I20" i="73" s="1"/>
  <c r="D16" i="58"/>
  <c r="G16" i="58" s="1"/>
  <c r="D18" i="32"/>
  <c r="G29" i="50"/>
  <c r="F14" i="76"/>
  <c r="I14" i="76" s="1"/>
  <c r="D31" i="58"/>
  <c r="G31" i="58" s="1"/>
  <c r="D33" i="32"/>
  <c r="G28" i="50"/>
  <c r="F13" i="76"/>
  <c r="I13" i="76" s="1"/>
  <c r="D30" i="58"/>
  <c r="G30" i="58" s="1"/>
  <c r="D32" i="32"/>
  <c r="G7" i="50"/>
  <c r="F13" i="73"/>
  <c r="I13" i="73" s="1"/>
  <c r="D9" i="58"/>
  <c r="G9" i="58" s="1"/>
  <c r="D11" i="32"/>
  <c r="G15" i="50"/>
  <c r="F21" i="73"/>
  <c r="I21" i="73" s="1"/>
  <c r="D17" i="58"/>
  <c r="G17" i="58" s="1"/>
  <c r="D19" i="32"/>
  <c r="G31" i="50"/>
  <c r="F15" i="76"/>
  <c r="I15" i="76" s="1"/>
  <c r="D33" i="58"/>
  <c r="G33" i="58" s="1"/>
  <c r="D35" i="32"/>
  <c r="G12" i="50"/>
  <c r="F18" i="73"/>
  <c r="I18" i="73" s="1"/>
  <c r="D14" i="58"/>
  <c r="G14" i="58" s="1"/>
  <c r="D16" i="32"/>
  <c r="G13" i="50"/>
  <c r="F19" i="73"/>
  <c r="I19" i="73" s="1"/>
  <c r="D15" i="58"/>
  <c r="G15" i="58" s="1"/>
  <c r="D17" i="32"/>
  <c r="G8" i="50"/>
  <c r="F14" i="73"/>
  <c r="I14" i="73" s="1"/>
  <c r="D12" i="32"/>
  <c r="D10" i="58"/>
  <c r="G10" i="58" s="1"/>
  <c r="G16" i="50"/>
  <c r="K13" i="50" s="1"/>
  <c r="F22" i="73"/>
  <c r="I22" i="73" s="1"/>
  <c r="D20" i="32"/>
  <c r="D18" i="58"/>
  <c r="G18" i="58" s="1"/>
  <c r="G9" i="50"/>
  <c r="F15" i="73"/>
  <c r="I15" i="73" s="1"/>
  <c r="D11" i="58"/>
  <c r="G11" i="58" s="1"/>
  <c r="D13" i="32"/>
  <c r="G22" i="50"/>
  <c r="K14" i="50" s="1"/>
  <c r="F28" i="73"/>
  <c r="I28" i="73" s="1"/>
  <c r="D24" i="58"/>
  <c r="G24" i="58" s="1"/>
  <c r="D26" i="32"/>
  <c r="G18" i="50"/>
  <c r="F24" i="73"/>
  <c r="I24" i="73" s="1"/>
  <c r="D20" i="58"/>
  <c r="G20" i="58" s="1"/>
  <c r="D22" i="32"/>
  <c r="F17" i="76"/>
  <c r="D36" i="32"/>
  <c r="D34" i="58"/>
  <c r="E22" i="37"/>
  <c r="F121" i="58" s="1"/>
  <c r="F119" i="58"/>
  <c r="D24" i="37"/>
  <c r="E23" i="37"/>
  <c r="D23" i="37"/>
  <c r="D22" i="37"/>
  <c r="D21" i="37"/>
  <c r="D20" i="37"/>
  <c r="D19" i="37"/>
  <c r="D18" i="37"/>
  <c r="G17" i="37"/>
  <c r="D17" i="37"/>
  <c r="D16" i="37"/>
  <c r="D15" i="37"/>
  <c r="E14" i="37"/>
  <c r="F113" i="58" s="1"/>
  <c r="D14" i="37"/>
  <c r="D13" i="37"/>
  <c r="D12" i="37"/>
  <c r="D11" i="37"/>
  <c r="E10" i="37"/>
  <c r="D10" i="37"/>
  <c r="F109" i="58" l="1"/>
  <c r="G109" i="58" s="1"/>
  <c r="F65" i="32"/>
  <c r="G65" i="32" s="1"/>
  <c r="H61" i="73"/>
  <c r="I61" i="73" s="1"/>
  <c r="K19" i="50"/>
  <c r="K8" i="50"/>
  <c r="K18" i="50"/>
  <c r="F66" i="32"/>
  <c r="G66" i="32" s="1"/>
  <c r="N18" i="14"/>
  <c r="N20" i="75" s="1"/>
  <c r="H62" i="73"/>
  <c r="I62" i="73" s="1"/>
  <c r="N17" i="14"/>
  <c r="N19" i="75" s="1"/>
  <c r="G19" i="32"/>
  <c r="H19" i="32"/>
  <c r="N19" i="32"/>
  <c r="H18" i="32"/>
  <c r="G18" i="32"/>
  <c r="N18" i="32"/>
  <c r="H22" i="32"/>
  <c r="G22" i="32"/>
  <c r="O22" i="32"/>
  <c r="H12" i="32"/>
  <c r="G12" i="32"/>
  <c r="J12" i="32"/>
  <c r="H35" i="32"/>
  <c r="G35" i="32"/>
  <c r="W35" i="32"/>
  <c r="I12" i="73"/>
  <c r="G29" i="32"/>
  <c r="H29" i="32"/>
  <c r="S29" i="32"/>
  <c r="H30" i="32"/>
  <c r="G30" i="32"/>
  <c r="T30" i="32"/>
  <c r="K9" i="50"/>
  <c r="H33" i="32"/>
  <c r="G33" i="32"/>
  <c r="V33" i="32"/>
  <c r="K7" i="50"/>
  <c r="G31" i="32"/>
  <c r="U31" i="32"/>
  <c r="G14" i="32"/>
  <c r="H14" i="32"/>
  <c r="L14" i="32"/>
  <c r="G20" i="32"/>
  <c r="H20" i="32"/>
  <c r="N20" i="32"/>
  <c r="G21" i="32"/>
  <c r="H21" i="32"/>
  <c r="O21" i="32"/>
  <c r="G27" i="32"/>
  <c r="H27" i="32"/>
  <c r="Q27" i="32"/>
  <c r="G13" i="32"/>
  <c r="H13" i="32"/>
  <c r="K13" i="32"/>
  <c r="H16" i="32"/>
  <c r="G16" i="32"/>
  <c r="M16" i="32"/>
  <c r="H32" i="32"/>
  <c r="G32" i="32"/>
  <c r="V32" i="32"/>
  <c r="H26" i="32"/>
  <c r="G26" i="32"/>
  <c r="P26" i="32"/>
  <c r="H11" i="32"/>
  <c r="G11" i="32"/>
  <c r="J11" i="32"/>
  <c r="H10" i="32"/>
  <c r="G10" i="32"/>
  <c r="J10" i="32"/>
  <c r="F120" i="58"/>
  <c r="H64" i="73"/>
  <c r="I64" i="73" s="1"/>
  <c r="N20" i="14"/>
  <c r="N14" i="75" s="1"/>
  <c r="G23" i="32"/>
  <c r="H23" i="32"/>
  <c r="O23" i="32"/>
  <c r="H17" i="32"/>
  <c r="G17" i="32"/>
  <c r="N17" i="32"/>
  <c r="K20" i="50"/>
  <c r="G28" i="32"/>
  <c r="H28" i="32"/>
  <c r="R28" i="32"/>
  <c r="F116" i="58"/>
  <c r="G116" i="58" s="1"/>
  <c r="H60" i="73"/>
  <c r="I60" i="73" s="1"/>
  <c r="H57" i="73"/>
  <c r="I57" i="73" s="1"/>
  <c r="N13" i="14"/>
  <c r="N23" i="75" s="1"/>
  <c r="H63" i="73"/>
  <c r="I63" i="73" s="1"/>
  <c r="N19" i="14"/>
  <c r="H53" i="73"/>
  <c r="N9" i="14"/>
  <c r="N16" i="14"/>
  <c r="H71" i="76"/>
  <c r="I71" i="76" s="1"/>
  <c r="N21" i="14"/>
  <c r="I56" i="73"/>
  <c r="G112" i="58"/>
  <c r="G118" i="58"/>
  <c r="I73" i="76"/>
  <c r="G123" i="58"/>
  <c r="I58" i="73"/>
  <c r="I59" i="73"/>
  <c r="G115" i="58"/>
  <c r="G117" i="58"/>
  <c r="G111" i="58"/>
  <c r="I55" i="73"/>
  <c r="I54" i="73"/>
  <c r="G110" i="58"/>
  <c r="I17" i="76"/>
  <c r="G34" i="58"/>
  <c r="G36" i="32"/>
  <c r="X36" i="32"/>
  <c r="H36" i="32"/>
  <c r="G119" i="58"/>
  <c r="F67" i="32"/>
  <c r="F64" i="32"/>
  <c r="Q64" i="32" s="1"/>
  <c r="G121" i="58"/>
  <c r="F69" i="32"/>
  <c r="G114" i="58"/>
  <c r="F62" i="32"/>
  <c r="G62" i="32" s="1"/>
  <c r="F57" i="32"/>
  <c r="G113" i="58"/>
  <c r="F61" i="32"/>
  <c r="F68" i="32"/>
  <c r="R65" i="32" l="1"/>
  <c r="R84" i="32" s="1"/>
  <c r="T83" i="32"/>
  <c r="T82" i="32"/>
  <c r="P82" i="32"/>
  <c r="P83" i="32"/>
  <c r="U82" i="32"/>
  <c r="U83" i="32"/>
  <c r="J83" i="32"/>
  <c r="J82" i="32"/>
  <c r="S83" i="32"/>
  <c r="S82" i="32"/>
  <c r="V82" i="32"/>
  <c r="V83" i="32"/>
  <c r="N82" i="32"/>
  <c r="N83" i="32"/>
  <c r="Q83" i="32"/>
  <c r="Q82" i="32"/>
  <c r="X82" i="32"/>
  <c r="X83" i="32"/>
  <c r="K83" i="32"/>
  <c r="K82" i="32"/>
  <c r="R83" i="32"/>
  <c r="R82" i="32"/>
  <c r="M82" i="32"/>
  <c r="M87" i="32" s="1"/>
  <c r="M83" i="32"/>
  <c r="W82" i="32"/>
  <c r="W83" i="32"/>
  <c r="P87" i="32"/>
  <c r="S66" i="32"/>
  <c r="S84" i="32" s="1"/>
  <c r="F122" i="58"/>
  <c r="G122" i="58" s="1"/>
  <c r="N18" i="75"/>
  <c r="N34" i="75"/>
  <c r="N17" i="75"/>
  <c r="N28" i="75"/>
  <c r="F24" i="60"/>
  <c r="F70" i="32"/>
  <c r="G70" i="32" s="1"/>
  <c r="H72" i="76"/>
  <c r="I72" i="76" s="1"/>
  <c r="N22" i="14"/>
  <c r="I53" i="73"/>
  <c r="O62" i="32"/>
  <c r="O84" i="32" s="1"/>
  <c r="G61" i="32"/>
  <c r="N61" i="32"/>
  <c r="N84" i="32" s="1"/>
  <c r="G69" i="32"/>
  <c r="V69" i="32"/>
  <c r="V84" i="32" s="1"/>
  <c r="G67" i="32"/>
  <c r="T67" i="32"/>
  <c r="T84" i="32" s="1"/>
  <c r="G57" i="32"/>
  <c r="J57" i="32"/>
  <c r="J84" i="32" s="1"/>
  <c r="G64" i="32"/>
  <c r="G120" i="58"/>
  <c r="G68" i="32"/>
  <c r="U68" i="32"/>
  <c r="N35" i="75" l="1"/>
  <c r="S87" i="32"/>
  <c r="N87" i="32"/>
  <c r="U87" i="32"/>
  <c r="T87" i="32"/>
  <c r="V85" i="32"/>
  <c r="R87" i="32"/>
  <c r="X86" i="32"/>
  <c r="Q85" i="32"/>
  <c r="R86" i="32"/>
  <c r="V86" i="32"/>
  <c r="T86" i="32"/>
  <c r="N86" i="32"/>
  <c r="K86" i="32"/>
  <c r="W86" i="32"/>
  <c r="M86" i="32"/>
  <c r="M85" i="32"/>
  <c r="R85" i="32"/>
  <c r="J86" i="32"/>
  <c r="K85" i="32"/>
  <c r="K87" i="32"/>
  <c r="Q86" i="32"/>
  <c r="S86" i="32"/>
  <c r="X87" i="32"/>
  <c r="U86" i="32"/>
  <c r="P86" i="32"/>
  <c r="P85" i="32"/>
  <c r="X85" i="32"/>
  <c r="W70" i="32"/>
  <c r="W84" i="32" s="1"/>
  <c r="F16" i="60"/>
  <c r="E19" i="17"/>
  <c r="E18" i="17"/>
  <c r="H9" i="17"/>
  <c r="I9" i="17" s="1"/>
  <c r="E9" i="17" s="1"/>
  <c r="K28" i="14" l="1"/>
  <c r="K30" i="14"/>
  <c r="K29" i="14"/>
  <c r="J29" i="14" s="1"/>
  <c r="K27" i="14"/>
  <c r="J27" i="14" s="1"/>
  <c r="K12" i="14"/>
  <c r="J12" i="14" s="1"/>
  <c r="K20" i="14"/>
  <c r="J20" i="14" s="1"/>
  <c r="K25" i="14"/>
  <c r="J25" i="14" s="1"/>
  <c r="K16" i="14"/>
  <c r="J16" i="14" s="1"/>
  <c r="K14" i="14"/>
  <c r="J14" i="14" s="1"/>
  <c r="K23" i="14"/>
  <c r="K13" i="14"/>
  <c r="J13" i="14" s="1"/>
  <c r="K24" i="14"/>
  <c r="K18" i="14"/>
  <c r="J18" i="14" s="1"/>
  <c r="K17" i="14"/>
  <c r="J17" i="14" s="1"/>
  <c r="K10" i="14"/>
  <c r="J10" i="14" s="1"/>
  <c r="K11" i="14"/>
  <c r="J11" i="14" s="1"/>
  <c r="K26" i="14"/>
  <c r="J26" i="14" s="1"/>
  <c r="K19" i="14"/>
  <c r="J19" i="14" s="1"/>
  <c r="K22" i="14"/>
  <c r="K15" i="14"/>
  <c r="J15" i="14" s="1"/>
  <c r="K21" i="14"/>
  <c r="Q87" i="32"/>
  <c r="T85" i="32"/>
  <c r="N85" i="32"/>
  <c r="S85" i="32"/>
  <c r="V87" i="32"/>
  <c r="U85" i="32"/>
  <c r="J85" i="32"/>
  <c r="J87" i="32"/>
  <c r="G20" i="50"/>
  <c r="K12" i="50" s="1"/>
  <c r="F26" i="73"/>
  <c r="I26" i="73" s="1"/>
  <c r="D22" i="58"/>
  <c r="G22" i="58" s="1"/>
  <c r="D24" i="32"/>
  <c r="G21" i="50"/>
  <c r="K16" i="50" s="1"/>
  <c r="F27" i="73"/>
  <c r="I27" i="73" s="1"/>
  <c r="D23" i="58"/>
  <c r="G23" i="58" s="1"/>
  <c r="D25" i="32"/>
  <c r="G11" i="50"/>
  <c r="F17" i="73"/>
  <c r="D13" i="58"/>
  <c r="D15" i="32"/>
  <c r="K9" i="14"/>
  <c r="M22" i="14"/>
  <c r="M20" i="14"/>
  <c r="M17" i="14"/>
  <c r="M14" i="14"/>
  <c r="M9" i="14"/>
  <c r="M12" i="14"/>
  <c r="M23" i="14"/>
  <c r="M11" i="14"/>
  <c r="M18" i="14"/>
  <c r="M19" i="14"/>
  <c r="M15" i="14"/>
  <c r="M21" i="14"/>
  <c r="M10" i="14"/>
  <c r="M13" i="14"/>
  <c r="M16" i="14"/>
  <c r="L21" i="14"/>
  <c r="S34" i="75" s="1"/>
  <c r="J38" i="14"/>
  <c r="K38" i="14"/>
  <c r="L28" i="50" s="1"/>
  <c r="L38" i="14"/>
  <c r="M38" i="14"/>
  <c r="L50" i="75" l="1"/>
  <c r="L52" i="75" s="1"/>
  <c r="E30" i="37"/>
  <c r="O30" i="14"/>
  <c r="J30" i="14"/>
  <c r="L9" i="75"/>
  <c r="E29" i="37"/>
  <c r="J28" i="14"/>
  <c r="J9" i="14"/>
  <c r="AH12" i="32" s="1"/>
  <c r="K32" i="14"/>
  <c r="M32" i="14"/>
  <c r="Q28" i="50" s="1"/>
  <c r="M45" i="75"/>
  <c r="M47" i="75" s="1"/>
  <c r="M5" i="85" s="1"/>
  <c r="J22" i="14"/>
  <c r="J23" i="14"/>
  <c r="L45" i="75"/>
  <c r="L47" i="75" s="1"/>
  <c r="J21" i="14"/>
  <c r="K12" i="75"/>
  <c r="AH28" i="32"/>
  <c r="K23" i="75"/>
  <c r="AH16" i="32"/>
  <c r="K18" i="75"/>
  <c r="AH22" i="32"/>
  <c r="K24" i="75"/>
  <c r="AH17" i="32"/>
  <c r="K25" i="75"/>
  <c r="AH14" i="32"/>
  <c r="K17" i="75"/>
  <c r="AH19" i="32"/>
  <c r="K26" i="75"/>
  <c r="AH13" i="32"/>
  <c r="K19" i="75"/>
  <c r="AH20" i="32"/>
  <c r="K14" i="75"/>
  <c r="AH23" i="32"/>
  <c r="K21" i="75"/>
  <c r="AH15" i="32"/>
  <c r="K22" i="75"/>
  <c r="AH18" i="32"/>
  <c r="R28" i="50"/>
  <c r="K20" i="75"/>
  <c r="AH21" i="32"/>
  <c r="L12" i="75"/>
  <c r="L25" i="14"/>
  <c r="S12" i="75" s="1"/>
  <c r="P25" i="14"/>
  <c r="R12" i="75" s="1"/>
  <c r="O25" i="14"/>
  <c r="E27" i="37"/>
  <c r="L11" i="75"/>
  <c r="L13" i="75"/>
  <c r="L24" i="14"/>
  <c r="S13" i="75" s="1"/>
  <c r="O24" i="14"/>
  <c r="P24" i="14"/>
  <c r="R13" i="75" s="1"/>
  <c r="L10" i="75"/>
  <c r="E28" i="37"/>
  <c r="W87" i="32"/>
  <c r="W85" i="32"/>
  <c r="L26" i="75"/>
  <c r="L14" i="75"/>
  <c r="L24" i="75"/>
  <c r="L23" i="75"/>
  <c r="L34" i="75"/>
  <c r="L22" i="75"/>
  <c r="L21" i="75"/>
  <c r="L19" i="75"/>
  <c r="L18" i="75"/>
  <c r="L20" i="75"/>
  <c r="L25" i="75"/>
  <c r="L17" i="75"/>
  <c r="L35" i="75"/>
  <c r="P15" i="14"/>
  <c r="M17" i="75"/>
  <c r="P16" i="14"/>
  <c r="O16" i="14"/>
  <c r="M23" i="75"/>
  <c r="O13" i="14"/>
  <c r="P13" i="14"/>
  <c r="M18" i="75"/>
  <c r="O19" i="14"/>
  <c r="P19" i="14"/>
  <c r="M28" i="75"/>
  <c r="O9" i="14"/>
  <c r="P9" i="14"/>
  <c r="L28" i="75"/>
  <c r="L33" i="75"/>
  <c r="M20" i="75"/>
  <c r="O18" i="14"/>
  <c r="P18" i="14"/>
  <c r="M24" i="75"/>
  <c r="P14" i="14"/>
  <c r="O14" i="14"/>
  <c r="H25" i="32"/>
  <c r="G25" i="32"/>
  <c r="O25" i="32"/>
  <c r="M26" i="75"/>
  <c r="P10" i="14"/>
  <c r="O10" i="14"/>
  <c r="P11" i="14"/>
  <c r="M25" i="75"/>
  <c r="O11" i="14"/>
  <c r="P17" i="14"/>
  <c r="M19" i="75"/>
  <c r="O17" i="14"/>
  <c r="P23" i="14"/>
  <c r="O23" i="14"/>
  <c r="M33" i="75"/>
  <c r="M14" i="75"/>
  <c r="O20" i="14"/>
  <c r="P20" i="14"/>
  <c r="G15" i="32"/>
  <c r="H15" i="32"/>
  <c r="L15" i="32"/>
  <c r="G13" i="58"/>
  <c r="M34" i="75"/>
  <c r="P21" i="14"/>
  <c r="O21" i="14"/>
  <c r="M21" i="75"/>
  <c r="P12" i="14"/>
  <c r="O12" i="14"/>
  <c r="M35" i="75"/>
  <c r="O22" i="14"/>
  <c r="P22" i="14"/>
  <c r="I17" i="73"/>
  <c r="K9" i="73"/>
  <c r="L12" i="73"/>
  <c r="O15" i="14"/>
  <c r="M22" i="75"/>
  <c r="K11" i="50"/>
  <c r="K27" i="50" s="1"/>
  <c r="G24" i="32"/>
  <c r="H24" i="32"/>
  <c r="O24" i="32"/>
  <c r="M46" i="14"/>
  <c r="M12" i="85" l="1"/>
  <c r="K5" i="85"/>
  <c r="H14" i="83"/>
  <c r="L13" i="83" s="1"/>
  <c r="L15" i="83" s="1"/>
  <c r="H14" i="85"/>
  <c r="M12" i="83"/>
  <c r="AH31" i="32"/>
  <c r="K9" i="75"/>
  <c r="L28" i="14"/>
  <c r="S9" i="75" s="1"/>
  <c r="F128" i="58"/>
  <c r="G128" i="58" s="1"/>
  <c r="L30" i="14"/>
  <c r="AH33" i="32"/>
  <c r="F76" i="32"/>
  <c r="G76" i="32" s="1"/>
  <c r="AC76" i="32" s="1"/>
  <c r="AC84" i="32" s="1"/>
  <c r="H69" i="73"/>
  <c r="I69" i="73" s="1"/>
  <c r="N28" i="14"/>
  <c r="F77" i="32"/>
  <c r="G77" i="32" s="1"/>
  <c r="AD77" i="32" s="1"/>
  <c r="AD84" i="32" s="1"/>
  <c r="N29" i="14"/>
  <c r="F132" i="58"/>
  <c r="G132" i="58" s="1"/>
  <c r="L29" i="14"/>
  <c r="S50" i="75" s="1"/>
  <c r="S52" i="75" s="1"/>
  <c r="AH32" i="32"/>
  <c r="K50" i="75"/>
  <c r="K52" i="75" s="1"/>
  <c r="E46" i="37"/>
  <c r="J32" i="14"/>
  <c r="K28" i="75"/>
  <c r="K34" i="75"/>
  <c r="AH24" i="32"/>
  <c r="K45" i="75"/>
  <c r="K47" i="75" s="1"/>
  <c r="R45" i="75"/>
  <c r="O45" i="75"/>
  <c r="O47" i="75" s="1"/>
  <c r="W54" i="75"/>
  <c r="L83" i="32"/>
  <c r="L82" i="32"/>
  <c r="O82" i="32"/>
  <c r="O87" i="32" s="1"/>
  <c r="O83" i="32"/>
  <c r="M30" i="75"/>
  <c r="L30" i="75"/>
  <c r="K28" i="50"/>
  <c r="S28" i="50"/>
  <c r="T16" i="49"/>
  <c r="F74" i="32"/>
  <c r="F126" i="58"/>
  <c r="G126" i="58" s="1"/>
  <c r="N26" i="14"/>
  <c r="H67" i="73"/>
  <c r="I67" i="73" s="1"/>
  <c r="L27" i="14"/>
  <c r="S10" i="75" s="1"/>
  <c r="K10" i="75"/>
  <c r="AH30" i="32"/>
  <c r="O12" i="75"/>
  <c r="F19" i="60"/>
  <c r="O13" i="75"/>
  <c r="F18" i="60"/>
  <c r="F75" i="32"/>
  <c r="G75" i="32" s="1"/>
  <c r="AB75" i="32" s="1"/>
  <c r="AB84" i="32" s="1"/>
  <c r="F127" i="58"/>
  <c r="G127" i="58" s="1"/>
  <c r="N27" i="14"/>
  <c r="H68" i="73"/>
  <c r="I68" i="73" s="1"/>
  <c r="L26" i="14"/>
  <c r="S11" i="75" s="1"/>
  <c r="K11" i="75"/>
  <c r="AH29" i="32"/>
  <c r="R34" i="75"/>
  <c r="R19" i="75"/>
  <c r="R28" i="75"/>
  <c r="L22" i="14"/>
  <c r="R23" i="75"/>
  <c r="R35" i="75"/>
  <c r="R14" i="75"/>
  <c r="R20" i="75"/>
  <c r="R25" i="75"/>
  <c r="R17" i="75"/>
  <c r="R26" i="75"/>
  <c r="R33" i="75"/>
  <c r="R18" i="75"/>
  <c r="R21" i="75"/>
  <c r="R24" i="75"/>
  <c r="R22" i="75"/>
  <c r="K35" i="75"/>
  <c r="AH25" i="32"/>
  <c r="M48" i="14"/>
  <c r="M42" i="75"/>
  <c r="O19" i="75"/>
  <c r="F20" i="60"/>
  <c r="O18" i="75"/>
  <c r="F27" i="60"/>
  <c r="R9" i="73"/>
  <c r="O34" i="75"/>
  <c r="F22" i="60"/>
  <c r="O26" i="75"/>
  <c r="F12" i="60"/>
  <c r="O14" i="75"/>
  <c r="F8" i="60"/>
  <c r="O25" i="75"/>
  <c r="F32" i="60"/>
  <c r="F21" i="60"/>
  <c r="O20" i="75"/>
  <c r="O23" i="75"/>
  <c r="F26" i="60"/>
  <c r="O28" i="75"/>
  <c r="F9" i="60"/>
  <c r="O35" i="75"/>
  <c r="F10" i="60"/>
  <c r="O22" i="75"/>
  <c r="F33" i="60"/>
  <c r="O33" i="75"/>
  <c r="F31" i="60"/>
  <c r="O17" i="75"/>
  <c r="F17" i="60"/>
  <c r="O21" i="75"/>
  <c r="F29" i="60"/>
  <c r="K33" i="75"/>
  <c r="F28" i="60"/>
  <c r="O24" i="75"/>
  <c r="N9" i="83" l="1"/>
  <c r="I14" i="83"/>
  <c r="O9" i="83" s="1"/>
  <c r="L16" i="83" s="1"/>
  <c r="Q52" i="75" s="1"/>
  <c r="L13" i="85"/>
  <c r="L15" i="85" s="1"/>
  <c r="I14" i="85"/>
  <c r="O9" i="85" s="1"/>
  <c r="L16" i="85" s="1"/>
  <c r="N9" i="85"/>
  <c r="N5" i="85" s="1"/>
  <c r="M5" i="83"/>
  <c r="M54" i="75"/>
  <c r="M57" i="75" s="1"/>
  <c r="K5" i="83"/>
  <c r="Q9" i="83"/>
  <c r="P9" i="83"/>
  <c r="AC85" i="32"/>
  <c r="AC87" i="32"/>
  <c r="O29" i="14"/>
  <c r="O50" i="75" s="1"/>
  <c r="O52" i="75" s="1"/>
  <c r="N50" i="75"/>
  <c r="N52" i="75" s="1"/>
  <c r="R52" i="75" s="1"/>
  <c r="AD87" i="32"/>
  <c r="AD85" i="32"/>
  <c r="O28" i="14"/>
  <c r="O9" i="75" s="1"/>
  <c r="N9" i="75"/>
  <c r="N32" i="14"/>
  <c r="F46" i="37" s="1"/>
  <c r="X12" i="75"/>
  <c r="L11" i="58"/>
  <c r="AB85" i="32"/>
  <c r="K30" i="75"/>
  <c r="S30" i="75"/>
  <c r="G74" i="32"/>
  <c r="AA74" i="32" s="1"/>
  <c r="AA84" i="32" s="1"/>
  <c r="N10" i="75"/>
  <c r="O27" i="14"/>
  <c r="N11" i="75"/>
  <c r="O26" i="14"/>
  <c r="P26" i="14"/>
  <c r="R11" i="75" s="1"/>
  <c r="H83" i="32"/>
  <c r="H82" i="32"/>
  <c r="K5" i="73"/>
  <c r="S35" i="75"/>
  <c r="M12" i="73"/>
  <c r="M13" i="76"/>
  <c r="M49" i="14"/>
  <c r="M5" i="73"/>
  <c r="L85" i="32"/>
  <c r="L87" i="32"/>
  <c r="L86" i="32"/>
  <c r="O86" i="32"/>
  <c r="O85" i="32"/>
  <c r="C4" i="32"/>
  <c r="C78" i="32" s="1"/>
  <c r="Q9" i="85" l="1"/>
  <c r="P9" i="85"/>
  <c r="P32" i="14"/>
  <c r="O32" i="14"/>
  <c r="C76" i="32"/>
  <c r="C77" i="32"/>
  <c r="AA85" i="32"/>
  <c r="N30" i="75"/>
  <c r="AB87" i="32"/>
  <c r="O10" i="75"/>
  <c r="R10" i="75"/>
  <c r="O11" i="75"/>
  <c r="F23" i="60"/>
  <c r="C74" i="32"/>
  <c r="C75" i="32"/>
  <c r="C72" i="32"/>
  <c r="C73" i="32"/>
  <c r="C61" i="32"/>
  <c r="C68" i="32"/>
  <c r="C60" i="32"/>
  <c r="C67" i="32"/>
  <c r="C59" i="32"/>
  <c r="C66" i="32"/>
  <c r="AA81" i="32" s="1"/>
  <c r="C58" i="32"/>
  <c r="C69" i="32"/>
  <c r="C65" i="32"/>
  <c r="C57" i="32"/>
  <c r="C64" i="32"/>
  <c r="C70" i="32"/>
  <c r="C62" i="32"/>
  <c r="C71" i="32"/>
  <c r="C63" i="32"/>
  <c r="C4" i="49"/>
  <c r="C4" i="52"/>
  <c r="N5" i="83" l="1"/>
  <c r="AL33" i="32"/>
  <c r="AK33" i="32"/>
  <c r="AI33" i="32"/>
  <c r="AJ33" i="32" s="1"/>
  <c r="X13" i="75"/>
  <c r="V81" i="32"/>
  <c r="AM24" i="32" s="1"/>
  <c r="N81" i="32"/>
  <c r="Y81" i="32"/>
  <c r="U81" i="32"/>
  <c r="AM23" i="32" s="1"/>
  <c r="M81" i="32"/>
  <c r="Q81" i="32"/>
  <c r="T81" i="32"/>
  <c r="L81" i="32"/>
  <c r="O81" i="32"/>
  <c r="S81" i="32"/>
  <c r="K81" i="32"/>
  <c r="J81" i="32"/>
  <c r="AM12" i="32" s="1"/>
  <c r="Z81" i="32"/>
  <c r="R81" i="32"/>
  <c r="X81" i="32"/>
  <c r="AM26" i="32" s="1"/>
  <c r="Q23" i="14" s="1"/>
  <c r="P81" i="32"/>
  <c r="W81" i="32"/>
  <c r="AM25" i="32" s="1"/>
  <c r="AI32" i="32"/>
  <c r="AJ32" i="32" s="1"/>
  <c r="AK32" i="32"/>
  <c r="AL32" i="32"/>
  <c r="AB81" i="32"/>
  <c r="AM30" i="32" s="1"/>
  <c r="Q27" i="14" s="1"/>
  <c r="Q10" i="75" s="1"/>
  <c r="O30" i="75"/>
  <c r="J31" i="49"/>
  <c r="C59" i="49"/>
  <c r="C58" i="49"/>
  <c r="C60" i="49"/>
  <c r="C61" i="49"/>
  <c r="C57" i="49"/>
  <c r="AL31" i="32"/>
  <c r="AK31" i="32"/>
  <c r="AI31" i="32"/>
  <c r="AJ31" i="32" s="1"/>
  <c r="AH40" i="32"/>
  <c r="AM35" i="32" s="1"/>
  <c r="H84" i="32"/>
  <c r="AA87" i="32"/>
  <c r="AM29" i="32" s="1"/>
  <c r="AK30" i="32"/>
  <c r="AL30" i="32"/>
  <c r="AI30" i="32"/>
  <c r="AJ30" i="32" s="1"/>
  <c r="AI29" i="32"/>
  <c r="AJ29" i="32" s="1"/>
  <c r="AL29" i="32"/>
  <c r="AK29" i="32"/>
  <c r="AK28" i="32"/>
  <c r="AI28" i="32"/>
  <c r="AL28" i="32"/>
  <c r="AL27" i="32"/>
  <c r="AK27" i="32"/>
  <c r="AI27" i="32"/>
  <c r="AJ27" i="32" s="1"/>
  <c r="AI12" i="32"/>
  <c r="AK15" i="32"/>
  <c r="AK19" i="32"/>
  <c r="AK23" i="32"/>
  <c r="AK12" i="32"/>
  <c r="AI16" i="32"/>
  <c r="AJ16" i="32" s="1"/>
  <c r="AI20" i="32"/>
  <c r="AJ20" i="32" s="1"/>
  <c r="AI24" i="32"/>
  <c r="AJ24" i="32" s="1"/>
  <c r="AI13" i="32"/>
  <c r="AJ13" i="32" s="1"/>
  <c r="AK16" i="32"/>
  <c r="AK20" i="32"/>
  <c r="AK24" i="32"/>
  <c r="AK13" i="32"/>
  <c r="AI17" i="32"/>
  <c r="AJ17" i="32" s="1"/>
  <c r="AI21" i="32"/>
  <c r="AJ21" i="32" s="1"/>
  <c r="AI25" i="32"/>
  <c r="AJ25" i="32" s="1"/>
  <c r="AI15" i="32"/>
  <c r="AJ15" i="32" s="1"/>
  <c r="AK26" i="32"/>
  <c r="AI23" i="32"/>
  <c r="AJ23" i="32" s="1"/>
  <c r="AI14" i="32"/>
  <c r="AJ14" i="32" s="1"/>
  <c r="AK17" i="32"/>
  <c r="AK21" i="32"/>
  <c r="AK25" i="32"/>
  <c r="AK18" i="32"/>
  <c r="AK22" i="32"/>
  <c r="AI19" i="32"/>
  <c r="AJ19" i="32" s="1"/>
  <c r="AK14" i="32"/>
  <c r="AI18" i="32"/>
  <c r="AJ18" i="32" s="1"/>
  <c r="AI22" i="32"/>
  <c r="AJ22" i="32" s="1"/>
  <c r="AI26" i="32"/>
  <c r="J93" i="49"/>
  <c r="J81" i="49"/>
  <c r="J83" i="49" s="1"/>
  <c r="V12" i="49" s="1"/>
  <c r="J54" i="49"/>
  <c r="AL20" i="32"/>
  <c r="AL13" i="32"/>
  <c r="AL21" i="32"/>
  <c r="AL14" i="32"/>
  <c r="AL22" i="32"/>
  <c r="AL15" i="32"/>
  <c r="AL23" i="32"/>
  <c r="AL12" i="32"/>
  <c r="AL16" i="32"/>
  <c r="AL24" i="32"/>
  <c r="AL17" i="32"/>
  <c r="AL25" i="32"/>
  <c r="AL18" i="32"/>
  <c r="AL26" i="32"/>
  <c r="AL19" i="32"/>
  <c r="J19" i="49"/>
  <c r="J21" i="49" s="1"/>
  <c r="V9" i="49" s="1"/>
  <c r="C15" i="52"/>
  <c r="J20" i="52" s="1"/>
  <c r="J22" i="52" s="1"/>
  <c r="V10" i="52" s="1"/>
  <c r="Q36" i="14" s="1"/>
  <c r="Q15" i="75" s="1"/>
  <c r="C14" i="52"/>
  <c r="J10" i="52" s="1"/>
  <c r="C16" i="52"/>
  <c r="J31" i="52" s="1"/>
  <c r="V11" i="52" s="1"/>
  <c r="Q37" i="14" s="1"/>
  <c r="Q16" i="75" s="1"/>
  <c r="AN33" i="32" l="1"/>
  <c r="AP33" i="32"/>
  <c r="AO33" i="32"/>
  <c r="AH43" i="32"/>
  <c r="AH42" i="32"/>
  <c r="AH41" i="32"/>
  <c r="AL35" i="32"/>
  <c r="AK35" i="32"/>
  <c r="AI35" i="32"/>
  <c r="AI36" i="32" s="1"/>
  <c r="Q26" i="14"/>
  <c r="Q11" i="75" s="1"/>
  <c r="Q33" i="75"/>
  <c r="Q45" i="75"/>
  <c r="W41" i="75"/>
  <c r="X14" i="75"/>
  <c r="X15" i="75" s="1"/>
  <c r="AO32" i="32"/>
  <c r="AN32" i="32"/>
  <c r="AP32" i="32"/>
  <c r="AN31" i="32"/>
  <c r="AP31" i="32"/>
  <c r="AO31" i="32"/>
  <c r="AO30" i="32"/>
  <c r="AP30" i="32"/>
  <c r="AN30" i="32"/>
  <c r="Q20" i="14"/>
  <c r="Q14" i="75" s="1"/>
  <c r="Q22" i="14"/>
  <c r="Q21" i="14"/>
  <c r="AO29" i="32"/>
  <c r="AN29" i="32"/>
  <c r="AP29" i="32"/>
  <c r="J57" i="49"/>
  <c r="V11" i="49" s="1"/>
  <c r="Q43" i="14" s="1"/>
  <c r="Q36" i="75" s="1"/>
  <c r="AM22" i="32"/>
  <c r="AM16" i="32"/>
  <c r="AM14" i="32"/>
  <c r="AM13" i="32"/>
  <c r="AM19" i="32"/>
  <c r="AM21" i="32"/>
  <c r="AM15" i="32"/>
  <c r="AM18" i="32"/>
  <c r="AM20" i="32"/>
  <c r="AM27" i="32"/>
  <c r="AM17" i="32"/>
  <c r="AM28" i="32"/>
  <c r="AJ12" i="32"/>
  <c r="AN28" i="32"/>
  <c r="AP28" i="32"/>
  <c r="AJ28" i="32"/>
  <c r="AO28" i="32"/>
  <c r="Q41" i="14"/>
  <c r="Q37" i="75" s="1"/>
  <c r="Q44" i="14"/>
  <c r="Q39" i="75" s="1"/>
  <c r="J9" i="51"/>
  <c r="Q32" i="14"/>
  <c r="AP27" i="32"/>
  <c r="AN27" i="32"/>
  <c r="AO27" i="32"/>
  <c r="AO16" i="32"/>
  <c r="AO23" i="32"/>
  <c r="AO24" i="32"/>
  <c r="AO14" i="32"/>
  <c r="AO21" i="32"/>
  <c r="AO13" i="32"/>
  <c r="AO19" i="32"/>
  <c r="AO17" i="32"/>
  <c r="AO15" i="32"/>
  <c r="AO22" i="32"/>
  <c r="AP20" i="32"/>
  <c r="AN20" i="32"/>
  <c r="AN22" i="32"/>
  <c r="AP22" i="32"/>
  <c r="AO26" i="32"/>
  <c r="AP13" i="32"/>
  <c r="AN13" i="32"/>
  <c r="AP15" i="32"/>
  <c r="AN15" i="32"/>
  <c r="AN18" i="32"/>
  <c r="AP18" i="32"/>
  <c r="AP14" i="32"/>
  <c r="AN14" i="32"/>
  <c r="AN12" i="32"/>
  <c r="AP12" i="32"/>
  <c r="AN19" i="32"/>
  <c r="AP19" i="32"/>
  <c r="AO18" i="32"/>
  <c r="AN21" i="32"/>
  <c r="AP21" i="32"/>
  <c r="AN23" i="32"/>
  <c r="AP23" i="32"/>
  <c r="AN26" i="32"/>
  <c r="AP26" i="32"/>
  <c r="AO25" i="32"/>
  <c r="AN16" i="32"/>
  <c r="AP16" i="32"/>
  <c r="AO20" i="32"/>
  <c r="AP24" i="32"/>
  <c r="AN24" i="32"/>
  <c r="AN17" i="32"/>
  <c r="AP17" i="32"/>
  <c r="AO12" i="32"/>
  <c r="AN25" i="32"/>
  <c r="AP25" i="32"/>
  <c r="AO35" i="32" l="1"/>
  <c r="AI42" i="32" s="1"/>
  <c r="AN35" i="32"/>
  <c r="AI41" i="32" s="1"/>
  <c r="AP35" i="32"/>
  <c r="AI43" i="32" s="1"/>
  <c r="Q34" i="75"/>
  <c r="Q35" i="75"/>
  <c r="AL36" i="32"/>
  <c r="AK36" i="32"/>
  <c r="Q24" i="14"/>
  <c r="Q13" i="75" s="1"/>
  <c r="Q11" i="14"/>
  <c r="Q25" i="75" s="1"/>
  <c r="Q17" i="14"/>
  <c r="Q19" i="75" s="1"/>
  <c r="Q13" i="14"/>
  <c r="Q23" i="75" s="1"/>
  <c r="Q15" i="14"/>
  <c r="Q22" i="75" s="1"/>
  <c r="Q19" i="14"/>
  <c r="Q18" i="75" s="1"/>
  <c r="Q18" i="14"/>
  <c r="Q20" i="75" s="1"/>
  <c r="Q9" i="14"/>
  <c r="Q28" i="75" s="1"/>
  <c r="Q25" i="14"/>
  <c r="Q12" i="75" s="1"/>
  <c r="Q16" i="14"/>
  <c r="Q17" i="75" s="1"/>
  <c r="Q12" i="14"/>
  <c r="Q21" i="75" s="1"/>
  <c r="Q14" i="14"/>
  <c r="Q24" i="75" s="1"/>
  <c r="Q10" i="14"/>
  <c r="Q26" i="75" s="1"/>
  <c r="AM36" i="32"/>
  <c r="H9" i="51"/>
  <c r="F9" i="51"/>
  <c r="I9" i="51"/>
  <c r="AN36" i="32" l="1"/>
  <c r="M9" i="51"/>
  <c r="L9" i="51"/>
  <c r="K9" i="51"/>
  <c r="L23" i="14" l="1"/>
  <c r="L32" i="14" s="1"/>
  <c r="AH26" i="32"/>
  <c r="AH35" i="32" s="1"/>
  <c r="S57" i="75" l="1"/>
  <c r="S45" i="75"/>
  <c r="S47" i="75" s="1"/>
  <c r="AH36" i="32"/>
  <c r="S33" i="75"/>
  <c r="AJ26" i="32"/>
  <c r="AJ35" i="32" s="1"/>
  <c r="AJ36" i="32" l="1"/>
  <c r="E9" i="51"/>
  <c r="P36" i="14"/>
  <c r="R15" i="75" s="1"/>
  <c r="P35" i="14"/>
  <c r="R27" i="75" s="1"/>
  <c r="P37" i="14"/>
  <c r="R16" i="75" s="1"/>
  <c r="N38" i="14"/>
  <c r="E34" i="37"/>
  <c r="E47" i="37" s="1"/>
  <c r="F47" i="37" l="1"/>
  <c r="O38" i="14"/>
  <c r="P38" i="14"/>
  <c r="G9" i="51"/>
  <c r="F15" i="52"/>
  <c r="F130" i="58"/>
  <c r="G130" i="58" s="1"/>
  <c r="F14" i="52"/>
  <c r="F129" i="58"/>
  <c r="G129" i="58" s="1"/>
  <c r="F16" i="52"/>
  <c r="F131" i="58"/>
  <c r="G131" i="58" s="1"/>
  <c r="H71" i="73"/>
  <c r="I71" i="73" s="1"/>
  <c r="H70" i="73"/>
  <c r="G125" i="58"/>
  <c r="U11" i="52" l="1"/>
  <c r="G16" i="52"/>
  <c r="M10" i="52"/>
  <c r="U9" i="52"/>
  <c r="G14" i="52"/>
  <c r="U10" i="52"/>
  <c r="G15" i="52"/>
  <c r="I70" i="73"/>
  <c r="O9" i="73" s="1"/>
  <c r="L16" i="73" s="1"/>
  <c r="Q30" i="75" s="1"/>
  <c r="X16" i="75" s="1"/>
  <c r="L13" i="73"/>
  <c r="L15" i="73" s="1"/>
  <c r="L32" i="60"/>
  <c r="L33" i="60" s="1"/>
  <c r="N9" i="73"/>
  <c r="M23" i="49"/>
  <c r="M59" i="49"/>
  <c r="M85" i="49"/>
  <c r="G135" i="58"/>
  <c r="N5" i="73" l="1"/>
  <c r="X10" i="52"/>
  <c r="W10" i="52"/>
  <c r="V12" i="52"/>
  <c r="Q15" i="52"/>
  <c r="Q38" i="14" s="1"/>
  <c r="Q16" i="52"/>
  <c r="X9" i="52"/>
  <c r="W9" i="52"/>
  <c r="U12" i="52"/>
  <c r="Q17" i="52"/>
  <c r="J14" i="52"/>
  <c r="J13" i="52"/>
  <c r="N10" i="52"/>
  <c r="J12" i="52" s="1"/>
  <c r="V9" i="52" s="1"/>
  <c r="Q35" i="14" s="1"/>
  <c r="Q27" i="75" s="1"/>
  <c r="X11" i="52"/>
  <c r="W11" i="52"/>
  <c r="H74" i="76"/>
  <c r="I74" i="76" s="1"/>
  <c r="H78" i="76"/>
  <c r="I78" i="76" s="1"/>
  <c r="H77" i="76"/>
  <c r="I77" i="76" s="1"/>
  <c r="H76" i="76"/>
  <c r="I76" i="76" s="1"/>
  <c r="P9" i="73"/>
  <c r="Q9" i="73"/>
  <c r="G139" i="58"/>
  <c r="G137" i="58"/>
  <c r="J96" i="49"/>
  <c r="R30" i="75"/>
  <c r="G138" i="58"/>
  <c r="W12" i="52" l="1"/>
  <c r="X12" i="52"/>
  <c r="I12" i="51"/>
  <c r="J12" i="51"/>
  <c r="J97" i="49"/>
  <c r="M97" i="49"/>
  <c r="N93" i="49"/>
  <c r="J95" i="49" s="1"/>
  <c r="V13" i="49" s="1"/>
  <c r="L12" i="51" l="1"/>
  <c r="K12" i="51"/>
  <c r="Q45" i="14"/>
  <c r="Q40" i="75" s="1"/>
  <c r="F26" i="44" l="1"/>
  <c r="I26" i="14" l="1"/>
  <c r="J11" i="75" s="1"/>
  <c r="L38" i="75"/>
  <c r="K41" i="14"/>
  <c r="P41" i="14" s="1"/>
  <c r="E47" i="40"/>
  <c r="D51" i="49" s="1"/>
  <c r="G51" i="49" s="1"/>
  <c r="F65" i="76" l="1"/>
  <c r="K9" i="76" s="1"/>
  <c r="R9" i="76" s="1"/>
  <c r="J4" i="40"/>
  <c r="O41" i="14"/>
  <c r="F30" i="60" s="1"/>
  <c r="R37" i="75"/>
  <c r="G95" i="50"/>
  <c r="N7" i="50" s="1"/>
  <c r="K45" i="14"/>
  <c r="K44" i="14"/>
  <c r="M83" i="49" s="1"/>
  <c r="K43" i="14"/>
  <c r="J43" i="14" s="1"/>
  <c r="J41" i="14"/>
  <c r="K37" i="75" s="1"/>
  <c r="T15" i="50"/>
  <c r="T21" i="50"/>
  <c r="N21" i="50"/>
  <c r="N14" i="50"/>
  <c r="T11" i="50"/>
  <c r="T20" i="50"/>
  <c r="N18" i="50"/>
  <c r="N23" i="50"/>
  <c r="T14" i="50"/>
  <c r="T17" i="50"/>
  <c r="L12" i="76"/>
  <c r="D103" i="58"/>
  <c r="M21" i="49"/>
  <c r="L37" i="75"/>
  <c r="N9" i="50" l="1"/>
  <c r="N24" i="50"/>
  <c r="N11" i="50"/>
  <c r="T23" i="50"/>
  <c r="N20" i="50"/>
  <c r="N15" i="50"/>
  <c r="N12" i="50"/>
  <c r="T19" i="50"/>
  <c r="N25" i="50"/>
  <c r="T18" i="50"/>
  <c r="T22" i="50"/>
  <c r="T16" i="50"/>
  <c r="O37" i="75"/>
  <c r="Q11" i="49"/>
  <c r="K36" i="75"/>
  <c r="K42" i="75" s="1"/>
  <c r="K54" i="75" s="1"/>
  <c r="T10" i="50"/>
  <c r="N19" i="50"/>
  <c r="N13" i="50"/>
  <c r="N8" i="50"/>
  <c r="N10" i="50"/>
  <c r="T24" i="50"/>
  <c r="T12" i="50"/>
  <c r="T7" i="50"/>
  <c r="N22" i="50"/>
  <c r="T8" i="50"/>
  <c r="T9" i="50"/>
  <c r="M13" i="50"/>
  <c r="M27" i="50" s="1"/>
  <c r="N16" i="50"/>
  <c r="N17" i="50"/>
  <c r="T25" i="50"/>
  <c r="T13" i="50"/>
  <c r="I65" i="76"/>
  <c r="P45" i="14"/>
  <c r="R40" i="75" s="1"/>
  <c r="P44" i="14"/>
  <c r="R39" i="75" s="1"/>
  <c r="P43" i="14"/>
  <c r="R36" i="75" s="1"/>
  <c r="N26" i="50"/>
  <c r="T26" i="50"/>
  <c r="E40" i="37"/>
  <c r="K30" i="49"/>
  <c r="L36" i="75"/>
  <c r="O43" i="14"/>
  <c r="M57" i="49"/>
  <c r="L40" i="75"/>
  <c r="L45" i="14"/>
  <c r="O45" i="14"/>
  <c r="M95" i="49"/>
  <c r="J46" i="14"/>
  <c r="Q16" i="49" s="1"/>
  <c r="Q9" i="49"/>
  <c r="O44" i="14"/>
  <c r="L39" i="75"/>
  <c r="K46" i="14"/>
  <c r="J9" i="58"/>
  <c r="G103" i="58"/>
  <c r="F60" i="49" l="1"/>
  <c r="G60" i="49" s="1"/>
  <c r="E48" i="37"/>
  <c r="Q15" i="49"/>
  <c r="E15" i="51" s="1"/>
  <c r="E18" i="51" s="1"/>
  <c r="M28" i="50"/>
  <c r="N27" i="50"/>
  <c r="T27" i="50"/>
  <c r="T28" i="50" s="1"/>
  <c r="S40" i="75"/>
  <c r="N42" i="14"/>
  <c r="P42" i="14" s="1"/>
  <c r="R38" i="75" s="1"/>
  <c r="J5" i="40"/>
  <c r="J6" i="40" s="1"/>
  <c r="F136" i="58"/>
  <c r="M9" i="58" s="1"/>
  <c r="H75" i="76"/>
  <c r="N9" i="76" s="1"/>
  <c r="L42" i="75"/>
  <c r="L54" i="75" s="1"/>
  <c r="O40" i="75"/>
  <c r="F14" i="60"/>
  <c r="O36" i="75"/>
  <c r="F15" i="60"/>
  <c r="J36" i="49"/>
  <c r="M33" i="49"/>
  <c r="N30" i="49"/>
  <c r="R16" i="49"/>
  <c r="K48" i="14"/>
  <c r="K49" i="14" s="1"/>
  <c r="J48" i="14"/>
  <c r="U9" i="49"/>
  <c r="T11" i="49"/>
  <c r="Q9" i="58"/>
  <c r="O39" i="75"/>
  <c r="F13" i="60"/>
  <c r="S39" i="75"/>
  <c r="L46" i="14"/>
  <c r="S16" i="49" s="1"/>
  <c r="R12" i="49" l="1"/>
  <c r="X35" i="75"/>
  <c r="L57" i="75"/>
  <c r="K57" i="75"/>
  <c r="W42" i="75"/>
  <c r="W56" i="75"/>
  <c r="S42" i="75"/>
  <c r="S54" i="75" s="1"/>
  <c r="O42" i="14"/>
  <c r="F25" i="60" s="1"/>
  <c r="N46" i="14"/>
  <c r="U16" i="49" s="1"/>
  <c r="N38" i="75"/>
  <c r="I75" i="76"/>
  <c r="O9" i="76" s="1"/>
  <c r="L16" i="76" s="1"/>
  <c r="Q42" i="75" s="1"/>
  <c r="X39" i="75" s="1"/>
  <c r="G136" i="58"/>
  <c r="N9" i="58" s="1"/>
  <c r="Q48" i="14" s="1"/>
  <c r="L13" i="76"/>
  <c r="L15" i="76" s="1"/>
  <c r="L21" i="76" s="1"/>
  <c r="M31" i="49"/>
  <c r="J35" i="49" s="1"/>
  <c r="U12" i="49"/>
  <c r="T12" i="49"/>
  <c r="R11" i="49"/>
  <c r="Y11" i="49" s="1"/>
  <c r="R9" i="49"/>
  <c r="X9" i="49" s="1"/>
  <c r="U13" i="49"/>
  <c r="U11" i="49"/>
  <c r="T13" i="49"/>
  <c r="T10" i="49"/>
  <c r="T9" i="49"/>
  <c r="V15" i="49"/>
  <c r="R10" i="49"/>
  <c r="S10" i="49" s="1"/>
  <c r="U10" i="49"/>
  <c r="R13" i="49"/>
  <c r="S13" i="49" s="1"/>
  <c r="M12" i="76"/>
  <c r="E20" i="51"/>
  <c r="J11" i="58"/>
  <c r="N28" i="50"/>
  <c r="L48" i="14"/>
  <c r="P9" i="58"/>
  <c r="O9" i="58"/>
  <c r="Q9" i="76"/>
  <c r="P9" i="76"/>
  <c r="X12" i="49" l="1"/>
  <c r="Y12" i="49"/>
  <c r="W55" i="75"/>
  <c r="F48" i="37"/>
  <c r="O46" i="14"/>
  <c r="N42" i="75"/>
  <c r="N54" i="75" s="1"/>
  <c r="N48" i="14"/>
  <c r="N49" i="14" s="1"/>
  <c r="O38" i="75"/>
  <c r="M35" i="49"/>
  <c r="P46" i="14"/>
  <c r="Q18" i="49"/>
  <c r="Q46" i="14" s="1"/>
  <c r="J18" i="51"/>
  <c r="Q54" i="75"/>
  <c r="W12" i="49"/>
  <c r="N31" i="49"/>
  <c r="J33" i="49" s="1"/>
  <c r="S9" i="49"/>
  <c r="W11" i="49"/>
  <c r="J34" i="49"/>
  <c r="X11" i="49"/>
  <c r="U15" i="49"/>
  <c r="Q19" i="49"/>
  <c r="W10" i="49"/>
  <c r="W9" i="49"/>
  <c r="Y13" i="49"/>
  <c r="X10" i="49"/>
  <c r="Q21" i="49"/>
  <c r="W13" i="49"/>
  <c r="X13" i="49"/>
  <c r="T15" i="49"/>
  <c r="Y9" i="49"/>
  <c r="R15" i="49"/>
  <c r="Q20" i="49"/>
  <c r="Y10" i="49"/>
  <c r="J15" i="51"/>
  <c r="R47" i="75" l="1"/>
  <c r="O48" i="14"/>
  <c r="X36" i="75"/>
  <c r="N57" i="75"/>
  <c r="O42" i="75"/>
  <c r="O54" i="75" s="1"/>
  <c r="R42" i="75"/>
  <c r="T42" i="75"/>
  <c r="P48" i="14"/>
  <c r="M11" i="58"/>
  <c r="M14" i="76"/>
  <c r="S15" i="49"/>
  <c r="G15" i="51" s="1"/>
  <c r="G18" i="51" s="1"/>
  <c r="G20" i="51" s="1"/>
  <c r="I15" i="51"/>
  <c r="I18" i="51" s="1"/>
  <c r="I20" i="51" s="1"/>
  <c r="X15" i="49"/>
  <c r="L15" i="51" s="1"/>
  <c r="H15" i="51"/>
  <c r="H18" i="51" s="1"/>
  <c r="H20" i="51" s="1"/>
  <c r="Y15" i="49"/>
  <c r="M15" i="51" s="1"/>
  <c r="F15" i="51"/>
  <c r="F18" i="51" s="1"/>
  <c r="F20" i="51" s="1"/>
  <c r="W15" i="49"/>
  <c r="K15" i="51" s="1"/>
  <c r="X37" i="75" l="1"/>
  <c r="O57" i="75"/>
  <c r="W43" i="75"/>
  <c r="X38" i="75"/>
  <c r="R54" i="75"/>
  <c r="L18" i="51"/>
  <c r="K18" i="51"/>
  <c r="M1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L43"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G5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8" authorId="0" shapeId="0" xr:uid="{C9A12813-1F0A-4968-A41C-199DA5D566FA}">
      <text>
        <r>
          <rPr>
            <sz val="9"/>
            <color indexed="81"/>
            <rFont val="Tahoma"/>
            <family val="2"/>
          </rPr>
          <t xml:space="preserve">
Trading price is 
$1.24 per token as of 31Aug23
$1.70 per token, as of 30Sep23
</t>
        </r>
        <r>
          <rPr>
            <i/>
            <sz val="9"/>
            <color indexed="81"/>
            <rFont val="Tahoma"/>
            <family val="2"/>
          </rPr>
          <t>source: Coinbase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4"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9" authorId="0" shapeId="0" xr:uid="{00B11B00-EA20-4864-A8FD-6BD74519276B}">
      <text>
        <r>
          <rPr>
            <b/>
            <sz val="9"/>
            <color indexed="81"/>
            <rFont val="Tahoma"/>
            <family val="2"/>
          </rPr>
          <t>Fully exited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11" authorId="0" shapeId="0" xr:uid="{B35834EA-8000-4678-8AF6-97D832114BC5}">
      <text>
        <r>
          <rPr>
            <sz val="9"/>
            <color indexed="81"/>
            <rFont val="Tahoma"/>
            <family val="2"/>
          </rPr>
          <t xml:space="preserve">The distributions are recallable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Not estimated as Fully diluted, </t>
        </r>
        <r>
          <rPr>
            <sz val="9"/>
            <color indexed="81"/>
            <rFont val="Tahoma"/>
            <family val="2"/>
          </rPr>
          <t xml:space="preserve">as our % holding will increase in that case (due to outstanding warrants)
</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21" authorId="0" shapeId="0" xr:uid="{EE33863C-D5EA-42C3-8555-DC23E35317DB}">
      <text>
        <r>
          <rPr>
            <b/>
            <sz val="9"/>
            <color indexed="81"/>
            <rFont val="Tahoma"/>
            <family val="2"/>
          </rPr>
          <t>Author:</t>
        </r>
        <r>
          <rPr>
            <sz val="9"/>
            <color indexed="81"/>
            <rFont val="Tahoma"/>
            <family val="2"/>
          </rPr>
          <t xml:space="preserve">
Equalization</t>
        </r>
      </text>
    </comment>
    <comment ref="D22" authorId="0"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2" authorId="0" shapeId="0" xr:uid="{85FF19F8-B52B-4332-812F-BF716CD16EAF}">
      <text>
        <r>
          <rPr>
            <b/>
            <sz val="9"/>
            <color indexed="81"/>
            <rFont val="Tahoma"/>
            <family val="2"/>
          </rPr>
          <t>Investment in Kayrros</t>
        </r>
        <r>
          <rPr>
            <sz val="9"/>
            <color indexed="81"/>
            <rFont val="Tahoma"/>
            <family val="2"/>
          </rPr>
          <t xml:space="preserve">
</t>
        </r>
      </text>
    </comment>
    <comment ref="K22" authorId="0" shapeId="0" xr:uid="{192A2E97-DBE8-40F1-8815-E5E5D625851F}">
      <text>
        <r>
          <rPr>
            <b/>
            <sz val="9"/>
            <color indexed="81"/>
            <rFont val="Tahoma"/>
            <family val="2"/>
          </rPr>
          <t>Investment in Simera</t>
        </r>
      </text>
    </comment>
  </commentList>
</comments>
</file>

<file path=xl/sharedStrings.xml><?xml version="1.0" encoding="utf-8"?>
<sst xmlns="http://schemas.openxmlformats.org/spreadsheetml/2006/main" count="2483" uniqueCount="676">
  <si>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</si>
  <si>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</si>
  <si>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</si>
  <si>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</si>
  <si>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</si>
  <si>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</si>
  <si>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</si>
  <si>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</si>
  <si>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</si>
  <si>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</si>
  <si>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</si>
  <si>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</si>
  <si>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</si>
  <si>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</si>
  <si>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</si>
  <si>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</si>
  <si>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</si>
  <si>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</si>
  <si>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</si>
  <si>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</si>
  <si>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</si>
  <si>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</si>
  <si>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</si>
  <si>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</si>
  <si>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</si>
  <si>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</si>
  <si>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</si>
  <si>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</si>
  <si>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</si>
  <si>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</si>
  <si>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</si>
  <si>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</si>
  <si>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</si>
  <si>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</si>
  <si>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</si>
  <si>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</si>
  <si>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</si>
  <si>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USD Millions</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</si>
  <si>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</si>
  <si>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</si>
  <si>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</si>
  <si>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</si>
  <si>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</si>
  <si>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</si>
  <si>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</si>
  <si>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</si>
  <si>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</si>
  <si>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</si>
  <si>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</si>
  <si>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</si>
  <si>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</si>
  <si>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</si>
  <si>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</si>
  <si>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</si>
  <si>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</si>
  <si>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</si>
  <si>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</si>
  <si>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</si>
  <si>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</si>
  <si>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</si>
  <si>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</si>
  <si>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</si>
  <si>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</si>
  <si>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</si>
  <si>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</si>
  <si>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</si>
  <si>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</si>
  <si>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</si>
  <si>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</si>
  <si>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</si>
  <si>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</si>
  <si>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</si>
  <si>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</si>
  <si>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</si>
  <si>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</si>
  <si>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</si>
  <si>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</si>
  <si>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</si>
  <si>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</si>
  <si>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</si>
  <si>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</si>
  <si>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</si>
  <si>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</si>
  <si>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</si>
  <si>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</si>
  <si>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</si>
  <si>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</si>
  <si>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</si>
  <si>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</si>
  <si>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</si>
  <si>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</si>
  <si>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</si>
  <si>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</si>
  <si>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</si>
  <si>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Remaining Value</t>
  </si>
  <si>
    <t xml:space="preserve"> (in USD, Mn)</t>
  </si>
  <si>
    <t>Contribution</t>
  </si>
  <si>
    <t>DPI</t>
  </si>
  <si>
    <t>RVPI</t>
  </si>
  <si>
    <t>Guy Harmelin (Independent Director)</t>
  </si>
  <si>
    <t xml:space="preserve">Peng Xiao </t>
  </si>
  <si>
    <t>Eric Xing</t>
  </si>
  <si>
    <t>None appointed</t>
  </si>
  <si>
    <t xml:space="preserve">Guy Harmelin </t>
  </si>
  <si>
    <t>1 Observer</t>
  </si>
  <si>
    <t>1 Board</t>
  </si>
  <si>
    <t>2 Board</t>
  </si>
  <si>
    <t>New Space Capital SCSp</t>
  </si>
  <si>
    <t xml:space="preserve">Talal </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</si>
  <si>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</si>
  <si>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</si>
  <si>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</si>
  <si>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</si>
  <si>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</si>
  <si>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</si>
  <si>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</si>
  <si>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</si>
  <si>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</si>
  <si>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</si>
  <si>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</si>
  <si>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</si>
  <si>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</si>
  <si>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</si>
  <si>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</si>
  <si>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</si>
  <si>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</si>
  <si>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</si>
  <si>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</si>
  <si>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</si>
  <si>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</si>
  <si>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</si>
  <si>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</si>
  <si>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</si>
  <si>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</si>
  <si>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</si>
  <si>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</si>
  <si>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</si>
  <si>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</si>
  <si>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</si>
  <si>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</si>
  <si>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</si>
  <si>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</si>
  <si>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</si>
  <si>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</si>
  <si>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</si>
  <si>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</si>
  <si>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</si>
  <si>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</si>
  <si>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</si>
  <si>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</si>
  <si>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</si>
  <si>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</si>
  <si>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</si>
  <si>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</si>
  <si>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</si>
  <si>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</si>
  <si>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</si>
  <si>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</si>
  <si>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</si>
  <si>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</si>
  <si>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</si>
  <si>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</si>
  <si>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XIRR</t>
  </si>
  <si>
    <t>Combined</t>
  </si>
  <si>
    <t>RPI</t>
  </si>
  <si>
    <t>Contributions</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</si>
  <si>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</si>
  <si>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</si>
  <si>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</si>
  <si>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</si>
  <si>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</si>
  <si>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</si>
  <si>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</si>
  <si>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</si>
  <si>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 xml:space="preserve">RPI </t>
  </si>
  <si>
    <t>Acies Investments Fund I, L.P.</t>
  </si>
  <si>
    <t>Fund Level Summary</t>
  </si>
  <si>
    <t>Overall Summary</t>
  </si>
  <si>
    <t>EQUITY</t>
  </si>
  <si>
    <t>DEBT</t>
  </si>
  <si>
    <t>FUNDS</t>
  </si>
  <si>
    <t>TOTAL</t>
  </si>
  <si>
    <t>Investtment Level Summary</t>
  </si>
  <si>
    <t xml:space="preserve">Contributions </t>
  </si>
  <si>
    <t xml:space="preserve">Distributions </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</si>
  <si>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</si>
  <si>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</si>
  <si>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</si>
  <si>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</si>
  <si>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</si>
  <si>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</si>
  <si>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</si>
  <si>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</si>
  <si>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</si>
  <si>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</si>
  <si>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</si>
  <si>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</si>
  <si>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</si>
  <si>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</si>
  <si>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</si>
  <si>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</si>
  <si>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</si>
  <si>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</si>
  <si>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</si>
  <si>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</si>
  <si>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</si>
  <si>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</si>
  <si>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IRR - Debt</t>
  </si>
  <si>
    <t>IRR - FUNDS</t>
  </si>
  <si>
    <t>IRR - Equity (Individual Investments)</t>
  </si>
  <si>
    <t xml:space="preserve">Remaining </t>
  </si>
  <si>
    <t>% OWNERSHIP</t>
  </si>
  <si>
    <t>USA</t>
  </si>
  <si>
    <t>IRR - All Investments (Equity, Debt, Funds)</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</si>
  <si>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</si>
  <si>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</si>
  <si>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</si>
  <si>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</si>
  <si>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</si>
  <si>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</si>
  <si>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</si>
  <si>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</si>
  <si>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</si>
  <si>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</si>
  <si>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</si>
  <si>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</si>
  <si>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</si>
  <si>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</si>
  <si>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</si>
  <si>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</si>
  <si>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</si>
  <si>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</si>
  <si>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</si>
  <si>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</si>
  <si>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</si>
  <si>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</si>
  <si>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At Series C PPS $18.75/share with 20% discount</t>
  </si>
  <si>
    <t>Held at cost (as per revised management guidance)</t>
  </si>
  <si>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</si>
  <si>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</si>
  <si>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</si>
  <si>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</si>
  <si>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</si>
  <si>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</si>
  <si>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</si>
  <si>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</si>
  <si>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</si>
  <si>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</si>
  <si>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</si>
  <si>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</si>
  <si>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</si>
  <si>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</si>
  <si>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</si>
  <si>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</si>
  <si>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</si>
  <si>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</si>
  <si>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</si>
  <si>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</si>
  <si>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</si>
  <si>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</si>
  <si>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</si>
  <si>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</si>
  <si>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</si>
  <si>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</si>
  <si>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</si>
  <si>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</si>
  <si>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</si>
  <si>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</si>
  <si>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</si>
  <si>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</si>
  <si>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</si>
  <si>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</si>
  <si>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</si>
  <si>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</si>
  <si>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r>
      <t>IRR</t>
    </r>
    <r>
      <rPr>
        <b/>
        <vertAlign val="superscript"/>
        <sz val="11"/>
        <color theme="0"/>
        <rFont val="Calibri"/>
        <family val="2"/>
      </rPr>
      <t>β</t>
    </r>
  </si>
  <si>
    <t>NAV</t>
  </si>
  <si>
    <t>Total Gain</t>
  </si>
  <si>
    <t>Post Valuation closed in June 2021 (RMB)</t>
  </si>
  <si>
    <t>G42 Stake</t>
  </si>
  <si>
    <t>G42 Valuation before Discount (RMB)</t>
  </si>
  <si>
    <t>Liquidity Discount</t>
  </si>
  <si>
    <t>Minority Holding Discount</t>
  </si>
  <si>
    <t>G42 Valuation  (RMB)</t>
  </si>
  <si>
    <t>G42 Valuation  (USD)</t>
  </si>
  <si>
    <t>Investment Cost of G42 (USD)</t>
  </si>
  <si>
    <t>Investment Multiple</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</si>
  <si>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</si>
  <si>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</si>
  <si>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</si>
  <si>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</si>
  <si>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</si>
  <si>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</si>
  <si>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1 Board, 1 Observer</t>
  </si>
  <si>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</si>
  <si>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</si>
  <si>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</si>
  <si>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</si>
  <si>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</si>
  <si>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</si>
  <si>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</si>
  <si>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IRR - G42 Investments</t>
  </si>
  <si>
    <t xml:space="preserve">IRR - Mozn Investments </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</si>
  <si>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</si>
  <si>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</si>
  <si>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</si>
  <si>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</si>
  <si>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</si>
  <si>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</si>
  <si>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</si>
  <si>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</si>
  <si>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</si>
  <si>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</si>
  <si>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</si>
  <si>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</si>
  <si>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</si>
  <si>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</si>
  <si>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</si>
  <si>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</si>
  <si>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</si>
  <si>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</si>
  <si>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</si>
  <si>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</si>
  <si>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</si>
  <si>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</si>
  <si>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</si>
  <si>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</si>
  <si>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</si>
  <si>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</si>
  <si>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</si>
  <si>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xe.com</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</si>
  <si>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</si>
  <si>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</si>
  <si>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</si>
  <si>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</si>
  <si>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</si>
  <si>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</si>
  <si>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</si>
  <si>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</si>
  <si>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</si>
  <si>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</si>
  <si>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</si>
  <si>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PIC</t>
  </si>
  <si>
    <t>RV</t>
  </si>
  <si>
    <t>Dist</t>
  </si>
  <si>
    <t>Investment Level Summary</t>
  </si>
  <si>
    <t>E Q U I T Y</t>
  </si>
  <si>
    <t>Checks</t>
  </si>
  <si>
    <t>MOZN</t>
  </si>
  <si>
    <t xml:space="preserve">Gain </t>
  </si>
  <si>
    <t>YTD Gains</t>
  </si>
  <si>
    <t>October 22</t>
  </si>
  <si>
    <t xml:space="preserve"> Exchange Rate (RMB/USD)</t>
  </si>
  <si>
    <t>Updated as on:</t>
  </si>
  <si>
    <t>Distribution | Actualization Interest</t>
  </si>
  <si>
    <t>Test</t>
  </si>
  <si>
    <t>TEST</t>
  </si>
  <si>
    <t>Q1 2023</t>
  </si>
  <si>
    <t>Divyesh Mahajan</t>
  </si>
  <si>
    <t>Marty</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</si>
  <si>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</si>
  <si>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</si>
  <si>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</si>
  <si>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</si>
  <si>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</si>
  <si>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</si>
  <si>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</si>
  <si>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</si>
  <si>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</si>
  <si>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</si>
  <si>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</si>
  <si>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</si>
  <si>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</si>
  <si>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</si>
  <si>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</si>
  <si>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</si>
  <si>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</si>
  <si>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</si>
  <si>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</si>
  <si>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</si>
  <si>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Adjusted for currency. Valued at the recent round</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</si>
  <si>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</si>
  <si>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</si>
  <si>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</si>
  <si>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</si>
  <si>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</si>
  <si>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</si>
  <si>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</si>
  <si>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</si>
  <si>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</si>
  <si>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</si>
  <si>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</si>
  <si>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</si>
  <si>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Jun'22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</si>
  <si>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</si>
  <si>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</si>
  <si>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</si>
  <si>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</si>
  <si>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</si>
  <si>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</si>
  <si>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</si>
  <si>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</si>
  <si>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</si>
  <si>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</si>
  <si>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</si>
  <si>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</si>
  <si>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</si>
  <si>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</si>
  <si>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</si>
  <si>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</si>
  <si>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</si>
  <si>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</si>
  <si>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</si>
  <si>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</si>
  <si>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</si>
  <si>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</si>
  <si>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</si>
  <si>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</si>
  <si>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</si>
  <si>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</si>
  <si>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</si>
  <si>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</si>
  <si>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</si>
  <si>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</si>
  <si>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</si>
  <si>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</si>
  <si>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</si>
  <si>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</si>
  <si>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</si>
  <si>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</si>
  <si>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</si>
  <si>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</si>
  <si>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</si>
  <si>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</si>
  <si>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</si>
  <si>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</si>
  <si>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</si>
  <si>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</si>
  <si>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</si>
  <si>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</si>
  <si>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New Space Capital LP (conversion / restructuring summary)</t>
  </si>
  <si>
    <t>1Q23</t>
  </si>
  <si>
    <t>105,400,00</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</si>
  <si>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</si>
  <si>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</si>
  <si>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</si>
  <si>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</si>
  <si>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</si>
  <si>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</si>
  <si>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</si>
  <si>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</si>
  <si>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</si>
  <si>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</si>
  <si>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</si>
  <si>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</si>
  <si>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</si>
  <si>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</si>
  <si>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</si>
  <si>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</si>
  <si>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</si>
  <si>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</si>
  <si>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</si>
  <si>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</si>
  <si>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</si>
  <si>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</si>
  <si>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</si>
  <si>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</si>
  <si>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</si>
  <si>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</si>
  <si>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</si>
  <si>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</si>
  <si>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</si>
  <si>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</si>
  <si>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</si>
  <si>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</si>
  <si>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</si>
  <si>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</si>
  <si>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</si>
  <si>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</si>
  <si>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</si>
  <si>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</si>
  <si>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</si>
  <si>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 xml:space="preserve">Xfusion </t>
  </si>
  <si>
    <t>Honor</t>
  </si>
  <si>
    <t>Written Off</t>
  </si>
  <si>
    <t>Written-off</t>
  </si>
  <si>
    <t>In Default</t>
  </si>
  <si>
    <t>Q4 2023</t>
  </si>
  <si>
    <t>To be replaced by JN</t>
  </si>
  <si>
    <t>PX to be replaced by XP</t>
  </si>
  <si>
    <t xml:space="preserve">1 Board </t>
  </si>
  <si>
    <t>Additonal Upside/Downside</t>
  </si>
  <si>
    <t>3Q'23</t>
  </si>
  <si>
    <t>Q3'23  capital account statement</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</si>
  <si>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</si>
  <si>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</si>
  <si>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</si>
  <si>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</si>
  <si>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</si>
  <si>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</si>
  <si>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</si>
  <si>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</si>
  <si>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</si>
  <si>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</si>
  <si>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</si>
  <si>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</si>
  <si>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</si>
  <si>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</si>
  <si>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</si>
  <si>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</si>
  <si>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</si>
  <si>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</si>
  <si>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</si>
  <si>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</si>
  <si>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</si>
  <si>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</si>
  <si>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</si>
  <si>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</si>
  <si>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</si>
  <si>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</si>
  <si>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</si>
  <si>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</si>
  <si>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</si>
  <si>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</si>
  <si>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</si>
  <si>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</si>
  <si>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</si>
  <si>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</si>
  <si>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</si>
  <si>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</si>
  <si>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</si>
  <si>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</si>
  <si>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</si>
  <si>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</si>
  <si>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</si>
  <si>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</si>
  <si>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</si>
  <si>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</si>
  <si>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</si>
  <si>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</si>
  <si>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</si>
  <si>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</si>
  <si>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</si>
  <si>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</si>
  <si>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</si>
  <si>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</si>
  <si>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</si>
  <si>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</si>
  <si>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</si>
  <si>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</si>
  <si>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</si>
  <si>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</si>
  <si>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</si>
  <si>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</si>
  <si>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</si>
  <si>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</si>
  <si>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</si>
  <si>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</si>
  <si>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</si>
  <si>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</si>
  <si>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</si>
  <si>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</si>
  <si>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</si>
  <si>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</si>
  <si>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</si>
  <si>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</si>
  <si>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</si>
  <si>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</si>
  <si>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</si>
  <si>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</si>
  <si>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</si>
  <si>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</si>
  <si>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</si>
  <si>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</si>
  <si>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</si>
  <si>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</si>
  <si>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</si>
  <si>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</si>
  <si>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</si>
  <si>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</si>
  <si>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</si>
  <si>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</si>
  <si>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</si>
  <si>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</si>
  <si>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</si>
  <si>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</si>
  <si>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</si>
  <si>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</si>
  <si>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</si>
  <si>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</si>
  <si>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</si>
  <si>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</si>
  <si>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</si>
  <si>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</si>
  <si>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</si>
  <si>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</si>
  <si>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</si>
  <si>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</si>
  <si>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</si>
  <si>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</si>
  <si>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</si>
  <si>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</si>
  <si>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</si>
  <si>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</si>
  <si>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</si>
  <si>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</si>
  <si>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</si>
  <si>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</si>
  <si>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</si>
  <si>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</si>
  <si>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</si>
  <si>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</si>
  <si>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</si>
  <si>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</si>
  <si>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</si>
  <si>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</si>
  <si>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</si>
  <si>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</si>
  <si>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</si>
  <si>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</si>
  <si>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</si>
  <si>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</si>
  <si>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</si>
  <si>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</si>
  <si>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</si>
  <si>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</si>
  <si>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</si>
  <si>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</si>
  <si>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</si>
  <si>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</si>
  <si>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</si>
  <si>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</si>
  <si>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</si>
  <si>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</si>
  <si>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</si>
  <si>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</si>
  <si>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</si>
  <si>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</si>
  <si>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</si>
  <si>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</si>
  <si>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</si>
  <si>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</si>
  <si>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</si>
  <si>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</si>
  <si>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</si>
  <si>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</si>
  <si>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</si>
  <si>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</si>
  <si>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</si>
  <si>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</si>
  <si>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</si>
  <si>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</si>
  <si>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</si>
  <si>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</si>
  <si>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</si>
  <si>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</si>
  <si>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</si>
  <si>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</si>
  <si>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</si>
  <si>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</si>
  <si>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</si>
  <si>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</si>
  <si>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</si>
  <si>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Marked up</t>
  </si>
  <si>
    <t>Tokens valued at $0.3 per token (volatility, lock-up discount etc)</t>
  </si>
  <si>
    <t>• Respective listed share prices for ONT and vTv Therapeutics are used for estimating the NAVs</t>
  </si>
  <si>
    <t xml:space="preserve"> USD Millions</t>
  </si>
  <si>
    <t>General</t>
  </si>
  <si>
    <t>Invested via G42 Capital</t>
  </si>
  <si>
    <t>Invested via Core42</t>
  </si>
  <si>
    <t>To be monitored (see Note 0)</t>
  </si>
  <si>
    <t>Expansion Project Technologies Holding 7 SPV RSC Ltd</t>
  </si>
  <si>
    <t>IRR - Core42 Investments</t>
  </si>
  <si>
    <t>IRR - G42 Capital</t>
  </si>
  <si>
    <t>Position Exited or written off are highlighted</t>
  </si>
  <si>
    <t>Q3'23 pro-rated</t>
  </si>
  <si>
    <t>F U N D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</si>
</sst>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0">
    <numFmt numFmtId="8" formatCode="&quot;AED&quot;#,##0.00;[Red]\-&quot;AED&quot;#,##0.00"/>
    <numFmt numFmtId="43" formatCode="_-* #,##0.00_-;\-* #,##0.00_-;_-* &quot;-&quot;??_-;_-@_-"/>
    <numFmt numFmtId="164" formatCode="_(* #,##0.00_);_(* \(#,##0.00\);_(* &quot;-&quot;??_);_(@_)"/>
    <numFmt numFmtId="165" formatCode="&quot;$&quot;#,##0.00_);[Red]\(&quot;$&quot;#,##0.00\)"/>
    <numFmt numFmtId="166" formatCode="_(&quot;$&quot;* #,##0.00_);_(&quot;$&quot;* \(#,##0.00\);_(&quot;$&quot;* &quot;-&quot;??_);_(@_)"/>
    <numFmt numFmtId="167" formatCode="&quot;$&quot;#,##0_);[Red]\(&quot;$&quot;#,##0\)"/>
    <numFmt numFmtId="168" formatCode="0.00\x"/>
    <numFmt numFmtId="169" formatCode="0.0%"/>
    <numFmt numFmtId="170" formatCode="0.0\x"/>
    <numFmt numFmtId="171" formatCode="&quot;$&quot;#,##0.0_);[Red]\(&quot;$&quot;#,##0.0\)"/>
    <numFmt numFmtId="172" formatCode="[$-14C09]d\ mmm\ yyyy;@"/>
    <numFmt numFmtId="173" formatCode="#,##0.000000;[Red]#,##0.000000"/>
    <numFmt numFmtId="174" formatCode="[$£-809]#,##0;[Red][$£-809]#,##0"/>
    <numFmt numFmtId="175" formatCode="[$£-809]#,##0"/>
    <numFmt numFmtId="176" formatCode="&quot;€&quot;#,##0.000_);[Red]\(&quot;€&quot;#,##0.000\)"/>
    <numFmt numFmtId="177" formatCode="&quot;€&quot;#,##0.0_);[Red]\(&quot;€&quot;#,##0.0\)"/>
    <numFmt numFmtId="178" formatCode="#,##0.0;[Red]#,##0.0"/>
    <numFmt numFmtId="179" formatCode="#,##0.00\x"/>
    <numFmt numFmtId="180" formatCode="#,##0.00;[Red]#,##0.00"/>
    <numFmt numFmtId="181" formatCode="[$$-409]#,##0.00_ ;[Red]\-[$$-409]#,##0.00\ "/>
    <numFmt numFmtId="182" formatCode="&quot;AED&quot;#,##0.00"/>
    <numFmt numFmtId="183" formatCode="#,##0;[Red]#,##0"/>
    <numFmt numFmtId="184" formatCode="[$$-409]#,##0.00"/>
    <numFmt numFmtId="185" formatCode="[$$-409]#,##0.0"/>
    <numFmt numFmtId="186" formatCode="_ * #,##0.00_ ;_ * \-#,##0.00_ ;_ * &quot;-&quot;??_ ;_ @_ "/>
    <numFmt numFmtId="187" formatCode="0.0000%"/>
    <numFmt numFmtId="188" formatCode="\$0.0;\-0.0;;@"/>
    <numFmt numFmtId="189" formatCode="&quot;n/a&quot;"/>
    <numFmt numFmtId="190" formatCode="_ * #,##0_ ;_ * \-#,##0_ ;_ * &quot;-&quot;??_ ;_ @_ "/>
    <numFmt numFmtId="191" formatCode="&quot;€&quot;#,##0.00_);[Red]\(&quot;€&quot;#,##0.00\)"/>
    <numFmt numFmtId="192" formatCode="_-[$$-409]* #,##0.00_ ;_-[$$-409]* \-#,##0.00\ ;_-[$$-409]* &quot;-&quot;??_ ;_-@_ "/>
    <numFmt numFmtId="193" formatCode="&quot;$&quot;#,##0.0000_);[Red]\(&quot;$&quot;#,##0.0000\)"/>
    <numFmt numFmtId="194" formatCode="&quot;$&quot;#,##0.000000_);[Red]\(&quot;$&quot;#,##0.000000\)"/>
    <numFmt numFmtId="195" formatCode="[$$-409]#,##0.00_ ;\-[$$-409]#,##0.00\ "/>
    <numFmt numFmtId="196" formatCode="#,##0.0000\x"/>
    <numFmt numFmtId="197" formatCode="#,##0.00000\x"/>
    <numFmt numFmtId="198" formatCode="&quot;$&quot;#,##0.00000_);[Red]\(&quot;$&quot;#,##0.00000\)"/>
    <numFmt numFmtId="199" formatCode="[$$-409]#,##0_ ;\-[$$-409]#,##0\ "/>
    <numFmt numFmtId="200" formatCode="[$$-409]#,##0.0_);\([$$-409]#,##0.0\);[$$-409]#,##0.0_);@_)"/>
    <numFmt numFmtId="205" formatCode="0.000%"/>
  </numFmts>
  <fonts count="88"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b/>
      <sz val="10"/>
      <color rgb="FF0000CC"/>
      <name val="Garamond"/>
      <family val="1"/>
    </font>
    <font>
      <sz val="10"/>
      <name val="Garamond"/>
      <family val="1"/>
    </font>
    <font>
      <sz val="10"/>
      <color theme="1" tint="0.249977111117893"/>
      <name val="Garamond"/>
      <family val="1"/>
    </font>
    <font>
      <b/>
      <sz val="10"/>
      <color theme="1" tint="0.249977111117893"/>
      <name val="Garamond"/>
      <family val="1"/>
    </font>
    <font>
      <i/>
      <sz val="10"/>
      <color theme="1"/>
      <name val="Garamond"/>
      <family val="1"/>
    </font>
    <font>
      <b/>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b/>
      <vertAlign val="superscript"/>
      <sz val="11"/>
      <color theme="0"/>
      <name val="Calibri"/>
      <family val="2"/>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i/>
      <sz val="9"/>
      <color theme="1"/>
      <name val="Garamond"/>
      <family val="1"/>
    </font>
    <font>
      <b/>
      <i/>
      <sz val="9"/>
      <color theme="1"/>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i/>
      <sz val="9"/>
      <color indexed="81"/>
      <name val="Tahoma"/>
      <family val="2"/>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s>
  <fills count="34">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s>
  <borders count="32">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top style="thin">
        <color rgb="FFEEEEEC"/>
      </top>
      <bottom/>
      <diagonal/>
    </border>
    <border>
      <left style="thin">
        <color theme="0"/>
      </left>
      <right style="thin">
        <color theme="0"/>
      </right>
      <top style="thin">
        <color theme="0"/>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s>
  <cellStyleXfs count="14">
    <xf numFmtId="0" fontId="0" fillId="0" borderId="0"/>
    <xf numFmtId="9" fontId="1" fillId="0" borderId="0" applyFont="0" applyFill="0" applyBorder="0" applyAlignment="0" applyProtection="0"/>
    <xf numFmtId="164" fontId="1" fillId="0" borderId="0" applyFont="0" applyFill="0" applyBorder="0" applyAlignment="0" applyProtection="0"/>
    <xf numFmtId="0" fontId="3" fillId="0" borderId="0"/>
    <xf numFmtId="164" fontId="3" fillId="0" borderId="0" applyFont="0" applyFill="0" applyBorder="0" applyAlignment="0" applyProtection="0"/>
    <xf numFmtId="166" fontId="3" fillId="0" borderId="0" applyFont="0" applyFill="0" applyBorder="0" applyAlignment="0" applyProtection="0"/>
    <xf numFmtId="0" fontId="5" fillId="0" borderId="0" applyNumberFormat="0" applyFill="0" applyBorder="0" applyAlignment="0" applyProtection="0"/>
    <xf numFmtId="0" fontId="1" fillId="0" borderId="0"/>
    <xf numFmtId="43" fontId="1" fillId="0" borderId="0" applyFont="0" applyFill="0" applyBorder="0" applyAlignment="0" applyProtection="0"/>
    <xf numFmtId="166" fontId="1" fillId="0" borderId="0" applyFont="0" applyFill="0" applyBorder="0" applyAlignment="0" applyProtection="0"/>
    <xf numFmtId="0" fontId="50" fillId="0" borderId="0">
      <alignment vertical="center"/>
    </xf>
    <xf numFmtId="186" fontId="50" fillId="0" borderId="0" applyFont="0" applyFill="0" applyBorder="0" applyAlignment="0" applyProtection="0">
      <alignment vertical="center"/>
    </xf>
    <xf numFmtId="9" fontId="50" fillId="0" borderId="0" applyFont="0" applyFill="0" applyBorder="0" applyAlignment="0" applyProtection="0">
      <alignment vertical="center"/>
    </xf>
    <xf numFmtId="0" fontId="51" fillId="0" borderId="0" applyAlignment="0"/>
  </cellStyleXfs>
  <cellXfs count="679">
    <xf numFmtId="0" fontId="0" fillId="0" borderId="0" xfId="0"/>
    <xf numFmtId="0" fontId="2" fillId="2" borderId="0" xfId="0" applyFont="1" applyFill="1" applyBorder="1" applyAlignment="1">
      <alignment horizontal="center" vertical="center" wrapText="1"/>
    </xf>
    <xf numFmtId="165" fontId="6" fillId="0" borderId="2" xfId="0" applyNumberFormat="1" applyFont="1" applyFill="1" applyBorder="1" applyAlignment="1">
      <alignment horizontal="center" vertical="center"/>
    </xf>
    <xf numFmtId="0" fontId="2" fillId="2" borderId="0" xfId="0" applyFont="1" applyFill="1" applyBorder="1" applyAlignment="1">
      <alignment horizontal="left" vertical="center" wrapText="1"/>
    </xf>
    <xf numFmtId="165" fontId="7" fillId="0" borderId="2" xfId="0" applyNumberFormat="1" applyFont="1" applyFill="1" applyBorder="1" applyAlignment="1">
      <alignment horizontal="left" vertical="center"/>
    </xf>
    <xf numFmtId="165" fontId="7" fillId="0" borderId="0" xfId="0" applyNumberFormat="1" applyFont="1" applyFill="1" applyBorder="1" applyAlignment="1">
      <alignment horizontal="left" vertical="center"/>
    </xf>
    <xf numFmtId="1" fontId="6" fillId="0" borderId="2" xfId="2" applyNumberFormat="1" applyFont="1" applyFill="1" applyBorder="1" applyAlignment="1">
      <alignment horizontal="center" vertical="center"/>
    </xf>
    <xf numFmtId="165" fontId="6" fillId="0" borderId="0" xfId="0" applyNumberFormat="1" applyFont="1" applyFill="1" applyBorder="1" applyAlignment="1">
      <alignment horizontal="center" vertical="center"/>
    </xf>
    <xf numFmtId="165" fontId="4" fillId="0" borderId="0" xfId="0" applyNumberFormat="1" applyFont="1" applyFill="1" applyBorder="1" applyAlignment="1">
      <alignment horizontal="center" vertical="center"/>
    </xf>
    <xf numFmtId="165" fontId="7" fillId="3" borderId="1" xfId="0" applyNumberFormat="1" applyFont="1" applyFill="1" applyBorder="1" applyAlignment="1">
      <alignment horizontal="center" vertical="center"/>
    </xf>
    <xf numFmtId="170" fontId="6" fillId="0" borderId="2" xfId="0" applyNumberFormat="1" applyFont="1" applyFill="1" applyBorder="1" applyAlignment="1">
      <alignment horizontal="center" vertical="center"/>
    </xf>
    <xf numFmtId="170" fontId="7" fillId="3" borderId="1" xfId="0" applyNumberFormat="1" applyFont="1" applyFill="1" applyBorder="1" applyAlignment="1">
      <alignment horizontal="center" vertical="center"/>
    </xf>
    <xf numFmtId="170" fontId="4" fillId="0" borderId="0" xfId="0" applyNumberFormat="1" applyFont="1" applyFill="1" applyBorder="1" applyAlignment="1">
      <alignment horizontal="center" vertical="center"/>
    </xf>
    <xf numFmtId="165" fontId="6" fillId="0" borderId="0" xfId="0" applyNumberFormat="1" applyFont="1" applyFill="1" applyBorder="1" applyAlignment="1">
      <alignment horizontal="left" vertical="center"/>
    </xf>
    <xf numFmtId="1" fontId="6" fillId="0" borderId="0" xfId="2" applyNumberFormat="1" applyFont="1" applyFill="1" applyBorder="1" applyAlignment="1">
      <alignment horizontal="center" vertical="center"/>
    </xf>
    <xf numFmtId="170" fontId="6" fillId="0" borderId="0" xfId="0" applyNumberFormat="1" applyFont="1" applyFill="1" applyBorder="1" applyAlignment="1">
      <alignment horizontal="center" vertical="center"/>
    </xf>
    <xf numFmtId="165" fontId="8" fillId="0" borderId="2" xfId="0" applyNumberFormat="1" applyFont="1" applyFill="1" applyBorder="1" applyAlignment="1">
      <alignment horizontal="left" vertical="center"/>
    </xf>
    <xf numFmtId="171" fontId="6" fillId="0" borderId="2" xfId="0" applyNumberFormat="1" applyFont="1" applyFill="1" applyBorder="1" applyAlignment="1">
      <alignment horizontal="center" vertical="center"/>
    </xf>
    <xf numFmtId="171" fontId="7" fillId="3" borderId="1" xfId="0" applyNumberFormat="1" applyFont="1" applyFill="1" applyBorder="1" applyAlignment="1">
      <alignment horizontal="center" vertical="center"/>
    </xf>
    <xf numFmtId="171" fontId="4" fillId="0" borderId="0" xfId="0" applyNumberFormat="1" applyFont="1" applyFill="1" applyBorder="1" applyAlignment="1">
      <alignment horizontal="center" vertical="center"/>
    </xf>
    <xf numFmtId="169" fontId="6" fillId="0" borderId="2" xfId="1" applyNumberFormat="1" applyFont="1" applyFill="1" applyBorder="1" applyAlignment="1">
      <alignment horizontal="center" vertical="center"/>
    </xf>
    <xf numFmtId="169" fontId="7" fillId="3" borderId="1" xfId="1" applyNumberFormat="1" applyFont="1" applyFill="1" applyBorder="1" applyAlignment="1">
      <alignment horizontal="center" vertical="center"/>
    </xf>
    <xf numFmtId="169" fontId="4" fillId="0" borderId="0" xfId="1" applyNumberFormat="1" applyFont="1" applyFill="1" applyBorder="1" applyAlignment="1">
      <alignment horizontal="center" vertical="center"/>
    </xf>
    <xf numFmtId="169" fontId="6" fillId="0" borderId="0" xfId="1" applyNumberFormat="1" applyFont="1" applyFill="1" applyBorder="1" applyAlignment="1">
      <alignment horizontal="center" vertical="center"/>
    </xf>
    <xf numFmtId="171" fontId="6" fillId="0" borderId="0" xfId="0" applyNumberFormat="1" applyFont="1" applyFill="1" applyBorder="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Fill="1" applyBorder="1" applyAlignment="1">
      <alignment horizontal="center" vertical="center"/>
    </xf>
    <xf numFmtId="0" fontId="10" fillId="0" borderId="0" xfId="0" applyFont="1"/>
    <xf numFmtId="14" fontId="10" fillId="6" borderId="0" xfId="3" applyNumberFormat="1" applyFont="1" applyFill="1"/>
    <xf numFmtId="172" fontId="10" fillId="6" borderId="0" xfId="3" applyNumberFormat="1" applyFont="1" applyFill="1" applyAlignment="1">
      <alignment horizontal="center"/>
    </xf>
    <xf numFmtId="14" fontId="10" fillId="11" borderId="0" xfId="3" applyNumberFormat="1" applyFont="1" applyFill="1"/>
    <xf numFmtId="172" fontId="10" fillId="11"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1" borderId="0" xfId="3" applyNumberFormat="1" applyFont="1" applyFill="1" applyAlignment="1">
      <alignment horizontal="center"/>
    </xf>
    <xf numFmtId="0" fontId="10" fillId="0" borderId="0" xfId="0" applyFont="1" applyFill="1"/>
    <xf numFmtId="0" fontId="11" fillId="0" borderId="0" xfId="0" applyFont="1"/>
    <xf numFmtId="165" fontId="10" fillId="6" borderId="0" xfId="4" applyNumberFormat="1" applyFont="1" applyFill="1" applyAlignment="1">
      <alignment horizontal="center"/>
    </xf>
    <xf numFmtId="165" fontId="10" fillId="11" borderId="0" xfId="4" applyNumberFormat="1" applyFont="1" applyFill="1" applyAlignment="1">
      <alignment horizontal="center"/>
    </xf>
    <xf numFmtId="0" fontId="12" fillId="7" borderId="0" xfId="3" applyFont="1" applyFill="1" applyAlignment="1">
      <alignment vertical="center" wrapText="1"/>
    </xf>
    <xf numFmtId="172"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0" fontId="10" fillId="0" borderId="0" xfId="0" applyFont="1" applyAlignment="1">
      <alignment wrapText="1"/>
    </xf>
    <xf numFmtId="165" fontId="10" fillId="0" borderId="0" xfId="0" applyNumberFormat="1" applyFont="1" applyAlignment="1">
      <alignment horizontal="center"/>
    </xf>
    <xf numFmtId="168" fontId="10" fillId="0" borderId="0" xfId="0" applyNumberFormat="1" applyFont="1" applyAlignment="1">
      <alignment horizontal="center"/>
    </xf>
    <xf numFmtId="9" fontId="10" fillId="0" borderId="0" xfId="0" applyNumberFormat="1" applyFont="1" applyAlignment="1">
      <alignment horizontal="center"/>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165" fontId="4" fillId="0" borderId="0" xfId="0" applyNumberFormat="1" applyFont="1" applyFill="1" applyBorder="1" applyAlignment="1">
      <alignment horizontal="left" vertical="center"/>
    </xf>
    <xf numFmtId="165" fontId="6" fillId="0" borderId="2" xfId="0" applyNumberFormat="1" applyFont="1" applyFill="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9" fontId="4" fillId="0" borderId="0" xfId="1" applyNumberFormat="1" applyFont="1" applyFill="1" applyBorder="1" applyAlignment="1">
      <alignment horizontal="left" vertical="center"/>
    </xf>
    <xf numFmtId="169" fontId="6" fillId="0" borderId="2" xfId="1" applyNumberFormat="1" applyFont="1" applyFill="1" applyBorder="1" applyAlignment="1">
      <alignment horizontal="left" vertical="center"/>
    </xf>
    <xf numFmtId="169"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5" fillId="7" borderId="0" xfId="3" applyFont="1" applyFill="1" applyAlignment="1">
      <alignment vertical="center" wrapText="1"/>
    </xf>
    <xf numFmtId="0" fontId="16" fillId="4" borderId="0" xfId="3" applyFont="1" applyFill="1" applyAlignment="1">
      <alignment wrapText="1"/>
    </xf>
    <xf numFmtId="0" fontId="16" fillId="15" borderId="0" xfId="3" applyFont="1" applyFill="1" applyAlignment="1">
      <alignment horizontal="center"/>
    </xf>
    <xf numFmtId="0" fontId="16" fillId="15" borderId="0" xfId="3" applyFont="1" applyFill="1"/>
    <xf numFmtId="171" fontId="16" fillId="15" borderId="0" xfId="4" applyNumberFormat="1" applyFont="1" applyFill="1" applyAlignment="1">
      <alignment horizontal="center"/>
    </xf>
    <xf numFmtId="0" fontId="16" fillId="4" borderId="0" xfId="3" applyFont="1" applyFill="1"/>
    <xf numFmtId="14" fontId="16" fillId="15" borderId="0" xfId="3" applyNumberFormat="1" applyFont="1" applyFill="1" applyAlignment="1">
      <alignment horizontal="center"/>
    </xf>
    <xf numFmtId="0" fontId="16" fillId="5" borderId="0" xfId="3" applyFont="1" applyFill="1"/>
    <xf numFmtId="14" fontId="16" fillId="5" borderId="0" xfId="3" applyNumberFormat="1" applyFont="1" applyFill="1" applyAlignment="1">
      <alignment horizontal="center"/>
    </xf>
    <xf numFmtId="171" fontId="16" fillId="5" borderId="0" xfId="4" applyNumberFormat="1" applyFont="1" applyFill="1" applyAlignment="1">
      <alignment horizontal="center"/>
    </xf>
    <xf numFmtId="172"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1" borderId="0" xfId="3" applyFont="1" applyFill="1"/>
    <xf numFmtId="14" fontId="16" fillId="11" borderId="0" xfId="3" applyNumberFormat="1" applyFont="1" applyFill="1"/>
    <xf numFmtId="172" fontId="16" fillId="11" borderId="0" xfId="3" applyNumberFormat="1" applyFont="1" applyFill="1" applyAlignment="1">
      <alignment horizontal="center"/>
    </xf>
    <xf numFmtId="0" fontId="16" fillId="11" borderId="0" xfId="3" applyFont="1" applyFill="1" applyAlignment="1">
      <alignment horizontal="center"/>
    </xf>
    <xf numFmtId="165" fontId="16" fillId="11" borderId="0" xfId="4" applyNumberFormat="1" applyFont="1" applyFill="1" applyAlignment="1">
      <alignment horizontal="center"/>
    </xf>
    <xf numFmtId="3" fontId="16" fillId="11" borderId="0" xfId="3" applyNumberFormat="1" applyFont="1" applyFill="1" applyAlignment="1">
      <alignment horizontal="center"/>
    </xf>
    <xf numFmtId="4" fontId="19" fillId="0" borderId="12" xfId="0" applyNumberFormat="1" applyFont="1" applyBorder="1" applyAlignment="1">
      <alignment horizontal="center" vertical="center" wrapText="1"/>
    </xf>
    <xf numFmtId="172" fontId="16" fillId="0" borderId="0" xfId="0" applyNumberFormat="1" applyFont="1"/>
    <xf numFmtId="49" fontId="16" fillId="0" borderId="0" xfId="0" applyNumberFormat="1" applyFont="1"/>
    <xf numFmtId="0" fontId="16" fillId="0" borderId="0" xfId="0" applyFont="1" applyAlignment="1">
      <alignment horizontal="center"/>
    </xf>
    <xf numFmtId="169" fontId="7" fillId="0" borderId="2" xfId="1" applyNumberFormat="1" applyFont="1" applyFill="1" applyBorder="1" applyAlignment="1">
      <alignment horizontal="left" vertical="center"/>
    </xf>
    <xf numFmtId="169"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Fill="1" applyBorder="1"/>
    <xf numFmtId="0" fontId="9" fillId="0" borderId="8" xfId="0" applyFont="1" applyFill="1" applyBorder="1"/>
    <xf numFmtId="0" fontId="9" fillId="0" borderId="0" xfId="0" applyFont="1" applyFill="1"/>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9" fontId="9" fillId="0" borderId="4" xfId="0" applyNumberFormat="1" applyFont="1" applyBorder="1" applyAlignment="1">
      <alignment horizontal="center"/>
    </xf>
    <xf numFmtId="169" fontId="9" fillId="0" borderId="4" xfId="0" applyNumberFormat="1" applyFont="1" applyBorder="1" applyAlignment="1">
      <alignment horizontal="left"/>
    </xf>
    <xf numFmtId="0" fontId="9" fillId="0" borderId="10" xfId="0" applyFont="1" applyBorder="1"/>
    <xf numFmtId="169" fontId="9" fillId="0" borderId="0" xfId="0" applyNumberFormat="1" applyFont="1" applyAlignment="1">
      <alignment horizontal="center"/>
    </xf>
    <xf numFmtId="169" fontId="9" fillId="0" borderId="0" xfId="0" applyNumberFormat="1" applyFont="1" applyAlignment="1">
      <alignment horizontal="left"/>
    </xf>
    <xf numFmtId="0" fontId="9" fillId="0" borderId="0" xfId="0" applyFont="1" applyBorder="1"/>
    <xf numFmtId="10" fontId="10" fillId="0" borderId="0" xfId="0" applyNumberFormat="1" applyFont="1" applyAlignment="1">
      <alignment horizontal="center"/>
    </xf>
    <xf numFmtId="174" fontId="16" fillId="11" borderId="0" xfId="4" applyNumberFormat="1" applyFont="1" applyFill="1" applyAlignment="1">
      <alignment horizontal="center"/>
    </xf>
    <xf numFmtId="176" fontId="16" fillId="6" borderId="0" xfId="3" applyNumberFormat="1" applyFont="1" applyFill="1" applyAlignment="1">
      <alignment horizontal="center"/>
    </xf>
    <xf numFmtId="165" fontId="13" fillId="0" borderId="2" xfId="0" applyNumberFormat="1" applyFont="1" applyFill="1" applyBorder="1" applyAlignment="1">
      <alignment horizontal="center" vertical="center"/>
    </xf>
    <xf numFmtId="168" fontId="9" fillId="0" borderId="0" xfId="0" applyNumberFormat="1" applyFont="1" applyAlignment="1">
      <alignment horizontal="center"/>
    </xf>
    <xf numFmtId="165" fontId="7" fillId="0" borderId="13" xfId="0" applyNumberFormat="1" applyFont="1" applyFill="1" applyBorder="1" applyAlignment="1">
      <alignment horizontal="left" vertical="center"/>
    </xf>
    <xf numFmtId="0" fontId="21" fillId="2" borderId="0" xfId="0" applyFont="1" applyFill="1" applyBorder="1" applyAlignment="1">
      <alignment horizontal="center" vertical="center" wrapText="1"/>
    </xf>
    <xf numFmtId="168" fontId="9" fillId="0" borderId="0" xfId="0" applyNumberFormat="1" applyFont="1" applyBorder="1" applyAlignment="1">
      <alignment horizontal="center"/>
    </xf>
    <xf numFmtId="165" fontId="7" fillId="17" borderId="1" xfId="0" applyNumberFormat="1" applyFont="1" applyFill="1" applyBorder="1" applyAlignment="1">
      <alignment horizontal="center" vertical="center"/>
    </xf>
    <xf numFmtId="169" fontId="7" fillId="17" borderId="1" xfId="1" applyNumberFormat="1" applyFont="1" applyFill="1" applyBorder="1" applyAlignment="1">
      <alignment horizontal="center" vertical="center"/>
    </xf>
    <xf numFmtId="171" fontId="7" fillId="17" borderId="1" xfId="0" applyNumberFormat="1" applyFont="1" applyFill="1" applyBorder="1" applyAlignment="1">
      <alignment horizontal="center" vertical="center"/>
    </xf>
    <xf numFmtId="170" fontId="7" fillId="17" borderId="1" xfId="0" applyNumberFormat="1" applyFont="1" applyFill="1" applyBorder="1" applyAlignment="1">
      <alignment horizontal="center" vertical="center"/>
    </xf>
    <xf numFmtId="165" fontId="24" fillId="0" borderId="2" xfId="0" applyNumberFormat="1" applyFont="1" applyFill="1" applyBorder="1" applyAlignment="1">
      <alignment horizontal="center" vertical="center"/>
    </xf>
    <xf numFmtId="165" fontId="26" fillId="17" borderId="1" xfId="0" applyNumberFormat="1" applyFont="1" applyFill="1" applyBorder="1" applyAlignment="1">
      <alignment horizontal="center" vertical="center"/>
    </xf>
    <xf numFmtId="165" fontId="26" fillId="0" borderId="0" xfId="0" applyNumberFormat="1" applyFont="1" applyFill="1" applyBorder="1" applyAlignment="1">
      <alignment horizontal="center" vertical="center"/>
    </xf>
    <xf numFmtId="169" fontId="24" fillId="0" borderId="2" xfId="1" applyNumberFormat="1" applyFont="1" applyFill="1" applyBorder="1" applyAlignment="1">
      <alignment horizontal="center" vertical="center"/>
    </xf>
    <xf numFmtId="169" fontId="26" fillId="17" borderId="1" xfId="1" applyNumberFormat="1" applyFont="1" applyFill="1" applyBorder="1" applyAlignment="1">
      <alignment horizontal="center" vertical="center"/>
    </xf>
    <xf numFmtId="169" fontId="26" fillId="0" borderId="0" xfId="1" applyNumberFormat="1" applyFont="1" applyFill="1" applyBorder="1" applyAlignment="1">
      <alignment horizontal="center" vertical="center"/>
    </xf>
    <xf numFmtId="169" fontId="26" fillId="3" borderId="1" xfId="1" applyNumberFormat="1" applyFont="1" applyFill="1" applyBorder="1" applyAlignment="1">
      <alignment horizontal="center" vertical="center"/>
    </xf>
    <xf numFmtId="1" fontId="6" fillId="10" borderId="0" xfId="2" applyNumberFormat="1" applyFont="1" applyFill="1" applyBorder="1" applyAlignment="1">
      <alignment horizontal="center" vertical="center"/>
    </xf>
    <xf numFmtId="169" fontId="6" fillId="10" borderId="0" xfId="1" applyNumberFormat="1" applyFont="1" applyFill="1" applyBorder="1" applyAlignment="1">
      <alignment horizontal="center" vertical="center"/>
    </xf>
    <xf numFmtId="171" fontId="6" fillId="10" borderId="0" xfId="0" applyNumberFormat="1" applyFont="1" applyFill="1" applyBorder="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165" fontId="7" fillId="0" borderId="13" xfId="0" applyNumberFormat="1" applyFont="1" applyFill="1" applyBorder="1" applyAlignment="1">
      <alignment horizontal="center" vertical="center"/>
    </xf>
    <xf numFmtId="0" fontId="11" fillId="0" borderId="4" xfId="0" applyFont="1" applyBorder="1" applyAlignment="1">
      <alignment horizontal="center"/>
    </xf>
    <xf numFmtId="3" fontId="7" fillId="0" borderId="2" xfId="0" applyNumberFormat="1" applyFont="1" applyFill="1" applyBorder="1" applyAlignment="1">
      <alignment horizontal="center" vertical="center"/>
    </xf>
    <xf numFmtId="169"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3"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165" fontId="14" fillId="0" borderId="2" xfId="0" applyNumberFormat="1" applyFont="1" applyFill="1" applyBorder="1" applyAlignment="1">
      <alignment horizontal="center" vertical="center"/>
    </xf>
    <xf numFmtId="169" fontId="14" fillId="0" borderId="0" xfId="1" applyNumberFormat="1" applyFont="1" applyFill="1" applyBorder="1" applyAlignment="1">
      <alignment horizontal="center" vertical="center"/>
    </xf>
    <xf numFmtId="0" fontId="27" fillId="0" borderId="4" xfId="0" applyFont="1" applyBorder="1" applyAlignment="1">
      <alignment horizontal="center"/>
    </xf>
    <xf numFmtId="171" fontId="16" fillId="0" borderId="0" xfId="4" applyNumberFormat="1" applyFont="1" applyFill="1" applyAlignment="1">
      <alignment horizontal="center"/>
    </xf>
    <xf numFmtId="171" fontId="16" fillId="0" borderId="0" xfId="0" applyNumberFormat="1" applyFont="1"/>
    <xf numFmtId="165" fontId="29" fillId="0" borderId="2" xfId="0" applyNumberFormat="1" applyFont="1" applyFill="1" applyBorder="1" applyAlignment="1">
      <alignment horizontal="left" vertical="center"/>
    </xf>
    <xf numFmtId="171" fontId="31" fillId="0" borderId="2" xfId="0" applyNumberFormat="1" applyFont="1" applyFill="1" applyBorder="1" applyAlignment="1">
      <alignment horizontal="center" vertical="center"/>
    </xf>
    <xf numFmtId="165" fontId="32" fillId="0" borderId="2" xfId="0" applyNumberFormat="1" applyFont="1" applyFill="1" applyBorder="1" applyAlignment="1">
      <alignment horizontal="left" vertical="center"/>
    </xf>
    <xf numFmtId="178" fontId="16" fillId="0" borderId="0" xfId="0" applyNumberFormat="1" applyFont="1"/>
    <xf numFmtId="9" fontId="16" fillId="0" borderId="0" xfId="0" applyNumberFormat="1" applyFont="1"/>
    <xf numFmtId="0" fontId="18" fillId="13" borderId="14" xfId="3" applyFont="1" applyFill="1" applyBorder="1"/>
    <xf numFmtId="0" fontId="18" fillId="13" borderId="16" xfId="0" applyFont="1" applyFill="1" applyBorder="1"/>
    <xf numFmtId="0" fontId="18" fillId="13" borderId="18" xfId="0" applyFont="1" applyFill="1" applyBorder="1"/>
    <xf numFmtId="0" fontId="18" fillId="0" borderId="0" xfId="0" applyFont="1" applyAlignment="1">
      <alignment vertical="center"/>
    </xf>
    <xf numFmtId="0" fontId="18" fillId="18" borderId="0" xfId="0" applyFont="1" applyFill="1"/>
    <xf numFmtId="169" fontId="30" fillId="0" borderId="0" xfId="1" applyNumberFormat="1" applyFont="1" applyFill="1" applyBorder="1" applyAlignment="1">
      <alignment horizontal="center" vertical="center"/>
    </xf>
    <xf numFmtId="171" fontId="31" fillId="0" borderId="0" xfId="0" applyNumberFormat="1" applyFont="1" applyFill="1" applyBorder="1" applyAlignment="1">
      <alignment horizontal="center" vertical="center"/>
    </xf>
    <xf numFmtId="0" fontId="16" fillId="0" borderId="11" xfId="0" applyFont="1" applyBorder="1"/>
    <xf numFmtId="165" fontId="32" fillId="0" borderId="0" xfId="0" applyNumberFormat="1" applyFont="1" applyFill="1" applyBorder="1" applyAlignment="1">
      <alignment horizontal="center" vertical="center"/>
    </xf>
    <xf numFmtId="171" fontId="16" fillId="0" borderId="11" xfId="0" applyNumberFormat="1" applyFont="1" applyBorder="1" applyAlignment="1">
      <alignment horizontal="center"/>
    </xf>
    <xf numFmtId="179" fontId="31" fillId="0" borderId="2" xfId="0" applyNumberFormat="1" applyFont="1" applyFill="1" applyBorder="1" applyAlignment="1">
      <alignment horizontal="center" vertical="center"/>
    </xf>
    <xf numFmtId="179" fontId="31" fillId="0" borderId="11" xfId="0" applyNumberFormat="1" applyFont="1" applyFill="1" applyBorder="1" applyAlignment="1">
      <alignment horizontal="center" vertical="center"/>
    </xf>
    <xf numFmtId="9" fontId="16" fillId="13" borderId="15" xfId="0" applyNumberFormat="1" applyFont="1" applyFill="1" applyBorder="1" applyAlignment="1">
      <alignment horizontal="center"/>
    </xf>
    <xf numFmtId="179" fontId="16" fillId="13" borderId="17" xfId="0" applyNumberFormat="1" applyFont="1" applyFill="1" applyBorder="1" applyAlignment="1">
      <alignment horizontal="center"/>
    </xf>
    <xf numFmtId="179" fontId="16" fillId="13" borderId="19" xfId="0" applyNumberFormat="1" applyFont="1" applyFill="1" applyBorder="1" applyAlignment="1">
      <alignment horizontal="center"/>
    </xf>
    <xf numFmtId="9" fontId="18" fillId="13" borderId="15" xfId="0" applyNumberFormat="1" applyFont="1" applyFill="1" applyBorder="1" applyAlignment="1">
      <alignment horizontal="center"/>
    </xf>
    <xf numFmtId="179" fontId="18" fillId="13" borderId="17" xfId="0" applyNumberFormat="1" applyFont="1" applyFill="1" applyBorder="1" applyAlignment="1">
      <alignment horizontal="center"/>
    </xf>
    <xf numFmtId="179" fontId="18" fillId="13" borderId="19" xfId="0" applyNumberFormat="1" applyFont="1" applyFill="1" applyBorder="1" applyAlignment="1">
      <alignment horizontal="center"/>
    </xf>
    <xf numFmtId="15" fontId="18" fillId="18" borderId="20" xfId="0" applyNumberFormat="1" applyFont="1" applyFill="1" applyBorder="1"/>
    <xf numFmtId="9" fontId="31" fillId="0" borderId="2" xfId="0" applyNumberFormat="1" applyFont="1" applyFill="1" applyBorder="1" applyAlignment="1">
      <alignment horizontal="center" vertical="center"/>
    </xf>
    <xf numFmtId="169" fontId="31" fillId="0" borderId="2" xfId="0" applyNumberFormat="1" applyFont="1" applyFill="1" applyBorder="1" applyAlignment="1">
      <alignment horizontal="center" vertical="center"/>
    </xf>
    <xf numFmtId="0" fontId="18" fillId="10" borderId="0" xfId="0" applyFont="1" applyFill="1"/>
    <xf numFmtId="0" fontId="18" fillId="10" borderId="0" xfId="0" applyFont="1" applyFill="1" applyAlignment="1">
      <alignment horizontal="center"/>
    </xf>
    <xf numFmtId="0" fontId="16" fillId="10" borderId="0" xfId="0" applyFont="1" applyFill="1"/>
    <xf numFmtId="0" fontId="33" fillId="0" borderId="0" xfId="0" applyFont="1"/>
    <xf numFmtId="0" fontId="18" fillId="0" borderId="0" xfId="0" applyFont="1" applyFill="1"/>
    <xf numFmtId="15" fontId="18" fillId="0" borderId="0" xfId="0" applyNumberFormat="1" applyFont="1" applyFill="1" applyBorder="1"/>
    <xf numFmtId="0" fontId="16" fillId="0" borderId="0" xfId="0" applyFont="1" applyFill="1"/>
    <xf numFmtId="9" fontId="34" fillId="13" borderId="15" xfId="0" applyNumberFormat="1" applyFont="1" applyFill="1" applyBorder="1" applyAlignment="1">
      <alignment horizontal="center"/>
    </xf>
    <xf numFmtId="0" fontId="12" fillId="0" borderId="0" xfId="3" applyFont="1" applyFill="1" applyAlignment="1">
      <alignment horizontal="center" vertical="center" wrapText="1"/>
    </xf>
    <xf numFmtId="165" fontId="10" fillId="0" borderId="0" xfId="4" applyNumberFormat="1" applyFont="1" applyFill="1" applyAlignment="1">
      <alignment horizontal="center"/>
    </xf>
    <xf numFmtId="0" fontId="35" fillId="0" borderId="0" xfId="0" applyFont="1"/>
    <xf numFmtId="0" fontId="10" fillId="0" borderId="0" xfId="0" applyFont="1" applyFill="1" applyAlignment="1">
      <alignment horizontal="center"/>
    </xf>
    <xf numFmtId="0" fontId="10" fillId="15" borderId="0" xfId="3" applyFont="1" applyFill="1"/>
    <xf numFmtId="0" fontId="10" fillId="15" borderId="0" xfId="3" applyFont="1" applyFill="1" applyAlignment="1">
      <alignment horizontal="center"/>
    </xf>
    <xf numFmtId="14" fontId="10" fillId="15" borderId="0" xfId="3" applyNumberFormat="1" applyFont="1" applyFill="1" applyAlignment="1">
      <alignment horizontal="center"/>
    </xf>
    <xf numFmtId="171" fontId="10" fillId="15"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71"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71"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9" fillId="0" borderId="0" xfId="0" applyFont="1" applyBorder="1" applyAlignment="1">
      <alignment horizontal="center"/>
    </xf>
    <xf numFmtId="172" fontId="17" fillId="7" borderId="0" xfId="3" applyNumberFormat="1" applyFont="1" applyFill="1" applyBorder="1" applyAlignment="1">
      <alignment horizontal="center" vertical="center" wrapText="1"/>
    </xf>
    <xf numFmtId="0" fontId="17" fillId="7" borderId="0" xfId="3" applyFont="1" applyFill="1" applyBorder="1" applyAlignment="1">
      <alignment horizontal="center" vertical="center" wrapText="1"/>
    </xf>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Border="1" applyAlignment="1">
      <alignment horizontal="center"/>
    </xf>
    <xf numFmtId="0" fontId="27" fillId="0" borderId="0" xfId="0" applyFont="1"/>
    <xf numFmtId="169" fontId="9" fillId="0" borderId="0" xfId="0" applyNumberFormat="1" applyFont="1" applyBorder="1"/>
    <xf numFmtId="168" fontId="9" fillId="0" borderId="0" xfId="0" applyNumberFormat="1" applyFont="1" applyBorder="1"/>
    <xf numFmtId="179" fontId="31" fillId="9" borderId="11" xfId="0" applyNumberFormat="1" applyFont="1" applyFill="1" applyBorder="1" applyAlignment="1">
      <alignment horizontal="center" vertical="center"/>
    </xf>
    <xf numFmtId="172" fontId="17" fillId="0" borderId="0" xfId="3" applyNumberFormat="1" applyFont="1" applyFill="1" applyAlignment="1">
      <alignment horizontal="center" vertical="center" wrapText="1"/>
    </xf>
    <xf numFmtId="165" fontId="7" fillId="10" borderId="11" xfId="0" applyNumberFormat="1" applyFont="1" applyFill="1" applyBorder="1" applyAlignment="1">
      <alignment horizontal="left" vertical="center"/>
    </xf>
    <xf numFmtId="0" fontId="37" fillId="18" borderId="0" xfId="0" applyFont="1" applyFill="1" applyAlignment="1">
      <alignment horizontal="left"/>
    </xf>
    <xf numFmtId="0" fontId="9" fillId="18" borderId="0" xfId="0" applyFont="1" applyFill="1"/>
    <xf numFmtId="0" fontId="9" fillId="0" borderId="0" xfId="0" applyFont="1" applyFill="1" applyAlignment="1">
      <alignment horizontal="center"/>
    </xf>
    <xf numFmtId="168" fontId="9" fillId="0" borderId="0" xfId="0" applyNumberFormat="1" applyFont="1" applyFill="1" applyAlignment="1">
      <alignment horizontal="center"/>
    </xf>
    <xf numFmtId="0" fontId="11" fillId="0" borderId="0" xfId="0" applyFont="1" applyFill="1" applyAlignment="1">
      <alignment horizontal="left" vertical="center"/>
    </xf>
    <xf numFmtId="0" fontId="9" fillId="0" borderId="0" xfId="0" applyFont="1" applyFill="1" applyAlignment="1">
      <alignment horizontal="center" vertical="center"/>
    </xf>
    <xf numFmtId="168" fontId="9" fillId="0" borderId="3" xfId="0" applyNumberFormat="1" applyFont="1" applyBorder="1" applyAlignment="1">
      <alignment horizontal="center"/>
    </xf>
    <xf numFmtId="0" fontId="9" fillId="0" borderId="0" xfId="0" applyFont="1" applyFill="1" applyBorder="1"/>
    <xf numFmtId="0" fontId="9" fillId="18" borderId="0" xfId="0" applyFont="1" applyFill="1" applyAlignment="1">
      <alignment horizontal="center"/>
    </xf>
    <xf numFmtId="0" fontId="27" fillId="0" borderId="0" xfId="0" applyFont="1" applyAlignment="1">
      <alignment horizontal="left"/>
    </xf>
    <xf numFmtId="49" fontId="14" fillId="13" borderId="2" xfId="1" applyNumberFormat="1" applyFont="1" applyFill="1" applyBorder="1" applyAlignment="1">
      <alignment horizontal="center" vertical="center"/>
    </xf>
    <xf numFmtId="49" fontId="38" fillId="3" borderId="1" xfId="1" applyNumberFormat="1" applyFont="1" applyFill="1" applyBorder="1" applyAlignment="1">
      <alignment horizontal="center" vertical="center"/>
    </xf>
    <xf numFmtId="169" fontId="39" fillId="0" borderId="0" xfId="1" applyNumberFormat="1" applyFont="1" applyFill="1" applyBorder="1" applyAlignment="1">
      <alignment horizontal="center" vertical="center"/>
    </xf>
    <xf numFmtId="169" fontId="14" fillId="0" borderId="2" xfId="1" applyNumberFormat="1" applyFont="1" applyFill="1" applyBorder="1" applyAlignment="1">
      <alignment horizontal="center" vertical="center"/>
    </xf>
    <xf numFmtId="169" fontId="38" fillId="3" borderId="1" xfId="1" applyNumberFormat="1" applyFont="1" applyFill="1" applyBorder="1" applyAlignment="1">
      <alignment horizontal="center" vertical="center"/>
    </xf>
    <xf numFmtId="169" fontId="38" fillId="0" borderId="2" xfId="1" applyNumberFormat="1" applyFont="1" applyFill="1" applyBorder="1" applyAlignment="1">
      <alignment horizontal="center" vertical="center"/>
    </xf>
    <xf numFmtId="0" fontId="16" fillId="0" borderId="0" xfId="0" applyFont="1" applyAlignment="1">
      <alignment vertical="center"/>
    </xf>
    <xf numFmtId="8" fontId="16" fillId="0" borderId="0" xfId="0" applyNumberFormat="1" applyFont="1"/>
    <xf numFmtId="181" fontId="16" fillId="15"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81" fontId="16" fillId="0" borderId="0" xfId="0" applyNumberFormat="1" applyFont="1"/>
    <xf numFmtId="165" fontId="7" fillId="3" borderId="0" xfId="0" applyNumberFormat="1" applyFont="1" applyFill="1" applyBorder="1" applyAlignment="1">
      <alignment horizontal="center" vertical="center"/>
    </xf>
    <xf numFmtId="169" fontId="26" fillId="3" borderId="0" xfId="1" applyNumberFormat="1" applyFont="1" applyFill="1" applyBorder="1" applyAlignment="1">
      <alignment horizontal="center" vertical="center"/>
    </xf>
    <xf numFmtId="171" fontId="7" fillId="3" borderId="0" xfId="0" applyNumberFormat="1" applyFont="1" applyFill="1" applyBorder="1" applyAlignment="1">
      <alignment horizontal="center" vertical="center"/>
    </xf>
    <xf numFmtId="170" fontId="7" fillId="3" borderId="0" xfId="0" applyNumberFormat="1" applyFont="1" applyFill="1" applyBorder="1" applyAlignment="1">
      <alignment horizontal="center" vertical="center"/>
    </xf>
    <xf numFmtId="169" fontId="7" fillId="3" borderId="0" xfId="1" applyNumberFormat="1" applyFont="1" applyFill="1" applyBorder="1" applyAlignment="1">
      <alignment horizontal="center" vertical="center"/>
    </xf>
    <xf numFmtId="165" fontId="7" fillId="0" borderId="0" xfId="0" applyNumberFormat="1" applyFont="1" applyFill="1" applyBorder="1" applyAlignment="1">
      <alignment horizontal="center" vertical="center"/>
    </xf>
    <xf numFmtId="171" fontId="7" fillId="0" borderId="0" xfId="0" applyNumberFormat="1" applyFont="1" applyFill="1" applyBorder="1" applyAlignment="1">
      <alignment horizontal="center" vertical="center"/>
    </xf>
    <xf numFmtId="170" fontId="7" fillId="0" borderId="0" xfId="0" applyNumberFormat="1" applyFont="1" applyFill="1" applyBorder="1" applyAlignment="1">
      <alignment horizontal="center" vertical="center"/>
    </xf>
    <xf numFmtId="165" fontId="7" fillId="3" borderId="0" xfId="0" applyNumberFormat="1" applyFont="1" applyFill="1" applyBorder="1" applyAlignment="1">
      <alignment horizontal="left" vertical="center"/>
    </xf>
    <xf numFmtId="0" fontId="11" fillId="18" borderId="0" xfId="0" applyFont="1" applyFill="1"/>
    <xf numFmtId="15" fontId="11" fillId="18" borderId="20" xfId="0" applyNumberFormat="1" applyFont="1" applyFill="1" applyBorder="1"/>
    <xf numFmtId="0" fontId="6" fillId="0" borderId="7" xfId="0" applyFont="1" applyFill="1" applyBorder="1"/>
    <xf numFmtId="0" fontId="6" fillId="0" borderId="8" xfId="0" applyFont="1" applyFill="1" applyBorder="1"/>
    <xf numFmtId="0" fontId="6" fillId="0" borderId="0" xfId="0" applyFont="1" applyFill="1"/>
    <xf numFmtId="0" fontId="11" fillId="10" borderId="0" xfId="0" applyFont="1" applyFill="1"/>
    <xf numFmtId="0" fontId="9" fillId="0" borderId="0" xfId="0" applyFont="1" applyFill="1" applyAlignment="1">
      <alignment horizontal="left"/>
    </xf>
    <xf numFmtId="173" fontId="9" fillId="0" borderId="0" xfId="0" applyNumberFormat="1" applyFont="1" applyAlignment="1">
      <alignment horizontal="center"/>
    </xf>
    <xf numFmtId="0" fontId="11" fillId="0" borderId="0" xfId="0" applyFont="1" applyFill="1" applyAlignment="1">
      <alignment horizontal="left"/>
    </xf>
    <xf numFmtId="14" fontId="10" fillId="15" borderId="0" xfId="3" applyNumberFormat="1" applyFont="1" applyFill="1"/>
    <xf numFmtId="169" fontId="32" fillId="9" borderId="11" xfId="0" applyNumberFormat="1" applyFont="1" applyFill="1" applyBorder="1" applyAlignment="1">
      <alignment horizontal="center" vertical="center"/>
    </xf>
    <xf numFmtId="169" fontId="11" fillId="0" borderId="0" xfId="0" applyNumberFormat="1" applyFont="1" applyBorder="1"/>
    <xf numFmtId="169" fontId="11" fillId="0" borderId="4" xfId="0" applyNumberFormat="1" applyFont="1" applyBorder="1"/>
    <xf numFmtId="169" fontId="11" fillId="0" borderId="0" xfId="0" applyNumberFormat="1" applyFont="1"/>
    <xf numFmtId="169" fontId="9" fillId="0" borderId="0" xfId="0" applyNumberFormat="1" applyFont="1"/>
    <xf numFmtId="169" fontId="31" fillId="0" borderId="11" xfId="0" applyNumberFormat="1" applyFont="1" applyFill="1" applyBorder="1" applyAlignment="1">
      <alignment horizontal="center" vertical="center"/>
    </xf>
    <xf numFmtId="0" fontId="40" fillId="0" borderId="4" xfId="0" applyFont="1" applyBorder="1"/>
    <xf numFmtId="0" fontId="41" fillId="0" borderId="0" xfId="0" applyFont="1"/>
    <xf numFmtId="4" fontId="41" fillId="0" borderId="0" xfId="0" applyNumberFormat="1" applyFont="1"/>
    <xf numFmtId="165" fontId="7" fillId="0" borderId="2" xfId="0" applyNumberFormat="1" applyFont="1" applyFill="1" applyBorder="1" applyAlignment="1">
      <alignment horizontal="center" vertical="center"/>
    </xf>
    <xf numFmtId="172" fontId="16" fillId="15" borderId="0" xfId="3" applyNumberFormat="1" applyFont="1" applyFill="1" applyAlignment="1">
      <alignment horizontal="center"/>
    </xf>
    <xf numFmtId="172" fontId="16" fillId="5" borderId="0" xfId="3" applyNumberFormat="1" applyFont="1" applyFill="1" applyAlignment="1">
      <alignment horizontal="center"/>
    </xf>
    <xf numFmtId="0" fontId="11" fillId="16" borderId="0" xfId="0" applyFont="1" applyFill="1"/>
    <xf numFmtId="15" fontId="11" fillId="16" borderId="0" xfId="0" applyNumberFormat="1" applyFont="1" applyFill="1" applyAlignment="1">
      <alignment horizontal="center"/>
    </xf>
    <xf numFmtId="0" fontId="11" fillId="16" borderId="0" xfId="0" applyFont="1" applyFill="1" applyAlignment="1">
      <alignment horizontal="center"/>
    </xf>
    <xf numFmtId="0" fontId="11" fillId="0" borderId="0" xfId="0" applyFont="1" applyBorder="1" applyAlignment="1">
      <alignment horizontal="left"/>
    </xf>
    <xf numFmtId="183" fontId="44" fillId="0" borderId="0" xfId="0" applyNumberFormat="1" applyFont="1" applyFill="1" applyBorder="1" applyAlignment="1">
      <alignment horizontal="center" vertical="center"/>
    </xf>
    <xf numFmtId="183" fontId="44" fillId="0" borderId="2" xfId="0" applyNumberFormat="1" applyFont="1" applyFill="1" applyBorder="1" applyAlignment="1">
      <alignment horizontal="center" vertical="center"/>
    </xf>
    <xf numFmtId="183" fontId="44" fillId="17" borderId="1" xfId="0" applyNumberFormat="1" applyFont="1" applyFill="1" applyBorder="1" applyAlignment="1">
      <alignment horizontal="center" vertical="center"/>
    </xf>
    <xf numFmtId="0" fontId="45" fillId="2" borderId="3" xfId="0" applyFont="1" applyFill="1" applyBorder="1" applyAlignment="1">
      <alignment horizontal="centerContinuous" vertical="center"/>
    </xf>
    <xf numFmtId="0" fontId="44" fillId="0" borderId="0" xfId="0" applyFont="1" applyAlignment="1">
      <alignment horizontal="center" vertical="center"/>
    </xf>
    <xf numFmtId="0" fontId="11" fillId="0" borderId="0" xfId="0" applyFont="1" applyAlignment="1">
      <alignment horizontal="left" vertical="center"/>
    </xf>
    <xf numFmtId="0" fontId="11" fillId="0" borderId="0" xfId="0" applyFont="1" applyFill="1" applyAlignment="1">
      <alignment vertical="center"/>
    </xf>
    <xf numFmtId="0" fontId="11" fillId="20" borderId="0" xfId="0" applyFont="1" applyFill="1" applyAlignment="1">
      <alignment vertical="center"/>
    </xf>
    <xf numFmtId="0" fontId="11" fillId="20" borderId="0" xfId="0" applyFont="1" applyFill="1" applyAlignment="1">
      <alignment horizontal="left" vertical="center"/>
    </xf>
    <xf numFmtId="0" fontId="44" fillId="20" borderId="0" xfId="0" applyFont="1" applyFill="1" applyAlignment="1">
      <alignment horizontal="center" vertical="center"/>
    </xf>
    <xf numFmtId="165" fontId="44" fillId="0" borderId="0" xfId="0" applyNumberFormat="1" applyFont="1" applyFill="1" applyBorder="1" applyAlignment="1">
      <alignment horizontal="left" vertical="center"/>
    </xf>
    <xf numFmtId="169" fontId="24" fillId="0" borderId="0" xfId="1" applyNumberFormat="1" applyFont="1" applyFill="1" applyBorder="1" applyAlignment="1">
      <alignment horizontal="center" vertical="center"/>
    </xf>
    <xf numFmtId="184" fontId="16" fillId="6" borderId="0" xfId="3" applyNumberFormat="1" applyFont="1" applyFill="1" applyAlignment="1">
      <alignment horizontal="center"/>
    </xf>
    <xf numFmtId="184" fontId="16" fillId="5" borderId="0" xfId="4" applyNumberFormat="1" applyFont="1" applyFill="1" applyAlignment="1">
      <alignment horizontal="center"/>
    </xf>
    <xf numFmtId="185" fontId="16" fillId="6" borderId="0" xfId="3" applyNumberFormat="1" applyFont="1" applyFill="1" applyAlignment="1">
      <alignment horizontal="center"/>
    </xf>
    <xf numFmtId="169" fontId="16" fillId="0" borderId="0" xfId="0" applyNumberFormat="1" applyFont="1"/>
    <xf numFmtId="172" fontId="10" fillId="5" borderId="0" xfId="3" applyNumberFormat="1" applyFont="1" applyFill="1" applyAlignment="1">
      <alignment horizontal="center"/>
    </xf>
    <xf numFmtId="172" fontId="10" fillId="15" borderId="0" xfId="3" applyNumberFormat="1" applyFont="1" applyFill="1" applyAlignment="1">
      <alignment horizontal="center"/>
    </xf>
    <xf numFmtId="172" fontId="10" fillId="0" borderId="0" xfId="0" applyNumberFormat="1" applyFont="1"/>
    <xf numFmtId="0" fontId="47" fillId="0" borderId="9" xfId="0" applyFont="1" applyBorder="1"/>
    <xf numFmtId="0" fontId="48" fillId="0" borderId="4" xfId="0" applyFont="1" applyBorder="1" applyAlignment="1">
      <alignment horizontal="left"/>
    </xf>
    <xf numFmtId="0" fontId="47" fillId="0" borderId="4" xfId="0" applyFont="1" applyBorder="1" applyAlignment="1">
      <alignment horizontal="center"/>
    </xf>
    <xf numFmtId="169" fontId="47" fillId="0" borderId="4" xfId="0" applyNumberFormat="1" applyFont="1" applyBorder="1" applyAlignment="1">
      <alignment horizontal="center"/>
    </xf>
    <xf numFmtId="4" fontId="47" fillId="0" borderId="4" xfId="0" applyNumberFormat="1" applyFont="1" applyBorder="1" applyAlignment="1">
      <alignment horizontal="center"/>
    </xf>
    <xf numFmtId="168" fontId="47" fillId="0" borderId="4" xfId="0" applyNumberFormat="1" applyFont="1" applyBorder="1" applyAlignment="1">
      <alignment horizontal="center"/>
    </xf>
    <xf numFmtId="0" fontId="47" fillId="0" borderId="10" xfId="0" applyFont="1" applyBorder="1"/>
    <xf numFmtId="0" fontId="47" fillId="0" borderId="0" xfId="0" applyFont="1"/>
    <xf numFmtId="0" fontId="43" fillId="0" borderId="0" xfId="0" applyFont="1" applyAlignment="1">
      <alignment horizontal="left"/>
    </xf>
    <xf numFmtId="0" fontId="12" fillId="12" borderId="0" xfId="3" applyFont="1" applyFill="1" applyAlignment="1">
      <alignment vertical="center" wrapText="1"/>
    </xf>
    <xf numFmtId="172" fontId="12" fillId="12" borderId="0" xfId="3" applyNumberFormat="1" applyFont="1" applyFill="1" applyAlignment="1">
      <alignment horizontal="center" vertical="center" wrapText="1"/>
    </xf>
    <xf numFmtId="0" fontId="12" fillId="12" borderId="0" xfId="3" applyFont="1" applyFill="1" applyAlignment="1">
      <alignment horizontal="center" vertical="center" wrapText="1"/>
    </xf>
    <xf numFmtId="0" fontId="12" fillId="7" borderId="0" xfId="3" applyFont="1" applyFill="1" applyAlignment="1">
      <alignment horizontal="left" vertical="center" wrapText="1"/>
    </xf>
    <xf numFmtId="0" fontId="37" fillId="18" borderId="0" xfId="0" applyFont="1" applyFill="1" applyAlignment="1">
      <alignment horizontal="center"/>
    </xf>
    <xf numFmtId="0" fontId="18" fillId="18" borderId="0" xfId="0" applyFont="1" applyFill="1" applyAlignment="1">
      <alignment horizontal="center"/>
    </xf>
    <xf numFmtId="167" fontId="10" fillId="0" borderId="0" xfId="0" applyNumberFormat="1" applyFont="1" applyAlignment="1">
      <alignment horizontal="center"/>
    </xf>
    <xf numFmtId="165" fontId="24" fillId="0" borderId="0" xfId="0" applyNumberFormat="1" applyFont="1" applyFill="1" applyBorder="1" applyAlignment="1">
      <alignment horizontal="center" vertical="center"/>
    </xf>
    <xf numFmtId="169" fontId="10" fillId="0" borderId="0" xfId="0" applyNumberFormat="1" applyFont="1"/>
    <xf numFmtId="171" fontId="10" fillId="0" borderId="0" xfId="0" applyNumberFormat="1" applyFont="1"/>
    <xf numFmtId="167" fontId="10" fillId="0" borderId="0" xfId="0" applyNumberFormat="1" applyFont="1"/>
    <xf numFmtId="49" fontId="52" fillId="0" borderId="2" xfId="1" applyNumberFormat="1" applyFont="1" applyFill="1" applyBorder="1" applyAlignment="1">
      <alignment horizontal="center" vertical="center"/>
    </xf>
    <xf numFmtId="49" fontId="53" fillId="0" borderId="2" xfId="1" applyNumberFormat="1" applyFont="1" applyFill="1" applyBorder="1" applyAlignment="1">
      <alignment horizontal="center" vertical="center"/>
    </xf>
    <xf numFmtId="49" fontId="44" fillId="3" borderId="1" xfId="1" applyNumberFormat="1" applyFont="1" applyFill="1" applyBorder="1" applyAlignment="1">
      <alignment horizontal="center" vertical="center"/>
    </xf>
    <xf numFmtId="0" fontId="54" fillId="0" borderId="0" xfId="0" applyFont="1"/>
    <xf numFmtId="0" fontId="35" fillId="0" borderId="0" xfId="0" applyFont="1" applyBorder="1"/>
    <xf numFmtId="0" fontId="55" fillId="0" borderId="0" xfId="0" applyFont="1"/>
    <xf numFmtId="14" fontId="10" fillId="6" borderId="0" xfId="3" applyNumberFormat="1" applyFont="1" applyFill="1" applyAlignment="1">
      <alignment horizontal="left"/>
    </xf>
    <xf numFmtId="14" fontId="10" fillId="11" borderId="0" xfId="3" applyNumberFormat="1" applyFont="1" applyFill="1" applyAlignment="1">
      <alignment horizontal="left"/>
    </xf>
    <xf numFmtId="0" fontId="10" fillId="15"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80" fontId="9" fillId="0" borderId="7" xfId="0" applyNumberFormat="1" applyFont="1" applyBorder="1"/>
    <xf numFmtId="0" fontId="9" fillId="0" borderId="0" xfId="0" applyFont="1" applyBorder="1" applyAlignment="1"/>
    <xf numFmtId="0" fontId="9" fillId="0" borderId="4" xfId="0" applyFont="1" applyBorder="1" applyAlignment="1"/>
    <xf numFmtId="0" fontId="27" fillId="0" borderId="10" xfId="0" applyFont="1" applyBorder="1" applyAlignment="1">
      <alignment horizontal="center"/>
    </xf>
    <xf numFmtId="0" fontId="58" fillId="0" borderId="0" xfId="0" applyFont="1"/>
    <xf numFmtId="179" fontId="58" fillId="0" borderId="0" xfId="0" applyNumberFormat="1" applyFont="1"/>
    <xf numFmtId="14" fontId="16" fillId="15" borderId="0" xfId="3" applyNumberFormat="1" applyFont="1" applyFill="1"/>
    <xf numFmtId="14" fontId="16" fillId="5" borderId="0" xfId="3" applyNumberFormat="1" applyFont="1" applyFill="1"/>
    <xf numFmtId="188" fontId="17" fillId="7" borderId="0" xfId="3" applyNumberFormat="1" applyFont="1" applyFill="1" applyAlignment="1">
      <alignment horizontal="center" vertical="center" wrapText="1"/>
    </xf>
    <xf numFmtId="188" fontId="16" fillId="15" borderId="0" xfId="4" applyNumberFormat="1" applyFont="1" applyFill="1" applyAlignment="1">
      <alignment horizontal="center"/>
    </xf>
    <xf numFmtId="188" fontId="16" fillId="5" borderId="0" xfId="4" applyNumberFormat="1" applyFont="1" applyFill="1" applyAlignment="1">
      <alignment horizontal="center"/>
    </xf>
    <xf numFmtId="188" fontId="16" fillId="6" borderId="0" xfId="3" applyNumberFormat="1" applyFont="1" applyFill="1" applyAlignment="1">
      <alignment horizontal="center"/>
    </xf>
    <xf numFmtId="3" fontId="46" fillId="0" borderId="0" xfId="0" applyNumberFormat="1" applyFont="1" applyAlignment="1">
      <alignment horizontal="center"/>
    </xf>
    <xf numFmtId="3" fontId="56" fillId="0" borderId="0" xfId="0" applyNumberFormat="1" applyFont="1" applyFill="1" applyAlignment="1">
      <alignment horizontal="left"/>
    </xf>
    <xf numFmtId="3" fontId="46" fillId="0" borderId="0" xfId="0" applyNumberFormat="1" applyFont="1" applyAlignment="1">
      <alignment horizontal="left"/>
    </xf>
    <xf numFmtId="3" fontId="59" fillId="0" borderId="0" xfId="0" applyNumberFormat="1" applyFont="1" applyAlignment="1">
      <alignment horizontal="center"/>
    </xf>
    <xf numFmtId="0" fontId="47" fillId="0" borderId="7" xfId="0" applyFont="1" applyBorder="1"/>
    <xf numFmtId="0" fontId="48" fillId="0" borderId="0" xfId="0" applyFont="1" applyBorder="1" applyAlignment="1">
      <alignment horizontal="left"/>
    </xf>
    <xf numFmtId="3" fontId="47" fillId="0" borderId="0" xfId="0" applyNumberFormat="1" applyFont="1" applyAlignment="1">
      <alignment horizontal="center"/>
    </xf>
    <xf numFmtId="0" fontId="47" fillId="0" borderId="8" xfId="0" applyFont="1" applyBorder="1"/>
    <xf numFmtId="3" fontId="60" fillId="0" borderId="0" xfId="0" applyNumberFormat="1" applyFont="1" applyAlignment="1">
      <alignment horizontal="center"/>
    </xf>
    <xf numFmtId="1" fontId="14" fillId="0" borderId="0" xfId="2" applyNumberFormat="1" applyFont="1" applyFill="1" applyBorder="1" applyAlignment="1">
      <alignment horizontal="center" vertical="center"/>
    </xf>
    <xf numFmtId="171" fontId="14" fillId="0" borderId="0" xfId="0" applyNumberFormat="1" applyFont="1" applyFill="1" applyBorder="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8" borderId="0" xfId="0" applyFont="1" applyFill="1"/>
    <xf numFmtId="15" fontId="18" fillId="18" borderId="20" xfId="0" applyNumberFormat="1" applyFont="1" applyFill="1" applyBorder="1" applyAlignment="1">
      <alignment horizontal="center"/>
    </xf>
    <xf numFmtId="189" fontId="6" fillId="0" borderId="2" xfId="0" applyNumberFormat="1" applyFont="1" applyFill="1" applyBorder="1" applyAlignment="1">
      <alignment horizontal="center" vertical="center"/>
    </xf>
    <xf numFmtId="171" fontId="6" fillId="18" borderId="2" xfId="0" applyNumberFormat="1" applyFont="1" applyFill="1" applyBorder="1" applyAlignment="1">
      <alignment horizontal="center" vertical="center"/>
    </xf>
    <xf numFmtId="165" fontId="7" fillId="0" borderId="22" xfId="0" applyNumberFormat="1" applyFont="1" applyFill="1" applyBorder="1" applyAlignment="1">
      <alignment horizontal="left" vertical="center"/>
    </xf>
    <xf numFmtId="171" fontId="6" fillId="0" borderId="23" xfId="0" applyNumberFormat="1" applyFont="1" applyFill="1" applyBorder="1" applyAlignment="1">
      <alignment horizontal="center" vertical="center"/>
    </xf>
    <xf numFmtId="165" fontId="7" fillId="0" borderId="24" xfId="0" applyNumberFormat="1" applyFont="1" applyFill="1" applyBorder="1" applyAlignment="1">
      <alignment horizontal="left" vertical="center"/>
    </xf>
    <xf numFmtId="171" fontId="6" fillId="0" borderId="25" xfId="0" applyNumberFormat="1" applyFont="1" applyFill="1" applyBorder="1" applyAlignment="1">
      <alignment horizontal="center" vertical="center"/>
    </xf>
    <xf numFmtId="165" fontId="7" fillId="0" borderId="18" xfId="0" applyNumberFormat="1" applyFont="1" applyFill="1" applyBorder="1" applyAlignment="1">
      <alignment horizontal="left" vertical="center"/>
    </xf>
    <xf numFmtId="171" fontId="6" fillId="0" borderId="19" xfId="0" applyNumberFormat="1" applyFont="1" applyFill="1" applyBorder="1" applyAlignment="1">
      <alignment horizontal="center" vertical="center"/>
    </xf>
    <xf numFmtId="165" fontId="7" fillId="0" borderId="26" xfId="0" applyNumberFormat="1" applyFont="1" applyFill="1" applyBorder="1" applyAlignment="1">
      <alignment horizontal="left" vertical="center"/>
    </xf>
    <xf numFmtId="171" fontId="6" fillId="0" borderId="27"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2" fillId="12" borderId="0" xfId="0" applyFont="1" applyFill="1" applyAlignment="1"/>
    <xf numFmtId="4" fontId="9" fillId="0" borderId="0" xfId="0" applyNumberFormat="1" applyFont="1"/>
    <xf numFmtId="4" fontId="19" fillId="0" borderId="12" xfId="0" applyNumberFormat="1" applyFont="1" applyBorder="1" applyAlignment="1">
      <alignment horizontal="right" vertical="center" wrapText="1"/>
    </xf>
    <xf numFmtId="4" fontId="16" fillId="0" borderId="0" xfId="0" applyNumberFormat="1" applyFont="1"/>
    <xf numFmtId="0" fontId="61" fillId="0" borderId="0" xfId="0" applyFont="1" applyFill="1"/>
    <xf numFmtId="165" fontId="61" fillId="0" borderId="0" xfId="0" applyNumberFormat="1" applyFont="1" applyFill="1"/>
    <xf numFmtId="0" fontId="10" fillId="8" borderId="0" xfId="0" applyFont="1" applyFill="1"/>
    <xf numFmtId="0" fontId="10" fillId="8" borderId="0" xfId="0" applyFont="1" applyFill="1" applyAlignment="1">
      <alignment horizontal="center"/>
    </xf>
    <xf numFmtId="0" fontId="61" fillId="0" borderId="0" xfId="0" applyFont="1"/>
    <xf numFmtId="169" fontId="34" fillId="13" borderId="15" xfId="0" applyNumberFormat="1" applyFont="1" applyFill="1" applyBorder="1" applyAlignment="1">
      <alignment horizontal="center"/>
    </xf>
    <xf numFmtId="14" fontId="16" fillId="21" borderId="0" xfId="3" applyNumberFormat="1" applyFont="1" applyFill="1"/>
    <xf numFmtId="168" fontId="6" fillId="0" borderId="2" xfId="0" applyNumberFormat="1" applyFont="1" applyFill="1" applyBorder="1" applyAlignment="1">
      <alignment horizontal="center" vertical="center"/>
    </xf>
    <xf numFmtId="14" fontId="10" fillId="22" borderId="0" xfId="3" applyNumberFormat="1" applyFont="1" applyFill="1" applyAlignment="1">
      <alignment horizontal="left"/>
    </xf>
    <xf numFmtId="14" fontId="10" fillId="22" borderId="0" xfId="3" applyNumberFormat="1" applyFont="1" applyFill="1" applyAlignment="1">
      <alignment horizontal="center"/>
    </xf>
    <xf numFmtId="172" fontId="10" fillId="22" borderId="0" xfId="3" applyNumberFormat="1" applyFont="1" applyFill="1" applyAlignment="1">
      <alignment horizontal="center"/>
    </xf>
    <xf numFmtId="165" fontId="10" fillId="22" borderId="0" xfId="4" applyNumberFormat="1" applyFont="1" applyFill="1" applyAlignment="1">
      <alignment horizontal="center"/>
    </xf>
    <xf numFmtId="0" fontId="36" fillId="0" borderId="0" xfId="0" applyFont="1"/>
    <xf numFmtId="14" fontId="36"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10" fontId="10" fillId="0" borderId="0" xfId="1" applyNumberFormat="1" applyFont="1"/>
    <xf numFmtId="0" fontId="9" fillId="3" borderId="4" xfId="0" applyFont="1" applyFill="1" applyBorder="1"/>
    <xf numFmtId="4" fontId="46" fillId="0" borderId="0" xfId="0" applyNumberFormat="1" applyFont="1" applyAlignment="1">
      <alignment horizontal="center"/>
    </xf>
    <xf numFmtId="8" fontId="9" fillId="0" borderId="0" xfId="0" applyNumberFormat="1" applyFont="1" applyAlignment="1">
      <alignment horizontal="center"/>
    </xf>
    <xf numFmtId="15" fontId="11" fillId="10" borderId="7" xfId="0" applyNumberFormat="1" applyFont="1" applyFill="1" applyBorder="1"/>
    <xf numFmtId="15" fontId="11" fillId="10" borderId="0" xfId="0" applyNumberFormat="1" applyFont="1" applyFill="1" applyBorder="1"/>
    <xf numFmtId="15" fontId="11" fillId="10" borderId="8" xfId="0" applyNumberFormat="1" applyFont="1" applyFill="1" applyBorder="1"/>
    <xf numFmtId="180" fontId="9" fillId="23" borderId="5" xfId="0" applyNumberFormat="1" applyFont="1" applyFill="1" applyBorder="1"/>
    <xf numFmtId="0" fontId="9" fillId="23" borderId="3" xfId="0" applyFont="1" applyFill="1" applyBorder="1" applyAlignment="1">
      <alignment horizontal="center"/>
    </xf>
    <xf numFmtId="0" fontId="27" fillId="23" borderId="6" xfId="0" applyFont="1" applyFill="1" applyBorder="1" applyAlignment="1">
      <alignment horizontal="center"/>
    </xf>
    <xf numFmtId="165" fontId="2" fillId="23" borderId="5" xfId="0" applyNumberFormat="1" applyFont="1" applyFill="1" applyBorder="1" applyAlignment="1">
      <alignment horizontal="left" vertical="center" indent="1"/>
    </xf>
    <xf numFmtId="165" fontId="2" fillId="23" borderId="3" xfId="0" applyNumberFormat="1" applyFont="1" applyFill="1" applyBorder="1" applyAlignment="1">
      <alignment horizontal="left" vertical="center" indent="1"/>
    </xf>
    <xf numFmtId="0" fontId="11" fillId="18" borderId="0" xfId="0" applyFont="1" applyFill="1" applyAlignment="1">
      <alignment horizontal="center"/>
    </xf>
    <xf numFmtId="0" fontId="11" fillId="0" borderId="8" xfId="0" applyFont="1" applyBorder="1" applyAlignment="1">
      <alignment horizontal="center" vertical="center" wrapText="1"/>
    </xf>
    <xf numFmtId="0" fontId="9" fillId="0" borderId="8" xfId="0" applyFont="1" applyFill="1" applyBorder="1" applyAlignment="1">
      <alignment horizontal="center"/>
    </xf>
    <xf numFmtId="0" fontId="6" fillId="0" borderId="8" xfId="0" applyFont="1" applyBorder="1" applyAlignment="1">
      <alignment horizontal="center"/>
    </xf>
    <xf numFmtId="0" fontId="6" fillId="0" borderId="8" xfId="0" applyFont="1" applyFill="1" applyBorder="1" applyAlignment="1">
      <alignment horizontal="center"/>
    </xf>
    <xf numFmtId="0" fontId="47" fillId="0" borderId="10" xfId="0" applyFont="1" applyBorder="1" applyAlignment="1">
      <alignment horizontal="center"/>
    </xf>
    <xf numFmtId="4" fontId="9" fillId="0" borderId="0" xfId="0" applyNumberFormat="1" applyFont="1" applyAlignment="1">
      <alignment horizontal="center"/>
    </xf>
    <xf numFmtId="165" fontId="2" fillId="23" borderId="6" xfId="0" applyNumberFormat="1" applyFont="1" applyFill="1" applyBorder="1" applyAlignment="1">
      <alignment horizontal="left" vertical="center" indent="1"/>
    </xf>
    <xf numFmtId="0" fontId="9" fillId="23" borderId="6" xfId="0" applyFont="1" applyFill="1" applyBorder="1"/>
    <xf numFmtId="0" fontId="9" fillId="23" borderId="3" xfId="0" applyFont="1" applyFill="1" applyBorder="1"/>
    <xf numFmtId="0" fontId="9" fillId="0" borderId="7" xfId="10" applyFont="1" applyFill="1" applyBorder="1" applyAlignment="1">
      <alignment horizontal="left" vertical="center" indent="1"/>
    </xf>
    <xf numFmtId="190" fontId="9" fillId="0" borderId="0" xfId="11" applyNumberFormat="1" applyFont="1" applyFill="1" applyBorder="1">
      <alignment vertical="center"/>
    </xf>
    <xf numFmtId="0" fontId="9" fillId="0" borderId="8" xfId="10" applyFont="1" applyFill="1" applyBorder="1">
      <alignment vertical="center"/>
    </xf>
    <xf numFmtId="187" fontId="9" fillId="0" borderId="0" xfId="12" applyNumberFormat="1" applyFont="1" applyFill="1" applyBorder="1">
      <alignment vertical="center"/>
    </xf>
    <xf numFmtId="9" fontId="9" fillId="0" borderId="0" xfId="12" applyFont="1" applyFill="1" applyBorder="1">
      <alignment vertical="center"/>
    </xf>
    <xf numFmtId="43" fontId="9" fillId="0" borderId="8" xfId="10" applyNumberFormat="1" applyFont="1" applyFill="1" applyBorder="1">
      <alignment vertical="center"/>
    </xf>
    <xf numFmtId="0" fontId="9" fillId="0" borderId="0" xfId="10" applyFont="1" applyFill="1" applyBorder="1">
      <alignment vertical="center"/>
    </xf>
    <xf numFmtId="0" fontId="9" fillId="0" borderId="9" xfId="10" applyFont="1" applyFill="1" applyBorder="1" applyAlignment="1">
      <alignment horizontal="left" vertical="center" indent="1"/>
    </xf>
    <xf numFmtId="168" fontId="9" fillId="0" borderId="4" xfId="10" applyNumberFormat="1" applyFont="1" applyFill="1" applyBorder="1">
      <alignment vertical="center"/>
    </xf>
    <xf numFmtId="10" fontId="7" fillId="0" borderId="2" xfId="1" applyNumberFormat="1" applyFont="1" applyFill="1" applyBorder="1" applyAlignment="1">
      <alignment horizontal="center" vertical="center"/>
    </xf>
    <xf numFmtId="10" fontId="18" fillId="13" borderId="15" xfId="0" applyNumberFormat="1" applyFont="1" applyFill="1" applyBorder="1" applyAlignment="1">
      <alignment horizontal="center"/>
    </xf>
    <xf numFmtId="10" fontId="32" fillId="9" borderId="11"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192" fontId="9" fillId="0" borderId="0" xfId="0" applyNumberFormat="1" applyFont="1" applyAlignment="1">
      <alignment horizontal="center"/>
    </xf>
    <xf numFmtId="0" fontId="2" fillId="2" borderId="0" xfId="0" applyFont="1" applyFill="1" applyBorder="1" applyAlignment="1">
      <alignment horizontal="center" vertical="center" wrapText="1"/>
    </xf>
    <xf numFmtId="194" fontId="14" fillId="0" borderId="0" xfId="0" applyNumberFormat="1" applyFont="1" applyFill="1" applyBorder="1" applyAlignment="1">
      <alignment horizontal="center" vertical="center"/>
    </xf>
    <xf numFmtId="4" fontId="61" fillId="0" borderId="0" xfId="0" applyNumberFormat="1" applyFont="1" applyFill="1"/>
    <xf numFmtId="165" fontId="7" fillId="0" borderId="21" xfId="0" applyNumberFormat="1" applyFont="1" applyFill="1" applyBorder="1" applyAlignment="1">
      <alignment horizontal="center" vertical="center"/>
    </xf>
    <xf numFmtId="165" fontId="7" fillId="10" borderId="26" xfId="0" applyNumberFormat="1" applyFont="1" applyFill="1" applyBorder="1" applyAlignment="1">
      <alignment horizontal="left" vertical="center"/>
    </xf>
    <xf numFmtId="165" fontId="7" fillId="10" borderId="11" xfId="0" applyNumberFormat="1" applyFont="1" applyFill="1" applyBorder="1" applyAlignment="1">
      <alignment horizontal="center" vertical="center"/>
    </xf>
    <xf numFmtId="165" fontId="44" fillId="11" borderId="11" xfId="0" applyNumberFormat="1" applyFont="1" applyFill="1" applyBorder="1" applyAlignment="1">
      <alignment horizontal="center" vertical="center"/>
    </xf>
    <xf numFmtId="165" fontId="38" fillId="10" borderId="11" xfId="0" applyNumberFormat="1" applyFont="1" applyFill="1" applyBorder="1" applyAlignment="1">
      <alignment horizontal="center" vertical="center"/>
    </xf>
    <xf numFmtId="165" fontId="7" fillId="10" borderId="26" xfId="0" applyNumberFormat="1" applyFont="1" applyFill="1" applyBorder="1" applyAlignment="1">
      <alignment horizontal="center" vertical="center"/>
    </xf>
    <xf numFmtId="165" fontId="14" fillId="0" borderId="13" xfId="0" applyNumberFormat="1" applyFont="1" applyFill="1" applyBorder="1" applyAlignment="1">
      <alignment horizontal="center" vertical="center"/>
    </xf>
    <xf numFmtId="4" fontId="10" fillId="0" borderId="0" xfId="0" applyNumberFormat="1" applyFont="1"/>
    <xf numFmtId="193" fontId="31" fillId="0" borderId="2" xfId="0" applyNumberFormat="1" applyFont="1" applyFill="1" applyBorder="1" applyAlignment="1">
      <alignment horizontal="center" vertical="center"/>
    </xf>
    <xf numFmtId="0" fontId="63" fillId="24" borderId="0" xfId="0" applyFont="1" applyFill="1"/>
    <xf numFmtId="165" fontId="8" fillId="10" borderId="2" xfId="0" applyNumberFormat="1" applyFont="1" applyFill="1" applyBorder="1" applyAlignment="1">
      <alignment horizontal="left" vertical="center"/>
    </xf>
    <xf numFmtId="165" fontId="8" fillId="10" borderId="2" xfId="0" applyNumberFormat="1" applyFont="1" applyFill="1" applyBorder="1" applyAlignment="1">
      <alignment horizontal="center" vertical="center"/>
    </xf>
    <xf numFmtId="165" fontId="28" fillId="10" borderId="2" xfId="0" applyNumberFormat="1" applyFont="1" applyFill="1" applyBorder="1" applyAlignment="1">
      <alignment horizontal="center" vertical="center"/>
    </xf>
    <xf numFmtId="165" fontId="14" fillId="10" borderId="2" xfId="0" applyNumberFormat="1" applyFont="1" applyFill="1" applyBorder="1" applyAlignment="1">
      <alignment horizontal="center" vertical="center"/>
    </xf>
    <xf numFmtId="3" fontId="8" fillId="10" borderId="2" xfId="0" applyNumberFormat="1" applyFont="1" applyFill="1" applyBorder="1" applyAlignment="1">
      <alignment horizontal="center" vertical="center"/>
    </xf>
    <xf numFmtId="169" fontId="8" fillId="10" borderId="2" xfId="1" applyNumberFormat="1" applyFont="1" applyFill="1" applyBorder="1" applyAlignment="1">
      <alignment horizontal="center" vertical="center"/>
    </xf>
    <xf numFmtId="165" fontId="7" fillId="0" borderId="1" xfId="0" applyNumberFormat="1" applyFont="1" applyFill="1" applyBorder="1" applyAlignment="1">
      <alignment horizontal="center" vertical="center"/>
    </xf>
    <xf numFmtId="3" fontId="7" fillId="0" borderId="1" xfId="0" applyNumberFormat="1" applyFont="1" applyFill="1" applyBorder="1" applyAlignment="1">
      <alignment horizontal="center" vertical="center"/>
    </xf>
    <xf numFmtId="169" fontId="7" fillId="0" borderId="1" xfId="1" applyNumberFormat="1" applyFont="1" applyFill="1" applyBorder="1" applyAlignment="1">
      <alignment horizontal="center" vertical="center"/>
    </xf>
    <xf numFmtId="165" fontId="14" fillId="0" borderId="1" xfId="0" applyNumberFormat="1" applyFont="1" applyFill="1" applyBorder="1" applyAlignment="1">
      <alignment horizontal="center" vertical="center"/>
    </xf>
    <xf numFmtId="182" fontId="11" fillId="5" borderId="0" xfId="0" applyNumberFormat="1" applyFont="1" applyFill="1" applyBorder="1" applyAlignment="1">
      <alignment horizontal="center" vertical="center" wrapText="1"/>
    </xf>
    <xf numFmtId="165" fontId="64" fillId="0" borderId="2" xfId="0" applyNumberFormat="1" applyFont="1" applyFill="1" applyBorder="1" applyAlignment="1">
      <alignment horizontal="center" vertical="center"/>
    </xf>
    <xf numFmtId="165" fontId="65" fillId="0" borderId="2" xfId="6" applyNumberFormat="1" applyFont="1" applyFill="1" applyBorder="1" applyAlignment="1">
      <alignment horizontal="center" vertical="center"/>
    </xf>
    <xf numFmtId="165" fontId="66" fillId="17" borderId="1" xfId="0" applyNumberFormat="1" applyFont="1" applyFill="1" applyBorder="1" applyAlignment="1">
      <alignment horizontal="center" vertical="center"/>
    </xf>
    <xf numFmtId="169" fontId="6" fillId="0" borderId="2" xfId="0" applyNumberFormat="1" applyFont="1" applyFill="1" applyBorder="1" applyAlignment="1">
      <alignment horizontal="center" vertical="center"/>
    </xf>
    <xf numFmtId="169" fontId="7" fillId="17" borderId="1" xfId="0" applyNumberFormat="1" applyFont="1" applyFill="1" applyBorder="1" applyAlignment="1">
      <alignment horizontal="center" vertical="center"/>
    </xf>
    <xf numFmtId="169" fontId="4" fillId="0" borderId="0" xfId="0" applyNumberFormat="1" applyFont="1" applyFill="1" applyBorder="1" applyAlignment="1">
      <alignment horizontal="center" vertical="center"/>
    </xf>
    <xf numFmtId="165" fontId="14" fillId="13" borderId="2" xfId="0" applyNumberFormat="1" applyFont="1" applyFill="1" applyBorder="1" applyAlignment="1">
      <alignment horizontal="center" vertical="center"/>
    </xf>
    <xf numFmtId="169" fontId="6" fillId="13" borderId="2" xfId="0" applyNumberFormat="1" applyFont="1" applyFill="1" applyBorder="1" applyAlignment="1">
      <alignment horizontal="center" vertical="center"/>
    </xf>
    <xf numFmtId="0" fontId="2" fillId="2" borderId="0" xfId="0" applyFont="1" applyFill="1" applyBorder="1" applyAlignment="1">
      <alignment horizontal="center" vertical="center" wrapText="1"/>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applyBorder="1"/>
    <xf numFmtId="0" fontId="9" fillId="4" borderId="0" xfId="0" applyFont="1" applyFill="1" applyBorder="1" applyAlignment="1">
      <alignment horizontal="center"/>
    </xf>
    <xf numFmtId="0" fontId="9" fillId="4" borderId="8" xfId="0" applyFont="1" applyFill="1" applyBorder="1"/>
    <xf numFmtId="0" fontId="11" fillId="4" borderId="0" xfId="0" applyFont="1" applyFill="1" applyBorder="1" applyAlignment="1">
      <alignment horizontal="center"/>
    </xf>
    <xf numFmtId="0" fontId="27" fillId="4" borderId="0" xfId="0" applyFont="1" applyFill="1" applyBorder="1"/>
    <xf numFmtId="0" fontId="27" fillId="4" borderId="0" xfId="0" applyFont="1" applyFill="1" applyBorder="1" applyAlignment="1">
      <alignment horizontal="center"/>
    </xf>
    <xf numFmtId="0" fontId="9" fillId="4" borderId="0" xfId="0" applyFont="1" applyFill="1" applyBorder="1"/>
    <xf numFmtId="0" fontId="13" fillId="4" borderId="0" xfId="0" applyFont="1" applyFill="1" applyBorder="1" applyAlignment="1">
      <alignment horizontal="center"/>
    </xf>
    <xf numFmtId="184" fontId="9" fillId="4" borderId="0" xfId="0" applyNumberFormat="1" applyFont="1" applyFill="1" applyBorder="1" applyAlignment="1">
      <alignment horizontal="center"/>
    </xf>
    <xf numFmtId="184" fontId="13" fillId="4" borderId="0" xfId="0" applyNumberFormat="1" applyFont="1" applyFill="1" applyBorder="1" applyAlignment="1">
      <alignment horizontal="center"/>
    </xf>
    <xf numFmtId="4" fontId="9" fillId="4" borderId="0" xfId="0" applyNumberFormat="1" applyFont="1" applyFill="1" applyBorder="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Border="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18" fillId="13" borderId="0" xfId="0" applyFont="1" applyFill="1" applyBorder="1"/>
    <xf numFmtId="179" fontId="18" fillId="13" borderId="0" xfId="0" applyNumberFormat="1" applyFont="1" applyFill="1" applyBorder="1" applyAlignment="1">
      <alignment horizontal="center"/>
    </xf>
    <xf numFmtId="0" fontId="62" fillId="0" borderId="0" xfId="0" applyFont="1" applyAlignment="1">
      <alignment horizontal="center"/>
    </xf>
    <xf numFmtId="0" fontId="27" fillId="0" borderId="8" xfId="0" applyFont="1" applyBorder="1" applyAlignment="1">
      <alignment horizontal="left" indent="1"/>
    </xf>
    <xf numFmtId="0" fontId="9" fillId="0" borderId="8" xfId="0" applyFont="1" applyBorder="1" applyAlignment="1">
      <alignment horizontal="left" indent="1"/>
    </xf>
    <xf numFmtId="0" fontId="11" fillId="6" borderId="7" xfId="0" applyFont="1" applyFill="1" applyBorder="1" applyAlignment="1">
      <alignment horizontal="center"/>
    </xf>
    <xf numFmtId="0" fontId="9" fillId="0" borderId="28" xfId="0" applyFont="1" applyBorder="1"/>
    <xf numFmtId="0" fontId="11" fillId="0" borderId="28" xfId="0" applyFont="1" applyBorder="1"/>
    <xf numFmtId="0" fontId="9" fillId="23" borderId="6" xfId="0" applyFont="1" applyFill="1" applyBorder="1" applyAlignment="1">
      <alignment horizontal="center"/>
    </xf>
    <xf numFmtId="0" fontId="9" fillId="0" borderId="7" xfId="0" applyFont="1" applyBorder="1" applyAlignment="1">
      <alignment horizontal="left" indent="1"/>
    </xf>
    <xf numFmtId="165" fontId="9" fillId="0" borderId="8" xfId="0" applyNumberFormat="1" applyFont="1" applyBorder="1" applyAlignment="1">
      <alignment horizontal="right"/>
    </xf>
    <xf numFmtId="0" fontId="2" fillId="2" borderId="0" xfId="0" applyFont="1" applyFill="1" applyBorder="1" applyAlignment="1">
      <alignment horizontal="center" vertical="center" wrapText="1"/>
    </xf>
    <xf numFmtId="49" fontId="6" fillId="0" borderId="0" xfId="1" applyNumberFormat="1" applyFont="1" applyFill="1" applyBorder="1" applyAlignment="1">
      <alignment horizontal="center" vertical="center"/>
    </xf>
    <xf numFmtId="49" fontId="52"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167" fontId="9" fillId="0" borderId="0" xfId="0" applyNumberFormat="1" applyFont="1"/>
    <xf numFmtId="165" fontId="9" fillId="0" borderId="0" xfId="0" applyNumberFormat="1" applyFont="1"/>
    <xf numFmtId="187" fontId="9" fillId="0" borderId="0" xfId="0" applyNumberFormat="1" applyFont="1"/>
    <xf numFmtId="195" fontId="16" fillId="0" borderId="0" xfId="0" applyNumberFormat="1" applyFont="1"/>
    <xf numFmtId="195" fontId="16" fillId="0" borderId="0" xfId="0" applyNumberFormat="1" applyFont="1" applyAlignment="1">
      <alignment horizontal="center"/>
    </xf>
    <xf numFmtId="10" fontId="7" fillId="0" borderId="0" xfId="1" applyNumberFormat="1" applyFont="1" applyFill="1" applyBorder="1" applyAlignment="1">
      <alignment horizontal="center" vertical="center"/>
    </xf>
    <xf numFmtId="165" fontId="14" fillId="0" borderId="0" xfId="0" applyNumberFormat="1" applyFont="1" applyFill="1" applyBorder="1" applyAlignment="1">
      <alignment horizontal="center" vertical="center"/>
    </xf>
    <xf numFmtId="9" fontId="10" fillId="19" borderId="0" xfId="0" applyNumberFormat="1" applyFont="1" applyFill="1" applyAlignment="1">
      <alignment horizontal="center"/>
    </xf>
    <xf numFmtId="180" fontId="10" fillId="0" borderId="0" xfId="0" applyNumberFormat="1" applyFont="1"/>
    <xf numFmtId="0" fontId="10" fillId="0" borderId="11" xfId="0" applyFont="1" applyFill="1" applyBorder="1"/>
    <xf numFmtId="0" fontId="10" fillId="0" borderId="11" xfId="0" applyFont="1" applyBorder="1" applyAlignment="1">
      <alignment horizont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Fill="1" applyBorder="1" applyAlignment="1">
      <alignment horizontal="left" vertical="center" indent="1"/>
    </xf>
    <xf numFmtId="168" fontId="9" fillId="0" borderId="0" xfId="10" applyNumberFormat="1" applyFont="1" applyFill="1" applyBorder="1">
      <alignment vertical="center"/>
    </xf>
    <xf numFmtId="0" fontId="27" fillId="0" borderId="0" xfId="0" applyFont="1" applyFill="1"/>
    <xf numFmtId="0" fontId="27" fillId="0" borderId="5" xfId="0" applyFont="1" applyBorder="1" applyAlignment="1">
      <alignment horizontal="left" indent="1"/>
    </xf>
    <xf numFmtId="0" fontId="35" fillId="0" borderId="7" xfId="0" applyFont="1" applyBorder="1" applyAlignment="1">
      <alignment horizontal="left" vertical="center" wrapText="1" indent="1"/>
    </xf>
    <xf numFmtId="0" fontId="27" fillId="0" borderId="7" xfId="0" applyFont="1" applyFill="1" applyBorder="1" applyAlignment="1">
      <alignment horizontal="left"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7" xfId="0" applyFont="1" applyFill="1" applyBorder="1" applyAlignment="1">
      <alignment horizontal="left" indent="1"/>
    </xf>
    <xf numFmtId="0" fontId="9" fillId="0" borderId="9" xfId="0" applyFont="1" applyBorder="1" applyAlignment="1">
      <alignment horizontal="left" indent="1"/>
    </xf>
    <xf numFmtId="169" fontId="11" fillId="3" borderId="0" xfId="0" applyNumberFormat="1" applyFont="1" applyFill="1"/>
    <xf numFmtId="3" fontId="67" fillId="3" borderId="0" xfId="0" applyNumberFormat="1" applyFont="1" applyFill="1"/>
    <xf numFmtId="0" fontId="11" fillId="3" borderId="0" xfId="0" applyFont="1" applyFill="1"/>
    <xf numFmtId="196" fontId="18" fillId="13" borderId="17" xfId="0" applyNumberFormat="1" applyFont="1" applyFill="1" applyBorder="1" applyAlignment="1">
      <alignment horizontal="center"/>
    </xf>
    <xf numFmtId="196" fontId="31" fillId="0" borderId="11" xfId="0" applyNumberFormat="1" applyFont="1" applyFill="1" applyBorder="1" applyAlignment="1">
      <alignment horizontal="center" vertical="center"/>
    </xf>
    <xf numFmtId="196" fontId="18" fillId="13" borderId="19" xfId="0" applyNumberFormat="1" applyFont="1" applyFill="1" applyBorder="1" applyAlignment="1">
      <alignment horizontal="center"/>
    </xf>
    <xf numFmtId="197" fontId="31" fillId="0" borderId="11" xfId="0" applyNumberFormat="1" applyFont="1" applyFill="1" applyBorder="1" applyAlignment="1">
      <alignment horizontal="center" vertical="center"/>
    </xf>
    <xf numFmtId="171" fontId="58" fillId="0" borderId="11" xfId="0" applyNumberFormat="1" applyFont="1" applyBorder="1" applyAlignment="1">
      <alignment horizontal="center"/>
    </xf>
    <xf numFmtId="165" fontId="26" fillId="23" borderId="5" xfId="0" applyNumberFormat="1" applyFont="1" applyFill="1" applyBorder="1" applyAlignment="1">
      <alignment horizontal="left" vertical="center" indent="1"/>
    </xf>
    <xf numFmtId="3" fontId="11" fillId="0" borderId="0" xfId="0" applyNumberFormat="1" applyFont="1" applyBorder="1" applyAlignment="1">
      <alignment horizontal="center"/>
    </xf>
    <xf numFmtId="3" fontId="9" fillId="0" borderId="0" xfId="0" applyNumberFormat="1" applyFont="1" applyBorder="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2" fillId="2" borderId="0" xfId="0" applyFont="1" applyFill="1" applyBorder="1" applyAlignment="1">
      <alignment horizontal="center" vertical="center" wrapText="1"/>
    </xf>
    <xf numFmtId="171" fontId="36" fillId="15" borderId="0" xfId="4" applyNumberFormat="1" applyFont="1" applyFill="1" applyAlignment="1">
      <alignment horizontal="center"/>
    </xf>
    <xf numFmtId="0" fontId="0" fillId="0" borderId="0" xfId="0" applyAlignment="1">
      <alignment vertical="center"/>
    </xf>
    <xf numFmtId="14" fontId="10" fillId="5" borderId="0" xfId="3" applyNumberFormat="1" applyFont="1" applyFill="1"/>
    <xf numFmtId="198" fontId="46" fillId="4" borderId="0" xfId="0" applyNumberFormat="1" applyFont="1" applyFill="1" applyBorder="1" applyAlignment="1">
      <alignment horizontal="center"/>
    </xf>
    <xf numFmtId="0" fontId="46" fillId="4" borderId="0" xfId="0" applyFont="1" applyFill="1" applyBorder="1" applyAlignment="1">
      <alignment horizontal="center"/>
    </xf>
    <xf numFmtId="0" fontId="58" fillId="4" borderId="0" xfId="3" applyFont="1" applyFill="1" applyBorder="1" applyAlignment="1">
      <alignment horizontal="center"/>
    </xf>
    <xf numFmtId="0" fontId="69" fillId="4" borderId="0" xfId="3" applyFont="1" applyFill="1" applyBorder="1" applyAlignment="1">
      <alignment horizontal="center" wrapText="1"/>
    </xf>
    <xf numFmtId="0" fontId="27" fillId="0" borderId="0" xfId="0" applyFont="1" applyBorder="1"/>
    <xf numFmtId="0" fontId="27" fillId="0" borderId="0" xfId="0" applyFont="1" applyFill="1" applyBorder="1"/>
    <xf numFmtId="4" fontId="7" fillId="0" borderId="2" xfId="0" applyNumberFormat="1" applyFont="1" applyFill="1" applyBorder="1" applyAlignment="1">
      <alignment horizontal="center" vertical="center"/>
    </xf>
    <xf numFmtId="165" fontId="6" fillId="20" borderId="2" xfId="0" applyNumberFormat="1" applyFont="1" applyFill="1" applyBorder="1" applyAlignment="1">
      <alignment horizontal="center" vertical="center"/>
    </xf>
    <xf numFmtId="0" fontId="24" fillId="20" borderId="0" xfId="0" applyFont="1" applyFill="1" applyBorder="1" applyAlignment="1">
      <alignment horizontal="left" vertical="center" wrapText="1"/>
    </xf>
    <xf numFmtId="0" fontId="2" fillId="2" borderId="0" xfId="0" applyFont="1" applyFill="1" applyBorder="1" applyAlignment="1">
      <alignment horizontal="center" vertical="center" wrapText="1"/>
    </xf>
    <xf numFmtId="165" fontId="6" fillId="20" borderId="2" xfId="0" applyNumberFormat="1" applyFont="1" applyFill="1" applyBorder="1" applyAlignment="1">
      <alignment horizontal="center" vertical="center" wrapText="1"/>
    </xf>
    <xf numFmtId="0" fontId="9" fillId="27" borderId="0" xfId="0" applyFont="1" applyFill="1"/>
    <xf numFmtId="0" fontId="9" fillId="27" borderId="0" xfId="0" applyFont="1" applyFill="1" applyAlignment="1">
      <alignment horizontal="center"/>
    </xf>
    <xf numFmtId="0" fontId="11" fillId="27" borderId="0" xfId="0" applyFont="1" applyFill="1" applyAlignment="1">
      <alignment horizontal="left"/>
    </xf>
    <xf numFmtId="165" fontId="9" fillId="0" borderId="2" xfId="0" applyNumberFormat="1" applyFont="1" applyFill="1" applyBorder="1" applyAlignment="1">
      <alignment horizontal="center" vertical="center"/>
    </xf>
    <xf numFmtId="0" fontId="73" fillId="24" borderId="0" xfId="0" applyFont="1" applyFill="1"/>
    <xf numFmtId="17" fontId="73" fillId="7" borderId="0" xfId="0" quotePrefix="1" applyNumberFormat="1" applyFont="1" applyFill="1"/>
    <xf numFmtId="17" fontId="74" fillId="7" borderId="0" xfId="0" quotePrefix="1" applyNumberFormat="1" applyFont="1" applyFill="1"/>
    <xf numFmtId="0" fontId="74" fillId="7" borderId="0" xfId="0" applyFont="1" applyFill="1"/>
    <xf numFmtId="0" fontId="74" fillId="0" borderId="0" xfId="0" applyFont="1"/>
    <xf numFmtId="17" fontId="77" fillId="7" borderId="0" xfId="0" quotePrefix="1" applyNumberFormat="1" applyFont="1" applyFill="1"/>
    <xf numFmtId="0" fontId="78" fillId="0" borderId="0" xfId="0" applyFont="1"/>
    <xf numFmtId="0" fontId="11" fillId="26" borderId="0" xfId="0" applyFont="1" applyFill="1"/>
    <xf numFmtId="0" fontId="11" fillId="26" borderId="0" xfId="0" applyFont="1" applyFill="1" applyAlignment="1">
      <alignment horizontal="center"/>
    </xf>
    <xf numFmtId="15" fontId="9" fillId="0" borderId="0" xfId="0" applyNumberFormat="1" applyFont="1" applyAlignment="1">
      <alignment horizontal="center"/>
    </xf>
    <xf numFmtId="15" fontId="9" fillId="19" borderId="0" xfId="0" applyNumberFormat="1" applyFont="1" applyFill="1" applyAlignment="1">
      <alignment horizontal="center"/>
    </xf>
    <xf numFmtId="0" fontId="9" fillId="25" borderId="0" xfId="0" applyFont="1" applyFill="1"/>
    <xf numFmtId="4" fontId="9" fillId="25" borderId="0" xfId="0" applyNumberFormat="1" applyFont="1" applyFill="1" applyAlignment="1">
      <alignment horizontal="center"/>
    </xf>
    <xf numFmtId="199" fontId="16" fillId="11" borderId="0" xfId="4" applyNumberFormat="1" applyFont="1" applyFill="1" applyAlignment="1">
      <alignment horizontal="center"/>
    </xf>
    <xf numFmtId="4" fontId="9" fillId="0" borderId="8" xfId="0" applyNumberFormat="1" applyFont="1" applyBorder="1"/>
    <xf numFmtId="200" fontId="55" fillId="0" borderId="0" xfId="0" applyNumberFormat="1" applyFont="1" applyAlignment="1">
      <alignment horizontal="center"/>
    </xf>
    <xf numFmtId="0" fontId="79" fillId="28" borderId="29" xfId="0" applyFont="1" applyFill="1" applyBorder="1" applyAlignment="1">
      <alignment horizontal="left" vertical="center" wrapText="1" indent="1" readingOrder="1"/>
    </xf>
    <xf numFmtId="0" fontId="80" fillId="29" borderId="29" xfId="0" applyFont="1" applyFill="1" applyBorder="1" applyAlignment="1">
      <alignment horizontal="left" vertical="center" wrapText="1" indent="1" readingOrder="1"/>
    </xf>
    <xf numFmtId="0" fontId="81" fillId="29" borderId="29" xfId="0" applyFont="1" applyFill="1" applyBorder="1" applyAlignment="1">
      <alignment horizontal="left" vertical="center" wrapText="1" indent="1" readingOrder="1"/>
    </xf>
    <xf numFmtId="0" fontId="80" fillId="30" borderId="29" xfId="0" applyFont="1" applyFill="1" applyBorder="1" applyAlignment="1">
      <alignment horizontal="left" vertical="center" wrapText="1" indent="1" readingOrder="1"/>
    </xf>
    <xf numFmtId="0" fontId="81" fillId="30" borderId="29" xfId="0" applyFont="1" applyFill="1" applyBorder="1" applyAlignment="1">
      <alignment horizontal="left" vertical="center" wrapText="1" indent="1" readingOrder="1"/>
    </xf>
    <xf numFmtId="0" fontId="27" fillId="0" borderId="0" xfId="0" applyFont="1" applyFill="1" applyAlignment="1">
      <alignment horizontal="center"/>
    </xf>
    <xf numFmtId="0" fontId="24" fillId="0" borderId="0" xfId="0" applyFont="1" applyBorder="1" applyAlignment="1">
      <alignment horizontal="left" vertical="center" wrapText="1"/>
    </xf>
    <xf numFmtId="0" fontId="24" fillId="20" borderId="0" xfId="0" applyFont="1" applyFill="1" applyBorder="1" applyAlignment="1">
      <alignment horizontal="left" vertical="center" wrapText="1"/>
    </xf>
    <xf numFmtId="0" fontId="2" fillId="2" borderId="0" xfId="0" applyFont="1" applyFill="1" applyBorder="1" applyAlignment="1">
      <alignment horizontal="center" vertical="center" wrapText="1"/>
    </xf>
    <xf numFmtId="205" fontId="7" fillId="0" borderId="2" xfId="1" applyNumberFormat="1" applyFont="1" applyFill="1" applyBorder="1" applyAlignment="1">
      <alignment horizontal="center" vertical="center"/>
    </xf>
    <xf numFmtId="165" fontId="2" fillId="31" borderId="2" xfId="0" applyNumberFormat="1" applyFont="1" applyFill="1" applyBorder="1" applyAlignment="1">
      <alignment horizontal="left" vertical="center"/>
    </xf>
    <xf numFmtId="165" fontId="83" fillId="31" borderId="2" xfId="0" applyNumberFormat="1" applyFont="1" applyFill="1" applyBorder="1" applyAlignment="1">
      <alignment horizontal="left" vertical="center"/>
    </xf>
    <xf numFmtId="165" fontId="83" fillId="31" borderId="2" xfId="0" applyNumberFormat="1" applyFont="1" applyFill="1" applyBorder="1" applyAlignment="1">
      <alignment horizontal="center" vertical="center"/>
    </xf>
    <xf numFmtId="1" fontId="83" fillId="31" borderId="2" xfId="2" applyNumberFormat="1" applyFont="1" applyFill="1" applyBorder="1" applyAlignment="1">
      <alignment horizontal="center" vertical="center"/>
    </xf>
    <xf numFmtId="169" fontId="83" fillId="31" borderId="2" xfId="1" applyNumberFormat="1" applyFont="1" applyFill="1" applyBorder="1" applyAlignment="1">
      <alignment horizontal="center" vertical="center"/>
    </xf>
    <xf numFmtId="171" fontId="83" fillId="31" borderId="2" xfId="0" applyNumberFormat="1" applyFont="1" applyFill="1" applyBorder="1" applyAlignment="1">
      <alignment horizontal="center" vertical="center"/>
    </xf>
    <xf numFmtId="170" fontId="83" fillId="31" borderId="2" xfId="0" applyNumberFormat="1" applyFont="1" applyFill="1" applyBorder="1" applyAlignment="1">
      <alignment horizontal="center" vertical="center"/>
    </xf>
    <xf numFmtId="165" fontId="7" fillId="21" borderId="2" xfId="0" applyNumberFormat="1" applyFont="1" applyFill="1" applyBorder="1" applyAlignment="1">
      <alignment horizontal="left" vertical="center"/>
    </xf>
    <xf numFmtId="165" fontId="7" fillId="32" borderId="2" xfId="0" applyNumberFormat="1" applyFont="1" applyFill="1" applyBorder="1" applyAlignment="1">
      <alignment horizontal="left" vertical="center"/>
    </xf>
    <xf numFmtId="165" fontId="6" fillId="21" borderId="2" xfId="0" applyNumberFormat="1" applyFont="1" applyFill="1" applyBorder="1" applyAlignment="1">
      <alignment horizontal="center" vertical="center"/>
    </xf>
    <xf numFmtId="165" fontId="6" fillId="32" borderId="2" xfId="0" applyNumberFormat="1" applyFont="1" applyFill="1" applyBorder="1" applyAlignment="1">
      <alignment horizontal="center" vertical="center"/>
    </xf>
    <xf numFmtId="165" fontId="7" fillId="21" borderId="2" xfId="0" applyNumberFormat="1" applyFont="1" applyFill="1" applyBorder="1" applyAlignment="1">
      <alignment horizontal="center" vertical="center"/>
    </xf>
    <xf numFmtId="165" fontId="7" fillId="32" borderId="2" xfId="0" applyNumberFormat="1" applyFont="1" applyFill="1" applyBorder="1" applyAlignment="1">
      <alignment horizontal="center" vertical="center"/>
    </xf>
    <xf numFmtId="165" fontId="7" fillId="21" borderId="30" xfId="0" applyNumberFormat="1" applyFont="1" applyFill="1" applyBorder="1" applyAlignment="1">
      <alignment horizontal="center" vertical="center"/>
    </xf>
    <xf numFmtId="165" fontId="7" fillId="21" borderId="31" xfId="0" applyNumberFormat="1"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32" borderId="31" xfId="0" applyNumberFormat="1" applyFont="1" applyFill="1" applyBorder="1" applyAlignment="1">
      <alignment horizontal="center" vertical="center"/>
    </xf>
    <xf numFmtId="165" fontId="38" fillId="10" borderId="1" xfId="0" applyNumberFormat="1" applyFont="1" applyFill="1" applyBorder="1" applyAlignment="1">
      <alignment horizontal="center" vertical="center"/>
    </xf>
    <xf numFmtId="167" fontId="6" fillId="21" borderId="2" xfId="0" applyNumberFormat="1" applyFont="1" applyFill="1" applyBorder="1" applyAlignment="1">
      <alignment horizontal="center" vertical="center"/>
    </xf>
    <xf numFmtId="167" fontId="6" fillId="0" borderId="2" xfId="0" applyNumberFormat="1" applyFont="1" applyFill="1" applyBorder="1" applyAlignment="1">
      <alignment horizontal="center" vertical="center"/>
    </xf>
    <xf numFmtId="167" fontId="7" fillId="0" borderId="0" xfId="0" applyNumberFormat="1" applyFont="1" applyFill="1" applyBorder="1" applyAlignment="1">
      <alignment horizontal="center" vertical="center"/>
    </xf>
    <xf numFmtId="165" fontId="7" fillId="21" borderId="21"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165" fontId="2" fillId="31" borderId="0" xfId="0" applyNumberFormat="1" applyFont="1" applyFill="1" applyBorder="1" applyAlignment="1">
      <alignment horizontal="left" vertical="center"/>
    </xf>
    <xf numFmtId="165" fontId="2" fillId="31" borderId="0" xfId="0" applyNumberFormat="1" applyFont="1" applyFill="1" applyBorder="1" applyAlignment="1">
      <alignment horizontal="center" vertical="center"/>
    </xf>
    <xf numFmtId="3" fontId="6" fillId="21" borderId="2" xfId="0" applyNumberFormat="1" applyFont="1" applyFill="1" applyBorder="1" applyAlignment="1">
      <alignment horizontal="center" vertical="center"/>
    </xf>
    <xf numFmtId="3" fontId="6" fillId="0" borderId="2" xfId="0" applyNumberFormat="1" applyFont="1" applyFill="1" applyBorder="1" applyAlignment="1">
      <alignment horizontal="center" vertical="center"/>
    </xf>
    <xf numFmtId="3" fontId="6" fillId="32" borderId="2" xfId="0" applyNumberFormat="1" applyFont="1" applyFill="1" applyBorder="1" applyAlignment="1">
      <alignment horizontal="center" vertical="center"/>
    </xf>
    <xf numFmtId="190" fontId="9" fillId="0" borderId="0" xfId="10" applyNumberFormat="1" applyFont="1" applyFill="1" applyBorder="1">
      <alignment vertical="center"/>
    </xf>
    <xf numFmtId="165" fontId="9" fillId="0" borderId="10" xfId="0" applyNumberFormat="1" applyFont="1" applyBorder="1" applyAlignment="1">
      <alignment horizontal="right"/>
    </xf>
    <xf numFmtId="0" fontId="11" fillId="16" borderId="0" xfId="0" applyFont="1" applyFill="1" applyAlignment="1">
      <alignment horizontal="left" indent="2"/>
    </xf>
    <xf numFmtId="0" fontId="2" fillId="12" borderId="0" xfId="0" applyFont="1" applyFill="1" applyAlignment="1">
      <alignment horizontal="left" indent="1"/>
    </xf>
    <xf numFmtId="0" fontId="2" fillId="2" borderId="0" xfId="0" applyFont="1" applyFill="1" applyBorder="1" applyAlignment="1">
      <alignment horizontal="left" vertical="center" wrapText="1" indent="2"/>
    </xf>
    <xf numFmtId="165" fontId="7" fillId="10" borderId="27" xfId="0" applyNumberFormat="1" applyFont="1" applyFill="1" applyBorder="1" applyAlignment="1">
      <alignment horizontal="left" vertical="center" indent="2"/>
    </xf>
    <xf numFmtId="0" fontId="9" fillId="0" borderId="0" xfId="0" applyFont="1" applyAlignment="1">
      <alignment horizontal="left" indent="2"/>
    </xf>
    <xf numFmtId="165" fontId="7" fillId="21" borderId="2" xfId="0" applyNumberFormat="1" applyFont="1" applyFill="1" applyBorder="1" applyAlignment="1">
      <alignment horizontal="left" vertical="center" indent="1"/>
    </xf>
    <xf numFmtId="165" fontId="7" fillId="0" borderId="2" xfId="0" applyNumberFormat="1" applyFont="1" applyFill="1" applyBorder="1" applyAlignment="1">
      <alignment horizontal="left" vertical="center" indent="1"/>
    </xf>
    <xf numFmtId="165" fontId="7" fillId="32" borderId="2" xfId="0" applyNumberFormat="1" applyFont="1" applyFill="1" applyBorder="1" applyAlignment="1">
      <alignment horizontal="left" vertical="center" indent="1"/>
    </xf>
    <xf numFmtId="165" fontId="7" fillId="0" borderId="0" xfId="0" applyNumberFormat="1" applyFont="1" applyFill="1" applyBorder="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165" fontId="9" fillId="0" borderId="0" xfId="0" applyNumberFormat="1" applyFont="1" applyAlignment="1">
      <alignment horizontal="center"/>
    </xf>
    <xf numFmtId="0" fontId="33" fillId="0" borderId="0" xfId="0" applyFont="1" applyFill="1" applyAlignment="1">
      <alignment horizontal="center"/>
    </xf>
    <xf numFmtId="0" fontId="85" fillId="0" borderId="0" xfId="0" applyFont="1" applyAlignment="1">
      <alignment horizontal="center"/>
    </xf>
    <xf numFmtId="0" fontId="86" fillId="31" borderId="0" xfId="0" applyFont="1" applyFill="1"/>
    <xf numFmtId="0" fontId="86" fillId="31" borderId="0" xfId="0" applyFont="1" applyFill="1" applyAlignment="1">
      <alignment horizontal="center"/>
    </xf>
    <xf numFmtId="0" fontId="40" fillId="31" borderId="0" xfId="0" applyFont="1" applyFill="1"/>
    <xf numFmtId="165" fontId="6" fillId="20" borderId="0" xfId="0" applyNumberFormat="1" applyFont="1" applyFill="1" applyBorder="1" applyAlignment="1">
      <alignment horizontal="center" vertical="center"/>
    </xf>
    <xf numFmtId="165" fontId="6" fillId="20" borderId="0" xfId="0" applyNumberFormat="1" applyFont="1" applyFill="1" applyBorder="1" applyAlignment="1">
      <alignment horizontal="center" vertical="center" wrapText="1"/>
    </xf>
    <xf numFmtId="165" fontId="5" fillId="0" borderId="2" xfId="6" applyNumberFormat="1" applyFill="1" applyBorder="1" applyAlignment="1">
      <alignment horizontal="center" vertical="center"/>
    </xf>
    <xf numFmtId="0" fontId="17" fillId="33" borderId="0" xfId="3" applyFont="1" applyFill="1" applyAlignment="1">
      <alignment vertical="center"/>
    </xf>
    <xf numFmtId="0" fontId="17" fillId="33" borderId="0" xfId="3" applyFont="1" applyFill="1" applyAlignment="1">
      <alignment vertical="center" wrapText="1"/>
    </xf>
    <xf numFmtId="172" fontId="17" fillId="33" borderId="0" xfId="3" applyNumberFormat="1" applyFont="1" applyFill="1" applyAlignment="1">
      <alignment horizontal="center" vertical="center" wrapText="1"/>
    </xf>
    <xf numFmtId="0" fontId="17" fillId="33" borderId="0" xfId="3" applyFont="1" applyFill="1" applyAlignment="1">
      <alignment horizontal="center" vertical="center" wrapText="1"/>
    </xf>
    <xf numFmtId="0" fontId="16" fillId="14" borderId="0" xfId="3" applyFont="1" applyFill="1"/>
    <xf numFmtId="14" fontId="16" fillId="14" borderId="0" xfId="3" applyNumberFormat="1" applyFont="1" applyFill="1"/>
    <xf numFmtId="172" fontId="16" fillId="14" borderId="0" xfId="3" applyNumberFormat="1" applyFont="1" applyFill="1" applyAlignment="1">
      <alignment horizontal="center"/>
    </xf>
    <xf numFmtId="165" fontId="16" fillId="14" borderId="0" xfId="4" applyNumberFormat="1" applyFont="1" applyFill="1" applyAlignment="1">
      <alignment horizontal="center"/>
    </xf>
    <xf numFmtId="167" fontId="16" fillId="14" borderId="0" xfId="4" applyNumberFormat="1" applyFont="1" applyFill="1" applyAlignment="1">
      <alignment horizontal="center"/>
    </xf>
    <xf numFmtId="0" fontId="16" fillId="14" borderId="0" xfId="3" applyFont="1" applyFill="1" applyAlignment="1">
      <alignment horizontal="center"/>
    </xf>
    <xf numFmtId="199" fontId="16" fillId="14" borderId="0" xfId="4" applyNumberFormat="1" applyFont="1" applyFill="1" applyAlignment="1">
      <alignment horizontal="center"/>
    </xf>
    <xf numFmtId="3" fontId="16" fillId="14" borderId="0" xfId="3" applyNumberFormat="1" applyFont="1" applyFill="1" applyAlignment="1">
      <alignment horizontal="center"/>
    </xf>
    <xf numFmtId="175" fontId="16" fillId="14" borderId="0" xfId="4" applyNumberFormat="1" applyFont="1" applyFill="1" applyAlignment="1">
      <alignment horizontal="center"/>
    </xf>
    <xf numFmtId="174" fontId="16" fillId="14" borderId="0" xfId="4" applyNumberFormat="1" applyFont="1" applyFill="1" applyAlignment="1">
      <alignment horizontal="center"/>
    </xf>
    <xf numFmtId="171" fontId="16" fillId="14" borderId="0" xfId="4" applyNumberFormat="1" applyFont="1" applyFill="1" applyAlignment="1">
      <alignment horizontal="center"/>
    </xf>
    <xf numFmtId="195" fontId="16" fillId="14" borderId="0" xfId="4" applyNumberFormat="1" applyFont="1" applyFill="1" applyAlignment="1">
      <alignment horizontal="center"/>
    </xf>
    <xf numFmtId="0" fontId="16" fillId="20" borderId="0" xfId="3" applyFont="1" applyFill="1"/>
    <xf numFmtId="14" fontId="16" fillId="20" borderId="0" xfId="3" applyNumberFormat="1" applyFont="1" applyFill="1"/>
    <xf numFmtId="172" fontId="16" fillId="20" borderId="0" xfId="3" applyNumberFormat="1" applyFont="1" applyFill="1" applyAlignment="1">
      <alignment horizontal="center"/>
    </xf>
    <xf numFmtId="165" fontId="16" fillId="20" borderId="0" xfId="4" applyNumberFormat="1" applyFont="1" applyFill="1" applyAlignment="1">
      <alignment horizontal="center"/>
    </xf>
    <xf numFmtId="167" fontId="16" fillId="20" borderId="0" xfId="4" applyNumberFormat="1" applyFont="1" applyFill="1" applyAlignment="1">
      <alignment horizontal="center"/>
    </xf>
    <xf numFmtId="0" fontId="16" fillId="20" borderId="0" xfId="3" applyFont="1" applyFill="1" applyAlignment="1">
      <alignment horizontal="center"/>
    </xf>
    <xf numFmtId="199" fontId="16" fillId="20" borderId="0" xfId="4" applyNumberFormat="1" applyFont="1" applyFill="1" applyAlignment="1">
      <alignment horizontal="center"/>
    </xf>
    <xf numFmtId="3" fontId="16" fillId="20" borderId="0" xfId="3" applyNumberFormat="1" applyFont="1" applyFill="1" applyAlignment="1">
      <alignment horizontal="center"/>
    </xf>
    <xf numFmtId="0" fontId="17" fillId="22" borderId="0" xfId="3" applyFont="1" applyFill="1" applyAlignment="1">
      <alignment vertical="center" wrapText="1"/>
    </xf>
    <xf numFmtId="172" fontId="17" fillId="22" borderId="0" xfId="3" applyNumberFormat="1" applyFont="1" applyFill="1" applyAlignment="1">
      <alignment horizontal="center" vertical="center" wrapText="1"/>
    </xf>
    <xf numFmtId="0" fontId="17" fillId="22" borderId="0" xfId="3" applyFont="1" applyFill="1" applyAlignment="1">
      <alignment horizontal="center" vertical="center" wrapText="1"/>
    </xf>
    <xf numFmtId="14" fontId="16" fillId="14" borderId="0" xfId="3" applyNumberFormat="1" applyFont="1" applyFill="1" applyAlignment="1">
      <alignment horizontal="center"/>
    </xf>
    <xf numFmtId="176" fontId="16" fillId="14" borderId="0" xfId="3" applyNumberFormat="1" applyFont="1" applyFill="1" applyAlignment="1">
      <alignment horizontal="center"/>
    </xf>
    <xf numFmtId="177" fontId="16" fillId="14" borderId="0" xfId="3" applyNumberFormat="1" applyFont="1" applyFill="1" applyAlignment="1">
      <alignment horizontal="center"/>
    </xf>
    <xf numFmtId="191" fontId="16" fillId="14" borderId="0" xfId="3" applyNumberFormat="1" applyFont="1" applyFill="1" applyAlignment="1">
      <alignment horizontal="center"/>
    </xf>
    <xf numFmtId="171" fontId="16" fillId="20" borderId="0" xfId="4" applyNumberFormat="1" applyFont="1" applyFill="1" applyAlignment="1">
      <alignment horizontal="center"/>
    </xf>
    <xf numFmtId="171" fontId="16" fillId="20" borderId="0" xfId="3" applyNumberFormat="1" applyFont="1" applyFill="1" applyAlignment="1">
      <alignment horizontal="center"/>
    </xf>
    <xf numFmtId="165" fontId="10" fillId="0" borderId="0" xfId="0" applyNumberFormat="1" applyFont="1"/>
    <xf numFmtId="165" fontId="7" fillId="10" borderId="2" xfId="0" applyNumberFormat="1" applyFont="1" applyFill="1" applyBorder="1" applyAlignment="1">
      <alignment horizontal="left" vertical="center"/>
    </xf>
    <xf numFmtId="165" fontId="6" fillId="10" borderId="2" xfId="0" applyNumberFormat="1" applyFont="1" applyFill="1" applyBorder="1" applyAlignment="1">
      <alignment horizontal="left" vertical="center"/>
    </xf>
    <xf numFmtId="165" fontId="6" fillId="10" borderId="2" xfId="0" applyNumberFormat="1" applyFont="1" applyFill="1" applyBorder="1" applyAlignment="1">
      <alignment horizontal="center" vertical="center"/>
    </xf>
    <xf numFmtId="1" fontId="6" fillId="10" borderId="2" xfId="2" applyNumberFormat="1" applyFont="1" applyFill="1" applyBorder="1" applyAlignment="1">
      <alignment horizontal="center" vertical="center"/>
    </xf>
    <xf numFmtId="169" fontId="24" fillId="10" borderId="2" xfId="1" applyNumberFormat="1" applyFont="1" applyFill="1" applyBorder="1" applyAlignment="1">
      <alignment horizontal="center" vertical="center"/>
    </xf>
    <xf numFmtId="171" fontId="6" fillId="10" borderId="2" xfId="0" applyNumberFormat="1" applyFont="1" applyFill="1" applyBorder="1" applyAlignment="1">
      <alignment horizontal="center" vertical="center"/>
    </xf>
    <xf numFmtId="170" fontId="6" fillId="10" borderId="2" xfId="0" applyNumberFormat="1" applyFont="1" applyFill="1" applyBorder="1" applyAlignment="1">
      <alignment horizontal="center" vertical="center"/>
    </xf>
    <xf numFmtId="165" fontId="24" fillId="10" borderId="2" xfId="0" applyNumberFormat="1" applyFont="1" applyFill="1" applyBorder="1" applyAlignment="1">
      <alignment horizontal="center" vertical="center"/>
    </xf>
    <xf numFmtId="165" fontId="13" fillId="10" borderId="2" xfId="0" applyNumberFormat="1" applyFont="1" applyFill="1" applyBorder="1" applyAlignment="1">
      <alignment horizontal="center" vertical="center"/>
    </xf>
    <xf numFmtId="169" fontId="2" fillId="31" borderId="0" xfId="1" applyNumberFormat="1" applyFont="1" applyFill="1" applyBorder="1" applyAlignment="1">
      <alignment horizontal="center" vertical="center"/>
    </xf>
    <xf numFmtId="171" fontId="2" fillId="31" borderId="0" xfId="0" applyNumberFormat="1" applyFont="1" applyFill="1" applyBorder="1" applyAlignment="1">
      <alignment horizontal="center" vertical="center"/>
    </xf>
    <xf numFmtId="169" fontId="2" fillId="31" borderId="0" xfId="0" applyNumberFormat="1" applyFont="1" applyFill="1" applyBorder="1" applyAlignment="1">
      <alignment horizontal="center" vertical="center"/>
    </xf>
    <xf numFmtId="170" fontId="2" fillId="31" borderId="0" xfId="0" applyNumberFormat="1" applyFont="1" applyFill="1" applyBorder="1" applyAlignment="1">
      <alignment horizontal="center" vertical="center"/>
    </xf>
    <xf numFmtId="0" fontId="27" fillId="10" borderId="0" xfId="0" applyFont="1" applyFill="1" applyBorder="1"/>
    <xf numFmtId="165" fontId="6" fillId="10" borderId="0" xfId="0" applyNumberFormat="1" applyFont="1" applyFill="1" applyBorder="1" applyAlignment="1">
      <alignment horizontal="left" vertical="center"/>
    </xf>
    <xf numFmtId="3" fontId="46" fillId="10" borderId="0" xfId="0" applyNumberFormat="1" applyFont="1" applyFill="1" applyAlignment="1">
      <alignment horizontal="center"/>
    </xf>
    <xf numFmtId="165" fontId="87" fillId="31" borderId="2" xfId="0" applyNumberFormat="1" applyFont="1" applyFill="1" applyBorder="1" applyAlignment="1">
      <alignment horizontal="left" vertical="center"/>
    </xf>
  </cellXfs>
  <cellStyles count="14">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Percent" xfId="1" builtinId="5"/>
    <cellStyle name="Percent 2" xfId="12" xr:uid="{00000000-0005-0000-0000-00003A000000}"/>
  </cellStyles>
  <dxfs count="0"/>
  <tableStyles count="0" defaultTableStyle="TableStyleMedium2" defaultPivotStyle="PivotStyleLight16"/>
  <colors>
    <mruColors>
      <color rgb="FFF8483A"/>
      <color rgb="FF0000FF"/>
      <color rgb="FFCCFFCC"/>
      <color rgb="FF0000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cowper/AppData/Local/Microsoft/Windows/INetCache/Content.Outlook/CXOJLCLH/2020%20Depreciation%20Budget%20v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lucy.malkin/AppData/Local/Microsoft/Windows/INetCache/Content.Outlook/W41H5SDE/FLYR%20-%20Detailed%20Bridge%20Financing%20Pro%20Forma%20Cap%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ersion Control"/>
      <sheetName val="Additions"/>
      <sheetName val="ONT"/>
      <sheetName val="OXUS"/>
      <sheetName val="OXGF"/>
      <sheetName val="OXSG"/>
      <sheetName val="UEL"/>
      <sheetName val="Output"/>
      <sheetName val="Capex"/>
      <sheetName val="Summary"/>
    </sheetNames>
    <sheetDataSet>
      <sheetData sheetId="0" refreshError="1"/>
      <sheetData sheetId="1"/>
      <sheetData sheetId="2">
        <row r="2">
          <cell r="N2">
            <v>43739</v>
          </cell>
          <cell r="O2">
            <v>43770</v>
          </cell>
          <cell r="P2">
            <v>43800</v>
          </cell>
          <cell r="Q2">
            <v>43831</v>
          </cell>
          <cell r="R2">
            <v>43862</v>
          </cell>
          <cell r="S2">
            <v>43891</v>
          </cell>
          <cell r="T2">
            <v>43922</v>
          </cell>
          <cell r="U2">
            <v>43952</v>
          </cell>
          <cell r="V2">
            <v>43983</v>
          </cell>
          <cell r="W2">
            <v>44013</v>
          </cell>
          <cell r="X2">
            <v>44044</v>
          </cell>
          <cell r="Y2">
            <v>44075</v>
          </cell>
          <cell r="Z2">
            <v>44105</v>
          </cell>
          <cell r="AA2">
            <v>44136</v>
          </cell>
          <cell r="AB2">
            <v>44166</v>
          </cell>
          <cell r="AC2">
            <v>44197</v>
          </cell>
          <cell r="AD2">
            <v>44228</v>
          </cell>
          <cell r="AE2">
            <v>44256</v>
          </cell>
          <cell r="AF2">
            <v>44287</v>
          </cell>
          <cell r="AG2">
            <v>44317</v>
          </cell>
          <cell r="AH2">
            <v>44348</v>
          </cell>
          <cell r="AI2">
            <v>44378</v>
          </cell>
          <cell r="AJ2">
            <v>44409</v>
          </cell>
          <cell r="AK2">
            <v>44440</v>
          </cell>
          <cell r="AL2">
            <v>44470</v>
          </cell>
          <cell r="AM2">
            <v>44501</v>
          </cell>
          <cell r="AN2">
            <v>44531</v>
          </cell>
        </row>
      </sheetData>
      <sheetData sheetId="3"/>
      <sheetData sheetId="4"/>
      <sheetData sheetId="5"/>
      <sheetData sheetId="6">
        <row r="3">
          <cell r="B3" t="str">
            <v>BLDG</v>
          </cell>
        </row>
        <row r="4">
          <cell r="B4" t="str">
            <v>ELECT</v>
          </cell>
        </row>
        <row r="5">
          <cell r="B5" t="str">
            <v>LAND</v>
          </cell>
        </row>
        <row r="6">
          <cell r="B6" t="str">
            <v>LHI</v>
          </cell>
        </row>
        <row r="7">
          <cell r="B7" t="str">
            <v>REFURB</v>
          </cell>
        </row>
        <row r="8">
          <cell r="B8" t="str">
            <v>FURN</v>
          </cell>
        </row>
        <row r="9">
          <cell r="B9" t="str">
            <v>IT EQUIP</v>
          </cell>
        </row>
        <row r="10">
          <cell r="B10" t="str">
            <v>BLDG PLANT</v>
          </cell>
        </row>
        <row r="11">
          <cell r="B11" t="str">
            <v>IT PLANT 7</v>
          </cell>
        </row>
        <row r="12">
          <cell r="B12" t="str">
            <v>IT PLANT10</v>
          </cell>
        </row>
        <row r="13">
          <cell r="B13" t="str">
            <v>LAB EQUIP</v>
          </cell>
        </row>
        <row r="14">
          <cell r="B14" t="str">
            <v>PLANT ACQD</v>
          </cell>
        </row>
        <row r="15">
          <cell r="B15" t="str">
            <v>INTERNAL</v>
          </cell>
        </row>
        <row r="18">
          <cell r="B18" t="str">
            <v>ONT</v>
          </cell>
        </row>
        <row r="19">
          <cell r="B19" t="str">
            <v>OXUS</v>
          </cell>
        </row>
        <row r="20">
          <cell r="B20" t="str">
            <v>GF</v>
          </cell>
        </row>
      </sheetData>
      <sheetData sheetId="7"/>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rrent Cap"/>
      <sheetName val="Pro Forma (2)"/>
    </sheetNames>
    <sheetDataSet>
      <sheetData sheetId="0">
        <row r="133">
          <cell r="T133">
            <v>43086515</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vmlDrawing" Target="../drawings/vmlDrawing2.vm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0" Type="http://schemas.openxmlformats.org/officeDocument/2006/relationships/hyperlink" Target="https://nanoporetech.com/"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comments" Target="../comments2.xml"/><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printerSettings" Target="../printerSettings/printerSettings4.bin"/><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21"/>
  <sheetViews>
    <sheetView showGridLines="0" tabSelected="1" view="pageBreakPreview" zoomScale="90" zoomScaleNormal="115" zoomScaleSheetLayoutView="90" workbookViewId="0">
      <selection activeCell="I35" sqref="I35"/>
    </sheetView>
  </sheetViews>
  <sheetFormatPr defaultColWidth="9.140625" defaultRowHeight="15" x14ac:dyDescent="0.25"/>
  <cols>
    <col min="1" max="1" width="9.140625" style="26"/>
    <col min="2" max="2" width="5.28515625" style="26" customWidth="1"/>
    <col min="3" max="3" width="21.5703125" style="27" customWidth="1"/>
    <col min="4" max="4" width="15.85546875" style="26" bestFit="1" customWidth="1"/>
    <col min="5" max="8" width="14.5703125" style="26" customWidth="1"/>
    <col min="9" max="9" width="17.28515625" style="26" customWidth="1"/>
    <col min="10" max="13" width="13.7109375" style="26" customWidth="1"/>
    <col min="14" max="16384" width="9.140625" style="26"/>
  </cols>
  <sheetData>
    <row r="1" spans="2:15" ht="15.75" thickBot="1" x14ac:dyDescent="0.3"/>
    <row r="2" spans="2:15" s="71" customFormat="1" ht="15.75" thickBot="1" x14ac:dyDescent="0.3">
      <c r="C2" s="158" t="s">
        <v>173</v>
      </c>
      <c r="D2" s="172">
        <v>45351</v>
      </c>
      <c r="E2" s="621" t="str">
        <f>TEXT(D2,"dddddd")</f>
        <v>Thursday</v>
      </c>
      <c r="G2" s="26"/>
      <c r="H2" s="26"/>
      <c r="I2" s="26"/>
      <c r="J2" s="26"/>
      <c r="K2" s="26"/>
      <c r="L2" s="26"/>
      <c r="M2" s="26"/>
      <c r="N2" s="26"/>
      <c r="O2" s="26"/>
    </row>
    <row r="3" spans="2:15" s="181" customFormat="1" x14ac:dyDescent="0.25">
      <c r="C3" s="179"/>
      <c r="D3" s="180"/>
      <c r="E3" s="620"/>
      <c r="G3" s="96"/>
      <c r="H3" s="96"/>
      <c r="I3" s="96"/>
      <c r="J3" s="96"/>
      <c r="K3" s="96"/>
      <c r="L3" s="96"/>
      <c r="M3" s="96"/>
      <c r="N3" s="96"/>
      <c r="O3" s="96"/>
    </row>
    <row r="4" spans="2:15" x14ac:dyDescent="0.25">
      <c r="B4" s="622"/>
      <c r="C4" s="623"/>
      <c r="D4" s="622"/>
      <c r="E4" s="622"/>
      <c r="F4" s="622"/>
      <c r="G4" s="622"/>
      <c r="H4" s="624" t="s">
        <v>186</v>
      </c>
      <c r="I4" s="622"/>
      <c r="J4" s="622"/>
      <c r="K4" s="622"/>
      <c r="L4" s="622"/>
      <c r="M4" s="622"/>
      <c r="N4" s="622"/>
    </row>
    <row r="5" spans="2:15" ht="15.75" thickBot="1" x14ac:dyDescent="0.3">
      <c r="B5" s="209" t="s">
        <v>665</v>
      </c>
      <c r="D5" s="185"/>
      <c r="N5" s="209"/>
    </row>
    <row r="6" spans="2:15" x14ac:dyDescent="0.25">
      <c r="B6" s="199"/>
      <c r="C6" s="88"/>
      <c r="D6" s="200"/>
      <c r="E6" s="200"/>
      <c r="F6" s="200"/>
      <c r="G6" s="200"/>
      <c r="H6" s="200"/>
      <c r="I6" s="200"/>
      <c r="J6" s="200"/>
      <c r="K6" s="200"/>
      <c r="L6" s="200"/>
      <c r="M6" s="200"/>
      <c r="N6" s="90"/>
    </row>
    <row r="7" spans="2:15" ht="34.5" customHeight="1" x14ac:dyDescent="0.25">
      <c r="B7" s="97"/>
      <c r="C7" s="201"/>
      <c r="D7" s="202" t="s">
        <v>185</v>
      </c>
      <c r="E7" s="202" t="s">
        <v>32</v>
      </c>
      <c r="F7" s="203" t="s">
        <v>2</v>
      </c>
      <c r="G7" s="203" t="s">
        <v>210</v>
      </c>
      <c r="H7" s="203" t="s">
        <v>33</v>
      </c>
      <c r="I7" s="203" t="s">
        <v>161</v>
      </c>
      <c r="J7" s="203" t="s">
        <v>24</v>
      </c>
      <c r="K7" s="203" t="s">
        <v>34</v>
      </c>
      <c r="L7" s="203" t="s">
        <v>174</v>
      </c>
      <c r="M7" s="203" t="s">
        <v>97</v>
      </c>
      <c r="N7" s="98"/>
    </row>
    <row r="8" spans="2:15" x14ac:dyDescent="0.25">
      <c r="B8" s="97"/>
      <c r="C8" s="201"/>
      <c r="D8" s="201"/>
      <c r="E8" s="109"/>
      <c r="F8" s="109"/>
      <c r="G8" s="109"/>
      <c r="H8" s="109"/>
      <c r="I8" s="109"/>
      <c r="J8" s="109"/>
      <c r="K8" s="109"/>
      <c r="L8" s="109"/>
      <c r="M8" s="109"/>
      <c r="N8" s="98"/>
    </row>
    <row r="9" spans="2:15" x14ac:dyDescent="0.25">
      <c r="B9" s="97"/>
      <c r="C9" s="109" t="s">
        <v>178</v>
      </c>
      <c r="D9" s="207">
        <f>COUNTIF('S | 01 '!C9:C32,"*")</f>
        <v>22</v>
      </c>
      <c r="E9" s="163">
        <f ca="1">'1. IRR Equity'!AH35</f>
        <v>2141.7830433728436</v>
      </c>
      <c r="F9" s="163">
        <f ca="1">'1. IRR Equity'!AI35</f>
        <v>2138.0330433728436</v>
      </c>
      <c r="G9" s="163">
        <f ca="1">'1. IRR Equity'!AJ35</f>
        <v>3.75</v>
      </c>
      <c r="H9" s="163">
        <f ca="1">'1. IRR Equity'!AK35</f>
        <v>1243.24219253</v>
      </c>
      <c r="I9" s="163">
        <f ca="1">'1. IRR Equity'!AL35</f>
        <v>835.01115026311936</v>
      </c>
      <c r="J9" s="420">
        <f ca="1">'1. IRR Equity'!AM35</f>
        <v>-1.4689040370285514E-2</v>
      </c>
      <c r="K9" s="212">
        <f ca="1">'1. IRR Equity'!AN35</f>
        <v>0.97203986123366037</v>
      </c>
      <c r="L9" s="165">
        <f ca="1">'1. IRR Equity'!AO35</f>
        <v>0.39055109688382156</v>
      </c>
      <c r="M9" s="165">
        <f ca="1">'1. IRR Equity'!AP35</f>
        <v>0.58148876434983876</v>
      </c>
      <c r="N9" s="98"/>
    </row>
    <row r="10" spans="2:15" x14ac:dyDescent="0.25">
      <c r="B10" s="97"/>
      <c r="C10" s="201"/>
      <c r="D10" s="201"/>
      <c r="E10" s="109"/>
      <c r="F10" s="109"/>
      <c r="G10" s="109"/>
      <c r="H10" s="109"/>
      <c r="I10" s="109"/>
      <c r="J10" s="258"/>
      <c r="K10" s="109"/>
      <c r="L10" s="109"/>
      <c r="M10" s="109"/>
      <c r="N10" s="98"/>
    </row>
    <row r="11" spans="2:15" x14ac:dyDescent="0.25">
      <c r="B11" s="97"/>
      <c r="C11" s="201"/>
      <c r="D11" s="201"/>
      <c r="E11" s="109"/>
      <c r="F11" s="109"/>
      <c r="G11" s="109"/>
      <c r="H11" s="109"/>
      <c r="I11" s="109"/>
      <c r="J11" s="258"/>
      <c r="K11" s="109"/>
      <c r="L11" s="109"/>
      <c r="M11" s="109"/>
      <c r="N11" s="98"/>
    </row>
    <row r="12" spans="2:15" x14ac:dyDescent="0.25">
      <c r="B12" s="97"/>
      <c r="C12" s="109" t="s">
        <v>179</v>
      </c>
      <c r="D12" s="207">
        <f>COUNTIF('S | 01 '!C35:C37,"*")</f>
        <v>3</v>
      </c>
      <c r="E12" s="163">
        <f>'2. IRR Debt'!Q12</f>
        <v>10.765747000000001</v>
      </c>
      <c r="F12" s="163">
        <f>'2. IRR Debt'!R12</f>
        <v>10.765747000000001</v>
      </c>
      <c r="G12" s="163">
        <f>'2. IRR Debt'!S12</f>
        <v>0</v>
      </c>
      <c r="H12" s="163">
        <f>'2. IRR Debt'!T12</f>
        <v>0.47078465000000003</v>
      </c>
      <c r="I12" s="163">
        <f>'2. IRR Debt'!U12</f>
        <v>0</v>
      </c>
      <c r="J12" s="257">
        <f>'2. IRR Debt'!V12</f>
        <v>-0.71226245388388643</v>
      </c>
      <c r="K12" s="212">
        <f>'2. IRR Debt'!W12</f>
        <v>4.3729863798582673E-2</v>
      </c>
      <c r="L12" s="165">
        <f>'2. IRR Debt'!X12</f>
        <v>0</v>
      </c>
      <c r="M12" s="165">
        <f>'2. IRR Debt'!Y12</f>
        <v>4.3729863798582673E-2</v>
      </c>
      <c r="N12" s="98"/>
    </row>
    <row r="13" spans="2:15" x14ac:dyDescent="0.25">
      <c r="B13" s="97"/>
      <c r="C13" s="201"/>
      <c r="D13" s="208"/>
      <c r="E13" s="109"/>
      <c r="F13" s="109"/>
      <c r="G13" s="109"/>
      <c r="H13" s="109"/>
      <c r="I13" s="109"/>
      <c r="J13" s="258"/>
      <c r="K13" s="109"/>
      <c r="L13" s="109"/>
      <c r="M13" s="109"/>
      <c r="N13" s="98"/>
    </row>
    <row r="14" spans="2:15" x14ac:dyDescent="0.25">
      <c r="B14" s="97"/>
      <c r="C14" s="201"/>
      <c r="D14" s="208"/>
      <c r="E14" s="109"/>
      <c r="F14" s="109"/>
      <c r="G14" s="109"/>
      <c r="H14" s="109"/>
      <c r="I14" s="109"/>
      <c r="J14" s="258"/>
      <c r="K14" s="109"/>
      <c r="L14" s="109"/>
      <c r="M14" s="109"/>
      <c r="N14" s="98"/>
    </row>
    <row r="15" spans="2:15" x14ac:dyDescent="0.25">
      <c r="B15" s="97"/>
      <c r="C15" s="109" t="s">
        <v>180</v>
      </c>
      <c r="D15" s="207">
        <f>COUNTIF('S | 01 '!C41:C45,"*")</f>
        <v>5</v>
      </c>
      <c r="E15" s="163">
        <f ca="1">'3. IRR Funds'!Q15</f>
        <v>178.95356538954778</v>
      </c>
      <c r="F15" s="163">
        <f ca="1">'3. IRR Funds'!R15</f>
        <v>138.88391878132617</v>
      </c>
      <c r="G15" s="163">
        <f ca="1">'3. IRR Funds'!S15</f>
        <v>15.029339608221596</v>
      </c>
      <c r="H15" s="163">
        <f ca="1">'3. IRR Funds'!T15</f>
        <v>36.175166701408202</v>
      </c>
      <c r="I15" s="163">
        <f ca="1">'3. IRR Funds'!U15</f>
        <v>106.22542781513916</v>
      </c>
      <c r="J15" s="420">
        <f>'3. IRR Funds'!V15</f>
        <v>2.9802322387695314E-9</v>
      </c>
      <c r="K15" s="212">
        <f ca="1">'3. IRR Funds'!W15</f>
        <v>1.0253209713988429</v>
      </c>
      <c r="L15" s="165">
        <f ca="1">'3. IRR Funds'!X15</f>
        <v>0.76485045026985399</v>
      </c>
      <c r="M15" s="165">
        <f ca="1">'3. IRR Funds'!Y15</f>
        <v>0.26047052112898894</v>
      </c>
      <c r="N15" s="98"/>
    </row>
    <row r="16" spans="2:15" x14ac:dyDescent="0.25">
      <c r="B16" s="97"/>
      <c r="C16" s="201"/>
      <c r="D16" s="208"/>
      <c r="E16" s="109"/>
      <c r="F16" s="109"/>
      <c r="G16" s="109"/>
      <c r="H16" s="109"/>
      <c r="I16" s="109"/>
      <c r="J16" s="258"/>
      <c r="K16" s="109"/>
      <c r="L16" s="109"/>
      <c r="M16" s="109"/>
      <c r="N16" s="98"/>
    </row>
    <row r="17" spans="2:14" x14ac:dyDescent="0.25">
      <c r="B17" s="97"/>
      <c r="C17" s="201"/>
      <c r="D17" s="201"/>
      <c r="E17" s="109"/>
      <c r="F17" s="109"/>
      <c r="G17" s="109"/>
      <c r="H17" s="109"/>
      <c r="I17" s="109"/>
      <c r="J17" s="258"/>
      <c r="K17" s="109"/>
      <c r="L17" s="109"/>
      <c r="M17" s="109"/>
      <c r="N17" s="98"/>
    </row>
    <row r="18" spans="2:14" x14ac:dyDescent="0.25">
      <c r="B18" s="97"/>
      <c r="C18" s="109" t="s">
        <v>181</v>
      </c>
      <c r="D18" s="207">
        <f t="shared" ref="D18:I18" si="0">D9+D12+D15</f>
        <v>30</v>
      </c>
      <c r="E18" s="163">
        <f t="shared" ca="1" si="0"/>
        <v>2331.5023557623913</v>
      </c>
      <c r="F18" s="163">
        <f t="shared" ca="1" si="0"/>
        <v>2287.6827091541695</v>
      </c>
      <c r="G18" s="163">
        <f t="shared" ca="1" si="0"/>
        <v>18.779339608221598</v>
      </c>
      <c r="H18" s="163">
        <f t="shared" ca="1" si="0"/>
        <v>1279.8881438814083</v>
      </c>
      <c r="I18" s="163">
        <f t="shared" ca="1" si="0"/>
        <v>941.2365780782585</v>
      </c>
      <c r="J18" s="420">
        <f ca="1">'4.All'!N9</f>
        <v>2.9802322387695314E-9</v>
      </c>
      <c r="K18" s="212">
        <f ca="1">(H18+I18)/F18</f>
        <v>0.97090593598134445</v>
      </c>
      <c r="L18" s="165">
        <f ca="1">I18/F18</f>
        <v>0.41143667970732889</v>
      </c>
      <c r="M18" s="165">
        <f ca="1">H18/F18</f>
        <v>0.55946925627401556</v>
      </c>
      <c r="N18" s="98"/>
    </row>
    <row r="19" spans="2:14" s="38" customFormat="1" ht="15.75" thickBot="1" x14ac:dyDescent="0.3">
      <c r="B19" s="204"/>
      <c r="C19" s="205"/>
      <c r="D19" s="205"/>
      <c r="E19" s="263"/>
      <c r="F19" s="205"/>
      <c r="G19" s="205"/>
      <c r="H19" s="205"/>
      <c r="I19" s="205"/>
      <c r="J19" s="259"/>
      <c r="K19" s="205"/>
      <c r="L19" s="205"/>
      <c r="M19" s="205"/>
      <c r="N19" s="206"/>
    </row>
    <row r="20" spans="2:14" x14ac:dyDescent="0.25">
      <c r="E20" s="264" t="b">
        <f ca="1">E18='S | 01 '!J48</f>
        <v>1</v>
      </c>
      <c r="F20" s="264" t="b">
        <f ca="1">F18='S | 01 '!K48</f>
        <v>1</v>
      </c>
      <c r="G20" s="265" t="b">
        <f ca="1">ROUND(G18,1)=ROUND('S | 01 '!L48,1)</f>
        <v>1</v>
      </c>
      <c r="H20" s="265" t="b">
        <f ca="1">ROUND(H18,1)=ROUND('S | 01 '!M48,1)</f>
        <v>1</v>
      </c>
      <c r="I20" s="265" t="b">
        <f ca="1">ROUND(I18,1)=ROUND('S | 01 '!N48,1)</f>
        <v>1</v>
      </c>
      <c r="J20" s="260"/>
    </row>
    <row r="21" spans="2:14" x14ac:dyDescent="0.25">
      <c r="J21" s="260"/>
    </row>
  </sheetData>
  <pageMargins left="0.7" right="0.7" top="0.75" bottom="0.75" header="0.3" footer="0.3"/>
  <pageSetup paperSize="9" scale="38" orientation="portrait"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39997558519241921"/>
  </sheetPr>
  <dimension ref="B1:T86"/>
  <sheetViews>
    <sheetView showGridLines="0" view="pageBreakPreview" zoomScale="70" zoomScaleNormal="80" zoomScaleSheetLayoutView="70" workbookViewId="0">
      <selection activeCell="I33" sqref="I33"/>
    </sheetView>
  </sheetViews>
  <sheetFormatPr defaultColWidth="9.140625" defaultRowHeight="15" x14ac:dyDescent="0.25"/>
  <cols>
    <col min="1" max="2" width="5.42578125" style="26" customWidth="1"/>
    <col min="3" max="3" width="45.28515625" style="84"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114" customWidth="1"/>
    <col min="17" max="17" width="15.42578125" style="27" customWidth="1"/>
    <col min="18" max="18" width="32.42578125" style="27" customWidth="1"/>
    <col min="19" max="19" width="14.85546875" style="27" bestFit="1" customWidth="1"/>
    <col min="20" max="20" width="9.140625" style="26"/>
    <col min="21" max="22" width="18.5703125" style="26" customWidth="1"/>
    <col min="23" max="16384" width="9.140625" style="26"/>
  </cols>
  <sheetData>
    <row r="1" spans="2:19" s="96" customFormat="1" ht="21.75" customHeight="1" thickBot="1" x14ac:dyDescent="0.3">
      <c r="C1" s="219"/>
      <c r="D1" s="217"/>
      <c r="E1" s="217"/>
      <c r="F1" s="217"/>
      <c r="G1" s="217"/>
      <c r="H1" s="217"/>
      <c r="I1" s="217"/>
      <c r="J1" s="217"/>
      <c r="K1" s="217"/>
      <c r="L1" s="217"/>
      <c r="M1" s="217"/>
      <c r="N1" s="217"/>
      <c r="O1" s="217"/>
      <c r="P1" s="218"/>
      <c r="Q1" s="217"/>
      <c r="R1" s="217"/>
      <c r="S1" s="217"/>
    </row>
    <row r="2" spans="2:19" ht="15.75" thickBot="1" x14ac:dyDescent="0.3">
      <c r="C2" s="247" t="s">
        <v>187</v>
      </c>
      <c r="D2" s="248">
        <f>D!D2</f>
        <v>45351</v>
      </c>
      <c r="E2" s="26"/>
      <c r="F2" s="26"/>
      <c r="G2" s="26"/>
      <c r="H2" s="26"/>
      <c r="I2" s="26"/>
      <c r="J2" s="26"/>
      <c r="K2" s="26"/>
      <c r="L2" s="26"/>
      <c r="M2" s="26"/>
      <c r="N2" s="26"/>
      <c r="O2" s="26"/>
      <c r="P2" s="26"/>
      <c r="Q2" s="26"/>
      <c r="R2" s="26"/>
    </row>
    <row r="3" spans="2:19" s="96" customFormat="1" ht="21.75" customHeight="1" thickBot="1" x14ac:dyDescent="0.3">
      <c r="C3" s="219"/>
      <c r="D3" s="217"/>
      <c r="E3" s="217"/>
      <c r="F3" s="217"/>
      <c r="G3" s="217"/>
      <c r="H3" s="217"/>
      <c r="I3" s="217"/>
      <c r="J3" s="217"/>
      <c r="K3" s="217"/>
      <c r="L3" s="217"/>
      <c r="M3" s="217"/>
      <c r="N3" s="217"/>
      <c r="O3" s="217"/>
      <c r="P3" s="218"/>
      <c r="Q3" s="217"/>
      <c r="R3" s="217"/>
      <c r="S3" s="217"/>
    </row>
    <row r="4" spans="2:19" x14ac:dyDescent="0.25">
      <c r="B4" s="86"/>
      <c r="C4" s="87"/>
      <c r="D4" s="88"/>
      <c r="E4" s="88"/>
      <c r="F4" s="88"/>
      <c r="G4" s="88"/>
      <c r="H4" s="88"/>
      <c r="I4" s="88"/>
      <c r="J4" s="88"/>
      <c r="K4" s="88"/>
      <c r="L4" s="88"/>
      <c r="M4" s="88"/>
      <c r="N4" s="88"/>
      <c r="O4" s="88"/>
      <c r="P4" s="221"/>
      <c r="Q4" s="88"/>
      <c r="R4" s="88"/>
      <c r="S4" s="348"/>
    </row>
    <row r="5" spans="2:19" x14ac:dyDescent="0.25">
      <c r="B5" s="97"/>
      <c r="C5" s="272"/>
      <c r="D5" s="201"/>
      <c r="E5" s="201"/>
      <c r="F5" s="201"/>
      <c r="G5" s="201"/>
      <c r="H5" s="201"/>
      <c r="I5" s="201"/>
      <c r="J5" s="201"/>
      <c r="K5" s="201"/>
      <c r="L5" s="201"/>
      <c r="M5" s="201"/>
      <c r="N5" s="201"/>
      <c r="O5" s="201"/>
      <c r="P5" s="117"/>
      <c r="Q5" s="201"/>
      <c r="R5" s="201"/>
      <c r="S5" s="322"/>
    </row>
    <row r="6" spans="2:19" s="93" customFormat="1" ht="60" customHeight="1" x14ac:dyDescent="0.25">
      <c r="B6" s="91"/>
      <c r="C6" s="3" t="s">
        <v>52</v>
      </c>
      <c r="D6" s="1" t="s">
        <v>25</v>
      </c>
      <c r="E6" s="1" t="s">
        <v>62</v>
      </c>
      <c r="F6" s="1" t="s">
        <v>655</v>
      </c>
      <c r="G6" s="1" t="s">
        <v>143</v>
      </c>
      <c r="H6" s="1" t="s">
        <v>36</v>
      </c>
      <c r="I6" s="1" t="s">
        <v>54</v>
      </c>
      <c r="J6" s="1" t="s">
        <v>32</v>
      </c>
      <c r="K6" s="1" t="s">
        <v>2</v>
      </c>
      <c r="L6" s="1" t="s">
        <v>51</v>
      </c>
      <c r="M6" s="1" t="s">
        <v>33</v>
      </c>
      <c r="N6" s="1" t="s">
        <v>27</v>
      </c>
      <c r="O6" s="1" t="s">
        <v>204</v>
      </c>
      <c r="P6" s="1" t="s">
        <v>34</v>
      </c>
      <c r="Q6" s="1" t="s">
        <v>274</v>
      </c>
      <c r="R6" s="1" t="s">
        <v>490</v>
      </c>
      <c r="S6" s="400"/>
    </row>
    <row r="7" spans="2:19" s="96" customFormat="1" x14ac:dyDescent="0.25">
      <c r="B7" s="94"/>
      <c r="C7" s="5"/>
      <c r="D7" s="8"/>
      <c r="E7" s="8"/>
      <c r="F7" s="8"/>
      <c r="G7" s="8" t="s">
        <v>85</v>
      </c>
      <c r="H7" s="8"/>
      <c r="I7" s="8" t="s">
        <v>54</v>
      </c>
      <c r="J7" s="8" t="s">
        <v>302</v>
      </c>
      <c r="K7" s="8" t="s">
        <v>302</v>
      </c>
      <c r="L7" s="8" t="s">
        <v>302</v>
      </c>
      <c r="M7" s="8" t="s">
        <v>302</v>
      </c>
      <c r="N7" s="8" t="s">
        <v>302</v>
      </c>
      <c r="O7" s="8" t="s">
        <v>302</v>
      </c>
      <c r="P7" s="12" t="s">
        <v>303</v>
      </c>
      <c r="Q7" s="8" t="s">
        <v>54</v>
      </c>
      <c r="R7" s="8"/>
      <c r="S7" s="401"/>
    </row>
    <row r="8" spans="2:19" x14ac:dyDescent="0.25">
      <c r="B8" s="97"/>
      <c r="C8" s="678" t="s">
        <v>28</v>
      </c>
      <c r="D8" s="580"/>
      <c r="E8" s="580"/>
      <c r="F8" s="580"/>
      <c r="G8" s="580"/>
      <c r="H8" s="580"/>
      <c r="I8" s="580"/>
      <c r="J8" s="580"/>
      <c r="K8" s="580"/>
      <c r="L8" s="580"/>
      <c r="M8" s="580"/>
      <c r="N8" s="580"/>
      <c r="O8" s="580"/>
      <c r="P8" s="580"/>
      <c r="Q8" s="580"/>
      <c r="R8" s="580"/>
      <c r="S8" s="322"/>
    </row>
    <row r="9" spans="2:19" x14ac:dyDescent="0.25">
      <c r="B9" s="97"/>
      <c r="C9" s="4" t="s">
        <v>48</v>
      </c>
      <c r="D9" s="2" t="s">
        <v>484</v>
      </c>
      <c r="E9" s="2" t="s">
        <v>64</v>
      </c>
      <c r="F9" s="2" t="s">
        <v>8</v>
      </c>
      <c r="G9" s="6">
        <v>2019</v>
      </c>
      <c r="H9" s="2" t="s">
        <v>74</v>
      </c>
      <c r="I9" s="125">
        <f>'6. %'!F9</f>
        <v>5.6999998161926343E-2</v>
      </c>
      <c r="J9" s="17">
        <f t="shared" ref="J9:J23" ca="1" si="0">K9</f>
        <v>65</v>
      </c>
      <c r="K9" s="17">
        <f ca="1">-SUMIF('CF (Equity, Debt)'!$C$3:$K$51,'S | 01 '!C9,'CF (Equity, Debt)'!$E$3:$E$51)</f>
        <v>65</v>
      </c>
      <c r="L9" s="17">
        <v>0</v>
      </c>
      <c r="M9" s="17">
        <f ca="1">SUMIF('CF (Equity, Debt)'!$C$3:$K$51,'S | 01 '!C9,'CF (Equity, Debt)'!$F$3:$F$51)</f>
        <v>0</v>
      </c>
      <c r="N9" s="17">
        <f>VLOOKUP(C9,NAV!$B$4:$E$43,4,0)</f>
        <v>0</v>
      </c>
      <c r="O9" s="17">
        <f ca="1">N9+M9-K9</f>
        <v>-65</v>
      </c>
      <c r="P9" s="10">
        <f t="shared" ref="P9:P21" ca="1" si="1">(M9+N9)/K9</f>
        <v>0</v>
      </c>
      <c r="Q9" s="125" t="str">
        <f>VLOOKUP(C9,'1. IRR Equity'!$AG$12:$AP$30,7,0)</f>
        <v>NM</v>
      </c>
      <c r="R9" s="122" t="s">
        <v>83</v>
      </c>
      <c r="S9" s="322"/>
    </row>
    <row r="10" spans="2:19" x14ac:dyDescent="0.25">
      <c r="B10" s="97"/>
      <c r="C10" s="4" t="s">
        <v>0</v>
      </c>
      <c r="D10" s="2" t="s">
        <v>484</v>
      </c>
      <c r="E10" s="2" t="s">
        <v>64</v>
      </c>
      <c r="F10" s="2" t="s">
        <v>8</v>
      </c>
      <c r="G10" s="6">
        <v>2019</v>
      </c>
      <c r="H10" s="2" t="s">
        <v>69</v>
      </c>
      <c r="I10" s="125">
        <f>'6. %'!F10</f>
        <v>0.14000000235296001</v>
      </c>
      <c r="J10" s="17">
        <f t="shared" ca="1" si="0"/>
        <v>8</v>
      </c>
      <c r="K10" s="17">
        <f ca="1">-SUMIF('CF (Equity, Debt)'!$C$3:$K$51,'S | 01 '!C10,'CF (Equity, Debt)'!$E$3:$E$51)</f>
        <v>8</v>
      </c>
      <c r="L10" s="17">
        <v>0</v>
      </c>
      <c r="M10" s="17">
        <f ca="1">SUMIF('CF (Equity, Debt)'!$C$3:$K$51,'S | 01 '!C10,'CF (Equity, Debt)'!$F$3:$F$51)</f>
        <v>0</v>
      </c>
      <c r="N10" s="17">
        <f>VLOOKUP(C10,NAV!$B$4:$E$43,4,0)</f>
        <v>0</v>
      </c>
      <c r="O10" s="17">
        <f t="shared" ref="O10:O29" ca="1" si="2">N10+M10-K10</f>
        <v>-8</v>
      </c>
      <c r="P10" s="10">
        <f t="shared" ca="1" si="1"/>
        <v>0</v>
      </c>
      <c r="Q10" s="125" t="str">
        <f>VLOOKUP(C10,'1. IRR Equity'!$AG$12:$AP$30,7,0)</f>
        <v>NM</v>
      </c>
      <c r="R10" s="122" t="s">
        <v>83</v>
      </c>
      <c r="S10" s="322"/>
    </row>
    <row r="11" spans="2:19" ht="17.25" x14ac:dyDescent="0.25">
      <c r="B11" s="97"/>
      <c r="C11" s="4" t="s">
        <v>39</v>
      </c>
      <c r="D11" s="2" t="s">
        <v>79</v>
      </c>
      <c r="E11" s="2" t="s">
        <v>63</v>
      </c>
      <c r="F11" s="2" t="s">
        <v>8</v>
      </c>
      <c r="G11" s="6">
        <v>2019</v>
      </c>
      <c r="H11" s="2" t="s">
        <v>76</v>
      </c>
      <c r="I11" s="125">
        <f>'6. %'!F11</f>
        <v>8.5025484621212399E-2</v>
      </c>
      <c r="J11" s="17">
        <f t="shared" ca="1" si="0"/>
        <v>10</v>
      </c>
      <c r="K11" s="17">
        <f ca="1">-SUMIF('CF (Equity, Debt)'!$C$3:$K$51,'S | 01 '!C11,'CF (Equity, Debt)'!$E$3:$E$51)</f>
        <v>10</v>
      </c>
      <c r="L11" s="17">
        <v>0</v>
      </c>
      <c r="M11" s="17">
        <f ca="1">SUMIF('CF (Equity, Debt)'!$C$3:$K$51,'S | 01 '!C11,'CF (Equity, Debt)'!$F$3:$F$51)</f>
        <v>0</v>
      </c>
      <c r="N11" s="17">
        <f>VLOOKUP(C11,NAV!$B$4:$E$43,4,0)</f>
        <v>78.082229999999996</v>
      </c>
      <c r="O11" s="17">
        <f t="shared" ca="1" si="2"/>
        <v>68.082229999999996</v>
      </c>
      <c r="P11" s="10">
        <f t="shared" ca="1" si="1"/>
        <v>7.8082229999999999</v>
      </c>
      <c r="Q11" s="125">
        <f>VLOOKUP(C11,'1. IRR Equity'!$AG$12:$AP$30,7,0)</f>
        <v>0.58568407893180863</v>
      </c>
      <c r="R11" s="122" t="s">
        <v>594</v>
      </c>
      <c r="S11" s="322"/>
    </row>
    <row r="12" spans="2:19" x14ac:dyDescent="0.25">
      <c r="B12" s="97"/>
      <c r="C12" s="4" t="s">
        <v>40</v>
      </c>
      <c r="D12" s="2" t="s">
        <v>80</v>
      </c>
      <c r="E12" s="2" t="s">
        <v>63</v>
      </c>
      <c r="F12" s="2" t="s">
        <v>8</v>
      </c>
      <c r="G12" s="6">
        <v>2020</v>
      </c>
      <c r="H12" s="2" t="s">
        <v>45</v>
      </c>
      <c r="I12" s="125" t="str">
        <f>'6. %'!F12</f>
        <v>n/a</v>
      </c>
      <c r="J12" s="17">
        <f t="shared" ca="1" si="0"/>
        <v>2.5</v>
      </c>
      <c r="K12" s="17">
        <f ca="1">-SUMIF('CF (Equity, Debt)'!$C$3:$K$51,'S | 01 '!C12,'CF (Equity, Debt)'!$E$3:$E$51)</f>
        <v>2.5</v>
      </c>
      <c r="L12" s="17">
        <v>0</v>
      </c>
      <c r="M12" s="17">
        <f ca="1">SUMIF('CF (Equity, Debt)'!$C$3:$K$51,'S | 01 '!C12,'CF (Equity, Debt)'!$F$3:$F$51)</f>
        <v>5</v>
      </c>
      <c r="N12" s="17">
        <f>VLOOKUP(C12,NAV!$B$4:$E$43,4,0)</f>
        <v>0</v>
      </c>
      <c r="O12" s="17">
        <f t="shared" ca="1" si="2"/>
        <v>2.5</v>
      </c>
      <c r="P12" s="10">
        <f t="shared" ca="1" si="1"/>
        <v>2</v>
      </c>
      <c r="Q12" s="125">
        <f>VLOOKUP(C12,'1. IRR Equity'!$AG$12:$AP$30,7,0)</f>
        <v>0.36091765761375438</v>
      </c>
      <c r="R12" s="122"/>
      <c r="S12" s="322"/>
    </row>
    <row r="13" spans="2:19" x14ac:dyDescent="0.25">
      <c r="B13" s="97"/>
      <c r="C13" s="4" t="s">
        <v>38</v>
      </c>
      <c r="D13" s="2" t="s">
        <v>79</v>
      </c>
      <c r="E13" s="2" t="s">
        <v>65</v>
      </c>
      <c r="F13" s="2" t="s">
        <v>8</v>
      </c>
      <c r="G13" s="6">
        <v>2020</v>
      </c>
      <c r="H13" s="2" t="s">
        <v>68</v>
      </c>
      <c r="I13" s="125">
        <f>'6. %'!F13</f>
        <v>9.4347728005070269E-2</v>
      </c>
      <c r="J13" s="17">
        <f t="shared" ca="1" si="0"/>
        <v>90</v>
      </c>
      <c r="K13" s="17">
        <f ca="1">-SUMIF('CF (Equity, Debt)'!$C$3:$K$51,'S | 01 '!C13,'CF (Equity, Debt)'!$E$3:$E$51)</f>
        <v>90</v>
      </c>
      <c r="L13" s="17">
        <v>0</v>
      </c>
      <c r="M13" s="17">
        <f ca="1">SUMIF('CF (Equity, Debt)'!$C$3:$K$51,'S | 01 '!C13,'CF (Equity, Debt)'!$F$3:$F$51)</f>
        <v>0</v>
      </c>
      <c r="N13" s="17">
        <f>VLOOKUP(C13,NAV!$B$4:$E$43,4,0)</f>
        <v>91.001540300000002</v>
      </c>
      <c r="O13" s="17">
        <f t="shared" ca="1" si="2"/>
        <v>1.001540300000002</v>
      </c>
      <c r="P13" s="10">
        <f t="shared" ca="1" si="1"/>
        <v>1.0111282255555556</v>
      </c>
      <c r="Q13" s="125">
        <f>VLOOKUP(C13,'1. IRR Equity'!$AG$12:$AP$30,7,0)</f>
        <v>2.8967589139938356E-3</v>
      </c>
      <c r="R13" s="122"/>
      <c r="S13" s="322"/>
    </row>
    <row r="14" spans="2:19" x14ac:dyDescent="0.25">
      <c r="B14" s="97"/>
      <c r="C14" s="4" t="s">
        <v>88</v>
      </c>
      <c r="D14" s="2" t="s">
        <v>79</v>
      </c>
      <c r="E14" s="2" t="s">
        <v>65</v>
      </c>
      <c r="F14" s="2" t="s">
        <v>8</v>
      </c>
      <c r="G14" s="6">
        <v>2020</v>
      </c>
      <c r="H14" s="2" t="s">
        <v>46</v>
      </c>
      <c r="I14" s="125">
        <f>'6. %'!F14</f>
        <v>5.1651565402323088E-2</v>
      </c>
      <c r="J14" s="17">
        <f t="shared" ca="1" si="0"/>
        <v>141.4702596743665</v>
      </c>
      <c r="K14" s="17">
        <f ca="1">-SUMIF('CF (Equity, Debt)'!$C$3:$K$51,'S | 01 '!C14,'CF (Equity, Debt)'!$E$3:$E$51)</f>
        <v>141.4702596743665</v>
      </c>
      <c r="L14" s="17">
        <v>0</v>
      </c>
      <c r="M14" s="17">
        <f ca="1">SUMIF('CF (Equity, Debt)'!$C$3:$K$51,'S | 01 '!C14,'CF (Equity, Debt)'!$F$3:$F$51)</f>
        <v>0</v>
      </c>
      <c r="N14" s="17">
        <f>VLOOKUP(C14,NAV!$B$4:$E$43,4,0)</f>
        <v>74.432454495000002</v>
      </c>
      <c r="O14" s="17">
        <f t="shared" ca="1" si="2"/>
        <v>-67.037805179366501</v>
      </c>
      <c r="P14" s="10">
        <f t="shared" ca="1" si="1"/>
        <v>0.52613499590887292</v>
      </c>
      <c r="Q14" s="125">
        <f>VLOOKUP(C14,'1. IRR Equity'!$AG$12:$AP$30,7,0)</f>
        <v>-0.15868046693503857</v>
      </c>
      <c r="R14" s="122"/>
      <c r="S14" s="322"/>
    </row>
    <row r="15" spans="2:19" x14ac:dyDescent="0.25">
      <c r="B15" s="97"/>
      <c r="C15" s="4" t="s">
        <v>9</v>
      </c>
      <c r="D15" s="2" t="s">
        <v>79</v>
      </c>
      <c r="E15" s="2" t="s">
        <v>64</v>
      </c>
      <c r="F15" s="2" t="s">
        <v>8</v>
      </c>
      <c r="G15" s="6">
        <v>2020</v>
      </c>
      <c r="H15" s="2" t="s">
        <v>73</v>
      </c>
      <c r="I15" s="125">
        <f>'6. %'!F15</f>
        <v>0.14380000000000001</v>
      </c>
      <c r="J15" s="17">
        <f t="shared" ca="1" si="0"/>
        <v>60</v>
      </c>
      <c r="K15" s="17">
        <f ca="1">-SUMIF('CF (Equity, Debt)'!$C$3:$K$51,'S | 01 '!C15,'CF (Equity, Debt)'!$E$3:$E$51)</f>
        <v>60</v>
      </c>
      <c r="L15" s="17">
        <v>0</v>
      </c>
      <c r="M15" s="17">
        <f ca="1">SUMIF('CF (Equity, Debt)'!$C$3:$K$51,'S | 01 '!C15,'CF (Equity, Debt)'!$F$3:$F$51)</f>
        <v>0</v>
      </c>
      <c r="N15" s="17">
        <f>VLOOKUP(C15,NAV!$B$4:$E$43,4,0)</f>
        <v>148.0498412781194</v>
      </c>
      <c r="O15" s="17">
        <f t="shared" ca="1" si="2"/>
        <v>88.049841278119402</v>
      </c>
      <c r="P15" s="10">
        <f t="shared" ca="1" si="1"/>
        <v>2.4674973546353232</v>
      </c>
      <c r="Q15" s="125">
        <f>VLOOKUP(C15,'1. IRR Equity'!$AG$12:$AP$30,7,0)</f>
        <v>0.32075323462486283</v>
      </c>
      <c r="R15" s="122"/>
      <c r="S15" s="322"/>
    </row>
    <row r="16" spans="2:19" ht="17.25" x14ac:dyDescent="0.25">
      <c r="B16" s="97"/>
      <c r="C16" s="4" t="s">
        <v>18</v>
      </c>
      <c r="D16" s="2" t="s">
        <v>80</v>
      </c>
      <c r="E16" s="2" t="s">
        <v>63</v>
      </c>
      <c r="F16" s="2" t="s">
        <v>308</v>
      </c>
      <c r="G16" s="6">
        <v>2021</v>
      </c>
      <c r="H16" s="2" t="s">
        <v>50</v>
      </c>
      <c r="I16" s="125">
        <f>'6. %'!F16</f>
        <v>0.03</v>
      </c>
      <c r="J16" s="17">
        <f t="shared" ca="1" si="0"/>
        <v>20</v>
      </c>
      <c r="K16" s="17">
        <f ca="1">-SUMIF('CF (Equity, Debt)'!$C$3:$K$51,'S | 01 '!C16,'CF (Equity, Debt)'!$E$3:$E$51)</f>
        <v>20</v>
      </c>
      <c r="L16" s="17">
        <v>0</v>
      </c>
      <c r="M16" s="17">
        <f ca="1">SUMIF('CF (Equity, Debt)'!$C$3:$K$51,'S | 01 '!C16,'CF (Equity, Debt)'!$F$3:$F$51)</f>
        <v>24.5</v>
      </c>
      <c r="N16" s="17">
        <f>VLOOKUP(C16,NAV!$B$4:$E$43,4,0)</f>
        <v>0</v>
      </c>
      <c r="O16" s="17">
        <f t="shared" ca="1" si="2"/>
        <v>4.5</v>
      </c>
      <c r="P16" s="10">
        <f t="shared" ca="1" si="1"/>
        <v>1.2250000000000001</v>
      </c>
      <c r="Q16" s="125">
        <f>VLOOKUP(C16,'1. IRR Equity'!$AG$12:$AP$30,7,0)</f>
        <v>9.8824506998062139E-2</v>
      </c>
      <c r="R16" s="122"/>
      <c r="S16" s="322"/>
    </row>
    <row r="17" spans="2:19" x14ac:dyDescent="0.25">
      <c r="B17" s="97"/>
      <c r="C17" s="4" t="s">
        <v>41</v>
      </c>
      <c r="D17" s="2" t="s">
        <v>79</v>
      </c>
      <c r="E17" s="2" t="s">
        <v>67</v>
      </c>
      <c r="F17" s="2" t="s">
        <v>8</v>
      </c>
      <c r="G17" s="6">
        <v>2021</v>
      </c>
      <c r="H17" s="2" t="s">
        <v>70</v>
      </c>
      <c r="I17" s="125">
        <f>'6. %'!F17</f>
        <v>9.117206771726628E-3</v>
      </c>
      <c r="J17" s="17">
        <f t="shared" ca="1" si="0"/>
        <v>39.999983359999995</v>
      </c>
      <c r="K17" s="17">
        <f ca="1">-SUMIF('CF (Equity, Debt)'!$C$3:$K$51,'S | 01 '!C17,'CF (Equity, Debt)'!$E$3:$E$51)</f>
        <v>39.999983359999995</v>
      </c>
      <c r="L17" s="17">
        <v>0</v>
      </c>
      <c r="M17" s="17">
        <f ca="1">SUMIF('CF (Equity, Debt)'!$C$3:$K$51,'S | 01 '!C17,'CF (Equity, Debt)'!$F$3:$F$51)</f>
        <v>0</v>
      </c>
      <c r="N17" s="17">
        <f>VLOOKUP(C17,NAV!$B$4:$E$43,4,0)</f>
        <v>39.999983359999995</v>
      </c>
      <c r="O17" s="17">
        <f t="shared" ca="1" si="2"/>
        <v>0</v>
      </c>
      <c r="P17" s="10">
        <f t="shared" ca="1" si="1"/>
        <v>1</v>
      </c>
      <c r="Q17" s="125">
        <f>VLOOKUP(C17,'1. IRR Equity'!$AG$12:$AP$30,7,0)</f>
        <v>2.9802322387695314E-9</v>
      </c>
      <c r="R17" s="122"/>
      <c r="S17" s="322"/>
    </row>
    <row r="18" spans="2:19" x14ac:dyDescent="0.25">
      <c r="B18" s="97"/>
      <c r="C18" s="4" t="s">
        <v>42</v>
      </c>
      <c r="D18" s="2" t="s">
        <v>79</v>
      </c>
      <c r="E18" s="2" t="s">
        <v>63</v>
      </c>
      <c r="F18" s="2" t="s">
        <v>8</v>
      </c>
      <c r="G18" s="6">
        <v>2021</v>
      </c>
      <c r="H18" s="2" t="s">
        <v>75</v>
      </c>
      <c r="I18" s="125">
        <f>'6. %'!F18</f>
        <v>0.16080402010050251</v>
      </c>
      <c r="J18" s="17">
        <f t="shared" ca="1" si="0"/>
        <v>8</v>
      </c>
      <c r="K18" s="17">
        <f ca="1">-SUMIF('CF (Equity, Debt)'!$C$3:$K$51,'S | 01 '!C18,'CF (Equity, Debt)'!$E$3:$E$51)</f>
        <v>8</v>
      </c>
      <c r="L18" s="17">
        <v>0</v>
      </c>
      <c r="M18" s="17">
        <f ca="1">SUMIF('CF (Equity, Debt)'!$C$3:$K$51,'S | 01 '!C18,'CF (Equity, Debt)'!$F$3:$F$51)</f>
        <v>0</v>
      </c>
      <c r="N18" s="17">
        <f>VLOOKUP(C18,NAV!$B$4:$E$43,4,0)</f>
        <v>8</v>
      </c>
      <c r="O18" s="17">
        <f t="shared" ca="1" si="2"/>
        <v>0</v>
      </c>
      <c r="P18" s="10">
        <f t="shared" ca="1" si="1"/>
        <v>1</v>
      </c>
      <c r="Q18" s="125">
        <f>VLOOKUP(C18,'1. IRR Equity'!$AG$12:$AP$30,7,0)</f>
        <v>2.9802322387695314E-9</v>
      </c>
      <c r="R18" s="122"/>
      <c r="S18" s="322"/>
    </row>
    <row r="19" spans="2:19" x14ac:dyDescent="0.25">
      <c r="B19" s="97"/>
      <c r="C19" s="4" t="s">
        <v>43</v>
      </c>
      <c r="D19" s="2" t="s">
        <v>80</v>
      </c>
      <c r="E19" s="2" t="s">
        <v>67</v>
      </c>
      <c r="F19" s="2" t="s">
        <v>8</v>
      </c>
      <c r="G19" s="6">
        <v>2021</v>
      </c>
      <c r="H19" s="2" t="s">
        <v>77</v>
      </c>
      <c r="I19" s="125">
        <f>'6. %'!F19</f>
        <v>1.1489405791845828E-2</v>
      </c>
      <c r="J19" s="17">
        <f t="shared" ca="1" si="0"/>
        <v>5.0237201984774336</v>
      </c>
      <c r="K19" s="17">
        <f ca="1">-SUMIF('CF (Equity, Debt)'!$C$3:$K$51,'S | 01 '!C19,'CF (Equity, Debt)'!$E$3:$E$51)</f>
        <v>5.0237201984774336</v>
      </c>
      <c r="L19" s="17">
        <v>0</v>
      </c>
      <c r="M19" s="17">
        <f ca="1">SUMIF('CF (Equity, Debt)'!$C$3:$K$51,'S | 01 '!C19,'CF (Equity, Debt)'!$F$3:$F$51)</f>
        <v>7.9421925299999989</v>
      </c>
      <c r="N19" s="17">
        <f>VLOOKUP(C19,NAV!$B$4:$E$43,4,0)</f>
        <v>0</v>
      </c>
      <c r="O19" s="17">
        <f t="shared" ca="1" si="2"/>
        <v>2.9184723315225654</v>
      </c>
      <c r="P19" s="10">
        <f t="shared" ca="1" si="1"/>
        <v>1.5809384711368046</v>
      </c>
      <c r="Q19" s="125">
        <f>VLOOKUP(C19,'1. IRR Equity'!$AG$12:$AP$30,7,0)</f>
        <v>0.32803497910499579</v>
      </c>
      <c r="R19" s="122"/>
      <c r="S19" s="322"/>
    </row>
    <row r="20" spans="2:19" ht="17.25" x14ac:dyDescent="0.25">
      <c r="B20" s="97"/>
      <c r="C20" s="4" t="s">
        <v>71</v>
      </c>
      <c r="D20" s="2" t="s">
        <v>80</v>
      </c>
      <c r="E20" s="2" t="s">
        <v>64</v>
      </c>
      <c r="F20" s="2" t="s">
        <v>309</v>
      </c>
      <c r="G20" s="6">
        <v>2022</v>
      </c>
      <c r="H20" s="2" t="s">
        <v>78</v>
      </c>
      <c r="I20" s="125">
        <f>'6. %'!F20</f>
        <v>5.1000000000000004E-2</v>
      </c>
      <c r="J20" s="17">
        <f t="shared" ca="1" si="0"/>
        <v>493.50095619999996</v>
      </c>
      <c r="K20" s="17">
        <f ca="1">-SUMIF('CF (Equity, Debt)'!$C$3:$K$51,'S | 01 '!C20,'CF (Equity, Debt)'!$E$3:$E$51)</f>
        <v>493.50095619999996</v>
      </c>
      <c r="L20" s="17">
        <v>0</v>
      </c>
      <c r="M20" s="17">
        <f ca="1">SUMIF('CF (Equity, Debt)'!$C$3:$K$51,'S | 01 '!C20,'CF (Equity, Debt)'!$F$3:$F$51)</f>
        <v>403</v>
      </c>
      <c r="N20" s="17">
        <f>VLOOKUP(C20,NAV!$B$4:$E$43,4,0)</f>
        <v>0</v>
      </c>
      <c r="O20" s="17">
        <f t="shared" ca="1" si="2"/>
        <v>-90.500956199999962</v>
      </c>
      <c r="P20" s="10">
        <f t="shared" ca="1" si="1"/>
        <v>0.81661442584252486</v>
      </c>
      <c r="Q20" s="125">
        <f>VLOOKUP(C20,'1. IRR Equity'!$AG$12:$AP$30,7,0)</f>
        <v>-0.10752884335815904</v>
      </c>
      <c r="R20" s="122"/>
      <c r="S20" s="322"/>
    </row>
    <row r="21" spans="2:19" ht="17.25" x14ac:dyDescent="0.25">
      <c r="B21" s="97"/>
      <c r="C21" s="4" t="s">
        <v>19</v>
      </c>
      <c r="D21" s="2" t="s">
        <v>79</v>
      </c>
      <c r="E21" s="2" t="s">
        <v>66</v>
      </c>
      <c r="F21" s="2" t="s">
        <v>11</v>
      </c>
      <c r="G21" s="6">
        <v>2022</v>
      </c>
      <c r="H21" s="2" t="s">
        <v>78</v>
      </c>
      <c r="I21" s="125">
        <f>'6. %'!F21</f>
        <v>0.11141913554582343</v>
      </c>
      <c r="J21" s="17">
        <f t="shared" ca="1" si="0"/>
        <v>300</v>
      </c>
      <c r="K21" s="17">
        <f ca="1">-SUMIF('CF (Equity, Debt)'!$C$3:$K$51,'S | 01 '!C21,'CF (Equity, Debt)'!$E$3:$E$51)</f>
        <v>300</v>
      </c>
      <c r="L21" s="17">
        <f>0</f>
        <v>0</v>
      </c>
      <c r="M21" s="17">
        <f ca="1">SUMIF('CF (Equity, Debt)'!$C$3:$K$51,'S | 01 '!C21,'CF (Equity, Debt)'!$F$3:$F$51)</f>
        <v>0</v>
      </c>
      <c r="N21" s="17">
        <f>VLOOKUP(C21,NAV!$B$4:$E$43,4,0)</f>
        <v>300</v>
      </c>
      <c r="O21" s="17">
        <f t="shared" ca="1" si="2"/>
        <v>0</v>
      </c>
      <c r="P21" s="10">
        <f t="shared" ca="1" si="1"/>
        <v>1</v>
      </c>
      <c r="Q21" s="125">
        <f>VLOOKUP(C21,'1. IRR Equity'!$AG$12:$AP$30,7,0)</f>
        <v>2.9802322387695314E-9</v>
      </c>
      <c r="R21" s="122" t="s">
        <v>151</v>
      </c>
      <c r="S21" s="322"/>
    </row>
    <row r="22" spans="2:19" ht="17.25" x14ac:dyDescent="0.25">
      <c r="B22" s="97"/>
      <c r="C22" s="4" t="s">
        <v>89</v>
      </c>
      <c r="D22" s="2" t="s">
        <v>79</v>
      </c>
      <c r="E22" s="2" t="s">
        <v>65</v>
      </c>
      <c r="F22" s="2" t="s">
        <v>11</v>
      </c>
      <c r="G22" s="6">
        <v>2022</v>
      </c>
      <c r="H22" s="2" t="s">
        <v>46</v>
      </c>
      <c r="I22" s="125">
        <f>'6. %'!F22</f>
        <v>2.134358174658308E-3</v>
      </c>
      <c r="J22" s="17">
        <f t="shared" ca="1" si="0"/>
        <v>24.53125</v>
      </c>
      <c r="K22" s="17">
        <f ca="1">-SUMIF('CF (Equity, Debt)'!$C$3:$K$51,'S | 01 '!C22,'CF (Equity, Debt)'!$E$3:$E$51)</f>
        <v>24.53125</v>
      </c>
      <c r="L22" s="17">
        <f t="shared" ref="L22:L29" ca="1" si="3">J22-K22</f>
        <v>0</v>
      </c>
      <c r="M22" s="17">
        <f ca="1">SUMIF('CF (Equity, Debt)'!$C$3:$K$51,'S | 01 '!C22,'CF (Equity, Debt)'!$F$3:$F$51)</f>
        <v>0</v>
      </c>
      <c r="N22" s="17">
        <f>VLOOKUP(C22,NAV!$B$4:$E$43,4,0)</f>
        <v>4.5569803500000008</v>
      </c>
      <c r="O22" s="17">
        <f t="shared" ca="1" si="2"/>
        <v>-19.97426965</v>
      </c>
      <c r="P22" s="10">
        <f ca="1">(M22+N22)/K22</f>
        <v>0.18576225630573251</v>
      </c>
      <c r="Q22" s="125">
        <f>VLOOKUP(C22,'1. IRR Equity'!$AG$12:$AP$30,7,0)</f>
        <v>-0.72717607580125321</v>
      </c>
      <c r="R22" s="122" t="s">
        <v>171</v>
      </c>
      <c r="S22" s="322"/>
    </row>
    <row r="23" spans="2:19" ht="17.25" x14ac:dyDescent="0.25">
      <c r="B23" s="97"/>
      <c r="C23" s="4" t="s">
        <v>35</v>
      </c>
      <c r="D23" s="2" t="s">
        <v>80</v>
      </c>
      <c r="E23" s="2" t="s">
        <v>64</v>
      </c>
      <c r="F23" s="2" t="s">
        <v>310</v>
      </c>
      <c r="G23" s="6">
        <v>2022</v>
      </c>
      <c r="H23" s="2" t="s">
        <v>78</v>
      </c>
      <c r="I23" s="125">
        <f>'6. %'!F23</f>
        <v>1.8823528000000003E-2</v>
      </c>
      <c r="J23" s="17">
        <f t="shared" ca="1" si="0"/>
        <v>800</v>
      </c>
      <c r="K23" s="17">
        <f ca="1">-SUMIF('CF (Equity, Debt)'!$C$3:$K$51,'S | 01 '!C23,'CF (Equity, Debt)'!$E$3:$E$51)</f>
        <v>800</v>
      </c>
      <c r="L23" s="17">
        <f t="shared" ca="1" si="3"/>
        <v>0</v>
      </c>
      <c r="M23" s="17">
        <f ca="1">SUMIF('CF (Equity, Debt)'!$C$3:$K$51,'S | 01 '!C23,'CF (Equity, Debt)'!$F$3:$F$51)</f>
        <v>802.8</v>
      </c>
      <c r="N23" s="17">
        <f>VLOOKUP(C23,NAV!$B$4:$E$43,4,0)</f>
        <v>0</v>
      </c>
      <c r="O23" s="17">
        <f t="shared" ca="1" si="2"/>
        <v>2.7999999999999545</v>
      </c>
      <c r="P23" s="377">
        <f t="shared" ref="P23" ca="1" si="4">(M23+N23)/K23</f>
        <v>1.0034999999999998</v>
      </c>
      <c r="Q23" s="125">
        <f>VLOOKUP(C23,'1. IRR Equity'!$AG$12:$AP$30,7,0)</f>
        <v>2.9359251260757451E-3</v>
      </c>
      <c r="R23" s="122"/>
      <c r="S23" s="322"/>
    </row>
    <row r="24" spans="2:19" x14ac:dyDescent="0.25">
      <c r="B24" s="97"/>
      <c r="C24" s="4" t="s">
        <v>269</v>
      </c>
      <c r="D24" s="2" t="s">
        <v>79</v>
      </c>
      <c r="E24" s="2" t="s">
        <v>65</v>
      </c>
      <c r="F24" s="2" t="s">
        <v>8</v>
      </c>
      <c r="G24" s="6">
        <v>2022</v>
      </c>
      <c r="H24" s="2" t="s">
        <v>45</v>
      </c>
      <c r="I24" s="125" t="str">
        <f>'6. %'!F24</f>
        <v>n/a</v>
      </c>
      <c r="J24" s="17">
        <v>15</v>
      </c>
      <c r="K24" s="17">
        <f ca="1">-SUMIF('CF (Equity, Debt)'!$C$3:$K$51,'S | 01 '!C24,'CF (Equity, Debt)'!$E$3:$E$51)</f>
        <v>11.5</v>
      </c>
      <c r="L24" s="17">
        <f t="shared" ca="1" si="3"/>
        <v>3.5</v>
      </c>
      <c r="M24" s="17">
        <v>0</v>
      </c>
      <c r="N24" s="17">
        <f>VLOOKUP(C24,NAV!$B$4:$E$43,4,0)</f>
        <v>11.5</v>
      </c>
      <c r="O24" s="17">
        <f t="shared" ca="1" si="2"/>
        <v>0</v>
      </c>
      <c r="P24" s="10">
        <f t="shared" ref="P24:P32" ca="1" si="5">(M24+N24)/K24</f>
        <v>1</v>
      </c>
      <c r="Q24" s="125">
        <f>VLOOKUP(C24,'1. IRR Equity'!$AG$12:$AP$30,7,0)</f>
        <v>2.9802322387695314E-9</v>
      </c>
      <c r="R24" s="122"/>
      <c r="S24" s="322"/>
    </row>
    <row r="25" spans="2:19" ht="17.25" x14ac:dyDescent="0.25">
      <c r="B25" s="97"/>
      <c r="C25" s="4" t="s">
        <v>304</v>
      </c>
      <c r="D25" s="2" t="s">
        <v>79</v>
      </c>
      <c r="E25" s="2" t="s">
        <v>66</v>
      </c>
      <c r="F25" s="2" t="s">
        <v>320</v>
      </c>
      <c r="G25" s="6">
        <v>2022</v>
      </c>
      <c r="H25" s="2" t="s">
        <v>69</v>
      </c>
      <c r="I25" s="125">
        <f>'6. %'!F25</f>
        <v>2.7864956399278339E-2</v>
      </c>
      <c r="J25" s="17">
        <f t="shared" ref="J25:J27" ca="1" si="6">K25</f>
        <v>15</v>
      </c>
      <c r="K25" s="17">
        <f ca="1">-SUMIF('CF (Equity, Debt)'!$C$3:$K$51,'S | 01 '!C25,'CF (Equity, Debt)'!$E$3:$E$51)</f>
        <v>15</v>
      </c>
      <c r="L25" s="17">
        <f t="shared" ca="1" si="3"/>
        <v>0</v>
      </c>
      <c r="M25" s="17">
        <v>0</v>
      </c>
      <c r="N25" s="17">
        <f>VLOOKUP(C25,NAV!$B$4:$E$43,4,0)</f>
        <v>20.888121539999997</v>
      </c>
      <c r="O25" s="17">
        <f t="shared" ca="1" si="2"/>
        <v>5.8881215399999967</v>
      </c>
      <c r="P25" s="10">
        <f t="shared" ca="1" si="5"/>
        <v>1.3925414359999997</v>
      </c>
      <c r="Q25" s="125">
        <f>VLOOKUP(C25,'1. IRR Equity'!$AG$12:$AP$30,7,0)</f>
        <v>0.30123946070671093</v>
      </c>
      <c r="R25" s="122"/>
      <c r="S25" s="322"/>
    </row>
    <row r="26" spans="2:19" x14ac:dyDescent="0.25">
      <c r="B26" s="97"/>
      <c r="C26" s="4" t="s">
        <v>381</v>
      </c>
      <c r="D26" s="2" t="s">
        <v>79</v>
      </c>
      <c r="E26" s="2" t="s">
        <v>65</v>
      </c>
      <c r="F26" s="2" t="s">
        <v>8</v>
      </c>
      <c r="G26" s="6">
        <v>2023</v>
      </c>
      <c r="H26" s="2" t="s">
        <v>68</v>
      </c>
      <c r="I26" s="125">
        <f>'6. %'!F26</f>
        <v>6.2621982517370271E-3</v>
      </c>
      <c r="J26" s="17">
        <f t="shared" ca="1" si="6"/>
        <v>14.999998939999999</v>
      </c>
      <c r="K26" s="17">
        <f ca="1">-SUMIF('CF (Equity, Debt)'!$C$3:$K$51,'S | 01 '!C26,'CF (Equity, Debt)'!$E$3:$E$51)</f>
        <v>14.999998939999999</v>
      </c>
      <c r="L26" s="17">
        <f t="shared" ca="1" si="3"/>
        <v>0</v>
      </c>
      <c r="M26" s="17">
        <f>M25</f>
        <v>0</v>
      </c>
      <c r="N26" s="17">
        <f ca="1">VLOOKUP(C26,NAV!$B$4:$E$43,4,0)</f>
        <v>14.999998939999999</v>
      </c>
      <c r="O26" s="17">
        <f t="shared" ca="1" si="2"/>
        <v>0</v>
      </c>
      <c r="P26" s="10">
        <f t="shared" ca="1" si="5"/>
        <v>1</v>
      </c>
      <c r="Q26" s="125">
        <f ca="1">VLOOKUP(C26,'1. IRR Equity'!$AG$12:$AP$30,7,0)</f>
        <v>2.9802322387695314E-9</v>
      </c>
      <c r="R26" s="122"/>
      <c r="S26" s="322"/>
    </row>
    <row r="27" spans="2:19" ht="17.25" x14ac:dyDescent="0.25">
      <c r="B27" s="97"/>
      <c r="C27" s="4" t="s">
        <v>447</v>
      </c>
      <c r="D27" s="2" t="s">
        <v>79</v>
      </c>
      <c r="E27" s="2" t="s">
        <v>65</v>
      </c>
      <c r="F27" s="2" t="s">
        <v>8</v>
      </c>
      <c r="G27" s="6">
        <v>2023</v>
      </c>
      <c r="H27" s="2" t="s">
        <v>450</v>
      </c>
      <c r="I27" s="125">
        <f>'6. %'!F27</f>
        <v>6.2500000000000003E-3</v>
      </c>
      <c r="J27" s="17">
        <f t="shared" ca="1" si="6"/>
        <v>6.875E-3</v>
      </c>
      <c r="K27" s="17">
        <f ca="1">-SUMIF('CF (Equity, Debt)'!$C$3:$K$51,'S | 01 '!C27,'CF (Equity, Debt)'!$E$3:$E$51)</f>
        <v>6.875E-3</v>
      </c>
      <c r="L27" s="17">
        <f t="shared" ca="1" si="3"/>
        <v>0</v>
      </c>
      <c r="M27" s="17">
        <f>M26</f>
        <v>0</v>
      </c>
      <c r="N27" s="17">
        <f ca="1">VLOOKUP(C27,NAV!$B$4:$E$43,4,0)</f>
        <v>15</v>
      </c>
      <c r="O27" s="17">
        <f t="shared" ca="1" si="2"/>
        <v>14.993124999999999</v>
      </c>
      <c r="P27" s="10" t="s">
        <v>384</v>
      </c>
      <c r="Q27" s="125" t="str">
        <f ca="1">VLOOKUP(C27,'1. IRR Equity'!$AG$12:$AP$30,7,0)</f>
        <v>NM</v>
      </c>
      <c r="R27" s="122" t="s">
        <v>595</v>
      </c>
      <c r="S27" s="322"/>
    </row>
    <row r="28" spans="2:19" ht="17.25" x14ac:dyDescent="0.25">
      <c r="B28" s="97"/>
      <c r="C28" s="4" t="s">
        <v>458</v>
      </c>
      <c r="D28" s="2" t="s">
        <v>79</v>
      </c>
      <c r="E28" s="2" t="s">
        <v>63</v>
      </c>
      <c r="F28" s="2" t="s">
        <v>8</v>
      </c>
      <c r="G28" s="6">
        <v>2023</v>
      </c>
      <c r="H28" s="2" t="s">
        <v>69</v>
      </c>
      <c r="I28" s="125">
        <f>'6. %'!F28</f>
        <v>0.11483735948644427</v>
      </c>
      <c r="J28" s="17">
        <f ca="1">K28</f>
        <v>6</v>
      </c>
      <c r="K28" s="17">
        <f ca="1">-SUMIF('CF (Equity, Debt)'!$C$3:$K$51,'S | 01 '!C28,'CF (Equity, Debt)'!$E$3:$E$51)</f>
        <v>6</v>
      </c>
      <c r="L28" s="17">
        <f t="shared" ca="1" si="3"/>
        <v>0</v>
      </c>
      <c r="M28" s="17">
        <f>M27</f>
        <v>0</v>
      </c>
      <c r="N28" s="17">
        <f ca="1">VLOOKUP(C28,NAV!$B$4:$E$43,4,0)</f>
        <v>6</v>
      </c>
      <c r="O28" s="17">
        <f t="shared" ca="1" si="2"/>
        <v>0</v>
      </c>
      <c r="P28" s="10" t="s">
        <v>384</v>
      </c>
      <c r="Q28" s="125" t="s">
        <v>384</v>
      </c>
      <c r="R28" s="122" t="s">
        <v>472</v>
      </c>
      <c r="S28" s="322"/>
    </row>
    <row r="29" spans="2:19" ht="17.25" x14ac:dyDescent="0.25">
      <c r="B29" s="97"/>
      <c r="C29" s="4" t="s">
        <v>505</v>
      </c>
      <c r="D29" s="2" t="s">
        <v>79</v>
      </c>
      <c r="E29" s="2" t="s">
        <v>506</v>
      </c>
      <c r="F29" s="2" t="s">
        <v>649</v>
      </c>
      <c r="G29" s="6">
        <v>2024</v>
      </c>
      <c r="H29" s="2" t="s">
        <v>508</v>
      </c>
      <c r="I29" s="125">
        <f>'6. %'!F29</f>
        <v>0.25</v>
      </c>
      <c r="J29" s="17">
        <f ca="1">K29+0.25</f>
        <v>2.75</v>
      </c>
      <c r="K29" s="17">
        <f ca="1">-SUMIF('CF (Equity, Debt)'!$C$3:$K$51,'S | 01 '!C29,'CF (Equity, Debt)'!$E$3:$E$51)</f>
        <v>2.5</v>
      </c>
      <c r="L29" s="17">
        <f t="shared" ca="1" si="3"/>
        <v>0.25</v>
      </c>
      <c r="M29" s="17">
        <f>M28</f>
        <v>0</v>
      </c>
      <c r="N29" s="17">
        <f ca="1">VLOOKUP(C29,NAV!$B$4:$E$43,4,0)</f>
        <v>2.5</v>
      </c>
      <c r="O29" s="17">
        <f t="shared" ca="1" si="2"/>
        <v>0</v>
      </c>
      <c r="P29" s="10" t="s">
        <v>384</v>
      </c>
      <c r="Q29" s="125" t="s">
        <v>384</v>
      </c>
      <c r="R29" s="122" t="s">
        <v>579</v>
      </c>
      <c r="S29" s="322"/>
    </row>
    <row r="30" spans="2:19" x14ac:dyDescent="0.25">
      <c r="B30" s="97"/>
      <c r="C30" s="4" t="s">
        <v>645</v>
      </c>
      <c r="D30" s="2" t="s">
        <v>79</v>
      </c>
      <c r="E30" s="2" t="s">
        <v>65</v>
      </c>
      <c r="F30" s="2" t="s">
        <v>646</v>
      </c>
      <c r="G30" s="6">
        <v>2024</v>
      </c>
      <c r="H30" s="2" t="s">
        <v>45</v>
      </c>
      <c r="I30" s="125" t="str">
        <f>'6. %'!F30</f>
        <v>n/a</v>
      </c>
      <c r="J30" s="17">
        <f t="shared" ref="J29:J30" ca="1" si="7">K30</f>
        <v>20</v>
      </c>
      <c r="K30" s="17">
        <f ca="1">-SUMIF('CF (Equity, Debt)'!$C$3:$K$51,'S | 01 '!C30,'CF (Equity, Debt)'!$E$3:$E$51)</f>
        <v>20</v>
      </c>
      <c r="L30" s="17">
        <f t="shared" ref="L30" ca="1" si="8">J30-K30</f>
        <v>0</v>
      </c>
      <c r="M30" s="17">
        <f>M29</f>
        <v>0</v>
      </c>
      <c r="N30" s="17">
        <f>VLOOKUP(C30,NAV!$B$4:$E$43,4,0)</f>
        <v>20</v>
      </c>
      <c r="O30" s="17">
        <f t="shared" ref="O30" ca="1" si="9">N30+M30-K30</f>
        <v>0</v>
      </c>
      <c r="P30" s="10" t="s">
        <v>384</v>
      </c>
      <c r="Q30" s="125" t="s">
        <v>384</v>
      </c>
      <c r="R30" s="122"/>
      <c r="S30" s="322"/>
    </row>
    <row r="31" spans="2:19" x14ac:dyDescent="0.25">
      <c r="B31" s="97"/>
      <c r="C31" s="5"/>
      <c r="D31" s="7"/>
      <c r="E31" s="7"/>
      <c r="F31" s="7"/>
      <c r="G31" s="14"/>
      <c r="H31" s="7"/>
      <c r="I31" s="284"/>
      <c r="J31" s="24"/>
      <c r="K31" s="7"/>
      <c r="L31" s="24"/>
      <c r="M31" s="24"/>
      <c r="N31" s="24"/>
      <c r="O31" s="24"/>
      <c r="P31" s="15"/>
      <c r="Q31" s="284"/>
      <c r="R31" s="308"/>
      <c r="S31" s="322"/>
    </row>
    <row r="32" spans="2:19" s="101" customFormat="1" x14ac:dyDescent="0.25">
      <c r="B32" s="99"/>
      <c r="C32" s="118"/>
      <c r="D32" s="118"/>
      <c r="E32" s="118"/>
      <c r="F32" s="118"/>
      <c r="G32" s="118"/>
      <c r="H32" s="118"/>
      <c r="I32" s="119"/>
      <c r="J32" s="120">
        <f ca="1">SUM(J9:J30)</f>
        <v>2141.7830433728436</v>
      </c>
      <c r="K32" s="120">
        <f t="shared" ref="K32:O32" ca="1" si="10">SUM(K9:K30)</f>
        <v>2138.0330433728436</v>
      </c>
      <c r="L32" s="120">
        <f t="shared" ca="1" si="10"/>
        <v>3.75</v>
      </c>
      <c r="M32" s="120">
        <f t="shared" ca="1" si="10"/>
        <v>1243.24219253</v>
      </c>
      <c r="N32" s="118">
        <f t="shared" ca="1" si="10"/>
        <v>835.01115026311936</v>
      </c>
      <c r="O32" s="120">
        <f t="shared" ca="1" si="10"/>
        <v>-59.77970057972454</v>
      </c>
      <c r="P32" s="121">
        <f t="shared" ca="1" si="5"/>
        <v>0.97203986123366037</v>
      </c>
      <c r="Q32" s="119">
        <f ca="1">'1. IRR Equity'!AH40</f>
        <v>-1.4689040370285514E-2</v>
      </c>
      <c r="R32" s="123"/>
      <c r="S32" s="402"/>
    </row>
    <row r="33" spans="2:19" s="96" customFormat="1" x14ac:dyDescent="0.25">
      <c r="B33" s="94"/>
      <c r="C33" s="5"/>
      <c r="D33" s="8"/>
      <c r="E33" s="8"/>
      <c r="F33" s="8"/>
      <c r="G33" s="8"/>
      <c r="H33" s="8"/>
      <c r="I33" s="22"/>
      <c r="J33" s="19"/>
      <c r="K33" s="19"/>
      <c r="L33" s="19"/>
      <c r="M33" s="19"/>
      <c r="N33" s="19"/>
      <c r="O33" s="19"/>
      <c r="P33" s="12"/>
      <c r="Q33" s="127"/>
      <c r="R33" s="124"/>
      <c r="S33" s="401"/>
    </row>
    <row r="34" spans="2:19" x14ac:dyDescent="0.25">
      <c r="B34" s="97"/>
      <c r="C34" s="678" t="s">
        <v>29</v>
      </c>
      <c r="D34" s="580"/>
      <c r="E34" s="580"/>
      <c r="F34" s="580"/>
      <c r="G34" s="581"/>
      <c r="H34" s="580"/>
      <c r="I34" s="582"/>
      <c r="J34" s="583"/>
      <c r="K34" s="583"/>
      <c r="L34" s="583"/>
      <c r="M34" s="583"/>
      <c r="N34" s="583"/>
      <c r="O34" s="583"/>
      <c r="P34" s="584"/>
      <c r="Q34" s="582"/>
      <c r="R34" s="580"/>
      <c r="S34" s="322"/>
    </row>
    <row r="35" spans="2:19" x14ac:dyDescent="0.25">
      <c r="B35" s="97"/>
      <c r="C35" s="4" t="s">
        <v>49</v>
      </c>
      <c r="D35" s="2" t="s">
        <v>484</v>
      </c>
      <c r="E35" s="2" t="s">
        <v>334</v>
      </c>
      <c r="F35" s="2" t="s">
        <v>8</v>
      </c>
      <c r="G35" s="6">
        <v>2019</v>
      </c>
      <c r="H35" s="2" t="s">
        <v>132</v>
      </c>
      <c r="I35" s="125" t="s">
        <v>130</v>
      </c>
      <c r="J35" s="17">
        <v>8</v>
      </c>
      <c r="K35" s="17">
        <v>8</v>
      </c>
      <c r="L35" s="17">
        <v>0</v>
      </c>
      <c r="M35" s="17">
        <v>0</v>
      </c>
      <c r="N35" s="17">
        <v>0</v>
      </c>
      <c r="O35" s="17">
        <f t="shared" ref="O35:O37" si="11">N35+M35-K35</f>
        <v>-8</v>
      </c>
      <c r="P35" s="10">
        <f>(M35+N35)/K35</f>
        <v>0</v>
      </c>
      <c r="Q35" s="125" t="str">
        <f>VLOOKUP(C35,'2. IRR Debt'!$P$9:$Y$11,7,0)</f>
        <v>NM</v>
      </c>
      <c r="R35" s="122" t="s">
        <v>485</v>
      </c>
      <c r="S35" s="322"/>
    </row>
    <row r="36" spans="2:19" x14ac:dyDescent="0.25">
      <c r="B36" s="97"/>
      <c r="C36" s="4" t="s">
        <v>271</v>
      </c>
      <c r="D36" s="2" t="s">
        <v>484</v>
      </c>
      <c r="E36" s="2" t="s">
        <v>64</v>
      </c>
      <c r="F36" s="2" t="s">
        <v>8</v>
      </c>
      <c r="G36" s="6">
        <v>2021</v>
      </c>
      <c r="H36" s="2" t="s">
        <v>134</v>
      </c>
      <c r="I36" s="125" t="s">
        <v>130</v>
      </c>
      <c r="J36" s="17">
        <v>2.3539819999999998</v>
      </c>
      <c r="K36" s="17">
        <f>J36</f>
        <v>2.3539819999999998</v>
      </c>
      <c r="L36" s="17">
        <v>0</v>
      </c>
      <c r="M36" s="17">
        <v>0</v>
      </c>
      <c r="N36" s="17">
        <f>VLOOKUP(C36,NAV!$B$4:$E$43,4,0)</f>
        <v>0</v>
      </c>
      <c r="O36" s="17">
        <f t="shared" si="11"/>
        <v>-2.3539819999999998</v>
      </c>
      <c r="P36" s="10">
        <f>(M36+N36)/K36</f>
        <v>0</v>
      </c>
      <c r="Q36" s="125" t="str">
        <f>VLOOKUP(C36,'2. IRR Debt'!$P$9:$Y$11,7,0)</f>
        <v>NM</v>
      </c>
      <c r="R36" s="122" t="s">
        <v>83</v>
      </c>
      <c r="S36" s="322"/>
    </row>
    <row r="37" spans="2:19" x14ac:dyDescent="0.25">
      <c r="B37" s="97"/>
      <c r="C37" s="4" t="s">
        <v>263</v>
      </c>
      <c r="D37" s="2" t="s">
        <v>80</v>
      </c>
      <c r="E37" s="2" t="s">
        <v>63</v>
      </c>
      <c r="F37" s="2" t="s">
        <v>8</v>
      </c>
      <c r="G37" s="6">
        <v>2021</v>
      </c>
      <c r="H37" s="2" t="s">
        <v>134</v>
      </c>
      <c r="I37" s="125" t="s">
        <v>130</v>
      </c>
      <c r="J37" s="17">
        <v>0.41176499999999999</v>
      </c>
      <c r="K37" s="17">
        <v>0.41176499999999999</v>
      </c>
      <c r="L37" s="17">
        <v>0</v>
      </c>
      <c r="M37" s="17">
        <f>'CF (Equity, Debt)'!F56</f>
        <v>0.47078465000000003</v>
      </c>
      <c r="N37" s="17">
        <v>0</v>
      </c>
      <c r="O37" s="17">
        <f t="shared" si="11"/>
        <v>5.9019650000000035E-2</v>
      </c>
      <c r="P37" s="10">
        <f>(M37+N37)/K37</f>
        <v>1.1433333333333333</v>
      </c>
      <c r="Q37" s="125">
        <f>VLOOKUP(C37,'2. IRR Debt'!$P$9:$Y$11,7,0)</f>
        <v>7.5277027487754833E-2</v>
      </c>
      <c r="R37" s="122"/>
      <c r="S37" s="322"/>
    </row>
    <row r="38" spans="2:19" s="101" customFormat="1" x14ac:dyDescent="0.25">
      <c r="B38" s="99"/>
      <c r="C38" s="118"/>
      <c r="D38" s="118"/>
      <c r="E38" s="118"/>
      <c r="F38" s="118"/>
      <c r="G38" s="118"/>
      <c r="H38" s="118"/>
      <c r="I38" s="126"/>
      <c r="J38" s="120">
        <f>SUM(J35:J37)</f>
        <v>10.765747000000001</v>
      </c>
      <c r="K38" s="120">
        <f>SUM(K35:K37)</f>
        <v>10.765747000000001</v>
      </c>
      <c r="L38" s="120">
        <f>SUM(L35:L37)</f>
        <v>0</v>
      </c>
      <c r="M38" s="120">
        <f>SUM(M35:M37)</f>
        <v>0.47078465000000003</v>
      </c>
      <c r="N38" s="120">
        <f>SUM(N35:N37)</f>
        <v>0</v>
      </c>
      <c r="O38" s="120">
        <f>N38+M38-K38</f>
        <v>-10.29496235</v>
      </c>
      <c r="P38" s="121">
        <f t="shared" ref="P38" si="12">(M38+N38)/K38</f>
        <v>4.3729863798582673E-2</v>
      </c>
      <c r="Q38" s="126">
        <f>'2. IRR Debt'!Q15</f>
        <v>-0.71226245388388643</v>
      </c>
      <c r="R38" s="123"/>
      <c r="S38" s="402"/>
    </row>
    <row r="39" spans="2:19" s="96" customFormat="1" x14ac:dyDescent="0.25">
      <c r="B39" s="94"/>
      <c r="C39" s="5"/>
      <c r="D39" s="8"/>
      <c r="E39" s="8"/>
      <c r="F39" s="8"/>
      <c r="G39" s="8"/>
      <c r="H39" s="8"/>
      <c r="I39" s="127"/>
      <c r="J39" s="19"/>
      <c r="K39" s="19"/>
      <c r="L39" s="19"/>
      <c r="M39" s="19"/>
      <c r="N39" s="19"/>
      <c r="O39" s="19"/>
      <c r="P39" s="12"/>
      <c r="Q39" s="127"/>
      <c r="R39" s="8"/>
      <c r="S39" s="401"/>
    </row>
    <row r="40" spans="2:19" x14ac:dyDescent="0.25">
      <c r="B40" s="97"/>
      <c r="C40" s="678" t="s">
        <v>30</v>
      </c>
      <c r="D40" s="580"/>
      <c r="E40" s="580"/>
      <c r="F40" s="580"/>
      <c r="G40" s="581"/>
      <c r="H40" s="580"/>
      <c r="I40" s="582"/>
      <c r="J40" s="583"/>
      <c r="K40" s="583"/>
      <c r="L40" s="583"/>
      <c r="M40" s="583"/>
      <c r="N40" s="583"/>
      <c r="O40" s="583"/>
      <c r="P40" s="584"/>
      <c r="Q40" s="582"/>
      <c r="R40" s="580"/>
      <c r="S40" s="322"/>
    </row>
    <row r="41" spans="2:19" x14ac:dyDescent="0.25">
      <c r="B41" s="97"/>
      <c r="C41" s="4" t="s">
        <v>124</v>
      </c>
      <c r="D41" s="2" t="s">
        <v>79</v>
      </c>
      <c r="E41" s="2" t="s">
        <v>63</v>
      </c>
      <c r="F41" s="2" t="s">
        <v>653</v>
      </c>
      <c r="G41" s="6">
        <v>2020</v>
      </c>
      <c r="H41" s="2" t="s">
        <v>55</v>
      </c>
      <c r="I41" s="125" t="s">
        <v>130</v>
      </c>
      <c r="J41" s="17">
        <f ca="1">K41+L41</f>
        <v>25.800830036606605</v>
      </c>
      <c r="K41" s="17">
        <f ca="1">-SUMIF('CF (Funds)'!$C$4:$E$2007,C41,'CF (Funds)'!$E$4:$E$2007)</f>
        <v>13.988552928385005</v>
      </c>
      <c r="L41" s="17">
        <f>'5. NewSpace'!K24*10^-6*NAV!K11</f>
        <v>11.8122771082216</v>
      </c>
      <c r="M41" s="17">
        <f>SUM('CF (Funds)'!F37:F43)</f>
        <v>2.9557743514081998</v>
      </c>
      <c r="N41" s="17">
        <f>VLOOKUP(C41,NAV!$B$4:$E$43,4,0)</f>
        <v>16.078910212171998</v>
      </c>
      <c r="O41" s="17">
        <f t="shared" ref="O41:O45" ca="1" si="13">N41+M41-K41</f>
        <v>5.0461316351951915</v>
      </c>
      <c r="P41" s="10">
        <f ca="1">(M41+N41)/K41</f>
        <v>1.3607329264884709</v>
      </c>
      <c r="Q41" s="125">
        <f>VLOOKUP(C41,'3. IRR Funds'!$P$7:$Y$15,7,0)</f>
        <v>7.5401434302330039E-2</v>
      </c>
      <c r="R41" s="2"/>
      <c r="S41" s="322"/>
    </row>
    <row r="42" spans="2:19" x14ac:dyDescent="0.25">
      <c r="B42" s="97"/>
      <c r="C42" s="4" t="s">
        <v>380</v>
      </c>
      <c r="D42" s="2" t="s">
        <v>79</v>
      </c>
      <c r="E42" s="2" t="s">
        <v>63</v>
      </c>
      <c r="F42" s="2" t="s">
        <v>653</v>
      </c>
      <c r="G42" s="6">
        <v>2023</v>
      </c>
      <c r="H42" s="2" t="s">
        <v>55</v>
      </c>
      <c r="I42" s="125" t="s">
        <v>130</v>
      </c>
      <c r="J42" s="17">
        <f>2.3/0.85</f>
        <v>2.7058823529411762</v>
      </c>
      <c r="K42" s="17">
        <v>2.7058823529411762</v>
      </c>
      <c r="L42" s="17">
        <v>0</v>
      </c>
      <c r="M42" s="17">
        <v>0</v>
      </c>
      <c r="N42" s="17">
        <f ca="1">VLOOKUP(C42,NAV!$B$4:$E$43,4,0)</f>
        <v>3.1102316029671613</v>
      </c>
      <c r="O42" s="17">
        <f t="shared" ca="1" si="13"/>
        <v>0.4043492500259851</v>
      </c>
      <c r="P42" s="10">
        <f ca="1">(M42+N42)/K42</f>
        <v>1.1494334184878641</v>
      </c>
      <c r="Q42" s="125">
        <f>VLOOKUP(C42,'3. IRR Funds'!$P$7:$Y$15,7,0)</f>
        <v>0</v>
      </c>
      <c r="R42" s="113"/>
      <c r="S42" s="322"/>
    </row>
    <row r="43" spans="2:19" x14ac:dyDescent="0.25">
      <c r="B43" s="97"/>
      <c r="C43" s="4" t="s">
        <v>1</v>
      </c>
      <c r="D43" s="2" t="s">
        <v>79</v>
      </c>
      <c r="E43" s="2" t="s">
        <v>64</v>
      </c>
      <c r="F43" s="2" t="s">
        <v>653</v>
      </c>
      <c r="G43" s="6">
        <v>2020</v>
      </c>
      <c r="H43" s="2" t="s">
        <v>55</v>
      </c>
      <c r="I43" s="125" t="s">
        <v>130</v>
      </c>
      <c r="J43" s="17">
        <f ca="1">K43+L43</f>
        <v>83.334352999999979</v>
      </c>
      <c r="K43" s="17">
        <f ca="1">-SUMIF('CF (Funds)'!$C$4:$E$2007,C43,'CF (Funds)'!$E$4:$E$2007)</f>
        <v>83.214652999999984</v>
      </c>
      <c r="L43" s="17">
        <f>217.813308-217.693608</f>
        <v>0.11969999999999459</v>
      </c>
      <c r="M43" s="17">
        <f>SUM('CF (Funds)'!F26:'CF (Funds)'!F36)</f>
        <v>7.8158709999999996</v>
      </c>
      <c r="N43" s="17">
        <f>VLOOKUP(C43,NAV!$B$4:$E$43,4,0)</f>
        <v>74.725861000000009</v>
      </c>
      <c r="O43" s="17">
        <f t="shared" ca="1" si="13"/>
        <v>-0.6729209999999739</v>
      </c>
      <c r="P43" s="10">
        <f ca="1">(M43+N43)/K43</f>
        <v>0.99191343140011679</v>
      </c>
      <c r="Q43" s="125">
        <f>VLOOKUP(C43,'3. IRR Funds'!$P$7:$Y$15,7,0)</f>
        <v>-2.4627689272165303E-3</v>
      </c>
      <c r="R43" s="2"/>
      <c r="S43" s="322"/>
    </row>
    <row r="44" spans="2:19" x14ac:dyDescent="0.25">
      <c r="B44" s="97"/>
      <c r="C44" s="4" t="s">
        <v>12</v>
      </c>
      <c r="D44" s="2" t="s">
        <v>80</v>
      </c>
      <c r="E44" s="2" t="s">
        <v>64</v>
      </c>
      <c r="F44" s="2" t="s">
        <v>653</v>
      </c>
      <c r="G44" s="6">
        <v>2020</v>
      </c>
      <c r="H44" s="2" t="s">
        <v>55</v>
      </c>
      <c r="I44" s="125" t="s">
        <v>130</v>
      </c>
      <c r="J44" s="17">
        <v>50</v>
      </c>
      <c r="K44" s="17">
        <f ca="1">-SUMIF('CF (Funds)'!$C$4:$E$2007,C44,'CF (Funds)'!$E$4:$E$2007)</f>
        <v>24.959693000000001</v>
      </c>
      <c r="L44" s="17">
        <v>0</v>
      </c>
      <c r="M44" s="17">
        <f>SUM('CF (Funds)'!F4:F21)</f>
        <v>25.403521350000002</v>
      </c>
      <c r="N44" s="17">
        <f>VLOOKUP(C44,NAV!$B$4:$E$43,4,0)</f>
        <v>0</v>
      </c>
      <c r="O44" s="17">
        <f ca="1">N44+M44-K44</f>
        <v>0.44382835000000043</v>
      </c>
      <c r="P44" s="10">
        <f ca="1">(M44+N44)/K44</f>
        <v>1.0177818032457371</v>
      </c>
      <c r="Q44" s="125">
        <f>VLOOKUP(C44,'3. IRR Funds'!$P$7:$Y$15,7,0)</f>
        <v>7.6422423124313356E-3</v>
      </c>
      <c r="R44" s="113"/>
      <c r="S44" s="322"/>
    </row>
    <row r="45" spans="2:19" ht="17.25" x14ac:dyDescent="0.25">
      <c r="B45" s="97"/>
      <c r="C45" s="4" t="s">
        <v>175</v>
      </c>
      <c r="D45" s="2" t="s">
        <v>79</v>
      </c>
      <c r="E45" s="2" t="s">
        <v>65</v>
      </c>
      <c r="F45" s="2" t="s">
        <v>653</v>
      </c>
      <c r="G45" s="6">
        <v>2021</v>
      </c>
      <c r="H45" s="2" t="s">
        <v>55</v>
      </c>
      <c r="I45" s="125">
        <v>0.33</v>
      </c>
      <c r="J45" s="17">
        <v>17.112500000000001</v>
      </c>
      <c r="K45" s="17">
        <f ca="1">-SUMIF('CF (Funds)'!$C$4:$E$2007,C45,'CF (Funds)'!$E$4:$E$2007)</f>
        <v>14.0151375</v>
      </c>
      <c r="L45" s="17">
        <f ca="1">J45-K45</f>
        <v>3.0973625000000009</v>
      </c>
      <c r="M45" s="17">
        <v>0</v>
      </c>
      <c r="N45" s="17">
        <f>VLOOKUP(C45,NAV!$B$4:$E$43,4,0)</f>
        <v>12.310425</v>
      </c>
      <c r="O45" s="17">
        <f t="shared" ca="1" si="13"/>
        <v>-1.7047124999999994</v>
      </c>
      <c r="P45" s="10">
        <f ca="1">(M45+N45)/K45</f>
        <v>0.87836633782579732</v>
      </c>
      <c r="Q45" s="125">
        <f>VLOOKUP(C45,'3. IRR Funds'!$P$7:$Y$15,7,0)</f>
        <v>-6.8944522738456734E-2</v>
      </c>
      <c r="R45" s="2" t="s">
        <v>473</v>
      </c>
      <c r="S45" s="322"/>
    </row>
    <row r="46" spans="2:19" s="101" customFormat="1" x14ac:dyDescent="0.25">
      <c r="B46" s="99"/>
      <c r="C46" s="9"/>
      <c r="D46" s="9"/>
      <c r="E46" s="9"/>
      <c r="F46" s="9"/>
      <c r="G46" s="9"/>
      <c r="H46" s="9"/>
      <c r="I46" s="128"/>
      <c r="J46" s="18">
        <f ca="1">SUM(J41:J45)</f>
        <v>178.95356538954778</v>
      </c>
      <c r="K46" s="18">
        <f ca="1">SUM(K41:K45)</f>
        <v>138.88391878132617</v>
      </c>
      <c r="L46" s="18">
        <f ca="1">SUM(L41:L45)</f>
        <v>15.029339608221596</v>
      </c>
      <c r="M46" s="18">
        <f>SUM(M41:M45)</f>
        <v>36.175166701408202</v>
      </c>
      <c r="N46" s="9">
        <f ca="1">SUM(N41:N45)</f>
        <v>106.22542781513916</v>
      </c>
      <c r="O46" s="18">
        <f ca="1">N46+M46-K46</f>
        <v>3.5166757352211846</v>
      </c>
      <c r="P46" s="11">
        <f t="shared" ref="P46:P48" ca="1" si="14">(M46+N46)/K46</f>
        <v>1.0253209713988429</v>
      </c>
      <c r="Q46" s="21">
        <f>'3. IRR Funds'!Q18</f>
        <v>2.9802322387695314E-9</v>
      </c>
      <c r="R46" s="9"/>
      <c r="S46" s="402"/>
    </row>
    <row r="47" spans="2:19" s="251" customFormat="1" x14ac:dyDescent="0.25">
      <c r="B47" s="249"/>
      <c r="C47" s="243"/>
      <c r="D47" s="243"/>
      <c r="E47" s="243"/>
      <c r="F47" s="243"/>
      <c r="G47" s="243"/>
      <c r="H47" s="243"/>
      <c r="I47" s="127"/>
      <c r="J47" s="244"/>
      <c r="K47" s="244"/>
      <c r="L47" s="244"/>
      <c r="M47" s="244"/>
      <c r="N47" s="244"/>
      <c r="O47" s="244"/>
      <c r="P47" s="245"/>
      <c r="Q47" s="137"/>
      <c r="R47" s="243"/>
      <c r="S47" s="403"/>
    </row>
    <row r="48" spans="2:19" s="101" customFormat="1" x14ac:dyDescent="0.25">
      <c r="B48" s="99"/>
      <c r="C48" s="246" t="s">
        <v>57</v>
      </c>
      <c r="D48" s="238"/>
      <c r="E48" s="238"/>
      <c r="F48" s="238"/>
      <c r="G48" s="238"/>
      <c r="H48" s="238"/>
      <c r="I48" s="239"/>
      <c r="J48" s="240">
        <f ca="1">J32+J38+J46</f>
        <v>2331.5023557623913</v>
      </c>
      <c r="K48" s="240">
        <f ca="1">K32+K38+K46</f>
        <v>2287.6827091541695</v>
      </c>
      <c r="L48" s="240">
        <f ca="1">L32+L38+L46</f>
        <v>18.779339608221598</v>
      </c>
      <c r="M48" s="240">
        <f ca="1">M32+M38+M46</f>
        <v>1279.8881438814083</v>
      </c>
      <c r="N48" s="240">
        <f ca="1">N32+N38+N46</f>
        <v>941.2365780782585</v>
      </c>
      <c r="O48" s="240">
        <f ca="1">N48+M48-K48</f>
        <v>-66.557987194502857</v>
      </c>
      <c r="P48" s="241">
        <f t="shared" ca="1" si="14"/>
        <v>0.97090593598134445</v>
      </c>
      <c r="Q48" s="242">
        <f ca="1">'4.All'!N9</f>
        <v>2.9802322387695314E-9</v>
      </c>
      <c r="R48" s="238"/>
      <c r="S48" s="402"/>
    </row>
    <row r="49" spans="2:20" s="299" customFormat="1" ht="15.75" thickBot="1" x14ac:dyDescent="0.3">
      <c r="B49" s="292"/>
      <c r="C49" s="293"/>
      <c r="D49" s="294"/>
      <c r="E49" s="294"/>
      <c r="F49" s="294"/>
      <c r="G49" s="294"/>
      <c r="H49" s="294"/>
      <c r="I49" s="295"/>
      <c r="J49" s="296"/>
      <c r="K49" s="296" t="b">
        <f ca="1">ROUND(K48,2)=ROUND('4.All'!J9,2)</f>
        <v>1</v>
      </c>
      <c r="L49" s="296"/>
      <c r="M49" s="296" t="b">
        <f ca="1">ROUND(M48,2)=ROUND('4.All'!L9,2)</f>
        <v>1</v>
      </c>
      <c r="N49" s="296" t="b">
        <f ca="1">ROUND(N48,2)=ROUND('4.All'!M9,2)</f>
        <v>1</v>
      </c>
      <c r="O49" s="296"/>
      <c r="P49" s="297"/>
      <c r="Q49" s="295"/>
      <c r="R49" s="294"/>
      <c r="S49" s="404"/>
    </row>
    <row r="50" spans="2:20" x14ac:dyDescent="0.25">
      <c r="I50" s="107"/>
      <c r="Q50" s="107"/>
    </row>
    <row r="51" spans="2:20" s="96" customFormat="1" x14ac:dyDescent="0.25">
      <c r="B51" s="222"/>
      <c r="C51" s="252" t="s">
        <v>152</v>
      </c>
      <c r="D51" s="129"/>
      <c r="E51" s="130"/>
      <c r="F51" s="131"/>
      <c r="G51" s="131"/>
      <c r="H51" s="131"/>
      <c r="I51" s="131"/>
      <c r="J51" s="131"/>
      <c r="K51" s="131"/>
      <c r="L51" s="131"/>
      <c r="M51" s="131"/>
      <c r="N51" s="131"/>
      <c r="O51" s="131"/>
      <c r="P51" s="131"/>
      <c r="Q51" s="131"/>
      <c r="R51" s="131"/>
      <c r="S51" s="217"/>
    </row>
    <row r="52" spans="2:20" x14ac:dyDescent="0.25">
      <c r="B52" s="109"/>
      <c r="C52" s="253" t="s">
        <v>232</v>
      </c>
      <c r="G52" s="573"/>
      <c r="K52" s="254"/>
      <c r="N52" s="114"/>
      <c r="O52" s="114"/>
      <c r="Q52" s="114"/>
      <c r="R52" s="114"/>
    </row>
    <row r="53" spans="2:20" x14ac:dyDescent="0.25">
      <c r="B53" s="109"/>
      <c r="C53" s="255" t="s">
        <v>233</v>
      </c>
      <c r="N53" s="114"/>
      <c r="O53" s="114"/>
      <c r="Q53" s="114"/>
      <c r="R53" s="114"/>
    </row>
    <row r="54" spans="2:20" x14ac:dyDescent="0.25">
      <c r="B54" s="109"/>
      <c r="C54" s="255" t="s">
        <v>235</v>
      </c>
      <c r="N54" s="114"/>
      <c r="O54" s="114"/>
      <c r="Q54" s="114"/>
      <c r="R54" s="114"/>
    </row>
    <row r="55" spans="2:20" x14ac:dyDescent="0.25">
      <c r="B55" s="109"/>
      <c r="C55" s="255" t="s">
        <v>471</v>
      </c>
      <c r="N55" s="114"/>
      <c r="O55" s="114"/>
      <c r="Q55" s="114"/>
      <c r="R55" s="114"/>
    </row>
    <row r="56" spans="2:20" x14ac:dyDescent="0.25">
      <c r="B56" s="109"/>
      <c r="C56" s="255" t="s">
        <v>475</v>
      </c>
      <c r="N56" s="114"/>
      <c r="O56" s="114"/>
      <c r="Q56" s="114"/>
      <c r="R56" s="114"/>
    </row>
    <row r="57" spans="2:20" x14ac:dyDescent="0.25">
      <c r="B57" s="109"/>
      <c r="C57" s="85" t="s">
        <v>474</v>
      </c>
      <c r="N57" s="114"/>
      <c r="O57" s="114"/>
      <c r="Q57" s="114"/>
      <c r="R57" s="114"/>
    </row>
    <row r="58" spans="2:20" x14ac:dyDescent="0.25">
      <c r="B58" s="109"/>
      <c r="C58" s="85" t="s">
        <v>580</v>
      </c>
      <c r="N58" s="114"/>
      <c r="O58" s="114"/>
      <c r="Q58" s="114"/>
      <c r="R58" s="114"/>
    </row>
    <row r="59" spans="2:20" x14ac:dyDescent="0.25">
      <c r="B59" s="109"/>
      <c r="C59" s="85" t="s">
        <v>319</v>
      </c>
      <c r="N59" s="114"/>
      <c r="O59" s="114"/>
      <c r="Q59" s="114"/>
      <c r="R59" s="114"/>
      <c r="S59" s="405"/>
      <c r="T59" s="367"/>
    </row>
    <row r="60" spans="2:20" x14ac:dyDescent="0.25">
      <c r="B60" s="109"/>
      <c r="C60" s="85"/>
      <c r="N60" s="114"/>
      <c r="O60" s="114"/>
      <c r="Q60" s="114"/>
      <c r="R60" s="114"/>
      <c r="S60" s="405"/>
      <c r="T60" s="367"/>
    </row>
    <row r="61" spans="2:20" x14ac:dyDescent="0.25">
      <c r="C61" s="252" t="s">
        <v>660</v>
      </c>
      <c r="D61" s="129"/>
      <c r="E61" s="130"/>
      <c r="F61" s="131"/>
      <c r="G61" s="131"/>
      <c r="H61" s="131"/>
      <c r="I61" s="130"/>
      <c r="J61" s="131"/>
      <c r="K61" s="131"/>
      <c r="L61" s="131"/>
      <c r="M61" s="131"/>
      <c r="N61" s="131"/>
      <c r="O61" s="131"/>
      <c r="P61" s="131"/>
      <c r="Q61" s="131"/>
      <c r="R61" s="131"/>
      <c r="S61" s="405"/>
      <c r="T61" s="367"/>
    </row>
    <row r="62" spans="2:20" x14ac:dyDescent="0.25">
      <c r="C62" s="85" t="s">
        <v>317</v>
      </c>
      <c r="N62" s="114"/>
      <c r="O62" s="114"/>
      <c r="Q62" s="114"/>
      <c r="R62" s="114"/>
      <c r="S62" s="405"/>
      <c r="T62" s="367"/>
    </row>
    <row r="63" spans="2:20" x14ac:dyDescent="0.25">
      <c r="C63" s="300" t="s">
        <v>318</v>
      </c>
      <c r="N63" s="114"/>
      <c r="O63" s="114"/>
      <c r="Q63" s="114"/>
      <c r="R63" s="114"/>
    </row>
    <row r="64" spans="2:20" x14ac:dyDescent="0.25">
      <c r="C64" s="27"/>
      <c r="N64" s="114"/>
      <c r="O64" s="114"/>
      <c r="Q64" s="114"/>
      <c r="R64" s="114"/>
    </row>
    <row r="65" spans="3:18" x14ac:dyDescent="0.25">
      <c r="C65" s="252" t="s">
        <v>656</v>
      </c>
      <c r="D65" s="129"/>
      <c r="E65" s="130"/>
      <c r="F65" s="131"/>
      <c r="G65" s="131"/>
      <c r="H65" s="131"/>
      <c r="I65" s="130"/>
      <c r="J65" s="131"/>
      <c r="K65" s="131"/>
      <c r="L65" s="131"/>
      <c r="M65" s="131"/>
      <c r="N65" s="131"/>
      <c r="O65" s="131"/>
      <c r="P65" s="131"/>
      <c r="Q65" s="131"/>
      <c r="R65" s="131"/>
    </row>
    <row r="66" spans="3:18" x14ac:dyDescent="0.25">
      <c r="C66" s="13" t="s">
        <v>657</v>
      </c>
      <c r="N66" s="114"/>
      <c r="O66" s="114"/>
      <c r="Q66" s="114"/>
      <c r="R66" s="114"/>
    </row>
    <row r="67" spans="3:18" x14ac:dyDescent="0.25">
      <c r="C67" s="13" t="s">
        <v>658</v>
      </c>
      <c r="N67" s="114"/>
      <c r="O67" s="114"/>
      <c r="Q67" s="114"/>
      <c r="R67" s="114"/>
    </row>
    <row r="68" spans="3:18" x14ac:dyDescent="0.25">
      <c r="C68" s="13" t="s">
        <v>312</v>
      </c>
      <c r="N68" s="114"/>
      <c r="O68" s="114"/>
      <c r="Q68" s="114"/>
      <c r="R68" s="114"/>
    </row>
    <row r="69" spans="3:18" x14ac:dyDescent="0.25">
      <c r="C69" s="13" t="s">
        <v>659</v>
      </c>
      <c r="N69" s="114"/>
      <c r="O69" s="114"/>
      <c r="Q69" s="114"/>
      <c r="R69" s="114"/>
    </row>
    <row r="70" spans="3:18" x14ac:dyDescent="0.25">
      <c r="C70" s="13"/>
      <c r="N70" s="114"/>
      <c r="O70" s="114"/>
      <c r="Q70" s="114"/>
      <c r="R70" s="114"/>
    </row>
    <row r="71" spans="3:18" x14ac:dyDescent="0.25">
      <c r="C71" s="85" t="s">
        <v>313</v>
      </c>
      <c r="N71" s="114"/>
      <c r="O71" s="114"/>
      <c r="Q71" s="114"/>
      <c r="R71" s="114"/>
    </row>
    <row r="72" spans="3:18" x14ac:dyDescent="0.25">
      <c r="C72" s="13" t="s">
        <v>314</v>
      </c>
      <c r="N72" s="114"/>
      <c r="O72" s="114"/>
      <c r="Q72" s="114"/>
      <c r="R72" s="114"/>
    </row>
    <row r="73" spans="3:18" x14ac:dyDescent="0.25">
      <c r="C73" s="85" t="s">
        <v>315</v>
      </c>
      <c r="N73" s="114"/>
      <c r="O73" s="114"/>
      <c r="Q73" s="114"/>
      <c r="R73" s="114"/>
    </row>
    <row r="74" spans="3:18" x14ac:dyDescent="0.25">
      <c r="C74" s="85" t="s">
        <v>316</v>
      </c>
      <c r="P74" s="27"/>
    </row>
    <row r="75" spans="3:18" x14ac:dyDescent="0.25">
      <c r="C75" s="85" t="s">
        <v>654</v>
      </c>
      <c r="P75" s="27"/>
    </row>
    <row r="76" spans="3:18" x14ac:dyDescent="0.25">
      <c r="C76" s="26"/>
      <c r="P76" s="27"/>
    </row>
    <row r="77" spans="3:18" x14ac:dyDescent="0.25">
      <c r="C77" s="252" t="s">
        <v>153</v>
      </c>
      <c r="D77" s="129"/>
      <c r="E77" s="130"/>
      <c r="F77" s="131"/>
      <c r="G77" s="131"/>
      <c r="H77" s="131"/>
      <c r="I77" s="130"/>
      <c r="J77" s="131"/>
      <c r="K77" s="131"/>
      <c r="L77" s="131"/>
      <c r="M77" s="131"/>
      <c r="N77" s="131"/>
      <c r="O77" s="131"/>
      <c r="P77" s="131"/>
      <c r="Q77" s="131"/>
      <c r="R77" s="131"/>
    </row>
    <row r="78" spans="3:18" x14ac:dyDescent="0.25">
      <c r="C78" s="13" t="s">
        <v>270</v>
      </c>
      <c r="P78" s="27"/>
    </row>
    <row r="79" spans="3:18" x14ac:dyDescent="0.25">
      <c r="C79" s="13" t="s">
        <v>146</v>
      </c>
      <c r="P79" s="27"/>
    </row>
    <row r="80" spans="3:18" x14ac:dyDescent="0.25">
      <c r="C80" s="85" t="s">
        <v>234</v>
      </c>
      <c r="I80" s="85"/>
    </row>
    <row r="81" spans="3:9" x14ac:dyDescent="0.25">
      <c r="H81" s="224"/>
      <c r="I81" s="85"/>
    </row>
    <row r="82" spans="3:9" x14ac:dyDescent="0.25">
      <c r="H82" s="85"/>
      <c r="I82" s="85"/>
    </row>
    <row r="83" spans="3:9" x14ac:dyDescent="0.25">
      <c r="C83" s="85"/>
      <c r="E83" s="85"/>
      <c r="H83" s="85"/>
      <c r="I83" s="85"/>
    </row>
    <row r="84" spans="3:9" x14ac:dyDescent="0.25">
      <c r="C84" s="27"/>
      <c r="H84" s="85"/>
      <c r="I84" s="85"/>
    </row>
    <row r="85" spans="3:9" x14ac:dyDescent="0.25">
      <c r="C85" s="27"/>
    </row>
    <row r="86" spans="3:9" x14ac:dyDescent="0.25">
      <c r="F86" s="85"/>
    </row>
  </sheetData>
  <pageMargins left="0.7" right="0.7" top="0.75" bottom="0.75" header="0.3" footer="0.3"/>
  <pageSetup paperSize="9" scale="25" orientation="portrait" verticalDpi="0" r:id="rId1"/>
  <ignoredErrors>
    <ignoredError sqref="J42"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X84"/>
  <sheetViews>
    <sheetView showGridLines="0" view="pageBreakPreview" zoomScale="70" zoomScaleNormal="90" zoomScaleSheetLayoutView="70" workbookViewId="0">
      <selection activeCell="K36" sqref="K36"/>
    </sheetView>
  </sheetViews>
  <sheetFormatPr defaultColWidth="9.140625" defaultRowHeight="15" outlineLevelCol="1" x14ac:dyDescent="0.25"/>
  <cols>
    <col min="1" max="2" width="5.42578125" style="26" customWidth="1"/>
    <col min="3" max="3" width="53.140625" style="84" bestFit="1" customWidth="1"/>
    <col min="4" max="4" width="18.7109375" style="84"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5.42578125" style="27" customWidth="1"/>
    <col min="18" max="18" width="17.5703125" style="114" customWidth="1"/>
    <col min="19" max="19" width="17.5703125" style="27" customWidth="1"/>
    <col min="20" max="20" width="25.5703125" style="27" bestFit="1" customWidth="1"/>
    <col min="21" max="21" width="3" style="26" customWidth="1"/>
    <col min="22" max="22" width="6.28515625" style="26" customWidth="1"/>
    <col min="23" max="23" width="12.140625" style="26" bestFit="1" customWidth="1"/>
    <col min="24" max="24" width="18.5703125" style="26" customWidth="1"/>
    <col min="25" max="16384" width="9.140625" style="26"/>
  </cols>
  <sheetData>
    <row r="1" spans="2:24" s="96" customFormat="1" ht="21.75" customHeight="1" thickBot="1" x14ac:dyDescent="0.3">
      <c r="C1" s="219"/>
      <c r="D1" s="219"/>
      <c r="E1" s="217"/>
      <c r="F1" s="217"/>
      <c r="G1" s="217"/>
      <c r="H1" s="217"/>
      <c r="I1" s="217"/>
      <c r="J1" s="217"/>
      <c r="K1" s="217"/>
      <c r="L1" s="217"/>
      <c r="M1" s="217"/>
      <c r="N1" s="217"/>
      <c r="O1" s="217"/>
      <c r="P1" s="217"/>
      <c r="Q1" s="217"/>
      <c r="R1" s="218"/>
      <c r="S1" s="217"/>
      <c r="T1" s="217"/>
    </row>
    <row r="2" spans="2:24" ht="15.75" thickBot="1" x14ac:dyDescent="0.3">
      <c r="C2" s="247" t="s">
        <v>187</v>
      </c>
      <c r="D2" s="248">
        <f>D!D2</f>
        <v>45351</v>
      </c>
      <c r="F2" s="26"/>
      <c r="G2" s="26"/>
      <c r="H2" s="26"/>
      <c r="I2" s="26"/>
      <c r="J2" s="26"/>
      <c r="K2" s="26"/>
      <c r="L2" s="26"/>
      <c r="M2" s="26"/>
      <c r="N2" s="26"/>
      <c r="O2" s="26"/>
      <c r="P2" s="26"/>
      <c r="Q2" s="26"/>
      <c r="R2" s="26"/>
      <c r="S2" s="26"/>
      <c r="T2" s="26"/>
    </row>
    <row r="3" spans="2:24" s="96" customFormat="1" ht="21.75" customHeight="1" thickBot="1" x14ac:dyDescent="0.3">
      <c r="C3" s="219"/>
      <c r="D3" s="219"/>
      <c r="E3" s="217"/>
      <c r="F3" s="217"/>
      <c r="G3" s="217"/>
      <c r="H3" s="217"/>
      <c r="I3" s="217"/>
      <c r="J3" s="217"/>
      <c r="K3" s="217"/>
      <c r="L3" s="217"/>
      <c r="M3" s="217"/>
      <c r="N3" s="217"/>
      <c r="O3" s="217"/>
      <c r="P3" s="217"/>
      <c r="Q3" s="217"/>
      <c r="R3" s="218"/>
      <c r="S3" s="217"/>
      <c r="T3" s="217"/>
    </row>
    <row r="4" spans="2:24" x14ac:dyDescent="0.25">
      <c r="B4" s="86"/>
      <c r="C4" s="87"/>
      <c r="D4" s="87"/>
      <c r="E4" s="88"/>
      <c r="F4" s="88"/>
      <c r="G4" s="88"/>
      <c r="H4" s="88"/>
      <c r="I4" s="88"/>
      <c r="J4" s="88"/>
      <c r="K4" s="88"/>
      <c r="L4" s="88"/>
      <c r="M4" s="88"/>
      <c r="N4" s="88"/>
      <c r="O4" s="88"/>
      <c r="P4" s="88"/>
      <c r="Q4" s="88"/>
      <c r="R4" s="221"/>
      <c r="S4" s="88"/>
      <c r="T4" s="88"/>
      <c r="U4" s="90"/>
    </row>
    <row r="5" spans="2:24" s="299" customFormat="1" x14ac:dyDescent="0.25">
      <c r="B5" s="339"/>
      <c r="C5" s="340"/>
      <c r="D5" s="340"/>
      <c r="E5" s="341">
        <v>2</v>
      </c>
      <c r="F5" s="341">
        <v>3</v>
      </c>
      <c r="G5" s="341">
        <v>4</v>
      </c>
      <c r="H5" s="341">
        <v>5</v>
      </c>
      <c r="I5" s="341">
        <v>6</v>
      </c>
      <c r="J5" s="341">
        <v>7</v>
      </c>
      <c r="K5" s="341">
        <v>8</v>
      </c>
      <c r="L5" s="341">
        <v>9</v>
      </c>
      <c r="M5" s="341">
        <v>11</v>
      </c>
      <c r="N5" s="341">
        <v>12</v>
      </c>
      <c r="O5" s="341">
        <v>13</v>
      </c>
      <c r="P5" s="341"/>
      <c r="Q5" s="341">
        <v>15</v>
      </c>
      <c r="R5" s="341">
        <v>14</v>
      </c>
      <c r="S5" s="341">
        <v>10</v>
      </c>
      <c r="T5" s="341">
        <v>16</v>
      </c>
      <c r="U5" s="342"/>
    </row>
    <row r="6" spans="2:24" s="93" customFormat="1" ht="60" customHeight="1" x14ac:dyDescent="0.25">
      <c r="B6" s="91"/>
      <c r="C6" s="3" t="s">
        <v>52</v>
      </c>
      <c r="D6" s="3" t="s">
        <v>159</v>
      </c>
      <c r="E6" s="1" t="s">
        <v>25</v>
      </c>
      <c r="F6" s="1" t="s">
        <v>62</v>
      </c>
      <c r="G6" s="1" t="s">
        <v>31</v>
      </c>
      <c r="H6" s="1" t="s">
        <v>143</v>
      </c>
      <c r="I6" s="1" t="s">
        <v>36</v>
      </c>
      <c r="J6" s="1" t="s">
        <v>54</v>
      </c>
      <c r="K6" s="1" t="s">
        <v>32</v>
      </c>
      <c r="L6" s="1" t="s">
        <v>2</v>
      </c>
      <c r="M6" s="1" t="s">
        <v>33</v>
      </c>
      <c r="N6" s="1" t="s">
        <v>27</v>
      </c>
      <c r="O6" s="1" t="s">
        <v>204</v>
      </c>
      <c r="P6" s="365" t="s">
        <v>446</v>
      </c>
      <c r="Q6" s="1" t="s">
        <v>274</v>
      </c>
      <c r="R6" s="1" t="s">
        <v>34</v>
      </c>
      <c r="S6" s="1" t="s">
        <v>51</v>
      </c>
      <c r="T6" s="533" t="s">
        <v>490</v>
      </c>
      <c r="U6" s="92"/>
    </row>
    <row r="7" spans="2:24" s="96" customFormat="1" ht="15.75" thickBot="1" x14ac:dyDescent="0.3">
      <c r="B7" s="94"/>
      <c r="C7" s="5"/>
      <c r="D7" s="5"/>
      <c r="E7" s="8"/>
      <c r="F7" s="8"/>
      <c r="G7" s="8"/>
      <c r="H7" s="8"/>
      <c r="I7" s="8" t="s">
        <v>85</v>
      </c>
      <c r="J7" s="8" t="s">
        <v>54</v>
      </c>
      <c r="K7" s="8" t="s">
        <v>302</v>
      </c>
      <c r="L7" s="8" t="s">
        <v>302</v>
      </c>
      <c r="M7" s="8" t="s">
        <v>302</v>
      </c>
      <c r="N7" s="8" t="s">
        <v>302</v>
      </c>
      <c r="O7" s="8" t="s">
        <v>302</v>
      </c>
      <c r="P7" s="8"/>
      <c r="Q7" s="8" t="s">
        <v>54</v>
      </c>
      <c r="R7" s="12" t="s">
        <v>303</v>
      </c>
      <c r="S7" s="8" t="s">
        <v>302</v>
      </c>
      <c r="T7" s="8"/>
      <c r="U7" s="95"/>
      <c r="W7" s="388" t="s">
        <v>347</v>
      </c>
      <c r="X7" s="388"/>
    </row>
    <row r="8" spans="2:24" x14ac:dyDescent="0.25">
      <c r="B8" s="97"/>
      <c r="C8" s="678" t="s">
        <v>647</v>
      </c>
      <c r="D8" s="579"/>
      <c r="E8" s="580"/>
      <c r="F8" s="580"/>
      <c r="G8" s="580"/>
      <c r="H8" s="580"/>
      <c r="I8" s="581"/>
      <c r="J8" s="582"/>
      <c r="K8" s="583"/>
      <c r="L8" s="583"/>
      <c r="M8" s="583"/>
      <c r="N8" s="583"/>
      <c r="O8" s="583"/>
      <c r="P8" s="583"/>
      <c r="Q8" s="582"/>
      <c r="R8" s="584"/>
      <c r="S8" s="583"/>
      <c r="T8" s="580"/>
      <c r="U8" s="98"/>
    </row>
    <row r="9" spans="2:24" ht="17.25" x14ac:dyDescent="0.25">
      <c r="B9" s="97"/>
      <c r="C9" s="4" t="s">
        <v>458</v>
      </c>
      <c r="D9" s="51" t="s">
        <v>321</v>
      </c>
      <c r="E9" s="2" t="str">
        <f>VLOOKUP($C9,'S | 01 '!$C$6:$R$48,E$5,0)</f>
        <v>Unrealized</v>
      </c>
      <c r="F9" s="2" t="str">
        <f>VLOOKUP($C9,'S | 01 '!$C$6:$R$48,F$5,0)</f>
        <v>Sushil</v>
      </c>
      <c r="G9" s="2" t="str">
        <f>VLOOKUP($C9,'S | 01 '!$C$6:$R$48,G$5,0)</f>
        <v>Mozn</v>
      </c>
      <c r="H9" s="6">
        <f>VLOOKUP($C9,'S | 01 '!$C$6:$R$48,H$5,0)</f>
        <v>2023</v>
      </c>
      <c r="I9" s="6" t="str">
        <f>VLOOKUP($C9,'S | 01 '!$C$6:$R$48,I$5,0)</f>
        <v>B Prefs</v>
      </c>
      <c r="J9" s="125">
        <f>VLOOKUP($C9,'S | 01 '!$C$6:$R$48,J$5,0)</f>
        <v>0.11483735948644427</v>
      </c>
      <c r="K9" s="17">
        <f ca="1">VLOOKUP($C9,'S | 01 '!$C$6:$R$48,K$5,0)</f>
        <v>6</v>
      </c>
      <c r="L9" s="17">
        <f ca="1">VLOOKUP($C9,'S | 01 '!$C$6:$R$48,L$5,0)</f>
        <v>6</v>
      </c>
      <c r="M9" s="17">
        <f>VLOOKUP($C9,'S | 01 '!$C$6:$R$48,M$5,0)</f>
        <v>0</v>
      </c>
      <c r="N9" s="17">
        <f ca="1">VLOOKUP($C9,'S | 01 '!$C$6:$R$48,N$5,0)</f>
        <v>6</v>
      </c>
      <c r="O9" s="17">
        <f ca="1">VLOOKUP($C9,'S | 01 '!$C$6:$R$48,O$5,0)</f>
        <v>0</v>
      </c>
      <c r="P9" s="17" t="s">
        <v>130</v>
      </c>
      <c r="Q9" s="125" t="str">
        <f>VLOOKUP($C9,'S | 01 '!$C$6:$R$48,Q$5,0)</f>
        <v>NM</v>
      </c>
      <c r="R9" s="10" t="str">
        <f>VLOOKUP($C9,'S | 01 '!$C$6:$R$48,R$5,0)</f>
        <v>NM</v>
      </c>
      <c r="S9" s="17">
        <f ca="1">VLOOKUP($C9,'S | 01 '!$C$6:$R$48,S$5,0)</f>
        <v>0</v>
      </c>
      <c r="T9" s="2" t="s">
        <v>472</v>
      </c>
      <c r="U9" s="98"/>
    </row>
    <row r="10" spans="2:24" x14ac:dyDescent="0.25">
      <c r="B10" s="97"/>
      <c r="C10" s="4" t="s">
        <v>447</v>
      </c>
      <c r="D10" s="51" t="s">
        <v>321</v>
      </c>
      <c r="E10" s="2" t="str">
        <f>VLOOKUP($C10,'S | 01 '!$C$6:$R$48,E$5,0)</f>
        <v>Unrealized</v>
      </c>
      <c r="F10" s="2" t="str">
        <f>VLOOKUP($C10,'S | 01 '!$C$6:$R$48,F$5,0)</f>
        <v>Divyesh</v>
      </c>
      <c r="G10" s="2" t="str">
        <f>VLOOKUP($C10,'S | 01 '!$C$6:$R$48,G$5,0)</f>
        <v>Mozn</v>
      </c>
      <c r="H10" s="6">
        <f>VLOOKUP($C10,'S | 01 '!$C$6:$R$48,H$5,0)</f>
        <v>2023</v>
      </c>
      <c r="I10" s="6" t="str">
        <f>VLOOKUP($C10,'S | 01 '!$C$6:$R$48,I$5,0)</f>
        <v>Tokens</v>
      </c>
      <c r="J10" s="125">
        <f>VLOOKUP($C10,'S | 01 '!$C$6:$R$48,J$5,0)</f>
        <v>6.2500000000000003E-3</v>
      </c>
      <c r="K10" s="17">
        <f ca="1">VLOOKUP($C10,'S | 01 '!$C$6:$R$48,K$5,0)</f>
        <v>6.875E-3</v>
      </c>
      <c r="L10" s="17">
        <f ca="1">VLOOKUP($C10,'S | 01 '!$C$6:$R$48,L$5,0)</f>
        <v>6.875E-3</v>
      </c>
      <c r="M10" s="17">
        <f>VLOOKUP($C10,'S | 01 '!$C$6:$R$48,M$5,0)</f>
        <v>0</v>
      </c>
      <c r="N10" s="17">
        <f ca="1">VLOOKUP($C10,'S | 01 '!$C$6:$R$48,N$5,0)</f>
        <v>15</v>
      </c>
      <c r="O10" s="17">
        <f ca="1">VLOOKUP($C10,'S | 01 '!$C$6:$R$48,O$5,0)</f>
        <v>14.993124999999999</v>
      </c>
      <c r="P10" s="17" t="s">
        <v>130</v>
      </c>
      <c r="Q10" s="125" t="str">
        <f ca="1">VLOOKUP($C10,'S | 01 '!$C$6:$R$48,Q$5,0)</f>
        <v>NM</v>
      </c>
      <c r="R10" s="10" t="str">
        <f>VLOOKUP($C10,'S | 01 '!$C$6:$R$48,R$5,0)</f>
        <v>NM</v>
      </c>
      <c r="S10" s="17">
        <f ca="1">VLOOKUP($C10,'S | 01 '!$C$6:$R$48,S$5,0)</f>
        <v>0</v>
      </c>
      <c r="T10" s="2"/>
      <c r="U10" s="98"/>
    </row>
    <row r="11" spans="2:24" x14ac:dyDescent="0.25">
      <c r="B11" s="97"/>
      <c r="C11" s="4" t="s">
        <v>381</v>
      </c>
      <c r="D11" s="51" t="s">
        <v>321</v>
      </c>
      <c r="E11" s="2" t="str">
        <f>VLOOKUP($C11,'S | 01 '!$C$6:$R$48,E$5,0)</f>
        <v>Unrealized</v>
      </c>
      <c r="F11" s="2" t="str">
        <f>VLOOKUP($C11,'S | 01 '!$C$6:$R$48,F$5,0)</f>
        <v>Divyesh</v>
      </c>
      <c r="G11" s="2" t="str">
        <f>VLOOKUP($C11,'S | 01 '!$C$6:$R$48,G$5,0)</f>
        <v>Mozn</v>
      </c>
      <c r="H11" s="6">
        <f>VLOOKUP($C11,'S | 01 '!$C$6:$R$48,H$5,0)</f>
        <v>2023</v>
      </c>
      <c r="I11" s="6" t="str">
        <f>VLOOKUP($C11,'S | 01 '!$C$6:$R$48,I$5,0)</f>
        <v>C Prefs</v>
      </c>
      <c r="J11" s="125">
        <f>VLOOKUP($C11,'S | 01 '!$C$6:$R$48,J$5,0)</f>
        <v>6.2621982517370271E-3</v>
      </c>
      <c r="K11" s="17">
        <f ca="1">VLOOKUP($C11,'S | 01 '!$C$6:$R$48,K$5,0)</f>
        <v>14.999998939999999</v>
      </c>
      <c r="L11" s="17">
        <f ca="1">VLOOKUP($C11,'S | 01 '!$C$6:$R$48,L$5,0)</f>
        <v>14.999998939999999</v>
      </c>
      <c r="M11" s="17">
        <f>VLOOKUP($C11,'S | 01 '!$C$6:$R$48,M$5,0)</f>
        <v>0</v>
      </c>
      <c r="N11" s="17">
        <f ca="1">VLOOKUP($C11,'S | 01 '!$C$6:$R$48,N$5,0)</f>
        <v>14.999998939999999</v>
      </c>
      <c r="O11" s="17">
        <f ca="1">VLOOKUP($C11,'S | 01 '!$C$6:$R$48,O$5,0)</f>
        <v>0</v>
      </c>
      <c r="P11" s="17" t="s">
        <v>130</v>
      </c>
      <c r="Q11" s="125">
        <f ca="1">VLOOKUP($C11,'S | 01 '!$C$6:$R$48,Q$5,0)</f>
        <v>2.9802322387695314E-9</v>
      </c>
      <c r="R11" s="10">
        <f ca="1">VLOOKUP($C11,'S | 01 '!$C$6:$R$48,R$5,0)</f>
        <v>1</v>
      </c>
      <c r="S11" s="17">
        <f ca="1">VLOOKUP($C11,'S | 01 '!$C$6:$R$48,S$5,0)</f>
        <v>0</v>
      </c>
      <c r="T11" s="2"/>
      <c r="U11" s="98"/>
    </row>
    <row r="12" spans="2:24" x14ac:dyDescent="0.25">
      <c r="B12" s="97"/>
      <c r="C12" s="4" t="s">
        <v>304</v>
      </c>
      <c r="D12" s="51" t="s">
        <v>321</v>
      </c>
      <c r="E12" s="2" t="str">
        <f>VLOOKUP($C12,'S | 01 '!$C$6:$R$48,E$5,0)</f>
        <v>Unrealized</v>
      </c>
      <c r="F12" s="2" t="str">
        <f>VLOOKUP($C12,'S | 01 '!$C$6:$R$48,F$5,0)</f>
        <v>Anton</v>
      </c>
      <c r="G12" s="2" t="str">
        <f>VLOOKUP($C12,'S | 01 '!$C$6:$R$48,G$5,0)</f>
        <v>Mozn 4</v>
      </c>
      <c r="H12" s="6">
        <f>VLOOKUP($C12,'S | 01 '!$C$6:$R$48,H$5,0)</f>
        <v>2022</v>
      </c>
      <c r="I12" s="6" t="str">
        <f>VLOOKUP($C12,'S | 01 '!$C$6:$R$48,I$5,0)</f>
        <v>B Prefs</v>
      </c>
      <c r="J12" s="125">
        <f>VLOOKUP($C12,'S | 01 '!$C$6:$R$48,J$5,0)</f>
        <v>2.7864956399278339E-2</v>
      </c>
      <c r="K12" s="17">
        <f ca="1">VLOOKUP($C12,'S | 01 '!$C$6:$R$48,K$5,0)</f>
        <v>15</v>
      </c>
      <c r="L12" s="17">
        <f ca="1">VLOOKUP($C12,'S | 01 '!$C$6:$R$48,L$5,0)</f>
        <v>15</v>
      </c>
      <c r="M12" s="17">
        <f>VLOOKUP($C12,'S | 01 '!$C$6:$R$48,M$5,0)</f>
        <v>0</v>
      </c>
      <c r="N12" s="17">
        <f>VLOOKUP($C12,'S | 01 '!$C$6:$R$48,N$5,0)</f>
        <v>20.888121539999997</v>
      </c>
      <c r="O12" s="17">
        <f ca="1">VLOOKUP($C12,'S | 01 '!$C$6:$R$48,O$5,0)</f>
        <v>5.8881215399999967</v>
      </c>
      <c r="P12" s="17">
        <v>0</v>
      </c>
      <c r="Q12" s="125">
        <f>VLOOKUP($C12,'S | 01 '!$C$6:$R$48,Q$5,0)</f>
        <v>0.30123946070671093</v>
      </c>
      <c r="R12" s="10">
        <f ca="1">VLOOKUP($C12,'S | 01 '!$C$6:$R$48,R$5,0)</f>
        <v>1.3925414359999997</v>
      </c>
      <c r="S12" s="17">
        <f ca="1">VLOOKUP($C12,'S | 01 '!$C$6:$R$48,S$5,0)</f>
        <v>0</v>
      </c>
      <c r="T12" s="2"/>
      <c r="U12" s="98"/>
      <c r="W12" s="26" t="s">
        <v>2</v>
      </c>
      <c r="X12" s="496">
        <f ca="1">L30</f>
        <v>1001.7675403728439</v>
      </c>
    </row>
    <row r="13" spans="2:24" x14ac:dyDescent="0.25">
      <c r="B13" s="97"/>
      <c r="C13" s="4" t="s">
        <v>269</v>
      </c>
      <c r="D13" s="51" t="s">
        <v>321</v>
      </c>
      <c r="E13" s="2" t="str">
        <f>VLOOKUP($C13,'S | 01 '!$C$6:$R$48,E$5,0)</f>
        <v>Unrealized</v>
      </c>
      <c r="F13" s="2" t="str">
        <f>VLOOKUP($C13,'S | 01 '!$C$6:$R$48,F$5,0)</f>
        <v>Divyesh</v>
      </c>
      <c r="G13" s="2" t="str">
        <f>VLOOKUP($C13,'S | 01 '!$C$6:$R$48,G$5,0)</f>
        <v>Mozn</v>
      </c>
      <c r="H13" s="6">
        <f>VLOOKUP($C13,'S | 01 '!$C$6:$R$48,H$5,0)</f>
        <v>2022</v>
      </c>
      <c r="I13" s="6" t="str">
        <f>VLOOKUP($C13,'S | 01 '!$C$6:$R$48,I$5,0)</f>
        <v>Convertible Note</v>
      </c>
      <c r="J13" s="125" t="str">
        <f>VLOOKUP($C13,'S | 01 '!$C$6:$R$48,J$5,0)</f>
        <v>n/a</v>
      </c>
      <c r="K13" s="17">
        <f>VLOOKUP($C13,'S | 01 '!$C$6:$R$48,K$5,0)</f>
        <v>15</v>
      </c>
      <c r="L13" s="17">
        <f ca="1">VLOOKUP($C13,'S | 01 '!$C$6:$R$48,L$5,0)</f>
        <v>11.5</v>
      </c>
      <c r="M13" s="17">
        <f>VLOOKUP($C13,'S | 01 '!$C$6:$R$48,M$5,0)</f>
        <v>0</v>
      </c>
      <c r="N13" s="17">
        <f>VLOOKUP($C13,'S | 01 '!$C$6:$R$48,N$5,0)</f>
        <v>11.5</v>
      </c>
      <c r="O13" s="17">
        <f ca="1">VLOOKUP($C13,'S | 01 '!$C$6:$R$48,O$5,0)</f>
        <v>0</v>
      </c>
      <c r="P13" s="17">
        <v>0</v>
      </c>
      <c r="Q13" s="125">
        <f>VLOOKUP($C13,'S | 01 '!$C$6:$R$48,Q$5,0)</f>
        <v>2.9802322387695314E-9</v>
      </c>
      <c r="R13" s="10">
        <f ca="1">VLOOKUP($C13,'S | 01 '!$C$6:$R$48,R$5,0)</f>
        <v>1</v>
      </c>
      <c r="S13" s="17">
        <f ca="1">VLOOKUP($C13,'S | 01 '!$C$6:$R$48,S$5,0)</f>
        <v>3.5</v>
      </c>
      <c r="T13" s="2"/>
      <c r="U13" s="98"/>
      <c r="W13" s="26" t="s">
        <v>275</v>
      </c>
      <c r="X13" s="496">
        <f ca="1">N30</f>
        <v>507.95416991311936</v>
      </c>
    </row>
    <row r="14" spans="2:24" x14ac:dyDescent="0.25">
      <c r="B14" s="97"/>
      <c r="C14" s="662" t="s">
        <v>71</v>
      </c>
      <c r="D14" s="663" t="s">
        <v>321</v>
      </c>
      <c r="E14" s="664" t="str">
        <f>VLOOKUP($C14,'S | 01 '!$C$6:$R$48,E$5,0)</f>
        <v>Realized</v>
      </c>
      <c r="F14" s="664" t="str">
        <f>VLOOKUP($C14,'S | 01 '!$C$6:$R$48,F$5,0)</f>
        <v>Elaine</v>
      </c>
      <c r="G14" s="664" t="str">
        <f>VLOOKUP($C14,'S | 01 '!$C$6:$R$48,G$5,0)</f>
        <v>Mozn 2</v>
      </c>
      <c r="H14" s="665">
        <f>VLOOKUP($C14,'S | 01 '!$C$6:$R$48,H$5,0)</f>
        <v>2022</v>
      </c>
      <c r="I14" s="665" t="str">
        <f>VLOOKUP($C14,'S | 01 '!$C$6:$R$48,I$5,0)</f>
        <v>Equity-TBC</v>
      </c>
      <c r="J14" s="666">
        <f>VLOOKUP($C14,'S | 01 '!$C$6:$R$48,J$5,0)</f>
        <v>5.1000000000000004E-2</v>
      </c>
      <c r="K14" s="667">
        <f ca="1">VLOOKUP($C14,'S | 01 '!$C$6:$R$48,K$5,0)</f>
        <v>493.50095619999996</v>
      </c>
      <c r="L14" s="667">
        <f ca="1">VLOOKUP($C14,'S | 01 '!$C$6:$R$48,L$5,0)</f>
        <v>493.50095619999996</v>
      </c>
      <c r="M14" s="667">
        <f ca="1">VLOOKUP($C14,'S | 01 '!$C$6:$R$48,M$5,0)</f>
        <v>403</v>
      </c>
      <c r="N14" s="667">
        <f>VLOOKUP($C14,'S | 01 '!$C$6:$R$48,N$5,0)</f>
        <v>0</v>
      </c>
      <c r="O14" s="667">
        <f ca="1">VLOOKUP($C14,'S | 01 '!$C$6:$R$48,O$5,0)</f>
        <v>-90.500956199999962</v>
      </c>
      <c r="P14" s="667">
        <v>-64.391000000000005</v>
      </c>
      <c r="Q14" s="666">
        <f>VLOOKUP($C14,'S | 01 '!$C$6:$R$48,Q$5,0)</f>
        <v>-0.10752884335815904</v>
      </c>
      <c r="R14" s="668">
        <f ca="1">VLOOKUP($C14,'S | 01 '!$C$6:$R$48,R$5,0)</f>
        <v>0.81661442584252486</v>
      </c>
      <c r="S14" s="667">
        <f>VLOOKUP($C14,'S | 01 '!$C$6:$R$48,S$5,0)</f>
        <v>0</v>
      </c>
      <c r="T14" s="664" t="s">
        <v>650</v>
      </c>
      <c r="U14" s="98"/>
      <c r="W14" s="26" t="s">
        <v>348</v>
      </c>
      <c r="X14" s="496">
        <f ca="1">O30</f>
        <v>-52.90039327972454</v>
      </c>
    </row>
    <row r="15" spans="2:24" x14ac:dyDescent="0.25">
      <c r="B15" s="97"/>
      <c r="C15" s="662" t="s">
        <v>271</v>
      </c>
      <c r="D15" s="663" t="s">
        <v>322</v>
      </c>
      <c r="E15" s="664" t="str">
        <f>VLOOKUP($C15,'S | 01 '!$C$6:$R$48,E$5,0)</f>
        <v>Written-off</v>
      </c>
      <c r="F15" s="664" t="str">
        <f>VLOOKUP($C15,'S | 01 '!$C$6:$R$48,F$5,0)</f>
        <v>Elaine</v>
      </c>
      <c r="G15" s="664" t="str">
        <f>VLOOKUP($C15,'S | 01 '!$C$6:$R$48,G$5,0)</f>
        <v>Mozn</v>
      </c>
      <c r="H15" s="665">
        <f>VLOOKUP($C15,'S | 01 '!$C$6:$R$48,H$5,0)</f>
        <v>2021</v>
      </c>
      <c r="I15" s="665" t="str">
        <f>VLOOKUP($C15,'S | 01 '!$C$6:$R$48,I$5,0)</f>
        <v xml:space="preserve">Loan </v>
      </c>
      <c r="J15" s="666" t="str">
        <f>VLOOKUP($C15,'S | 01 '!$C$6:$R$48,J$5,0)</f>
        <v>n/a</v>
      </c>
      <c r="K15" s="667">
        <f>VLOOKUP($C15,'S | 01 '!$C$6:$R$48,K$5,0)</f>
        <v>2.3539819999999998</v>
      </c>
      <c r="L15" s="667">
        <f>VLOOKUP($C15,'S | 01 '!$C$6:$R$48,L$5,0)</f>
        <v>2.3539819999999998</v>
      </c>
      <c r="M15" s="667">
        <f>VLOOKUP($C15,'S | 01 '!$C$6:$R$48,M$5,0)</f>
        <v>0</v>
      </c>
      <c r="N15" s="667">
        <f>VLOOKUP($C15,'S | 01 '!$C$6:$R$48,N$5,0)</f>
        <v>0</v>
      </c>
      <c r="O15" s="667">
        <f>VLOOKUP($C15,'S | 01 '!$C$6:$R$48,O$5,0)</f>
        <v>-2.3539819999999998</v>
      </c>
      <c r="P15" s="667">
        <v>0</v>
      </c>
      <c r="Q15" s="666" t="str">
        <f>VLOOKUP($C15,'S | 01 '!$C$6:$R$48,Q$5,0)</f>
        <v>NM</v>
      </c>
      <c r="R15" s="668">
        <f>VLOOKUP($C15,'S | 01 '!$C$6:$R$48,R$5,0)</f>
        <v>0</v>
      </c>
      <c r="S15" s="667">
        <f>VLOOKUP($C15,'S | 01 '!$C$6:$R$48,S$5,0)</f>
        <v>0</v>
      </c>
      <c r="T15" s="664" t="s">
        <v>483</v>
      </c>
      <c r="U15" s="98"/>
      <c r="W15" s="26" t="s">
        <v>349</v>
      </c>
      <c r="X15" s="496">
        <f ca="1">X14-P30</f>
        <v>-67.437591735166706</v>
      </c>
    </row>
    <row r="16" spans="2:24" x14ac:dyDescent="0.25">
      <c r="B16" s="97"/>
      <c r="C16" s="662" t="s">
        <v>263</v>
      </c>
      <c r="D16" s="663" t="s">
        <v>322</v>
      </c>
      <c r="E16" s="664" t="str">
        <f>VLOOKUP($C16,'S | 01 '!$C$6:$R$48,E$5,0)</f>
        <v>Realized</v>
      </c>
      <c r="F16" s="664" t="str">
        <f>VLOOKUP($C16,'S | 01 '!$C$6:$R$48,F$5,0)</f>
        <v>Sushil</v>
      </c>
      <c r="G16" s="664" t="str">
        <f>VLOOKUP($C16,'S | 01 '!$C$6:$R$48,G$5,0)</f>
        <v>Mozn</v>
      </c>
      <c r="H16" s="665">
        <f>VLOOKUP($C16,'S | 01 '!$C$6:$R$48,H$5,0)</f>
        <v>2021</v>
      </c>
      <c r="I16" s="665" t="str">
        <f>VLOOKUP($C16,'S | 01 '!$C$6:$R$48,I$5,0)</f>
        <v xml:space="preserve">Loan </v>
      </c>
      <c r="J16" s="666" t="str">
        <f>VLOOKUP($C16,'S | 01 '!$C$6:$R$48,J$5,0)</f>
        <v>n/a</v>
      </c>
      <c r="K16" s="667">
        <f>VLOOKUP($C16,'S | 01 '!$C$6:$R$48,K$5,0)</f>
        <v>0.41176499999999999</v>
      </c>
      <c r="L16" s="667">
        <f>VLOOKUP($C16,'S | 01 '!$C$6:$R$48,L$5,0)</f>
        <v>0.41176499999999999</v>
      </c>
      <c r="M16" s="667">
        <f>VLOOKUP($C16,'S | 01 '!$C$6:$R$48,M$5,0)</f>
        <v>0.47078465000000003</v>
      </c>
      <c r="N16" s="667">
        <f>VLOOKUP($C16,'S | 01 '!$C$6:$R$48,N$5,0)</f>
        <v>0</v>
      </c>
      <c r="O16" s="667">
        <f>VLOOKUP($C16,'S | 01 '!$C$6:$R$48,O$5,0)</f>
        <v>5.9019650000000035E-2</v>
      </c>
      <c r="P16" s="667">
        <v>5.9019650000000035E-2</v>
      </c>
      <c r="Q16" s="666">
        <f>VLOOKUP($C16,'S | 01 '!$C$6:$R$48,Q$5,0)</f>
        <v>7.5277027487754833E-2</v>
      </c>
      <c r="R16" s="668">
        <f>VLOOKUP($C16,'S | 01 '!$C$6:$R$48,R$5,0)</f>
        <v>1.1433333333333333</v>
      </c>
      <c r="S16" s="667">
        <f>VLOOKUP($C16,'S | 01 '!$C$6:$R$48,S$5,0)</f>
        <v>0</v>
      </c>
      <c r="T16" s="664" t="s">
        <v>650</v>
      </c>
      <c r="U16" s="98"/>
      <c r="W16" s="26" t="s">
        <v>24</v>
      </c>
      <c r="X16" s="261">
        <f ca="1">Q30</f>
        <v>-2.0768167823553087E-2</v>
      </c>
    </row>
    <row r="17" spans="2:21" x14ac:dyDescent="0.25">
      <c r="B17" s="97"/>
      <c r="C17" s="662" t="s">
        <v>18</v>
      </c>
      <c r="D17" s="663" t="s">
        <v>321</v>
      </c>
      <c r="E17" s="664" t="str">
        <f>VLOOKUP($C17,'S | 01 '!$C$6:$R$48,E$5,0)</f>
        <v>Realized</v>
      </c>
      <c r="F17" s="664" t="str">
        <f>VLOOKUP($C17,'S | 01 '!$C$6:$R$48,F$5,0)</f>
        <v>Sushil</v>
      </c>
      <c r="G17" s="664" t="str">
        <f>VLOOKUP($C17,'S | 01 '!$C$6:$R$48,G$5,0)</f>
        <v>Mozn 1</v>
      </c>
      <c r="H17" s="665">
        <f>VLOOKUP($C17,'S | 01 '!$C$6:$R$48,H$5,0)</f>
        <v>2021</v>
      </c>
      <c r="I17" s="665" t="str">
        <f>VLOOKUP($C17,'S | 01 '!$C$6:$R$48,I$5,0)</f>
        <v>A (Ordinary Shares)</v>
      </c>
      <c r="J17" s="666">
        <f>VLOOKUP($C17,'S | 01 '!$C$6:$R$48,J$5,0)</f>
        <v>0.03</v>
      </c>
      <c r="K17" s="667">
        <f ca="1">VLOOKUP($C17,'S | 01 '!$C$6:$R$48,K$5,0)</f>
        <v>20</v>
      </c>
      <c r="L17" s="667">
        <f ca="1">VLOOKUP($C17,'S | 01 '!$C$6:$R$48,L$5,0)</f>
        <v>20</v>
      </c>
      <c r="M17" s="667">
        <f ca="1">VLOOKUP($C17,'S | 01 '!$C$6:$R$48,M$5,0)</f>
        <v>24.5</v>
      </c>
      <c r="N17" s="667">
        <f>VLOOKUP($C17,'S | 01 '!$C$6:$R$48,N$5,0)</f>
        <v>0</v>
      </c>
      <c r="O17" s="667">
        <f ca="1">VLOOKUP($C17,'S | 01 '!$C$6:$R$48,O$5,0)</f>
        <v>4.5</v>
      </c>
      <c r="P17" s="667">
        <v>0</v>
      </c>
      <c r="Q17" s="666">
        <f>VLOOKUP($C17,'S | 01 '!$C$6:$R$48,Q$5,0)</f>
        <v>9.8824506998062139E-2</v>
      </c>
      <c r="R17" s="668">
        <f ca="1">VLOOKUP($C17,'S | 01 '!$C$6:$R$48,R$5,0)</f>
        <v>1.2250000000000001</v>
      </c>
      <c r="S17" s="667">
        <f>VLOOKUP($C17,'S | 01 '!$C$6:$R$48,S$5,0)</f>
        <v>0</v>
      </c>
      <c r="T17" s="664" t="s">
        <v>650</v>
      </c>
      <c r="U17" s="98"/>
    </row>
    <row r="18" spans="2:21" x14ac:dyDescent="0.25">
      <c r="B18" s="97"/>
      <c r="C18" s="662" t="s">
        <v>43</v>
      </c>
      <c r="D18" s="663" t="s">
        <v>321</v>
      </c>
      <c r="E18" s="664" t="str">
        <f>VLOOKUP($C18,'S | 01 '!$C$6:$R$48,E$5,0)</f>
        <v>Realized</v>
      </c>
      <c r="F18" s="664" t="str">
        <f>VLOOKUP($C18,'S | 01 '!$C$6:$R$48,F$5,0)</f>
        <v>Ignasi</v>
      </c>
      <c r="G18" s="664" t="str">
        <f>VLOOKUP($C18,'S | 01 '!$C$6:$R$48,G$5,0)</f>
        <v>Mozn</v>
      </c>
      <c r="H18" s="665">
        <f>VLOOKUP($C18,'S | 01 '!$C$6:$R$48,H$5,0)</f>
        <v>2021</v>
      </c>
      <c r="I18" s="665" t="str">
        <f>VLOOKUP($C18,'S | 01 '!$C$6:$R$48,I$5,0)</f>
        <v xml:space="preserve">B Prefs </v>
      </c>
      <c r="J18" s="666">
        <f>VLOOKUP($C18,'S | 01 '!$C$6:$R$48,J$5,0)</f>
        <v>1.1489405791845828E-2</v>
      </c>
      <c r="K18" s="667">
        <f ca="1">VLOOKUP($C18,'S | 01 '!$C$6:$R$48,K$5,0)</f>
        <v>5.0237201984774336</v>
      </c>
      <c r="L18" s="667">
        <f ca="1">VLOOKUP($C18,'S | 01 '!$C$6:$R$48,L$5,0)</f>
        <v>5.0237201984774336</v>
      </c>
      <c r="M18" s="667">
        <f ca="1">VLOOKUP($C18,'S | 01 '!$C$6:$R$48,M$5,0)</f>
        <v>7.9421925299999989</v>
      </c>
      <c r="N18" s="667">
        <f>VLOOKUP($C18,'S | 01 '!$C$6:$R$48,N$5,0)</f>
        <v>0</v>
      </c>
      <c r="O18" s="667">
        <f ca="1">VLOOKUP($C18,'S | 01 '!$C$6:$R$48,O$5,0)</f>
        <v>2.9184723315225654</v>
      </c>
      <c r="P18" s="667">
        <v>1.6721788054421767</v>
      </c>
      <c r="Q18" s="666">
        <f>VLOOKUP($C18,'S | 01 '!$C$6:$R$48,Q$5,0)</f>
        <v>0.32803497910499579</v>
      </c>
      <c r="R18" s="668">
        <f ca="1">VLOOKUP($C18,'S | 01 '!$C$6:$R$48,R$5,0)</f>
        <v>1.5809384711368046</v>
      </c>
      <c r="S18" s="667">
        <f>VLOOKUP($C18,'S | 01 '!$C$6:$R$48,S$5,0)</f>
        <v>0</v>
      </c>
      <c r="T18" s="664" t="s">
        <v>650</v>
      </c>
      <c r="U18" s="98"/>
    </row>
    <row r="19" spans="2:21" x14ac:dyDescent="0.25">
      <c r="B19" s="97"/>
      <c r="C19" s="4" t="s">
        <v>41</v>
      </c>
      <c r="D19" s="51" t="s">
        <v>321</v>
      </c>
      <c r="E19" s="2" t="str">
        <f>VLOOKUP($C19,'S | 01 '!$C$6:$R$48,E$5,0)</f>
        <v>Unrealized</v>
      </c>
      <c r="F19" s="2" t="str">
        <f>VLOOKUP($C19,'S | 01 '!$C$6:$R$48,F$5,0)</f>
        <v>Ignasi</v>
      </c>
      <c r="G19" s="2" t="str">
        <f>VLOOKUP($C19,'S | 01 '!$C$6:$R$48,G$5,0)</f>
        <v>Mozn</v>
      </c>
      <c r="H19" s="6">
        <f>VLOOKUP($C19,'S | 01 '!$C$6:$R$48,H$5,0)</f>
        <v>2021</v>
      </c>
      <c r="I19" s="6" t="str">
        <f>VLOOKUP($C19,'S | 01 '!$C$6:$R$48,I$5,0)</f>
        <v>F Prefs</v>
      </c>
      <c r="J19" s="125">
        <f>VLOOKUP($C19,'S | 01 '!$C$6:$R$48,J$5,0)</f>
        <v>9.117206771726628E-3</v>
      </c>
      <c r="K19" s="17">
        <f ca="1">VLOOKUP($C19,'S | 01 '!$C$6:$R$48,K$5,0)</f>
        <v>39.999983359999995</v>
      </c>
      <c r="L19" s="17">
        <f ca="1">VLOOKUP($C19,'S | 01 '!$C$6:$R$48,L$5,0)</f>
        <v>39.999983359999995</v>
      </c>
      <c r="M19" s="17">
        <f ca="1">VLOOKUP($C19,'S | 01 '!$C$6:$R$48,M$5,0)</f>
        <v>0</v>
      </c>
      <c r="N19" s="17">
        <f>VLOOKUP($C19,'S | 01 '!$C$6:$R$48,N$5,0)</f>
        <v>39.999983359999995</v>
      </c>
      <c r="O19" s="17">
        <f ca="1">VLOOKUP($C19,'S | 01 '!$C$6:$R$48,O$5,0)</f>
        <v>0</v>
      </c>
      <c r="P19" s="17">
        <v>0</v>
      </c>
      <c r="Q19" s="125">
        <f>VLOOKUP($C19,'S | 01 '!$C$6:$R$48,Q$5,0)</f>
        <v>2.9802322387695314E-9</v>
      </c>
      <c r="R19" s="10">
        <f ca="1">VLOOKUP($C19,'S | 01 '!$C$6:$R$48,R$5,0)</f>
        <v>1</v>
      </c>
      <c r="S19" s="17">
        <f>VLOOKUP($C19,'S | 01 '!$C$6:$R$48,S$5,0)</f>
        <v>0</v>
      </c>
      <c r="T19" s="2"/>
      <c r="U19" s="98"/>
    </row>
    <row r="20" spans="2:21" x14ac:dyDescent="0.25">
      <c r="B20" s="97"/>
      <c r="C20" s="4" t="s">
        <v>42</v>
      </c>
      <c r="D20" s="51" t="s">
        <v>321</v>
      </c>
      <c r="E20" s="2" t="str">
        <f>VLOOKUP($C20,'S | 01 '!$C$6:$R$48,E$5,0)</f>
        <v>Unrealized</v>
      </c>
      <c r="F20" s="2" t="str">
        <f>VLOOKUP($C20,'S | 01 '!$C$6:$R$48,F$5,0)</f>
        <v>Sushil</v>
      </c>
      <c r="G20" s="2" t="str">
        <f>VLOOKUP($C20,'S | 01 '!$C$6:$R$48,G$5,0)</f>
        <v>Mozn</v>
      </c>
      <c r="H20" s="6">
        <f>VLOOKUP($C20,'S | 01 '!$C$6:$R$48,H$5,0)</f>
        <v>2021</v>
      </c>
      <c r="I20" s="6" t="str">
        <f>VLOOKUP($C20,'S | 01 '!$C$6:$R$48,I$5,0)</f>
        <v>A Pref Units</v>
      </c>
      <c r="J20" s="125">
        <f>VLOOKUP($C20,'S | 01 '!$C$6:$R$48,J$5,0)</f>
        <v>0.16080402010050251</v>
      </c>
      <c r="K20" s="17">
        <f ca="1">VLOOKUP($C20,'S | 01 '!$C$6:$R$48,K$5,0)</f>
        <v>8</v>
      </c>
      <c r="L20" s="17">
        <f ca="1">VLOOKUP($C20,'S | 01 '!$C$6:$R$48,L$5,0)</f>
        <v>8</v>
      </c>
      <c r="M20" s="17">
        <f ca="1">VLOOKUP($C20,'S | 01 '!$C$6:$R$48,M$5,0)</f>
        <v>0</v>
      </c>
      <c r="N20" s="17">
        <f>VLOOKUP($C20,'S | 01 '!$C$6:$R$48,N$5,0)</f>
        <v>8</v>
      </c>
      <c r="O20" s="17">
        <f ca="1">VLOOKUP($C20,'S | 01 '!$C$6:$R$48,O$5,0)</f>
        <v>0</v>
      </c>
      <c r="P20" s="17">
        <v>0</v>
      </c>
      <c r="Q20" s="125">
        <f>VLOOKUP($C20,'S | 01 '!$C$6:$R$48,Q$5,0)</f>
        <v>2.9802322387695314E-9</v>
      </c>
      <c r="R20" s="10">
        <f ca="1">VLOOKUP($C20,'S | 01 '!$C$6:$R$48,R$5,0)</f>
        <v>1</v>
      </c>
      <c r="S20" s="17">
        <f>VLOOKUP($C20,'S | 01 '!$C$6:$R$48,S$5,0)</f>
        <v>0</v>
      </c>
      <c r="T20" s="2"/>
      <c r="U20" s="98"/>
    </row>
    <row r="21" spans="2:21" x14ac:dyDescent="0.25">
      <c r="B21" s="97"/>
      <c r="C21" s="662" t="s">
        <v>40</v>
      </c>
      <c r="D21" s="663" t="s">
        <v>321</v>
      </c>
      <c r="E21" s="664" t="str">
        <f>VLOOKUP($C21,'S | 01 '!$C$6:$R$48,E$5,0)</f>
        <v>Realized</v>
      </c>
      <c r="F21" s="664" t="str">
        <f>VLOOKUP($C21,'S | 01 '!$C$6:$R$48,F$5,0)</f>
        <v>Sushil</v>
      </c>
      <c r="G21" s="664" t="str">
        <f>VLOOKUP($C21,'S | 01 '!$C$6:$R$48,G$5,0)</f>
        <v>Mozn</v>
      </c>
      <c r="H21" s="665">
        <f>VLOOKUP($C21,'S | 01 '!$C$6:$R$48,H$5,0)</f>
        <v>2020</v>
      </c>
      <c r="I21" s="665" t="str">
        <f>VLOOKUP($C21,'S | 01 '!$C$6:$R$48,I$5,0)</f>
        <v>Convertible Note</v>
      </c>
      <c r="J21" s="666" t="str">
        <f>VLOOKUP($C21,'S | 01 '!$C$6:$R$48,J$5,0)</f>
        <v>n/a</v>
      </c>
      <c r="K21" s="667">
        <f ca="1">VLOOKUP($C21,'S | 01 '!$C$6:$R$48,K$5,0)</f>
        <v>2.5</v>
      </c>
      <c r="L21" s="667">
        <f ca="1">VLOOKUP($C21,'S | 01 '!$C$6:$R$48,L$5,0)</f>
        <v>2.5</v>
      </c>
      <c r="M21" s="667">
        <f ca="1">VLOOKUP($C21,'S | 01 '!$C$6:$R$48,M$5,0)</f>
        <v>5</v>
      </c>
      <c r="N21" s="667">
        <f>VLOOKUP($C21,'S | 01 '!$C$6:$R$48,N$5,0)</f>
        <v>0</v>
      </c>
      <c r="O21" s="667">
        <f ca="1">VLOOKUP($C21,'S | 01 '!$C$6:$R$48,O$5,0)</f>
        <v>2.5</v>
      </c>
      <c r="P21" s="667">
        <v>2.5</v>
      </c>
      <c r="Q21" s="666">
        <f>VLOOKUP($C21,'S | 01 '!$C$6:$R$48,Q$5,0)</f>
        <v>0.36091765761375438</v>
      </c>
      <c r="R21" s="668">
        <f ca="1">VLOOKUP($C21,'S | 01 '!$C$6:$R$48,R$5,0)</f>
        <v>2</v>
      </c>
      <c r="S21" s="667">
        <f>VLOOKUP($C21,'S | 01 '!$C$6:$R$48,S$5,0)</f>
        <v>0</v>
      </c>
      <c r="T21" s="664" t="s">
        <v>650</v>
      </c>
      <c r="U21" s="98"/>
    </row>
    <row r="22" spans="2:21" x14ac:dyDescent="0.25">
      <c r="B22" s="97"/>
      <c r="C22" s="4" t="s">
        <v>9</v>
      </c>
      <c r="D22" s="51" t="s">
        <v>321</v>
      </c>
      <c r="E22" s="2" t="str">
        <f>VLOOKUP($C22,'S | 01 '!$C$6:$R$48,E$5,0)</f>
        <v>Unrealized</v>
      </c>
      <c r="F22" s="2" t="str">
        <f>VLOOKUP($C22,'S | 01 '!$C$6:$R$48,F$5,0)</f>
        <v>Elaine</v>
      </c>
      <c r="G22" s="2" t="str">
        <f>VLOOKUP($C22,'S | 01 '!$C$6:$R$48,G$5,0)</f>
        <v>Mozn</v>
      </c>
      <c r="H22" s="6">
        <f>VLOOKUP($C22,'S | 01 '!$C$6:$R$48,H$5,0)</f>
        <v>2020</v>
      </c>
      <c r="I22" s="6" t="str">
        <f>VLOOKUP($C22,'S | 01 '!$C$6:$R$48,I$5,0)</f>
        <v>Registered Capital</v>
      </c>
      <c r="J22" s="125">
        <f>VLOOKUP($C22,'S | 01 '!$C$6:$R$48,J$5,0)</f>
        <v>0.14380000000000001</v>
      </c>
      <c r="K22" s="17">
        <f ca="1">VLOOKUP($C22,'S | 01 '!$C$6:$R$48,K$5,0)</f>
        <v>60</v>
      </c>
      <c r="L22" s="17">
        <f ca="1">VLOOKUP($C22,'S | 01 '!$C$6:$R$48,L$5,0)</f>
        <v>60</v>
      </c>
      <c r="M22" s="17">
        <f ca="1">VLOOKUP($C22,'S | 01 '!$C$6:$R$48,M$5,0)</f>
        <v>0</v>
      </c>
      <c r="N22" s="17">
        <f>VLOOKUP($C22,'S | 01 '!$C$6:$R$48,N$5,0)</f>
        <v>148.0498412781194</v>
      </c>
      <c r="O22" s="17">
        <f ca="1">VLOOKUP($C22,'S | 01 '!$C$6:$R$48,O$5,0)</f>
        <v>88.049841278119402</v>
      </c>
      <c r="P22" s="17">
        <v>96.4</v>
      </c>
      <c r="Q22" s="125">
        <f>VLOOKUP($C22,'S | 01 '!$C$6:$R$48,Q$5,0)</f>
        <v>0.32075323462486283</v>
      </c>
      <c r="R22" s="10">
        <f ca="1">VLOOKUP($C22,'S | 01 '!$C$6:$R$48,R$5,0)</f>
        <v>2.4674973546353232</v>
      </c>
      <c r="S22" s="17">
        <f>VLOOKUP($C22,'S | 01 '!$C$6:$R$48,S$5,0)</f>
        <v>0</v>
      </c>
      <c r="T22" s="2"/>
      <c r="U22" s="98"/>
    </row>
    <row r="23" spans="2:21" x14ac:dyDescent="0.25">
      <c r="B23" s="97"/>
      <c r="C23" s="4" t="s">
        <v>38</v>
      </c>
      <c r="D23" s="51" t="s">
        <v>321</v>
      </c>
      <c r="E23" s="2" t="str">
        <f>VLOOKUP($C23,'S | 01 '!$C$6:$R$48,E$5,0)</f>
        <v>Unrealized</v>
      </c>
      <c r="F23" s="2" t="str">
        <f>VLOOKUP($C23,'S | 01 '!$C$6:$R$48,F$5,0)</f>
        <v>Divyesh</v>
      </c>
      <c r="G23" s="2" t="str">
        <f>VLOOKUP($C23,'S | 01 '!$C$6:$R$48,G$5,0)</f>
        <v>Mozn</v>
      </c>
      <c r="H23" s="6">
        <f>VLOOKUP($C23,'S | 01 '!$C$6:$R$48,H$5,0)</f>
        <v>2020</v>
      </c>
      <c r="I23" s="6" t="str">
        <f>VLOOKUP($C23,'S | 01 '!$C$6:$R$48,I$5,0)</f>
        <v>C Prefs</v>
      </c>
      <c r="J23" s="125">
        <f>VLOOKUP($C23,'S | 01 '!$C$6:$R$48,J$5,0)</f>
        <v>9.4347728005070269E-2</v>
      </c>
      <c r="K23" s="17">
        <f ca="1">VLOOKUP($C23,'S | 01 '!$C$6:$R$48,K$5,0)</f>
        <v>90</v>
      </c>
      <c r="L23" s="17">
        <f ca="1">VLOOKUP($C23,'S | 01 '!$C$6:$R$48,L$5,0)</f>
        <v>90</v>
      </c>
      <c r="M23" s="17">
        <f ca="1">VLOOKUP($C23,'S | 01 '!$C$6:$R$48,M$5,0)</f>
        <v>0</v>
      </c>
      <c r="N23" s="17">
        <f>VLOOKUP($C23,'S | 01 '!$C$6:$R$48,N$5,0)</f>
        <v>91.001540300000002</v>
      </c>
      <c r="O23" s="17">
        <f ca="1">VLOOKUP($C23,'S | 01 '!$C$6:$R$48,O$5,0)</f>
        <v>1.001540300000002</v>
      </c>
      <c r="P23" s="17">
        <v>1.042</v>
      </c>
      <c r="Q23" s="125">
        <f>VLOOKUP($C23,'S | 01 '!$C$6:$R$48,Q$5,0)</f>
        <v>2.8967589139938356E-3</v>
      </c>
      <c r="R23" s="10">
        <f ca="1">VLOOKUP($C23,'S | 01 '!$C$6:$R$48,R$5,0)</f>
        <v>1.0111282255555556</v>
      </c>
      <c r="S23" s="17">
        <f>VLOOKUP($C23,'S | 01 '!$C$6:$R$48,S$5,0)</f>
        <v>0</v>
      </c>
      <c r="T23" s="2"/>
      <c r="U23" s="98"/>
    </row>
    <row r="24" spans="2:21" x14ac:dyDescent="0.25">
      <c r="B24" s="97"/>
      <c r="C24" s="4" t="s">
        <v>88</v>
      </c>
      <c r="D24" s="51" t="s">
        <v>321</v>
      </c>
      <c r="E24" s="2" t="str">
        <f>VLOOKUP($C24,'S | 01 '!$C$6:$R$48,E$5,0)</f>
        <v>Unrealized</v>
      </c>
      <c r="F24" s="2" t="str">
        <f>VLOOKUP($C24,'S | 01 '!$C$6:$R$48,F$5,0)</f>
        <v>Divyesh</v>
      </c>
      <c r="G24" s="2" t="str">
        <f>VLOOKUP($C24,'S | 01 '!$C$6:$R$48,G$5,0)</f>
        <v>Mozn</v>
      </c>
      <c r="H24" s="6">
        <f>VLOOKUP($C24,'S | 01 '!$C$6:$R$48,H$5,0)</f>
        <v>2020</v>
      </c>
      <c r="I24" s="6" t="str">
        <f>VLOOKUP($C24,'S | 01 '!$C$6:$R$48,I$5,0)</f>
        <v>Ordinary Shares</v>
      </c>
      <c r="J24" s="125">
        <f>VLOOKUP($C24,'S | 01 '!$C$6:$R$48,J$5,0)</f>
        <v>5.1651565402323088E-2</v>
      </c>
      <c r="K24" s="17">
        <f ca="1">VLOOKUP($C24,'S | 01 '!$C$6:$R$48,K$5,0)</f>
        <v>141.4702596743665</v>
      </c>
      <c r="L24" s="17">
        <f ca="1">VLOOKUP($C24,'S | 01 '!$C$6:$R$48,L$5,0)</f>
        <v>141.4702596743665</v>
      </c>
      <c r="M24" s="17">
        <f ca="1">VLOOKUP($C24,'S | 01 '!$C$6:$R$48,M$5,0)</f>
        <v>0</v>
      </c>
      <c r="N24" s="17">
        <f>VLOOKUP($C24,'S | 01 '!$C$6:$R$48,N$5,0)</f>
        <v>74.432454495000002</v>
      </c>
      <c r="O24" s="17">
        <f ca="1">VLOOKUP($C24,'S | 01 '!$C$6:$R$48,O$5,0)</f>
        <v>-67.037805179366501</v>
      </c>
      <c r="P24" s="17">
        <v>-9.8450000000000006</v>
      </c>
      <c r="Q24" s="125">
        <f>VLOOKUP($C24,'S | 01 '!$C$6:$R$48,Q$5,0)</f>
        <v>-0.15868046693503857</v>
      </c>
      <c r="R24" s="10">
        <f ca="1">VLOOKUP($C24,'S | 01 '!$C$6:$R$48,R$5,0)</f>
        <v>0.52613499590887292</v>
      </c>
      <c r="S24" s="17">
        <f>VLOOKUP($C24,'S | 01 '!$C$6:$R$48,S$5,0)</f>
        <v>0</v>
      </c>
      <c r="T24" s="2"/>
      <c r="U24" s="98"/>
    </row>
    <row r="25" spans="2:21" ht="17.25" x14ac:dyDescent="0.25">
      <c r="B25" s="97"/>
      <c r="C25" s="4" t="s">
        <v>39</v>
      </c>
      <c r="D25" s="51" t="s">
        <v>321</v>
      </c>
      <c r="E25" s="2" t="str">
        <f>VLOOKUP($C25,'S | 01 '!$C$6:$R$48,E$5,0)</f>
        <v>Unrealized</v>
      </c>
      <c r="F25" s="2" t="str">
        <f>VLOOKUP($C25,'S | 01 '!$C$6:$R$48,F$5,0)</f>
        <v>Sushil</v>
      </c>
      <c r="G25" s="2" t="str">
        <f>VLOOKUP($C25,'S | 01 '!$C$6:$R$48,G$5,0)</f>
        <v>Mozn</v>
      </c>
      <c r="H25" s="6">
        <f>VLOOKUP($C25,'S | 01 '!$C$6:$R$48,H$5,0)</f>
        <v>2019</v>
      </c>
      <c r="I25" s="6" t="str">
        <f>VLOOKUP($C25,'S | 01 '!$C$6:$R$48,I$5,0)</f>
        <v>B-1,2 Prefs</v>
      </c>
      <c r="J25" s="125">
        <f>VLOOKUP($C25,'S | 01 '!$C$6:$R$48,J$5,0)</f>
        <v>8.5025484621212399E-2</v>
      </c>
      <c r="K25" s="17">
        <f ca="1">VLOOKUP($C25,'S | 01 '!$C$6:$R$48,K$5,0)</f>
        <v>10</v>
      </c>
      <c r="L25" s="17">
        <f ca="1">VLOOKUP($C25,'S | 01 '!$C$6:$R$48,L$5,0)</f>
        <v>10</v>
      </c>
      <c r="M25" s="17">
        <f ca="1">VLOOKUP($C25,'S | 01 '!$C$6:$R$48,M$5,0)</f>
        <v>0</v>
      </c>
      <c r="N25" s="17">
        <f>VLOOKUP($C25,'S | 01 '!$C$6:$R$48,N$5,0)</f>
        <v>78.082229999999996</v>
      </c>
      <c r="O25" s="17">
        <f ca="1">VLOOKUP($C25,'S | 01 '!$C$6:$R$48,O$5,0)</f>
        <v>68.082229999999996</v>
      </c>
      <c r="P25" s="17">
        <v>68.099999999999994</v>
      </c>
      <c r="Q25" s="125">
        <f>VLOOKUP($C25,'S | 01 '!$C$6:$R$48,Q$5,0)</f>
        <v>0.58568407893180863</v>
      </c>
      <c r="R25" s="10">
        <f ca="1">VLOOKUP($C25,'S | 01 '!$C$6:$R$48,R$5,0)</f>
        <v>7.8082229999999999</v>
      </c>
      <c r="S25" s="17">
        <f>VLOOKUP($C25,'S | 01 '!$C$6:$R$48,S$5,0)</f>
        <v>0</v>
      </c>
      <c r="T25" s="2" t="s">
        <v>150</v>
      </c>
      <c r="U25" s="98"/>
    </row>
    <row r="26" spans="2:21" x14ac:dyDescent="0.25">
      <c r="B26" s="97"/>
      <c r="C26" s="662" t="s">
        <v>0</v>
      </c>
      <c r="D26" s="663" t="s">
        <v>321</v>
      </c>
      <c r="E26" s="664" t="str">
        <f>VLOOKUP($C26,'S | 01 '!$C$6:$R$48,E$5,0)</f>
        <v>Written-off</v>
      </c>
      <c r="F26" s="664" t="str">
        <f>VLOOKUP($C26,'S | 01 '!$C$6:$R$48,F$5,0)</f>
        <v>Elaine</v>
      </c>
      <c r="G26" s="664" t="str">
        <f>VLOOKUP($C26,'S | 01 '!$C$6:$R$48,G$5,0)</f>
        <v>Mozn</v>
      </c>
      <c r="H26" s="665">
        <f>VLOOKUP($C26,'S | 01 '!$C$6:$R$48,H$5,0)</f>
        <v>2019</v>
      </c>
      <c r="I26" s="665" t="str">
        <f>VLOOKUP($C26,'S | 01 '!$C$6:$R$48,I$5,0)</f>
        <v>B Prefs</v>
      </c>
      <c r="J26" s="666">
        <f>VLOOKUP($C26,'S | 01 '!$C$6:$R$48,J$5,0)</f>
        <v>0.14000000235296001</v>
      </c>
      <c r="K26" s="667">
        <f ca="1">VLOOKUP($C26,'S | 01 '!$C$6:$R$48,K$5,0)</f>
        <v>8</v>
      </c>
      <c r="L26" s="667">
        <f ca="1">VLOOKUP($C26,'S | 01 '!$C$6:$R$48,L$5,0)</f>
        <v>8</v>
      </c>
      <c r="M26" s="667">
        <f ca="1">VLOOKUP($C26,'S | 01 '!$C$6:$R$48,M$5,0)</f>
        <v>0</v>
      </c>
      <c r="N26" s="667">
        <f>VLOOKUP($C26,'S | 01 '!$C$6:$R$48,N$5,0)</f>
        <v>0</v>
      </c>
      <c r="O26" s="667">
        <f ca="1">VLOOKUP($C26,'S | 01 '!$C$6:$R$48,O$5,0)</f>
        <v>-8</v>
      </c>
      <c r="P26" s="667">
        <v>-8</v>
      </c>
      <c r="Q26" s="666" t="str">
        <f>VLOOKUP($C26,'S | 01 '!$C$6:$R$48,Q$5,0)</f>
        <v>NM</v>
      </c>
      <c r="R26" s="668">
        <f ca="1">VLOOKUP($C26,'S | 01 '!$C$6:$R$48,R$5,0)</f>
        <v>0</v>
      </c>
      <c r="S26" s="667">
        <f>VLOOKUP($C26,'S | 01 '!$C$6:$R$48,S$5,0)</f>
        <v>0</v>
      </c>
      <c r="T26" s="664" t="s">
        <v>483</v>
      </c>
      <c r="U26" s="98"/>
    </row>
    <row r="27" spans="2:21" x14ac:dyDescent="0.25">
      <c r="B27" s="97"/>
      <c r="C27" s="662" t="s">
        <v>49</v>
      </c>
      <c r="D27" s="663" t="s">
        <v>322</v>
      </c>
      <c r="E27" s="664" t="str">
        <f>VLOOKUP($C27,'S | 01 '!$C$6:$R$48,E$5,0)</f>
        <v>Written-off</v>
      </c>
      <c r="F27" s="664" t="str">
        <f>VLOOKUP($C27,'S | 01 '!$C$6:$R$48,F$5,0)</f>
        <v xml:space="preserve">Marty </v>
      </c>
      <c r="G27" s="664" t="str">
        <f>VLOOKUP($C27,'S | 01 '!$C$6:$R$48,G$5,0)</f>
        <v>Mozn</v>
      </c>
      <c r="H27" s="665">
        <f>VLOOKUP($C27,'S | 01 '!$C$6:$R$48,H$5,0)</f>
        <v>2019</v>
      </c>
      <c r="I27" s="665" t="str">
        <f>VLOOKUP($C27,'S | 01 '!$C$6:$R$48,I$5,0)</f>
        <v>Promissory Note</v>
      </c>
      <c r="J27" s="666" t="str">
        <f>VLOOKUP($C27,'S | 01 '!$C$6:$R$48,J$5,0)</f>
        <v>n/a</v>
      </c>
      <c r="K27" s="667">
        <f>VLOOKUP($C27,'S | 01 '!$C$6:$R$48,K$5,0)</f>
        <v>8</v>
      </c>
      <c r="L27" s="667">
        <f>VLOOKUP($C27,'S | 01 '!$C$6:$R$48,L$5,0)</f>
        <v>8</v>
      </c>
      <c r="M27" s="667">
        <f>VLOOKUP($C27,'S | 01 '!$C$6:$R$48,M$5,0)</f>
        <v>0</v>
      </c>
      <c r="N27" s="667">
        <f>VLOOKUP($C27,'S | 01 '!$C$6:$R$48,N$5,0)</f>
        <v>0</v>
      </c>
      <c r="O27" s="667">
        <f>VLOOKUP($C27,'S | 01 '!$C$6:$R$48,O$5,0)</f>
        <v>-8</v>
      </c>
      <c r="P27" s="667">
        <v>-8</v>
      </c>
      <c r="Q27" s="666" t="str">
        <f>VLOOKUP($C27,'S | 01 '!$C$6:$R$48,Q$5,0)</f>
        <v>NM</v>
      </c>
      <c r="R27" s="668">
        <f>VLOOKUP($C27,'S | 01 '!$C$6:$R$48,R$5,0)</f>
        <v>0</v>
      </c>
      <c r="S27" s="667">
        <f>VLOOKUP($C27,'S | 01 '!$C$6:$R$48,S$5,0)</f>
        <v>0</v>
      </c>
      <c r="T27" s="664" t="str">
        <f>VLOOKUP($C27,'S | 01 '!$C$6:$R$48,T$5,0)</f>
        <v>In Default</v>
      </c>
      <c r="U27" s="98"/>
    </row>
    <row r="28" spans="2:21" x14ac:dyDescent="0.25">
      <c r="B28" s="97"/>
      <c r="C28" s="662" t="s">
        <v>48</v>
      </c>
      <c r="D28" s="663" t="s">
        <v>321</v>
      </c>
      <c r="E28" s="664" t="str">
        <f>VLOOKUP($C28,'S | 01 '!$C$6:$R$48,E$5,0)</f>
        <v>Written-off</v>
      </c>
      <c r="F28" s="664" t="str">
        <f>VLOOKUP($C28,'S | 01 '!$C$6:$R$48,F$5,0)</f>
        <v>Elaine</v>
      </c>
      <c r="G28" s="664" t="str">
        <f>VLOOKUP($C28,'S | 01 '!$C$6:$R$48,G$5,0)</f>
        <v>Mozn</v>
      </c>
      <c r="H28" s="665">
        <f>VLOOKUP($C28,'S | 01 '!$C$6:$R$48,H$5,0)</f>
        <v>2019</v>
      </c>
      <c r="I28" s="665" t="str">
        <f>VLOOKUP($C28,'S | 01 '!$C$6:$R$48,I$5,0)</f>
        <v>C+ Prefs</v>
      </c>
      <c r="J28" s="666">
        <f>VLOOKUP($C28,'S | 01 '!$C$6:$R$48,J$5,0)</f>
        <v>5.6999998161926343E-2</v>
      </c>
      <c r="K28" s="667">
        <f ca="1">VLOOKUP($C28,'S | 01 '!$C$6:$R$48,K$5,0)</f>
        <v>65</v>
      </c>
      <c r="L28" s="667">
        <f ca="1">VLOOKUP($C28,'S | 01 '!$C$6:$R$48,L$5,0)</f>
        <v>65</v>
      </c>
      <c r="M28" s="667">
        <f ca="1">VLOOKUP($C28,'S | 01 '!$C$6:$R$48,M$5,0)</f>
        <v>0</v>
      </c>
      <c r="N28" s="667">
        <f>VLOOKUP($C28,'S | 01 '!$C$6:$R$48,N$5,0)</f>
        <v>0</v>
      </c>
      <c r="O28" s="667">
        <f ca="1">VLOOKUP($C28,'S | 01 '!$C$6:$R$48,O$5,0)</f>
        <v>-65</v>
      </c>
      <c r="P28" s="667">
        <v>-65</v>
      </c>
      <c r="Q28" s="666" t="str">
        <f>VLOOKUP($C28,'S | 01 '!$C$6:$R$48,Q$5,0)</f>
        <v>NM</v>
      </c>
      <c r="R28" s="668">
        <f ca="1">VLOOKUP($C28,'S | 01 '!$C$6:$R$48,R$5,0)</f>
        <v>0</v>
      </c>
      <c r="S28" s="667">
        <f>VLOOKUP($C28,'S | 01 '!$C$6:$R$48,S$5,0)</f>
        <v>0</v>
      </c>
      <c r="T28" s="664" t="str">
        <f>VLOOKUP($C28,'S | 01 '!$C$6:$R$48,T$5,0)</f>
        <v>In Liquidation</v>
      </c>
      <c r="U28" s="98"/>
    </row>
    <row r="29" spans="2:21" x14ac:dyDescent="0.25">
      <c r="B29" s="97"/>
      <c r="C29" s="5"/>
      <c r="D29" s="13"/>
      <c r="E29" s="7"/>
      <c r="F29" s="7"/>
      <c r="G29" s="7"/>
      <c r="H29" s="7"/>
      <c r="I29" s="14"/>
      <c r="J29" s="284"/>
      <c r="K29" s="24"/>
      <c r="L29" s="24"/>
      <c r="M29" s="24"/>
      <c r="N29" s="24"/>
      <c r="O29" s="24"/>
      <c r="P29" s="24"/>
      <c r="Q29" s="284"/>
      <c r="R29" s="15"/>
      <c r="S29" s="24"/>
      <c r="T29" s="308"/>
      <c r="U29" s="98"/>
    </row>
    <row r="30" spans="2:21" x14ac:dyDescent="0.25">
      <c r="B30" s="97"/>
      <c r="C30" s="9"/>
      <c r="D30" s="9"/>
      <c r="E30" s="9"/>
      <c r="F30" s="9"/>
      <c r="G30" s="9"/>
      <c r="H30" s="9"/>
      <c r="I30" s="9"/>
      <c r="J30" s="128"/>
      <c r="K30" s="18">
        <f ca="1">SUM(K9:K28)</f>
        <v>1005.2675403728439</v>
      </c>
      <c r="L30" s="18">
        <f ca="1">SUM(L9:L28)</f>
        <v>1001.7675403728439</v>
      </c>
      <c r="M30" s="18">
        <f ca="1">SUM(M9:M28)</f>
        <v>440.91297717999998</v>
      </c>
      <c r="N30" s="18">
        <f ca="1">SUM(N9:N28)</f>
        <v>507.95416991311936</v>
      </c>
      <c r="O30" s="18">
        <f ca="1">N30+M30-L30</f>
        <v>-52.90039327972454</v>
      </c>
      <c r="P30" s="18">
        <f>SUM(P9:P28)</f>
        <v>14.537198455442166</v>
      </c>
      <c r="Q30" s="21">
        <f ca="1">'5. Mozn-IRR'!L16</f>
        <v>-2.0768167823553087E-2</v>
      </c>
      <c r="R30" s="11">
        <f ca="1">(M30+N30)/L30</f>
        <v>0.94719294532139087</v>
      </c>
      <c r="S30" s="18">
        <f ca="1">SUM(S9:S28)</f>
        <v>3.5</v>
      </c>
      <c r="T30" s="9"/>
      <c r="U30" s="98"/>
    </row>
    <row r="31" spans="2:21" s="96" customFormat="1" x14ac:dyDescent="0.25">
      <c r="B31" s="94"/>
      <c r="C31" s="243"/>
      <c r="D31" s="243"/>
      <c r="E31" s="243"/>
      <c r="F31" s="243"/>
      <c r="G31" s="243"/>
      <c r="H31" s="243"/>
      <c r="I31" s="243"/>
      <c r="J31" s="127"/>
      <c r="K31" s="244"/>
      <c r="L31" s="244"/>
      <c r="M31" s="244"/>
      <c r="N31" s="244"/>
      <c r="O31" s="244"/>
      <c r="P31" s="244"/>
      <c r="Q31" s="137"/>
      <c r="R31" s="245"/>
      <c r="S31" s="244"/>
      <c r="T31" s="243"/>
      <c r="U31" s="95"/>
    </row>
    <row r="32" spans="2:21" x14ac:dyDescent="0.25">
      <c r="B32" s="97"/>
      <c r="C32" s="678" t="s">
        <v>648</v>
      </c>
      <c r="D32" s="579"/>
      <c r="E32" s="580"/>
      <c r="F32" s="580"/>
      <c r="G32" s="580"/>
      <c r="H32" s="580"/>
      <c r="I32" s="581"/>
      <c r="J32" s="582"/>
      <c r="K32" s="583"/>
      <c r="L32" s="583"/>
      <c r="M32" s="583"/>
      <c r="N32" s="583"/>
      <c r="O32" s="583"/>
      <c r="P32" s="583"/>
      <c r="Q32" s="582"/>
      <c r="R32" s="584"/>
      <c r="S32" s="583"/>
      <c r="T32" s="580"/>
      <c r="U32" s="98"/>
    </row>
    <row r="33" spans="2:24" ht="15.75" thickBot="1" x14ac:dyDescent="0.3">
      <c r="B33" s="97"/>
      <c r="C33" s="662" t="s">
        <v>35</v>
      </c>
      <c r="D33" s="663" t="s">
        <v>321</v>
      </c>
      <c r="E33" s="664" t="str">
        <f>VLOOKUP($C33,'S | 01 '!$C$6:$R$48,E$5,0)</f>
        <v>Realized</v>
      </c>
      <c r="F33" s="664" t="str">
        <f>VLOOKUP($C33,'S | 01 '!$C$6:$R$48,F$5,0)</f>
        <v>Elaine</v>
      </c>
      <c r="G33" s="664" t="str">
        <f>VLOOKUP($C33,'S | 01 '!$C$6:$R$48,G$5,0)</f>
        <v>G42 3</v>
      </c>
      <c r="H33" s="665">
        <f>VLOOKUP($C33,'S | 01 '!$C$6:$R$48,H$5,0)</f>
        <v>2022</v>
      </c>
      <c r="I33" s="665" t="str">
        <f>VLOOKUP($C33,'S | 01 '!$C$6:$R$48,I$5,0)</f>
        <v>Equity-TBC</v>
      </c>
      <c r="J33" s="666">
        <f>VLOOKUP($C33,'S | 01 '!$C$6:$R$48,J$5,0)</f>
        <v>1.8823528000000003E-2</v>
      </c>
      <c r="K33" s="667">
        <f ca="1">VLOOKUP($C33,'S | 01 '!$C$6:$R$48,K$5,0)</f>
        <v>800</v>
      </c>
      <c r="L33" s="667">
        <f ca="1">VLOOKUP($C33,'S | 01 '!$C$6:$R$48,L$5,0)</f>
        <v>800</v>
      </c>
      <c r="M33" s="667">
        <f ca="1">VLOOKUP($C33,'S | 01 '!$C$6:$R$48,M$5,0)</f>
        <v>802.8</v>
      </c>
      <c r="N33" s="667">
        <f>VLOOKUP($C33,'S | 01 '!$C$6:$R$48,N$5,0)</f>
        <v>0</v>
      </c>
      <c r="O33" s="667">
        <f ca="1">VLOOKUP($C33,'S | 01 '!$C$6:$R$48,O$5,0)</f>
        <v>2.7999999999999545</v>
      </c>
      <c r="P33" s="667">
        <v>54.67</v>
      </c>
      <c r="Q33" s="666">
        <f>VLOOKUP($C33,'S | 01 '!$C$6:$R$48,Q$5,0)</f>
        <v>2.9359251260757451E-3</v>
      </c>
      <c r="R33" s="668">
        <f ca="1">VLOOKUP($C33,'S | 01 '!$C$6:$R$48,R$5,0)</f>
        <v>1.0034999999999998</v>
      </c>
      <c r="S33" s="667">
        <f ca="1">VLOOKUP($C33,'S | 01 '!$C$6:$R$48,S$5,0)</f>
        <v>0</v>
      </c>
      <c r="T33" s="669"/>
      <c r="U33" s="98"/>
      <c r="W33" s="388" t="s">
        <v>11</v>
      </c>
      <c r="X33" s="388"/>
    </row>
    <row r="34" spans="2:24" ht="17.25" x14ac:dyDescent="0.25">
      <c r="B34" s="97"/>
      <c r="C34" s="4" t="s">
        <v>19</v>
      </c>
      <c r="D34" s="51" t="s">
        <v>321</v>
      </c>
      <c r="E34" s="2" t="str">
        <f>VLOOKUP($C34,'S | 01 '!$C$6:$R$48,E$5,0)</f>
        <v>Unrealized</v>
      </c>
      <c r="F34" s="2" t="str">
        <f>VLOOKUP($C34,'S | 01 '!$C$6:$R$48,F$5,0)</f>
        <v>Anton</v>
      </c>
      <c r="G34" s="2" t="str">
        <f>VLOOKUP($C34,'S | 01 '!$C$6:$R$48,G$5,0)</f>
        <v>G42</v>
      </c>
      <c r="H34" s="6">
        <f>VLOOKUP($C34,'S | 01 '!$C$6:$R$48,H$5,0)</f>
        <v>2022</v>
      </c>
      <c r="I34" s="6" t="str">
        <f>VLOOKUP($C34,'S | 01 '!$C$6:$R$48,I$5,0)</f>
        <v>Equity-TBC</v>
      </c>
      <c r="J34" s="125">
        <f>VLOOKUP($C34,'S | 01 '!$C$6:$R$48,J$5,0)</f>
        <v>0.11141913554582343</v>
      </c>
      <c r="K34" s="17">
        <f ca="1">VLOOKUP($C34,'S | 01 '!$C$6:$R$48,K$5,0)</f>
        <v>300</v>
      </c>
      <c r="L34" s="17">
        <f ca="1">VLOOKUP($C34,'S | 01 '!$C$6:$R$48,L$5,0)</f>
        <v>300</v>
      </c>
      <c r="M34" s="17">
        <f ca="1">VLOOKUP($C34,'S | 01 '!$C$6:$R$48,M$5,0)</f>
        <v>0</v>
      </c>
      <c r="N34" s="17">
        <f>VLOOKUP($C34,'S | 01 '!$C$6:$R$48,N$5,0)</f>
        <v>300</v>
      </c>
      <c r="O34" s="17">
        <f ca="1">VLOOKUP($C34,'S | 01 '!$C$6:$R$48,O$5,0)</f>
        <v>0</v>
      </c>
      <c r="P34" s="17">
        <v>0</v>
      </c>
      <c r="Q34" s="125">
        <f>VLOOKUP($C34,'S | 01 '!$C$6:$R$48,Q$5,0)</f>
        <v>2.9802322387695314E-9</v>
      </c>
      <c r="R34" s="10">
        <f ca="1">VLOOKUP($C34,'S | 01 '!$C$6:$R$48,R$5,0)</f>
        <v>1</v>
      </c>
      <c r="S34" s="17">
        <f>VLOOKUP($C34,'S | 01 '!$C$6:$R$48,S$5,0)</f>
        <v>0</v>
      </c>
      <c r="T34" s="122" t="s">
        <v>151</v>
      </c>
      <c r="U34" s="98"/>
    </row>
    <row r="35" spans="2:24" ht="17.25" x14ac:dyDescent="0.25">
      <c r="B35" s="97"/>
      <c r="C35" s="4" t="s">
        <v>89</v>
      </c>
      <c r="D35" s="51" t="s">
        <v>321</v>
      </c>
      <c r="E35" s="2" t="str">
        <f>VLOOKUP($C35,'S | 01 '!$C$6:$R$48,E$5,0)</f>
        <v>Unrealized</v>
      </c>
      <c r="F35" s="2" t="str">
        <f>VLOOKUP($C35,'S | 01 '!$C$6:$R$48,F$5,0)</f>
        <v>Divyesh</v>
      </c>
      <c r="G35" s="2" t="str">
        <f>VLOOKUP($C35,'S | 01 '!$C$6:$R$48,G$5,0)</f>
        <v>G42</v>
      </c>
      <c r="H35" s="6">
        <f>VLOOKUP($C35,'S | 01 '!$C$6:$R$48,H$5,0)</f>
        <v>2022</v>
      </c>
      <c r="I35" s="6" t="str">
        <f>VLOOKUP($C35,'S | 01 '!$C$6:$R$48,I$5,0)</f>
        <v>Ordinary Shares</v>
      </c>
      <c r="J35" s="125">
        <f>VLOOKUP($C35,'S | 01 '!$C$6:$R$48,J$5,0)</f>
        <v>2.134358174658308E-3</v>
      </c>
      <c r="K35" s="17">
        <f ca="1">VLOOKUP($C35,'S | 01 '!$C$6:$R$48,K$5,0)</f>
        <v>24.53125</v>
      </c>
      <c r="L35" s="17">
        <f ca="1">VLOOKUP($C35,'S | 01 '!$C$6:$R$48,L$5,0)</f>
        <v>24.53125</v>
      </c>
      <c r="M35" s="17">
        <f ca="1">VLOOKUP($C35,'S | 01 '!$C$6:$R$48,M$5,0)</f>
        <v>0</v>
      </c>
      <c r="N35" s="17">
        <f>VLOOKUP($C35,'S | 01 '!$C$6:$R$48,N$5,0)</f>
        <v>4.5569803500000008</v>
      </c>
      <c r="O35" s="17">
        <f ca="1">VLOOKUP($C35,'S | 01 '!$C$6:$R$48,O$5,0)</f>
        <v>-19.97426965</v>
      </c>
      <c r="P35" s="17">
        <v>-1.3480000000000001</v>
      </c>
      <c r="Q35" s="125">
        <f>VLOOKUP($C35,'S | 01 '!$C$6:$R$48,Q$5,0)</f>
        <v>-0.72717607580125321</v>
      </c>
      <c r="R35" s="10">
        <f ca="1">VLOOKUP($C35,'S | 01 '!$C$6:$R$48,R$5,0)</f>
        <v>0.18576225630573251</v>
      </c>
      <c r="S35" s="17">
        <f ca="1">VLOOKUP($C35,'S | 01 '!$C$6:$R$48,S$5,0)</f>
        <v>0</v>
      </c>
      <c r="T35" s="122" t="s">
        <v>171</v>
      </c>
      <c r="U35" s="98"/>
      <c r="W35" s="26" t="s">
        <v>2</v>
      </c>
      <c r="X35" s="496">
        <f ca="1">L42</f>
        <v>1263.4151687813262</v>
      </c>
    </row>
    <row r="36" spans="2:24" x14ac:dyDescent="0.25">
      <c r="B36" s="97"/>
      <c r="C36" s="4" t="s">
        <v>1</v>
      </c>
      <c r="D36" s="51" t="s">
        <v>323</v>
      </c>
      <c r="E36" s="2" t="str">
        <f>VLOOKUP($C36,'S | 01 '!$C$6:$R$48,E$5,0)</f>
        <v>Unrealized</v>
      </c>
      <c r="F36" s="2" t="str">
        <f>VLOOKUP($C36,'S | 01 '!$C$6:$R$48,F$5,0)</f>
        <v>Elaine</v>
      </c>
      <c r="G36" s="2" t="str">
        <f>VLOOKUP($C36,'S | 01 '!$C$6:$R$48,G$5,0)</f>
        <v>G42 Investments</v>
      </c>
      <c r="H36" s="6">
        <f>VLOOKUP($C36,'S | 01 '!$C$6:$R$48,H$5,0)</f>
        <v>2020</v>
      </c>
      <c r="I36" s="6" t="str">
        <f>VLOOKUP($C36,'S | 01 '!$C$6:$R$48,I$5,0)</f>
        <v xml:space="preserve">LP </v>
      </c>
      <c r="J36" s="125" t="str">
        <f>VLOOKUP($C36,'S | 01 '!$C$6:$R$48,J$5,0)</f>
        <v>n/a</v>
      </c>
      <c r="K36" s="17">
        <f ca="1">VLOOKUP($C36,'S | 01 '!$C$6:$R$48,K$5,0)</f>
        <v>83.334352999999979</v>
      </c>
      <c r="L36" s="17">
        <f ca="1">VLOOKUP($C36,'S | 01 '!$C$6:$R$48,L$5,0)</f>
        <v>83.214652999999984</v>
      </c>
      <c r="M36" s="17">
        <f>VLOOKUP($C36,'S | 01 '!$C$6:$R$48,M$5,0)</f>
        <v>7.8158709999999996</v>
      </c>
      <c r="N36" s="17">
        <f>VLOOKUP($C36,'S | 01 '!$C$6:$R$48,N$5,0)</f>
        <v>74.725861000000009</v>
      </c>
      <c r="O36" s="17">
        <f ca="1">VLOOKUP($C36,'S | 01 '!$C$6:$R$48,O$5,0)</f>
        <v>-0.6729209999999739</v>
      </c>
      <c r="P36" s="17">
        <v>-0.30599999999999999</v>
      </c>
      <c r="Q36" s="125">
        <f>VLOOKUP($C36,'S | 01 '!$C$6:$R$48,Q$5,0)</f>
        <v>-2.4627689272165303E-3</v>
      </c>
      <c r="R36" s="10">
        <f ca="1">VLOOKUP($C36,'S | 01 '!$C$6:$R$48,R$5,0)</f>
        <v>0.99191343140011679</v>
      </c>
      <c r="S36" s="17">
        <f>VLOOKUP($C36,'S | 01 '!$C$6:$R$48,S$5,0)</f>
        <v>0.11969999999999459</v>
      </c>
      <c r="T36" s="2"/>
      <c r="U36" s="98"/>
      <c r="W36" s="26" t="s">
        <v>275</v>
      </c>
      <c r="X36" s="496">
        <f ca="1">N42</f>
        <v>410.78240816513915</v>
      </c>
    </row>
    <row r="37" spans="2:24" x14ac:dyDescent="0.25">
      <c r="B37" s="97"/>
      <c r="C37" s="4" t="s">
        <v>124</v>
      </c>
      <c r="D37" s="51" t="s">
        <v>323</v>
      </c>
      <c r="E37" s="2" t="str">
        <f>VLOOKUP($C37,'S | 01 '!$C$6:$R$48,E$5,0)</f>
        <v>Unrealized</v>
      </c>
      <c r="F37" s="2" t="str">
        <f>VLOOKUP($C37,'S | 01 '!$C$6:$R$48,F$5,0)</f>
        <v>Sushil</v>
      </c>
      <c r="G37" s="2" t="str">
        <f>VLOOKUP($C37,'S | 01 '!$C$6:$R$48,G$5,0)</f>
        <v>G42 Investments</v>
      </c>
      <c r="H37" s="6">
        <f>VLOOKUP($C37,'S | 01 '!$C$6:$R$48,H$5,0)</f>
        <v>2020</v>
      </c>
      <c r="I37" s="6" t="str">
        <f>VLOOKUP($C37,'S | 01 '!$C$6:$R$48,I$5,0)</f>
        <v xml:space="preserve">LP </v>
      </c>
      <c r="J37" s="125" t="str">
        <f>VLOOKUP($C37,'S | 01 '!$C$6:$R$48,J$5,0)</f>
        <v>n/a</v>
      </c>
      <c r="K37" s="17">
        <f ca="1">VLOOKUP($C37,'S | 01 '!$C$6:$R$48,K$5,0)</f>
        <v>25.800830036606605</v>
      </c>
      <c r="L37" s="17">
        <f ca="1">VLOOKUP($C37,'S | 01 '!$C$6:$R$48,L$5,0)</f>
        <v>13.988552928385005</v>
      </c>
      <c r="M37" s="17">
        <f>VLOOKUP($C37,'S | 01 '!$C$6:$R$48,M$5,0)</f>
        <v>2.9557743514081998</v>
      </c>
      <c r="N37" s="17">
        <f>VLOOKUP($C37,'S | 01 '!$C$6:$R$48,N$5,0)</f>
        <v>16.078910212171998</v>
      </c>
      <c r="O37" s="17">
        <f ca="1">VLOOKUP($C37,'S | 01 '!$C$6:$R$48,O$5,0)</f>
        <v>5.0461316351951915</v>
      </c>
      <c r="P37" s="17">
        <v>5.4450000000000003</v>
      </c>
      <c r="Q37" s="125">
        <f>VLOOKUP($C37,'S | 01 '!$C$6:$R$48,Q$5,0)</f>
        <v>7.5401434302330039E-2</v>
      </c>
      <c r="R37" s="10">
        <f ca="1">VLOOKUP($C37,'S | 01 '!$C$6:$R$48,R$5,0)</f>
        <v>1.3607329264884709</v>
      </c>
      <c r="S37" s="17">
        <f>VLOOKUP($C37,'S | 01 '!$C$6:$R$48,S$5,0)</f>
        <v>11.8122771082216</v>
      </c>
      <c r="T37" s="2"/>
      <c r="U37" s="98"/>
      <c r="W37" s="26" t="s">
        <v>348</v>
      </c>
      <c r="X37" s="496">
        <f ca="1">O42</f>
        <v>-13.657593914779</v>
      </c>
    </row>
    <row r="38" spans="2:24" x14ac:dyDescent="0.25">
      <c r="B38" s="97"/>
      <c r="C38" s="4" t="s">
        <v>380</v>
      </c>
      <c r="D38" s="51" t="s">
        <v>323</v>
      </c>
      <c r="E38" s="2" t="str">
        <f>VLOOKUP($C38,'S | 01 '!$C$6:$R$48,E$5,0)</f>
        <v>Unrealized</v>
      </c>
      <c r="F38" s="2" t="str">
        <f>VLOOKUP($C38,'S | 01 '!$C$6:$R$48,F$5,0)</f>
        <v>Sushil</v>
      </c>
      <c r="G38" s="2" t="str">
        <f>VLOOKUP($C38,'S | 01 '!$C$6:$R$48,G$5,0)</f>
        <v>G42 Investments</v>
      </c>
      <c r="H38" s="6">
        <f>VLOOKUP($C38,'S | 01 '!$C$6:$R$48,H$5,0)</f>
        <v>2023</v>
      </c>
      <c r="I38" s="6" t="str">
        <f>VLOOKUP($C38,'S | 01 '!$C$6:$R$48,I$5,0)</f>
        <v xml:space="preserve">LP </v>
      </c>
      <c r="J38" s="125" t="str">
        <f>VLOOKUP($C38,'S | 01 '!$C$6:$R$48,J$5,0)</f>
        <v>n/a</v>
      </c>
      <c r="K38" s="17">
        <f>VLOOKUP($C38,'S | 01 '!$C$6:$R$48,K$5,0)</f>
        <v>2.7058823529411762</v>
      </c>
      <c r="L38" s="17">
        <f>VLOOKUP($C38,'S | 01 '!$C$6:$R$48,L$5,0)</f>
        <v>2.7058823529411762</v>
      </c>
      <c r="M38" s="17">
        <f>VLOOKUP($C38,'S | 01 '!$C$6:$R$48,M$5,0)</f>
        <v>0</v>
      </c>
      <c r="N38" s="17">
        <f ca="1">VLOOKUP($C38,'S | 01 '!$C$6:$R$48,N$5,0)</f>
        <v>3.1102316029671613</v>
      </c>
      <c r="O38" s="17">
        <f ca="1">VLOOKUP($C38,'S | 01 '!$C$6:$R$48,O$5,0)</f>
        <v>0.4043492500259851</v>
      </c>
      <c r="P38" s="17">
        <v>0</v>
      </c>
      <c r="Q38" s="125">
        <f>VLOOKUP($C38,'S | 01 '!$C$6:$R$48,Q$5,0)</f>
        <v>0</v>
      </c>
      <c r="R38" s="10">
        <f ca="1">VLOOKUP($C38,'S | 01 '!$C$6:$R$48,R$5,0)</f>
        <v>1.1494334184878641</v>
      </c>
      <c r="S38" s="17">
        <f>VLOOKUP($C38,'S | 01 '!$C$6:$R$48,S$5,0)</f>
        <v>0</v>
      </c>
      <c r="T38" s="113"/>
      <c r="U38" s="98"/>
      <c r="W38" s="26" t="s">
        <v>349</v>
      </c>
      <c r="X38" s="497">
        <f ca="1">O42-P42</f>
        <v>-70.547593914779014</v>
      </c>
    </row>
    <row r="39" spans="2:24" x14ac:dyDescent="0.25">
      <c r="B39" s="97"/>
      <c r="C39" s="662" t="s">
        <v>12</v>
      </c>
      <c r="D39" s="663" t="s">
        <v>323</v>
      </c>
      <c r="E39" s="664" t="str">
        <f>VLOOKUP($C39,'S | 01 '!$C$6:$R$48,E$5,0)</f>
        <v>Realized</v>
      </c>
      <c r="F39" s="664" t="str">
        <f>VLOOKUP($C39,'S | 01 '!$C$6:$R$48,F$5,0)</f>
        <v>Elaine</v>
      </c>
      <c r="G39" s="664" t="str">
        <f>VLOOKUP($C39,'S | 01 '!$C$6:$R$48,G$5,0)</f>
        <v>G42 Investments</v>
      </c>
      <c r="H39" s="665">
        <f>VLOOKUP($C39,'S | 01 '!$C$6:$R$48,H$5,0)</f>
        <v>2020</v>
      </c>
      <c r="I39" s="665" t="str">
        <f>VLOOKUP($C39,'S | 01 '!$C$6:$R$48,I$5,0)</f>
        <v xml:space="preserve">LP </v>
      </c>
      <c r="J39" s="666" t="str">
        <f>VLOOKUP($C39,'S | 01 '!$C$6:$R$48,J$5,0)</f>
        <v>n/a</v>
      </c>
      <c r="K39" s="667">
        <f>VLOOKUP($C39,'S | 01 '!$C$6:$R$48,K$5,0)</f>
        <v>50</v>
      </c>
      <c r="L39" s="667">
        <f ca="1">VLOOKUP($C39,'S | 01 '!$C$6:$R$48,L$5,0)</f>
        <v>24.959693000000001</v>
      </c>
      <c r="M39" s="667">
        <f>VLOOKUP($C39,'S | 01 '!$C$6:$R$48,M$5,0)</f>
        <v>25.403521350000002</v>
      </c>
      <c r="N39" s="667">
        <f>VLOOKUP($C39,'S | 01 '!$C$6:$R$48,N$5,0)</f>
        <v>0</v>
      </c>
      <c r="O39" s="667">
        <f ca="1">VLOOKUP($C39,'S | 01 '!$C$6:$R$48,O$5,0)</f>
        <v>0.44382835000000043</v>
      </c>
      <c r="P39" s="667">
        <v>-1.2649999999999999</v>
      </c>
      <c r="Q39" s="666">
        <f>VLOOKUP($C39,'S | 01 '!$C$6:$R$48,Q$5,0)</f>
        <v>7.6422423124313356E-3</v>
      </c>
      <c r="R39" s="668">
        <f ca="1">VLOOKUP($C39,'S | 01 '!$C$6:$R$48,R$5,0)</f>
        <v>1.0177818032457371</v>
      </c>
      <c r="S39" s="667">
        <f>VLOOKUP($C39,'S | 01 '!$C$6:$R$48,S$5,0)</f>
        <v>0</v>
      </c>
      <c r="T39" s="670"/>
      <c r="U39" s="98"/>
      <c r="W39" s="26" t="s">
        <v>24</v>
      </c>
      <c r="X39" s="261">
        <f ca="1">Q42</f>
        <v>-1.0984978079795836E-2</v>
      </c>
    </row>
    <row r="40" spans="2:24" ht="17.25" x14ac:dyDescent="0.25">
      <c r="B40" s="97"/>
      <c r="C40" s="4" t="s">
        <v>175</v>
      </c>
      <c r="D40" s="51" t="s">
        <v>323</v>
      </c>
      <c r="E40" s="2" t="str">
        <f>VLOOKUP($C40,'S | 01 '!$C$6:$R$48,E$5,0)</f>
        <v>Unrealized</v>
      </c>
      <c r="F40" s="2" t="str">
        <f>VLOOKUP($C40,'S | 01 '!$C$6:$R$48,F$5,0)</f>
        <v>Divyesh</v>
      </c>
      <c r="G40" s="2" t="str">
        <f>VLOOKUP($C40,'S | 01 '!$C$6:$R$48,G$5,0)</f>
        <v>G42 Investments</v>
      </c>
      <c r="H40" s="6">
        <f>VLOOKUP($C40,'S | 01 '!$C$6:$R$48,H$5,0)</f>
        <v>2021</v>
      </c>
      <c r="I40" s="6" t="str">
        <f>VLOOKUP($C40,'S | 01 '!$C$6:$R$48,I$5,0)</f>
        <v xml:space="preserve">LP </v>
      </c>
      <c r="J40" s="125">
        <f>VLOOKUP($C40,'S | 01 '!$C$6:$R$48,J$5,0)</f>
        <v>0.33</v>
      </c>
      <c r="K40" s="17">
        <f>VLOOKUP($C40,'S | 01 '!$C$6:$R$48,K$5,0)</f>
        <v>17.112500000000001</v>
      </c>
      <c r="L40" s="17">
        <f ca="1">VLOOKUP($C40,'S | 01 '!$C$6:$R$48,L$5,0)</f>
        <v>14.0151375</v>
      </c>
      <c r="M40" s="17">
        <f>VLOOKUP($C40,'S | 01 '!$C$6:$R$48,M$5,0)</f>
        <v>0</v>
      </c>
      <c r="N40" s="17">
        <f>VLOOKUP($C40,'S | 01 '!$C$6:$R$48,N$5,0)</f>
        <v>12.310425</v>
      </c>
      <c r="O40" s="17">
        <f ca="1">VLOOKUP($C40,'S | 01 '!$C$6:$R$48,O$5,0)</f>
        <v>-1.7047124999999994</v>
      </c>
      <c r="P40" s="17">
        <v>-0.30599999999999999</v>
      </c>
      <c r="Q40" s="125">
        <f>VLOOKUP($C40,'S | 01 '!$C$6:$R$48,Q$5,0)</f>
        <v>-6.8944522738456734E-2</v>
      </c>
      <c r="R40" s="10">
        <f ca="1">VLOOKUP($C40,'S | 01 '!$C$6:$R$48,R$5,0)</f>
        <v>0.87836633782579732</v>
      </c>
      <c r="S40" s="17">
        <f ca="1">VLOOKUP($C40,'S | 01 '!$C$6:$R$48,S$5,0)</f>
        <v>3.0973625000000009</v>
      </c>
      <c r="T40" s="2" t="s">
        <v>473</v>
      </c>
      <c r="U40" s="98"/>
    </row>
    <row r="41" spans="2:24" x14ac:dyDescent="0.25">
      <c r="B41" s="97"/>
      <c r="C41" s="4"/>
      <c r="D41" s="51"/>
      <c r="E41" s="2"/>
      <c r="F41" s="2"/>
      <c r="G41" s="2"/>
      <c r="H41" s="2"/>
      <c r="I41" s="6"/>
      <c r="J41" s="125"/>
      <c r="K41" s="17"/>
      <c r="L41" s="17"/>
      <c r="M41" s="17"/>
      <c r="N41" s="17"/>
      <c r="O41" s="17"/>
      <c r="P41" s="17"/>
      <c r="Q41" s="125"/>
      <c r="R41" s="10"/>
      <c r="S41" s="17"/>
      <c r="T41" s="122"/>
      <c r="U41" s="98"/>
      <c r="W41" s="335">
        <f ca="1">O30-P30</f>
        <v>-67.437591735166706</v>
      </c>
    </row>
    <row r="42" spans="2:24" s="101" customFormat="1" x14ac:dyDescent="0.25">
      <c r="B42" s="99"/>
      <c r="C42" s="9"/>
      <c r="D42" s="9"/>
      <c r="E42" s="9"/>
      <c r="F42" s="9"/>
      <c r="G42" s="9"/>
      <c r="H42" s="9"/>
      <c r="I42" s="9"/>
      <c r="J42" s="128"/>
      <c r="K42" s="18">
        <f ca="1">SUM(K33:K40)</f>
        <v>1303.4848153895477</v>
      </c>
      <c r="L42" s="18">
        <f ca="1">SUM(L33:L40)</f>
        <v>1263.4151687813262</v>
      </c>
      <c r="M42" s="18">
        <f ca="1">SUM(M33:M40)</f>
        <v>838.97516670140817</v>
      </c>
      <c r="N42" s="18">
        <f ca="1">SUM(N33:N40)</f>
        <v>410.78240816513915</v>
      </c>
      <c r="O42" s="18">
        <f ca="1">N42+M42-L42</f>
        <v>-13.657593914779</v>
      </c>
      <c r="P42" s="18">
        <f>SUM(P33:P40)</f>
        <v>56.890000000000008</v>
      </c>
      <c r="Q42" s="21">
        <f ca="1">'5. G42 Investments-IRR'!L16</f>
        <v>-1.0984978079795836E-2</v>
      </c>
      <c r="R42" s="11">
        <f ca="1">(M42+N42)/L42</f>
        <v>0.98918993989287551</v>
      </c>
      <c r="S42" s="18">
        <f ca="1">SUM(S33:S40)</f>
        <v>15.029339608221596</v>
      </c>
      <c r="T42" s="9">
        <f ca="1">N42+M42-L42</f>
        <v>-13.657593914779</v>
      </c>
      <c r="U42" s="100"/>
      <c r="W42" s="335">
        <f ca="1">K42-L42</f>
        <v>40.069646608221547</v>
      </c>
    </row>
    <row r="43" spans="2:24" s="251" customFormat="1" x14ac:dyDescent="0.25">
      <c r="B43" s="249"/>
      <c r="C43" s="243"/>
      <c r="D43" s="243"/>
      <c r="E43" s="243"/>
      <c r="F43" s="243"/>
      <c r="G43" s="243"/>
      <c r="H43" s="243"/>
      <c r="I43" s="243"/>
      <c r="J43" s="127"/>
      <c r="K43" s="244"/>
      <c r="L43" s="244"/>
      <c r="M43" s="244"/>
      <c r="N43" s="244"/>
      <c r="O43" s="244"/>
      <c r="P43" s="244"/>
      <c r="Q43" s="137"/>
      <c r="R43" s="245"/>
      <c r="S43" s="244"/>
      <c r="T43" s="243"/>
      <c r="U43" s="250"/>
      <c r="W43" s="335">
        <f ca="1">O42-P42</f>
        <v>-70.547593914779014</v>
      </c>
    </row>
    <row r="44" spans="2:24" s="251" customFormat="1" x14ac:dyDescent="0.25">
      <c r="B44" s="249"/>
      <c r="C44" s="678" t="s">
        <v>651</v>
      </c>
      <c r="D44" s="579"/>
      <c r="E44" s="580"/>
      <c r="F44" s="580"/>
      <c r="G44" s="580"/>
      <c r="H44" s="580"/>
      <c r="I44" s="581"/>
      <c r="J44" s="582"/>
      <c r="K44" s="583"/>
      <c r="L44" s="583"/>
      <c r="M44" s="583"/>
      <c r="N44" s="583"/>
      <c r="O44" s="583"/>
      <c r="P44" s="583"/>
      <c r="Q44" s="582"/>
      <c r="R44" s="584"/>
      <c r="S44" s="583"/>
      <c r="T44" s="580"/>
      <c r="U44" s="250"/>
      <c r="W44" s="335"/>
    </row>
    <row r="45" spans="2:24" s="251" customFormat="1" x14ac:dyDescent="0.25">
      <c r="B45" s="249"/>
      <c r="C45" s="4" t="s">
        <v>645</v>
      </c>
      <c r="D45" s="51" t="s">
        <v>321</v>
      </c>
      <c r="E45" s="2" t="str">
        <f>VLOOKUP($C45,'S | 01 '!$C$6:$R$48,E$5,0)</f>
        <v>Unrealized</v>
      </c>
      <c r="F45" s="2" t="str">
        <f>VLOOKUP($C45,'S | 01 '!$C$6:$R$48,F$5,0)</f>
        <v>Divyesh</v>
      </c>
      <c r="G45" s="2" t="str">
        <f>VLOOKUP($C45,'S | 01 '!$C$6:$R$48,G$5,0)</f>
        <v>G42 Capital</v>
      </c>
      <c r="H45" s="6">
        <f>VLOOKUP($C45,'S | 01 '!$C$6:$R$48,H$5,0)</f>
        <v>2024</v>
      </c>
      <c r="I45" s="6" t="str">
        <f>VLOOKUP($C45,'S | 01 '!$C$6:$R$48,I$5,0)</f>
        <v>Convertible Note</v>
      </c>
      <c r="J45" s="125" t="str">
        <f>VLOOKUP($C45,'S | 01 '!$C$6:$R$48,J$5,0)</f>
        <v>n/a</v>
      </c>
      <c r="K45" s="17">
        <f ca="1">VLOOKUP($C45,'S | 01 '!$C$6:$R$48,K$5,0)</f>
        <v>20</v>
      </c>
      <c r="L45" s="17">
        <f ca="1">VLOOKUP($C45,'S | 01 '!$C$6:$R$48,L$5,0)</f>
        <v>20</v>
      </c>
      <c r="M45" s="17">
        <f>VLOOKUP($C45,'S | 01 '!$C$6:$R$48,M$5,0)</f>
        <v>0</v>
      </c>
      <c r="N45" s="17">
        <f>VLOOKUP($C45,'S | 01 '!$C$6:$R$48,N$5,0)</f>
        <v>20</v>
      </c>
      <c r="O45" s="17">
        <f ca="1">VLOOKUP($C45,'S | 01 '!$C$6:$R$48,O$5,0)</f>
        <v>0</v>
      </c>
      <c r="P45" s="17">
        <v>0</v>
      </c>
      <c r="Q45" s="125" t="str">
        <f>VLOOKUP($C45,'S | 01 '!$C$6:$R$48,Q$5,0)</f>
        <v>NM</v>
      </c>
      <c r="R45" s="10" t="str">
        <f>VLOOKUP($C45,'S | 01 '!$C$6:$R$48,R$5,0)</f>
        <v>NM</v>
      </c>
      <c r="S45" s="17">
        <f ca="1">VLOOKUP($C45,'S | 01 '!$C$6:$R$48,S$5,0)</f>
        <v>0</v>
      </c>
      <c r="T45" s="122"/>
      <c r="U45" s="250"/>
      <c r="W45" s="335"/>
    </row>
    <row r="46" spans="2:24" x14ac:dyDescent="0.25">
      <c r="B46" s="97"/>
      <c r="C46" s="5"/>
      <c r="D46" s="13"/>
      <c r="E46" s="7"/>
      <c r="F46" s="7"/>
      <c r="G46" s="7"/>
      <c r="H46" s="7"/>
      <c r="I46" s="14"/>
      <c r="J46" s="284"/>
      <c r="K46" s="24"/>
      <c r="L46" s="24"/>
      <c r="M46" s="24"/>
      <c r="N46" s="24"/>
      <c r="O46" s="24"/>
      <c r="P46" s="24"/>
      <c r="Q46" s="284"/>
      <c r="R46" s="15"/>
      <c r="S46" s="24"/>
      <c r="T46" s="308"/>
      <c r="U46" s="98"/>
    </row>
    <row r="47" spans="2:24" s="251" customFormat="1" x14ac:dyDescent="0.25">
      <c r="B47" s="249"/>
      <c r="C47" s="9"/>
      <c r="D47" s="9"/>
      <c r="E47" s="9"/>
      <c r="F47" s="9"/>
      <c r="G47" s="9"/>
      <c r="H47" s="9"/>
      <c r="I47" s="9"/>
      <c r="J47" s="128"/>
      <c r="K47" s="18">
        <f ca="1">SUM(K45)</f>
        <v>20</v>
      </c>
      <c r="L47" s="18">
        <f ca="1">SUM(L45)</f>
        <v>20</v>
      </c>
      <c r="M47" s="18">
        <f>SUM(M45)</f>
        <v>0</v>
      </c>
      <c r="N47" s="18">
        <f>SUM(N45)</f>
        <v>20</v>
      </c>
      <c r="O47" s="18">
        <f ca="1">SUM(O45)</f>
        <v>0</v>
      </c>
      <c r="P47" s="18">
        <f>SUM(P45)</f>
        <v>0</v>
      </c>
      <c r="Q47" s="21">
        <f>'5.G42 Capital-IRR'!L16</f>
        <v>2.9802322387695314E-9</v>
      </c>
      <c r="R47" s="11">
        <f ca="1">(M47+N47)/L47</f>
        <v>1</v>
      </c>
      <c r="S47" s="18">
        <f ca="1">SUM(S45)</f>
        <v>0</v>
      </c>
      <c r="T47" s="9"/>
      <c r="U47" s="250"/>
      <c r="W47" s="335"/>
    </row>
    <row r="48" spans="2:24" s="251" customFormat="1" x14ac:dyDescent="0.25">
      <c r="B48" s="249"/>
      <c r="C48" s="243"/>
      <c r="D48" s="243"/>
      <c r="E48" s="243"/>
      <c r="F48" s="243"/>
      <c r="G48" s="243"/>
      <c r="H48" s="243"/>
      <c r="I48" s="243"/>
      <c r="J48" s="127"/>
      <c r="K48" s="244"/>
      <c r="L48" s="244"/>
      <c r="M48" s="244"/>
      <c r="N48" s="244"/>
      <c r="O48" s="244"/>
      <c r="P48" s="244"/>
      <c r="Q48" s="137"/>
      <c r="R48" s="245"/>
      <c r="S48" s="244"/>
      <c r="T48" s="243"/>
      <c r="U48" s="250"/>
      <c r="W48" s="335"/>
    </row>
    <row r="49" spans="2:23" s="251" customFormat="1" x14ac:dyDescent="0.25">
      <c r="B49" s="249"/>
      <c r="C49" s="678" t="s">
        <v>652</v>
      </c>
      <c r="D49" s="579"/>
      <c r="E49" s="580"/>
      <c r="F49" s="580"/>
      <c r="G49" s="580"/>
      <c r="H49" s="580"/>
      <c r="I49" s="581"/>
      <c r="J49" s="582"/>
      <c r="K49" s="583"/>
      <c r="L49" s="583"/>
      <c r="M49" s="583"/>
      <c r="N49" s="583"/>
      <c r="O49" s="583"/>
      <c r="P49" s="583"/>
      <c r="Q49" s="582"/>
      <c r="R49" s="584"/>
      <c r="S49" s="583"/>
      <c r="T49" s="580"/>
      <c r="U49" s="250"/>
      <c r="W49" s="335"/>
    </row>
    <row r="50" spans="2:23" ht="17.25" x14ac:dyDescent="0.25">
      <c r="B50" s="97"/>
      <c r="C50" s="4" t="s">
        <v>505</v>
      </c>
      <c r="D50" s="51" t="s">
        <v>321</v>
      </c>
      <c r="E50" s="2" t="str">
        <f>VLOOKUP($C50,'S | 01 '!$C$6:$R$48,E$5,0)</f>
        <v>Unrealized</v>
      </c>
      <c r="F50" s="2" t="str">
        <f>VLOOKUP($C50,'S | 01 '!$C$6:$R$48,F$5,0)</f>
        <v>Camillo</v>
      </c>
      <c r="G50" s="2" t="str">
        <f>VLOOKUP($C50,'S | 01 '!$C$6:$R$48,G$5,0)</f>
        <v>Core42 5</v>
      </c>
      <c r="H50" s="6">
        <f>VLOOKUP($C50,'S | 01 '!$C$6:$R$48,H$5,0)</f>
        <v>2024</v>
      </c>
      <c r="I50" s="6" t="str">
        <f>VLOOKUP($C50,'S | 01 '!$C$6:$R$48,I$5,0)</f>
        <v>Preferred Shares</v>
      </c>
      <c r="J50" s="125">
        <f>VLOOKUP($C50,'S | 01 '!$C$6:$R$48,J$5,0)</f>
        <v>0.25</v>
      </c>
      <c r="K50" s="17">
        <f ca="1">VLOOKUP($C50,'S | 01 '!$C$6:$R$48,K$5,0)</f>
        <v>2.75</v>
      </c>
      <c r="L50" s="17">
        <f ca="1">VLOOKUP($C50,'S | 01 '!$C$6:$R$48,L$5,0)</f>
        <v>2.5</v>
      </c>
      <c r="M50" s="17">
        <f>VLOOKUP($C50,'S | 01 '!$C$6:$R$48,M$5,0)</f>
        <v>0</v>
      </c>
      <c r="N50" s="17">
        <f ca="1">VLOOKUP($C50,'S | 01 '!$C$6:$R$48,N$5,0)</f>
        <v>2.5</v>
      </c>
      <c r="O50" s="17">
        <f ca="1">VLOOKUP($C50,'S | 01 '!$C$6:$R$48,O$5,0)</f>
        <v>0</v>
      </c>
      <c r="P50" s="17">
        <v>0</v>
      </c>
      <c r="Q50" s="125" t="str">
        <f>VLOOKUP($C50,'S | 01 '!$C$6:$R$48,Q$5,0)</f>
        <v>NM</v>
      </c>
      <c r="R50" s="10" t="str">
        <f>VLOOKUP($C50,'S | 01 '!$C$6:$R$48,R$5,0)</f>
        <v>NM</v>
      </c>
      <c r="S50" s="17">
        <f ca="1">VLOOKUP($C50,'S | 01 '!$C$6:$R$48,S$5,0)</f>
        <v>0.25</v>
      </c>
      <c r="T50" s="2" t="s">
        <v>579</v>
      </c>
      <c r="U50" s="98"/>
    </row>
    <row r="51" spans="2:23" x14ac:dyDescent="0.25">
      <c r="B51" s="97"/>
      <c r="C51" s="5"/>
      <c r="D51" s="13"/>
      <c r="E51" s="7"/>
      <c r="F51" s="7"/>
      <c r="G51" s="7"/>
      <c r="H51" s="14"/>
      <c r="I51" s="14"/>
      <c r="J51" s="284"/>
      <c r="K51" s="24"/>
      <c r="L51" s="24"/>
      <c r="M51" s="24"/>
      <c r="N51" s="24"/>
      <c r="O51" s="24"/>
      <c r="P51" s="24"/>
      <c r="Q51" s="284"/>
      <c r="R51" s="15"/>
      <c r="S51" s="24"/>
      <c r="T51" s="7"/>
      <c r="U51" s="98"/>
    </row>
    <row r="52" spans="2:23" s="251" customFormat="1" x14ac:dyDescent="0.25">
      <c r="B52" s="249"/>
      <c r="C52" s="9"/>
      <c r="D52" s="9"/>
      <c r="E52" s="9"/>
      <c r="F52" s="9"/>
      <c r="G52" s="9"/>
      <c r="H52" s="9"/>
      <c r="I52" s="9"/>
      <c r="J52" s="128"/>
      <c r="K52" s="18">
        <f ca="1">SUM(K50)</f>
        <v>2.75</v>
      </c>
      <c r="L52" s="18">
        <f ca="1">SUM(L50)</f>
        <v>2.5</v>
      </c>
      <c r="M52" s="18">
        <f>SUM(M50)</f>
        <v>0</v>
      </c>
      <c r="N52" s="18">
        <f ca="1">SUM(N50)</f>
        <v>2.5</v>
      </c>
      <c r="O52" s="18">
        <f ca="1">SUM(O50)</f>
        <v>0</v>
      </c>
      <c r="P52" s="18">
        <f>SUM(P50)</f>
        <v>0</v>
      </c>
      <c r="Q52" s="21">
        <f ca="1">'5.Core42-IRR'!L16</f>
        <v>2.9802322387695314E-9</v>
      </c>
      <c r="R52" s="11">
        <f ca="1">(M52+N52)/L52</f>
        <v>1</v>
      </c>
      <c r="S52" s="18">
        <f ca="1">SUM(S50)</f>
        <v>0.25</v>
      </c>
      <c r="T52" s="9"/>
      <c r="U52" s="250"/>
      <c r="W52" s="335"/>
    </row>
    <row r="53" spans="2:23" s="251" customFormat="1" x14ac:dyDescent="0.25">
      <c r="B53" s="249"/>
      <c r="C53" s="243"/>
      <c r="D53" s="243"/>
      <c r="E53" s="243"/>
      <c r="F53" s="243"/>
      <c r="G53" s="243"/>
      <c r="H53" s="243"/>
      <c r="I53" s="243"/>
      <c r="J53" s="127"/>
      <c r="K53" s="244"/>
      <c r="L53" s="244"/>
      <c r="M53" s="244"/>
      <c r="N53" s="244"/>
      <c r="O53" s="244"/>
      <c r="P53" s="244"/>
      <c r="Q53" s="137"/>
      <c r="R53" s="245"/>
      <c r="S53" s="244"/>
      <c r="T53" s="243"/>
      <c r="U53" s="250"/>
      <c r="W53" s="335"/>
    </row>
    <row r="54" spans="2:23" s="101" customFormat="1" x14ac:dyDescent="0.25">
      <c r="B54" s="99"/>
      <c r="C54" s="601"/>
      <c r="D54" s="601"/>
      <c r="E54" s="602"/>
      <c r="F54" s="602"/>
      <c r="G54" s="602"/>
      <c r="H54" s="602"/>
      <c r="I54" s="602"/>
      <c r="J54" s="671"/>
      <c r="K54" s="672">
        <f ca="1">K30+K42+K47+K52</f>
        <v>2331.5023557623917</v>
      </c>
      <c r="L54" s="672">
        <f t="shared" ref="L54:P54" ca="1" si="0">L30+L42+L47+L52</f>
        <v>2287.68270915417</v>
      </c>
      <c r="M54" s="672">
        <f t="shared" ca="1" si="0"/>
        <v>1279.8881438814083</v>
      </c>
      <c r="N54" s="672">
        <f t="shared" ca="1" si="0"/>
        <v>941.2365780782585</v>
      </c>
      <c r="O54" s="672">
        <f t="shared" ca="1" si="0"/>
        <v>-66.557987194503539</v>
      </c>
      <c r="P54" s="672">
        <f t="shared" si="0"/>
        <v>71.427198455442181</v>
      </c>
      <c r="Q54" s="673">
        <f ca="1">'4.All'!N9</f>
        <v>2.9802322387695314E-9</v>
      </c>
      <c r="R54" s="674">
        <f ca="1">(M54+N54)/L54</f>
        <v>0.97090593598134423</v>
      </c>
      <c r="S54" s="672">
        <f t="shared" ref="S54" ca="1" si="1">S30+S42+S47+S52</f>
        <v>18.779339608221598</v>
      </c>
      <c r="T54" s="602"/>
      <c r="U54" s="100"/>
      <c r="W54" s="389">
        <f ca="1">SUM(M33:N35)-SUM(L33:L35)</f>
        <v>-17.174269650000042</v>
      </c>
    </row>
    <row r="55" spans="2:23" s="299" customFormat="1" ht="15.75" thickBot="1" x14ac:dyDescent="0.3">
      <c r="B55" s="292"/>
      <c r="C55" s="293"/>
      <c r="D55" s="293"/>
      <c r="E55" s="294"/>
      <c r="F55" s="294"/>
      <c r="G55" s="294"/>
      <c r="H55" s="294"/>
      <c r="I55" s="294"/>
      <c r="J55" s="295"/>
      <c r="K55" s="296"/>
      <c r="L55" s="296"/>
      <c r="M55" s="296"/>
      <c r="N55" s="296"/>
      <c r="O55" s="296"/>
      <c r="P55" s="296"/>
      <c r="Q55" s="295"/>
      <c r="R55" s="297"/>
      <c r="S55" s="296"/>
      <c r="T55" s="294"/>
      <c r="U55" s="298"/>
      <c r="W55" s="389">
        <f ca="1">SUM(M36:N40)-SUM(L36:L40)</f>
        <v>3.516675735221213</v>
      </c>
    </row>
    <row r="56" spans="2:23" x14ac:dyDescent="0.25">
      <c r="J56" s="107"/>
      <c r="Q56" s="107"/>
      <c r="W56" s="390">
        <f ca="1">K42-L42</f>
        <v>40.069646608221547</v>
      </c>
    </row>
    <row r="57" spans="2:23" x14ac:dyDescent="0.25">
      <c r="B57" s="109"/>
      <c r="I57" s="343" t="s">
        <v>332</v>
      </c>
      <c r="J57" s="338"/>
      <c r="K57" s="338" t="b">
        <f ca="1">K54='S | 01 '!J48</f>
        <v>1</v>
      </c>
      <c r="L57" s="338" t="b">
        <f ca="1">ROUND(L54,3)=ROUND('S | 01 '!K48,3)</f>
        <v>1</v>
      </c>
      <c r="M57" s="338" t="b">
        <f ca="1">M54='S | 01 '!M48</f>
        <v>1</v>
      </c>
      <c r="N57" s="338" t="b">
        <f ca="1">N54='S | 01 '!N48</f>
        <v>1</v>
      </c>
      <c r="O57" s="338" t="b">
        <f ca="1">ROUND(O54,3)=ROUND('S | 01 '!O48,3)</f>
        <v>1</v>
      </c>
      <c r="P57" s="338"/>
      <c r="S57" s="424" t="b">
        <f ca="1">S30='S | 01 '!L32</f>
        <v>0</v>
      </c>
    </row>
    <row r="58" spans="2:23" s="96" customFormat="1" x14ac:dyDescent="0.25">
      <c r="B58" s="542"/>
      <c r="C58" s="542" t="s">
        <v>333</v>
      </c>
      <c r="D58" s="5"/>
      <c r="E58" s="7"/>
      <c r="F58" s="7"/>
      <c r="G58" s="7"/>
      <c r="H58" s="7"/>
      <c r="I58" s="344"/>
      <c r="J58" s="145"/>
      <c r="K58" s="345"/>
      <c r="M58" s="345"/>
      <c r="N58" s="345"/>
      <c r="O58" s="345"/>
      <c r="P58" s="345"/>
      <c r="Q58" s="23"/>
      <c r="R58" s="15"/>
      <c r="T58" s="7"/>
    </row>
    <row r="59" spans="2:23" x14ac:dyDescent="0.25">
      <c r="B59" s="541"/>
      <c r="C59" s="675" t="s">
        <v>673</v>
      </c>
      <c r="D59" s="676"/>
      <c r="E59" s="677"/>
      <c r="F59" s="335"/>
      <c r="G59" s="335"/>
      <c r="H59" s="335"/>
      <c r="I59" s="335"/>
      <c r="J59" s="335"/>
      <c r="K59" s="335"/>
      <c r="L59" s="405"/>
      <c r="M59" s="335"/>
      <c r="N59" s="335"/>
      <c r="O59" s="405"/>
      <c r="P59" s="335"/>
      <c r="Q59" s="335"/>
      <c r="R59" s="335"/>
      <c r="S59" s="335"/>
    </row>
    <row r="60" spans="2:23" s="27" customFormat="1" x14ac:dyDescent="0.25">
      <c r="B60" s="109"/>
      <c r="C60" s="13"/>
      <c r="D60" s="13"/>
      <c r="L60" s="405"/>
      <c r="Q60" s="405"/>
      <c r="U60" s="26"/>
    </row>
    <row r="61" spans="2:23" s="27" customFormat="1" x14ac:dyDescent="0.25">
      <c r="B61" s="109"/>
      <c r="C61" s="85"/>
      <c r="D61" s="85"/>
      <c r="E61" s="335"/>
      <c r="F61" s="335"/>
      <c r="G61" s="335"/>
      <c r="H61" s="336"/>
      <c r="I61" s="335"/>
      <c r="J61" s="335"/>
      <c r="K61" s="335"/>
      <c r="L61" s="335"/>
      <c r="M61" s="335"/>
      <c r="N61" s="335"/>
      <c r="P61" s="335"/>
      <c r="Q61" s="335"/>
      <c r="R61" s="335"/>
      <c r="S61" s="335"/>
      <c r="U61" s="26"/>
    </row>
    <row r="62" spans="2:23" s="27" customFormat="1" x14ac:dyDescent="0.25">
      <c r="B62" s="109"/>
      <c r="C62" s="13"/>
      <c r="D62" s="13"/>
      <c r="E62" s="335"/>
      <c r="F62" s="335"/>
      <c r="G62" s="335"/>
      <c r="H62" s="337"/>
      <c r="L62" s="405"/>
      <c r="Q62" s="335"/>
      <c r="R62" s="335"/>
      <c r="U62" s="26"/>
    </row>
    <row r="63" spans="2:23" s="27" customFormat="1" x14ac:dyDescent="0.25">
      <c r="B63" s="109"/>
      <c r="C63" s="13"/>
      <c r="D63" s="13"/>
      <c r="E63" s="335"/>
      <c r="F63" s="335"/>
      <c r="G63" s="335"/>
      <c r="H63" s="335"/>
      <c r="I63" s="335"/>
      <c r="J63" s="335"/>
      <c r="K63" s="335"/>
      <c r="L63" s="335"/>
      <c r="M63" s="335"/>
      <c r="N63" s="335"/>
      <c r="P63" s="335"/>
      <c r="Q63" s="335"/>
      <c r="R63" s="335"/>
      <c r="S63" s="335"/>
      <c r="U63" s="26"/>
    </row>
    <row r="64" spans="2:23" s="27" customFormat="1" x14ac:dyDescent="0.25">
      <c r="B64" s="26"/>
      <c r="C64" s="13"/>
      <c r="D64" s="13"/>
      <c r="E64" s="335"/>
      <c r="F64" s="335"/>
      <c r="G64" s="335"/>
      <c r="H64" s="335"/>
      <c r="I64" s="335"/>
      <c r="J64" s="335"/>
      <c r="K64" s="335"/>
      <c r="L64" s="335"/>
      <c r="M64" s="335"/>
      <c r="N64" s="335"/>
      <c r="P64" s="335"/>
      <c r="Q64" s="335"/>
      <c r="R64" s="335"/>
      <c r="S64" s="335"/>
      <c r="U64" s="26"/>
    </row>
    <row r="65" spans="2:21" s="27" customFormat="1" x14ac:dyDescent="0.25">
      <c r="B65" s="26"/>
      <c r="C65" s="13"/>
      <c r="D65" s="13"/>
      <c r="E65" s="335"/>
      <c r="F65" s="335"/>
      <c r="G65" s="335"/>
      <c r="H65" s="335"/>
      <c r="I65" s="335"/>
      <c r="J65" s="335"/>
      <c r="K65" s="335"/>
      <c r="L65" s="335"/>
      <c r="M65" s="335"/>
      <c r="N65" s="335"/>
      <c r="O65" s="335"/>
      <c r="P65" s="335"/>
      <c r="Q65" s="335"/>
      <c r="R65" s="335"/>
      <c r="S65" s="335"/>
      <c r="U65" s="26"/>
    </row>
    <row r="66" spans="2:21" s="27" customFormat="1" x14ac:dyDescent="0.25">
      <c r="B66" s="26"/>
      <c r="C66" s="13"/>
      <c r="D66" s="13"/>
      <c r="E66" s="335"/>
      <c r="F66" s="335"/>
      <c r="G66" s="335"/>
      <c r="H66" s="335"/>
      <c r="I66" s="335"/>
      <c r="J66" s="335"/>
      <c r="K66" s="335"/>
      <c r="L66" s="335"/>
      <c r="M66" s="335"/>
      <c r="N66" s="335"/>
      <c r="O66" s="335"/>
      <c r="P66" s="335"/>
      <c r="Q66" s="335"/>
      <c r="R66" s="335"/>
      <c r="S66" s="335"/>
      <c r="U66" s="26"/>
    </row>
    <row r="67" spans="2:21" s="27" customFormat="1" x14ac:dyDescent="0.25">
      <c r="B67" s="26"/>
      <c r="C67" s="84"/>
      <c r="D67" s="84"/>
      <c r="N67" s="114"/>
      <c r="O67" s="114"/>
      <c r="P67" s="114"/>
      <c r="U67" s="26"/>
    </row>
    <row r="68" spans="2:21" s="27" customFormat="1" x14ac:dyDescent="0.25">
      <c r="B68" s="26"/>
      <c r="C68" s="85"/>
      <c r="D68" s="85"/>
      <c r="N68" s="114"/>
      <c r="O68" s="114"/>
      <c r="P68" s="114"/>
      <c r="U68" s="26"/>
    </row>
    <row r="69" spans="2:21" s="27" customFormat="1" x14ac:dyDescent="0.25">
      <c r="B69" s="26"/>
      <c r="C69" s="300"/>
      <c r="D69" s="300"/>
      <c r="N69" s="114"/>
      <c r="O69" s="114"/>
      <c r="P69" s="114"/>
      <c r="U69" s="26"/>
    </row>
    <row r="70" spans="2:21" s="27" customFormat="1" x14ac:dyDescent="0.25">
      <c r="B70" s="26"/>
      <c r="C70" s="85"/>
      <c r="D70" s="85"/>
      <c r="N70" s="114"/>
      <c r="O70" s="114"/>
      <c r="P70" s="114"/>
      <c r="U70" s="26"/>
    </row>
    <row r="71" spans="2:21" s="27" customFormat="1" x14ac:dyDescent="0.25">
      <c r="B71" s="26"/>
      <c r="C71" s="84"/>
      <c r="D71" s="84"/>
      <c r="N71" s="114"/>
      <c r="O71" s="114"/>
      <c r="P71" s="114"/>
      <c r="U71" s="26"/>
    </row>
    <row r="72" spans="2:21" s="27" customFormat="1" x14ac:dyDescent="0.25">
      <c r="B72" s="26"/>
      <c r="C72" s="84"/>
      <c r="D72" s="84"/>
      <c r="N72" s="114"/>
      <c r="O72" s="114"/>
      <c r="P72" s="114"/>
      <c r="U72" s="26"/>
    </row>
    <row r="73" spans="2:21" s="27" customFormat="1" x14ac:dyDescent="0.25">
      <c r="B73" s="26"/>
      <c r="C73" s="84"/>
      <c r="D73" s="84"/>
      <c r="U73" s="26"/>
    </row>
    <row r="74" spans="2:21" s="27" customFormat="1" x14ac:dyDescent="0.25">
      <c r="B74" s="26"/>
      <c r="C74" s="85"/>
      <c r="D74" s="85"/>
      <c r="U74" s="26"/>
    </row>
    <row r="75" spans="2:21" s="27" customFormat="1" x14ac:dyDescent="0.25">
      <c r="B75" s="26"/>
      <c r="C75" s="85"/>
      <c r="D75" s="85"/>
      <c r="U75" s="26"/>
    </row>
    <row r="76" spans="2:21" s="27" customFormat="1" x14ac:dyDescent="0.25">
      <c r="B76" s="26"/>
      <c r="C76" s="85"/>
      <c r="D76" s="85"/>
      <c r="U76" s="26"/>
    </row>
    <row r="77" spans="2:21" s="27" customFormat="1" x14ac:dyDescent="0.25">
      <c r="B77" s="26"/>
      <c r="C77" s="84"/>
      <c r="D77" s="84"/>
      <c r="U77" s="26"/>
    </row>
    <row r="78" spans="2:21" s="27" customFormat="1" x14ac:dyDescent="0.25">
      <c r="B78" s="26"/>
      <c r="C78" s="84"/>
      <c r="D78" s="84"/>
      <c r="H78" s="224"/>
      <c r="J78" s="85"/>
      <c r="R78" s="114"/>
      <c r="U78" s="26"/>
    </row>
    <row r="79" spans="2:21" s="27" customFormat="1" x14ac:dyDescent="0.25">
      <c r="B79" s="26"/>
      <c r="C79" s="84"/>
      <c r="D79" s="84"/>
      <c r="H79" s="224"/>
      <c r="J79" s="85"/>
      <c r="R79" s="114"/>
      <c r="U79" s="26"/>
    </row>
    <row r="80" spans="2:21" s="27" customFormat="1" x14ac:dyDescent="0.25">
      <c r="B80" s="26"/>
      <c r="C80" s="84"/>
      <c r="D80" s="84"/>
      <c r="H80" s="85"/>
      <c r="J80" s="85"/>
      <c r="R80" s="114"/>
      <c r="U80" s="26"/>
    </row>
    <row r="81" spans="2:21" s="27" customFormat="1" x14ac:dyDescent="0.25">
      <c r="B81" s="26"/>
      <c r="C81" s="85"/>
      <c r="D81" s="85"/>
      <c r="F81" s="85"/>
      <c r="H81" s="85"/>
      <c r="J81" s="85"/>
      <c r="R81" s="114"/>
      <c r="U81" s="26"/>
    </row>
    <row r="82" spans="2:21" s="27" customFormat="1" x14ac:dyDescent="0.25">
      <c r="B82" s="26"/>
      <c r="H82" s="85"/>
      <c r="J82" s="85"/>
      <c r="R82" s="114"/>
      <c r="U82" s="26"/>
    </row>
    <row r="83" spans="2:21" s="27" customFormat="1" x14ac:dyDescent="0.25">
      <c r="B83" s="26"/>
      <c r="R83" s="114"/>
      <c r="U83" s="26"/>
    </row>
    <row r="84" spans="2:21" s="27" customFormat="1" x14ac:dyDescent="0.25">
      <c r="B84" s="26"/>
      <c r="C84" s="84"/>
      <c r="D84" s="84"/>
      <c r="G84" s="85"/>
      <c r="R84" s="114"/>
      <c r="U84" s="26"/>
    </row>
  </sheetData>
  <dataConsolidate/>
  <pageMargins left="0.7" right="0.7" top="0.75" bottom="0.75" header="0.3" footer="0.3"/>
  <pageSetup paperSize="9" scale="24" orientation="portrait" verticalDpi="0" r:id="rId1"/>
  <colBreaks count="1" manualBreakCount="1">
    <brk id="21" max="1048575" man="1"/>
  </colBreaks>
  <ignoredErrors>
    <ignoredError sqref="O42 O30"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98"/>
  <sheetViews>
    <sheetView showGridLines="0" view="pageBreakPreview" zoomScale="70" zoomScaleNormal="70" zoomScaleSheetLayoutView="70" workbookViewId="0">
      <selection activeCell="E26" sqref="E26"/>
    </sheetView>
  </sheetViews>
  <sheetFormatPr defaultColWidth="9.140625" defaultRowHeight="15" x14ac:dyDescent="0.25"/>
  <cols>
    <col min="1" max="1" width="5.42578125" style="26" customWidth="1"/>
    <col min="2" max="2" width="8.28515625" style="26" customWidth="1"/>
    <col min="3" max="3" width="54.140625" style="84" customWidth="1"/>
    <col min="4" max="4" width="17.140625" style="27" customWidth="1"/>
    <col min="5" max="5" width="9.42578125" style="27" bestFit="1" customWidth="1"/>
    <col min="6" max="6" width="19.7109375" style="27" bestFit="1" customWidth="1"/>
    <col min="7" max="7" width="81.28515625" style="27" bestFit="1"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s="96" customFormat="1" ht="15.75" thickBot="1" x14ac:dyDescent="0.3">
      <c r="C1" s="219"/>
      <c r="D1" s="217"/>
      <c r="E1" s="217"/>
      <c r="F1" s="217"/>
      <c r="G1" s="217"/>
      <c r="H1" s="217"/>
      <c r="I1" s="217"/>
      <c r="J1" s="217"/>
      <c r="K1" s="217"/>
      <c r="L1" s="217"/>
      <c r="M1" s="217"/>
      <c r="N1" s="217"/>
      <c r="O1" s="217"/>
      <c r="P1" s="217"/>
      <c r="Q1" s="217"/>
    </row>
    <row r="2" spans="2:20" ht="15.75" thickBot="1" x14ac:dyDescent="0.3">
      <c r="C2" s="247" t="s">
        <v>187</v>
      </c>
      <c r="D2" s="248">
        <f>'S | 01 '!D2</f>
        <v>45351</v>
      </c>
      <c r="E2" s="26"/>
      <c r="F2" s="26"/>
      <c r="G2" s="26"/>
      <c r="H2" s="26"/>
      <c r="I2" s="26"/>
      <c r="J2" s="26"/>
      <c r="K2" s="26"/>
      <c r="L2" s="26"/>
      <c r="M2" s="26"/>
      <c r="N2" s="26"/>
      <c r="O2" s="26"/>
      <c r="P2" s="26"/>
      <c r="Q2" s="26"/>
    </row>
    <row r="3" spans="2:20" s="96" customFormat="1" ht="15.75" thickBot="1" x14ac:dyDescent="0.3">
      <c r="C3" s="219"/>
      <c r="D3" s="217"/>
      <c r="E3" s="217"/>
      <c r="F3" s="217"/>
      <c r="G3" s="217"/>
      <c r="H3" s="217"/>
      <c r="I3" s="217"/>
      <c r="J3" s="217"/>
      <c r="K3" s="217"/>
      <c r="L3" s="217"/>
      <c r="M3" s="217"/>
      <c r="N3" s="217"/>
      <c r="O3" s="217"/>
      <c r="P3" s="209" t="s">
        <v>402</v>
      </c>
      <c r="Q3" s="217"/>
    </row>
    <row r="4" spans="2:20" x14ac:dyDescent="0.25">
      <c r="B4" s="86"/>
      <c r="C4" s="87"/>
      <c r="D4" s="88"/>
      <c r="E4" s="88"/>
      <c r="F4" s="88"/>
      <c r="G4" s="88"/>
      <c r="H4" s="88"/>
      <c r="I4" s="88"/>
      <c r="J4" s="88"/>
      <c r="K4" s="276"/>
      <c r="L4" s="276"/>
      <c r="M4" s="276"/>
      <c r="N4" s="276"/>
      <c r="O4" s="276"/>
      <c r="P4" s="276"/>
      <c r="Q4" s="276"/>
      <c r="R4" s="90"/>
    </row>
    <row r="5" spans="2:20" x14ac:dyDescent="0.25">
      <c r="B5" s="97"/>
      <c r="C5" s="272"/>
      <c r="D5" s="201"/>
      <c r="E5" s="201"/>
      <c r="F5" s="201"/>
      <c r="G5" s="201"/>
      <c r="H5" s="201"/>
      <c r="I5" s="201"/>
      <c r="J5" s="201"/>
      <c r="K5" s="201"/>
      <c r="L5" s="201"/>
      <c r="M5" s="201"/>
      <c r="N5" s="201"/>
      <c r="O5" s="201"/>
      <c r="P5" s="201"/>
      <c r="Q5" s="217"/>
      <c r="R5" s="98"/>
    </row>
    <row r="6" spans="2:20" s="93" customFormat="1" ht="30" x14ac:dyDescent="0.25">
      <c r="B6" s="91"/>
      <c r="C6" s="3" t="s">
        <v>52</v>
      </c>
      <c r="D6" s="546" t="s">
        <v>25</v>
      </c>
      <c r="E6" s="546" t="s">
        <v>62</v>
      </c>
      <c r="F6" s="546" t="s">
        <v>31</v>
      </c>
      <c r="G6" s="546" t="s">
        <v>496</v>
      </c>
      <c r="H6" s="546" t="s">
        <v>504</v>
      </c>
      <c r="I6" s="546" t="s">
        <v>575</v>
      </c>
      <c r="J6" s="546" t="s">
        <v>36</v>
      </c>
      <c r="K6" s="546" t="s">
        <v>240</v>
      </c>
      <c r="L6" s="546" t="s">
        <v>395</v>
      </c>
      <c r="M6" s="546" t="s">
        <v>396</v>
      </c>
      <c r="N6" s="546" t="s">
        <v>386</v>
      </c>
      <c r="O6" s="546" t="s">
        <v>54</v>
      </c>
      <c r="P6" s="546" t="s">
        <v>403</v>
      </c>
      <c r="Q6" s="446" t="s">
        <v>252</v>
      </c>
      <c r="R6" s="92"/>
    </row>
    <row r="7" spans="2:20" s="96" customFormat="1" x14ac:dyDescent="0.25">
      <c r="B7" s="94"/>
      <c r="C7" s="5"/>
      <c r="D7" s="8"/>
      <c r="E7" s="8"/>
      <c r="F7" s="8"/>
      <c r="G7" s="8"/>
      <c r="H7" s="8"/>
      <c r="I7" s="8"/>
      <c r="J7" s="8"/>
      <c r="K7" s="8"/>
      <c r="L7" s="8"/>
      <c r="M7" s="8"/>
      <c r="N7" s="8"/>
      <c r="O7" s="8"/>
      <c r="P7" s="8"/>
      <c r="Q7" s="273"/>
      <c r="R7" s="95"/>
    </row>
    <row r="8" spans="2:20" x14ac:dyDescent="0.25">
      <c r="B8" s="97"/>
      <c r="C8" s="678" t="s">
        <v>28</v>
      </c>
      <c r="D8" s="579"/>
      <c r="E8" s="580"/>
      <c r="F8" s="580"/>
      <c r="G8" s="580"/>
      <c r="H8" s="580"/>
      <c r="I8" s="581"/>
      <c r="J8" s="582"/>
      <c r="K8" s="583"/>
      <c r="L8" s="583"/>
      <c r="M8" s="583"/>
      <c r="N8" s="583"/>
      <c r="O8" s="583"/>
      <c r="P8" s="583"/>
      <c r="Q8" s="582"/>
      <c r="R8" s="98"/>
      <c r="T8" s="580"/>
    </row>
    <row r="9" spans="2:20" ht="17.25" x14ac:dyDescent="0.25">
      <c r="B9" s="97"/>
      <c r="C9" s="4" t="s">
        <v>48</v>
      </c>
      <c r="D9" s="2" t="s">
        <v>484</v>
      </c>
      <c r="E9" s="2" t="s">
        <v>64</v>
      </c>
      <c r="F9" s="2" t="s">
        <v>8</v>
      </c>
      <c r="G9" s="544" t="s">
        <v>497</v>
      </c>
      <c r="H9" s="2" t="s">
        <v>529</v>
      </c>
      <c r="I9" s="544" t="s">
        <v>530</v>
      </c>
      <c r="J9" s="2" t="s">
        <v>74</v>
      </c>
      <c r="K9" s="2"/>
      <c r="L9" s="448" t="s">
        <v>331</v>
      </c>
      <c r="M9" s="448" t="s">
        <v>331</v>
      </c>
      <c r="N9" s="447" t="s">
        <v>415</v>
      </c>
      <c r="O9" s="450">
        <v>5.6999998161926343E-2</v>
      </c>
      <c r="P9" s="2"/>
      <c r="Q9" s="274">
        <v>1</v>
      </c>
      <c r="R9" s="98"/>
    </row>
    <row r="10" spans="2:20" ht="17.25" x14ac:dyDescent="0.25">
      <c r="B10" s="97"/>
      <c r="C10" s="4" t="s">
        <v>0</v>
      </c>
      <c r="D10" s="2" t="s">
        <v>79</v>
      </c>
      <c r="E10" s="2" t="s">
        <v>64</v>
      </c>
      <c r="F10" s="2" t="s">
        <v>8</v>
      </c>
      <c r="G10" s="544" t="s">
        <v>497</v>
      </c>
      <c r="H10" s="2" t="s">
        <v>529</v>
      </c>
      <c r="I10" s="544" t="s">
        <v>530</v>
      </c>
      <c r="J10" s="2" t="s">
        <v>69</v>
      </c>
      <c r="K10" s="2"/>
      <c r="L10" s="448" t="s">
        <v>331</v>
      </c>
      <c r="M10" s="448" t="s">
        <v>331</v>
      </c>
      <c r="N10" s="447" t="s">
        <v>415</v>
      </c>
      <c r="O10" s="450">
        <v>0.14000000235296001</v>
      </c>
      <c r="P10" s="2"/>
      <c r="Q10" s="274">
        <v>2</v>
      </c>
      <c r="R10" s="98"/>
    </row>
    <row r="11" spans="2:20" ht="17.25" x14ac:dyDescent="0.25">
      <c r="B11" s="97"/>
      <c r="C11" s="4" t="s">
        <v>39</v>
      </c>
      <c r="D11" s="2" t="s">
        <v>79</v>
      </c>
      <c r="E11" s="2" t="s">
        <v>63</v>
      </c>
      <c r="F11" s="2" t="s">
        <v>8</v>
      </c>
      <c r="G11" s="544" t="s">
        <v>497</v>
      </c>
      <c r="H11" s="2" t="s">
        <v>529</v>
      </c>
      <c r="I11" s="544" t="s">
        <v>530</v>
      </c>
      <c r="J11" s="2" t="s">
        <v>76</v>
      </c>
      <c r="K11" s="2"/>
      <c r="L11" s="448" t="s">
        <v>331</v>
      </c>
      <c r="M11" s="448" t="s">
        <v>331</v>
      </c>
      <c r="N11" s="447" t="s">
        <v>416</v>
      </c>
      <c r="O11" s="450">
        <v>8.5025484621212399E-2</v>
      </c>
      <c r="P11" s="2" t="s">
        <v>404</v>
      </c>
      <c r="Q11" s="274">
        <v>3</v>
      </c>
      <c r="R11" s="98"/>
    </row>
    <row r="12" spans="2:20" ht="17.25" x14ac:dyDescent="0.25">
      <c r="B12" s="97"/>
      <c r="C12" s="4" t="s">
        <v>40</v>
      </c>
      <c r="D12" s="2" t="s">
        <v>80</v>
      </c>
      <c r="E12" s="2" t="s">
        <v>63</v>
      </c>
      <c r="F12" s="2" t="s">
        <v>8</v>
      </c>
      <c r="G12" s="544" t="s">
        <v>497</v>
      </c>
      <c r="H12" s="2" t="s">
        <v>529</v>
      </c>
      <c r="I12" s="544" t="s">
        <v>530</v>
      </c>
      <c r="J12" s="2" t="s">
        <v>45</v>
      </c>
      <c r="K12" s="2"/>
      <c r="L12" s="448" t="s">
        <v>331</v>
      </c>
      <c r="M12" s="2" t="s">
        <v>130</v>
      </c>
      <c r="N12" s="447" t="s">
        <v>418</v>
      </c>
      <c r="O12" s="450" t="s">
        <v>130</v>
      </c>
      <c r="P12" s="2"/>
      <c r="Q12" s="274">
        <v>4</v>
      </c>
      <c r="R12" s="98"/>
    </row>
    <row r="13" spans="2:20" ht="17.25" x14ac:dyDescent="0.25">
      <c r="B13" s="97"/>
      <c r="C13" s="4" t="s">
        <v>38</v>
      </c>
      <c r="D13" s="2" t="s">
        <v>79</v>
      </c>
      <c r="E13" s="2" t="s">
        <v>65</v>
      </c>
      <c r="F13" s="2" t="s">
        <v>8</v>
      </c>
      <c r="G13" s="544" t="s">
        <v>497</v>
      </c>
      <c r="H13" s="2" t="s">
        <v>529</v>
      </c>
      <c r="I13" s="544" t="s">
        <v>530</v>
      </c>
      <c r="J13" s="2" t="s">
        <v>68</v>
      </c>
      <c r="K13" s="2"/>
      <c r="L13" s="448" t="s">
        <v>331</v>
      </c>
      <c r="M13" s="448" t="s">
        <v>331</v>
      </c>
      <c r="N13" s="447" t="s">
        <v>416</v>
      </c>
      <c r="O13" s="450">
        <v>9.7965107245756355E-2</v>
      </c>
      <c r="P13" s="2"/>
      <c r="Q13" s="274">
        <v>5</v>
      </c>
      <c r="R13" s="98"/>
    </row>
    <row r="14" spans="2:20" ht="17.25" x14ac:dyDescent="0.25">
      <c r="B14" s="97"/>
      <c r="C14" s="4" t="s">
        <v>88</v>
      </c>
      <c r="D14" s="2" t="s">
        <v>79</v>
      </c>
      <c r="E14" s="2" t="s">
        <v>65</v>
      </c>
      <c r="F14" s="2" t="s">
        <v>8</v>
      </c>
      <c r="G14" s="113" t="s">
        <v>497</v>
      </c>
      <c r="H14" s="551" t="s">
        <v>574</v>
      </c>
      <c r="I14" s="551" t="s">
        <v>530</v>
      </c>
      <c r="J14" s="2" t="s">
        <v>46</v>
      </c>
      <c r="K14" s="2" t="s">
        <v>239</v>
      </c>
      <c r="L14" s="448" t="s">
        <v>331</v>
      </c>
      <c r="M14" s="448" t="s">
        <v>331</v>
      </c>
      <c r="N14" s="447" t="s">
        <v>388</v>
      </c>
      <c r="O14" s="450">
        <v>5.1651565402323088E-2</v>
      </c>
      <c r="P14" s="2"/>
      <c r="Q14" s="274">
        <v>6</v>
      </c>
      <c r="R14" s="98"/>
    </row>
    <row r="15" spans="2:20" ht="17.25" x14ac:dyDescent="0.25">
      <c r="B15" s="97"/>
      <c r="C15" s="4" t="s">
        <v>9</v>
      </c>
      <c r="D15" s="2" t="s">
        <v>79</v>
      </c>
      <c r="E15" s="2" t="s">
        <v>64</v>
      </c>
      <c r="F15" s="2" t="s">
        <v>8</v>
      </c>
      <c r="G15" s="544" t="s">
        <v>497</v>
      </c>
      <c r="H15" s="2" t="s">
        <v>529</v>
      </c>
      <c r="I15" s="544" t="s">
        <v>530</v>
      </c>
      <c r="J15" s="2" t="s">
        <v>73</v>
      </c>
      <c r="K15" s="2"/>
      <c r="L15" s="448" t="s">
        <v>331</v>
      </c>
      <c r="M15" s="448" t="s">
        <v>331</v>
      </c>
      <c r="N15" s="447" t="s">
        <v>387</v>
      </c>
      <c r="O15" s="450">
        <v>0.14380000000000001</v>
      </c>
      <c r="P15" s="2"/>
      <c r="Q15" s="274">
        <v>7</v>
      </c>
      <c r="R15" s="98"/>
    </row>
    <row r="16" spans="2:20" ht="17.25" x14ac:dyDescent="0.25">
      <c r="B16" s="97"/>
      <c r="C16" s="4" t="s">
        <v>18</v>
      </c>
      <c r="D16" s="2" t="s">
        <v>80</v>
      </c>
      <c r="E16" s="2" t="s">
        <v>63</v>
      </c>
      <c r="F16" s="2" t="s">
        <v>411</v>
      </c>
      <c r="G16" s="544" t="s">
        <v>498</v>
      </c>
      <c r="H16" s="2" t="s">
        <v>80</v>
      </c>
      <c r="I16" s="2" t="s">
        <v>80</v>
      </c>
      <c r="J16" s="2" t="s">
        <v>50</v>
      </c>
      <c r="K16" s="2"/>
      <c r="L16" s="448" t="s">
        <v>331</v>
      </c>
      <c r="M16" s="2" t="s">
        <v>130</v>
      </c>
      <c r="N16" s="447" t="s">
        <v>388</v>
      </c>
      <c r="O16" s="450">
        <v>0.03</v>
      </c>
      <c r="P16" s="2"/>
      <c r="Q16" s="274">
        <v>8</v>
      </c>
      <c r="R16" s="98"/>
    </row>
    <row r="17" spans="2:20" ht="17.25" x14ac:dyDescent="0.25">
      <c r="B17" s="97"/>
      <c r="C17" s="4" t="s">
        <v>41</v>
      </c>
      <c r="D17" s="2" t="s">
        <v>79</v>
      </c>
      <c r="E17" s="2" t="s">
        <v>67</v>
      </c>
      <c r="F17" s="2" t="s">
        <v>8</v>
      </c>
      <c r="G17" s="544" t="s">
        <v>497</v>
      </c>
      <c r="H17" s="2" t="s">
        <v>529</v>
      </c>
      <c r="I17" s="544" t="s">
        <v>530</v>
      </c>
      <c r="J17" s="2" t="s">
        <v>70</v>
      </c>
      <c r="K17" s="2"/>
      <c r="L17" s="448" t="s">
        <v>331</v>
      </c>
      <c r="M17" s="448" t="s">
        <v>331</v>
      </c>
      <c r="N17" s="447" t="s">
        <v>416</v>
      </c>
      <c r="O17" s="450">
        <v>9.117206771726628E-3</v>
      </c>
      <c r="P17" s="2"/>
      <c r="Q17" s="274">
        <v>9</v>
      </c>
      <c r="R17" s="98"/>
    </row>
    <row r="18" spans="2:20" ht="17.25" x14ac:dyDescent="0.25">
      <c r="B18" s="97"/>
      <c r="C18" s="4" t="s">
        <v>42</v>
      </c>
      <c r="D18" s="2" t="s">
        <v>79</v>
      </c>
      <c r="E18" s="2" t="s">
        <v>63</v>
      </c>
      <c r="F18" s="2" t="s">
        <v>8</v>
      </c>
      <c r="G18" s="544" t="s">
        <v>497</v>
      </c>
      <c r="H18" s="2" t="s">
        <v>529</v>
      </c>
      <c r="I18" s="547" t="s">
        <v>669</v>
      </c>
      <c r="J18" s="2" t="s">
        <v>75</v>
      </c>
      <c r="K18" s="2"/>
      <c r="L18" s="448" t="s">
        <v>331</v>
      </c>
      <c r="M18" s="448" t="s">
        <v>331</v>
      </c>
      <c r="N18" s="447" t="s">
        <v>416</v>
      </c>
      <c r="O18" s="450">
        <v>0.16080402010050251</v>
      </c>
      <c r="P18" s="2"/>
      <c r="Q18" s="274">
        <v>10</v>
      </c>
      <c r="R18" s="98"/>
    </row>
    <row r="19" spans="2:20" ht="17.25" x14ac:dyDescent="0.25">
      <c r="B19" s="97"/>
      <c r="C19" s="4" t="s">
        <v>43</v>
      </c>
      <c r="D19" s="2" t="s">
        <v>80</v>
      </c>
      <c r="E19" s="2" t="s">
        <v>67</v>
      </c>
      <c r="F19" s="2" t="s">
        <v>8</v>
      </c>
      <c r="G19" s="544" t="s">
        <v>497</v>
      </c>
      <c r="H19" s="2" t="s">
        <v>529</v>
      </c>
      <c r="I19" s="544" t="s">
        <v>530</v>
      </c>
      <c r="J19" s="2" t="s">
        <v>77</v>
      </c>
      <c r="K19" s="2"/>
      <c r="L19" s="448" t="s">
        <v>331</v>
      </c>
      <c r="M19" s="448" t="s">
        <v>331</v>
      </c>
      <c r="N19" s="447" t="s">
        <v>388</v>
      </c>
      <c r="O19" s="450">
        <v>1.1489405791845828E-2</v>
      </c>
      <c r="P19" s="2"/>
      <c r="Q19" s="274">
        <v>11</v>
      </c>
      <c r="R19" s="98"/>
    </row>
    <row r="20" spans="2:20" ht="17.25" x14ac:dyDescent="0.25">
      <c r="B20" s="97"/>
      <c r="C20" s="4" t="s">
        <v>71</v>
      </c>
      <c r="D20" s="2" t="s">
        <v>80</v>
      </c>
      <c r="E20" s="2" t="s">
        <v>64</v>
      </c>
      <c r="F20" s="2" t="s">
        <v>412</v>
      </c>
      <c r="G20" s="2" t="s">
        <v>499</v>
      </c>
      <c r="H20" s="2" t="s">
        <v>531</v>
      </c>
      <c r="I20" s="2" t="s">
        <v>532</v>
      </c>
      <c r="J20" s="2" t="s">
        <v>78</v>
      </c>
      <c r="K20" s="2"/>
      <c r="L20" s="448" t="s">
        <v>331</v>
      </c>
      <c r="M20" s="448" t="s">
        <v>331</v>
      </c>
      <c r="N20" s="447" t="s">
        <v>387</v>
      </c>
      <c r="O20" s="450">
        <v>5.1000000000000004E-2</v>
      </c>
      <c r="P20" s="2"/>
      <c r="Q20" s="274">
        <v>12</v>
      </c>
      <c r="R20" s="98"/>
    </row>
    <row r="21" spans="2:20" ht="17.25" x14ac:dyDescent="0.25">
      <c r="B21" s="97"/>
      <c r="C21" s="4" t="s">
        <v>19</v>
      </c>
      <c r="D21" s="2" t="s">
        <v>79</v>
      </c>
      <c r="E21" s="2" t="s">
        <v>66</v>
      </c>
      <c r="F21" s="2" t="s">
        <v>11</v>
      </c>
      <c r="G21" s="544" t="s">
        <v>503</v>
      </c>
      <c r="H21" s="2" t="s">
        <v>531</v>
      </c>
      <c r="I21" s="544" t="s">
        <v>533</v>
      </c>
      <c r="J21" s="2" t="s">
        <v>78</v>
      </c>
      <c r="K21" s="2"/>
      <c r="L21" s="448" t="s">
        <v>331</v>
      </c>
      <c r="M21" s="448" t="s">
        <v>331</v>
      </c>
      <c r="N21" s="447" t="s">
        <v>422</v>
      </c>
      <c r="O21" s="450">
        <v>0.11141913554582343</v>
      </c>
      <c r="P21" s="2" t="s">
        <v>405</v>
      </c>
      <c r="Q21" s="274">
        <v>13</v>
      </c>
      <c r="R21" s="98"/>
    </row>
    <row r="22" spans="2:20" ht="17.25" x14ac:dyDescent="0.25">
      <c r="B22" s="97"/>
      <c r="C22" s="4" t="s">
        <v>89</v>
      </c>
      <c r="D22" s="2" t="s">
        <v>79</v>
      </c>
      <c r="E22" s="2" t="s">
        <v>65</v>
      </c>
      <c r="F22" s="2" t="s">
        <v>11</v>
      </c>
      <c r="G22" s="544" t="s">
        <v>501</v>
      </c>
      <c r="H22" s="2" t="s">
        <v>529</v>
      </c>
      <c r="I22" s="547" t="s">
        <v>669</v>
      </c>
      <c r="J22" s="2" t="s">
        <v>46</v>
      </c>
      <c r="K22" s="2" t="s">
        <v>239</v>
      </c>
      <c r="L22" s="448" t="s">
        <v>331</v>
      </c>
      <c r="M22" s="448" t="s">
        <v>331</v>
      </c>
      <c r="N22" s="447" t="s">
        <v>416</v>
      </c>
      <c r="O22" s="450">
        <v>2.2129090603182095E-3</v>
      </c>
      <c r="P22" s="2" t="s">
        <v>406</v>
      </c>
      <c r="Q22" s="274">
        <v>14</v>
      </c>
      <c r="R22" s="98"/>
    </row>
    <row r="23" spans="2:20" ht="17.25" x14ac:dyDescent="0.25">
      <c r="B23" s="97"/>
      <c r="C23" s="4" t="s">
        <v>35</v>
      </c>
      <c r="D23" s="2" t="s">
        <v>80</v>
      </c>
      <c r="E23" s="2" t="s">
        <v>64</v>
      </c>
      <c r="F23" s="2" t="s">
        <v>413</v>
      </c>
      <c r="G23" s="2" t="s">
        <v>500</v>
      </c>
      <c r="H23" s="2" t="s">
        <v>532</v>
      </c>
      <c r="I23" s="2" t="s">
        <v>532</v>
      </c>
      <c r="J23" s="2" t="s">
        <v>78</v>
      </c>
      <c r="K23" s="2"/>
      <c r="L23" s="448" t="s">
        <v>331</v>
      </c>
      <c r="M23" s="448" t="s">
        <v>331</v>
      </c>
      <c r="N23" s="447" t="s">
        <v>387</v>
      </c>
      <c r="O23" s="450">
        <v>1.8823528000000003E-2</v>
      </c>
      <c r="P23" s="2"/>
      <c r="Q23" s="274">
        <v>15</v>
      </c>
      <c r="R23" s="98"/>
    </row>
    <row r="24" spans="2:20" ht="17.25" x14ac:dyDescent="0.25">
      <c r="B24" s="97"/>
      <c r="C24" s="4" t="s">
        <v>269</v>
      </c>
      <c r="D24" s="2" t="s">
        <v>79</v>
      </c>
      <c r="E24" s="2" t="s">
        <v>65</v>
      </c>
      <c r="F24" s="2" t="s">
        <v>8</v>
      </c>
      <c r="G24" s="544" t="s">
        <v>497</v>
      </c>
      <c r="H24" s="2" t="s">
        <v>529</v>
      </c>
      <c r="I24" s="547" t="s">
        <v>669</v>
      </c>
      <c r="J24" s="2" t="s">
        <v>45</v>
      </c>
      <c r="K24" s="2"/>
      <c r="L24" s="448" t="s">
        <v>331</v>
      </c>
      <c r="M24" s="448" t="s">
        <v>331</v>
      </c>
      <c r="N24" s="447" t="s">
        <v>423</v>
      </c>
      <c r="O24" s="450" t="s">
        <v>130</v>
      </c>
      <c r="P24" s="2"/>
      <c r="Q24" s="274">
        <v>16</v>
      </c>
      <c r="R24" s="98"/>
    </row>
    <row r="25" spans="2:20" ht="17.25" x14ac:dyDescent="0.25">
      <c r="B25" s="97"/>
      <c r="C25" s="4" t="s">
        <v>304</v>
      </c>
      <c r="D25" s="2" t="s">
        <v>79</v>
      </c>
      <c r="E25" s="2" t="s">
        <v>66</v>
      </c>
      <c r="F25" s="2" t="s">
        <v>414</v>
      </c>
      <c r="G25" s="2" t="s">
        <v>534</v>
      </c>
      <c r="H25" s="2" t="s">
        <v>531</v>
      </c>
      <c r="I25" s="544" t="s">
        <v>535</v>
      </c>
      <c r="J25" s="2" t="s">
        <v>69</v>
      </c>
      <c r="K25" s="2"/>
      <c r="L25" s="448" t="s">
        <v>331</v>
      </c>
      <c r="M25" s="448" t="s">
        <v>331</v>
      </c>
      <c r="N25" s="447" t="s">
        <v>416</v>
      </c>
      <c r="O25" s="450">
        <v>2.7864956399278339E-2</v>
      </c>
      <c r="P25" s="2"/>
      <c r="Q25" s="274">
        <v>17</v>
      </c>
      <c r="R25" s="98"/>
    </row>
    <row r="26" spans="2:20" ht="17.25" x14ac:dyDescent="0.25">
      <c r="B26" s="97"/>
      <c r="C26" s="4" t="s">
        <v>381</v>
      </c>
      <c r="D26" s="2" t="s">
        <v>79</v>
      </c>
      <c r="E26" s="2" t="s">
        <v>65</v>
      </c>
      <c r="F26" s="2" t="s">
        <v>8</v>
      </c>
      <c r="G26" s="544" t="s">
        <v>497</v>
      </c>
      <c r="H26" s="2" t="s">
        <v>529</v>
      </c>
      <c r="I26" s="547" t="s">
        <v>669</v>
      </c>
      <c r="J26" s="2" t="s">
        <v>68</v>
      </c>
      <c r="K26" s="2"/>
      <c r="L26" s="448" t="s">
        <v>331</v>
      </c>
      <c r="M26" s="448" t="s">
        <v>331</v>
      </c>
      <c r="N26" s="447" t="s">
        <v>416</v>
      </c>
      <c r="O26" s="450">
        <v>6.2621982517370271E-3</v>
      </c>
      <c r="P26" s="2"/>
      <c r="Q26" s="274">
        <v>24</v>
      </c>
      <c r="R26" s="98"/>
    </row>
    <row r="27" spans="2:20" ht="17.25" x14ac:dyDescent="0.25">
      <c r="B27" s="97"/>
      <c r="C27" s="4" t="s">
        <v>447</v>
      </c>
      <c r="D27" s="2" t="s">
        <v>79</v>
      </c>
      <c r="E27" s="2" t="s">
        <v>65</v>
      </c>
      <c r="F27" s="2" t="s">
        <v>8</v>
      </c>
      <c r="G27" s="544" t="s">
        <v>497</v>
      </c>
      <c r="H27" s="2" t="s">
        <v>529</v>
      </c>
      <c r="I27" s="547" t="s">
        <v>669</v>
      </c>
      <c r="J27" s="2" t="s">
        <v>450</v>
      </c>
      <c r="K27" s="2"/>
      <c r="L27" s="448" t="s">
        <v>331</v>
      </c>
      <c r="M27" s="448" t="s">
        <v>453</v>
      </c>
      <c r="N27" s="447" t="s">
        <v>452</v>
      </c>
      <c r="O27" s="450">
        <v>6.2500000000000003E-3</v>
      </c>
      <c r="P27" s="2"/>
      <c r="Q27" s="274">
        <v>25</v>
      </c>
      <c r="R27" s="98"/>
      <c r="T27" s="26" t="s">
        <v>508</v>
      </c>
    </row>
    <row r="28" spans="2:20" ht="17.25" x14ac:dyDescent="0.25">
      <c r="B28" s="97"/>
      <c r="C28" s="4" t="s">
        <v>458</v>
      </c>
      <c r="D28" s="2" t="s">
        <v>79</v>
      </c>
      <c r="E28" s="2" t="s">
        <v>63</v>
      </c>
      <c r="F28" s="2" t="s">
        <v>8</v>
      </c>
      <c r="G28" s="544" t="s">
        <v>497</v>
      </c>
      <c r="H28" s="2" t="s">
        <v>529</v>
      </c>
      <c r="I28" s="547" t="s">
        <v>669</v>
      </c>
      <c r="J28" s="2" t="s">
        <v>69</v>
      </c>
      <c r="K28" s="2"/>
      <c r="L28" s="448" t="s">
        <v>331</v>
      </c>
      <c r="M28" s="448" t="s">
        <v>331</v>
      </c>
      <c r="N28" s="447" t="s">
        <v>584</v>
      </c>
      <c r="O28" s="450">
        <f>'6. %'!F28</f>
        <v>0.11483735948644427</v>
      </c>
      <c r="P28" s="2"/>
      <c r="Q28" s="274">
        <v>26</v>
      </c>
      <c r="R28" s="98"/>
      <c r="T28" s="26" t="s">
        <v>69</v>
      </c>
    </row>
    <row r="29" spans="2:20" x14ac:dyDescent="0.25">
      <c r="B29" s="97"/>
      <c r="C29" s="4" t="s">
        <v>505</v>
      </c>
      <c r="D29" s="2" t="s">
        <v>79</v>
      </c>
      <c r="E29" s="2" t="s">
        <v>506</v>
      </c>
      <c r="F29" s="2" t="s">
        <v>507</v>
      </c>
      <c r="G29" s="544" t="s">
        <v>582</v>
      </c>
      <c r="H29" s="2"/>
      <c r="I29" s="547"/>
      <c r="J29" s="2" t="s">
        <v>508</v>
      </c>
      <c r="K29" s="2"/>
      <c r="L29" s="448" t="s">
        <v>331</v>
      </c>
      <c r="M29" s="448" t="s">
        <v>583</v>
      </c>
      <c r="N29" s="447" t="s">
        <v>423</v>
      </c>
      <c r="O29" s="450">
        <v>0.25</v>
      </c>
      <c r="P29" s="2"/>
      <c r="Q29" s="274">
        <v>27</v>
      </c>
      <c r="R29" s="98"/>
    </row>
    <row r="30" spans="2:20" x14ac:dyDescent="0.25">
      <c r="B30" s="97"/>
      <c r="C30" s="5" t="s">
        <v>645</v>
      </c>
      <c r="D30" s="2" t="s">
        <v>79</v>
      </c>
      <c r="E30" s="7" t="s">
        <v>65</v>
      </c>
      <c r="F30" s="7" t="str">
        <f>'S | 01 '!F30</f>
        <v>G42 Capital</v>
      </c>
      <c r="G30" s="625" t="s">
        <v>670</v>
      </c>
      <c r="H30" s="7"/>
      <c r="I30" s="626"/>
      <c r="J30" s="7" t="s">
        <v>45</v>
      </c>
      <c r="K30" s="7"/>
      <c r="L30" s="627" t="s">
        <v>331</v>
      </c>
      <c r="M30" s="627" t="s">
        <v>331</v>
      </c>
      <c r="N30" s="447" t="s">
        <v>416</v>
      </c>
      <c r="O30" s="450" t="s">
        <v>130</v>
      </c>
      <c r="P30" s="7"/>
      <c r="Q30" s="273">
        <v>28</v>
      </c>
      <c r="R30" s="98"/>
    </row>
    <row r="31" spans="2:20" s="101" customFormat="1" x14ac:dyDescent="0.25">
      <c r="B31" s="99"/>
      <c r="C31" s="118"/>
      <c r="D31" s="118"/>
      <c r="E31" s="118"/>
      <c r="F31" s="118"/>
      <c r="G31" s="118"/>
      <c r="H31" s="118"/>
      <c r="I31" s="118"/>
      <c r="J31" s="118"/>
      <c r="K31" s="118"/>
      <c r="L31" s="449"/>
      <c r="M31" s="449"/>
      <c r="N31" s="449"/>
      <c r="O31" s="451"/>
      <c r="P31" s="118"/>
      <c r="Q31" s="275"/>
      <c r="R31" s="100"/>
    </row>
    <row r="32" spans="2:20" s="96" customFormat="1" x14ac:dyDescent="0.25">
      <c r="B32" s="94"/>
      <c r="C32" s="5"/>
      <c r="D32" s="8"/>
      <c r="E32" s="8"/>
      <c r="F32" s="8"/>
      <c r="G32" s="8"/>
      <c r="H32" s="8"/>
      <c r="I32" s="8"/>
      <c r="J32" s="8"/>
      <c r="K32" s="8"/>
      <c r="L32" s="8"/>
      <c r="M32" s="8"/>
      <c r="N32" s="8"/>
      <c r="O32" s="452"/>
      <c r="P32" s="8"/>
      <c r="Q32" s="273"/>
      <c r="R32" s="95"/>
    </row>
    <row r="33" spans="2:20" x14ac:dyDescent="0.25">
      <c r="B33" s="97"/>
      <c r="C33" s="678" t="s">
        <v>29</v>
      </c>
      <c r="D33" s="579"/>
      <c r="E33" s="580"/>
      <c r="F33" s="580"/>
      <c r="G33" s="580"/>
      <c r="H33" s="580"/>
      <c r="I33" s="581"/>
      <c r="J33" s="582"/>
      <c r="K33" s="583"/>
      <c r="L33" s="583"/>
      <c r="M33" s="583"/>
      <c r="N33" s="583"/>
      <c r="O33" s="583"/>
      <c r="P33" s="583"/>
      <c r="Q33" s="582"/>
      <c r="R33" s="98"/>
      <c r="T33" s="580"/>
    </row>
    <row r="34" spans="2:20" ht="17.25" x14ac:dyDescent="0.25">
      <c r="B34" s="97"/>
      <c r="C34" s="4" t="s">
        <v>49</v>
      </c>
      <c r="D34" s="2" t="s">
        <v>136</v>
      </c>
      <c r="E34" s="2"/>
      <c r="F34" s="2" t="s">
        <v>8</v>
      </c>
      <c r="G34" s="544" t="s">
        <v>501</v>
      </c>
      <c r="H34" s="2" t="s">
        <v>529</v>
      </c>
      <c r="I34" s="544" t="s">
        <v>573</v>
      </c>
      <c r="J34" s="2" t="s">
        <v>132</v>
      </c>
      <c r="K34" s="2"/>
      <c r="L34" s="2" t="s">
        <v>130</v>
      </c>
      <c r="M34" s="2" t="s">
        <v>130</v>
      </c>
      <c r="N34" s="2" t="s">
        <v>130</v>
      </c>
      <c r="O34" s="450"/>
      <c r="P34" s="2"/>
      <c r="Q34" s="274">
        <v>16</v>
      </c>
      <c r="R34" s="98"/>
    </row>
    <row r="35" spans="2:20" ht="17.25" x14ac:dyDescent="0.25">
      <c r="B35" s="97"/>
      <c r="C35" s="4" t="s">
        <v>271</v>
      </c>
      <c r="D35" s="2" t="s">
        <v>136</v>
      </c>
      <c r="E35" s="2" t="s">
        <v>64</v>
      </c>
      <c r="F35" s="2" t="s">
        <v>8</v>
      </c>
      <c r="G35" s="544" t="s">
        <v>497</v>
      </c>
      <c r="H35" s="2" t="s">
        <v>529</v>
      </c>
      <c r="I35" s="544" t="s">
        <v>573</v>
      </c>
      <c r="J35" s="2" t="s">
        <v>134</v>
      </c>
      <c r="K35" s="2"/>
      <c r="L35" s="448" t="s">
        <v>331</v>
      </c>
      <c r="M35" s="448" t="s">
        <v>331</v>
      </c>
      <c r="N35" s="2" t="str">
        <f>N10</f>
        <v>Cayman Islands</v>
      </c>
      <c r="O35" s="450"/>
      <c r="P35" s="2"/>
      <c r="Q35" s="274">
        <v>17</v>
      </c>
      <c r="R35" s="98"/>
    </row>
    <row r="36" spans="2:20" ht="17.25" x14ac:dyDescent="0.25">
      <c r="B36" s="97"/>
      <c r="C36" s="4" t="s">
        <v>263</v>
      </c>
      <c r="D36" s="2" t="s">
        <v>79</v>
      </c>
      <c r="E36" s="2" t="s">
        <v>63</v>
      </c>
      <c r="F36" s="2" t="s">
        <v>8</v>
      </c>
      <c r="G36" s="544" t="s">
        <v>497</v>
      </c>
      <c r="H36" s="2" t="s">
        <v>529</v>
      </c>
      <c r="I36" s="544" t="s">
        <v>573</v>
      </c>
      <c r="J36" s="2" t="s">
        <v>134</v>
      </c>
      <c r="K36" s="2"/>
      <c r="L36" s="448" t="s">
        <v>331</v>
      </c>
      <c r="M36" s="2" t="s">
        <v>130</v>
      </c>
      <c r="N36" s="2" t="str">
        <f>N12</f>
        <v xml:space="preserve">DIFC </v>
      </c>
      <c r="O36" s="450"/>
      <c r="P36" s="2"/>
      <c r="Q36" s="274">
        <v>18</v>
      </c>
      <c r="R36" s="98"/>
    </row>
    <row r="37" spans="2:20" s="101" customFormat="1" x14ac:dyDescent="0.25">
      <c r="B37" s="99"/>
      <c r="C37" s="118"/>
      <c r="D37" s="118"/>
      <c r="E37" s="118"/>
      <c r="F37" s="118"/>
      <c r="G37" s="118"/>
      <c r="H37" s="118"/>
      <c r="I37" s="118"/>
      <c r="J37" s="118"/>
      <c r="K37" s="118"/>
      <c r="L37" s="118"/>
      <c r="M37" s="118"/>
      <c r="N37" s="118"/>
      <c r="O37" s="451"/>
      <c r="P37" s="118"/>
      <c r="Q37" s="275"/>
      <c r="R37" s="100"/>
    </row>
    <row r="38" spans="2:20" s="96" customFormat="1" x14ac:dyDescent="0.25">
      <c r="B38" s="94"/>
      <c r="C38" s="5"/>
      <c r="D38" s="8"/>
      <c r="E38" s="8"/>
      <c r="F38" s="8"/>
      <c r="G38" s="8"/>
      <c r="H38" s="8"/>
      <c r="I38" s="8"/>
      <c r="J38" s="8"/>
      <c r="K38" s="8"/>
      <c r="L38" s="8"/>
      <c r="M38" s="8"/>
      <c r="N38" s="8"/>
      <c r="O38" s="452"/>
      <c r="P38" s="8"/>
      <c r="Q38" s="273"/>
      <c r="R38" s="95"/>
    </row>
    <row r="39" spans="2:20" x14ac:dyDescent="0.25">
      <c r="B39" s="97"/>
      <c r="C39" s="678" t="s">
        <v>30</v>
      </c>
      <c r="D39" s="579"/>
      <c r="E39" s="580"/>
      <c r="F39" s="580"/>
      <c r="G39" s="580"/>
      <c r="H39" s="580"/>
      <c r="I39" s="581"/>
      <c r="J39" s="582"/>
      <c r="K39" s="583"/>
      <c r="L39" s="583"/>
      <c r="M39" s="583"/>
      <c r="N39" s="583"/>
      <c r="O39" s="583"/>
      <c r="P39" s="583"/>
      <c r="Q39" s="582"/>
      <c r="R39" s="98"/>
      <c r="T39" s="580"/>
    </row>
    <row r="40" spans="2:20" ht="17.25" x14ac:dyDescent="0.25">
      <c r="B40" s="97"/>
      <c r="C40" s="4" t="s">
        <v>124</v>
      </c>
      <c r="D40" s="2" t="s">
        <v>79</v>
      </c>
      <c r="E40" s="2" t="s">
        <v>63</v>
      </c>
      <c r="F40" s="2" t="s">
        <v>11</v>
      </c>
      <c r="G40" s="544" t="s">
        <v>501</v>
      </c>
      <c r="H40" s="2" t="s">
        <v>529</v>
      </c>
      <c r="I40" s="544" t="s">
        <v>530</v>
      </c>
      <c r="J40" s="2" t="s">
        <v>55</v>
      </c>
      <c r="K40" s="2"/>
      <c r="L40" s="448" t="s">
        <v>331</v>
      </c>
      <c r="M40" s="448" t="s">
        <v>331</v>
      </c>
      <c r="N40" s="450" t="s">
        <v>432</v>
      </c>
      <c r="O40" s="454">
        <v>0.22044081593927894</v>
      </c>
      <c r="P40" s="2"/>
      <c r="Q40" s="274">
        <v>19</v>
      </c>
      <c r="R40" s="98"/>
    </row>
    <row r="41" spans="2:20" ht="17.25" x14ac:dyDescent="0.25">
      <c r="B41" s="97"/>
      <c r="C41" s="4" t="s">
        <v>380</v>
      </c>
      <c r="D41" s="2" t="s">
        <v>79</v>
      </c>
      <c r="E41" s="2" t="s">
        <v>63</v>
      </c>
      <c r="F41" s="2" t="s">
        <v>11</v>
      </c>
      <c r="G41" s="544" t="s">
        <v>501</v>
      </c>
      <c r="H41" s="2" t="s">
        <v>529</v>
      </c>
      <c r="I41" s="544" t="s">
        <v>530</v>
      </c>
      <c r="J41" s="2" t="s">
        <v>61</v>
      </c>
      <c r="K41" s="2"/>
      <c r="L41" s="448" t="s">
        <v>331</v>
      </c>
      <c r="M41" s="448" t="s">
        <v>331</v>
      </c>
      <c r="N41" s="450" t="s">
        <v>432</v>
      </c>
      <c r="O41" s="454">
        <v>2.0161290322580645E-2</v>
      </c>
      <c r="P41" s="2"/>
      <c r="Q41" s="274">
        <v>20</v>
      </c>
      <c r="R41" s="98"/>
    </row>
    <row r="42" spans="2:20" x14ac:dyDescent="0.25">
      <c r="B42" s="97"/>
      <c r="C42" s="4" t="s">
        <v>1</v>
      </c>
      <c r="D42" s="2" t="s">
        <v>79</v>
      </c>
      <c r="E42" s="2" t="s">
        <v>64</v>
      </c>
      <c r="F42" s="2" t="s">
        <v>11</v>
      </c>
      <c r="G42" s="544" t="s">
        <v>502</v>
      </c>
      <c r="H42" s="2" t="s">
        <v>531</v>
      </c>
      <c r="I42" s="544" t="s">
        <v>532</v>
      </c>
      <c r="J42" s="2" t="s">
        <v>55</v>
      </c>
      <c r="K42" s="2"/>
      <c r="L42" s="2" t="s">
        <v>130</v>
      </c>
      <c r="M42" s="448" t="s">
        <v>331</v>
      </c>
      <c r="N42" s="450" t="s">
        <v>415</v>
      </c>
      <c r="O42" s="450">
        <v>0.99499999897183333</v>
      </c>
      <c r="P42" s="2"/>
      <c r="Q42" s="274">
        <v>21</v>
      </c>
      <c r="R42" s="98"/>
    </row>
    <row r="43" spans="2:20" ht="17.25" x14ac:dyDescent="0.25">
      <c r="B43" s="97"/>
      <c r="C43" s="4" t="s">
        <v>12</v>
      </c>
      <c r="D43" s="2" t="s">
        <v>79</v>
      </c>
      <c r="E43" s="2" t="s">
        <v>64</v>
      </c>
      <c r="F43" s="2" t="s">
        <v>11</v>
      </c>
      <c r="G43" s="544" t="s">
        <v>501</v>
      </c>
      <c r="H43" s="2" t="s">
        <v>529</v>
      </c>
      <c r="I43" s="544" t="s">
        <v>530</v>
      </c>
      <c r="J43" s="2" t="s">
        <v>55</v>
      </c>
      <c r="K43" s="2"/>
      <c r="L43" s="448" t="s">
        <v>331</v>
      </c>
      <c r="M43" s="448" t="s">
        <v>331</v>
      </c>
      <c r="N43" s="450" t="s">
        <v>415</v>
      </c>
      <c r="O43" s="450">
        <v>0.10066090487405174</v>
      </c>
      <c r="P43" s="2"/>
      <c r="Q43" s="274">
        <v>22</v>
      </c>
      <c r="R43" s="98"/>
    </row>
    <row r="44" spans="2:20" ht="17.25" x14ac:dyDescent="0.25">
      <c r="B44" s="97"/>
      <c r="C44" s="4" t="s">
        <v>175</v>
      </c>
      <c r="D44" s="2" t="s">
        <v>79</v>
      </c>
      <c r="E44" s="2" t="s">
        <v>65</v>
      </c>
      <c r="F44" s="2" t="s">
        <v>11</v>
      </c>
      <c r="G44" s="544" t="s">
        <v>501</v>
      </c>
      <c r="H44" s="2" t="s">
        <v>529</v>
      </c>
      <c r="I44" s="544" t="s">
        <v>530</v>
      </c>
      <c r="J44" s="2" t="s">
        <v>55</v>
      </c>
      <c r="K44" s="2"/>
      <c r="L44" s="448" t="s">
        <v>331</v>
      </c>
      <c r="M44" s="448" t="s">
        <v>331</v>
      </c>
      <c r="N44" s="450" t="s">
        <v>430</v>
      </c>
      <c r="O44" s="450">
        <v>0.33333333333333331</v>
      </c>
      <c r="P44" s="2" t="s">
        <v>382</v>
      </c>
      <c r="Q44" s="274">
        <v>23</v>
      </c>
      <c r="R44" s="98"/>
    </row>
    <row r="45" spans="2:20" s="101" customFormat="1" x14ac:dyDescent="0.25">
      <c r="B45" s="99"/>
      <c r="C45" s="118"/>
      <c r="D45" s="118"/>
      <c r="E45" s="118"/>
      <c r="F45" s="118"/>
      <c r="G45" s="118"/>
      <c r="H45" s="118"/>
      <c r="I45" s="118"/>
      <c r="J45" s="118"/>
      <c r="K45" s="118"/>
      <c r="L45" s="118"/>
      <c r="M45" s="118"/>
      <c r="N45" s="118"/>
      <c r="O45" s="451"/>
      <c r="P45" s="118"/>
      <c r="Q45" s="275"/>
      <c r="R45" s="100"/>
    </row>
    <row r="46" spans="2:20" ht="15.75" thickBot="1" x14ac:dyDescent="0.3">
      <c r="B46" s="102"/>
      <c r="C46" s="103"/>
      <c r="D46" s="141"/>
      <c r="E46" s="141"/>
      <c r="F46" s="141"/>
      <c r="G46" s="141"/>
      <c r="H46" s="141"/>
      <c r="I46" s="141"/>
      <c r="J46" s="141"/>
      <c r="K46" s="141"/>
      <c r="L46" s="141"/>
      <c r="M46" s="141"/>
      <c r="N46" s="141"/>
      <c r="O46" s="141"/>
      <c r="P46" s="141"/>
      <c r="Q46" s="141"/>
      <c r="R46" s="106"/>
    </row>
    <row r="48" spans="2:20" s="96" customFormat="1" x14ac:dyDescent="0.25">
      <c r="B48" s="283" t="s">
        <v>153</v>
      </c>
      <c r="D48" s="7"/>
      <c r="E48" s="7"/>
      <c r="F48" s="7"/>
      <c r="G48" s="7"/>
      <c r="H48" s="7"/>
      <c r="I48" s="7"/>
      <c r="J48" s="7"/>
      <c r="K48" s="7"/>
      <c r="L48" s="7"/>
      <c r="M48" s="7"/>
      <c r="N48" s="7"/>
      <c r="O48" s="7"/>
      <c r="P48" s="7"/>
      <c r="Q48" s="7"/>
    </row>
    <row r="49" spans="2:18" s="96" customFormat="1" x14ac:dyDescent="0.25">
      <c r="B49" s="282">
        <v>0</v>
      </c>
      <c r="C49" s="281" t="s">
        <v>666</v>
      </c>
      <c r="D49" s="575" t="s">
        <v>536</v>
      </c>
      <c r="E49" s="575"/>
      <c r="F49" s="575"/>
      <c r="G49" s="575"/>
      <c r="H49" s="575"/>
      <c r="I49" s="575"/>
      <c r="J49" s="575"/>
      <c r="K49" s="575"/>
      <c r="L49" s="575"/>
      <c r="M49" s="575"/>
      <c r="N49" s="575"/>
      <c r="O49" s="575"/>
      <c r="P49" s="575"/>
      <c r="Q49" s="575"/>
      <c r="R49" s="575"/>
    </row>
    <row r="50" spans="2:18" s="96" customFormat="1" x14ac:dyDescent="0.25">
      <c r="B50" s="277">
        <v>1</v>
      </c>
      <c r="C50" s="279" t="s">
        <v>249</v>
      </c>
      <c r="D50" s="574" t="s">
        <v>257</v>
      </c>
      <c r="E50" s="574"/>
      <c r="F50" s="574"/>
      <c r="G50" s="574"/>
      <c r="H50" s="574"/>
      <c r="I50" s="574"/>
      <c r="J50" s="574"/>
      <c r="K50" s="574"/>
      <c r="L50" s="574"/>
      <c r="M50" s="574"/>
      <c r="N50" s="574"/>
      <c r="O50" s="574"/>
      <c r="P50" s="574"/>
      <c r="Q50" s="574"/>
      <c r="R50" s="574"/>
    </row>
    <row r="51" spans="2:18" x14ac:dyDescent="0.25">
      <c r="B51" s="282">
        <v>2</v>
      </c>
      <c r="C51" s="281" t="s">
        <v>60</v>
      </c>
      <c r="D51" s="575" t="s">
        <v>434</v>
      </c>
      <c r="E51" s="575"/>
      <c r="F51" s="575"/>
      <c r="G51" s="575"/>
      <c r="H51" s="575"/>
      <c r="I51" s="575"/>
      <c r="J51" s="575"/>
      <c r="K51" s="575"/>
      <c r="L51" s="575"/>
      <c r="M51" s="575"/>
      <c r="N51" s="575"/>
      <c r="O51" s="575"/>
      <c r="P51" s="575"/>
      <c r="Q51" s="575"/>
      <c r="R51" s="575"/>
    </row>
    <row r="52" spans="2:18" s="27" customFormat="1" x14ac:dyDescent="0.25">
      <c r="B52" s="277">
        <v>3</v>
      </c>
      <c r="C52" s="278" t="s">
        <v>251</v>
      </c>
      <c r="D52" s="574" t="s">
        <v>256</v>
      </c>
      <c r="E52" s="574"/>
      <c r="F52" s="574"/>
      <c r="G52" s="574"/>
      <c r="H52" s="574"/>
      <c r="I52" s="574"/>
      <c r="J52" s="574"/>
      <c r="K52" s="574"/>
      <c r="L52" s="574"/>
      <c r="M52" s="574"/>
      <c r="N52" s="574"/>
      <c r="O52" s="574"/>
      <c r="P52" s="574"/>
      <c r="Q52" s="574"/>
      <c r="R52" s="574"/>
    </row>
    <row r="53" spans="2:18" x14ac:dyDescent="0.25">
      <c r="B53" s="282">
        <v>4</v>
      </c>
      <c r="C53" s="281" t="s">
        <v>250</v>
      </c>
      <c r="D53" s="575" t="s">
        <v>26</v>
      </c>
      <c r="E53" s="575"/>
      <c r="F53" s="575"/>
      <c r="G53" s="575"/>
      <c r="H53" s="575"/>
      <c r="I53" s="575"/>
      <c r="J53" s="575"/>
      <c r="K53" s="575"/>
      <c r="L53" s="575"/>
      <c r="M53" s="575"/>
      <c r="N53" s="575"/>
      <c r="O53" s="575"/>
      <c r="P53" s="575"/>
      <c r="Q53" s="575"/>
      <c r="R53" s="575"/>
    </row>
    <row r="54" spans="2:18" x14ac:dyDescent="0.25">
      <c r="B54" s="277">
        <v>5</v>
      </c>
      <c r="C54" s="278" t="s">
        <v>38</v>
      </c>
      <c r="D54" s="574" t="s">
        <v>260</v>
      </c>
      <c r="E54" s="574"/>
      <c r="F54" s="574"/>
      <c r="G54" s="574"/>
      <c r="H54" s="574"/>
      <c r="I54" s="574"/>
      <c r="J54" s="574"/>
      <c r="K54" s="574"/>
      <c r="L54" s="574"/>
      <c r="M54" s="574"/>
      <c r="N54" s="574"/>
      <c r="O54" s="574"/>
      <c r="P54" s="574"/>
      <c r="Q54" s="574"/>
      <c r="R54" s="574"/>
    </row>
    <row r="55" spans="2:18" x14ac:dyDescent="0.25">
      <c r="B55" s="282">
        <v>6</v>
      </c>
      <c r="C55" s="281" t="s">
        <v>88</v>
      </c>
      <c r="D55" s="575" t="s">
        <v>397</v>
      </c>
      <c r="E55" s="575"/>
      <c r="F55" s="575"/>
      <c r="G55" s="575"/>
      <c r="H55" s="575"/>
      <c r="I55" s="575"/>
      <c r="J55" s="575"/>
      <c r="K55" s="575"/>
      <c r="L55" s="575"/>
      <c r="M55" s="575"/>
      <c r="N55" s="575"/>
      <c r="O55" s="575"/>
      <c r="P55" s="575"/>
      <c r="Q55" s="575"/>
      <c r="R55" s="575"/>
    </row>
    <row r="56" spans="2:18" x14ac:dyDescent="0.25">
      <c r="B56" s="277">
        <v>7</v>
      </c>
      <c r="C56" s="278" t="s">
        <v>9</v>
      </c>
      <c r="D56" s="574" t="s">
        <v>258</v>
      </c>
      <c r="E56" s="574"/>
      <c r="F56" s="574"/>
      <c r="G56" s="574"/>
      <c r="H56" s="574"/>
      <c r="I56" s="574"/>
      <c r="J56" s="574"/>
      <c r="K56" s="574"/>
      <c r="L56" s="574"/>
      <c r="M56" s="574"/>
      <c r="N56" s="574"/>
      <c r="O56" s="574"/>
      <c r="P56" s="574"/>
      <c r="Q56" s="574"/>
      <c r="R56" s="574"/>
    </row>
    <row r="57" spans="2:18" x14ac:dyDescent="0.25">
      <c r="B57" s="282">
        <v>8</v>
      </c>
      <c r="C57" s="281" t="s">
        <v>18</v>
      </c>
      <c r="D57" s="575" t="s">
        <v>255</v>
      </c>
      <c r="E57" s="575"/>
      <c r="F57" s="575"/>
      <c r="G57" s="575"/>
      <c r="H57" s="575"/>
      <c r="I57" s="575"/>
      <c r="J57" s="575"/>
      <c r="K57" s="575"/>
      <c r="L57" s="575"/>
      <c r="M57" s="575"/>
      <c r="N57" s="575"/>
      <c r="O57" s="575"/>
      <c r="P57" s="575"/>
      <c r="Q57" s="575"/>
      <c r="R57" s="575"/>
    </row>
    <row r="58" spans="2:18" x14ac:dyDescent="0.25">
      <c r="B58" s="277">
        <v>9</v>
      </c>
      <c r="C58" s="278" t="s">
        <v>41</v>
      </c>
      <c r="D58" s="574" t="s">
        <v>261</v>
      </c>
      <c r="E58" s="574"/>
      <c r="F58" s="574"/>
      <c r="G58" s="574"/>
      <c r="H58" s="574"/>
      <c r="I58" s="574"/>
      <c r="J58" s="574"/>
      <c r="K58" s="574"/>
      <c r="L58" s="574"/>
      <c r="M58" s="574"/>
      <c r="N58" s="574"/>
      <c r="O58" s="574"/>
      <c r="P58" s="574"/>
      <c r="Q58" s="574"/>
      <c r="R58" s="574"/>
    </row>
    <row r="59" spans="2:18" x14ac:dyDescent="0.25">
      <c r="B59" s="282">
        <v>10</v>
      </c>
      <c r="C59" s="281" t="s">
        <v>42</v>
      </c>
      <c r="D59" s="575"/>
      <c r="E59" s="575"/>
      <c r="F59" s="575"/>
      <c r="G59" s="575"/>
      <c r="H59" s="575"/>
      <c r="I59" s="575"/>
      <c r="J59" s="575"/>
      <c r="K59" s="575"/>
      <c r="L59" s="575"/>
      <c r="M59" s="575"/>
      <c r="N59" s="575"/>
      <c r="O59" s="575"/>
      <c r="P59" s="575"/>
      <c r="Q59" s="575"/>
      <c r="R59" s="575"/>
    </row>
    <row r="60" spans="2:18" x14ac:dyDescent="0.25">
      <c r="B60" s="277">
        <v>11</v>
      </c>
      <c r="C60" s="278" t="s">
        <v>43</v>
      </c>
      <c r="D60" s="574" t="s">
        <v>454</v>
      </c>
      <c r="E60" s="574"/>
      <c r="F60" s="574"/>
      <c r="G60" s="574"/>
      <c r="H60" s="574"/>
      <c r="I60" s="574"/>
      <c r="J60" s="574"/>
      <c r="K60" s="574"/>
      <c r="L60" s="574"/>
      <c r="M60" s="574"/>
      <c r="N60" s="574"/>
      <c r="O60" s="574"/>
      <c r="P60" s="574"/>
      <c r="Q60" s="574"/>
      <c r="R60" s="574"/>
    </row>
    <row r="61" spans="2:18" x14ac:dyDescent="0.25">
      <c r="B61" s="282">
        <v>12</v>
      </c>
      <c r="C61" s="281" t="s">
        <v>71</v>
      </c>
      <c r="D61" s="575" t="s">
        <v>254</v>
      </c>
      <c r="E61" s="575"/>
      <c r="F61" s="575"/>
      <c r="G61" s="575"/>
      <c r="H61" s="575"/>
      <c r="I61" s="575"/>
      <c r="J61" s="575"/>
      <c r="K61" s="575"/>
      <c r="L61" s="575"/>
      <c r="M61" s="575"/>
      <c r="N61" s="575"/>
      <c r="O61" s="575"/>
      <c r="P61" s="575"/>
      <c r="Q61" s="575"/>
      <c r="R61" s="575"/>
    </row>
    <row r="62" spans="2:18" x14ac:dyDescent="0.25">
      <c r="B62" s="277">
        <v>13</v>
      </c>
      <c r="C62" s="278" t="s">
        <v>247</v>
      </c>
      <c r="D62" s="574" t="s">
        <v>259</v>
      </c>
      <c r="E62" s="574"/>
      <c r="F62" s="574"/>
      <c r="G62" s="574"/>
      <c r="H62" s="574"/>
      <c r="I62" s="574"/>
      <c r="J62" s="574"/>
      <c r="K62" s="574"/>
      <c r="L62" s="574"/>
      <c r="M62" s="574"/>
      <c r="N62" s="574"/>
      <c r="O62" s="574"/>
      <c r="P62" s="574"/>
      <c r="Q62" s="574"/>
      <c r="R62" s="574"/>
    </row>
    <row r="63" spans="2:18" x14ac:dyDescent="0.25">
      <c r="B63" s="282">
        <v>14</v>
      </c>
      <c r="C63" s="280" t="s">
        <v>241</v>
      </c>
      <c r="D63" s="575" t="s">
        <v>435</v>
      </c>
      <c r="E63" s="575"/>
      <c r="F63" s="575"/>
      <c r="G63" s="575"/>
      <c r="H63" s="575"/>
      <c r="I63" s="575"/>
      <c r="J63" s="575"/>
      <c r="K63" s="575"/>
      <c r="L63" s="575"/>
      <c r="M63" s="575"/>
      <c r="N63" s="575"/>
      <c r="O63" s="575"/>
      <c r="P63" s="575"/>
      <c r="Q63" s="575"/>
      <c r="R63" s="575"/>
    </row>
    <row r="64" spans="2:18" x14ac:dyDescent="0.25">
      <c r="B64" s="277">
        <v>15</v>
      </c>
      <c r="C64" s="278" t="s">
        <v>248</v>
      </c>
      <c r="D64" s="574" t="s">
        <v>340</v>
      </c>
      <c r="E64" s="574"/>
      <c r="F64" s="574"/>
      <c r="G64" s="574"/>
      <c r="H64" s="574"/>
      <c r="I64" s="574"/>
      <c r="J64" s="574"/>
      <c r="K64" s="574"/>
      <c r="L64" s="574"/>
      <c r="M64" s="574"/>
      <c r="N64" s="574"/>
      <c r="O64" s="574"/>
      <c r="P64" s="574"/>
      <c r="Q64" s="574"/>
      <c r="R64" s="574"/>
    </row>
    <row r="65" spans="2:22" x14ac:dyDescent="0.25">
      <c r="B65" s="282">
        <v>16</v>
      </c>
      <c r="C65" s="281" t="s">
        <v>253</v>
      </c>
      <c r="D65" s="575" t="s">
        <v>265</v>
      </c>
      <c r="E65" s="575"/>
      <c r="F65" s="575"/>
      <c r="G65" s="575"/>
      <c r="H65" s="575"/>
      <c r="I65" s="575"/>
      <c r="J65" s="575"/>
      <c r="K65" s="575"/>
      <c r="L65" s="575"/>
      <c r="M65" s="575"/>
      <c r="N65" s="575"/>
      <c r="O65" s="575"/>
      <c r="P65" s="575"/>
      <c r="Q65" s="575"/>
      <c r="R65" s="575"/>
    </row>
    <row r="66" spans="2:22" x14ac:dyDescent="0.25">
      <c r="B66" s="277">
        <v>17</v>
      </c>
      <c r="C66" s="278" t="s">
        <v>262</v>
      </c>
      <c r="D66" s="574" t="s">
        <v>585</v>
      </c>
      <c r="E66" s="574"/>
      <c r="F66" s="574"/>
      <c r="G66" s="574"/>
      <c r="H66" s="574"/>
      <c r="I66" s="574"/>
      <c r="J66" s="574"/>
      <c r="K66" s="574"/>
      <c r="L66" s="574"/>
      <c r="M66" s="574"/>
      <c r="N66" s="574"/>
      <c r="O66" s="574"/>
      <c r="P66" s="574"/>
      <c r="Q66" s="574"/>
      <c r="R66" s="574"/>
    </row>
    <row r="67" spans="2:22" x14ac:dyDescent="0.25">
      <c r="B67" s="282">
        <v>18</v>
      </c>
      <c r="C67" s="281" t="s">
        <v>263</v>
      </c>
      <c r="D67" s="575" t="s">
        <v>266</v>
      </c>
      <c r="E67" s="575"/>
      <c r="F67" s="575"/>
      <c r="G67" s="575"/>
      <c r="H67" s="575"/>
      <c r="I67" s="575"/>
      <c r="J67" s="575"/>
      <c r="K67" s="575"/>
      <c r="L67" s="575"/>
      <c r="M67" s="575"/>
      <c r="N67" s="575"/>
      <c r="O67" s="575"/>
      <c r="P67" s="575"/>
      <c r="Q67" s="575"/>
      <c r="R67" s="575"/>
    </row>
    <row r="68" spans="2:22" x14ac:dyDescent="0.25">
      <c r="B68" s="277">
        <v>19</v>
      </c>
      <c r="C68" s="278" t="s">
        <v>124</v>
      </c>
      <c r="D68" s="574" t="s">
        <v>438</v>
      </c>
      <c r="E68" s="574"/>
      <c r="F68" s="574"/>
      <c r="G68" s="574"/>
      <c r="H68" s="574"/>
      <c r="I68" s="574"/>
      <c r="J68" s="574"/>
      <c r="K68" s="574"/>
      <c r="L68" s="574"/>
      <c r="M68" s="574"/>
      <c r="N68" s="574"/>
      <c r="O68" s="574"/>
      <c r="P68" s="574"/>
      <c r="Q68" s="574"/>
      <c r="R68" s="574"/>
    </row>
    <row r="69" spans="2:22" x14ac:dyDescent="0.25">
      <c r="B69" s="282">
        <v>20</v>
      </c>
      <c r="C69" s="281" t="s">
        <v>107</v>
      </c>
      <c r="D69" s="575" t="s">
        <v>264</v>
      </c>
      <c r="E69" s="575"/>
      <c r="F69" s="575"/>
      <c r="G69" s="575"/>
      <c r="H69" s="575"/>
      <c r="I69" s="575"/>
      <c r="J69" s="575"/>
      <c r="K69" s="575"/>
      <c r="L69" s="575"/>
      <c r="M69" s="575"/>
      <c r="N69" s="575"/>
      <c r="O69" s="575"/>
      <c r="P69" s="575"/>
      <c r="Q69" s="575"/>
      <c r="R69" s="575"/>
    </row>
    <row r="70" spans="2:22" x14ac:dyDescent="0.25">
      <c r="B70" s="277">
        <v>21</v>
      </c>
      <c r="C70" s="278" t="s">
        <v>242</v>
      </c>
      <c r="D70" s="574" t="s">
        <v>243</v>
      </c>
      <c r="E70" s="574"/>
      <c r="F70" s="574"/>
      <c r="G70" s="574"/>
      <c r="H70" s="574"/>
      <c r="I70" s="574"/>
      <c r="J70" s="574"/>
      <c r="K70" s="574"/>
      <c r="L70" s="574"/>
      <c r="M70" s="574"/>
      <c r="N70" s="574"/>
      <c r="O70" s="574"/>
      <c r="P70" s="574"/>
      <c r="Q70" s="574"/>
      <c r="R70" s="574"/>
    </row>
    <row r="71" spans="2:22" x14ac:dyDescent="0.25">
      <c r="B71" s="282">
        <v>22</v>
      </c>
      <c r="C71" s="281" t="s">
        <v>244</v>
      </c>
      <c r="D71" s="575" t="s">
        <v>245</v>
      </c>
      <c r="E71" s="575"/>
      <c r="F71" s="575"/>
      <c r="G71" s="575"/>
      <c r="H71" s="575"/>
      <c r="I71" s="575"/>
      <c r="J71" s="575"/>
      <c r="K71" s="575"/>
      <c r="L71" s="575"/>
      <c r="M71" s="575"/>
      <c r="N71" s="575"/>
      <c r="O71" s="575"/>
      <c r="P71" s="575"/>
      <c r="Q71" s="575"/>
      <c r="R71" s="575"/>
    </row>
    <row r="72" spans="2:22" x14ac:dyDescent="0.25">
      <c r="B72" s="277">
        <v>23</v>
      </c>
      <c r="C72" s="278" t="s">
        <v>246</v>
      </c>
      <c r="D72" s="574"/>
      <c r="E72" s="574"/>
      <c r="F72" s="574"/>
      <c r="G72" s="574"/>
      <c r="H72" s="574"/>
      <c r="I72" s="574"/>
      <c r="J72" s="574"/>
      <c r="K72" s="574"/>
      <c r="L72" s="574"/>
      <c r="M72" s="574"/>
      <c r="N72" s="574"/>
      <c r="O72" s="574"/>
      <c r="P72" s="574"/>
      <c r="Q72" s="574"/>
      <c r="R72" s="574"/>
    </row>
    <row r="73" spans="2:22" x14ac:dyDescent="0.25">
      <c r="B73" s="282">
        <v>24</v>
      </c>
      <c r="C73" s="281" t="s">
        <v>381</v>
      </c>
      <c r="D73" s="575" t="s">
        <v>433</v>
      </c>
      <c r="E73" s="575"/>
      <c r="F73" s="575"/>
      <c r="G73" s="575"/>
      <c r="H73" s="575"/>
      <c r="I73" s="575"/>
      <c r="J73" s="575"/>
      <c r="K73" s="575"/>
      <c r="L73" s="575"/>
      <c r="M73" s="575"/>
      <c r="N73" s="575"/>
      <c r="O73" s="575"/>
      <c r="P73" s="575"/>
      <c r="Q73" s="575"/>
      <c r="R73" s="575"/>
    </row>
    <row r="74" spans="2:22" x14ac:dyDescent="0.25">
      <c r="B74" s="277">
        <v>25</v>
      </c>
      <c r="C74" s="278" t="s">
        <v>447</v>
      </c>
      <c r="D74" s="574" t="s">
        <v>455</v>
      </c>
      <c r="E74" s="574"/>
      <c r="F74" s="574"/>
      <c r="G74" s="574"/>
      <c r="H74" s="574"/>
      <c r="I74" s="574"/>
      <c r="J74" s="574"/>
      <c r="K74" s="574"/>
      <c r="L74" s="574"/>
      <c r="M74" s="574"/>
      <c r="N74" s="574"/>
      <c r="O74" s="574"/>
      <c r="P74" s="574"/>
      <c r="Q74" s="574"/>
      <c r="R74" s="574"/>
    </row>
    <row r="75" spans="2:22" x14ac:dyDescent="0.25">
      <c r="B75" s="282">
        <v>26</v>
      </c>
      <c r="C75" s="281" t="s">
        <v>458</v>
      </c>
      <c r="D75" s="545"/>
      <c r="E75" s="545"/>
      <c r="F75" s="545"/>
      <c r="G75" s="545"/>
      <c r="H75" s="545"/>
      <c r="I75" s="545"/>
      <c r="J75" s="545"/>
      <c r="K75" s="545"/>
      <c r="L75" s="545"/>
      <c r="M75" s="545"/>
      <c r="N75" s="545"/>
      <c r="O75" s="545"/>
      <c r="P75" s="545"/>
      <c r="Q75" s="545"/>
      <c r="R75" s="545"/>
    </row>
    <row r="76" spans="2:22" x14ac:dyDescent="0.25">
      <c r="B76" s="277">
        <v>27</v>
      </c>
      <c r="C76" s="278" t="s">
        <v>505</v>
      </c>
      <c r="D76" s="574" t="s">
        <v>668</v>
      </c>
      <c r="E76" s="574"/>
      <c r="F76" s="574"/>
      <c r="G76" s="574"/>
      <c r="H76" s="574"/>
      <c r="I76" s="574"/>
      <c r="J76" s="574"/>
      <c r="K76" s="574"/>
      <c r="L76" s="574"/>
      <c r="M76" s="574"/>
      <c r="N76" s="574"/>
      <c r="O76" s="574"/>
      <c r="P76" s="574"/>
      <c r="Q76" s="574"/>
      <c r="R76" s="574"/>
    </row>
    <row r="77" spans="2:22" x14ac:dyDescent="0.25">
      <c r="B77" s="282">
        <v>28</v>
      </c>
      <c r="C77" s="281" t="s">
        <v>645</v>
      </c>
      <c r="D77" s="575" t="s">
        <v>667</v>
      </c>
      <c r="E77" s="575"/>
      <c r="F77" s="575"/>
      <c r="G77" s="575"/>
      <c r="H77" s="575"/>
      <c r="I77" s="575"/>
      <c r="J77" s="575"/>
      <c r="K77" s="575"/>
      <c r="L77" s="575"/>
      <c r="M77" s="575"/>
      <c r="N77" s="575"/>
      <c r="O77" s="575"/>
      <c r="P77" s="575"/>
      <c r="Q77" s="575"/>
      <c r="R77" s="575"/>
    </row>
    <row r="78" spans="2:22" x14ac:dyDescent="0.25">
      <c r="B78" s="224"/>
    </row>
    <row r="79" spans="2:22" s="96" customFormat="1" x14ac:dyDescent="0.25">
      <c r="B79" s="222"/>
      <c r="C79" s="252" t="s">
        <v>152</v>
      </c>
      <c r="D79" s="129"/>
      <c r="E79" s="130"/>
      <c r="F79" s="131"/>
      <c r="G79" s="131"/>
      <c r="H79" s="131"/>
      <c r="I79" s="131"/>
      <c r="J79" s="131"/>
      <c r="K79" s="131"/>
      <c r="L79" s="131"/>
      <c r="M79" s="131"/>
      <c r="N79" s="131"/>
      <c r="O79" s="131"/>
      <c r="P79" s="131"/>
      <c r="Q79" s="131"/>
      <c r="R79" s="131"/>
      <c r="S79" s="15"/>
      <c r="T79" s="23"/>
      <c r="U79" s="7"/>
      <c r="V79" s="217"/>
    </row>
    <row r="80" spans="2:22" x14ac:dyDescent="0.25">
      <c r="B80" s="109"/>
      <c r="C80" s="253" t="s">
        <v>232</v>
      </c>
      <c r="N80" s="254"/>
      <c r="Q80" s="114"/>
      <c r="R80" s="114"/>
      <c r="S80" s="27"/>
      <c r="T80" s="27"/>
      <c r="U80" s="27"/>
      <c r="V80" s="27"/>
    </row>
    <row r="81" spans="2:22" x14ac:dyDescent="0.25">
      <c r="B81" s="109"/>
      <c r="C81" s="255" t="s">
        <v>233</v>
      </c>
      <c r="Q81" s="114"/>
      <c r="R81" s="114"/>
      <c r="S81" s="27"/>
      <c r="T81" s="27"/>
      <c r="U81" s="27"/>
      <c r="V81" s="27"/>
    </row>
    <row r="82" spans="2:22" x14ac:dyDescent="0.25">
      <c r="B82" s="109"/>
      <c r="C82" s="255" t="s">
        <v>235</v>
      </c>
      <c r="Q82" s="114"/>
      <c r="R82" s="114"/>
      <c r="S82" s="27"/>
      <c r="T82" s="422"/>
      <c r="U82" s="422"/>
      <c r="V82" s="27"/>
    </row>
    <row r="83" spans="2:22" x14ac:dyDescent="0.25">
      <c r="B83" s="109"/>
      <c r="C83" s="255" t="s">
        <v>385</v>
      </c>
      <c r="Q83" s="114"/>
      <c r="R83" s="114"/>
      <c r="S83" s="27"/>
      <c r="T83" s="422"/>
      <c r="U83" s="27"/>
      <c r="V83" s="27"/>
    </row>
    <row r="84" spans="2:22" x14ac:dyDescent="0.25">
      <c r="B84" s="109"/>
      <c r="C84" s="85" t="s">
        <v>383</v>
      </c>
      <c r="Q84" s="114"/>
      <c r="R84" s="114"/>
      <c r="S84" s="27"/>
      <c r="T84" s="27"/>
      <c r="U84" s="27"/>
      <c r="V84" s="27"/>
    </row>
    <row r="86" spans="2:22" x14ac:dyDescent="0.25">
      <c r="C86" s="252" t="s">
        <v>436</v>
      </c>
      <c r="D86" s="129"/>
      <c r="E86" s="130"/>
      <c r="F86" s="131"/>
      <c r="G86" s="131"/>
      <c r="H86" s="131"/>
      <c r="I86" s="131"/>
      <c r="J86" s="131"/>
      <c r="K86" s="131"/>
      <c r="L86" s="130"/>
      <c r="M86" s="131"/>
      <c r="N86" s="131"/>
      <c r="O86" s="131"/>
      <c r="P86" s="131"/>
      <c r="Q86" s="131"/>
      <c r="R86" s="131"/>
      <c r="S86" s="27"/>
      <c r="T86" s="27"/>
      <c r="U86" s="27"/>
      <c r="V86" s="27"/>
    </row>
    <row r="87" spans="2:22" x14ac:dyDescent="0.25">
      <c r="C87" s="13" t="s">
        <v>311</v>
      </c>
      <c r="Q87" s="114"/>
      <c r="R87" s="114"/>
      <c r="S87" s="27"/>
      <c r="T87" s="27"/>
      <c r="U87" s="27"/>
      <c r="V87" s="27"/>
    </row>
    <row r="88" spans="2:22" x14ac:dyDescent="0.25">
      <c r="C88" s="13" t="s">
        <v>312</v>
      </c>
      <c r="Q88" s="114"/>
      <c r="R88" s="114"/>
      <c r="S88" s="27"/>
      <c r="T88" s="27"/>
      <c r="U88" s="27"/>
      <c r="V88" s="27"/>
    </row>
    <row r="89" spans="2:22" x14ac:dyDescent="0.25">
      <c r="C89" s="84" t="s">
        <v>437</v>
      </c>
      <c r="Q89" s="114"/>
      <c r="R89" s="114"/>
      <c r="S89" s="27"/>
      <c r="T89" s="27"/>
      <c r="U89" s="27"/>
      <c r="V89" s="27"/>
    </row>
    <row r="90" spans="2:22" x14ac:dyDescent="0.25">
      <c r="C90" s="85" t="s">
        <v>410</v>
      </c>
      <c r="Q90" s="114"/>
      <c r="R90" s="114"/>
      <c r="S90" s="27"/>
      <c r="T90" s="27"/>
      <c r="U90" s="27"/>
      <c r="V90" s="27"/>
    </row>
    <row r="91" spans="2:22" x14ac:dyDescent="0.25">
      <c r="C91" s="85" t="s">
        <v>407</v>
      </c>
      <c r="Q91" s="114"/>
      <c r="R91" s="114"/>
      <c r="S91" s="27"/>
      <c r="T91" s="27"/>
      <c r="U91" s="27"/>
      <c r="V91" s="27"/>
    </row>
    <row r="92" spans="2:22" x14ac:dyDescent="0.25">
      <c r="C92" s="85" t="s">
        <v>409</v>
      </c>
      <c r="R92" s="27"/>
      <c r="S92" s="27"/>
      <c r="T92" s="27"/>
      <c r="U92" s="27"/>
      <c r="V92" s="27"/>
    </row>
    <row r="93" spans="2:22" x14ac:dyDescent="0.25">
      <c r="C93" s="85" t="s">
        <v>408</v>
      </c>
    </row>
    <row r="96" spans="2:22" x14ac:dyDescent="0.25">
      <c r="C96" s="550" t="s">
        <v>572</v>
      </c>
      <c r="D96" s="549"/>
      <c r="E96" s="549"/>
      <c r="F96" s="549"/>
      <c r="G96" s="549"/>
      <c r="H96" s="549"/>
      <c r="I96" s="549"/>
      <c r="J96" s="549"/>
      <c r="K96" s="549"/>
      <c r="L96" s="549"/>
      <c r="M96" s="549"/>
      <c r="N96" s="549"/>
      <c r="O96" s="549"/>
      <c r="P96" s="549"/>
      <c r="Q96" s="549"/>
      <c r="R96" s="548"/>
    </row>
    <row r="97" spans="3:3" x14ac:dyDescent="0.25">
      <c r="C97" s="85" t="s">
        <v>571</v>
      </c>
    </row>
    <row r="98" spans="3:3" x14ac:dyDescent="0.25">
      <c r="C98" s="85" t="s">
        <v>570</v>
      </c>
    </row>
  </sheetData>
  <mergeCells count="28">
    <mergeCell ref="D49:R49"/>
    <mergeCell ref="D77:R77"/>
    <mergeCell ref="D65:R65"/>
    <mergeCell ref="D66:R66"/>
    <mergeCell ref="D74:R74"/>
    <mergeCell ref="D68:R68"/>
    <mergeCell ref="D69:R69"/>
    <mergeCell ref="D70:R70"/>
    <mergeCell ref="D71:R71"/>
    <mergeCell ref="D72:R72"/>
    <mergeCell ref="D73:R73"/>
    <mergeCell ref="D67:R67"/>
    <mergeCell ref="D76:R76"/>
    <mergeCell ref="D50:R50"/>
    <mergeCell ref="D51:R51"/>
    <mergeCell ref="D52:R52"/>
    <mergeCell ref="D53:R53"/>
    <mergeCell ref="D54:R54"/>
    <mergeCell ref="D61:R61"/>
    <mergeCell ref="D62:R62"/>
    <mergeCell ref="D63:R63"/>
    <mergeCell ref="D64:R64"/>
    <mergeCell ref="D55:R55"/>
    <mergeCell ref="D56:R56"/>
    <mergeCell ref="D57:R57"/>
    <mergeCell ref="D58:R58"/>
    <mergeCell ref="D59:R59"/>
    <mergeCell ref="D60:R60"/>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5" r:id="rId35" xr:uid="{D916C905-4A3B-4E63-B977-A7CE4FECEC63}"/>
    <hyperlink ref="L35" r:id="rId36" xr:uid="{D15E8B40-85D3-49BA-9FEA-55358BDDF677}"/>
    <hyperlink ref="L36" r:id="rId37" xr:uid="{C34DA1A1-90C9-425C-94BD-ACB79531B40F}"/>
    <hyperlink ref="M40" r:id="rId38" xr:uid="{CD84206B-0D8F-4453-A9C1-F6001C1FA761}"/>
    <hyperlink ref="M41" r:id="rId39" xr:uid="{10A36219-DF43-4759-AF83-4612B9CE0203}"/>
    <hyperlink ref="M42" r:id="rId40" xr:uid="{82EF5920-62E7-4A58-A1FE-33427275FC05}"/>
    <hyperlink ref="M43" r:id="rId41" xr:uid="{EFDCE1D2-9CEF-457E-B9B6-7D16B558703B}"/>
    <hyperlink ref="L43" r:id="rId42" xr:uid="{CEB30621-C55F-4407-9568-D6C0437E988B}"/>
    <hyperlink ref="L44" r:id="rId43" xr:uid="{E02FFCE7-2239-4384-9C2B-98F3A359D2C7}"/>
    <hyperlink ref="M44" r:id="rId44" xr:uid="{A9352F58-BE3B-484A-9CD2-94D18006874D}"/>
    <hyperlink ref="L40" r:id="rId45" xr:uid="{3FAFD8D2-02CF-4FEE-B995-E2C64491C9CD}"/>
    <hyperlink ref="L41"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s>
  <pageMargins left="0.7" right="0.7" top="0.75" bottom="0.75" header="0.3" footer="0.3"/>
  <pageSetup paperSize="9" scale="18" orientation="portrait" verticalDpi="0" r:id="rId54"/>
  <headerFooter>
    <oddHeader>&amp;L&amp;"Calibri"&amp;7&amp;KE30513&amp;1#</oddHeader>
    <oddFooter>&amp;L&amp;1#&amp;"Calibri"&amp;7&amp;KE30513RESTRICTED</oddFooter>
  </headerFooter>
  <colBreaks count="1" manualBreakCount="1">
    <brk id="19" max="1048575" man="1"/>
  </colBreaks>
  <legacyDrawing r:id="rId5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O53"/>
  <sheetViews>
    <sheetView showGridLines="0" zoomScale="70" zoomScaleNormal="70" workbookViewId="0">
      <selection activeCell="G47" sqref="G47"/>
    </sheetView>
  </sheetViews>
  <sheetFormatPr defaultColWidth="9.140625" defaultRowHeight="15" x14ac:dyDescent="0.25"/>
  <cols>
    <col min="1" max="1" width="3.42578125" style="26" customWidth="1"/>
    <col min="2" max="2" width="44.85546875" style="26" customWidth="1"/>
    <col min="3" max="3" width="19.140625" style="26" bestFit="1" customWidth="1"/>
    <col min="4" max="4" width="25.42578125" style="26" customWidth="1"/>
    <col min="5" max="5" width="34" style="27" customWidth="1"/>
    <col min="6" max="6" width="31.28515625" style="27" customWidth="1"/>
    <col min="7" max="7" width="34" style="27" customWidth="1"/>
    <col min="8" max="8" width="71.140625" style="612" customWidth="1"/>
    <col min="9" max="9" width="4.28515625" style="26" customWidth="1"/>
    <col min="10" max="10" width="42.42578125" style="26" bestFit="1" customWidth="1"/>
    <col min="11" max="11" width="19.42578125" style="26" customWidth="1"/>
    <col min="12" max="13" width="14.5703125" style="26" customWidth="1"/>
    <col min="14" max="14" width="17" style="26" customWidth="1"/>
    <col min="15" max="16" width="17.28515625" style="26" customWidth="1"/>
    <col min="17" max="17" width="33.5703125" style="26" bestFit="1" customWidth="1"/>
    <col min="18" max="18" width="4.85546875" style="26" customWidth="1"/>
    <col min="19" max="16384" width="9.140625" style="26"/>
  </cols>
  <sheetData>
    <row r="2" spans="2:15" x14ac:dyDescent="0.25">
      <c r="B2" s="269" t="s">
        <v>59</v>
      </c>
      <c r="C2" s="270">
        <f>'S | 01 '!D2</f>
        <v>45351</v>
      </c>
      <c r="D2" s="270"/>
      <c r="E2" s="271"/>
      <c r="F2" s="271"/>
      <c r="G2" s="271"/>
      <c r="H2" s="608"/>
    </row>
    <row r="3" spans="2:15" x14ac:dyDescent="0.25">
      <c r="B3" s="366"/>
      <c r="C3" s="366"/>
      <c r="D3" s="366"/>
      <c r="E3" s="366"/>
      <c r="F3" s="366"/>
      <c r="G3" s="366"/>
      <c r="H3" s="609"/>
      <c r="J3" s="29"/>
      <c r="K3" s="29"/>
      <c r="L3" s="29"/>
    </row>
    <row r="4" spans="2:15" ht="15.75" thickBot="1" x14ac:dyDescent="0.3">
      <c r="B4" s="3"/>
      <c r="C4" s="3"/>
      <c r="D4" s="3"/>
      <c r="E4" s="455"/>
      <c r="F4" s="455"/>
      <c r="G4" s="455"/>
      <c r="H4" s="610"/>
      <c r="J4" s="29"/>
      <c r="K4" s="29"/>
      <c r="L4" s="29"/>
    </row>
    <row r="5" spans="2:15" x14ac:dyDescent="0.25">
      <c r="B5" s="431" t="s">
        <v>86</v>
      </c>
      <c r="C5" s="428" t="s">
        <v>31</v>
      </c>
      <c r="D5" s="428" t="s">
        <v>36</v>
      </c>
      <c r="E5" s="428" t="s">
        <v>27</v>
      </c>
      <c r="F5" s="428" t="s">
        <v>87</v>
      </c>
      <c r="G5" s="428"/>
      <c r="H5" s="611" t="s">
        <v>21</v>
      </c>
      <c r="J5" s="394"/>
      <c r="K5" s="395"/>
      <c r="L5" s="396"/>
      <c r="N5" s="394"/>
      <c r="O5" s="489"/>
    </row>
    <row r="6" spans="2:15" x14ac:dyDescent="0.25">
      <c r="B6" s="427"/>
      <c r="C6" s="214"/>
      <c r="D6" s="428"/>
      <c r="E6" s="595" t="s">
        <v>84</v>
      </c>
      <c r="F6" s="430" t="s">
        <v>85</v>
      </c>
      <c r="G6" s="430" t="s">
        <v>10</v>
      </c>
      <c r="H6" s="611"/>
      <c r="J6" s="391" t="s">
        <v>352</v>
      </c>
      <c r="K6" s="392">
        <f>C2</f>
        <v>45351</v>
      </c>
      <c r="L6" s="393"/>
      <c r="N6" s="391"/>
      <c r="O6" s="393"/>
    </row>
    <row r="7" spans="2:15" x14ac:dyDescent="0.25">
      <c r="B7" s="427"/>
      <c r="C7" s="214"/>
      <c r="D7" s="428"/>
      <c r="E7" s="429" t="str">
        <f>"NAV | "&amp; TEXT(C2,"dd")&amp;" "&amp;TEXT(C2,"mmm")&amp;" "&amp;TEXT(C2,"yyyy")</f>
        <v>NAV | 29 Feb 2024</v>
      </c>
      <c r="F7" s="429"/>
      <c r="G7" s="429" t="str">
        <f>"PPS |" &amp; TEXT(C2,"dd")&amp;" "&amp;TEXT(C2,"mmm")&amp;" "&amp;TEXT(C2,"yyyy")</f>
        <v>PPS |29 Feb 2024</v>
      </c>
      <c r="H7" s="611"/>
      <c r="J7" s="97"/>
      <c r="K7" s="201"/>
      <c r="L7" s="322" t="s">
        <v>330</v>
      </c>
      <c r="N7" s="490"/>
      <c r="O7" s="491"/>
    </row>
    <row r="8" spans="2:15" x14ac:dyDescent="0.25">
      <c r="J8" s="323" t="s">
        <v>325</v>
      </c>
      <c r="K8" s="324">
        <v>1.33</v>
      </c>
      <c r="L8" s="321" t="s">
        <v>331</v>
      </c>
      <c r="N8" s="97" t="s">
        <v>481</v>
      </c>
      <c r="O8" s="566">
        <f>5810000000/K15/1000000*(1-49.82%)</f>
        <v>400.12708729909292</v>
      </c>
    </row>
    <row r="9" spans="2:15" x14ac:dyDescent="0.25">
      <c r="B9" s="578" t="s">
        <v>28</v>
      </c>
      <c r="C9" s="578"/>
      <c r="D9" s="578"/>
      <c r="E9" s="578"/>
      <c r="F9" s="578"/>
      <c r="G9" s="578"/>
      <c r="H9" s="578"/>
      <c r="J9" s="97" t="s">
        <v>327</v>
      </c>
      <c r="K9" s="324">
        <v>17.55</v>
      </c>
      <c r="L9" s="321" t="s">
        <v>331</v>
      </c>
      <c r="N9" s="97" t="s">
        <v>482</v>
      </c>
      <c r="O9" s="566">
        <f>MAX(800,310000000000/K15/1000000*4.705882%*0.8/2)</f>
        <v>800.85498186329733</v>
      </c>
    </row>
    <row r="10" spans="2:15" x14ac:dyDescent="0.25">
      <c r="B10" s="585" t="str">
        <f>'S | 01 '!C9</f>
        <v>Jollychic Holding Limited</v>
      </c>
      <c r="C10" s="587" t="str">
        <f>'S | 01 '!F9</f>
        <v>Mozn</v>
      </c>
      <c r="D10" s="587" t="str">
        <f>'S | 01 '!H9</f>
        <v>C+ Prefs</v>
      </c>
      <c r="E10" s="592">
        <f>F10*G10*10^-6</f>
        <v>0</v>
      </c>
      <c r="F10" s="603">
        <f>VLOOKUP(B10,'6. %'!$C$6:$I$39,2,0)</f>
        <v>13458655</v>
      </c>
      <c r="G10" s="589"/>
      <c r="H10" s="613" t="s">
        <v>585</v>
      </c>
      <c r="J10" s="323" t="s">
        <v>326</v>
      </c>
      <c r="K10" s="324">
        <v>1.2625</v>
      </c>
      <c r="L10" s="321" t="s">
        <v>329</v>
      </c>
      <c r="N10" s="97"/>
      <c r="O10" s="98"/>
    </row>
    <row r="11" spans="2:15" ht="15.75" thickBot="1" x14ac:dyDescent="0.3">
      <c r="B11" s="585" t="str">
        <f>'S | 01 '!C10</f>
        <v>Mena Mobile Inc</v>
      </c>
      <c r="C11" s="587" t="str">
        <f>'S | 01 '!F10</f>
        <v>Mozn</v>
      </c>
      <c r="D11" s="587" t="str">
        <f>'S | 01 '!H10</f>
        <v>B Prefs</v>
      </c>
      <c r="E11" s="592">
        <v>0</v>
      </c>
      <c r="F11" s="603">
        <f>VLOOKUP(B11,'6. %'!$C$6:$I$39,2,0)</f>
        <v>21419829</v>
      </c>
      <c r="G11" s="589"/>
      <c r="H11" s="613" t="s">
        <v>376</v>
      </c>
      <c r="J11" s="102" t="s">
        <v>476</v>
      </c>
      <c r="K11" s="325">
        <v>1.08002</v>
      </c>
      <c r="L11" s="326" t="s">
        <v>329</v>
      </c>
      <c r="N11" s="519"/>
      <c r="O11" s="607"/>
    </row>
    <row r="12" spans="2:15" x14ac:dyDescent="0.25">
      <c r="B12" s="4" t="str">
        <f>'S | 01 '!C11</f>
        <v>Flyr Inc</v>
      </c>
      <c r="C12" s="2" t="str">
        <f>'S | 01 '!F11</f>
        <v>Mozn</v>
      </c>
      <c r="D12" s="2" t="str">
        <f>'S | 01 '!H11</f>
        <v>B-1,2 Prefs</v>
      </c>
      <c r="E12" s="593">
        <f>F12*G12*10^-6*(1-20%)</f>
        <v>78.082229999999996</v>
      </c>
      <c r="F12" s="604">
        <f>VLOOKUP(B12,'6. %'!$C$6:$I$39,2,0)</f>
        <v>5205482</v>
      </c>
      <c r="G12" s="266">
        <v>18.75</v>
      </c>
      <c r="H12" s="614" t="s">
        <v>236</v>
      </c>
    </row>
    <row r="13" spans="2:15" ht="15.75" thickBot="1" x14ac:dyDescent="0.3">
      <c r="B13" s="585" t="str">
        <f>'S | 01 '!C12</f>
        <v xml:space="preserve">Esyasoft Holding </v>
      </c>
      <c r="C13" s="587" t="str">
        <f>'S | 01 '!F12</f>
        <v>Mozn</v>
      </c>
      <c r="D13" s="587" t="str">
        <f>'S | 01 '!H12</f>
        <v>Convertible Note</v>
      </c>
      <c r="E13" s="592">
        <v>0</v>
      </c>
      <c r="F13" s="603" t="str">
        <f>VLOOKUP(B13,'6. %'!$C$6:$I$39,2,0)</f>
        <v>n/a</v>
      </c>
      <c r="G13" s="589"/>
      <c r="H13" s="613" t="s">
        <v>324</v>
      </c>
    </row>
    <row r="14" spans="2:15" x14ac:dyDescent="0.25">
      <c r="B14" s="4" t="str">
        <f>'S | 01 '!C13</f>
        <v>Beyond Limits</v>
      </c>
      <c r="C14" s="2" t="str">
        <f>'S | 01 '!F13</f>
        <v>Mozn</v>
      </c>
      <c r="D14" s="2" t="str">
        <f>'S | 01 '!H13</f>
        <v>C Prefs</v>
      </c>
      <c r="E14" s="593">
        <f>F14*G14*10^-6</f>
        <v>91.001540300000002</v>
      </c>
      <c r="F14" s="604">
        <f>VLOOKUP(B14,'6. %'!$C$6:$I$39,2,0)</f>
        <v>17670202</v>
      </c>
      <c r="G14" s="266">
        <v>5.15</v>
      </c>
      <c r="H14" s="614" t="s">
        <v>237</v>
      </c>
      <c r="J14" s="528" t="s">
        <v>287</v>
      </c>
      <c r="K14" s="398"/>
      <c r="L14" s="407"/>
    </row>
    <row r="15" spans="2:15" x14ac:dyDescent="0.25">
      <c r="B15" s="586" t="str">
        <f>'S | 01 '!C14</f>
        <v>ONT plc</v>
      </c>
      <c r="C15" s="588" t="str">
        <f>'S | 01 '!F14</f>
        <v>Mozn</v>
      </c>
      <c r="D15" s="588" t="str">
        <f>'S | 01 '!H14</f>
        <v>Ordinary Shares</v>
      </c>
      <c r="E15" s="594">
        <f>F15*G15*10^-6</f>
        <v>74.432454495000002</v>
      </c>
      <c r="F15" s="605">
        <f>VLOOKUP(B15,'6. %'!$C$6:$I$39,2,0)</f>
        <v>44328120</v>
      </c>
      <c r="G15" s="590">
        <f>K8*K10</f>
        <v>1.679125</v>
      </c>
      <c r="H15" s="615" t="s">
        <v>238</v>
      </c>
      <c r="J15" s="97" t="s">
        <v>328</v>
      </c>
      <c r="K15" s="324">
        <v>7.2863300000000004</v>
      </c>
      <c r="L15" s="321" t="s">
        <v>329</v>
      </c>
    </row>
    <row r="16" spans="2:15" x14ac:dyDescent="0.25">
      <c r="B16" s="4" t="str">
        <f>'S | 01 '!C15</f>
        <v>Heygears</v>
      </c>
      <c r="C16" s="2" t="str">
        <f>'S | 01 '!F15</f>
        <v>Mozn</v>
      </c>
      <c r="D16" s="2" t="str">
        <f>'S | 01 '!H15</f>
        <v>Registered Capital</v>
      </c>
      <c r="E16" s="593">
        <f>K23/1000000</f>
        <v>148.0498412781194</v>
      </c>
      <c r="F16" s="604">
        <f>'CF (Equity, Debt)'!J20</f>
        <v>3565017.22</v>
      </c>
      <c r="G16" s="266"/>
      <c r="H16" s="614" t="s">
        <v>379</v>
      </c>
      <c r="J16" s="409" t="s">
        <v>277</v>
      </c>
      <c r="K16" s="410">
        <v>7500000000</v>
      </c>
      <c r="L16" s="411"/>
    </row>
    <row r="17" spans="2:12" x14ac:dyDescent="0.25">
      <c r="B17" s="585" t="str">
        <f>'S | 01 '!C16</f>
        <v>Jysan Technologies</v>
      </c>
      <c r="C17" s="587" t="str">
        <f>'S | 01 '!F16</f>
        <v>Mozn 1</v>
      </c>
      <c r="D17" s="587" t="str">
        <f>'S | 01 '!H16</f>
        <v>A (Ordinary Shares)</v>
      </c>
      <c r="E17" s="592">
        <v>0</v>
      </c>
      <c r="F17" s="603">
        <f>VLOOKUP(B17,'6. %'!$C$6:$I$39,2,0)</f>
        <v>7959497</v>
      </c>
      <c r="G17" s="589">
        <f>E17*10^6/F17</f>
        <v>0</v>
      </c>
      <c r="H17" s="613" t="s">
        <v>468</v>
      </c>
      <c r="J17" s="409" t="s">
        <v>278</v>
      </c>
      <c r="K17" s="412">
        <v>0.14383199999999999</v>
      </c>
      <c r="L17" s="411"/>
    </row>
    <row r="18" spans="2:12" x14ac:dyDescent="0.25">
      <c r="B18" s="4" t="str">
        <f>'S | 01 '!C17</f>
        <v>Cerebras Systems Inc</v>
      </c>
      <c r="C18" s="2" t="str">
        <f>'S | 01 '!F17</f>
        <v>Mozn</v>
      </c>
      <c r="D18" s="2" t="str">
        <f>'S | 01 '!H17</f>
        <v>F Prefs</v>
      </c>
      <c r="E18" s="593">
        <f>-'CF (Equity, Debt)'!E22</f>
        <v>39.999983359999995</v>
      </c>
      <c r="F18" s="604">
        <f>VLOOKUP(B18,'6. %'!$C$6:$I$39,2,0)</f>
        <v>1441711</v>
      </c>
      <c r="G18" s="266"/>
      <c r="H18" s="614" t="s">
        <v>581</v>
      </c>
      <c r="J18" s="409" t="s">
        <v>279</v>
      </c>
      <c r="K18" s="410">
        <v>1078740000</v>
      </c>
      <c r="L18" s="411"/>
    </row>
    <row r="19" spans="2:12" x14ac:dyDescent="0.25">
      <c r="B19" s="4" t="str">
        <f>'S | 01 '!C18</f>
        <v>Endless Studios LLC</v>
      </c>
      <c r="C19" s="2" t="str">
        <f>'S | 01 '!F18</f>
        <v>Mozn</v>
      </c>
      <c r="D19" s="2" t="str">
        <f>'S | 01 '!H18</f>
        <v>A Pref Units</v>
      </c>
      <c r="E19" s="593">
        <f>-'CF (Equity, Debt)'!E23-'CF (Equity, Debt)'!E41</f>
        <v>8</v>
      </c>
      <c r="F19" s="604">
        <f>VLOOKUP(B19,'6. %'!$C$6:$I$39,2,0)</f>
        <v>8000000</v>
      </c>
      <c r="G19" s="266"/>
      <c r="H19" s="614" t="s">
        <v>581</v>
      </c>
      <c r="J19" s="409" t="s">
        <v>280</v>
      </c>
      <c r="K19" s="413">
        <v>0</v>
      </c>
      <c r="L19" s="411"/>
    </row>
    <row r="20" spans="2:12" x14ac:dyDescent="0.25">
      <c r="B20" s="585" t="str">
        <f>'S | 01 '!C19</f>
        <v>Instadeep Limited</v>
      </c>
      <c r="C20" s="587" t="str">
        <f>'S | 01 '!F19</f>
        <v>Mozn</v>
      </c>
      <c r="D20" s="587" t="str">
        <f>'S | 01 '!H19</f>
        <v xml:space="preserve">B Prefs </v>
      </c>
      <c r="E20" s="592">
        <f>-'CF (Equity, Debt)'!E24*G20</f>
        <v>0</v>
      </c>
      <c r="F20" s="603">
        <f>VLOOKUP(B20,'6. %'!$C$6:$I$39,2,0)</f>
        <v>33267</v>
      </c>
      <c r="G20" s="589">
        <v>0</v>
      </c>
      <c r="H20" s="613" t="s">
        <v>456</v>
      </c>
      <c r="J20" s="409" t="s">
        <v>281</v>
      </c>
      <c r="K20" s="413">
        <v>0</v>
      </c>
      <c r="L20" s="411"/>
    </row>
    <row r="21" spans="2:12" x14ac:dyDescent="0.25">
      <c r="B21" s="585" t="str">
        <f>'S | 01 '!C20</f>
        <v>X-fusion</v>
      </c>
      <c r="C21" s="587" t="str">
        <f>'S | 01 '!F20</f>
        <v>Mozn 2</v>
      </c>
      <c r="D21" s="587" t="str">
        <f>'S | 01 '!H20</f>
        <v>Equity-TBC</v>
      </c>
      <c r="E21" s="592">
        <v>0</v>
      </c>
      <c r="F21" s="603" t="str">
        <f>VLOOKUP(B21,'6. %'!$C$6:$I$39,2,0)</f>
        <v>n/a</v>
      </c>
      <c r="G21" s="589"/>
      <c r="H21" s="613" t="s">
        <v>586</v>
      </c>
      <c r="J21" s="409" t="s">
        <v>282</v>
      </c>
      <c r="K21" s="410">
        <f>K18*(1-K19)*(1-K20)</f>
        <v>1078740000</v>
      </c>
      <c r="L21" s="414"/>
    </row>
    <row r="22" spans="2:12" x14ac:dyDescent="0.25">
      <c r="B22" s="4" t="str">
        <f>'S | 01 '!C21</f>
        <v>DriveNets</v>
      </c>
      <c r="C22" s="2" t="str">
        <f>'S | 01 '!F21</f>
        <v>G42</v>
      </c>
      <c r="D22" s="2" t="str">
        <f>'S | 01 '!H21</f>
        <v>Equity-TBC</v>
      </c>
      <c r="E22" s="593">
        <f>-SUM('CF (Equity, Debt)'!E26:E27)</f>
        <v>300</v>
      </c>
      <c r="F22" s="604">
        <f>VLOOKUP(B22,'6. %'!$C$6:$I$39,2,0)</f>
        <v>86882669</v>
      </c>
      <c r="G22" s="266"/>
      <c r="H22" s="614" t="s">
        <v>581</v>
      </c>
      <c r="J22" s="409" t="s">
        <v>351</v>
      </c>
      <c r="K22" s="415">
        <f>K15</f>
        <v>7.2863300000000004</v>
      </c>
      <c r="L22" s="414"/>
    </row>
    <row r="23" spans="2:12" x14ac:dyDescent="0.25">
      <c r="B23" s="586" t="str">
        <f>'S | 01 '!C22</f>
        <v>vTv Therapeutics Inc.</v>
      </c>
      <c r="C23" s="588" t="str">
        <f>'S | 01 '!F22</f>
        <v>G42</v>
      </c>
      <c r="D23" s="588" t="str">
        <f>'S | 01 '!H22</f>
        <v>Ordinary Shares</v>
      </c>
      <c r="E23" s="594">
        <f>(F23*G23)*10^-6</f>
        <v>4.5569803500000008</v>
      </c>
      <c r="F23" s="605">
        <f>VLOOKUP(B23,'6. %'!$C$6:$I$39,2,0)</f>
        <v>259657</v>
      </c>
      <c r="G23" s="590">
        <f>K9</f>
        <v>17.55</v>
      </c>
      <c r="H23" s="615" t="s">
        <v>238</v>
      </c>
      <c r="J23" s="409" t="s">
        <v>283</v>
      </c>
      <c r="K23" s="606">
        <f>K21/K22</f>
        <v>148049841.27811942</v>
      </c>
      <c r="L23" s="411"/>
    </row>
    <row r="24" spans="2:12" x14ac:dyDescent="0.25">
      <c r="B24" s="585" t="str">
        <f>'S | 01 '!C23</f>
        <v>Honor Device Co Ltd</v>
      </c>
      <c r="C24" s="587" t="str">
        <f>'S | 01 '!F23</f>
        <v>G42 3</v>
      </c>
      <c r="D24" s="587" t="str">
        <f>'S | 01 '!H23</f>
        <v>Equity-TBC</v>
      </c>
      <c r="E24" s="592">
        <v>0</v>
      </c>
      <c r="F24" s="603">
        <f>VLOOKUP(B24,'6. %'!$C$6:$I$39,2,0)</f>
        <v>606850777.73599994</v>
      </c>
      <c r="G24" s="589"/>
      <c r="H24" s="613" t="s">
        <v>588</v>
      </c>
      <c r="J24" s="409" t="s">
        <v>284</v>
      </c>
      <c r="K24" s="410">
        <v>60000000</v>
      </c>
      <c r="L24" s="411"/>
    </row>
    <row r="25" spans="2:12" ht="15.75" thickBot="1" x14ac:dyDescent="0.3">
      <c r="B25" s="4" t="str">
        <f>'S | 01 '!C24</f>
        <v>Applied AI Corporation Limited</v>
      </c>
      <c r="C25" s="2" t="str">
        <f>'S | 01 '!F24</f>
        <v>Mozn</v>
      </c>
      <c r="D25" s="2" t="str">
        <f>'S | 01 '!H24</f>
        <v>Convertible Note</v>
      </c>
      <c r="E25" s="593">
        <f>-'CF (Equity, Debt)'!E32-'CF (Equity, Debt)'!E38-'CF (Equity, Debt)'!E47</f>
        <v>11.5</v>
      </c>
      <c r="F25" s="604" t="str">
        <f>VLOOKUP(B25,'6. %'!$C$6:$I$39,2,0)</f>
        <v>n/a</v>
      </c>
      <c r="G25" s="266"/>
      <c r="H25" s="614" t="s">
        <v>581</v>
      </c>
      <c r="J25" s="416" t="s">
        <v>285</v>
      </c>
      <c r="K25" s="417">
        <v>1.90391818080482</v>
      </c>
      <c r="L25" s="106"/>
    </row>
    <row r="26" spans="2:12" x14ac:dyDescent="0.25">
      <c r="B26" s="4" t="str">
        <f>'S | 01 '!C25</f>
        <v xml:space="preserve">eSpace </v>
      </c>
      <c r="C26" s="2" t="str">
        <f>'S | 01 '!F25</f>
        <v>Mozn 4</v>
      </c>
      <c r="D26" s="2" t="str">
        <f>'S | 01 '!H25</f>
        <v>B Prefs</v>
      </c>
      <c r="E26" s="593">
        <f>F26*G26*10^-6</f>
        <v>20.888121539999997</v>
      </c>
      <c r="F26" s="604">
        <f>VLOOKUP(B26,'6. %'!$C$6:$I$39,2,0)</f>
        <v>417846</v>
      </c>
      <c r="G26" s="266">
        <v>49.99</v>
      </c>
      <c r="H26" s="614" t="s">
        <v>662</v>
      </c>
      <c r="J26" s="510"/>
      <c r="K26" s="511"/>
      <c r="L26" s="109"/>
    </row>
    <row r="27" spans="2:12" x14ac:dyDescent="0.25">
      <c r="B27" s="4" t="str">
        <f>'S | 01 '!C26</f>
        <v>Tools for Humanity Corporation</v>
      </c>
      <c r="C27" s="2" t="str">
        <f>'S | 01 '!F26</f>
        <v>Mozn</v>
      </c>
      <c r="D27" s="2" t="str">
        <f>'S | 01 '!H26</f>
        <v>C Prefs</v>
      </c>
      <c r="E27" s="593">
        <f ca="1">'S | 01 '!K26</f>
        <v>14.999998939999999</v>
      </c>
      <c r="F27" s="604">
        <f>VLOOKUP(B27,'6. %'!$C$6:$I$39,2,0)</f>
        <v>65413</v>
      </c>
      <c r="G27" s="266"/>
      <c r="H27" s="614" t="s">
        <v>581</v>
      </c>
      <c r="J27" s="510"/>
      <c r="K27" s="511"/>
      <c r="L27" s="109"/>
    </row>
    <row r="28" spans="2:12" x14ac:dyDescent="0.25">
      <c r="B28" s="4" t="str">
        <f>'S | 01 '!C27</f>
        <v>WLD Tokens</v>
      </c>
      <c r="C28" s="2" t="str">
        <f>'S | 01 '!F27</f>
        <v>Mozn</v>
      </c>
      <c r="D28" s="2" t="str">
        <f>'S | 01 '!H27</f>
        <v>Tokens</v>
      </c>
      <c r="E28" s="593">
        <f ca="1">MAX('S | 01 '!K27,F28*G28*10^-6)</f>
        <v>15</v>
      </c>
      <c r="F28" s="604">
        <f>VLOOKUP(B28,'6. %'!$C$6:$I$39,2,0)</f>
        <v>62500000</v>
      </c>
      <c r="G28" s="266">
        <f>0.24</f>
        <v>0.24</v>
      </c>
      <c r="H28" s="614" t="s">
        <v>663</v>
      </c>
    </row>
    <row r="29" spans="2:12" x14ac:dyDescent="0.25">
      <c r="B29" s="4" t="str">
        <f>'S | 01 '!C28</f>
        <v>E-line Ventures LLC</v>
      </c>
      <c r="C29" s="2" t="str">
        <f>'S | 01 '!F28</f>
        <v>Mozn</v>
      </c>
      <c r="D29" s="2" t="str">
        <f>'S | 01 '!H28</f>
        <v>B Prefs</v>
      </c>
      <c r="E29" s="593">
        <f ca="1">MAX('S | 01 '!K28,F29*G29*10^-6)</f>
        <v>6</v>
      </c>
      <c r="F29" s="604">
        <f>VLOOKUP(B29,'6. %'!$C$6:$I$39,2,0)</f>
        <v>4477612</v>
      </c>
      <c r="G29" s="266"/>
      <c r="H29" s="614" t="s">
        <v>581</v>
      </c>
    </row>
    <row r="30" spans="2:12" x14ac:dyDescent="0.25">
      <c r="B30" s="4" t="str">
        <f>'S | 01 '!C29</f>
        <v>School Hack (AIREV Holding Limited)</v>
      </c>
      <c r="C30" s="2" t="str">
        <f>'S | 01 '!F29</f>
        <v>Core42 5</v>
      </c>
      <c r="D30" s="2" t="str">
        <f>'S | 01 '!H29</f>
        <v>Preferred Shares</v>
      </c>
      <c r="E30" s="593">
        <f ca="1">MAX('S | 01 '!K29,F30*G30*10^-6)</f>
        <v>2.5</v>
      </c>
      <c r="F30" s="604">
        <f>VLOOKUP(B30,'6. %'!$C$6:$I$39,2,0)</f>
        <v>25000</v>
      </c>
      <c r="G30" s="266"/>
      <c r="H30" s="614" t="s">
        <v>581</v>
      </c>
    </row>
    <row r="31" spans="2:12" ht="15.75" thickBot="1" x14ac:dyDescent="0.3">
      <c r="B31" s="4" t="str">
        <f>'S | 01 '!C30</f>
        <v>Life Biosciences LLC</v>
      </c>
      <c r="C31" s="2" t="str">
        <f>'S | 01 '!F30</f>
        <v>G42 Capital</v>
      </c>
      <c r="D31" s="2" t="str">
        <f>'S | 01 '!H30</f>
        <v>Convertible Note</v>
      </c>
      <c r="E31" s="426">
        <f>-'CF (Equity, Debt)'!E49</f>
        <v>20</v>
      </c>
      <c r="F31" s="597" t="str">
        <f>VLOOKUP(B31,'6. %'!$C$6:$I$39,2,0)</f>
        <v>n/a</v>
      </c>
      <c r="G31" s="266"/>
      <c r="H31" s="614" t="s">
        <v>581</v>
      </c>
    </row>
    <row r="32" spans="2:12" x14ac:dyDescent="0.25">
      <c r="B32" s="243"/>
      <c r="C32" s="243"/>
      <c r="D32" s="243"/>
      <c r="E32" s="243"/>
      <c r="F32" s="598"/>
      <c r="G32" s="243"/>
      <c r="H32" s="616"/>
    </row>
    <row r="33" spans="2:8" ht="15.75" thickBot="1" x14ac:dyDescent="0.3">
      <c r="B33" s="578" t="s">
        <v>29</v>
      </c>
      <c r="C33" s="578"/>
      <c r="D33" s="578"/>
      <c r="E33" s="578"/>
      <c r="F33" s="578"/>
      <c r="G33" s="578"/>
      <c r="H33" s="578"/>
    </row>
    <row r="34" spans="2:8" x14ac:dyDescent="0.25">
      <c r="B34" s="585" t="s">
        <v>49</v>
      </c>
      <c r="C34" s="587" t="s">
        <v>8</v>
      </c>
      <c r="D34" s="587" t="s">
        <v>132</v>
      </c>
      <c r="E34" s="591">
        <f>'S | 01 '!N35</f>
        <v>0</v>
      </c>
      <c r="F34" s="596"/>
      <c r="G34" s="589"/>
      <c r="H34" s="613" t="s">
        <v>136</v>
      </c>
    </row>
    <row r="35" spans="2:8" x14ac:dyDescent="0.25">
      <c r="B35" s="585" t="s">
        <v>271</v>
      </c>
      <c r="C35" s="587" t="s">
        <v>8</v>
      </c>
      <c r="D35" s="587" t="s">
        <v>133</v>
      </c>
      <c r="E35" s="592">
        <v>0</v>
      </c>
      <c r="F35" s="596"/>
      <c r="G35" s="589"/>
      <c r="H35" s="613" t="s">
        <v>585</v>
      </c>
    </row>
    <row r="36" spans="2:8" ht="15.75" thickBot="1" x14ac:dyDescent="0.3">
      <c r="B36" s="585" t="s">
        <v>263</v>
      </c>
      <c r="C36" s="587" t="s">
        <v>8</v>
      </c>
      <c r="D36" s="587" t="s">
        <v>133</v>
      </c>
      <c r="E36" s="599">
        <v>0</v>
      </c>
      <c r="F36" s="596"/>
      <c r="G36" s="589"/>
      <c r="H36" s="613" t="s">
        <v>589</v>
      </c>
    </row>
    <row r="37" spans="2:8" x14ac:dyDescent="0.25">
      <c r="B37" s="243"/>
      <c r="C37" s="243"/>
      <c r="D37" s="243"/>
      <c r="E37" s="243"/>
      <c r="F37" s="243"/>
      <c r="G37" s="243"/>
      <c r="H37" s="616"/>
    </row>
    <row r="38" spans="2:8" ht="15.75" thickBot="1" x14ac:dyDescent="0.3">
      <c r="B38" s="578" t="s">
        <v>30</v>
      </c>
      <c r="C38" s="578"/>
      <c r="D38" s="578"/>
      <c r="E38" s="578"/>
      <c r="F38" s="578"/>
      <c r="G38" s="578"/>
      <c r="H38" s="578"/>
    </row>
    <row r="39" spans="2:8" x14ac:dyDescent="0.25">
      <c r="B39" s="4" t="s">
        <v>124</v>
      </c>
      <c r="C39" s="2" t="s">
        <v>11</v>
      </c>
      <c r="D39" s="2" t="s">
        <v>55</v>
      </c>
      <c r="E39" s="600">
        <f>'5. NewSpace'!G43*10^-6*K11-SUM('CF (Funds)'!E46,'CF (Funds)'!E45)</f>
        <v>16.078910212171998</v>
      </c>
      <c r="F39" s="597"/>
      <c r="G39" s="266"/>
      <c r="H39" s="614" t="s">
        <v>492</v>
      </c>
    </row>
    <row r="40" spans="2:8" x14ac:dyDescent="0.25">
      <c r="B40" s="4" t="s">
        <v>380</v>
      </c>
      <c r="C40" s="2" t="s">
        <v>11</v>
      </c>
      <c r="D40" s="2" t="s">
        <v>61</v>
      </c>
      <c r="E40" s="593">
        <f ca="1">E39*'S | 02'!L38/'S | 02'!L37</f>
        <v>3.1102316029671613</v>
      </c>
      <c r="F40" s="597"/>
      <c r="G40" s="266"/>
      <c r="H40" s="614" t="s">
        <v>674</v>
      </c>
    </row>
    <row r="41" spans="2:8" x14ac:dyDescent="0.25">
      <c r="B41" s="4" t="s">
        <v>1</v>
      </c>
      <c r="C41" s="2" t="s">
        <v>11</v>
      </c>
      <c r="D41" s="2" t="s">
        <v>55</v>
      </c>
      <c r="E41" s="593">
        <f>81.513771 -'CF (Funds)'!F36</f>
        <v>74.725861000000009</v>
      </c>
      <c r="F41" s="597"/>
      <c r="G41" s="266"/>
      <c r="H41" s="614" t="s">
        <v>492</v>
      </c>
    </row>
    <row r="42" spans="2:8" x14ac:dyDescent="0.25">
      <c r="B42" s="585" t="s">
        <v>12</v>
      </c>
      <c r="C42" s="587" t="s">
        <v>11</v>
      </c>
      <c r="D42" s="587" t="s">
        <v>55</v>
      </c>
      <c r="E42" s="592">
        <v>0</v>
      </c>
      <c r="F42" s="596"/>
      <c r="G42" s="589"/>
      <c r="H42" s="613" t="s">
        <v>26</v>
      </c>
    </row>
    <row r="43" spans="2:8" ht="15.75" thickBot="1" x14ac:dyDescent="0.3">
      <c r="B43" s="4" t="s">
        <v>175</v>
      </c>
      <c r="C43" s="2" t="s">
        <v>11</v>
      </c>
      <c r="D43" s="2" t="s">
        <v>55</v>
      </c>
      <c r="E43" s="426">
        <v>12.310425</v>
      </c>
      <c r="F43" s="597"/>
      <c r="G43" s="266"/>
      <c r="H43" s="614" t="s">
        <v>492</v>
      </c>
    </row>
    <row r="44" spans="2:8" x14ac:dyDescent="0.25">
      <c r="B44" s="38" t="s">
        <v>90</v>
      </c>
      <c r="C44" s="38"/>
    </row>
    <row r="45" spans="2:8" x14ac:dyDescent="0.25">
      <c r="B45" s="26" t="s">
        <v>664</v>
      </c>
      <c r="G45" s="507"/>
    </row>
    <row r="46" spans="2:8" x14ac:dyDescent="0.25">
      <c r="E46" s="619">
        <f ca="1">SUM(E10:E31)</f>
        <v>835.01115026311936</v>
      </c>
      <c r="F46" s="27" t="b">
        <f ca="1">E46='S | 01 '!N32</f>
        <v>1</v>
      </c>
      <c r="G46" s="507"/>
    </row>
    <row r="47" spans="2:8" x14ac:dyDescent="0.25">
      <c r="E47" s="619">
        <f>SUM(E34:E36)</f>
        <v>0</v>
      </c>
      <c r="F47" s="27" t="b">
        <f>E47='S | 01 '!N38</f>
        <v>1</v>
      </c>
      <c r="G47" s="507"/>
    </row>
    <row r="48" spans="2:8" x14ac:dyDescent="0.25">
      <c r="E48" s="619">
        <f ca="1">SUM(E39:E43)</f>
        <v>106.22542781513916</v>
      </c>
      <c r="F48" s="27" t="b">
        <f ca="1">E48='S | 01 '!N46</f>
        <v>1</v>
      </c>
    </row>
    <row r="50" spans="5:14" ht="15.75" x14ac:dyDescent="0.3">
      <c r="E50" s="567"/>
    </row>
    <row r="53" spans="5:14" x14ac:dyDescent="0.25">
      <c r="K53" s="27"/>
      <c r="L53" s="27"/>
      <c r="M53" s="27"/>
      <c r="N53" s="27"/>
    </row>
  </sheetData>
  <hyperlinks>
    <hyperlink ref="L8" r:id="rId1" xr:uid="{CC6E9707-04B1-41FD-8B83-19BDFBE26526}"/>
    <hyperlink ref="L9" r:id="rId2" xr:uid="{8A0F78DA-9703-4A11-A62D-7660BBB7B435}"/>
  </hyperlinks>
  <pageMargins left="0.25" right="0.25" top="0.75" bottom="0.75" header="0.3" footer="0.3"/>
  <pageSetup paperSize="9" scale="64" orientation="landscape" verticalDpi="1200" r:id="rId3"/>
  <colBreaks count="1" manualBreakCount="1">
    <brk id="8" max="1048575" man="1"/>
  </colBreaks>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61"/>
  <sheetViews>
    <sheetView showGridLines="0" zoomScale="70" zoomScaleNormal="70" workbookViewId="0">
      <selection activeCell="C24" sqref="C24"/>
    </sheetView>
  </sheetViews>
  <sheetFormatPr defaultColWidth="9.140625" defaultRowHeight="12.75" outlineLevelCol="1" x14ac:dyDescent="0.2"/>
  <cols>
    <col min="1" max="1" width="5.5703125" style="71" customWidth="1"/>
    <col min="2" max="2" width="22.5703125" style="71" customWidth="1"/>
    <col min="3" max="3" width="39.28515625" style="71" customWidth="1"/>
    <col min="4" max="4" width="14.140625" style="79" customWidth="1"/>
    <col min="5" max="6" width="14.140625" style="71" customWidth="1"/>
    <col min="7" max="7" width="17" style="71" customWidth="1" outlineLevel="1"/>
    <col min="8" max="8" width="19.28515625" style="81" customWidth="1" outlineLevel="1"/>
    <col min="9" max="9" width="19.7109375" style="71" customWidth="1" outlineLevel="1"/>
    <col min="10" max="10" width="17.85546875" style="71" customWidth="1"/>
    <col min="11" max="11" width="9.5703125" style="71" bestFit="1" customWidth="1"/>
    <col min="12" max="16384" width="9.140625" style="71"/>
  </cols>
  <sheetData>
    <row r="2" spans="2:15" s="70" customFormat="1" x14ac:dyDescent="0.2">
      <c r="B2" s="628" t="s">
        <v>345</v>
      </c>
      <c r="C2" s="629"/>
      <c r="D2" s="630"/>
      <c r="E2" s="631"/>
      <c r="F2" s="631"/>
      <c r="G2" s="631"/>
      <c r="H2" s="631"/>
      <c r="I2" s="631"/>
      <c r="J2" s="631"/>
      <c r="K2" s="631"/>
    </row>
    <row r="3" spans="2:15" s="70" customFormat="1" ht="36" customHeight="1" x14ac:dyDescent="0.2">
      <c r="B3" s="652" t="s">
        <v>4</v>
      </c>
      <c r="C3" s="652" t="s">
        <v>5</v>
      </c>
      <c r="D3" s="653" t="s">
        <v>6</v>
      </c>
      <c r="E3" s="654" t="s">
        <v>92</v>
      </c>
      <c r="F3" s="654" t="s">
        <v>137</v>
      </c>
      <c r="G3" s="654" t="s">
        <v>58</v>
      </c>
      <c r="H3" s="654" t="s">
        <v>449</v>
      </c>
      <c r="I3" s="654" t="s">
        <v>448</v>
      </c>
      <c r="J3" s="654" t="s">
        <v>140</v>
      </c>
      <c r="K3" s="654" t="s">
        <v>21</v>
      </c>
      <c r="N3" s="617" t="s">
        <v>125</v>
      </c>
      <c r="O3" s="618"/>
    </row>
    <row r="4" spans="2:15" ht="12.75" customHeight="1" x14ac:dyDescent="0.2">
      <c r="B4" s="632" t="str">
        <f>VLOOKUP(C4,'S | 01 '!$C$9:$F$45,4,0)</f>
        <v>Mozn</v>
      </c>
      <c r="C4" s="633" t="s">
        <v>48</v>
      </c>
      <c r="D4" s="634">
        <v>43470</v>
      </c>
      <c r="E4" s="635">
        <f t="shared" ref="E4:E27" si="0">-I4*10^-6</f>
        <v>-30</v>
      </c>
      <c r="F4" s="636"/>
      <c r="G4" s="637" t="s">
        <v>10</v>
      </c>
      <c r="H4" s="636">
        <v>30000000</v>
      </c>
      <c r="I4" s="638">
        <f t="shared" ref="I4:I14" si="1">H4</f>
        <v>30000000</v>
      </c>
      <c r="J4" s="639">
        <v>6100312</v>
      </c>
      <c r="K4" s="637"/>
      <c r="L4" s="81"/>
      <c r="N4" s="71" t="s">
        <v>91</v>
      </c>
      <c r="O4" s="81">
        <v>3.6779999999999999</v>
      </c>
    </row>
    <row r="5" spans="2:15" ht="12.75" customHeight="1" x14ac:dyDescent="0.2">
      <c r="B5" s="632" t="str">
        <f>VLOOKUP(C5,'S | 01 '!$C$9:$F$45,4,0)</f>
        <v>Mozn</v>
      </c>
      <c r="C5" s="633" t="s">
        <v>48</v>
      </c>
      <c r="D5" s="634">
        <v>43724</v>
      </c>
      <c r="E5" s="635">
        <f t="shared" si="0"/>
        <v>-20</v>
      </c>
      <c r="F5" s="636"/>
      <c r="G5" s="637" t="s">
        <v>10</v>
      </c>
      <c r="H5" s="636">
        <v>20000000</v>
      </c>
      <c r="I5" s="638">
        <f t="shared" si="1"/>
        <v>20000000</v>
      </c>
      <c r="J5" s="639">
        <v>4204767.4285714282</v>
      </c>
      <c r="K5" s="637"/>
      <c r="L5" s="81"/>
    </row>
    <row r="6" spans="2:15" ht="12.75" customHeight="1" x14ac:dyDescent="0.2">
      <c r="B6" s="632" t="str">
        <f>VLOOKUP(C6,'S | 01 '!$C$9:$F$45,4,0)</f>
        <v>Mozn</v>
      </c>
      <c r="C6" s="633" t="s">
        <v>48</v>
      </c>
      <c r="D6" s="634">
        <v>43724</v>
      </c>
      <c r="E6" s="635">
        <f t="shared" si="0"/>
        <v>-15</v>
      </c>
      <c r="F6" s="636"/>
      <c r="G6" s="637" t="s">
        <v>10</v>
      </c>
      <c r="H6" s="636">
        <v>15000000</v>
      </c>
      <c r="I6" s="638">
        <f t="shared" si="1"/>
        <v>15000000</v>
      </c>
      <c r="J6" s="639">
        <v>3153575.5714285714</v>
      </c>
      <c r="K6" s="637"/>
      <c r="L6" s="81"/>
    </row>
    <row r="7" spans="2:15" ht="12.75" customHeight="1" x14ac:dyDescent="0.2">
      <c r="B7" s="644" t="str">
        <f>VLOOKUP(C7,'S | 01 '!$C$9:$F$45,4,0)</f>
        <v>Mozn</v>
      </c>
      <c r="C7" s="645" t="s">
        <v>0</v>
      </c>
      <c r="D7" s="646">
        <v>43563</v>
      </c>
      <c r="E7" s="647">
        <f t="shared" si="0"/>
        <v>-8</v>
      </c>
      <c r="F7" s="648"/>
      <c r="G7" s="649" t="s">
        <v>10</v>
      </c>
      <c r="H7" s="648">
        <v>8000000</v>
      </c>
      <c r="I7" s="650">
        <f t="shared" si="1"/>
        <v>8000000</v>
      </c>
      <c r="J7" s="651">
        <v>21419829</v>
      </c>
      <c r="K7" s="649"/>
      <c r="L7" s="81"/>
    </row>
    <row r="8" spans="2:15" ht="12.75" customHeight="1" x14ac:dyDescent="0.2">
      <c r="B8" s="632" t="str">
        <f>VLOOKUP(C8,'S | 01 '!$C$9:$F$45,4,0)</f>
        <v>Mozn</v>
      </c>
      <c r="C8" s="633" t="s">
        <v>39</v>
      </c>
      <c r="D8" s="634">
        <v>43570</v>
      </c>
      <c r="E8" s="635">
        <f t="shared" si="0"/>
        <v>-4.9999980900000001</v>
      </c>
      <c r="F8" s="636"/>
      <c r="G8" s="637" t="s">
        <v>10</v>
      </c>
      <c r="H8" s="636">
        <v>4999998.09</v>
      </c>
      <c r="I8" s="638">
        <f t="shared" si="1"/>
        <v>4999998.09</v>
      </c>
      <c r="J8" s="639">
        <v>2625467</v>
      </c>
      <c r="K8" s="637"/>
      <c r="L8" s="81"/>
    </row>
    <row r="9" spans="2:15" ht="12.75" customHeight="1" x14ac:dyDescent="0.2">
      <c r="B9" s="632" t="str">
        <f>VLOOKUP(C9,'S | 01 '!$C$9:$F$45,4,0)</f>
        <v>Mozn</v>
      </c>
      <c r="C9" s="633" t="s">
        <v>39</v>
      </c>
      <c r="D9" s="634">
        <v>43915</v>
      </c>
      <c r="E9" s="635">
        <f t="shared" si="0"/>
        <v>-5.0000019099999999</v>
      </c>
      <c r="F9" s="636"/>
      <c r="G9" s="637" t="s">
        <v>10</v>
      </c>
      <c r="H9" s="636">
        <f>10000000-H8</f>
        <v>5000001.91</v>
      </c>
      <c r="I9" s="638">
        <f t="shared" si="1"/>
        <v>5000001.91</v>
      </c>
      <c r="J9" s="639">
        <v>2580015</v>
      </c>
      <c r="K9" s="637"/>
      <c r="L9" s="81"/>
    </row>
    <row r="10" spans="2:15" ht="12.75" customHeight="1" x14ac:dyDescent="0.2">
      <c r="B10" s="644" t="str">
        <f>VLOOKUP(C10,'S | 01 '!$C$9:$F$45,4,0)</f>
        <v>Mozn</v>
      </c>
      <c r="C10" s="645" t="s">
        <v>40</v>
      </c>
      <c r="D10" s="646">
        <v>43870</v>
      </c>
      <c r="E10" s="647">
        <f t="shared" si="0"/>
        <v>-2.5</v>
      </c>
      <c r="F10" s="648"/>
      <c r="G10" s="649" t="s">
        <v>10</v>
      </c>
      <c r="H10" s="648">
        <v>2500000</v>
      </c>
      <c r="I10" s="650">
        <f t="shared" si="1"/>
        <v>2500000</v>
      </c>
      <c r="J10" s="651" t="s">
        <v>72</v>
      </c>
      <c r="K10" s="649"/>
      <c r="L10" s="81"/>
    </row>
    <row r="11" spans="2:15" ht="12.75" customHeight="1" x14ac:dyDescent="0.2">
      <c r="B11" s="632" t="str">
        <f>VLOOKUP(C11,'S | 01 '!$C$9:$F$45,4,0)</f>
        <v>Mozn</v>
      </c>
      <c r="C11" s="633" t="s">
        <v>38</v>
      </c>
      <c r="D11" s="634">
        <v>43879</v>
      </c>
      <c r="E11" s="635">
        <f t="shared" si="0"/>
        <v>-20</v>
      </c>
      <c r="F11" s="636"/>
      <c r="G11" s="637" t="s">
        <v>10</v>
      </c>
      <c r="H11" s="636">
        <v>20000000</v>
      </c>
      <c r="I11" s="638">
        <f t="shared" si="1"/>
        <v>20000000</v>
      </c>
      <c r="J11" s="639">
        <v>4084038</v>
      </c>
      <c r="K11" s="637"/>
      <c r="L11" s="81"/>
    </row>
    <row r="12" spans="2:15" ht="12.75" customHeight="1" x14ac:dyDescent="0.2">
      <c r="B12" s="632" t="str">
        <f>VLOOKUP(C12,'S | 01 '!$C$9:$F$45,4,0)</f>
        <v>Mozn</v>
      </c>
      <c r="C12" s="633" t="s">
        <v>38</v>
      </c>
      <c r="D12" s="634">
        <v>43921</v>
      </c>
      <c r="E12" s="635">
        <f t="shared" si="0"/>
        <v>-30</v>
      </c>
      <c r="F12" s="636"/>
      <c r="G12" s="637" t="s">
        <v>10</v>
      </c>
      <c r="H12" s="636">
        <v>30000000</v>
      </c>
      <c r="I12" s="638">
        <f t="shared" si="1"/>
        <v>30000000</v>
      </c>
      <c r="J12" s="639">
        <v>5822642</v>
      </c>
      <c r="K12" s="637"/>
      <c r="L12" s="81"/>
    </row>
    <row r="13" spans="2:15" ht="12.75" customHeight="1" x14ac:dyDescent="0.2">
      <c r="B13" s="632" t="str">
        <f>VLOOKUP(C13,'S | 01 '!$C$9:$F$45,4,0)</f>
        <v>Mozn</v>
      </c>
      <c r="C13" s="633" t="s">
        <v>38</v>
      </c>
      <c r="D13" s="634">
        <v>43989</v>
      </c>
      <c r="E13" s="635">
        <f t="shared" si="0"/>
        <v>-30</v>
      </c>
      <c r="F13" s="636"/>
      <c r="G13" s="637" t="s">
        <v>10</v>
      </c>
      <c r="H13" s="636">
        <v>30000000</v>
      </c>
      <c r="I13" s="638">
        <f t="shared" si="1"/>
        <v>30000000</v>
      </c>
      <c r="J13" s="639">
        <v>5822642</v>
      </c>
      <c r="K13" s="637"/>
      <c r="L13" s="81"/>
    </row>
    <row r="14" spans="2:15" ht="12.75" customHeight="1" x14ac:dyDescent="0.2">
      <c r="B14" s="632" t="str">
        <f>VLOOKUP(C14,'S | 01 '!$C$9:$F$45,4,0)</f>
        <v>Mozn</v>
      </c>
      <c r="C14" s="633" t="s">
        <v>38</v>
      </c>
      <c r="D14" s="634">
        <v>44103</v>
      </c>
      <c r="E14" s="635">
        <f t="shared" si="0"/>
        <v>-10</v>
      </c>
      <c r="F14" s="636"/>
      <c r="G14" s="637" t="s">
        <v>10</v>
      </c>
      <c r="H14" s="636">
        <v>10000000</v>
      </c>
      <c r="I14" s="638">
        <f t="shared" si="1"/>
        <v>10000000</v>
      </c>
      <c r="J14" s="639">
        <v>1940880</v>
      </c>
      <c r="K14" s="637"/>
      <c r="L14" s="81"/>
    </row>
    <row r="15" spans="2:15" ht="12.75" customHeight="1" x14ac:dyDescent="0.2">
      <c r="B15" s="644" t="str">
        <f>VLOOKUP(C15,'S | 01 '!$C$9:$F$45,4,0)</f>
        <v>Mozn</v>
      </c>
      <c r="C15" s="645" t="s">
        <v>88</v>
      </c>
      <c r="D15" s="646">
        <v>43968</v>
      </c>
      <c r="E15" s="647">
        <f t="shared" si="0"/>
        <v>-50</v>
      </c>
      <c r="F15" s="648"/>
      <c r="G15" s="649" t="s">
        <v>10</v>
      </c>
      <c r="H15" s="648">
        <v>50000000</v>
      </c>
      <c r="I15" s="650">
        <v>50000000</v>
      </c>
      <c r="J15" s="651">
        <v>15277680</v>
      </c>
      <c r="K15" s="649"/>
      <c r="L15" s="81"/>
    </row>
    <row r="16" spans="2:15" ht="12.75" customHeight="1" x14ac:dyDescent="0.2">
      <c r="B16" s="644" t="str">
        <f>VLOOKUP(C16,'S | 01 '!$C$9:$F$45,4,0)</f>
        <v>Mozn</v>
      </c>
      <c r="C16" s="645" t="s">
        <v>88</v>
      </c>
      <c r="D16" s="646">
        <v>44006</v>
      </c>
      <c r="E16" s="647">
        <f t="shared" si="0"/>
        <v>-27.268350856443721</v>
      </c>
      <c r="F16" s="648"/>
      <c r="G16" s="649" t="s">
        <v>20</v>
      </c>
      <c r="H16" s="648">
        <v>21029625</v>
      </c>
      <c r="I16" s="650">
        <v>27268350.856443722</v>
      </c>
      <c r="J16" s="651">
        <v>9000000</v>
      </c>
      <c r="K16" s="649"/>
      <c r="L16" s="81"/>
    </row>
    <row r="17" spans="2:13" ht="12.75" customHeight="1" x14ac:dyDescent="0.2">
      <c r="B17" s="644" t="str">
        <f>VLOOKUP(C17,'S | 01 '!$C$9:$F$45,4,0)</f>
        <v>Mozn</v>
      </c>
      <c r="C17" s="645" t="s">
        <v>88</v>
      </c>
      <c r="D17" s="646">
        <v>43837</v>
      </c>
      <c r="E17" s="647">
        <f t="shared" si="0"/>
        <v>-18.109441299619355</v>
      </c>
      <c r="F17" s="648"/>
      <c r="G17" s="649" t="s">
        <v>20</v>
      </c>
      <c r="H17" s="648">
        <v>14386480</v>
      </c>
      <c r="I17" s="650">
        <v>18109441.299619358</v>
      </c>
      <c r="J17" s="651">
        <v>6362180</v>
      </c>
      <c r="K17" s="649"/>
      <c r="L17" s="81"/>
    </row>
    <row r="18" spans="2:13" ht="12.75" customHeight="1" x14ac:dyDescent="0.2">
      <c r="B18" s="644" t="str">
        <f>VLOOKUP(C18,'S | 01 '!$C$9:$F$45,4,0)</f>
        <v>Mozn</v>
      </c>
      <c r="C18" s="645" t="s">
        <v>88</v>
      </c>
      <c r="D18" s="646">
        <v>43990</v>
      </c>
      <c r="E18" s="647">
        <f t="shared" si="0"/>
        <v>-34.851687094159864</v>
      </c>
      <c r="F18" s="648"/>
      <c r="G18" s="649" t="s">
        <v>20</v>
      </c>
      <c r="H18" s="648">
        <v>26085572.879999999</v>
      </c>
      <c r="I18" s="650">
        <v>34851687.094159864</v>
      </c>
      <c r="J18" s="651">
        <v>11381140</v>
      </c>
      <c r="K18" s="649"/>
      <c r="L18" s="81"/>
    </row>
    <row r="19" spans="2:13" ht="12.75" customHeight="1" x14ac:dyDescent="0.2">
      <c r="B19" s="644" t="str">
        <f>VLOOKUP(C19,'S | 01 '!$C$9:$F$45,4,0)</f>
        <v>Mozn</v>
      </c>
      <c r="C19" s="645" t="s">
        <v>88</v>
      </c>
      <c r="D19" s="646">
        <v>44315</v>
      </c>
      <c r="E19" s="647">
        <f t="shared" si="0"/>
        <v>-11.240780424143557</v>
      </c>
      <c r="F19" s="648"/>
      <c r="G19" s="649" t="s">
        <v>20</v>
      </c>
      <c r="H19" s="648">
        <v>8074920</v>
      </c>
      <c r="I19" s="650">
        <v>11240780.424143557</v>
      </c>
      <c r="J19" s="651">
        <v>2307120</v>
      </c>
      <c r="K19" s="649"/>
      <c r="L19" s="81"/>
    </row>
    <row r="20" spans="2:13" ht="12.75" customHeight="1" x14ac:dyDescent="0.2">
      <c r="B20" s="632" t="str">
        <f>VLOOKUP(C20,'S | 01 '!$C$9:$F$45,4,0)</f>
        <v>Mozn</v>
      </c>
      <c r="C20" s="633" t="s">
        <v>9</v>
      </c>
      <c r="D20" s="634">
        <v>44166</v>
      </c>
      <c r="E20" s="635">
        <f t="shared" si="0"/>
        <v>-60</v>
      </c>
      <c r="F20" s="636"/>
      <c r="G20" s="637" t="s">
        <v>10</v>
      </c>
      <c r="H20" s="636">
        <v>60000000</v>
      </c>
      <c r="I20" s="638">
        <f>H20</f>
        <v>60000000</v>
      </c>
      <c r="J20" s="639">
        <v>3565017.22</v>
      </c>
      <c r="K20" s="637"/>
      <c r="L20" s="81"/>
    </row>
    <row r="21" spans="2:13" ht="12.75" customHeight="1" x14ac:dyDescent="0.2">
      <c r="B21" s="644" t="str">
        <f>VLOOKUP(C21,'S | 01 '!$C$9:$F$45,4,0)</f>
        <v>Mozn 1</v>
      </c>
      <c r="C21" s="645" t="s">
        <v>18</v>
      </c>
      <c r="D21" s="646">
        <v>44363</v>
      </c>
      <c r="E21" s="647">
        <f t="shared" si="0"/>
        <v>-20</v>
      </c>
      <c r="F21" s="648"/>
      <c r="G21" s="649" t="s">
        <v>10</v>
      </c>
      <c r="H21" s="648">
        <v>20000000</v>
      </c>
      <c r="I21" s="650">
        <f>H21</f>
        <v>20000000</v>
      </c>
      <c r="J21" s="651">
        <v>7959497</v>
      </c>
      <c r="K21" s="649"/>
      <c r="L21" s="81"/>
    </row>
    <row r="22" spans="2:13" ht="12.75" customHeight="1" x14ac:dyDescent="0.2">
      <c r="B22" s="632" t="str">
        <f>VLOOKUP(C22,'S | 01 '!$C$9:$F$45,4,0)</f>
        <v>Mozn</v>
      </c>
      <c r="C22" s="633" t="s">
        <v>41</v>
      </c>
      <c r="D22" s="634">
        <v>44488</v>
      </c>
      <c r="E22" s="635">
        <f t="shared" si="0"/>
        <v>-39.999983359999995</v>
      </c>
      <c r="F22" s="636"/>
      <c r="G22" s="637" t="s">
        <v>10</v>
      </c>
      <c r="H22" s="636">
        <v>39999983.359999999</v>
      </c>
      <c r="I22" s="638">
        <f>H22</f>
        <v>39999983.359999999</v>
      </c>
      <c r="J22" s="639">
        <v>1441711</v>
      </c>
      <c r="K22" s="637"/>
      <c r="L22" s="81"/>
    </row>
    <row r="23" spans="2:13" ht="12.75" customHeight="1" x14ac:dyDescent="0.2">
      <c r="B23" s="644" t="str">
        <f>VLOOKUP(C23,'S | 01 '!$C$9:$F$45,4,0)</f>
        <v>Mozn</v>
      </c>
      <c r="C23" s="645" t="s">
        <v>42</v>
      </c>
      <c r="D23" s="646">
        <v>44494</v>
      </c>
      <c r="E23" s="647">
        <f t="shared" si="0"/>
        <v>-3</v>
      </c>
      <c r="F23" s="648"/>
      <c r="G23" s="649" t="s">
        <v>10</v>
      </c>
      <c r="H23" s="648">
        <v>3000000</v>
      </c>
      <c r="I23" s="650">
        <f>H23</f>
        <v>3000000</v>
      </c>
      <c r="J23" s="651">
        <v>3000000</v>
      </c>
      <c r="K23" s="649"/>
      <c r="L23" s="81"/>
    </row>
    <row r="24" spans="2:13" ht="12.75" customHeight="1" x14ac:dyDescent="0.2">
      <c r="B24" s="632" t="str">
        <f>VLOOKUP(C24,'S | 01 '!$C$9:$F$45,4,0)</f>
        <v>Mozn</v>
      </c>
      <c r="C24" s="633" t="s">
        <v>43</v>
      </c>
      <c r="D24" s="634">
        <v>44550</v>
      </c>
      <c r="E24" s="635">
        <f t="shared" si="0"/>
        <v>-5.0237201984774336</v>
      </c>
      <c r="F24" s="636"/>
      <c r="G24" s="637" t="s">
        <v>20</v>
      </c>
      <c r="H24" s="640">
        <v>3679995.54</v>
      </c>
      <c r="I24" s="638">
        <v>5023720.198477434</v>
      </c>
      <c r="J24" s="639">
        <v>33267</v>
      </c>
      <c r="K24" s="637"/>
      <c r="L24" s="81"/>
    </row>
    <row r="25" spans="2:13" ht="12.75" customHeight="1" x14ac:dyDescent="0.2">
      <c r="B25" s="644" t="str">
        <f>VLOOKUP(C25,'S | 01 '!$C$9:$F$45,4,0)</f>
        <v>Mozn 2</v>
      </c>
      <c r="C25" s="645" t="s">
        <v>71</v>
      </c>
      <c r="D25" s="646">
        <v>44574</v>
      </c>
      <c r="E25" s="647">
        <f t="shared" si="0"/>
        <v>-493.50095619999996</v>
      </c>
      <c r="F25" s="648"/>
      <c r="G25" s="649" t="s">
        <v>10</v>
      </c>
      <c r="H25" s="648">
        <v>893500956.20000005</v>
      </c>
      <c r="I25" s="650">
        <v>493500956.19999999</v>
      </c>
      <c r="J25" s="651"/>
      <c r="K25" s="649"/>
      <c r="L25" s="81"/>
    </row>
    <row r="26" spans="2:13" ht="12.75" customHeight="1" x14ac:dyDescent="0.2">
      <c r="B26" s="632" t="str">
        <f>VLOOKUP(C26,'S | 01 '!$C$9:$F$45,4,0)</f>
        <v>G42</v>
      </c>
      <c r="C26" s="633" t="s">
        <v>19</v>
      </c>
      <c r="D26" s="634">
        <v>44643</v>
      </c>
      <c r="E26" s="635">
        <f t="shared" si="0"/>
        <v>-200</v>
      </c>
      <c r="F26" s="636"/>
      <c r="G26" s="637" t="s">
        <v>10</v>
      </c>
      <c r="H26" s="636">
        <v>200000000</v>
      </c>
      <c r="I26" s="638">
        <f>H26</f>
        <v>200000000</v>
      </c>
      <c r="J26" s="639"/>
      <c r="K26" s="637"/>
      <c r="L26" s="81"/>
    </row>
    <row r="27" spans="2:13" ht="12.75" customHeight="1" x14ac:dyDescent="0.2">
      <c r="B27" s="632" t="str">
        <f>VLOOKUP(C27,'S | 01 '!$C$9:$F$45,4,0)</f>
        <v>G42</v>
      </c>
      <c r="C27" s="633" t="s">
        <v>19</v>
      </c>
      <c r="D27" s="634">
        <v>44680</v>
      </c>
      <c r="E27" s="635">
        <f t="shared" si="0"/>
        <v>-100</v>
      </c>
      <c r="F27" s="636"/>
      <c r="G27" s="637" t="s">
        <v>10</v>
      </c>
      <c r="H27" s="636">
        <v>100000000</v>
      </c>
      <c r="I27" s="638">
        <f>H27</f>
        <v>100000000</v>
      </c>
      <c r="J27" s="639"/>
      <c r="K27" s="637"/>
      <c r="L27" s="81"/>
    </row>
    <row r="28" spans="2:13" ht="12.75" customHeight="1" x14ac:dyDescent="0.2">
      <c r="B28" s="644" t="str">
        <f>VLOOKUP(C28,'S | 01 '!$C$9:$F$45,4,0)</f>
        <v>Mozn</v>
      </c>
      <c r="C28" s="645" t="s">
        <v>40</v>
      </c>
      <c r="D28" s="646">
        <v>44691</v>
      </c>
      <c r="E28" s="647"/>
      <c r="F28" s="648">
        <v>5</v>
      </c>
      <c r="G28" s="649" t="s">
        <v>10</v>
      </c>
      <c r="H28" s="648"/>
      <c r="I28" s="650"/>
      <c r="J28" s="651"/>
      <c r="K28" s="649"/>
      <c r="L28" s="81"/>
    </row>
    <row r="29" spans="2:13" ht="12.75" customHeight="1" x14ac:dyDescent="0.2">
      <c r="B29" s="632" t="str">
        <f>VLOOKUP(C29,'S | 01 '!$C$9:$F$45,4,0)</f>
        <v>G42</v>
      </c>
      <c r="C29" s="633" t="s">
        <v>89</v>
      </c>
      <c r="D29" s="634">
        <v>44712</v>
      </c>
      <c r="E29" s="635">
        <f>-I29*10^-6</f>
        <v>-12.5</v>
      </c>
      <c r="F29" s="636"/>
      <c r="G29" s="637" t="s">
        <v>10</v>
      </c>
      <c r="H29" s="636">
        <v>12500000</v>
      </c>
      <c r="I29" s="638">
        <f t="shared" ref="I29:I35" si="2">H29</f>
        <v>12500000</v>
      </c>
      <c r="J29" s="639">
        <f>'6. %'!D22</f>
        <v>259657</v>
      </c>
      <c r="K29" s="637"/>
      <c r="L29" s="81"/>
    </row>
    <row r="30" spans="2:13" ht="12.75" customHeight="1" x14ac:dyDescent="0.2">
      <c r="B30" s="644" t="str">
        <f>VLOOKUP(C30,'S | 01 '!$C$9:$F$45,4,0)</f>
        <v>G42 3</v>
      </c>
      <c r="C30" s="645" t="s">
        <v>35</v>
      </c>
      <c r="D30" s="646">
        <v>44769</v>
      </c>
      <c r="E30" s="647">
        <f t="shared" ref="E30:E38" si="3">-I30*10^-6</f>
        <v>-600</v>
      </c>
      <c r="F30" s="648"/>
      <c r="G30" s="649" t="s">
        <v>10</v>
      </c>
      <c r="H30" s="648">
        <v>600000000</v>
      </c>
      <c r="I30" s="650">
        <f t="shared" si="2"/>
        <v>600000000</v>
      </c>
      <c r="J30" s="651"/>
      <c r="K30" s="649"/>
      <c r="L30" s="81"/>
      <c r="M30" s="70"/>
    </row>
    <row r="31" spans="2:13" ht="12.75" customHeight="1" x14ac:dyDescent="0.2">
      <c r="B31" s="644" t="str">
        <f>VLOOKUP(C31,'S | 01 '!$C$9:$F$45,4,0)</f>
        <v>G42 3</v>
      </c>
      <c r="C31" s="645" t="s">
        <v>35</v>
      </c>
      <c r="D31" s="646">
        <v>44849</v>
      </c>
      <c r="E31" s="647">
        <f t="shared" si="3"/>
        <v>-200</v>
      </c>
      <c r="F31" s="648"/>
      <c r="G31" s="649" t="s">
        <v>10</v>
      </c>
      <c r="H31" s="648">
        <v>200000000</v>
      </c>
      <c r="I31" s="650">
        <f t="shared" si="2"/>
        <v>200000000</v>
      </c>
      <c r="J31" s="651"/>
      <c r="K31" s="649"/>
      <c r="L31" s="81"/>
    </row>
    <row r="32" spans="2:13" ht="12.75" customHeight="1" x14ac:dyDescent="0.2">
      <c r="B32" s="632" t="str">
        <f>VLOOKUP(C32,'S | 01 '!$C$9:$F$45,4,0)</f>
        <v>Mozn</v>
      </c>
      <c r="C32" s="633" t="s">
        <v>269</v>
      </c>
      <c r="D32" s="634">
        <v>44861</v>
      </c>
      <c r="E32" s="635">
        <f t="shared" si="3"/>
        <v>-4.75</v>
      </c>
      <c r="F32" s="636"/>
      <c r="G32" s="637" t="s">
        <v>10</v>
      </c>
      <c r="H32" s="636">
        <v>4750000</v>
      </c>
      <c r="I32" s="638">
        <f t="shared" si="2"/>
        <v>4750000</v>
      </c>
      <c r="J32" s="639"/>
      <c r="K32" s="637"/>
      <c r="L32" s="81"/>
    </row>
    <row r="33" spans="2:13" ht="12.75" customHeight="1" x14ac:dyDescent="0.2">
      <c r="B33" s="644" t="str">
        <f>VLOOKUP(C33,'S | 01 '!$C$9:$F$45,4,0)</f>
        <v>Mozn 4</v>
      </c>
      <c r="C33" s="645" t="s">
        <v>304</v>
      </c>
      <c r="D33" s="646">
        <v>44892</v>
      </c>
      <c r="E33" s="647">
        <f t="shared" si="3"/>
        <v>-15</v>
      </c>
      <c r="F33" s="648"/>
      <c r="G33" s="649" t="s">
        <v>10</v>
      </c>
      <c r="H33" s="648">
        <v>15000000</v>
      </c>
      <c r="I33" s="650">
        <f t="shared" si="2"/>
        <v>15000000</v>
      </c>
      <c r="J33" s="651"/>
      <c r="K33" s="649"/>
      <c r="L33" s="81"/>
      <c r="M33" s="70"/>
    </row>
    <row r="34" spans="2:13" ht="12.75" customHeight="1" x14ac:dyDescent="0.2">
      <c r="B34" s="632" t="str">
        <f>VLOOKUP(C34,'S | 01 '!$C$9:$F$45,4,0)</f>
        <v>G42</v>
      </c>
      <c r="C34" s="633" t="s">
        <v>89</v>
      </c>
      <c r="D34" s="634">
        <v>44985</v>
      </c>
      <c r="E34" s="635">
        <f t="shared" si="3"/>
        <v>-12.03125</v>
      </c>
      <c r="F34" s="636"/>
      <c r="G34" s="637" t="s">
        <v>10</v>
      </c>
      <c r="H34" s="636">
        <v>12031250</v>
      </c>
      <c r="I34" s="638">
        <f t="shared" si="2"/>
        <v>12031250</v>
      </c>
      <c r="J34" s="639">
        <v>10386274</v>
      </c>
      <c r="K34" s="637"/>
      <c r="L34" s="81"/>
    </row>
    <row r="35" spans="2:13" ht="12.75" customHeight="1" x14ac:dyDescent="0.2">
      <c r="B35" s="644" t="str">
        <f>VLOOKUP(C35,'S | 01 '!$C$9:$F$45,4,0)</f>
        <v>Mozn</v>
      </c>
      <c r="C35" s="645" t="s">
        <v>381</v>
      </c>
      <c r="D35" s="646">
        <v>45075</v>
      </c>
      <c r="E35" s="647">
        <f t="shared" si="3"/>
        <v>-14.999998939999999</v>
      </c>
      <c r="F35" s="648"/>
      <c r="G35" s="649" t="s">
        <v>10</v>
      </c>
      <c r="H35" s="648">
        <v>14999998.939999999</v>
      </c>
      <c r="I35" s="650">
        <f t="shared" si="2"/>
        <v>14999998.939999999</v>
      </c>
      <c r="J35" s="651"/>
      <c r="K35" s="649"/>
      <c r="L35" s="81"/>
    </row>
    <row r="36" spans="2:13" ht="12.75" customHeight="1" x14ac:dyDescent="0.2">
      <c r="B36" s="632" t="str">
        <f>VLOOKUP(C36,'S | 01 '!$C$9:$F$45,4,0)</f>
        <v>Mozn</v>
      </c>
      <c r="C36" s="633" t="s">
        <v>447</v>
      </c>
      <c r="D36" s="634">
        <v>45075</v>
      </c>
      <c r="E36" s="635">
        <f t="shared" si="3"/>
        <v>-5.875E-3</v>
      </c>
      <c r="F36" s="636"/>
      <c r="G36" s="637" t="s">
        <v>10</v>
      </c>
      <c r="H36" s="636"/>
      <c r="I36" s="638">
        <v>5875</v>
      </c>
      <c r="J36" s="639"/>
      <c r="K36" s="637"/>
      <c r="L36" s="81"/>
    </row>
    <row r="37" spans="2:13" ht="12.75" customHeight="1" x14ac:dyDescent="0.2">
      <c r="B37" s="632" t="str">
        <f>VLOOKUP(C37,'S | 01 '!$C$9:$F$45,4,0)</f>
        <v>Mozn</v>
      </c>
      <c r="C37" s="633" t="s">
        <v>447</v>
      </c>
      <c r="D37" s="634">
        <v>45114</v>
      </c>
      <c r="E37" s="635">
        <f t="shared" si="3"/>
        <v>-1E-3</v>
      </c>
      <c r="F37" s="636"/>
      <c r="G37" s="637" t="s">
        <v>10</v>
      </c>
      <c r="H37" s="636"/>
      <c r="I37" s="638">
        <v>1000</v>
      </c>
      <c r="J37" s="639"/>
      <c r="K37" s="637"/>
      <c r="L37" s="81"/>
    </row>
    <row r="38" spans="2:13" ht="12.75" customHeight="1" x14ac:dyDescent="0.2">
      <c r="B38" s="644" t="str">
        <f>VLOOKUP(C38,'S | 01 '!$C$9:$F$45,4,0)</f>
        <v>Mozn</v>
      </c>
      <c r="C38" s="645" t="s">
        <v>269</v>
      </c>
      <c r="D38" s="646">
        <v>45121</v>
      </c>
      <c r="E38" s="647">
        <f t="shared" si="3"/>
        <v>-2.75</v>
      </c>
      <c r="F38" s="648"/>
      <c r="G38" s="649" t="s">
        <v>10</v>
      </c>
      <c r="H38" s="648"/>
      <c r="I38" s="650">
        <v>2750000</v>
      </c>
      <c r="J38" s="651"/>
      <c r="K38" s="649"/>
      <c r="L38" s="81"/>
    </row>
    <row r="39" spans="2:13" ht="12.75" customHeight="1" x14ac:dyDescent="0.2">
      <c r="B39" s="632" t="str">
        <f>VLOOKUP(C39,'S | 01 '!$C$9:$F$45,4,0)</f>
        <v>Mozn</v>
      </c>
      <c r="C39" s="633" t="s">
        <v>43</v>
      </c>
      <c r="D39" s="634">
        <v>45138</v>
      </c>
      <c r="E39" s="635"/>
      <c r="F39" s="636">
        <f>I39*10^-6</f>
        <v>7.8207760999999989</v>
      </c>
      <c r="G39" s="637" t="s">
        <v>10</v>
      </c>
      <c r="H39" s="641">
        <v>6090345.2199999997</v>
      </c>
      <c r="I39" s="638">
        <v>7820776.0999999996</v>
      </c>
      <c r="J39" s="639"/>
      <c r="K39" s="637"/>
      <c r="L39" s="500"/>
    </row>
    <row r="40" spans="2:13" ht="12.75" customHeight="1" x14ac:dyDescent="0.2">
      <c r="B40" s="644" t="str">
        <f>VLOOKUP(C40,'S | 01 '!$C$9:$F$45,4,0)</f>
        <v>Mozn 1</v>
      </c>
      <c r="C40" s="645" t="s">
        <v>18</v>
      </c>
      <c r="D40" s="646">
        <v>45149</v>
      </c>
      <c r="E40" s="647"/>
      <c r="F40" s="648">
        <v>24.5</v>
      </c>
      <c r="G40" s="649" t="s">
        <v>10</v>
      </c>
      <c r="H40" s="648"/>
      <c r="I40" s="650">
        <v>24500000</v>
      </c>
      <c r="J40" s="651">
        <v>7959497</v>
      </c>
      <c r="K40" s="649"/>
      <c r="L40" s="500"/>
    </row>
    <row r="41" spans="2:13" ht="12.75" customHeight="1" x14ac:dyDescent="0.2">
      <c r="B41" s="632" t="str">
        <f>VLOOKUP(C41,'S | 01 '!$C$9:$F$45,4,0)</f>
        <v>Mozn</v>
      </c>
      <c r="C41" s="633" t="s">
        <v>42</v>
      </c>
      <c r="D41" s="634">
        <v>45167</v>
      </c>
      <c r="E41" s="635">
        <f t="shared" ref="E41" si="4">-I41*10^-6</f>
        <v>-5</v>
      </c>
      <c r="F41" s="636"/>
      <c r="G41" s="637" t="s">
        <v>10</v>
      </c>
      <c r="H41" s="636"/>
      <c r="I41" s="638">
        <v>5000000</v>
      </c>
      <c r="J41" s="639">
        <v>5000000</v>
      </c>
      <c r="K41" s="637"/>
      <c r="L41" s="500"/>
    </row>
    <row r="42" spans="2:13" ht="12.75" customHeight="1" x14ac:dyDescent="0.2">
      <c r="B42" s="644" t="str">
        <f>VLOOKUP(C42,'S | 01 '!$C$9:$F$45,4,0)</f>
        <v>Mozn</v>
      </c>
      <c r="C42" s="645" t="s">
        <v>458</v>
      </c>
      <c r="D42" s="646">
        <v>45167</v>
      </c>
      <c r="E42" s="647">
        <v>-6</v>
      </c>
      <c r="F42" s="648"/>
      <c r="G42" s="649" t="s">
        <v>10</v>
      </c>
      <c r="H42" s="648"/>
      <c r="I42" s="650">
        <v>6000000</v>
      </c>
      <c r="J42" s="651">
        <f>I42/1.34</f>
        <v>4477611.940298507</v>
      </c>
      <c r="K42" s="649"/>
      <c r="L42" s="500"/>
    </row>
    <row r="43" spans="2:13" ht="12.75" customHeight="1" x14ac:dyDescent="0.2">
      <c r="B43" s="632" t="str">
        <f>VLOOKUP(C43,'S | 01 '!$C$9:$F$45,4,0)</f>
        <v>G42 3</v>
      </c>
      <c r="C43" s="633" t="s">
        <v>35</v>
      </c>
      <c r="D43" s="634">
        <v>45224</v>
      </c>
      <c r="E43" s="635"/>
      <c r="F43" s="642">
        <v>2.8</v>
      </c>
      <c r="G43" s="637" t="s">
        <v>10</v>
      </c>
      <c r="H43" s="636"/>
      <c r="I43" s="638"/>
      <c r="J43" s="639"/>
      <c r="K43" s="637"/>
      <c r="L43" s="500"/>
    </row>
    <row r="44" spans="2:13" ht="12.75" customHeight="1" x14ac:dyDescent="0.2">
      <c r="B44" s="644" t="str">
        <f>VLOOKUP(C44,'S | 01 '!$C$9:$F$45,4,0)</f>
        <v>G42 3</v>
      </c>
      <c r="C44" s="645" t="s">
        <v>35</v>
      </c>
      <c r="D44" s="646">
        <v>45224</v>
      </c>
      <c r="E44" s="647"/>
      <c r="F44" s="648">
        <v>800</v>
      </c>
      <c r="G44" s="649" t="s">
        <v>10</v>
      </c>
      <c r="H44" s="648"/>
      <c r="I44" s="650"/>
      <c r="J44" s="651"/>
      <c r="K44" s="649"/>
      <c r="L44" s="500"/>
    </row>
    <row r="45" spans="2:13" ht="12.75" customHeight="1" x14ac:dyDescent="0.2">
      <c r="B45" s="632" t="str">
        <f>VLOOKUP(C45,'S | 01 '!$C$9:$F$45,4,0)</f>
        <v>Mozn 2</v>
      </c>
      <c r="C45" s="633" t="s">
        <v>71</v>
      </c>
      <c r="D45" s="634">
        <v>45224</v>
      </c>
      <c r="E45" s="635"/>
      <c r="F45" s="642">
        <v>403</v>
      </c>
      <c r="G45" s="637" t="s">
        <v>10</v>
      </c>
      <c r="H45" s="636"/>
      <c r="I45" s="638"/>
      <c r="J45" s="639"/>
      <c r="K45" s="637"/>
      <c r="L45" s="500"/>
    </row>
    <row r="46" spans="2:13" ht="12.75" customHeight="1" x14ac:dyDescent="0.2">
      <c r="B46" s="644" t="str">
        <f>VLOOKUP(C46,'S | 01 '!$C$9:$F$45,4,0)</f>
        <v>Mozn</v>
      </c>
      <c r="C46" s="645" t="s">
        <v>43</v>
      </c>
      <c r="D46" s="646">
        <v>45224</v>
      </c>
      <c r="E46" s="647"/>
      <c r="F46" s="648">
        <v>0.12141643000000001</v>
      </c>
      <c r="G46" s="649" t="s">
        <v>10</v>
      </c>
      <c r="H46" s="648"/>
      <c r="I46" s="650"/>
      <c r="J46" s="651"/>
      <c r="K46" s="649"/>
      <c r="L46" s="500"/>
    </row>
    <row r="47" spans="2:13" ht="12.75" customHeight="1" x14ac:dyDescent="0.2">
      <c r="B47" s="632" t="str">
        <f>VLOOKUP(C47,'S | 01 '!$C$9:$F$45,4,0)</f>
        <v>Mozn</v>
      </c>
      <c r="C47" s="633" t="s">
        <v>269</v>
      </c>
      <c r="D47" s="634">
        <v>45295</v>
      </c>
      <c r="E47" s="635">
        <f t="shared" ref="E47:E48" si="5">-I47*10^-6</f>
        <v>-4</v>
      </c>
      <c r="F47" s="636"/>
      <c r="G47" s="637" t="s">
        <v>10</v>
      </c>
      <c r="H47" s="636">
        <v>4000000</v>
      </c>
      <c r="I47" s="638">
        <f t="shared" ref="I47" si="6">H47</f>
        <v>4000000</v>
      </c>
      <c r="J47" s="639"/>
      <c r="K47" s="637"/>
      <c r="L47" s="500"/>
    </row>
    <row r="48" spans="2:13" ht="12.75" customHeight="1" x14ac:dyDescent="0.2">
      <c r="B48" s="644" t="str">
        <f>VLOOKUP(C48,'S | 01 '!$C$9:$F$45,4,0)</f>
        <v>Core42 5</v>
      </c>
      <c r="C48" s="645" t="s">
        <v>505</v>
      </c>
      <c r="D48" s="646">
        <v>45322</v>
      </c>
      <c r="E48" s="647">
        <f t="shared" si="5"/>
        <v>-2.5</v>
      </c>
      <c r="F48" s="648"/>
      <c r="G48" s="649" t="s">
        <v>10</v>
      </c>
      <c r="H48" s="648">
        <f>I48</f>
        <v>2500000</v>
      </c>
      <c r="I48" s="650">
        <v>2500000</v>
      </c>
      <c r="J48" s="651"/>
      <c r="K48" s="649"/>
      <c r="L48" s="500"/>
    </row>
    <row r="49" spans="2:12" ht="12.75" customHeight="1" x14ac:dyDescent="0.2">
      <c r="B49" s="632" t="str">
        <f>VLOOKUP(C49,'S | 01 '!$C$9:$F$45,4,0)</f>
        <v>G42 Capital</v>
      </c>
      <c r="C49" s="633" t="s">
        <v>645</v>
      </c>
      <c r="D49" s="634">
        <v>45349</v>
      </c>
      <c r="E49" s="635">
        <f t="shared" ref="E49" si="7">-I49*10^-6</f>
        <v>-20</v>
      </c>
      <c r="F49" s="636"/>
      <c r="G49" s="637" t="s">
        <v>10</v>
      </c>
      <c r="H49" s="636"/>
      <c r="I49" s="638">
        <v>20000000</v>
      </c>
      <c r="J49" s="639"/>
      <c r="K49" s="637"/>
      <c r="L49" s="500"/>
    </row>
    <row r="50" spans="2:12" ht="12.75" customHeight="1" x14ac:dyDescent="0.2">
      <c r="B50" s="72"/>
      <c r="C50" s="73"/>
      <c r="D50" s="74"/>
      <c r="E50" s="76"/>
      <c r="F50" s="76"/>
      <c r="G50" s="75"/>
      <c r="H50" s="111"/>
      <c r="I50" s="565"/>
      <c r="J50" s="77"/>
      <c r="K50" s="77"/>
      <c r="L50" s="500"/>
    </row>
    <row r="51" spans="2:12" x14ac:dyDescent="0.2">
      <c r="D51" s="368"/>
      <c r="H51" s="78"/>
      <c r="I51" s="499"/>
    </row>
    <row r="52" spans="2:12" s="70" customFormat="1" x14ac:dyDescent="0.2">
      <c r="B52" s="628" t="s">
        <v>138</v>
      </c>
      <c r="C52" s="629"/>
      <c r="D52" s="630"/>
      <c r="E52" s="631"/>
      <c r="F52" s="631"/>
      <c r="G52" s="631"/>
      <c r="H52" s="631"/>
      <c r="I52" s="631"/>
      <c r="J52" s="631"/>
      <c r="K52" s="631"/>
    </row>
    <row r="53" spans="2:12" ht="12.75" customHeight="1" x14ac:dyDescent="0.2">
      <c r="B53" s="632" t="s">
        <v>8</v>
      </c>
      <c r="C53" s="633" t="s">
        <v>49</v>
      </c>
      <c r="D53" s="634">
        <v>43635</v>
      </c>
      <c r="E53" s="635">
        <v>-8</v>
      </c>
      <c r="F53" s="636"/>
      <c r="G53" s="637" t="s">
        <v>10</v>
      </c>
      <c r="H53" s="636">
        <v>8000000</v>
      </c>
      <c r="I53" s="643">
        <f>H53</f>
        <v>8000000</v>
      </c>
      <c r="J53" s="639"/>
      <c r="K53" s="637"/>
    </row>
    <row r="54" spans="2:12" ht="12.75" customHeight="1" x14ac:dyDescent="0.2">
      <c r="B54" s="644" t="s">
        <v>8</v>
      </c>
      <c r="C54" s="645" t="s">
        <v>271</v>
      </c>
      <c r="D54" s="646">
        <v>44293</v>
      </c>
      <c r="E54" s="647">
        <v>-2.3539819999999998</v>
      </c>
      <c r="F54" s="648"/>
      <c r="G54" s="649" t="s">
        <v>10</v>
      </c>
      <c r="H54" s="648">
        <f>-E54*10^6</f>
        <v>2353982</v>
      </c>
      <c r="I54" s="650">
        <f>H54</f>
        <v>2353982</v>
      </c>
      <c r="J54" s="651"/>
      <c r="K54" s="649"/>
    </row>
    <row r="55" spans="2:12" ht="12.75" customHeight="1" x14ac:dyDescent="0.2">
      <c r="B55" s="632" t="s">
        <v>8</v>
      </c>
      <c r="C55" s="633" t="s">
        <v>263</v>
      </c>
      <c r="D55" s="634">
        <v>44384</v>
      </c>
      <c r="E55" s="635">
        <f>-I55*10^-6</f>
        <v>-0.41176499999999999</v>
      </c>
      <c r="F55" s="636"/>
      <c r="G55" s="637" t="s">
        <v>10</v>
      </c>
      <c r="H55" s="636">
        <v>2500000</v>
      </c>
      <c r="I55" s="643">
        <v>411765</v>
      </c>
      <c r="J55" s="639"/>
      <c r="K55" s="637"/>
    </row>
    <row r="56" spans="2:12" x14ac:dyDescent="0.2">
      <c r="B56" s="644" t="s">
        <v>8</v>
      </c>
      <c r="C56" s="645" t="s">
        <v>263</v>
      </c>
      <c r="D56" s="646">
        <v>44902</v>
      </c>
      <c r="E56" s="647"/>
      <c r="F56" s="648">
        <f>(411765+59019.65)*10^-6</f>
        <v>0.47078465000000003</v>
      </c>
      <c r="G56" s="649" t="s">
        <v>10</v>
      </c>
      <c r="H56" s="648">
        <f>F56*10^6</f>
        <v>470784.65</v>
      </c>
      <c r="I56" s="650">
        <v>470784.65</v>
      </c>
      <c r="J56" s="651"/>
      <c r="K56" s="649"/>
    </row>
    <row r="57" spans="2:12" x14ac:dyDescent="0.2">
      <c r="D57" s="369"/>
      <c r="I57" s="499"/>
      <c r="J57" s="80"/>
    </row>
    <row r="58" spans="2:12" x14ac:dyDescent="0.2">
      <c r="I58" s="499"/>
      <c r="J58" s="80"/>
    </row>
    <row r="59" spans="2:12" x14ac:dyDescent="0.2">
      <c r="I59" s="499"/>
    </row>
    <row r="60" spans="2:12" x14ac:dyDescent="0.2">
      <c r="I60" s="499"/>
    </row>
    <row r="61" spans="2:12" x14ac:dyDescent="0.2">
      <c r="I61" s="499"/>
    </row>
  </sheetData>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52"/>
  <sheetViews>
    <sheetView zoomScale="70" zoomScaleNormal="70" workbookViewId="0">
      <selection activeCell="F37" sqref="F37"/>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16"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628" t="s">
        <v>675</v>
      </c>
      <c r="C2" s="629"/>
      <c r="D2" s="630"/>
      <c r="E2" s="631"/>
      <c r="F2" s="631"/>
      <c r="G2" s="631"/>
      <c r="H2" s="631"/>
      <c r="I2" s="631"/>
    </row>
    <row r="3" spans="2:10" s="59" customFormat="1" ht="33.75" customHeight="1" x14ac:dyDescent="0.2">
      <c r="B3" s="654" t="s">
        <v>121</v>
      </c>
      <c r="C3" s="654" t="s">
        <v>5</v>
      </c>
      <c r="D3" s="654" t="s">
        <v>6</v>
      </c>
      <c r="E3" s="654" t="s">
        <v>169</v>
      </c>
      <c r="F3" s="654" t="s">
        <v>170</v>
      </c>
      <c r="G3" s="654" t="s">
        <v>22</v>
      </c>
      <c r="H3" s="654" t="s">
        <v>160</v>
      </c>
      <c r="I3" s="654" t="s">
        <v>7</v>
      </c>
      <c r="J3" s="540" t="s">
        <v>355</v>
      </c>
    </row>
    <row r="4" spans="2:10" s="63" customFormat="1" ht="15.75" customHeight="1" x14ac:dyDescent="0.25">
      <c r="B4" s="637" t="s">
        <v>11</v>
      </c>
      <c r="C4" s="632" t="s">
        <v>12</v>
      </c>
      <c r="D4" s="634">
        <v>44153</v>
      </c>
      <c r="E4" s="642">
        <f>H4</f>
        <v>-10.5</v>
      </c>
      <c r="F4" s="642"/>
      <c r="G4" s="637" t="s">
        <v>10</v>
      </c>
      <c r="H4" s="642">
        <v>-10.5</v>
      </c>
      <c r="I4" s="637" t="s">
        <v>13</v>
      </c>
      <c r="J4" s="537">
        <f>SUM(E4:E54)</f>
        <v>-138.88391878132614</v>
      </c>
    </row>
    <row r="5" spans="2:10" s="63" customFormat="1" ht="15.75" customHeight="1" x14ac:dyDescent="0.25">
      <c r="B5" s="637" t="s">
        <v>11</v>
      </c>
      <c r="C5" s="632" t="s">
        <v>12</v>
      </c>
      <c r="D5" s="634">
        <v>44238</v>
      </c>
      <c r="E5" s="642">
        <f>H5</f>
        <v>4.2140269999999997</v>
      </c>
      <c r="F5" s="642"/>
      <c r="G5" s="655" t="s">
        <v>10</v>
      </c>
      <c r="H5" s="642">
        <v>4.2140269999999997</v>
      </c>
      <c r="I5" s="637" t="s">
        <v>14</v>
      </c>
      <c r="J5" s="538">
        <f ca="1">'S | 01 '!K46</f>
        <v>138.88391878132617</v>
      </c>
    </row>
    <row r="6" spans="2:10" s="63" customFormat="1" ht="15.75" customHeight="1" x14ac:dyDescent="0.25">
      <c r="B6" s="637" t="s">
        <v>11</v>
      </c>
      <c r="C6" s="632" t="s">
        <v>12</v>
      </c>
      <c r="D6" s="634">
        <v>44238</v>
      </c>
      <c r="E6" s="642"/>
      <c r="F6" s="642">
        <f>H6</f>
        <v>5.0448349999999996E-2</v>
      </c>
      <c r="G6" s="655" t="s">
        <v>10</v>
      </c>
      <c r="H6" s="642">
        <v>5.0448349999999996E-2</v>
      </c>
      <c r="I6" s="637" t="s">
        <v>17</v>
      </c>
      <c r="J6" s="538" t="b">
        <f ca="1">ROUND(J5,5)=-ROUND(J4,5)</f>
        <v>1</v>
      </c>
    </row>
    <row r="7" spans="2:10" s="63" customFormat="1" ht="15.75" customHeight="1" x14ac:dyDescent="0.2">
      <c r="B7" s="637" t="s">
        <v>11</v>
      </c>
      <c r="C7" s="632" t="s">
        <v>12</v>
      </c>
      <c r="D7" s="634">
        <v>44285</v>
      </c>
      <c r="E7" s="642">
        <f>H7</f>
        <v>-6.4337459999999993</v>
      </c>
      <c r="F7" s="642"/>
      <c r="G7" s="655" t="s">
        <v>10</v>
      </c>
      <c r="H7" s="642">
        <v>-6.4337459999999993</v>
      </c>
      <c r="I7" s="637" t="s">
        <v>15</v>
      </c>
      <c r="J7" s="539"/>
    </row>
    <row r="8" spans="2:10" s="63" customFormat="1" ht="15.75" customHeight="1" x14ac:dyDescent="0.2">
      <c r="B8" s="637" t="s">
        <v>11</v>
      </c>
      <c r="C8" s="632" t="s">
        <v>12</v>
      </c>
      <c r="D8" s="634">
        <v>44269</v>
      </c>
      <c r="E8" s="642">
        <f>H8</f>
        <v>1.1352073899999999</v>
      </c>
      <c r="F8" s="642"/>
      <c r="G8" s="655" t="s">
        <v>10</v>
      </c>
      <c r="H8" s="642">
        <v>1.1352073899999999</v>
      </c>
      <c r="I8" s="637" t="s">
        <v>16</v>
      </c>
      <c r="J8" s="539"/>
    </row>
    <row r="9" spans="2:10" s="63" customFormat="1" ht="15.75" customHeight="1" x14ac:dyDescent="0.2">
      <c r="B9" s="637" t="s">
        <v>11</v>
      </c>
      <c r="C9" s="632" t="s">
        <v>12</v>
      </c>
      <c r="D9" s="634">
        <v>44269</v>
      </c>
      <c r="E9" s="642"/>
      <c r="F9" s="642">
        <f>H9</f>
        <v>2.5899999999999999E-2</v>
      </c>
      <c r="G9" s="637" t="s">
        <v>10</v>
      </c>
      <c r="H9" s="642">
        <v>2.5899999999999999E-2</v>
      </c>
      <c r="I9" s="637" t="s">
        <v>17</v>
      </c>
      <c r="J9" s="539"/>
    </row>
    <row r="10" spans="2:10" s="63" customFormat="1" ht="15.75" customHeight="1" x14ac:dyDescent="0.2">
      <c r="B10" s="637" t="s">
        <v>11</v>
      </c>
      <c r="C10" s="632" t="s">
        <v>12</v>
      </c>
      <c r="D10" s="634">
        <v>44483</v>
      </c>
      <c r="E10" s="642">
        <f>H10</f>
        <v>-7.5671379999999999</v>
      </c>
      <c r="F10" s="642"/>
      <c r="G10" s="637" t="s">
        <v>10</v>
      </c>
      <c r="H10" s="642">
        <v>-7.5671379999999999</v>
      </c>
      <c r="I10" s="637" t="s">
        <v>109</v>
      </c>
      <c r="J10" s="539"/>
    </row>
    <row r="11" spans="2:10" s="63" customFormat="1" ht="15.75" customHeight="1" x14ac:dyDescent="0.2">
      <c r="B11" s="637" t="s">
        <v>11</v>
      </c>
      <c r="C11" s="632" t="s">
        <v>12</v>
      </c>
      <c r="D11" s="634">
        <v>44554</v>
      </c>
      <c r="E11" s="642">
        <f>H11</f>
        <v>-7.3850159999999994</v>
      </c>
      <c r="F11" s="642"/>
      <c r="G11" s="637" t="s">
        <v>10</v>
      </c>
      <c r="H11" s="642">
        <v>-7.3850159999999994</v>
      </c>
      <c r="I11" s="637" t="s">
        <v>110</v>
      </c>
    </row>
    <row r="12" spans="2:10" s="63" customFormat="1" ht="15.75" customHeight="1" x14ac:dyDescent="0.2">
      <c r="B12" s="637" t="s">
        <v>11</v>
      </c>
      <c r="C12" s="632" t="s">
        <v>12</v>
      </c>
      <c r="D12" s="634">
        <v>44554</v>
      </c>
      <c r="E12" s="642">
        <f>H12</f>
        <v>4.0733456099999996</v>
      </c>
      <c r="F12" s="642"/>
      <c r="G12" s="637" t="s">
        <v>10</v>
      </c>
      <c r="H12" s="642">
        <v>4.0733456099999996</v>
      </c>
      <c r="I12" s="637" t="s">
        <v>16</v>
      </c>
    </row>
    <row r="13" spans="2:10" s="63" customFormat="1" ht="15.75" customHeight="1" x14ac:dyDescent="0.2">
      <c r="B13" s="637" t="s">
        <v>11</v>
      </c>
      <c r="C13" s="632" t="s">
        <v>12</v>
      </c>
      <c r="D13" s="634">
        <v>44554</v>
      </c>
      <c r="E13" s="642"/>
      <c r="F13" s="642">
        <f>H13</f>
        <v>0.13969399999999998</v>
      </c>
      <c r="G13" s="637" t="s">
        <v>10</v>
      </c>
      <c r="H13" s="642">
        <v>0.13969399999999998</v>
      </c>
      <c r="I13" s="637" t="s">
        <v>17</v>
      </c>
    </row>
    <row r="14" spans="2:10" s="63" customFormat="1" ht="15.75" customHeight="1" x14ac:dyDescent="0.2">
      <c r="B14" s="637" t="s">
        <v>11</v>
      </c>
      <c r="C14" s="632" t="s">
        <v>12</v>
      </c>
      <c r="D14" s="634">
        <v>44703</v>
      </c>
      <c r="E14" s="642">
        <f>H14</f>
        <v>5.6730739999999997</v>
      </c>
      <c r="F14" s="642"/>
      <c r="G14" s="637" t="s">
        <v>10</v>
      </c>
      <c r="H14" s="642">
        <v>5.6730739999999997</v>
      </c>
      <c r="I14" s="637" t="s">
        <v>16</v>
      </c>
    </row>
    <row r="15" spans="2:10" s="63" customFormat="1" ht="15.75" customHeight="1" x14ac:dyDescent="0.2">
      <c r="B15" s="637" t="s">
        <v>11</v>
      </c>
      <c r="C15" s="632" t="s">
        <v>12</v>
      </c>
      <c r="D15" s="634">
        <v>44703</v>
      </c>
      <c r="E15" s="642"/>
      <c r="F15" s="642">
        <f>H15</f>
        <v>0.22778599999999999</v>
      </c>
      <c r="G15" s="637" t="s">
        <v>10</v>
      </c>
      <c r="H15" s="642">
        <v>0.22778599999999999</v>
      </c>
      <c r="I15" s="637" t="s">
        <v>17</v>
      </c>
    </row>
    <row r="16" spans="2:10" s="63" customFormat="1" ht="15.75" customHeight="1" x14ac:dyDescent="0.2">
      <c r="B16" s="637" t="s">
        <v>11</v>
      </c>
      <c r="C16" s="632" t="s">
        <v>12</v>
      </c>
      <c r="D16" s="634">
        <v>44776</v>
      </c>
      <c r="E16" s="642">
        <f>H16</f>
        <v>-3.235493</v>
      </c>
      <c r="F16" s="642"/>
      <c r="G16" s="637" t="s">
        <v>10</v>
      </c>
      <c r="H16" s="642">
        <v>-3.235493</v>
      </c>
      <c r="I16" s="637" t="s">
        <v>112</v>
      </c>
    </row>
    <row r="17" spans="2:9" s="63" customFormat="1" ht="15.75" customHeight="1" x14ac:dyDescent="0.2">
      <c r="B17" s="637" t="s">
        <v>11</v>
      </c>
      <c r="C17" s="632" t="s">
        <v>12</v>
      </c>
      <c r="D17" s="634">
        <v>44960</v>
      </c>
      <c r="E17" s="642">
        <f>H17</f>
        <v>-2.6315279999999999</v>
      </c>
      <c r="F17" s="642"/>
      <c r="G17" s="637" t="s">
        <v>10</v>
      </c>
      <c r="H17" s="642">
        <v>-2.6315279999999999</v>
      </c>
      <c r="I17" s="637" t="s">
        <v>114</v>
      </c>
    </row>
    <row r="18" spans="2:9" s="63" customFormat="1" ht="15.75" customHeight="1" x14ac:dyDescent="0.2">
      <c r="B18" s="637" t="s">
        <v>11</v>
      </c>
      <c r="C18" s="632" t="s">
        <v>12</v>
      </c>
      <c r="D18" s="634">
        <v>45085</v>
      </c>
      <c r="E18" s="642">
        <f>H18</f>
        <v>1.9125570000000001</v>
      </c>
      <c r="F18" s="642"/>
      <c r="G18" s="637" t="s">
        <v>10</v>
      </c>
      <c r="H18" s="642">
        <v>1.9125570000000001</v>
      </c>
      <c r="I18" s="637" t="s">
        <v>16</v>
      </c>
    </row>
    <row r="19" spans="2:9" s="63" customFormat="1" ht="15.75" customHeight="1" x14ac:dyDescent="0.2">
      <c r="B19" s="637" t="s">
        <v>11</v>
      </c>
      <c r="C19" s="632" t="s">
        <v>12</v>
      </c>
      <c r="D19" s="634">
        <v>45166</v>
      </c>
      <c r="E19" s="642">
        <v>-1.7991220000000001</v>
      </c>
      <c r="F19" s="642"/>
      <c r="G19" s="637" t="s">
        <v>10</v>
      </c>
      <c r="H19" s="642">
        <v>-1.7991220000000001</v>
      </c>
      <c r="I19" s="637" t="s">
        <v>478</v>
      </c>
    </row>
    <row r="20" spans="2:9" s="63" customFormat="1" ht="15.75" customHeight="1" x14ac:dyDescent="0.2">
      <c r="B20" s="637" t="s">
        <v>11</v>
      </c>
      <c r="C20" s="632" t="s">
        <v>12</v>
      </c>
      <c r="D20" s="634">
        <v>45218</v>
      </c>
      <c r="E20" s="642">
        <v>-2.415861</v>
      </c>
      <c r="F20" s="642"/>
      <c r="G20" s="637" t="s">
        <v>10</v>
      </c>
      <c r="H20" s="642">
        <v>-2.415861</v>
      </c>
      <c r="I20" s="637" t="s">
        <v>480</v>
      </c>
    </row>
    <row r="21" spans="2:9" s="63" customFormat="1" ht="15.75" customHeight="1" x14ac:dyDescent="0.2">
      <c r="B21" s="637" t="s">
        <v>11</v>
      </c>
      <c r="C21" s="632" t="s">
        <v>12</v>
      </c>
      <c r="D21" s="634">
        <v>45323</v>
      </c>
      <c r="E21" s="642"/>
      <c r="F21" s="642">
        <f>24.959693</f>
        <v>24.959693000000001</v>
      </c>
      <c r="G21" s="637" t="s">
        <v>10</v>
      </c>
      <c r="H21" s="642">
        <f>F21</f>
        <v>24.959693000000001</v>
      </c>
      <c r="I21" s="637" t="s">
        <v>661</v>
      </c>
    </row>
    <row r="22" spans="2:9" s="63" customFormat="1" ht="15.75" customHeight="1" x14ac:dyDescent="0.2">
      <c r="B22" s="649" t="s">
        <v>11</v>
      </c>
      <c r="C22" s="644" t="s">
        <v>1</v>
      </c>
      <c r="D22" s="646">
        <v>43665</v>
      </c>
      <c r="E22" s="659">
        <f t="shared" ref="E22:E29" si="0">H22</f>
        <v>-3</v>
      </c>
      <c r="F22" s="659"/>
      <c r="G22" s="649" t="s">
        <v>10</v>
      </c>
      <c r="H22" s="659">
        <v>-3</v>
      </c>
      <c r="I22" s="649" t="s">
        <v>13</v>
      </c>
    </row>
    <row r="23" spans="2:9" s="63" customFormat="1" ht="15.75" customHeight="1" x14ac:dyDescent="0.2">
      <c r="B23" s="649" t="s">
        <v>11</v>
      </c>
      <c r="C23" s="644" t="s">
        <v>1</v>
      </c>
      <c r="D23" s="646">
        <v>43983</v>
      </c>
      <c r="E23" s="659">
        <f t="shared" si="0"/>
        <v>-4.4849999999999994</v>
      </c>
      <c r="F23" s="659"/>
      <c r="G23" s="649" t="s">
        <v>10</v>
      </c>
      <c r="H23" s="659">
        <v>-4.4849999999999994</v>
      </c>
      <c r="I23" s="649" t="s">
        <v>15</v>
      </c>
    </row>
    <row r="24" spans="2:9" s="63" customFormat="1" ht="15.75" customHeight="1" x14ac:dyDescent="0.2">
      <c r="B24" s="649" t="s">
        <v>11</v>
      </c>
      <c r="C24" s="644" t="s">
        <v>1</v>
      </c>
      <c r="D24" s="646">
        <v>43879</v>
      </c>
      <c r="E24" s="659">
        <f t="shared" si="0"/>
        <v>-9.5097500000000004</v>
      </c>
      <c r="F24" s="659"/>
      <c r="G24" s="649" t="s">
        <v>10</v>
      </c>
      <c r="H24" s="659">
        <v>-9.5097500000000004</v>
      </c>
      <c r="I24" s="649" t="s">
        <v>109</v>
      </c>
    </row>
    <row r="25" spans="2:9" s="63" customFormat="1" ht="15.75" customHeight="1" x14ac:dyDescent="0.2">
      <c r="B25" s="649" t="s">
        <v>11</v>
      </c>
      <c r="C25" s="644" t="s">
        <v>1</v>
      </c>
      <c r="D25" s="646">
        <v>43934</v>
      </c>
      <c r="E25" s="659">
        <f t="shared" si="0"/>
        <v>-41.3</v>
      </c>
      <c r="F25" s="659"/>
      <c r="G25" s="649" t="s">
        <v>10</v>
      </c>
      <c r="H25" s="659">
        <v>-41.3</v>
      </c>
      <c r="I25" s="649" t="s">
        <v>110</v>
      </c>
    </row>
    <row r="26" spans="2:9" s="63" customFormat="1" ht="15.75" customHeight="1" x14ac:dyDescent="0.2">
      <c r="B26" s="649" t="s">
        <v>11</v>
      </c>
      <c r="C26" s="644" t="s">
        <v>1</v>
      </c>
      <c r="D26" s="646">
        <v>44151</v>
      </c>
      <c r="E26" s="659">
        <f t="shared" si="0"/>
        <v>9.9499999999999993</v>
      </c>
      <c r="F26" s="659"/>
      <c r="G26" s="649" t="s">
        <v>10</v>
      </c>
      <c r="H26" s="659">
        <v>9.9499999999999993</v>
      </c>
      <c r="I26" s="649" t="s">
        <v>111</v>
      </c>
    </row>
    <row r="27" spans="2:9" s="63" customFormat="1" ht="15.75" customHeight="1" x14ac:dyDescent="0.2">
      <c r="B27" s="649" t="s">
        <v>11</v>
      </c>
      <c r="C27" s="644" t="s">
        <v>1</v>
      </c>
      <c r="D27" s="646">
        <v>44151</v>
      </c>
      <c r="E27" s="659">
        <f t="shared" si="0"/>
        <v>-10.455</v>
      </c>
      <c r="F27" s="659"/>
      <c r="G27" s="649" t="s">
        <v>10</v>
      </c>
      <c r="H27" s="659">
        <v>-10.455</v>
      </c>
      <c r="I27" s="649" t="s">
        <v>112</v>
      </c>
    </row>
    <row r="28" spans="2:9" s="63" customFormat="1" ht="15.75" customHeight="1" x14ac:dyDescent="0.2">
      <c r="B28" s="649" t="s">
        <v>11</v>
      </c>
      <c r="C28" s="644" t="s">
        <v>1</v>
      </c>
      <c r="D28" s="646">
        <v>44196</v>
      </c>
      <c r="E28" s="659">
        <f t="shared" si="0"/>
        <v>4.9749999999999996</v>
      </c>
      <c r="F28" s="659"/>
      <c r="G28" s="649" t="s">
        <v>10</v>
      </c>
      <c r="H28" s="659">
        <v>4.9749999999999996</v>
      </c>
      <c r="I28" s="649" t="s">
        <v>113</v>
      </c>
    </row>
    <row r="29" spans="2:9" s="63" customFormat="1" ht="15.75" customHeight="1" x14ac:dyDescent="0.2">
      <c r="B29" s="649" t="s">
        <v>11</v>
      </c>
      <c r="C29" s="644" t="s">
        <v>1</v>
      </c>
      <c r="D29" s="646">
        <v>44196</v>
      </c>
      <c r="E29" s="659">
        <f t="shared" si="0"/>
        <v>-3.4522930000000001</v>
      </c>
      <c r="F29" s="659"/>
      <c r="G29" s="649" t="s">
        <v>10</v>
      </c>
      <c r="H29" s="659">
        <v>-3.4522930000000001</v>
      </c>
      <c r="I29" s="649" t="s">
        <v>114</v>
      </c>
    </row>
    <row r="30" spans="2:9" s="63" customFormat="1" ht="15.75" customHeight="1" x14ac:dyDescent="0.2">
      <c r="B30" s="649" t="s">
        <v>11</v>
      </c>
      <c r="C30" s="644" t="s">
        <v>1</v>
      </c>
      <c r="D30" s="646">
        <v>44196</v>
      </c>
      <c r="E30" s="659"/>
      <c r="F30" s="659">
        <f>H30</f>
        <v>0.58290199999999992</v>
      </c>
      <c r="G30" s="649" t="s">
        <v>10</v>
      </c>
      <c r="H30" s="659">
        <v>0.58290199999999992</v>
      </c>
      <c r="I30" s="649" t="s">
        <v>115</v>
      </c>
    </row>
    <row r="31" spans="2:9" s="63" customFormat="1" ht="15.75" customHeight="1" x14ac:dyDescent="0.2">
      <c r="B31" s="649" t="s">
        <v>11</v>
      </c>
      <c r="C31" s="644" t="s">
        <v>1</v>
      </c>
      <c r="D31" s="646">
        <v>44370</v>
      </c>
      <c r="E31" s="659">
        <f>H31</f>
        <v>-5.97</v>
      </c>
      <c r="F31" s="659"/>
      <c r="G31" s="649" t="s">
        <v>10</v>
      </c>
      <c r="H31" s="659">
        <v>-5.97</v>
      </c>
      <c r="I31" s="649" t="s">
        <v>116</v>
      </c>
    </row>
    <row r="32" spans="2:9" s="63" customFormat="1" ht="15.75" customHeight="1" x14ac:dyDescent="0.2">
      <c r="B32" s="649" t="s">
        <v>11</v>
      </c>
      <c r="C32" s="644" t="s">
        <v>1</v>
      </c>
      <c r="D32" s="646">
        <v>44400</v>
      </c>
      <c r="E32" s="659">
        <f>H32</f>
        <v>-0.75</v>
      </c>
      <c r="F32" s="659"/>
      <c r="G32" s="649" t="s">
        <v>10</v>
      </c>
      <c r="H32" s="659">
        <v>-0.75</v>
      </c>
      <c r="I32" s="649" t="s">
        <v>117</v>
      </c>
    </row>
    <row r="33" spans="2:9" s="63" customFormat="1" ht="15.75" customHeight="1" x14ac:dyDescent="0.2">
      <c r="B33" s="649" t="s">
        <v>11</v>
      </c>
      <c r="C33" s="644" t="s">
        <v>1</v>
      </c>
      <c r="D33" s="646">
        <v>44400</v>
      </c>
      <c r="E33" s="659"/>
      <c r="F33" s="659">
        <f>H33</f>
        <v>0.44505899999999998</v>
      </c>
      <c r="G33" s="649" t="s">
        <v>10</v>
      </c>
      <c r="H33" s="659">
        <v>0.44505899999999998</v>
      </c>
      <c r="I33" s="649" t="s">
        <v>118</v>
      </c>
    </row>
    <row r="34" spans="2:9" s="63" customFormat="1" ht="15.75" customHeight="1" x14ac:dyDescent="0.2">
      <c r="B34" s="649" t="s">
        <v>11</v>
      </c>
      <c r="C34" s="644" t="s">
        <v>1</v>
      </c>
      <c r="D34" s="646">
        <v>44554</v>
      </c>
      <c r="E34" s="659">
        <f>H34</f>
        <v>1.7823899999999999</v>
      </c>
      <c r="F34" s="659"/>
      <c r="G34" s="649" t="s">
        <v>10</v>
      </c>
      <c r="H34" s="659">
        <v>1.7823899999999999</v>
      </c>
      <c r="I34" s="649" t="s">
        <v>119</v>
      </c>
    </row>
    <row r="35" spans="2:9" s="63" customFormat="1" ht="15.75" customHeight="1" x14ac:dyDescent="0.2">
      <c r="B35" s="649" t="s">
        <v>11</v>
      </c>
      <c r="C35" s="644" t="s">
        <v>1</v>
      </c>
      <c r="D35" s="646">
        <v>44676</v>
      </c>
      <c r="E35" s="659">
        <f>H35</f>
        <v>-21</v>
      </c>
      <c r="F35" s="659"/>
      <c r="G35" s="649" t="s">
        <v>10</v>
      </c>
      <c r="H35" s="659">
        <v>-21</v>
      </c>
      <c r="I35" s="649" t="s">
        <v>120</v>
      </c>
    </row>
    <row r="36" spans="2:9" s="63" customFormat="1" ht="15.75" customHeight="1" x14ac:dyDescent="0.2">
      <c r="B36" s="649" t="s">
        <v>11</v>
      </c>
      <c r="C36" s="644" t="s">
        <v>1</v>
      </c>
      <c r="D36" s="646">
        <v>45243</v>
      </c>
      <c r="E36" s="659"/>
      <c r="F36" s="659">
        <f>H36</f>
        <v>6.7879100000000001</v>
      </c>
      <c r="G36" s="649" t="s">
        <v>10</v>
      </c>
      <c r="H36" s="659">
        <v>6.7879100000000001</v>
      </c>
      <c r="I36" s="649" t="s">
        <v>493</v>
      </c>
    </row>
    <row r="37" spans="2:9" s="63" customFormat="1" ht="15.75" customHeight="1" x14ac:dyDescent="0.2">
      <c r="B37" s="637" t="s">
        <v>11</v>
      </c>
      <c r="C37" s="632" t="s">
        <v>124</v>
      </c>
      <c r="D37" s="634">
        <v>44087</v>
      </c>
      <c r="E37" s="642">
        <f>H37*1.1</f>
        <v>-20.917552997000001</v>
      </c>
      <c r="F37" s="656"/>
      <c r="G37" s="637" t="s">
        <v>139</v>
      </c>
      <c r="H37" s="657">
        <v>-19.015957270000001</v>
      </c>
      <c r="I37" s="637" t="s">
        <v>141</v>
      </c>
    </row>
    <row r="38" spans="2:9" s="63" customFormat="1" ht="15.75" customHeight="1" x14ac:dyDescent="0.2">
      <c r="B38" s="637" t="s">
        <v>11</v>
      </c>
      <c r="C38" s="632" t="s">
        <v>124</v>
      </c>
      <c r="D38" s="634">
        <v>44287</v>
      </c>
      <c r="E38" s="642">
        <v>-0.21103182000000001</v>
      </c>
      <c r="F38" s="656"/>
      <c r="G38" s="642" t="s">
        <v>139</v>
      </c>
      <c r="H38" s="657">
        <v>-0.21103182000000001</v>
      </c>
      <c r="I38" s="637" t="s">
        <v>142</v>
      </c>
    </row>
    <row r="39" spans="2:9" s="63" customFormat="1" ht="15.75" customHeight="1" x14ac:dyDescent="0.2">
      <c r="B39" s="637" t="s">
        <v>11</v>
      </c>
      <c r="C39" s="632" t="s">
        <v>124</v>
      </c>
      <c r="D39" s="634">
        <v>44442</v>
      </c>
      <c r="E39" s="642">
        <f>1.18*H39</f>
        <v>-0.23965473139999999</v>
      </c>
      <c r="F39" s="656"/>
      <c r="G39" s="642" t="s">
        <v>139</v>
      </c>
      <c r="H39" s="657">
        <f>-203097.23*10^-6</f>
        <v>-0.20309722999999999</v>
      </c>
      <c r="I39" s="637" t="s">
        <v>166</v>
      </c>
    </row>
    <row r="40" spans="2:9" s="63" customFormat="1" ht="15.75" customHeight="1" x14ac:dyDescent="0.2">
      <c r="B40" s="637" t="s">
        <v>11</v>
      </c>
      <c r="C40" s="632" t="s">
        <v>124</v>
      </c>
      <c r="D40" s="634">
        <v>44623</v>
      </c>
      <c r="E40" s="642">
        <f>1.11*H40</f>
        <v>-0.25893584940000003</v>
      </c>
      <c r="F40" s="656"/>
      <c r="G40" s="642" t="s">
        <v>139</v>
      </c>
      <c r="H40" s="657">
        <f>-233275.54*10^-6</f>
        <v>-0.23327554</v>
      </c>
      <c r="I40" s="637" t="s">
        <v>167</v>
      </c>
    </row>
    <row r="41" spans="2:9" s="63" customFormat="1" ht="15.75" customHeight="1" x14ac:dyDescent="0.2">
      <c r="B41" s="637" t="s">
        <v>11</v>
      </c>
      <c r="C41" s="632" t="s">
        <v>124</v>
      </c>
      <c r="D41" s="634">
        <v>44784</v>
      </c>
      <c r="E41" s="635">
        <f>1.03*H41</f>
        <v>1.5224656599999999E-2</v>
      </c>
      <c r="F41" s="656"/>
      <c r="G41" s="642" t="s">
        <v>139</v>
      </c>
      <c r="H41" s="658">
        <f>14781.22*10^-6</f>
        <v>1.4781219999999999E-2</v>
      </c>
      <c r="I41" s="637" t="s">
        <v>168</v>
      </c>
    </row>
    <row r="42" spans="2:9" s="63" customFormat="1" ht="15.75" customHeight="1" x14ac:dyDescent="0.2">
      <c r="B42" s="637" t="s">
        <v>11</v>
      </c>
      <c r="C42" s="632" t="s">
        <v>124</v>
      </c>
      <c r="D42" s="634">
        <v>44956</v>
      </c>
      <c r="E42" s="642">
        <f>9741387*10^-6*1.08341</f>
        <v>10.553916089669999</v>
      </c>
      <c r="F42" s="642"/>
      <c r="G42" s="642" t="s">
        <v>139</v>
      </c>
      <c r="H42" s="657">
        <f>9741387*10^-6</f>
        <v>9.7413869999999996</v>
      </c>
      <c r="I42" s="637" t="s">
        <v>168</v>
      </c>
    </row>
    <row r="43" spans="2:9" s="63" customFormat="1" ht="15.75" customHeight="1" x14ac:dyDescent="0.2">
      <c r="B43" s="637" t="s">
        <v>11</v>
      </c>
      <c r="C43" s="632" t="s">
        <v>124</v>
      </c>
      <c r="D43" s="634">
        <v>44956</v>
      </c>
      <c r="E43" s="642"/>
      <c r="F43" s="642">
        <f>2728214.02*10^-6*1.08341</f>
        <v>2.9557743514081998</v>
      </c>
      <c r="G43" s="642" t="s">
        <v>139</v>
      </c>
      <c r="H43" s="657">
        <v>2.7282140199999994</v>
      </c>
      <c r="I43" s="637" t="s">
        <v>353</v>
      </c>
    </row>
    <row r="44" spans="2:9" s="63" customFormat="1" ht="15.75" customHeight="1" x14ac:dyDescent="0.2">
      <c r="B44" s="637" t="s">
        <v>11</v>
      </c>
      <c r="C44" s="632" t="s">
        <v>124</v>
      </c>
      <c r="D44" s="634">
        <v>45170</v>
      </c>
      <c r="E44" s="642">
        <v>-0.22532724156300002</v>
      </c>
      <c r="F44" s="642"/>
      <c r="G44" s="642" t="s">
        <v>139</v>
      </c>
      <c r="H44" s="657">
        <v>0.20779170000000002</v>
      </c>
      <c r="I44" s="637" t="s">
        <v>593</v>
      </c>
    </row>
    <row r="45" spans="2:9" s="63" customFormat="1" ht="15.75" customHeight="1" x14ac:dyDescent="0.2">
      <c r="B45" s="637" t="s">
        <v>11</v>
      </c>
      <c r="C45" s="632" t="s">
        <v>124</v>
      </c>
      <c r="D45" s="634">
        <v>45260</v>
      </c>
      <c r="E45" s="642">
        <v>-0.28531251529200002</v>
      </c>
      <c r="F45" s="642"/>
      <c r="G45" s="642" t="s">
        <v>139</v>
      </c>
      <c r="H45" s="657">
        <v>0.25928073000000001</v>
      </c>
      <c r="I45" s="637" t="s">
        <v>592</v>
      </c>
    </row>
    <row r="46" spans="2:9" s="63" customFormat="1" ht="15.75" customHeight="1" x14ac:dyDescent="0.2">
      <c r="B46" s="637" t="s">
        <v>11</v>
      </c>
      <c r="C46" s="632" t="s">
        <v>124</v>
      </c>
      <c r="D46" s="634">
        <v>45321</v>
      </c>
      <c r="E46" s="642">
        <v>-2.4198785200000001</v>
      </c>
      <c r="F46" s="642"/>
      <c r="G46" s="642" t="s">
        <v>139</v>
      </c>
      <c r="H46" s="657">
        <v>2.2038966499999999</v>
      </c>
      <c r="I46" s="637" t="s">
        <v>511</v>
      </c>
    </row>
    <row r="47" spans="2:9" s="63" customFormat="1" ht="15.75" customHeight="1" x14ac:dyDescent="0.2">
      <c r="B47" s="637" t="s">
        <v>11</v>
      </c>
      <c r="C47" s="632" t="s">
        <v>380</v>
      </c>
      <c r="D47" s="634">
        <v>44087</v>
      </c>
      <c r="E47" s="642">
        <f>-'S | 01 '!K42</f>
        <v>-2.7058823529411762</v>
      </c>
      <c r="F47" s="656"/>
      <c r="G47" s="637" t="s">
        <v>139</v>
      </c>
      <c r="H47" s="657">
        <v>-2.125</v>
      </c>
      <c r="I47" s="637" t="s">
        <v>141</v>
      </c>
    </row>
    <row r="48" spans="2:9" s="63" customFormat="1" ht="15.75" customHeight="1" x14ac:dyDescent="0.2">
      <c r="B48" s="649" t="s">
        <v>11</v>
      </c>
      <c r="C48" s="644" t="s">
        <v>175</v>
      </c>
      <c r="D48" s="646">
        <v>44540</v>
      </c>
      <c r="E48" s="659">
        <f>H48</f>
        <v>-2.8053124999999999</v>
      </c>
      <c r="F48" s="659"/>
      <c r="G48" s="649" t="s">
        <v>10</v>
      </c>
      <c r="H48" s="660">
        <v>-2.8053124999999999</v>
      </c>
      <c r="I48" s="649" t="s">
        <v>13</v>
      </c>
    </row>
    <row r="49" spans="2:9" s="63" customFormat="1" ht="15.75" customHeight="1" x14ac:dyDescent="0.2">
      <c r="B49" s="649" t="s">
        <v>11</v>
      </c>
      <c r="C49" s="644" t="s">
        <v>175</v>
      </c>
      <c r="D49" s="646">
        <v>44602</v>
      </c>
      <c r="E49" s="659">
        <f>H49</f>
        <v>-3.4074999999999998</v>
      </c>
      <c r="F49" s="659"/>
      <c r="G49" s="649" t="s">
        <v>10</v>
      </c>
      <c r="H49" s="660">
        <v>-3.4074999999999998</v>
      </c>
      <c r="I49" s="649" t="s">
        <v>123</v>
      </c>
    </row>
    <row r="50" spans="2:9" s="63" customFormat="1" ht="15.75" customHeight="1" x14ac:dyDescent="0.2">
      <c r="B50" s="649" t="s">
        <v>11</v>
      </c>
      <c r="C50" s="644" t="s">
        <v>175</v>
      </c>
      <c r="D50" s="646">
        <v>44683</v>
      </c>
      <c r="E50" s="659">
        <f>H50</f>
        <v>-1.0257749999999999</v>
      </c>
      <c r="F50" s="659"/>
      <c r="G50" s="649" t="s">
        <v>10</v>
      </c>
      <c r="H50" s="660">
        <v>-1.0257749999999999</v>
      </c>
      <c r="I50" s="649" t="s">
        <v>268</v>
      </c>
    </row>
    <row r="51" spans="2:9" s="63" customFormat="1" ht="15.75" customHeight="1" x14ac:dyDescent="0.2">
      <c r="B51" s="649" t="s">
        <v>11</v>
      </c>
      <c r="C51" s="644" t="s">
        <v>175</v>
      </c>
      <c r="D51" s="646">
        <v>44707</v>
      </c>
      <c r="E51" s="659">
        <f>H51</f>
        <v>-3.3882749999999997</v>
      </c>
      <c r="F51" s="659"/>
      <c r="G51" s="649" t="s">
        <v>10</v>
      </c>
      <c r="H51" s="660">
        <v>-3.3882749999999997</v>
      </c>
      <c r="I51" s="649" t="s">
        <v>122</v>
      </c>
    </row>
    <row r="52" spans="2:9" x14ac:dyDescent="0.25">
      <c r="B52" s="649" t="s">
        <v>11</v>
      </c>
      <c r="C52" s="644" t="s">
        <v>175</v>
      </c>
      <c r="D52" s="646">
        <v>44875</v>
      </c>
      <c r="E52" s="659">
        <f>H52</f>
        <v>-3.3882749999999997</v>
      </c>
      <c r="F52" s="659"/>
      <c r="G52" s="649" t="s">
        <v>10</v>
      </c>
      <c r="H52" s="660">
        <v>-3.3882749999999997</v>
      </c>
      <c r="I52" s="649" t="s">
        <v>110</v>
      </c>
    </row>
  </sheetData>
  <pageMargins left="0.7" right="0.7" top="0.75" bottom="0.75" header="0.3" footer="0.3"/>
  <pageSetup paperSize="9" orientation="portrait" verticalDpi="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496-E958-4595-9993-6EE625849130}">
  <sheetPr>
    <tabColor theme="4" tint="-0.499984740745262"/>
  </sheetPr>
  <dimension ref="B2:AP95"/>
  <sheetViews>
    <sheetView topLeftCell="A9" zoomScale="70" zoomScaleNormal="70" workbookViewId="0">
      <selection activeCell="A81" sqref="A81"/>
    </sheetView>
  </sheetViews>
  <sheetFormatPr defaultColWidth="9.140625" defaultRowHeight="12" x14ac:dyDescent="0.2"/>
  <cols>
    <col min="1" max="1" width="2.5703125" style="29" customWidth="1"/>
    <col min="2" max="2" width="31.28515625" style="29" customWidth="1"/>
    <col min="3" max="3" width="16.5703125" style="29" customWidth="1"/>
    <col min="4" max="7" width="13.7109375" style="29" customWidth="1"/>
    <col min="8" max="8" width="10.7109375" style="37" customWidth="1"/>
    <col min="9" max="9" width="8" style="34" customWidth="1"/>
    <col min="10" max="24" width="14.85546875" style="34" customWidth="1"/>
    <col min="25" max="32" width="9.140625" style="29"/>
    <col min="33" max="33" width="30.7109375" style="29" customWidth="1"/>
    <col min="34" max="35" width="13.28515625" style="29" customWidth="1"/>
    <col min="36" max="36" width="17.140625" style="29" customWidth="1"/>
    <col min="37" max="37" width="19.140625" style="29" customWidth="1"/>
    <col min="38" max="42" width="13.28515625" style="29" customWidth="1"/>
    <col min="43" max="16384" width="9.140625" style="29"/>
  </cols>
  <sheetData>
    <row r="2" spans="2:42" s="96" customFormat="1" ht="43.5" customHeight="1" x14ac:dyDescent="0.45">
      <c r="B2" s="215" t="s">
        <v>209</v>
      </c>
      <c r="C2" s="216"/>
      <c r="D2" s="216"/>
      <c r="E2" s="216"/>
      <c r="F2" s="223"/>
      <c r="G2" s="223"/>
      <c r="H2" s="223"/>
      <c r="I2" s="223"/>
      <c r="J2" s="217"/>
      <c r="K2" s="218"/>
      <c r="L2" s="217"/>
    </row>
    <row r="3" spans="2:42" ht="12.75" thickBot="1" x14ac:dyDescent="0.25"/>
    <row r="4" spans="2:42" s="71" customFormat="1" ht="13.5" thickBot="1" x14ac:dyDescent="0.25">
      <c r="B4" s="158" t="s">
        <v>173</v>
      </c>
      <c r="C4" s="172">
        <f>D!D2</f>
        <v>45351</v>
      </c>
      <c r="J4" s="175" t="s">
        <v>182</v>
      </c>
      <c r="K4" s="176"/>
      <c r="L4" s="176"/>
      <c r="M4" s="176"/>
      <c r="N4" s="176"/>
      <c r="O4" s="176"/>
      <c r="P4" s="70"/>
      <c r="AF4" s="175" t="s">
        <v>177</v>
      </c>
      <c r="AG4" s="176"/>
      <c r="AH4" s="176"/>
      <c r="AI4" s="176"/>
      <c r="AJ4" s="176"/>
      <c r="AK4" s="176"/>
    </row>
    <row r="6" spans="2:42" x14ac:dyDescent="0.2">
      <c r="B6" s="43" t="s">
        <v>95</v>
      </c>
    </row>
    <row r="7" spans="2:42" s="44" customFormat="1" ht="36" customHeight="1" x14ac:dyDescent="0.2">
      <c r="B7" s="41" t="s">
        <v>5</v>
      </c>
      <c r="C7" s="42" t="s">
        <v>6</v>
      </c>
      <c r="D7" s="42" t="s">
        <v>96</v>
      </c>
      <c r="E7" s="42" t="s">
        <v>33</v>
      </c>
      <c r="F7" s="43" t="s">
        <v>94</v>
      </c>
      <c r="G7" s="43" t="s">
        <v>163</v>
      </c>
      <c r="H7" s="183"/>
      <c r="I7" s="43"/>
      <c r="J7" s="42" t="s">
        <v>48</v>
      </c>
      <c r="K7" s="42" t="s">
        <v>0</v>
      </c>
      <c r="L7" s="42" t="s">
        <v>39</v>
      </c>
      <c r="M7" s="42" t="s">
        <v>40</v>
      </c>
      <c r="N7" s="42" t="s">
        <v>38</v>
      </c>
      <c r="O7" s="42" t="s">
        <v>88</v>
      </c>
      <c r="P7" s="42" t="s">
        <v>9</v>
      </c>
      <c r="Q7" s="42" t="s">
        <v>18</v>
      </c>
      <c r="R7" s="42" t="s">
        <v>41</v>
      </c>
      <c r="S7" s="42" t="s">
        <v>42</v>
      </c>
      <c r="T7" s="42" t="s">
        <v>43</v>
      </c>
      <c r="U7" s="42" t="s">
        <v>71</v>
      </c>
      <c r="V7" s="42" t="s">
        <v>19</v>
      </c>
      <c r="W7" s="42" t="s">
        <v>89</v>
      </c>
      <c r="X7" s="42" t="s">
        <v>35</v>
      </c>
      <c r="Y7" s="42" t="s">
        <v>269</v>
      </c>
      <c r="Z7" s="42" t="s">
        <v>304</v>
      </c>
      <c r="AA7" s="42" t="s">
        <v>381</v>
      </c>
      <c r="AB7" s="42" t="s">
        <v>447</v>
      </c>
      <c r="AC7" s="42" t="s">
        <v>458</v>
      </c>
      <c r="AD7" s="42" t="s">
        <v>505</v>
      </c>
      <c r="AE7" s="42" t="s">
        <v>645</v>
      </c>
      <c r="AG7" s="68"/>
      <c r="AH7" s="68" t="s">
        <v>32</v>
      </c>
      <c r="AI7" s="69" t="s">
        <v>2</v>
      </c>
      <c r="AJ7" s="69" t="s">
        <v>51</v>
      </c>
      <c r="AK7" s="69" t="s">
        <v>33</v>
      </c>
      <c r="AL7" s="69" t="s">
        <v>161</v>
      </c>
      <c r="AM7" s="69" t="s">
        <v>24</v>
      </c>
      <c r="AN7" s="69" t="s">
        <v>34</v>
      </c>
      <c r="AO7" s="69" t="s">
        <v>174</v>
      </c>
      <c r="AP7" s="69" t="s">
        <v>97</v>
      </c>
    </row>
    <row r="8" spans="2:42" ht="12.75" x14ac:dyDescent="0.2">
      <c r="AG8" s="149"/>
      <c r="AH8" s="71"/>
      <c r="AI8" s="71"/>
      <c r="AJ8" s="71"/>
      <c r="AK8" s="71"/>
      <c r="AL8" s="71"/>
      <c r="AM8" s="153"/>
      <c r="AN8" s="71"/>
      <c r="AO8" s="71"/>
      <c r="AP8" s="71"/>
    </row>
    <row r="10" spans="2:42" ht="12.75" x14ac:dyDescent="0.2">
      <c r="B10" s="30" t="str">
        <f>'CF (Equity, Debt)'!C4</f>
        <v>Jollychic Holding Limited</v>
      </c>
      <c r="C10" s="31">
        <f>'CF (Equity, Debt)'!D4</f>
        <v>43470</v>
      </c>
      <c r="D10" s="39">
        <f>'CF (Equity, Debt)'!E4</f>
        <v>-30</v>
      </c>
      <c r="E10" s="39"/>
      <c r="F10" s="39"/>
      <c r="G10" s="62">
        <f t="shared" ref="G10:G36" si="0">SUM(D10:F10)</f>
        <v>-30</v>
      </c>
      <c r="H10" s="186" t="str">
        <f>IF(D10='CF (Equity, Debt)'!E4," ", "xxx")</f>
        <v xml:space="preserve"> </v>
      </c>
      <c r="J10" s="39">
        <f>D10</f>
        <v>-30</v>
      </c>
      <c r="AM10" s="34">
        <f>81-6</f>
        <v>75</v>
      </c>
    </row>
    <row r="11" spans="2:42" x14ac:dyDescent="0.2">
      <c r="B11" s="30" t="str">
        <f>'CF (Equity, Debt)'!C5</f>
        <v>Jollychic Holding Limited</v>
      </c>
      <c r="C11" s="31">
        <f>'CF (Equity, Debt)'!D5</f>
        <v>43724</v>
      </c>
      <c r="D11" s="39">
        <f>'CF (Equity, Debt)'!E5</f>
        <v>-20</v>
      </c>
      <c r="E11" s="39"/>
      <c r="F11" s="39"/>
      <c r="G11" s="39">
        <f t="shared" si="0"/>
        <v>-20</v>
      </c>
      <c r="H11" s="186" t="str">
        <f>IF(D11='CF (Equity, Debt)'!E5," ", "xxx")</f>
        <v xml:space="preserve"> </v>
      </c>
      <c r="J11" s="39">
        <f>D11</f>
        <v>-20</v>
      </c>
    </row>
    <row r="12" spans="2:42" ht="12.75" x14ac:dyDescent="0.2">
      <c r="B12" s="30" t="str">
        <f>'CF (Equity, Debt)'!C6</f>
        <v>Jollychic Holding Limited</v>
      </c>
      <c r="C12" s="31">
        <f>'CF (Equity, Debt)'!D6</f>
        <v>43724</v>
      </c>
      <c r="D12" s="39">
        <f>'CF (Equity, Debt)'!E6</f>
        <v>-15</v>
      </c>
      <c r="E12" s="39"/>
      <c r="F12" s="39"/>
      <c r="G12" s="39">
        <f t="shared" si="0"/>
        <v>-15</v>
      </c>
      <c r="H12" s="186" t="str">
        <f>IF(D12='CF (Equity, Debt)'!E6," ", "xxx")</f>
        <v xml:space="preserve"> </v>
      </c>
      <c r="J12" s="39">
        <f>D12</f>
        <v>-15</v>
      </c>
      <c r="AG12" s="32" t="str">
        <f>'S | 01 '!C9</f>
        <v>Jollychic Holding Limited</v>
      </c>
      <c r="AH12" s="150">
        <f ca="1">'S | 01 '!J9</f>
        <v>65</v>
      </c>
      <c r="AI12" s="150">
        <f t="shared" ref="AI12:AI33" ca="1" si="1">-SUMIF($B$7:$F$134,$AG12,$D$7:$D$134)</f>
        <v>65</v>
      </c>
      <c r="AJ12" s="150">
        <f ca="1">AH12-AI12</f>
        <v>0</v>
      </c>
      <c r="AK12" s="150">
        <f t="shared" ref="AK12:AK33" ca="1" si="2">SUMIF($B$7:$F$134,$AG12,$E$7:$E$134)</f>
        <v>0</v>
      </c>
      <c r="AL12" s="150">
        <f t="shared" ref="AL12:AL33" ca="1" si="3">SUMIF($B$7:$F$134,$AG12,$F$7:$F$134)</f>
        <v>0</v>
      </c>
      <c r="AM12" s="174" t="str">
        <f>HLOOKUP(AG12,$J$7:$AE$90,$AM$10,0)</f>
        <v>NM</v>
      </c>
      <c r="AN12" s="164">
        <f ca="1">(AK12+AL12)/AI12</f>
        <v>0</v>
      </c>
      <c r="AO12" s="164">
        <f ca="1">AL12/AI12</f>
        <v>0</v>
      </c>
      <c r="AP12" s="164">
        <f ca="1">AK12/AI12</f>
        <v>0</v>
      </c>
    </row>
    <row r="13" spans="2:42" ht="12.75" x14ac:dyDescent="0.2">
      <c r="B13" s="32" t="str">
        <f>'CF (Equity, Debt)'!C7</f>
        <v>Mena Mobile Inc</v>
      </c>
      <c r="C13" s="33">
        <f>'CF (Equity, Debt)'!D7</f>
        <v>43563</v>
      </c>
      <c r="D13" s="40">
        <f>'CF (Equity, Debt)'!E7</f>
        <v>-8</v>
      </c>
      <c r="E13" s="40"/>
      <c r="F13" s="40"/>
      <c r="G13" s="40">
        <f t="shared" si="0"/>
        <v>-8</v>
      </c>
      <c r="H13" s="186" t="str">
        <f>IF(D13='CF (Equity, Debt)'!E7," ", "xxx")</f>
        <v xml:space="preserve"> </v>
      </c>
      <c r="K13" s="40">
        <f>D13</f>
        <v>-8</v>
      </c>
      <c r="AG13" s="30" t="str">
        <f>'S | 01 '!C10</f>
        <v>Mena Mobile Inc</v>
      </c>
      <c r="AH13" s="150">
        <f ca="1">'S | 01 '!J10</f>
        <v>8</v>
      </c>
      <c r="AI13" s="150">
        <f t="shared" ca="1" si="1"/>
        <v>8</v>
      </c>
      <c r="AJ13" s="150">
        <f t="shared" ref="AJ13:AJ26" ca="1" si="4">AH13-AI13</f>
        <v>0</v>
      </c>
      <c r="AK13" s="150">
        <f t="shared" ca="1" si="2"/>
        <v>0</v>
      </c>
      <c r="AL13" s="150">
        <f t="shared" ca="1" si="3"/>
        <v>0</v>
      </c>
      <c r="AM13" s="174" t="str">
        <f t="shared" ref="AM13:AM28" si="5">HLOOKUP(AG13,$J$7:$Z$90,$AM$10,0)</f>
        <v>NM</v>
      </c>
      <c r="AN13" s="164">
        <f t="shared" ref="AN13:AN26" ca="1" si="6">(AK13+AL13)/AI13</f>
        <v>0</v>
      </c>
      <c r="AO13" s="164">
        <f t="shared" ref="AO13:AO26" ca="1" si="7">AL13/AI13</f>
        <v>0</v>
      </c>
      <c r="AP13" s="164">
        <f t="shared" ref="AP13:AP26" ca="1" si="8">AK13/AI13</f>
        <v>0</v>
      </c>
    </row>
    <row r="14" spans="2:42" ht="12.75" x14ac:dyDescent="0.2">
      <c r="B14" s="30" t="str">
        <f>'CF (Equity, Debt)'!C8</f>
        <v>Flyr Inc</v>
      </c>
      <c r="C14" s="31">
        <f>'CF (Equity, Debt)'!D8</f>
        <v>43570</v>
      </c>
      <c r="D14" s="39">
        <f>'CF (Equity, Debt)'!E8</f>
        <v>-4.9999980900000001</v>
      </c>
      <c r="E14" s="39"/>
      <c r="F14" s="39"/>
      <c r="G14" s="39">
        <f t="shared" si="0"/>
        <v>-4.9999980900000001</v>
      </c>
      <c r="H14" s="186" t="str">
        <f>IF(D14='CF (Equity, Debt)'!E8," ", "xxx")</f>
        <v xml:space="preserve"> </v>
      </c>
      <c r="L14" s="39">
        <f>D14</f>
        <v>-4.9999980900000001</v>
      </c>
      <c r="AG14" s="32" t="str">
        <f>'S | 01 '!C11</f>
        <v>Flyr Inc</v>
      </c>
      <c r="AH14" s="150">
        <f ca="1">'S | 01 '!J11</f>
        <v>10</v>
      </c>
      <c r="AI14" s="150">
        <f t="shared" ca="1" si="1"/>
        <v>10</v>
      </c>
      <c r="AJ14" s="150">
        <f t="shared" ca="1" si="4"/>
        <v>0</v>
      </c>
      <c r="AK14" s="150">
        <f t="shared" ca="1" si="2"/>
        <v>0</v>
      </c>
      <c r="AL14" s="150">
        <f t="shared" ca="1" si="3"/>
        <v>78.082229999999996</v>
      </c>
      <c r="AM14" s="174">
        <f t="shared" si="5"/>
        <v>0.58568407893180863</v>
      </c>
      <c r="AN14" s="164">
        <f t="shared" ca="1" si="6"/>
        <v>7.8082229999999999</v>
      </c>
      <c r="AO14" s="164">
        <f t="shared" ca="1" si="7"/>
        <v>7.8082229999999999</v>
      </c>
      <c r="AP14" s="164">
        <f t="shared" ca="1" si="8"/>
        <v>0</v>
      </c>
    </row>
    <row r="15" spans="2:42" ht="12.75" x14ac:dyDescent="0.2">
      <c r="B15" s="30" t="str">
        <f>'CF (Equity, Debt)'!C9</f>
        <v>Flyr Inc</v>
      </c>
      <c r="C15" s="31">
        <f>'CF (Equity, Debt)'!D9</f>
        <v>43915</v>
      </c>
      <c r="D15" s="39">
        <f>'CF (Equity, Debt)'!E9</f>
        <v>-5.0000019099999999</v>
      </c>
      <c r="E15" s="39"/>
      <c r="F15" s="39"/>
      <c r="G15" s="39">
        <f t="shared" si="0"/>
        <v>-5.0000019099999999</v>
      </c>
      <c r="H15" s="186" t="str">
        <f>IF(D15='CF (Equity, Debt)'!E9," ", "xxx")</f>
        <v xml:space="preserve"> </v>
      </c>
      <c r="L15" s="39">
        <f>D15</f>
        <v>-5.0000019099999999</v>
      </c>
      <c r="AG15" s="30" t="str">
        <f>'S | 01 '!C12</f>
        <v xml:space="preserve">Esyasoft Holding </v>
      </c>
      <c r="AH15" s="150">
        <f ca="1">'S | 01 '!J12</f>
        <v>2.5</v>
      </c>
      <c r="AI15" s="150">
        <f t="shared" ca="1" si="1"/>
        <v>2.5</v>
      </c>
      <c r="AJ15" s="150">
        <f t="shared" ca="1" si="4"/>
        <v>0</v>
      </c>
      <c r="AK15" s="150">
        <f t="shared" ca="1" si="2"/>
        <v>5</v>
      </c>
      <c r="AL15" s="150">
        <f t="shared" ca="1" si="3"/>
        <v>0</v>
      </c>
      <c r="AM15" s="174">
        <f t="shared" si="5"/>
        <v>0.36091765761375438</v>
      </c>
      <c r="AN15" s="164">
        <f t="shared" ca="1" si="6"/>
        <v>2</v>
      </c>
      <c r="AO15" s="164">
        <f t="shared" ca="1" si="7"/>
        <v>0</v>
      </c>
      <c r="AP15" s="164">
        <f t="shared" ca="1" si="8"/>
        <v>2</v>
      </c>
    </row>
    <row r="16" spans="2:42" ht="12.75" x14ac:dyDescent="0.2">
      <c r="B16" s="32" t="str">
        <f>'CF (Equity, Debt)'!C10</f>
        <v xml:space="preserve">Esyasoft Holding </v>
      </c>
      <c r="C16" s="33">
        <f>'CF (Equity, Debt)'!D10</f>
        <v>43870</v>
      </c>
      <c r="D16" s="40">
        <f>'CF (Equity, Debt)'!E10</f>
        <v>-2.5</v>
      </c>
      <c r="E16" s="40"/>
      <c r="F16" s="40"/>
      <c r="G16" s="40">
        <f t="shared" si="0"/>
        <v>-2.5</v>
      </c>
      <c r="H16" s="186" t="str">
        <f>IF(D16='CF (Equity, Debt)'!E10," ", "xxx")</f>
        <v xml:space="preserve"> </v>
      </c>
      <c r="M16" s="40">
        <f>D16</f>
        <v>-2.5</v>
      </c>
      <c r="AG16" s="32" t="str">
        <f>'S | 01 '!C13</f>
        <v>Beyond Limits</v>
      </c>
      <c r="AH16" s="150">
        <f ca="1">'S | 01 '!J13</f>
        <v>90</v>
      </c>
      <c r="AI16" s="150">
        <f t="shared" ca="1" si="1"/>
        <v>90</v>
      </c>
      <c r="AJ16" s="150">
        <f t="shared" ca="1" si="4"/>
        <v>0</v>
      </c>
      <c r="AK16" s="150">
        <f t="shared" ca="1" si="2"/>
        <v>0</v>
      </c>
      <c r="AL16" s="150">
        <f t="shared" ca="1" si="3"/>
        <v>91.001540300000002</v>
      </c>
      <c r="AM16" s="174">
        <f t="shared" si="5"/>
        <v>2.8967589139938356E-3</v>
      </c>
      <c r="AN16" s="164">
        <f t="shared" ca="1" si="6"/>
        <v>1.0111282255555556</v>
      </c>
      <c r="AO16" s="164">
        <f t="shared" ca="1" si="7"/>
        <v>1.0111282255555556</v>
      </c>
      <c r="AP16" s="164">
        <f t="shared" ca="1" si="8"/>
        <v>0</v>
      </c>
    </row>
    <row r="17" spans="2:42" ht="12.75" x14ac:dyDescent="0.2">
      <c r="B17" s="30" t="str">
        <f>'CF (Equity, Debt)'!C11</f>
        <v>Beyond Limits</v>
      </c>
      <c r="C17" s="31">
        <f>'CF (Equity, Debt)'!D11</f>
        <v>43879</v>
      </c>
      <c r="D17" s="39">
        <f>'CF (Equity, Debt)'!E11</f>
        <v>-20</v>
      </c>
      <c r="E17" s="39"/>
      <c r="F17" s="39"/>
      <c r="G17" s="39">
        <f t="shared" si="0"/>
        <v>-20</v>
      </c>
      <c r="H17" s="186" t="str">
        <f>IF(D17='CF (Equity, Debt)'!E11," ", "xxx")</f>
        <v xml:space="preserve"> </v>
      </c>
      <c r="N17" s="39">
        <f>D17</f>
        <v>-20</v>
      </c>
      <c r="AG17" s="30" t="str">
        <f>'S | 01 '!C14</f>
        <v>ONT plc</v>
      </c>
      <c r="AH17" s="150">
        <f ca="1">'S | 01 '!J14</f>
        <v>141.4702596743665</v>
      </c>
      <c r="AI17" s="150">
        <f t="shared" ca="1" si="1"/>
        <v>141.4702596743665</v>
      </c>
      <c r="AJ17" s="150">
        <f t="shared" ca="1" si="4"/>
        <v>0</v>
      </c>
      <c r="AK17" s="150">
        <f t="shared" ca="1" si="2"/>
        <v>0</v>
      </c>
      <c r="AL17" s="150">
        <f t="shared" ca="1" si="3"/>
        <v>74.432454495000002</v>
      </c>
      <c r="AM17" s="174">
        <f t="shared" si="5"/>
        <v>-0.15868046693503857</v>
      </c>
      <c r="AN17" s="164">
        <f t="shared" ca="1" si="6"/>
        <v>0.52613499590887292</v>
      </c>
      <c r="AO17" s="164">
        <f t="shared" ca="1" si="7"/>
        <v>0.52613499590887292</v>
      </c>
      <c r="AP17" s="164">
        <f t="shared" ca="1" si="8"/>
        <v>0</v>
      </c>
    </row>
    <row r="18" spans="2:42" ht="12.75" x14ac:dyDescent="0.2">
      <c r="B18" s="30" t="str">
        <f>'CF (Equity, Debt)'!C12</f>
        <v>Beyond Limits</v>
      </c>
      <c r="C18" s="31">
        <f>'CF (Equity, Debt)'!D12</f>
        <v>43921</v>
      </c>
      <c r="D18" s="39">
        <f>'CF (Equity, Debt)'!E12</f>
        <v>-30</v>
      </c>
      <c r="E18" s="39"/>
      <c r="F18" s="39"/>
      <c r="G18" s="39">
        <f t="shared" si="0"/>
        <v>-30</v>
      </c>
      <c r="H18" s="186" t="str">
        <f>IF(D18='CF (Equity, Debt)'!E12," ", "xxx")</f>
        <v xml:space="preserve"> </v>
      </c>
      <c r="N18" s="39">
        <f>D18</f>
        <v>-30</v>
      </c>
      <c r="AG18" s="32" t="str">
        <f>'S | 01 '!C15</f>
        <v>Heygears</v>
      </c>
      <c r="AH18" s="150">
        <f ca="1">'S | 01 '!J15</f>
        <v>60</v>
      </c>
      <c r="AI18" s="150">
        <f t="shared" ca="1" si="1"/>
        <v>60</v>
      </c>
      <c r="AJ18" s="150">
        <f t="shared" ca="1" si="4"/>
        <v>0</v>
      </c>
      <c r="AK18" s="150">
        <f t="shared" ca="1" si="2"/>
        <v>0</v>
      </c>
      <c r="AL18" s="150">
        <f t="shared" ca="1" si="3"/>
        <v>148.0498412781194</v>
      </c>
      <c r="AM18" s="174">
        <f t="shared" si="5"/>
        <v>0.32075323462486283</v>
      </c>
      <c r="AN18" s="164">
        <f t="shared" ca="1" si="6"/>
        <v>2.4674973546353232</v>
      </c>
      <c r="AO18" s="164">
        <f t="shared" ca="1" si="7"/>
        <v>2.4674973546353232</v>
      </c>
      <c r="AP18" s="164">
        <f t="shared" ca="1" si="8"/>
        <v>0</v>
      </c>
    </row>
    <row r="19" spans="2:42" ht="12.75" x14ac:dyDescent="0.2">
      <c r="B19" s="30" t="str">
        <f>'CF (Equity, Debt)'!C13</f>
        <v>Beyond Limits</v>
      </c>
      <c r="C19" s="31">
        <f>'CF (Equity, Debt)'!D13</f>
        <v>43989</v>
      </c>
      <c r="D19" s="39">
        <f>'CF (Equity, Debt)'!E13</f>
        <v>-30</v>
      </c>
      <c r="E19" s="39"/>
      <c r="F19" s="39"/>
      <c r="G19" s="39">
        <f t="shared" si="0"/>
        <v>-30</v>
      </c>
      <c r="H19" s="186" t="str">
        <f>IF(D19='CF (Equity, Debt)'!E13," ", "xxx")</f>
        <v xml:space="preserve"> </v>
      </c>
      <c r="N19" s="39">
        <f>D19</f>
        <v>-30</v>
      </c>
      <c r="AG19" s="30" t="str">
        <f>'S | 01 '!C16</f>
        <v>Jysan Technologies</v>
      </c>
      <c r="AH19" s="150">
        <f ca="1">'S | 01 '!J16</f>
        <v>20</v>
      </c>
      <c r="AI19" s="150">
        <f t="shared" ca="1" si="1"/>
        <v>20</v>
      </c>
      <c r="AJ19" s="150">
        <f t="shared" ca="1" si="4"/>
        <v>0</v>
      </c>
      <c r="AK19" s="150">
        <f t="shared" ca="1" si="2"/>
        <v>24.5</v>
      </c>
      <c r="AL19" s="150">
        <f t="shared" ca="1" si="3"/>
        <v>0</v>
      </c>
      <c r="AM19" s="174">
        <f t="shared" si="5"/>
        <v>9.8824506998062139E-2</v>
      </c>
      <c r="AN19" s="164">
        <f t="shared" ca="1" si="6"/>
        <v>1.2250000000000001</v>
      </c>
      <c r="AO19" s="164">
        <f t="shared" ca="1" si="7"/>
        <v>0</v>
      </c>
      <c r="AP19" s="164">
        <f t="shared" ca="1" si="8"/>
        <v>1.2250000000000001</v>
      </c>
    </row>
    <row r="20" spans="2:42" ht="12.75" x14ac:dyDescent="0.2">
      <c r="B20" s="30" t="str">
        <f>'CF (Equity, Debt)'!C14</f>
        <v>Beyond Limits</v>
      </c>
      <c r="C20" s="31">
        <f>'CF (Equity, Debt)'!D14</f>
        <v>44103</v>
      </c>
      <c r="D20" s="39">
        <f>'CF (Equity, Debt)'!E14</f>
        <v>-10</v>
      </c>
      <c r="E20" s="39"/>
      <c r="F20" s="39"/>
      <c r="G20" s="39">
        <f t="shared" si="0"/>
        <v>-10</v>
      </c>
      <c r="H20" s="186" t="str">
        <f>IF(D20='CF (Equity, Debt)'!E14," ", "xxx")</f>
        <v xml:space="preserve"> </v>
      </c>
      <c r="N20" s="39">
        <f>D20</f>
        <v>-10</v>
      </c>
      <c r="AG20" s="32" t="str">
        <f>'S | 01 '!C17</f>
        <v>Cerebras Systems Inc</v>
      </c>
      <c r="AH20" s="150">
        <f ca="1">'S | 01 '!J17</f>
        <v>39.999983359999995</v>
      </c>
      <c r="AI20" s="150">
        <f t="shared" ca="1" si="1"/>
        <v>39.999983359999995</v>
      </c>
      <c r="AJ20" s="150">
        <f t="shared" ca="1" si="4"/>
        <v>0</v>
      </c>
      <c r="AK20" s="150">
        <f t="shared" ca="1" si="2"/>
        <v>0</v>
      </c>
      <c r="AL20" s="150">
        <f t="shared" ca="1" si="3"/>
        <v>39.999983359999995</v>
      </c>
      <c r="AM20" s="174">
        <f t="shared" si="5"/>
        <v>2.9802322387695314E-9</v>
      </c>
      <c r="AN20" s="164">
        <f t="shared" ca="1" si="6"/>
        <v>1</v>
      </c>
      <c r="AO20" s="164">
        <f t="shared" ca="1" si="7"/>
        <v>1</v>
      </c>
      <c r="AP20" s="164">
        <f t="shared" ca="1" si="8"/>
        <v>0</v>
      </c>
    </row>
    <row r="21" spans="2:42" ht="12.75" x14ac:dyDescent="0.2">
      <c r="B21" s="32" t="str">
        <f>'CF (Equity, Debt)'!C15</f>
        <v>ONT plc</v>
      </c>
      <c r="C21" s="33">
        <f>'CF (Equity, Debt)'!D15</f>
        <v>43968</v>
      </c>
      <c r="D21" s="40">
        <f>'CF (Equity, Debt)'!E15</f>
        <v>-50</v>
      </c>
      <c r="E21" s="40"/>
      <c r="F21" s="40"/>
      <c r="G21" s="40">
        <f t="shared" si="0"/>
        <v>-50</v>
      </c>
      <c r="H21" s="186" t="str">
        <f>IF(D21='CF (Equity, Debt)'!E15," ", "xxx")</f>
        <v xml:space="preserve"> </v>
      </c>
      <c r="O21" s="40">
        <f>D21</f>
        <v>-50</v>
      </c>
      <c r="AG21" s="30" t="str">
        <f>'S | 01 '!C18</f>
        <v>Endless Studios LLC</v>
      </c>
      <c r="AH21" s="150">
        <f ca="1">'S | 01 '!J18</f>
        <v>8</v>
      </c>
      <c r="AI21" s="150">
        <f t="shared" ca="1" si="1"/>
        <v>8</v>
      </c>
      <c r="AJ21" s="150">
        <f t="shared" ca="1" si="4"/>
        <v>0</v>
      </c>
      <c r="AK21" s="150">
        <f t="shared" ca="1" si="2"/>
        <v>0</v>
      </c>
      <c r="AL21" s="150">
        <f t="shared" ca="1" si="3"/>
        <v>8</v>
      </c>
      <c r="AM21" s="174">
        <f t="shared" si="5"/>
        <v>2.9802322387695314E-9</v>
      </c>
      <c r="AN21" s="164">
        <f t="shared" ca="1" si="6"/>
        <v>1</v>
      </c>
      <c r="AO21" s="164">
        <f t="shared" ca="1" si="7"/>
        <v>1</v>
      </c>
      <c r="AP21" s="164">
        <f t="shared" ca="1" si="8"/>
        <v>0</v>
      </c>
    </row>
    <row r="22" spans="2:42" ht="12.75" x14ac:dyDescent="0.2">
      <c r="B22" s="32" t="str">
        <f>'CF (Equity, Debt)'!C16</f>
        <v>ONT plc</v>
      </c>
      <c r="C22" s="33">
        <f>'CF (Equity, Debt)'!D16</f>
        <v>44006</v>
      </c>
      <c r="D22" s="40">
        <f>'CF (Equity, Debt)'!E16</f>
        <v>-27.268350856443721</v>
      </c>
      <c r="E22" s="40"/>
      <c r="F22" s="40"/>
      <c r="G22" s="40">
        <f t="shared" si="0"/>
        <v>-27.268350856443721</v>
      </c>
      <c r="H22" s="186" t="str">
        <f>IF(D22='CF (Equity, Debt)'!E16," ", "xxx")</f>
        <v xml:space="preserve"> </v>
      </c>
      <c r="O22" s="40">
        <f>D22</f>
        <v>-27.268350856443721</v>
      </c>
      <c r="AG22" s="32" t="str">
        <f>'S | 01 '!C19</f>
        <v>Instadeep Limited</v>
      </c>
      <c r="AH22" s="150">
        <f ca="1">'S | 01 '!J19</f>
        <v>5.0237201984774336</v>
      </c>
      <c r="AI22" s="150">
        <f t="shared" ca="1" si="1"/>
        <v>5.0237201984774336</v>
      </c>
      <c r="AJ22" s="150">
        <f t="shared" ca="1" si="4"/>
        <v>0</v>
      </c>
      <c r="AK22" s="150">
        <f t="shared" ca="1" si="2"/>
        <v>7.9421925299999989</v>
      </c>
      <c r="AL22" s="150">
        <f t="shared" ca="1" si="3"/>
        <v>0</v>
      </c>
      <c r="AM22" s="174">
        <f t="shared" si="5"/>
        <v>0.32803497910499579</v>
      </c>
      <c r="AN22" s="164">
        <f t="shared" ca="1" si="6"/>
        <v>1.5809384711368046</v>
      </c>
      <c r="AO22" s="164">
        <f t="shared" ca="1" si="7"/>
        <v>0</v>
      </c>
      <c r="AP22" s="164">
        <f t="shared" ca="1" si="8"/>
        <v>1.5809384711368046</v>
      </c>
    </row>
    <row r="23" spans="2:42" ht="12.75" x14ac:dyDescent="0.2">
      <c r="B23" s="32" t="str">
        <f>'CF (Equity, Debt)'!C17</f>
        <v>ONT plc</v>
      </c>
      <c r="C23" s="33">
        <f>'CF (Equity, Debt)'!D17</f>
        <v>43837</v>
      </c>
      <c r="D23" s="40">
        <f>'CF (Equity, Debt)'!E17</f>
        <v>-18.109441299619355</v>
      </c>
      <c r="E23" s="40"/>
      <c r="F23" s="40"/>
      <c r="G23" s="40">
        <f t="shared" si="0"/>
        <v>-18.109441299619355</v>
      </c>
      <c r="H23" s="186" t="str">
        <f>IF(D23='CF (Equity, Debt)'!E17," ", "xxx")</f>
        <v xml:space="preserve"> </v>
      </c>
      <c r="O23" s="40">
        <f>D23</f>
        <v>-18.109441299619355</v>
      </c>
      <c r="AG23" s="30" t="str">
        <f>'S | 01 '!C20</f>
        <v>X-fusion</v>
      </c>
      <c r="AH23" s="150">
        <f ca="1">'S | 01 '!J20</f>
        <v>493.50095619999996</v>
      </c>
      <c r="AI23" s="150">
        <f t="shared" ca="1" si="1"/>
        <v>493.50095619999996</v>
      </c>
      <c r="AJ23" s="150">
        <f t="shared" ca="1" si="4"/>
        <v>0</v>
      </c>
      <c r="AK23" s="150">
        <f t="shared" ca="1" si="2"/>
        <v>403</v>
      </c>
      <c r="AL23" s="150">
        <f t="shared" ca="1" si="3"/>
        <v>0</v>
      </c>
      <c r="AM23" s="174">
        <f t="shared" si="5"/>
        <v>-0.10752884335815904</v>
      </c>
      <c r="AN23" s="164">
        <f t="shared" ca="1" si="6"/>
        <v>0.81661442584252486</v>
      </c>
      <c r="AO23" s="164">
        <f t="shared" ca="1" si="7"/>
        <v>0</v>
      </c>
      <c r="AP23" s="164">
        <f t="shared" ca="1" si="8"/>
        <v>0.81661442584252486</v>
      </c>
    </row>
    <row r="24" spans="2:42" ht="12.75" x14ac:dyDescent="0.2">
      <c r="B24" s="32" t="str">
        <f>'CF (Equity, Debt)'!C18</f>
        <v>ONT plc</v>
      </c>
      <c r="C24" s="33">
        <f>'CF (Equity, Debt)'!D18</f>
        <v>43990</v>
      </c>
      <c r="D24" s="40">
        <f>'CF (Equity, Debt)'!E18</f>
        <v>-34.851687094159864</v>
      </c>
      <c r="E24" s="40"/>
      <c r="F24" s="40"/>
      <c r="G24" s="40">
        <f t="shared" si="0"/>
        <v>-34.851687094159864</v>
      </c>
      <c r="H24" s="186" t="str">
        <f>IF(D24='CF (Equity, Debt)'!E18," ", "xxx")</f>
        <v xml:space="preserve"> </v>
      </c>
      <c r="O24" s="40">
        <f>D24</f>
        <v>-34.851687094159864</v>
      </c>
      <c r="AG24" s="32" t="str">
        <f>'S | 01 '!C21</f>
        <v>DriveNets</v>
      </c>
      <c r="AH24" s="150">
        <f ca="1">'S | 01 '!J21</f>
        <v>300</v>
      </c>
      <c r="AI24" s="150">
        <f t="shared" ca="1" si="1"/>
        <v>300</v>
      </c>
      <c r="AJ24" s="150">
        <f t="shared" ca="1" si="4"/>
        <v>0</v>
      </c>
      <c r="AK24" s="150">
        <f t="shared" ca="1" si="2"/>
        <v>0</v>
      </c>
      <c r="AL24" s="150">
        <f t="shared" ca="1" si="3"/>
        <v>300</v>
      </c>
      <c r="AM24" s="174">
        <f t="shared" si="5"/>
        <v>2.9802322387695314E-9</v>
      </c>
      <c r="AN24" s="164">
        <f t="shared" ca="1" si="6"/>
        <v>1</v>
      </c>
      <c r="AO24" s="164">
        <f t="shared" ca="1" si="7"/>
        <v>1</v>
      </c>
      <c r="AP24" s="164">
        <f t="shared" ca="1" si="8"/>
        <v>0</v>
      </c>
    </row>
    <row r="25" spans="2:42" ht="12.75" x14ac:dyDescent="0.2">
      <c r="B25" s="32" t="str">
        <f>'CF (Equity, Debt)'!C19</f>
        <v>ONT plc</v>
      </c>
      <c r="C25" s="33">
        <f>'CF (Equity, Debt)'!D19</f>
        <v>44315</v>
      </c>
      <c r="D25" s="40">
        <f>'CF (Equity, Debt)'!E19</f>
        <v>-11.240780424143557</v>
      </c>
      <c r="E25" s="40"/>
      <c r="F25" s="40"/>
      <c r="G25" s="40">
        <f t="shared" si="0"/>
        <v>-11.240780424143557</v>
      </c>
      <c r="H25" s="186" t="str">
        <f>IF(D25='CF (Equity, Debt)'!E19," ", "xxx")</f>
        <v xml:space="preserve"> </v>
      </c>
      <c r="O25" s="40">
        <f>D25</f>
        <v>-11.240780424143557</v>
      </c>
      <c r="AG25" s="30" t="str">
        <f>'S | 01 '!C22</f>
        <v>vTv Therapeutics Inc.</v>
      </c>
      <c r="AH25" s="150">
        <f ca="1">'S | 01 '!J22</f>
        <v>24.53125</v>
      </c>
      <c r="AI25" s="150">
        <f t="shared" ca="1" si="1"/>
        <v>24.53125</v>
      </c>
      <c r="AJ25" s="150">
        <f t="shared" ca="1" si="4"/>
        <v>0</v>
      </c>
      <c r="AK25" s="150">
        <f t="shared" ca="1" si="2"/>
        <v>0</v>
      </c>
      <c r="AL25" s="150">
        <f t="shared" ca="1" si="3"/>
        <v>4.5569803500000008</v>
      </c>
      <c r="AM25" s="174">
        <f t="shared" si="5"/>
        <v>-0.72717607580125321</v>
      </c>
      <c r="AN25" s="164">
        <f t="shared" ca="1" si="6"/>
        <v>0.18576225630573251</v>
      </c>
      <c r="AO25" s="164">
        <f t="shared" ca="1" si="7"/>
        <v>0.18576225630573251</v>
      </c>
      <c r="AP25" s="164">
        <f t="shared" ca="1" si="8"/>
        <v>0</v>
      </c>
    </row>
    <row r="26" spans="2:42" ht="12.75" x14ac:dyDescent="0.2">
      <c r="B26" s="30" t="str">
        <f>'CF (Equity, Debt)'!C20</f>
        <v>Heygears</v>
      </c>
      <c r="C26" s="31">
        <f>'CF (Equity, Debt)'!D20</f>
        <v>44166</v>
      </c>
      <c r="D26" s="39">
        <f>'CF (Equity, Debt)'!E20</f>
        <v>-60</v>
      </c>
      <c r="E26" s="39"/>
      <c r="F26" s="39"/>
      <c r="G26" s="39">
        <f t="shared" si="0"/>
        <v>-60</v>
      </c>
      <c r="H26" s="186" t="str">
        <f>IF(D26='CF (Equity, Debt)'!E20," ", "xxx")</f>
        <v xml:space="preserve"> </v>
      </c>
      <c r="P26" s="39">
        <f>D26</f>
        <v>-60</v>
      </c>
      <c r="AG26" s="32" t="str">
        <f>'S | 01 '!C23</f>
        <v>Honor Device Co Ltd</v>
      </c>
      <c r="AH26" s="150">
        <f ca="1">'S | 01 '!J23</f>
        <v>800</v>
      </c>
      <c r="AI26" s="150">
        <f t="shared" ca="1" si="1"/>
        <v>800</v>
      </c>
      <c r="AJ26" s="150">
        <f t="shared" ca="1" si="4"/>
        <v>0</v>
      </c>
      <c r="AK26" s="150">
        <f t="shared" ca="1" si="2"/>
        <v>802.8</v>
      </c>
      <c r="AL26" s="150">
        <f t="shared" ca="1" si="3"/>
        <v>0</v>
      </c>
      <c r="AM26" s="174">
        <f t="shared" si="5"/>
        <v>2.9359251260757451E-3</v>
      </c>
      <c r="AN26" s="164">
        <f t="shared" ca="1" si="6"/>
        <v>1.0034999999999998</v>
      </c>
      <c r="AO26" s="164">
        <f t="shared" ca="1" si="7"/>
        <v>0</v>
      </c>
      <c r="AP26" s="164">
        <f t="shared" ca="1" si="8"/>
        <v>1.0034999999999998</v>
      </c>
    </row>
    <row r="27" spans="2:42" ht="12.75" x14ac:dyDescent="0.2">
      <c r="B27" s="32" t="str">
        <f>'CF (Equity, Debt)'!C21</f>
        <v>Jysan Technologies</v>
      </c>
      <c r="C27" s="33">
        <f>'CF (Equity, Debt)'!D21</f>
        <v>44363</v>
      </c>
      <c r="D27" s="40">
        <f>'CF (Equity, Debt)'!E21</f>
        <v>-20</v>
      </c>
      <c r="E27" s="40"/>
      <c r="F27" s="40"/>
      <c r="G27" s="40">
        <f t="shared" si="0"/>
        <v>-20</v>
      </c>
      <c r="H27" s="186" t="str">
        <f>IF(D27='CF (Equity, Debt)'!E21," ", "xxx")</f>
        <v xml:space="preserve"> </v>
      </c>
      <c r="Q27" s="40">
        <f>D27</f>
        <v>-20</v>
      </c>
      <c r="AG27" s="30" t="str">
        <f>'S | 01 '!C24</f>
        <v>Applied AI Corporation Limited</v>
      </c>
      <c r="AH27" s="150">
        <f>'S | 01 '!J24</f>
        <v>15</v>
      </c>
      <c r="AI27" s="150">
        <f t="shared" ca="1" si="1"/>
        <v>11.5</v>
      </c>
      <c r="AJ27" s="150">
        <f t="shared" ref="AJ27" ca="1" si="9">AH27-AI27</f>
        <v>3.5</v>
      </c>
      <c r="AK27" s="150">
        <f t="shared" ca="1" si="2"/>
        <v>0</v>
      </c>
      <c r="AL27" s="150">
        <f t="shared" ca="1" si="3"/>
        <v>11.5</v>
      </c>
      <c r="AM27" s="174">
        <f t="shared" si="5"/>
        <v>2.9802322387695314E-9</v>
      </c>
      <c r="AN27" s="164">
        <f t="shared" ref="AN27" ca="1" si="10">(AK27+AL27)/AI27</f>
        <v>1</v>
      </c>
      <c r="AO27" s="164">
        <f t="shared" ref="AO27" ca="1" si="11">AL27/AI27</f>
        <v>1</v>
      </c>
      <c r="AP27" s="164">
        <f t="shared" ref="AP27" ca="1" si="12">AK27/AI27</f>
        <v>0</v>
      </c>
    </row>
    <row r="28" spans="2:42" ht="12.75" x14ac:dyDescent="0.2">
      <c r="B28" s="30" t="str">
        <f>'CF (Equity, Debt)'!C22</f>
        <v>Cerebras Systems Inc</v>
      </c>
      <c r="C28" s="31">
        <f>'CF (Equity, Debt)'!D22</f>
        <v>44488</v>
      </c>
      <c r="D28" s="39">
        <f>'CF (Equity, Debt)'!E22</f>
        <v>-39.999983359999995</v>
      </c>
      <c r="E28" s="39"/>
      <c r="F28" s="39"/>
      <c r="G28" s="39">
        <f t="shared" si="0"/>
        <v>-39.999983359999995</v>
      </c>
      <c r="H28" s="186" t="str">
        <f>IF(D28='CF (Equity, Debt)'!E22," ", "xxx")</f>
        <v xml:space="preserve"> </v>
      </c>
      <c r="R28" s="39">
        <f>D28</f>
        <v>-39.999983359999995</v>
      </c>
      <c r="AG28" s="32" t="str">
        <f>'S | 01 '!C25</f>
        <v xml:space="preserve">eSpace </v>
      </c>
      <c r="AH28" s="150">
        <f ca="1">'S | 01 '!J25</f>
        <v>15</v>
      </c>
      <c r="AI28" s="150">
        <f t="shared" ca="1" si="1"/>
        <v>15</v>
      </c>
      <c r="AJ28" s="150">
        <f t="shared" ref="AJ28:AJ29" ca="1" si="13">AH28-AI28</f>
        <v>0</v>
      </c>
      <c r="AK28" s="150">
        <f t="shared" ca="1" si="2"/>
        <v>0</v>
      </c>
      <c r="AL28" s="150">
        <f t="shared" ca="1" si="3"/>
        <v>20.888121539999997</v>
      </c>
      <c r="AM28" s="174">
        <f t="shared" si="5"/>
        <v>0.30123946070671093</v>
      </c>
      <c r="AN28" s="164">
        <f t="shared" ref="AN28:AN29" ca="1" si="14">(AK28+AL28)/AI28</f>
        <v>1.3925414359999997</v>
      </c>
      <c r="AO28" s="164">
        <f t="shared" ref="AO28:AO29" ca="1" si="15">AL28/AI28</f>
        <v>1.3925414359999997</v>
      </c>
      <c r="AP28" s="164">
        <f t="shared" ref="AP28:AP29" ca="1" si="16">AK28/AI28</f>
        <v>0</v>
      </c>
    </row>
    <row r="29" spans="2:42" ht="12.75" x14ac:dyDescent="0.2">
      <c r="B29" s="32" t="str">
        <f>'CF (Equity, Debt)'!C23</f>
        <v>Endless Studios LLC</v>
      </c>
      <c r="C29" s="33">
        <f>'CF (Equity, Debt)'!D23</f>
        <v>44494</v>
      </c>
      <c r="D29" s="40">
        <f>'CF (Equity, Debt)'!E23</f>
        <v>-3</v>
      </c>
      <c r="E29" s="40"/>
      <c r="F29" s="40"/>
      <c r="G29" s="40">
        <f t="shared" si="0"/>
        <v>-3</v>
      </c>
      <c r="H29" s="186" t="str">
        <f>IF(D29='CF (Equity, Debt)'!E23," ", "xxx")</f>
        <v xml:space="preserve"> </v>
      </c>
      <c r="S29" s="40">
        <f>D29</f>
        <v>-3</v>
      </c>
      <c r="AG29" s="30" t="str">
        <f>'S | 01 '!C26</f>
        <v>Tools for Humanity Corporation</v>
      </c>
      <c r="AH29" s="150">
        <f ca="1">'S | 01 '!J26</f>
        <v>14.999998939999999</v>
      </c>
      <c r="AI29" s="150">
        <f t="shared" ca="1" si="1"/>
        <v>14.999998939999999</v>
      </c>
      <c r="AJ29" s="434">
        <f t="shared" ca="1" si="13"/>
        <v>0</v>
      </c>
      <c r="AK29" s="150">
        <f t="shared" ca="1" si="2"/>
        <v>0</v>
      </c>
      <c r="AL29" s="150">
        <f t="shared" ca="1" si="3"/>
        <v>14.999998939999999</v>
      </c>
      <c r="AM29" s="174">
        <f ca="1">HLOOKUP(AG29,$J$7:$AF$90,$AM$10,0)</f>
        <v>2.9802322387695314E-9</v>
      </c>
      <c r="AN29" s="164">
        <f t="shared" ca="1" si="14"/>
        <v>1</v>
      </c>
      <c r="AO29" s="164">
        <f t="shared" ca="1" si="15"/>
        <v>1</v>
      </c>
      <c r="AP29" s="164">
        <f t="shared" ca="1" si="16"/>
        <v>0</v>
      </c>
    </row>
    <row r="30" spans="2:42" ht="12.75" x14ac:dyDescent="0.2">
      <c r="B30" s="30" t="str">
        <f>'CF (Equity, Debt)'!C24</f>
        <v>Instadeep Limited</v>
      </c>
      <c r="C30" s="31">
        <f>'CF (Equity, Debt)'!D24</f>
        <v>44550</v>
      </c>
      <c r="D30" s="39">
        <f>'CF (Equity, Debt)'!E24</f>
        <v>-5.0237201984774336</v>
      </c>
      <c r="E30" s="39"/>
      <c r="F30" s="39"/>
      <c r="G30" s="39">
        <f t="shared" si="0"/>
        <v>-5.0237201984774336</v>
      </c>
      <c r="H30" s="186" t="str">
        <f>IF(D30='CF (Equity, Debt)'!E24," ", "xxx")</f>
        <v xml:space="preserve"> </v>
      </c>
      <c r="T30" s="39">
        <f>D30</f>
        <v>-5.0237201984774336</v>
      </c>
      <c r="AG30" s="32" t="str">
        <f>'S | 01 '!C27</f>
        <v>WLD Tokens</v>
      </c>
      <c r="AH30" s="150">
        <f ca="1">'S | 01 '!J27</f>
        <v>6.875E-3</v>
      </c>
      <c r="AI30" s="150">
        <f t="shared" ca="1" si="1"/>
        <v>6.875E-3</v>
      </c>
      <c r="AJ30" s="434">
        <f t="shared" ref="AJ30" ca="1" si="17">AH30-AI30</f>
        <v>0</v>
      </c>
      <c r="AK30" s="150">
        <f t="shared" ca="1" si="2"/>
        <v>0</v>
      </c>
      <c r="AL30" s="150">
        <f t="shared" ca="1" si="3"/>
        <v>15</v>
      </c>
      <c r="AM30" s="174" t="str">
        <f t="shared" ref="AM30" ca="1" si="18">HLOOKUP(AG30,$J$7:$AF$90,$AM$10,0)</f>
        <v>NM</v>
      </c>
      <c r="AN30" s="164">
        <f t="shared" ref="AN30" ca="1" si="19">(AK30+AL30)/AI30</f>
        <v>2181.818181818182</v>
      </c>
      <c r="AO30" s="164">
        <f t="shared" ref="AO30" ca="1" si="20">AL30/AI30</f>
        <v>2181.818181818182</v>
      </c>
      <c r="AP30" s="164">
        <f t="shared" ref="AP30" ca="1" si="21">AK30/AI30</f>
        <v>0</v>
      </c>
    </row>
    <row r="31" spans="2:42" ht="12.75" x14ac:dyDescent="0.2">
      <c r="B31" s="32" t="str">
        <f>'CF (Equity, Debt)'!C25</f>
        <v>X-fusion</v>
      </c>
      <c r="C31" s="33">
        <f>'CF (Equity, Debt)'!D25</f>
        <v>44574</v>
      </c>
      <c r="D31" s="40">
        <f>'CF (Equity, Debt)'!E25</f>
        <v>-493.50095619999996</v>
      </c>
      <c r="E31" s="40"/>
      <c r="F31" s="40"/>
      <c r="G31" s="40">
        <f t="shared" si="0"/>
        <v>-493.50095619999996</v>
      </c>
      <c r="H31" s="186" t="str">
        <f>IF(D31='CF (Equity, Debt)'!E25," ", "xxx")</f>
        <v xml:space="preserve"> </v>
      </c>
      <c r="U31" s="40">
        <f>D31</f>
        <v>-493.50095619999996</v>
      </c>
      <c r="AG31" s="30" t="str">
        <f>'S | 01 '!C28</f>
        <v>E-line Ventures LLC</v>
      </c>
      <c r="AH31" s="150">
        <f ca="1">'S | 01 '!J28</f>
        <v>6</v>
      </c>
      <c r="AI31" s="150">
        <f t="shared" ca="1" si="1"/>
        <v>6</v>
      </c>
      <c r="AJ31" s="434">
        <f t="shared" ref="AJ31" ca="1" si="22">AH31-AI31</f>
        <v>0</v>
      </c>
      <c r="AK31" s="150">
        <f t="shared" ca="1" si="2"/>
        <v>0</v>
      </c>
      <c r="AL31" s="150">
        <f t="shared" ca="1" si="3"/>
        <v>6</v>
      </c>
      <c r="AM31" s="174" t="str">
        <f t="shared" ref="AM31:AM32" si="23">HLOOKUP(AG31,$J$7:$AF$90,$AM$10,0)</f>
        <v>NM</v>
      </c>
      <c r="AN31" s="164">
        <f t="shared" ref="AN31:AN32" ca="1" si="24">(AK31+AL31)/AI31</f>
        <v>1</v>
      </c>
      <c r="AO31" s="164">
        <f t="shared" ref="AO31:AO32" ca="1" si="25">AL31/AI31</f>
        <v>1</v>
      </c>
      <c r="AP31" s="164">
        <f t="shared" ref="AP31:AP32" ca="1" si="26">AK31/AI31</f>
        <v>0</v>
      </c>
    </row>
    <row r="32" spans="2:42" ht="12.75" x14ac:dyDescent="0.2">
      <c r="B32" s="30" t="str">
        <f>'CF (Equity, Debt)'!C26</f>
        <v>DriveNets</v>
      </c>
      <c r="C32" s="31">
        <f>'CF (Equity, Debt)'!D26</f>
        <v>44643</v>
      </c>
      <c r="D32" s="39">
        <f>'CF (Equity, Debt)'!E26</f>
        <v>-200</v>
      </c>
      <c r="E32" s="39"/>
      <c r="F32" s="39"/>
      <c r="G32" s="39">
        <f t="shared" si="0"/>
        <v>-200</v>
      </c>
      <c r="H32" s="186" t="str">
        <f>IF(D32='CF (Equity, Debt)'!E26," ", "xxx")</f>
        <v xml:space="preserve"> </v>
      </c>
      <c r="V32" s="39">
        <f>D32</f>
        <v>-200</v>
      </c>
      <c r="AG32" s="32" t="str">
        <f>'S | 01 '!C29</f>
        <v>School Hack (AIREV Holding Limited)</v>
      </c>
      <c r="AH32" s="150">
        <f ca="1">'S | 01 '!J29</f>
        <v>2.75</v>
      </c>
      <c r="AI32" s="150">
        <f t="shared" ca="1" si="1"/>
        <v>2.5</v>
      </c>
      <c r="AJ32" s="434">
        <f t="shared" ref="AJ32" ca="1" si="27">AH32-AI32</f>
        <v>0.25</v>
      </c>
      <c r="AK32" s="150">
        <f t="shared" ca="1" si="2"/>
        <v>0</v>
      </c>
      <c r="AL32" s="150">
        <f t="shared" ca="1" si="3"/>
        <v>2.5</v>
      </c>
      <c r="AM32" s="174" t="str">
        <f t="shared" si="23"/>
        <v>NM</v>
      </c>
      <c r="AN32" s="164">
        <f t="shared" ca="1" si="24"/>
        <v>1</v>
      </c>
      <c r="AO32" s="164">
        <f t="shared" ca="1" si="25"/>
        <v>1</v>
      </c>
      <c r="AP32" s="164">
        <f t="shared" ca="1" si="26"/>
        <v>0</v>
      </c>
    </row>
    <row r="33" spans="2:42" ht="12.75" x14ac:dyDescent="0.2">
      <c r="B33" s="30" t="str">
        <f>'CF (Equity, Debt)'!C27</f>
        <v>DriveNets</v>
      </c>
      <c r="C33" s="31">
        <f>'CF (Equity, Debt)'!D27</f>
        <v>44680</v>
      </c>
      <c r="D33" s="39">
        <f>'CF (Equity, Debt)'!E27</f>
        <v>-100</v>
      </c>
      <c r="E33" s="39"/>
      <c r="F33" s="39"/>
      <c r="G33" s="39">
        <f t="shared" si="0"/>
        <v>-100</v>
      </c>
      <c r="H33" s="186" t="str">
        <f>IF(D33='CF (Equity, Debt)'!E27," ", "xxx")</f>
        <v xml:space="preserve"> </v>
      </c>
      <c r="V33" s="39">
        <f>D33</f>
        <v>-100</v>
      </c>
      <c r="AG33" s="30" t="str">
        <f>'S | 01 '!C30</f>
        <v>Life Biosciences LLC</v>
      </c>
      <c r="AH33" s="150">
        <f ca="1">'S | 01 '!J30</f>
        <v>20</v>
      </c>
      <c r="AI33" s="150">
        <f t="shared" ca="1" si="1"/>
        <v>20</v>
      </c>
      <c r="AJ33" s="434">
        <f t="shared" ref="AJ33" ca="1" si="28">AH33-AI33</f>
        <v>0</v>
      </c>
      <c r="AK33" s="150">
        <f t="shared" ca="1" si="2"/>
        <v>0</v>
      </c>
      <c r="AL33" s="150">
        <f t="shared" ca="1" si="3"/>
        <v>20</v>
      </c>
      <c r="AM33" s="174" t="str">
        <f t="shared" ref="AM33" si="29">HLOOKUP(AG33,$J$7:$AF$90,$AM$10,0)</f>
        <v>NM</v>
      </c>
      <c r="AN33" s="164">
        <f t="shared" ref="AN33" ca="1" si="30">(AK33+AL33)/AI33</f>
        <v>1</v>
      </c>
      <c r="AO33" s="164">
        <f t="shared" ref="AO33" ca="1" si="31">AL33/AI33</f>
        <v>1</v>
      </c>
      <c r="AP33" s="164">
        <f t="shared" ref="AP33" ca="1" si="32">AK33/AI33</f>
        <v>0</v>
      </c>
    </row>
    <row r="34" spans="2:42" x14ac:dyDescent="0.2">
      <c r="B34" s="32" t="str">
        <f>'CF (Equity, Debt)'!C28</f>
        <v xml:space="preserve">Esyasoft Holding </v>
      </c>
      <c r="C34" s="33">
        <f>'CF (Equity, Debt)'!D28</f>
        <v>44691</v>
      </c>
      <c r="D34" s="40">
        <f>'CF (Equity, Debt)'!E28</f>
        <v>0</v>
      </c>
      <c r="E34" s="40">
        <f>'CF (Equity, Debt)'!F28</f>
        <v>5</v>
      </c>
      <c r="F34" s="40"/>
      <c r="G34" s="40">
        <f t="shared" si="0"/>
        <v>5</v>
      </c>
      <c r="H34" s="186" t="str">
        <f>IF(D34='CF (Equity, Debt)'!E28," ", "xxx")</f>
        <v xml:space="preserve"> </v>
      </c>
      <c r="M34" s="45">
        <f>E34</f>
        <v>5</v>
      </c>
    </row>
    <row r="35" spans="2:42" ht="12.75" x14ac:dyDescent="0.2">
      <c r="B35" s="32" t="str">
        <f>'CF (Equity, Debt)'!C29</f>
        <v>vTv Therapeutics Inc.</v>
      </c>
      <c r="C35" s="33">
        <f>'CF (Equity, Debt)'!D29</f>
        <v>44712</v>
      </c>
      <c r="D35" s="40">
        <f>'CF (Equity, Debt)'!E29</f>
        <v>-12.5</v>
      </c>
      <c r="E35" s="40"/>
      <c r="F35" s="40"/>
      <c r="G35" s="40">
        <f t="shared" si="0"/>
        <v>-12.5</v>
      </c>
      <c r="H35" s="186" t="str">
        <f>IF(D35='CF (Equity, Debt)'!E29," ", "xxx")</f>
        <v xml:space="preserve"> </v>
      </c>
      <c r="W35" s="40">
        <f>D35</f>
        <v>-12.5</v>
      </c>
      <c r="AG35" s="161"/>
      <c r="AH35" s="163">
        <f ca="1">SUM(AH12:AH33)</f>
        <v>2141.7830433728436</v>
      </c>
      <c r="AI35" s="163">
        <f ca="1">SUM(AI12:AI33)</f>
        <v>2138.0330433728436</v>
      </c>
      <c r="AJ35" s="163">
        <f ca="1">SUM(AJ12:AJ33)</f>
        <v>3.75</v>
      </c>
      <c r="AK35" s="163">
        <f ca="1">SUM(AK12:AK33)</f>
        <v>1243.24219253</v>
      </c>
      <c r="AL35" s="163">
        <f ca="1">SUM(AL12:AL33)</f>
        <v>835.01115026311936</v>
      </c>
      <c r="AM35" s="262">
        <f ca="1">AH40</f>
        <v>-1.4689040370285514E-2</v>
      </c>
      <c r="AN35" s="524">
        <f ca="1">(AK35+AL35)/AI35</f>
        <v>0.97203986123366037</v>
      </c>
      <c r="AO35" s="524">
        <f ca="1">AL35/AI35</f>
        <v>0.39055109688382156</v>
      </c>
      <c r="AP35" s="526">
        <f ca="1">AK35/AI35</f>
        <v>0.58148876434983876</v>
      </c>
    </row>
    <row r="36" spans="2:42" x14ac:dyDescent="0.2">
      <c r="B36" s="30" t="str">
        <f>'CF (Equity, Debt)'!C30</f>
        <v>Honor Device Co Ltd</v>
      </c>
      <c r="C36" s="31">
        <f>'CF (Equity, Debt)'!D30</f>
        <v>44769</v>
      </c>
      <c r="D36" s="39">
        <f>'CF (Equity, Debt)'!E30</f>
        <v>-600</v>
      </c>
      <c r="E36" s="39"/>
      <c r="F36" s="39"/>
      <c r="G36" s="39">
        <f t="shared" si="0"/>
        <v>-600</v>
      </c>
      <c r="H36" s="186" t="str">
        <f>IF(D36='CF (Equity, Debt)'!E30," ", "xxx")</f>
        <v xml:space="preserve"> </v>
      </c>
      <c r="X36" s="39">
        <f>D36</f>
        <v>-600</v>
      </c>
      <c r="AH36" s="29" t="b">
        <f ca="1">ROUND('S | 01 '!J32,2)=ROUND(AH35,2)</f>
        <v>1</v>
      </c>
      <c r="AI36" s="29" t="b">
        <f ca="1">ROUND('S | 01 '!K32,2)=ROUND(AI35,2)</f>
        <v>1</v>
      </c>
      <c r="AJ36" s="29" t="b">
        <f ca="1">ROUND('S | 01 '!L32,2)=ROUND(AJ35,2)</f>
        <v>1</v>
      </c>
      <c r="AK36" s="29" t="b">
        <f ca="1">ROUND('S | 01 '!M32,2)=ROUND(AK35,2)</f>
        <v>1</v>
      </c>
      <c r="AL36" s="29" t="b">
        <f ca="1">ROUND('S | 01 '!N32,2)=ROUND(AL35,2)</f>
        <v>1</v>
      </c>
      <c r="AM36" s="29" t="b">
        <f ca="1">ROUND('S | 01 '!Q32,2)=ROUND(AM35,2)</f>
        <v>1</v>
      </c>
      <c r="AN36" s="29" t="b">
        <f ca="1">ROUND('S | 01 '!P32,2)=ROUND(AN35,2)</f>
        <v>1</v>
      </c>
    </row>
    <row r="37" spans="2:42" x14ac:dyDescent="0.2">
      <c r="B37" s="30" t="str">
        <f>'CF (Equity, Debt)'!C31</f>
        <v>Honor Device Co Ltd</v>
      </c>
      <c r="C37" s="31">
        <f>'CF (Equity, Debt)'!D31</f>
        <v>44849</v>
      </c>
      <c r="D37" s="39">
        <f>'CF (Equity, Debt)'!E31</f>
        <v>-200</v>
      </c>
      <c r="E37" s="39"/>
      <c r="F37" s="39"/>
      <c r="G37" s="39">
        <f t="shared" ref="G37" si="33">SUM(D37:F37)</f>
        <v>-200</v>
      </c>
      <c r="X37" s="39">
        <f>D37</f>
        <v>-200</v>
      </c>
    </row>
    <row r="38" spans="2:42" x14ac:dyDescent="0.2">
      <c r="B38" s="30" t="str">
        <f>'CF (Equity, Debt)'!C32</f>
        <v>Applied AI Corporation Limited</v>
      </c>
      <c r="C38" s="31">
        <f>'CF (Equity, Debt)'!D32</f>
        <v>44861</v>
      </c>
      <c r="D38" s="39">
        <f>'CF (Equity, Debt)'!E32</f>
        <v>-4.75</v>
      </c>
      <c r="E38" s="39"/>
      <c r="F38" s="39"/>
      <c r="G38" s="39">
        <f t="shared" ref="G38" si="34">SUM(D38:F38)</f>
        <v>-4.75</v>
      </c>
      <c r="Y38" s="39">
        <f>D38</f>
        <v>-4.75</v>
      </c>
    </row>
    <row r="39" spans="2:42" ht="12.75" x14ac:dyDescent="0.2">
      <c r="B39" s="30" t="str">
        <f>'CF (Equity, Debt)'!C33</f>
        <v xml:space="preserve">eSpace </v>
      </c>
      <c r="C39" s="31">
        <f>'CF (Equity, Debt)'!D33</f>
        <v>44892</v>
      </c>
      <c r="D39" s="39">
        <f>'CF (Equity, Debt)'!E33</f>
        <v>-15</v>
      </c>
      <c r="E39" s="39"/>
      <c r="F39" s="39"/>
      <c r="G39" s="39">
        <f t="shared" ref="G39" si="35">SUM(D39:F39)</f>
        <v>-15</v>
      </c>
      <c r="Y39" s="39"/>
      <c r="Z39" s="39">
        <f>G39</f>
        <v>-15</v>
      </c>
      <c r="AG39" s="71"/>
      <c r="AH39" s="71"/>
      <c r="AI39" s="71"/>
    </row>
    <row r="40" spans="2:42" ht="12.75" x14ac:dyDescent="0.2">
      <c r="B40" s="30" t="str">
        <f>'CF (Equity, Debt)'!C34</f>
        <v>vTv Therapeutics Inc.</v>
      </c>
      <c r="C40" s="31">
        <f>'CF (Equity, Debt)'!D34</f>
        <v>44985</v>
      </c>
      <c r="D40" s="39">
        <f>'CF (Equity, Debt)'!E34</f>
        <v>-12.03125</v>
      </c>
      <c r="E40" s="39"/>
      <c r="F40" s="39"/>
      <c r="G40" s="39">
        <f t="shared" ref="G40" si="36">SUM(D40:F40)</f>
        <v>-12.03125</v>
      </c>
      <c r="W40" s="39">
        <f>G40</f>
        <v>-12.03125</v>
      </c>
      <c r="Y40" s="39"/>
      <c r="AG40" s="154" t="s">
        <v>162</v>
      </c>
      <c r="AH40" s="419">
        <f ca="1">XIRR(G10:G98,C10:C98)</f>
        <v>-1.4689040370285514E-2</v>
      </c>
      <c r="AI40" s="71"/>
      <c r="AJ40" s="310"/>
    </row>
    <row r="41" spans="2:42" ht="12.75" x14ac:dyDescent="0.2">
      <c r="B41" s="30" t="str">
        <f>'CF (Equity, Debt)'!C35</f>
        <v>Tools for Humanity Corporation</v>
      </c>
      <c r="C41" s="31">
        <f>'CF (Equity, Debt)'!D35</f>
        <v>45075</v>
      </c>
      <c r="D41" s="39">
        <f>'CF (Equity, Debt)'!E35</f>
        <v>-14.999998939999999</v>
      </c>
      <c r="E41" s="39"/>
      <c r="F41" s="39"/>
      <c r="G41" s="39">
        <f t="shared" ref="G41" si="37">SUM(D41:F41)</f>
        <v>-14.999998939999999</v>
      </c>
      <c r="Y41" s="39"/>
      <c r="AA41" s="39">
        <f>G41</f>
        <v>-14.999998939999999</v>
      </c>
      <c r="AG41" s="155" t="s">
        <v>34</v>
      </c>
      <c r="AH41" s="523">
        <f ca="1">SUM(AK12:AL33)/SUM(AI12:AI33)</f>
        <v>0.97203986123366037</v>
      </c>
      <c r="AI41" s="327" t="b">
        <f ca="1">ROUND(AH41,5)=ROUND(AN35,5)</f>
        <v>1</v>
      </c>
      <c r="AJ41" s="310"/>
    </row>
    <row r="42" spans="2:42" ht="12.75" x14ac:dyDescent="0.2">
      <c r="B42" s="30" t="str">
        <f>'CF (Equity, Debt)'!C36</f>
        <v>WLD Tokens</v>
      </c>
      <c r="C42" s="31">
        <f>'CF (Equity, Debt)'!D36</f>
        <v>45075</v>
      </c>
      <c r="D42" s="39">
        <f>'CF (Equity, Debt)'!E36</f>
        <v>-5.875E-3</v>
      </c>
      <c r="E42" s="39"/>
      <c r="F42" s="39"/>
      <c r="G42" s="39">
        <f t="shared" ref="G42" si="38">SUM(D42:F42)</f>
        <v>-5.875E-3</v>
      </c>
      <c r="Y42" s="39"/>
      <c r="AB42" s="39">
        <f>G42</f>
        <v>-5.875E-3</v>
      </c>
      <c r="AG42" s="155" t="s">
        <v>164</v>
      </c>
      <c r="AH42" s="523">
        <f ca="1">SUM(AL12:AL33)/SUM(AI12:AI33)</f>
        <v>0.39055109688382156</v>
      </c>
      <c r="AI42" s="328" t="b">
        <f ca="1">ROUND(AH42,5)=ROUND(AO35,5)</f>
        <v>1</v>
      </c>
    </row>
    <row r="43" spans="2:42" ht="12.75" x14ac:dyDescent="0.2">
      <c r="B43" s="30" t="str">
        <f>'CF (Equity, Debt)'!C37</f>
        <v>WLD Tokens</v>
      </c>
      <c r="C43" s="31">
        <f>'CF (Equity, Debt)'!D37</f>
        <v>45114</v>
      </c>
      <c r="D43" s="39">
        <f>'CF (Equity, Debt)'!E37</f>
        <v>-1E-3</v>
      </c>
      <c r="E43" s="39"/>
      <c r="F43" s="39"/>
      <c r="G43" s="39">
        <f t="shared" ref="G43:G45" si="39">SUM(D43:F43)</f>
        <v>-1E-3</v>
      </c>
      <c r="Y43" s="39"/>
      <c r="AB43" s="39">
        <f>G43</f>
        <v>-1E-3</v>
      </c>
      <c r="AG43" s="156" t="s">
        <v>97</v>
      </c>
      <c r="AH43" s="525">
        <f ca="1">SUM(AK12:AK33)/SUM(AI12:AI33)</f>
        <v>0.58148876434983876</v>
      </c>
      <c r="AI43" s="327" t="b">
        <f ca="1">ROUND(AH43,5)=ROUND(AP35,5)</f>
        <v>1</v>
      </c>
    </row>
    <row r="44" spans="2:42" ht="12.75" x14ac:dyDescent="0.2">
      <c r="B44" s="30" t="str">
        <f>'CF (Equity, Debt)'!C38</f>
        <v>Applied AI Corporation Limited</v>
      </c>
      <c r="C44" s="31">
        <f>'CF (Equity, Debt)'!D38</f>
        <v>45121</v>
      </c>
      <c r="D44" s="39">
        <f>'CF (Equity, Debt)'!E38</f>
        <v>-2.75</v>
      </c>
      <c r="E44" s="39"/>
      <c r="F44" s="39"/>
      <c r="G44" s="39">
        <f t="shared" si="39"/>
        <v>-2.75</v>
      </c>
      <c r="Y44" s="39">
        <f>G44</f>
        <v>-2.75</v>
      </c>
      <c r="AI44" s="71"/>
    </row>
    <row r="45" spans="2:42" ht="12.75" x14ac:dyDescent="0.2">
      <c r="B45" s="30" t="str">
        <f>'CF (Equity, Debt)'!C39</f>
        <v>Instadeep Limited</v>
      </c>
      <c r="C45" s="31">
        <f>'CF (Equity, Debt)'!D39</f>
        <v>45138</v>
      </c>
      <c r="D45" s="39">
        <f>'CF (Equity, Debt)'!E39</f>
        <v>0</v>
      </c>
      <c r="E45" s="39">
        <f>'CF (Equity, Debt)'!F39</f>
        <v>7.8207760999999989</v>
      </c>
      <c r="F45" s="39"/>
      <c r="G45" s="39">
        <f t="shared" si="39"/>
        <v>7.8207760999999989</v>
      </c>
      <c r="T45" s="39">
        <f>G45</f>
        <v>7.8207760999999989</v>
      </c>
      <c r="Y45" s="34"/>
      <c r="AI45" s="71"/>
    </row>
    <row r="46" spans="2:42" ht="12.75" x14ac:dyDescent="0.2">
      <c r="B46" s="30" t="str">
        <f>'CF (Equity, Debt)'!C40</f>
        <v>Jysan Technologies</v>
      </c>
      <c r="C46" s="31">
        <f>'CF (Equity, Debt)'!D40</f>
        <v>45149</v>
      </c>
      <c r="D46" s="39">
        <f>'CF (Equity, Debt)'!E40</f>
        <v>0</v>
      </c>
      <c r="E46" s="39">
        <f>'CF (Equity, Debt)'!F40</f>
        <v>24.5</v>
      </c>
      <c r="F46" s="39"/>
      <c r="G46" s="39">
        <f t="shared" ref="G46:G48" si="40">SUM(D46:F46)</f>
        <v>24.5</v>
      </c>
      <c r="Q46" s="39">
        <f>E46</f>
        <v>24.5</v>
      </c>
      <c r="Y46" s="34"/>
      <c r="AI46" s="71"/>
    </row>
    <row r="47" spans="2:42" ht="12.75" x14ac:dyDescent="0.2">
      <c r="B47" s="30" t="str">
        <f>'CF (Equity, Debt)'!C41</f>
        <v>Endless Studios LLC</v>
      </c>
      <c r="C47" s="31">
        <f>'CF (Equity, Debt)'!D41</f>
        <v>45167</v>
      </c>
      <c r="D47" s="39">
        <f>'CF (Equity, Debt)'!E41</f>
        <v>-5</v>
      </c>
      <c r="E47" s="39">
        <f>'CF (Equity, Debt)'!F41</f>
        <v>0</v>
      </c>
      <c r="F47" s="39"/>
      <c r="G47" s="39">
        <f t="shared" si="40"/>
        <v>-5</v>
      </c>
      <c r="S47" s="39">
        <f>D47</f>
        <v>-5</v>
      </c>
      <c r="Y47" s="34"/>
      <c r="AI47" s="71"/>
    </row>
    <row r="48" spans="2:42" ht="12.75" x14ac:dyDescent="0.2">
      <c r="B48" s="30" t="str">
        <f>'CF (Equity, Debt)'!C42</f>
        <v>E-line Ventures LLC</v>
      </c>
      <c r="C48" s="31">
        <f>'CF (Equity, Debt)'!D42</f>
        <v>45167</v>
      </c>
      <c r="D48" s="39">
        <f>'CF (Equity, Debt)'!E42</f>
        <v>-6</v>
      </c>
      <c r="E48" s="39">
        <f>'CF (Equity, Debt)'!F42</f>
        <v>0</v>
      </c>
      <c r="F48" s="39"/>
      <c r="G48" s="39">
        <f t="shared" si="40"/>
        <v>-6</v>
      </c>
      <c r="Y48" s="34"/>
      <c r="AC48" s="39">
        <f>D48</f>
        <v>-6</v>
      </c>
      <c r="AD48" s="39"/>
      <c r="AE48" s="39"/>
      <c r="AI48" s="71"/>
    </row>
    <row r="49" spans="2:35" ht="12.75" x14ac:dyDescent="0.2">
      <c r="B49" s="30" t="str">
        <f>'CF (Equity, Debt)'!C43</f>
        <v>Honor Device Co Ltd</v>
      </c>
      <c r="C49" s="31">
        <f>'CF (Equity, Debt)'!D43</f>
        <v>45224</v>
      </c>
      <c r="D49" s="39">
        <f>'CF (Equity, Debt)'!E43</f>
        <v>0</v>
      </c>
      <c r="E49" s="39">
        <f>'CF (Equity, Debt)'!F43</f>
        <v>2.8</v>
      </c>
      <c r="F49" s="39"/>
      <c r="G49" s="39">
        <f t="shared" ref="G49:G51" si="41">SUM(D49:F49)</f>
        <v>2.8</v>
      </c>
      <c r="X49" s="45">
        <f>G49</f>
        <v>2.8</v>
      </c>
      <c r="Y49" s="34"/>
      <c r="AC49" s="39"/>
      <c r="AD49" s="39"/>
      <c r="AE49" s="39"/>
      <c r="AI49" s="71"/>
    </row>
    <row r="50" spans="2:35" ht="12.75" x14ac:dyDescent="0.2">
      <c r="B50" s="30" t="str">
        <f>'CF (Equity, Debt)'!C44</f>
        <v>Honor Device Co Ltd</v>
      </c>
      <c r="C50" s="31">
        <f>'CF (Equity, Debt)'!D44</f>
        <v>45224</v>
      </c>
      <c r="D50" s="39">
        <f>'CF (Equity, Debt)'!E44</f>
        <v>0</v>
      </c>
      <c r="E50" s="39">
        <f>'CF (Equity, Debt)'!F44</f>
        <v>800</v>
      </c>
      <c r="F50" s="39"/>
      <c r="G50" s="39">
        <f t="shared" si="41"/>
        <v>800</v>
      </c>
      <c r="X50" s="45">
        <f>G50</f>
        <v>800</v>
      </c>
      <c r="Y50" s="34"/>
      <c r="AC50" s="39"/>
      <c r="AD50" s="39"/>
      <c r="AE50" s="39"/>
      <c r="AI50" s="71"/>
    </row>
    <row r="51" spans="2:35" ht="12.75" x14ac:dyDescent="0.2">
      <c r="B51" s="30" t="str">
        <f>'CF (Equity, Debt)'!C45</f>
        <v>X-fusion</v>
      </c>
      <c r="C51" s="31">
        <f>'CF (Equity, Debt)'!D45</f>
        <v>45224</v>
      </c>
      <c r="D51" s="39">
        <f>'CF (Equity, Debt)'!E45</f>
        <v>0</v>
      </c>
      <c r="E51" s="39">
        <f>'CF (Equity, Debt)'!F45</f>
        <v>403</v>
      </c>
      <c r="F51" s="39"/>
      <c r="G51" s="39">
        <f t="shared" si="41"/>
        <v>403</v>
      </c>
      <c r="U51" s="45">
        <f>G51</f>
        <v>403</v>
      </c>
      <c r="V51" s="45"/>
      <c r="Y51" s="34"/>
      <c r="AC51" s="39"/>
      <c r="AD51" s="39"/>
      <c r="AE51" s="39"/>
      <c r="AI51" s="71"/>
    </row>
    <row r="52" spans="2:35" ht="12.75" x14ac:dyDescent="0.2">
      <c r="B52" s="30" t="str">
        <f>'CF (Equity, Debt)'!C46</f>
        <v>Instadeep Limited</v>
      </c>
      <c r="C52" s="31">
        <f>'CF (Equity, Debt)'!D46</f>
        <v>45224</v>
      </c>
      <c r="D52" s="39">
        <f>'CF (Equity, Debt)'!E46</f>
        <v>0</v>
      </c>
      <c r="E52" s="39">
        <f>'CF (Equity, Debt)'!F46</f>
        <v>0.12141643000000001</v>
      </c>
      <c r="F52" s="39"/>
      <c r="G52" s="39">
        <f t="shared" ref="G52" si="42">SUM(D52:F52)</f>
        <v>0.12141643000000001</v>
      </c>
      <c r="T52" s="45">
        <f>G52</f>
        <v>0.12141643000000001</v>
      </c>
      <c r="Y52" s="34"/>
      <c r="AC52" s="39"/>
      <c r="AD52" s="39"/>
      <c r="AE52" s="39"/>
      <c r="AI52" s="71"/>
    </row>
    <row r="53" spans="2:35" ht="12.75" x14ac:dyDescent="0.2">
      <c r="B53" s="30" t="str">
        <f>'CF (Equity, Debt)'!C47</f>
        <v>Applied AI Corporation Limited</v>
      </c>
      <c r="C53" s="31">
        <f>'CF (Equity, Debt)'!D47</f>
        <v>45295</v>
      </c>
      <c r="D53" s="39">
        <f>'CF (Equity, Debt)'!E47</f>
        <v>-4</v>
      </c>
      <c r="E53" s="39">
        <f>'CF (Equity, Debt)'!F47</f>
        <v>0</v>
      </c>
      <c r="F53" s="39"/>
      <c r="G53" s="39">
        <f t="shared" ref="G53:G54" si="43">SUM(D53:F53)</f>
        <v>-4</v>
      </c>
      <c r="T53" s="45"/>
      <c r="Y53" s="39">
        <f>G53</f>
        <v>-4</v>
      </c>
      <c r="AC53" s="39"/>
      <c r="AD53" s="39"/>
      <c r="AE53" s="39"/>
      <c r="AI53" s="71"/>
    </row>
    <row r="54" spans="2:35" ht="12.75" x14ac:dyDescent="0.2">
      <c r="B54" s="30" t="str">
        <f>'CF (Equity, Debt)'!C48</f>
        <v>School Hack (AIREV Holding Limited)</v>
      </c>
      <c r="C54" s="31">
        <f>'CF (Equity, Debt)'!D48</f>
        <v>45322</v>
      </c>
      <c r="D54" s="39">
        <f>'CF (Equity, Debt)'!E48</f>
        <v>-2.5</v>
      </c>
      <c r="E54" s="39">
        <f>'CF (Equity, Debt)'!F48</f>
        <v>0</v>
      </c>
      <c r="F54" s="39"/>
      <c r="G54" s="39">
        <f t="shared" si="43"/>
        <v>-2.5</v>
      </c>
      <c r="T54" s="45"/>
      <c r="Y54" s="34"/>
      <c r="AC54" s="39"/>
      <c r="AD54" s="39">
        <f>G54</f>
        <v>-2.5</v>
      </c>
      <c r="AE54" s="39"/>
      <c r="AI54" s="71"/>
    </row>
    <row r="55" spans="2:35" ht="12.75" x14ac:dyDescent="0.2">
      <c r="B55" s="30" t="str">
        <f>'CF (Equity, Debt)'!C49</f>
        <v>Life Biosciences LLC</v>
      </c>
      <c r="C55" s="31">
        <f>'CF (Equity, Debt)'!D49</f>
        <v>45349</v>
      </c>
      <c r="D55" s="39">
        <f>'CF (Equity, Debt)'!E49</f>
        <v>-20</v>
      </c>
      <c r="E55" s="39">
        <f>'CF (Equity, Debt)'!F49</f>
        <v>0</v>
      </c>
      <c r="F55" s="39"/>
      <c r="G55" s="39">
        <f t="shared" ref="G55" si="44">SUM(D55:F55)</f>
        <v>-20</v>
      </c>
      <c r="T55" s="45"/>
      <c r="Y55" s="34"/>
      <c r="AC55" s="39"/>
      <c r="AD55" s="39"/>
      <c r="AE55" s="39">
        <f>D55</f>
        <v>-20</v>
      </c>
      <c r="AI55" s="71"/>
    </row>
    <row r="56" spans="2:35" ht="12.75" x14ac:dyDescent="0.2">
      <c r="H56" s="505"/>
      <c r="I56" s="506"/>
      <c r="J56" s="506"/>
      <c r="K56" s="506"/>
      <c r="L56" s="506"/>
      <c r="M56" s="506"/>
      <c r="N56" s="506"/>
      <c r="O56" s="506"/>
      <c r="P56" s="506"/>
      <c r="Q56" s="506"/>
      <c r="R56" s="506"/>
      <c r="S56" s="506"/>
      <c r="T56" s="506"/>
      <c r="U56" s="506"/>
      <c r="V56" s="506"/>
      <c r="W56" s="506"/>
      <c r="X56" s="506"/>
      <c r="Y56" s="197"/>
      <c r="Z56" s="197"/>
      <c r="AA56" s="197"/>
      <c r="AB56" s="197"/>
      <c r="AC56" s="197"/>
      <c r="AD56" s="197"/>
      <c r="AE56" s="197"/>
      <c r="AI56" s="71"/>
    </row>
    <row r="57" spans="2:35" ht="12.75" x14ac:dyDescent="0.2">
      <c r="B57" s="32" t="str">
        <f>NAV!B10</f>
        <v>Jollychic Holding Limited</v>
      </c>
      <c r="C57" s="33">
        <f>$C$4</f>
        <v>45351</v>
      </c>
      <c r="D57" s="40"/>
      <c r="E57" s="40"/>
      <c r="F57" s="40">
        <f>NAV!E10</f>
        <v>0</v>
      </c>
      <c r="G57" s="40">
        <f t="shared" ref="G57:G71" si="45">SUM(D57:F57)</f>
        <v>0</v>
      </c>
      <c r="H57" s="184"/>
      <c r="J57" s="45">
        <f>F57</f>
        <v>0</v>
      </c>
      <c r="AG57" s="71"/>
      <c r="AH57" s="71"/>
      <c r="AI57" s="71"/>
    </row>
    <row r="58" spans="2:35" x14ac:dyDescent="0.2">
      <c r="B58" s="30" t="str">
        <f>NAV!B11</f>
        <v>Mena Mobile Inc</v>
      </c>
      <c r="C58" s="31">
        <f t="shared" ref="C58:C78" si="46">$C$4</f>
        <v>45351</v>
      </c>
      <c r="D58" s="39"/>
      <c r="E58" s="39"/>
      <c r="F58" s="39">
        <f>NAV!E11</f>
        <v>0</v>
      </c>
      <c r="G58" s="39">
        <f t="shared" si="45"/>
        <v>0</v>
      </c>
      <c r="H58" s="184"/>
      <c r="K58" s="45">
        <f>F58</f>
        <v>0</v>
      </c>
    </row>
    <row r="59" spans="2:35" x14ac:dyDescent="0.2">
      <c r="B59" s="32" t="str">
        <f>NAV!B12</f>
        <v>Flyr Inc</v>
      </c>
      <c r="C59" s="33">
        <f t="shared" si="46"/>
        <v>45351</v>
      </c>
      <c r="D59" s="40"/>
      <c r="E59" s="40"/>
      <c r="F59" s="40">
        <f>NAV!E12</f>
        <v>78.082229999999996</v>
      </c>
      <c r="G59" s="40">
        <f t="shared" si="45"/>
        <v>78.082229999999996</v>
      </c>
      <c r="H59" s="184"/>
      <c r="L59" s="45">
        <f>F59</f>
        <v>78.082229999999996</v>
      </c>
    </row>
    <row r="60" spans="2:35" x14ac:dyDescent="0.2">
      <c r="B60" s="30" t="str">
        <f>NAV!B13</f>
        <v xml:space="preserve">Esyasoft Holding </v>
      </c>
      <c r="C60" s="31">
        <f t="shared" si="46"/>
        <v>45351</v>
      </c>
      <c r="D60" s="39"/>
      <c r="E60" s="39"/>
      <c r="F60" s="39">
        <f>NAV!E13</f>
        <v>0</v>
      </c>
      <c r="G60" s="39">
        <f t="shared" si="45"/>
        <v>0</v>
      </c>
      <c r="H60" s="184"/>
      <c r="M60" s="45"/>
    </row>
    <row r="61" spans="2:35" x14ac:dyDescent="0.2">
      <c r="B61" s="32" t="str">
        <f>NAV!B14</f>
        <v>Beyond Limits</v>
      </c>
      <c r="C61" s="33">
        <f t="shared" si="46"/>
        <v>45351</v>
      </c>
      <c r="D61" s="40"/>
      <c r="E61" s="40"/>
      <c r="F61" s="40">
        <f>NAV!E14</f>
        <v>91.001540300000002</v>
      </c>
      <c r="G61" s="40">
        <f t="shared" si="45"/>
        <v>91.001540300000002</v>
      </c>
      <c r="H61" s="184"/>
      <c r="N61" s="45">
        <f>F61</f>
        <v>91.001540300000002</v>
      </c>
    </row>
    <row r="62" spans="2:35" x14ac:dyDescent="0.2">
      <c r="B62" s="30" t="str">
        <f>NAV!B15</f>
        <v>ONT plc</v>
      </c>
      <c r="C62" s="31">
        <f t="shared" si="46"/>
        <v>45351</v>
      </c>
      <c r="D62" s="39"/>
      <c r="E62" s="39"/>
      <c r="F62" s="39">
        <f>NAV!E15</f>
        <v>74.432454495000002</v>
      </c>
      <c r="G62" s="39">
        <f t="shared" si="45"/>
        <v>74.432454495000002</v>
      </c>
      <c r="H62" s="184"/>
      <c r="O62" s="45">
        <f>F62</f>
        <v>74.432454495000002</v>
      </c>
    </row>
    <row r="63" spans="2:35" x14ac:dyDescent="0.2">
      <c r="B63" s="32" t="str">
        <f>NAV!B16</f>
        <v>Heygears</v>
      </c>
      <c r="C63" s="33">
        <f t="shared" si="46"/>
        <v>45351</v>
      </c>
      <c r="D63" s="40"/>
      <c r="E63" s="40"/>
      <c r="F63" s="40">
        <f>NAV!E16</f>
        <v>148.0498412781194</v>
      </c>
      <c r="G63" s="40">
        <f t="shared" si="45"/>
        <v>148.0498412781194</v>
      </c>
      <c r="H63" s="184"/>
      <c r="P63" s="45">
        <f>F63</f>
        <v>148.0498412781194</v>
      </c>
    </row>
    <row r="64" spans="2:35" x14ac:dyDescent="0.2">
      <c r="B64" s="30" t="str">
        <f>NAV!B17</f>
        <v>Jysan Technologies</v>
      </c>
      <c r="C64" s="31">
        <f t="shared" si="46"/>
        <v>45351</v>
      </c>
      <c r="D64" s="39"/>
      <c r="E64" s="39"/>
      <c r="F64" s="39">
        <f>NAV!E17</f>
        <v>0</v>
      </c>
      <c r="G64" s="39">
        <f t="shared" si="45"/>
        <v>0</v>
      </c>
      <c r="H64" s="184"/>
      <c r="Q64" s="45">
        <f>F64</f>
        <v>0</v>
      </c>
    </row>
    <row r="65" spans="2:31" x14ac:dyDescent="0.2">
      <c r="B65" s="32" t="str">
        <f>NAV!B18</f>
        <v>Cerebras Systems Inc</v>
      </c>
      <c r="C65" s="33">
        <f t="shared" si="46"/>
        <v>45351</v>
      </c>
      <c r="D65" s="40"/>
      <c r="E65" s="40"/>
      <c r="F65" s="40">
        <f>NAV!E18</f>
        <v>39.999983359999995</v>
      </c>
      <c r="G65" s="40">
        <f t="shared" si="45"/>
        <v>39.999983359999995</v>
      </c>
      <c r="H65" s="184"/>
      <c r="R65" s="45">
        <f>F65</f>
        <v>39.999983359999995</v>
      </c>
    </row>
    <row r="66" spans="2:31" x14ac:dyDescent="0.2">
      <c r="B66" s="30" t="str">
        <f>NAV!B19</f>
        <v>Endless Studios LLC</v>
      </c>
      <c r="C66" s="31">
        <f t="shared" si="46"/>
        <v>45351</v>
      </c>
      <c r="D66" s="39"/>
      <c r="E66" s="39"/>
      <c r="F66" s="39">
        <f>NAV!E19</f>
        <v>8</v>
      </c>
      <c r="G66" s="39">
        <f t="shared" si="45"/>
        <v>8</v>
      </c>
      <c r="H66" s="184"/>
      <c r="S66" s="45">
        <f>F66</f>
        <v>8</v>
      </c>
    </row>
    <row r="67" spans="2:31" x14ac:dyDescent="0.2">
      <c r="B67" s="32" t="str">
        <f>NAV!B20</f>
        <v>Instadeep Limited</v>
      </c>
      <c r="C67" s="33">
        <f t="shared" si="46"/>
        <v>45351</v>
      </c>
      <c r="D67" s="40"/>
      <c r="E67" s="40"/>
      <c r="F67" s="40">
        <f>NAV!E20</f>
        <v>0</v>
      </c>
      <c r="G67" s="40">
        <f t="shared" si="45"/>
        <v>0</v>
      </c>
      <c r="H67" s="184"/>
      <c r="T67" s="45">
        <f>F67</f>
        <v>0</v>
      </c>
    </row>
    <row r="68" spans="2:31" x14ac:dyDescent="0.2">
      <c r="B68" s="30" t="str">
        <f>NAV!B21</f>
        <v>X-fusion</v>
      </c>
      <c r="C68" s="31">
        <f t="shared" si="46"/>
        <v>45351</v>
      </c>
      <c r="D68" s="39"/>
      <c r="E68" s="39"/>
      <c r="F68" s="39">
        <f>NAV!E21</f>
        <v>0</v>
      </c>
      <c r="G68" s="39">
        <f t="shared" si="45"/>
        <v>0</v>
      </c>
      <c r="H68" s="184"/>
      <c r="U68" s="45">
        <f>F68</f>
        <v>0</v>
      </c>
    </row>
    <row r="69" spans="2:31" x14ac:dyDescent="0.2">
      <c r="B69" s="32" t="str">
        <f>NAV!B22</f>
        <v>DriveNets</v>
      </c>
      <c r="C69" s="33">
        <f t="shared" si="46"/>
        <v>45351</v>
      </c>
      <c r="D69" s="40"/>
      <c r="E69" s="40"/>
      <c r="F69" s="40">
        <f>NAV!E22</f>
        <v>300</v>
      </c>
      <c r="G69" s="40">
        <f t="shared" si="45"/>
        <v>300</v>
      </c>
      <c r="H69" s="184"/>
      <c r="V69" s="45">
        <f>F69</f>
        <v>300</v>
      </c>
    </row>
    <row r="70" spans="2:31" x14ac:dyDescent="0.2">
      <c r="B70" s="30" t="str">
        <f>NAV!B23</f>
        <v>vTv Therapeutics Inc.</v>
      </c>
      <c r="C70" s="31">
        <f t="shared" si="46"/>
        <v>45351</v>
      </c>
      <c r="D70" s="39"/>
      <c r="E70" s="39"/>
      <c r="F70" s="39">
        <f>NAV!E23</f>
        <v>4.5569803500000008</v>
      </c>
      <c r="G70" s="39">
        <f t="shared" si="45"/>
        <v>4.5569803500000008</v>
      </c>
      <c r="H70" s="184"/>
      <c r="W70" s="45">
        <f>F70</f>
        <v>4.5569803500000008</v>
      </c>
    </row>
    <row r="71" spans="2:31" x14ac:dyDescent="0.2">
      <c r="B71" s="32" t="str">
        <f>NAV!B24</f>
        <v>Honor Device Co Ltd</v>
      </c>
      <c r="C71" s="33">
        <f t="shared" si="46"/>
        <v>45351</v>
      </c>
      <c r="D71" s="40"/>
      <c r="E71" s="40"/>
      <c r="F71" s="40">
        <f>NAV!E24</f>
        <v>0</v>
      </c>
      <c r="G71" s="40">
        <f t="shared" si="45"/>
        <v>0</v>
      </c>
      <c r="H71" s="184"/>
      <c r="X71" s="45">
        <f>F71</f>
        <v>0</v>
      </c>
    </row>
    <row r="72" spans="2:31" x14ac:dyDescent="0.2">
      <c r="B72" s="30" t="str">
        <f>NAV!B25</f>
        <v>Applied AI Corporation Limited</v>
      </c>
      <c r="C72" s="31">
        <f t="shared" si="46"/>
        <v>45351</v>
      </c>
      <c r="D72" s="39"/>
      <c r="E72" s="39"/>
      <c r="F72" s="39">
        <f>NAV!E25</f>
        <v>11.5</v>
      </c>
      <c r="G72" s="39">
        <f t="shared" ref="G72" si="47">SUM(D72:F72)</f>
        <v>11.5</v>
      </c>
      <c r="Y72" s="45">
        <f>F72</f>
        <v>11.5</v>
      </c>
      <c r="Z72" s="45"/>
      <c r="AA72" s="45"/>
    </row>
    <row r="73" spans="2:31" x14ac:dyDescent="0.2">
      <c r="B73" s="32" t="str">
        <f>NAV!B26</f>
        <v xml:space="preserve">eSpace </v>
      </c>
      <c r="C73" s="33">
        <f t="shared" si="46"/>
        <v>45351</v>
      </c>
      <c r="D73" s="40"/>
      <c r="E73" s="40"/>
      <c r="F73" s="40">
        <f>NAV!E26</f>
        <v>20.888121539999997</v>
      </c>
      <c r="G73" s="40">
        <f t="shared" ref="G73" si="48">SUM(D73:F73)</f>
        <v>20.888121539999997</v>
      </c>
      <c r="Y73" s="45"/>
      <c r="Z73" s="45">
        <f>G73</f>
        <v>20.888121539999997</v>
      </c>
      <c r="AA73" s="45"/>
    </row>
    <row r="74" spans="2:31" x14ac:dyDescent="0.2">
      <c r="B74" s="30" t="str">
        <f>NAV!B27</f>
        <v>Tools for Humanity Corporation</v>
      </c>
      <c r="C74" s="31">
        <f t="shared" si="46"/>
        <v>45351</v>
      </c>
      <c r="D74" s="39"/>
      <c r="E74" s="39"/>
      <c r="F74" s="39">
        <f ca="1">NAV!E27</f>
        <v>14.999998939999999</v>
      </c>
      <c r="G74" s="39">
        <f t="shared" ref="G74" ca="1" si="49">SUM(D74:F74)</f>
        <v>14.999998939999999</v>
      </c>
      <c r="Y74" s="45"/>
      <c r="Z74" s="45"/>
      <c r="AA74" s="45">
        <f ca="1">G74</f>
        <v>14.999998939999999</v>
      </c>
    </row>
    <row r="75" spans="2:31" x14ac:dyDescent="0.2">
      <c r="B75" s="32" t="str">
        <f>NAV!B28</f>
        <v>WLD Tokens</v>
      </c>
      <c r="C75" s="33">
        <f t="shared" si="46"/>
        <v>45351</v>
      </c>
      <c r="D75" s="40"/>
      <c r="E75" s="40"/>
      <c r="F75" s="40">
        <f ca="1">NAV!E28</f>
        <v>15</v>
      </c>
      <c r="G75" s="40">
        <f t="shared" ref="G75" ca="1" si="50">SUM(D75:F75)</f>
        <v>15</v>
      </c>
      <c r="Y75" s="45"/>
      <c r="Z75" s="45"/>
      <c r="AB75" s="45">
        <f ca="1">G75</f>
        <v>15</v>
      </c>
      <c r="AC75" s="45"/>
      <c r="AD75" s="45"/>
      <c r="AE75" s="45"/>
    </row>
    <row r="76" spans="2:31" x14ac:dyDescent="0.2">
      <c r="B76" s="30" t="str">
        <f>NAV!B29</f>
        <v>E-line Ventures LLC</v>
      </c>
      <c r="C76" s="31">
        <f t="shared" si="46"/>
        <v>45351</v>
      </c>
      <c r="D76" s="39"/>
      <c r="E76" s="39"/>
      <c r="F76" s="39">
        <f ca="1">NAV!E29</f>
        <v>6</v>
      </c>
      <c r="G76" s="39">
        <f t="shared" ref="G76" ca="1" si="51">SUM(D76:F76)</f>
        <v>6</v>
      </c>
      <c r="Y76" s="45"/>
      <c r="Z76" s="45"/>
      <c r="AC76" s="45">
        <f ca="1">G76</f>
        <v>6</v>
      </c>
      <c r="AD76" s="45"/>
      <c r="AE76" s="45"/>
    </row>
    <row r="77" spans="2:31" x14ac:dyDescent="0.2">
      <c r="B77" s="32" t="str">
        <f>NAV!B30</f>
        <v>School Hack (AIREV Holding Limited)</v>
      </c>
      <c r="C77" s="33">
        <f t="shared" si="46"/>
        <v>45351</v>
      </c>
      <c r="D77" s="40"/>
      <c r="E77" s="40"/>
      <c r="F77" s="40">
        <f ca="1">NAV!E30</f>
        <v>2.5</v>
      </c>
      <c r="G77" s="40">
        <f t="shared" ref="G77" ca="1" si="52">SUM(D77:F77)</f>
        <v>2.5</v>
      </c>
      <c r="Y77" s="45"/>
      <c r="Z77" s="45"/>
      <c r="AC77" s="45"/>
      <c r="AD77" s="45">
        <f ca="1">G77</f>
        <v>2.5</v>
      </c>
      <c r="AE77" s="45"/>
    </row>
    <row r="78" spans="2:31" x14ac:dyDescent="0.2">
      <c r="B78" s="30" t="str">
        <f>NAV!B31</f>
        <v>Life Biosciences LLC</v>
      </c>
      <c r="C78" s="31">
        <f t="shared" si="46"/>
        <v>45351</v>
      </c>
      <c r="D78" s="39"/>
      <c r="E78" s="39"/>
      <c r="F78" s="39">
        <f>NAV!E31</f>
        <v>20</v>
      </c>
      <c r="G78" s="39">
        <f t="shared" ref="G78" si="53">SUM(D78:F78)</f>
        <v>20</v>
      </c>
      <c r="Y78" s="45"/>
      <c r="Z78" s="45"/>
      <c r="AC78" s="45"/>
      <c r="AD78" s="45"/>
      <c r="AE78" s="45">
        <f>F78</f>
        <v>20</v>
      </c>
    </row>
    <row r="80" spans="2:31" x14ac:dyDescent="0.2">
      <c r="H80" s="372"/>
      <c r="I80" s="373"/>
      <c r="J80" s="373"/>
      <c r="K80" s="373"/>
      <c r="L80" s="373"/>
      <c r="M80" s="373"/>
      <c r="N80" s="373"/>
      <c r="O80" s="373"/>
      <c r="P80" s="373"/>
      <c r="Q80" s="373"/>
      <c r="R80" s="373"/>
      <c r="S80" s="373"/>
      <c r="T80" s="373"/>
      <c r="U80" s="373"/>
      <c r="V80" s="373"/>
      <c r="W80" s="373"/>
      <c r="X80" s="373"/>
      <c r="Y80" s="372"/>
      <c r="Z80" s="372"/>
      <c r="AA80" s="372"/>
      <c r="AB80" s="372"/>
      <c r="AC80" s="372"/>
      <c r="AD80" s="372"/>
      <c r="AE80" s="372"/>
    </row>
    <row r="81" spans="7:31" x14ac:dyDescent="0.2">
      <c r="I81" s="34" t="s">
        <v>24</v>
      </c>
      <c r="J81" s="110" t="str">
        <f>IF(ISERROR(XIRR(J10:J77,$C$10:$C$77)),"NM", XIRR(J10:J77,$C$10:$C$77))</f>
        <v>NM</v>
      </c>
      <c r="K81" s="110" t="str">
        <f>IF(ISERROR(XIRR(K13:K77,$C$13:$C$77)),"NM", XIRR(K13:K77,$C$13:$C$77))</f>
        <v>NM</v>
      </c>
      <c r="L81" s="110">
        <f>IF(ISERROR(XIRR(L14:L77,$C$14:$C$77)),"NM", XIRR(L14:L77,$C$14:$C$77))</f>
        <v>0.58568407893180863</v>
      </c>
      <c r="M81" s="110">
        <f>IF(ISERROR(XIRR(M16:M77,$C$16:$C$77)),"NM", XIRR(M16:M77,$C$16:$C$77))</f>
        <v>0.36091765761375438</v>
      </c>
      <c r="N81" s="110">
        <f>IF(ISERROR(XIRR(N17:N77,$C$17:$C$77)),"NM", XIRR(N17:N77,$C$17:$C$77))</f>
        <v>2.8967589139938356E-3</v>
      </c>
      <c r="O81" s="110">
        <f>IF(ISERROR(XIRR(O21:O77,$C$21:$C$77)),"NM", XIRR(O21:O77,$C$21:$C$77))</f>
        <v>-0.15868046693503857</v>
      </c>
      <c r="P81" s="110">
        <f>IF(ISERROR(XIRR(P26:P77,$C$26:$C$77)),"NM", XIRR(P26:P77,$C$26:$C$77))</f>
        <v>0.32075323462486283</v>
      </c>
      <c r="Q81" s="110">
        <f>IF(ISERROR(XIRR(Q27:Q77,$C$27:$C$77)),"NM", XIRR(Q27:Q77,$C$27:$C$77))</f>
        <v>9.8824506998062139E-2</v>
      </c>
      <c r="R81" s="110">
        <f>IF(ISERROR(XIRR(R28:R77,$C$28:$C$77)),"NM", XIRR(R28:R77,$C$28:$C$77))</f>
        <v>2.9802322387695314E-9</v>
      </c>
      <c r="S81" s="110">
        <f>IF(ISERROR(XIRR(S29:S77,$C$29:$C$77)),"NM", XIRR(S29:S77,$C$29:$C$77))</f>
        <v>2.9802322387695314E-9</v>
      </c>
      <c r="T81" s="110">
        <f>IF(ISERROR(XIRR(T30:T77,$C$30:$C$77)),"NM", XIRR(T30:T77,$C$30:$C$77))</f>
        <v>0.32803497910499579</v>
      </c>
      <c r="U81" s="110">
        <f>IF(ISERROR(XIRR(U31:U77,$C$31:$C$77)),"NM", XIRR(U31:U77,$C$31:$C$77))</f>
        <v>-0.10752884335815904</v>
      </c>
      <c r="V81" s="47">
        <f>IF(ISERROR(XIRR(V32:V77,$C$32:$C$77)),"NM", XIRR(V32:V77,$C$32:$C$77))</f>
        <v>2.9802322387695314E-9</v>
      </c>
      <c r="W81" s="503">
        <f>IF(ISERROR(XIRR(W35:W77,$C$35:$C$77)),"NM", XIRR(W35:W77,$C$35:$C$77))</f>
        <v>-0.72717607580125321</v>
      </c>
      <c r="X81" s="110">
        <f>IF(ISERROR(XIRR(X36:X77,$C$36:$C$77)),"NM", XIRR(X36:X77,$C$36:$C$77))</f>
        <v>2.9359251260757451E-3</v>
      </c>
      <c r="Y81" s="47">
        <f>IF(ISERROR(XIRR(Y38:Y77,$C$38:$C$77)),"NM", XIRR(Y38:Y77,$C$38:$C$77))</f>
        <v>2.9802322387695314E-9</v>
      </c>
      <c r="Z81" s="47">
        <f>IF(ISERROR(XIRR(Z39:Z77,$C$39:$C$77)),"NM", XIRR(Z39:Z77,$C$39:$C$77))</f>
        <v>0.30123946070671093</v>
      </c>
      <c r="AA81" s="47">
        <f ca="1">IF(ISERROR(XIRR(AA41:AA77,$C$41:$C$77)),"NM", XIRR(AA41:AA77,$C$41:$C$77))</f>
        <v>2.9802322387695314E-9</v>
      </c>
      <c r="AB81" s="47" t="str">
        <f ca="1">IF(ISERROR(XIRR(AB42:AB77,$C$42:$C$77)),"NM", XIRR(AB42:AB77,$C$42:$C$77))</f>
        <v>NM</v>
      </c>
      <c r="AC81" s="47" t="s">
        <v>384</v>
      </c>
      <c r="AD81" s="47" t="s">
        <v>384</v>
      </c>
      <c r="AE81" s="47" t="s">
        <v>384</v>
      </c>
    </row>
    <row r="82" spans="7:31" x14ac:dyDescent="0.2">
      <c r="G82" s="425"/>
      <c r="H82" s="370" t="b">
        <f ca="1">SUM(J82:AF82)='S | 01 '!K32</f>
        <v>1</v>
      </c>
      <c r="I82" s="34" t="s">
        <v>341</v>
      </c>
      <c r="J82" s="45">
        <f>-SUMIF(J$10:J$55,"&lt;0",J$10:J$55)</f>
        <v>65</v>
      </c>
      <c r="K82" s="45">
        <f t="shared" ref="K82:AE82" si="54">-SUMIF(K$10:K$55,"&lt;0",K$10:K$55)</f>
        <v>8</v>
      </c>
      <c r="L82" s="45">
        <f t="shared" si="54"/>
        <v>10</v>
      </c>
      <c r="M82" s="45">
        <f t="shared" si="54"/>
        <v>2.5</v>
      </c>
      <c r="N82" s="45">
        <f t="shared" si="54"/>
        <v>90</v>
      </c>
      <c r="O82" s="45">
        <f t="shared" si="54"/>
        <v>141.4702596743665</v>
      </c>
      <c r="P82" s="45">
        <f t="shared" si="54"/>
        <v>60</v>
      </c>
      <c r="Q82" s="45">
        <f t="shared" si="54"/>
        <v>20</v>
      </c>
      <c r="R82" s="45">
        <f t="shared" si="54"/>
        <v>39.999983359999995</v>
      </c>
      <c r="S82" s="45">
        <f t="shared" si="54"/>
        <v>8</v>
      </c>
      <c r="T82" s="45">
        <f t="shared" si="54"/>
        <v>5.0237201984774336</v>
      </c>
      <c r="U82" s="45">
        <f t="shared" si="54"/>
        <v>493.50095619999996</v>
      </c>
      <c r="V82" s="45">
        <f t="shared" si="54"/>
        <v>300</v>
      </c>
      <c r="W82" s="45">
        <f t="shared" si="54"/>
        <v>24.53125</v>
      </c>
      <c r="X82" s="45">
        <f t="shared" si="54"/>
        <v>800</v>
      </c>
      <c r="Y82" s="45">
        <f t="shared" si="54"/>
        <v>11.5</v>
      </c>
      <c r="Z82" s="45">
        <f t="shared" si="54"/>
        <v>15</v>
      </c>
      <c r="AA82" s="45">
        <f t="shared" si="54"/>
        <v>14.999998939999999</v>
      </c>
      <c r="AB82" s="45">
        <f t="shared" si="54"/>
        <v>6.875E-3</v>
      </c>
      <c r="AC82" s="45">
        <f t="shared" si="54"/>
        <v>6</v>
      </c>
      <c r="AD82" s="45">
        <f t="shared" si="54"/>
        <v>2.5</v>
      </c>
      <c r="AE82" s="45">
        <f t="shared" si="54"/>
        <v>20</v>
      </c>
    </row>
    <row r="83" spans="7:31" x14ac:dyDescent="0.2">
      <c r="G83" s="504"/>
      <c r="H83" s="370" t="b">
        <f ca="1">ROUND(SUM(J83:Z83),2)=ROUND('S | 01 '!M32,2)</f>
        <v>1</v>
      </c>
      <c r="I83" s="34" t="s">
        <v>343</v>
      </c>
      <c r="J83" s="45">
        <f>SUMIF(J$10:J$55,"&gt;0",J$10:J$55)</f>
        <v>0</v>
      </c>
      <c r="K83" s="45">
        <f t="shared" ref="K83:AE83" si="55">SUMIF(K$10:K$55,"&gt;0",K$10:K$55)</f>
        <v>0</v>
      </c>
      <c r="L83" s="45">
        <f t="shared" si="55"/>
        <v>0</v>
      </c>
      <c r="M83" s="45">
        <f t="shared" si="55"/>
        <v>5</v>
      </c>
      <c r="N83" s="45">
        <f t="shared" si="55"/>
        <v>0</v>
      </c>
      <c r="O83" s="45">
        <f t="shared" si="55"/>
        <v>0</v>
      </c>
      <c r="P83" s="45">
        <f t="shared" si="55"/>
        <v>0</v>
      </c>
      <c r="Q83" s="45">
        <f t="shared" si="55"/>
        <v>24.5</v>
      </c>
      <c r="R83" s="45">
        <f t="shared" si="55"/>
        <v>0</v>
      </c>
      <c r="S83" s="45">
        <f t="shared" si="55"/>
        <v>0</v>
      </c>
      <c r="T83" s="45">
        <f t="shared" si="55"/>
        <v>7.9421925299999989</v>
      </c>
      <c r="U83" s="45">
        <f t="shared" si="55"/>
        <v>403</v>
      </c>
      <c r="V83" s="45">
        <f t="shared" si="55"/>
        <v>0</v>
      </c>
      <c r="W83" s="45">
        <f t="shared" si="55"/>
        <v>0</v>
      </c>
      <c r="X83" s="45">
        <f t="shared" si="55"/>
        <v>802.8</v>
      </c>
      <c r="Y83" s="45">
        <f t="shared" si="55"/>
        <v>0</v>
      </c>
      <c r="Z83" s="45">
        <f t="shared" si="55"/>
        <v>0</v>
      </c>
      <c r="AA83" s="45">
        <f t="shared" si="55"/>
        <v>0</v>
      </c>
      <c r="AB83" s="45">
        <f t="shared" si="55"/>
        <v>0</v>
      </c>
      <c r="AC83" s="45">
        <f t="shared" si="55"/>
        <v>0</v>
      </c>
      <c r="AD83" s="45">
        <f t="shared" si="55"/>
        <v>0</v>
      </c>
      <c r="AE83" s="45">
        <f t="shared" si="55"/>
        <v>0</v>
      </c>
    </row>
    <row r="84" spans="7:31" x14ac:dyDescent="0.2">
      <c r="G84" s="504"/>
      <c r="H84" s="371" t="b">
        <f ca="1">ROUND(SUM(J84:AF84),2)=ROUND('S | 01 '!N32,2)</f>
        <v>1</v>
      </c>
      <c r="I84" s="34" t="s">
        <v>342</v>
      </c>
      <c r="J84" s="45">
        <f>SUM(J$57:J$77)</f>
        <v>0</v>
      </c>
      <c r="K84" s="45">
        <f t="shared" ref="K84:AE84" si="56">SUM(K$57:K$77)</f>
        <v>0</v>
      </c>
      <c r="L84" s="45">
        <f t="shared" si="56"/>
        <v>78.082229999999996</v>
      </c>
      <c r="M84" s="45">
        <f t="shared" si="56"/>
        <v>0</v>
      </c>
      <c r="N84" s="45">
        <f t="shared" si="56"/>
        <v>91.001540300000002</v>
      </c>
      <c r="O84" s="45">
        <f t="shared" si="56"/>
        <v>74.432454495000002</v>
      </c>
      <c r="P84" s="45">
        <f>SUM(P$57:P$78)</f>
        <v>148.0498412781194</v>
      </c>
      <c r="Q84" s="45">
        <f>SUM(Q$57:Q$78)</f>
        <v>0</v>
      </c>
      <c r="R84" s="45">
        <f>SUM(R$57:R$78)</f>
        <v>39.999983359999995</v>
      </c>
      <c r="S84" s="45">
        <f>SUM(S$57:S$78)</f>
        <v>8</v>
      </c>
      <c r="T84" s="45">
        <f>SUM(T$57:T$78)</f>
        <v>0</v>
      </c>
      <c r="U84" s="45">
        <f>SUM(U$57:U$78)</f>
        <v>0</v>
      </c>
      <c r="V84" s="45">
        <f>SUM(V$57:V$78)</f>
        <v>300</v>
      </c>
      <c r="W84" s="45">
        <f>SUM(W$57:W$78)</f>
        <v>4.5569803500000008</v>
      </c>
      <c r="X84" s="45">
        <f>SUM(X$57:X$78)</f>
        <v>0</v>
      </c>
      <c r="Y84" s="45">
        <f>SUM(Y$57:Y$78)</f>
        <v>11.5</v>
      </c>
      <c r="Z84" s="45">
        <f>SUM(Z$57:Z$78)</f>
        <v>20.888121539999997</v>
      </c>
      <c r="AA84" s="45">
        <f ca="1">SUM(AA$57:AA$78)</f>
        <v>14.999998939999999</v>
      </c>
      <c r="AB84" s="45">
        <f ca="1">SUM(AB$57:AB$78)</f>
        <v>15</v>
      </c>
      <c r="AC84" s="45">
        <f ca="1">SUM(AC$57:AC$78)</f>
        <v>6</v>
      </c>
      <c r="AD84" s="45">
        <f ca="1">SUM(AD$57:AD$78)</f>
        <v>2.5</v>
      </c>
      <c r="AE84" s="45">
        <f>SUM(AE$57:AE$78)</f>
        <v>20</v>
      </c>
    </row>
    <row r="85" spans="7:31" x14ac:dyDescent="0.2">
      <c r="H85" s="29"/>
      <c r="I85" s="34" t="s">
        <v>34</v>
      </c>
      <c r="J85" s="46">
        <f>(J83+J84)/J82</f>
        <v>0</v>
      </c>
      <c r="K85" s="46">
        <f t="shared" ref="K85:Z85" si="57">(K83+K84)/K82</f>
        <v>0</v>
      </c>
      <c r="L85" s="46">
        <f t="shared" si="57"/>
        <v>7.8082229999999999</v>
      </c>
      <c r="M85" s="46">
        <f t="shared" si="57"/>
        <v>2</v>
      </c>
      <c r="N85" s="46">
        <f t="shared" si="57"/>
        <v>1.0111282255555556</v>
      </c>
      <c r="O85" s="46">
        <f t="shared" si="57"/>
        <v>0.52613499590887292</v>
      </c>
      <c r="P85" s="46">
        <f t="shared" si="57"/>
        <v>2.4674973546353232</v>
      </c>
      <c r="Q85" s="46">
        <f t="shared" si="57"/>
        <v>1.2250000000000001</v>
      </c>
      <c r="R85" s="46">
        <f t="shared" si="57"/>
        <v>1</v>
      </c>
      <c r="S85" s="46">
        <f t="shared" si="57"/>
        <v>1</v>
      </c>
      <c r="T85" s="46">
        <f t="shared" si="57"/>
        <v>1.5809384711368046</v>
      </c>
      <c r="U85" s="46">
        <f t="shared" si="57"/>
        <v>0.81661442584252486</v>
      </c>
      <c r="V85" s="46">
        <f t="shared" si="57"/>
        <v>1</v>
      </c>
      <c r="W85" s="46">
        <f t="shared" si="57"/>
        <v>0.18576225630573251</v>
      </c>
      <c r="X85" s="46">
        <f t="shared" si="57"/>
        <v>1.0034999999999998</v>
      </c>
      <c r="Y85" s="46">
        <f t="shared" si="57"/>
        <v>1</v>
      </c>
      <c r="Z85" s="46">
        <f t="shared" si="57"/>
        <v>1.3925414359999997</v>
      </c>
      <c r="AA85" s="46">
        <f t="shared" ref="AA85:AB85" ca="1" si="58">(AA83+AA84)/AA82</f>
        <v>1</v>
      </c>
      <c r="AB85" s="46">
        <f t="shared" ca="1" si="58"/>
        <v>2181.818181818182</v>
      </c>
      <c r="AC85" s="46">
        <f t="shared" ref="AC85:AD85" ca="1" si="59">(AC83+AC84)/AC82</f>
        <v>1</v>
      </c>
      <c r="AD85" s="46">
        <f t="shared" ca="1" si="59"/>
        <v>1</v>
      </c>
      <c r="AE85" s="46">
        <f t="shared" ref="AE85" si="60">(AE83+AE84)/AE82</f>
        <v>1</v>
      </c>
    </row>
    <row r="86" spans="7:31" x14ac:dyDescent="0.2">
      <c r="H86" s="29"/>
      <c r="I86" s="34" t="s">
        <v>97</v>
      </c>
      <c r="J86" s="46">
        <f>J83/J82</f>
        <v>0</v>
      </c>
      <c r="K86" s="46">
        <f t="shared" ref="K86:Z86" si="61">K83/K82</f>
        <v>0</v>
      </c>
      <c r="L86" s="46">
        <f t="shared" si="61"/>
        <v>0</v>
      </c>
      <c r="M86" s="46">
        <f t="shared" si="61"/>
        <v>2</v>
      </c>
      <c r="N86" s="46">
        <f t="shared" si="61"/>
        <v>0</v>
      </c>
      <c r="O86" s="46">
        <f t="shared" si="61"/>
        <v>0</v>
      </c>
      <c r="P86" s="46">
        <f t="shared" si="61"/>
        <v>0</v>
      </c>
      <c r="Q86" s="46">
        <f t="shared" si="61"/>
        <v>1.2250000000000001</v>
      </c>
      <c r="R86" s="46">
        <f t="shared" si="61"/>
        <v>0</v>
      </c>
      <c r="S86" s="46">
        <f t="shared" si="61"/>
        <v>0</v>
      </c>
      <c r="T86" s="46">
        <f t="shared" si="61"/>
        <v>1.5809384711368046</v>
      </c>
      <c r="U86" s="46">
        <f t="shared" si="61"/>
        <v>0.81661442584252486</v>
      </c>
      <c r="V86" s="46">
        <f t="shared" si="61"/>
        <v>0</v>
      </c>
      <c r="W86" s="46">
        <f t="shared" si="61"/>
        <v>0</v>
      </c>
      <c r="X86" s="46">
        <f t="shared" si="61"/>
        <v>1.0034999999999998</v>
      </c>
      <c r="Y86" s="46">
        <f t="shared" si="61"/>
        <v>0</v>
      </c>
      <c r="Z86" s="46">
        <f t="shared" si="61"/>
        <v>0</v>
      </c>
      <c r="AA86" s="46">
        <f t="shared" ref="AA86:AB86" si="62">AA83/AA82</f>
        <v>0</v>
      </c>
      <c r="AB86" s="46">
        <f t="shared" si="62"/>
        <v>0</v>
      </c>
      <c r="AC86" s="46">
        <f t="shared" ref="AC86:AD86" si="63">AC83/AC82</f>
        <v>0</v>
      </c>
      <c r="AD86" s="46">
        <f t="shared" si="63"/>
        <v>0</v>
      </c>
      <c r="AE86" s="46">
        <f t="shared" ref="AE86" si="64">AE83/AE82</f>
        <v>0</v>
      </c>
    </row>
    <row r="87" spans="7:31" x14ac:dyDescent="0.2">
      <c r="H87" s="29"/>
      <c r="I87" s="34" t="s">
        <v>98</v>
      </c>
      <c r="J87" s="46">
        <f>J84/J82</f>
        <v>0</v>
      </c>
      <c r="K87" s="46">
        <f t="shared" ref="K87:Z87" si="65">K84/K82</f>
        <v>0</v>
      </c>
      <c r="L87" s="46">
        <f t="shared" si="65"/>
        <v>7.8082229999999999</v>
      </c>
      <c r="M87" s="46">
        <f t="shared" si="65"/>
        <v>0</v>
      </c>
      <c r="N87" s="46">
        <f t="shared" si="65"/>
        <v>1.0111282255555556</v>
      </c>
      <c r="O87" s="46">
        <f t="shared" si="65"/>
        <v>0.52613499590887292</v>
      </c>
      <c r="P87" s="46">
        <f t="shared" si="65"/>
        <v>2.4674973546353232</v>
      </c>
      <c r="Q87" s="46">
        <f t="shared" si="65"/>
        <v>0</v>
      </c>
      <c r="R87" s="46">
        <f t="shared" si="65"/>
        <v>1</v>
      </c>
      <c r="S87" s="46">
        <f t="shared" si="65"/>
        <v>1</v>
      </c>
      <c r="T87" s="46">
        <f t="shared" si="65"/>
        <v>0</v>
      </c>
      <c r="U87" s="46">
        <f t="shared" si="65"/>
        <v>0</v>
      </c>
      <c r="V87" s="46">
        <f t="shared" si="65"/>
        <v>1</v>
      </c>
      <c r="W87" s="46">
        <f t="shared" si="65"/>
        <v>0.18576225630573251</v>
      </c>
      <c r="X87" s="46">
        <f t="shared" si="65"/>
        <v>0</v>
      </c>
      <c r="Y87" s="46">
        <f t="shared" si="65"/>
        <v>1</v>
      </c>
      <c r="Z87" s="46">
        <f t="shared" si="65"/>
        <v>1.3925414359999997</v>
      </c>
      <c r="AA87" s="46">
        <f t="shared" ref="AA87:AB87" ca="1" si="66">AA84/AA82</f>
        <v>1</v>
      </c>
      <c r="AB87" s="46">
        <f t="shared" ca="1" si="66"/>
        <v>2181.818181818182</v>
      </c>
      <c r="AC87" s="46">
        <f t="shared" ref="AC87:AD87" ca="1" si="67">AC84/AC82</f>
        <v>1</v>
      </c>
      <c r="AD87" s="46">
        <f t="shared" ca="1" si="67"/>
        <v>1</v>
      </c>
      <c r="AE87" s="46">
        <f t="shared" ref="AE87" si="68">AE84/AE82</f>
        <v>1</v>
      </c>
    </row>
    <row r="88" spans="7:31" x14ac:dyDescent="0.2">
      <c r="H88" s="29"/>
      <c r="J88" s="46"/>
      <c r="K88" s="46"/>
      <c r="L88" s="46"/>
      <c r="M88" s="46"/>
      <c r="N88" s="46"/>
      <c r="O88" s="46"/>
      <c r="P88" s="46"/>
      <c r="Q88" s="46"/>
      <c r="R88" s="46"/>
      <c r="S88" s="46"/>
      <c r="T88" s="46"/>
      <c r="U88" s="46"/>
      <c r="V88" s="46"/>
      <c r="W88" s="46"/>
      <c r="X88" s="46"/>
      <c r="Y88" s="46"/>
      <c r="Z88" s="46"/>
      <c r="AA88" s="46"/>
    </row>
    <row r="89" spans="7:31" x14ac:dyDescent="0.2">
      <c r="H89" s="29"/>
      <c r="J89" s="46"/>
      <c r="K89" s="46"/>
      <c r="L89" s="46"/>
      <c r="M89" s="46"/>
      <c r="N89" s="46"/>
      <c r="O89" s="46"/>
      <c r="P89" s="46"/>
      <c r="Q89" s="46"/>
      <c r="R89" s="46"/>
      <c r="S89" s="46"/>
      <c r="T89" s="46"/>
      <c r="U89" s="46"/>
      <c r="V89" s="46"/>
      <c r="W89" s="46"/>
      <c r="X89" s="46"/>
      <c r="Y89" s="46"/>
      <c r="Z89" s="46"/>
      <c r="AA89" s="46"/>
    </row>
    <row r="90" spans="7:31" x14ac:dyDescent="0.2">
      <c r="H90" s="29"/>
      <c r="J90" s="46"/>
      <c r="K90" s="46"/>
      <c r="L90" s="46"/>
      <c r="M90" s="46"/>
      <c r="N90" s="46"/>
      <c r="O90" s="46"/>
      <c r="P90" s="46"/>
      <c r="Q90" s="46"/>
      <c r="R90" s="46"/>
      <c r="S90" s="46"/>
      <c r="T90" s="46"/>
      <c r="U90" s="46"/>
      <c r="V90" s="46"/>
      <c r="W90" s="46"/>
      <c r="X90" s="46"/>
      <c r="Y90" s="46"/>
      <c r="Z90" s="46"/>
      <c r="AA90" s="46"/>
    </row>
    <row r="91" spans="7:31" x14ac:dyDescent="0.2">
      <c r="H91" s="29"/>
      <c r="J91" s="46"/>
      <c r="K91" s="46"/>
      <c r="L91" s="46"/>
      <c r="M91" s="46"/>
      <c r="N91" s="46"/>
      <c r="O91" s="46"/>
      <c r="P91" s="46"/>
      <c r="Q91" s="46"/>
      <c r="R91" s="46"/>
      <c r="S91" s="46"/>
      <c r="T91" s="46"/>
      <c r="U91" s="46"/>
      <c r="V91" s="46"/>
      <c r="W91" s="46"/>
      <c r="X91" s="46"/>
      <c r="Y91" s="46"/>
      <c r="Z91" s="46"/>
      <c r="AA91" s="46"/>
    </row>
    <row r="92" spans="7:31" x14ac:dyDescent="0.2">
      <c r="J92" s="46"/>
      <c r="K92" s="46"/>
      <c r="L92" s="46"/>
      <c r="M92" s="46"/>
      <c r="N92" s="46"/>
      <c r="O92" s="46"/>
      <c r="P92" s="46"/>
      <c r="Q92" s="46"/>
      <c r="R92" s="46"/>
      <c r="S92" s="46"/>
      <c r="T92" s="46"/>
      <c r="U92" s="46"/>
      <c r="V92" s="46"/>
      <c r="W92" s="46"/>
      <c r="X92" s="46"/>
      <c r="Y92" s="46"/>
      <c r="Z92" s="46"/>
      <c r="AA92" s="46"/>
    </row>
    <row r="93" spans="7:31" x14ac:dyDescent="0.2">
      <c r="J93" s="46"/>
      <c r="K93" s="46"/>
      <c r="L93" s="46"/>
      <c r="M93" s="46"/>
      <c r="N93" s="46"/>
      <c r="O93" s="46"/>
      <c r="P93" s="46"/>
      <c r="Q93" s="46"/>
      <c r="R93" s="46"/>
      <c r="S93" s="46"/>
      <c r="T93" s="46"/>
      <c r="U93" s="46"/>
      <c r="V93" s="46"/>
      <c r="W93" s="46"/>
      <c r="X93" s="46"/>
      <c r="Y93" s="46"/>
      <c r="Z93" s="46"/>
      <c r="AA93" s="46"/>
    </row>
    <row r="94" spans="7:31" x14ac:dyDescent="0.2">
      <c r="J94" s="46"/>
      <c r="K94" s="46"/>
      <c r="L94" s="46"/>
      <c r="M94" s="46"/>
      <c r="N94" s="46"/>
      <c r="O94" s="46"/>
      <c r="P94" s="46"/>
      <c r="Q94" s="46"/>
      <c r="R94" s="46"/>
      <c r="S94" s="46"/>
      <c r="T94" s="46"/>
      <c r="U94" s="46"/>
      <c r="V94" s="46"/>
      <c r="W94" s="46"/>
      <c r="X94" s="46"/>
      <c r="Y94" s="46"/>
      <c r="Z94" s="46"/>
      <c r="AA94" s="46"/>
    </row>
    <row r="95" spans="7:31" x14ac:dyDescent="0.2">
      <c r="J95" s="46"/>
      <c r="K95" s="46"/>
      <c r="L95" s="46"/>
      <c r="M95" s="46"/>
      <c r="N95" s="46"/>
      <c r="O95" s="46"/>
      <c r="P95" s="46"/>
      <c r="Q95" s="46"/>
      <c r="R95" s="46"/>
      <c r="S95" s="46"/>
      <c r="T95" s="46"/>
      <c r="U95" s="46"/>
      <c r="V95" s="46"/>
      <c r="W95" s="46"/>
      <c r="X95" s="46"/>
      <c r="Y95" s="46"/>
      <c r="Z95" s="46"/>
      <c r="AA95" s="46"/>
    </row>
  </sheetData>
  <pageMargins left="0.7" right="0.7" top="0.75" bottom="0.75" header="0.3" footer="0.3"/>
  <pageSetup paperSize="9" orientation="portrait" verticalDpi="0" r:id="rId1"/>
  <ignoredErrors>
    <ignoredError sqref="G10:G36" formulaRange="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63B2E-A46F-4CF4-B197-AA53D41F9E76}">
  <sheetPr>
    <tabColor theme="4" tint="-0.499984740745262"/>
  </sheetPr>
  <dimension ref="B1:Y34"/>
  <sheetViews>
    <sheetView zoomScale="70" zoomScaleNormal="70" workbookViewId="0">
      <selection activeCell="I38" sqref="I38"/>
    </sheetView>
  </sheetViews>
  <sheetFormatPr defaultColWidth="9.140625" defaultRowHeight="12.75" x14ac:dyDescent="0.2"/>
  <cols>
    <col min="1" max="1" width="3.42578125" style="71" customWidth="1"/>
    <col min="2" max="2" width="29.140625" style="71" customWidth="1"/>
    <col min="3" max="3" width="16" style="81" customWidth="1"/>
    <col min="4" max="4" width="12.85546875" style="71" bestFit="1" customWidth="1"/>
    <col min="5" max="5" width="12.42578125" style="71" bestFit="1" customWidth="1"/>
    <col min="6" max="6" width="14" style="71" bestFit="1" customWidth="1"/>
    <col min="7" max="7" width="9.85546875" style="71" bestFit="1" customWidth="1"/>
    <col min="8" max="8" width="6.42578125" style="71" customWidth="1"/>
    <col min="9" max="9" width="25.42578125" style="71" bestFit="1" customWidth="1"/>
    <col min="10" max="10" width="12" style="71" customWidth="1"/>
    <col min="11" max="11" width="12" style="71" bestFit="1" customWidth="1"/>
    <col min="12" max="13" width="14" style="71" bestFit="1" customWidth="1"/>
    <col min="14" max="14" width="9.85546875" style="71" bestFit="1" customWidth="1"/>
    <col min="15" max="15" width="4.7109375" style="71" customWidth="1"/>
    <col min="16" max="16" width="24.7109375" style="71" bestFit="1" customWidth="1"/>
    <col min="17" max="17" width="10.42578125" style="71" bestFit="1" customWidth="1"/>
    <col min="18" max="18" width="8.42578125" style="71" bestFit="1" customWidth="1"/>
    <col min="19" max="19" width="12" style="71" bestFit="1" customWidth="1"/>
    <col min="20" max="20" width="12.42578125" style="71" bestFit="1" customWidth="1"/>
    <col min="21" max="21" width="14" style="71" bestFit="1" customWidth="1"/>
    <col min="22" max="25" width="7.28515625" style="71" customWidth="1"/>
    <col min="26" max="16384" width="9.140625" style="71"/>
  </cols>
  <sheetData>
    <row r="1" spans="2:25" x14ac:dyDescent="0.2">
      <c r="J1" s="81"/>
      <c r="K1" s="81"/>
      <c r="L1" s="81"/>
      <c r="M1" s="81"/>
      <c r="N1" s="81"/>
    </row>
    <row r="2" spans="2:25" s="96" customFormat="1" ht="43.5" customHeight="1" x14ac:dyDescent="0.45">
      <c r="B2" s="215" t="s">
        <v>207</v>
      </c>
      <c r="C2" s="223"/>
      <c r="D2" s="216"/>
      <c r="E2" s="216"/>
      <c r="F2" s="223"/>
      <c r="G2" s="223"/>
      <c r="H2" s="223"/>
      <c r="I2" s="223"/>
      <c r="J2" s="217"/>
      <c r="K2" s="218"/>
      <c r="L2" s="217"/>
    </row>
    <row r="3" spans="2:25" ht="13.5" thickBot="1" x14ac:dyDescent="0.25">
      <c r="J3" s="81"/>
      <c r="K3" s="81"/>
      <c r="L3" s="81"/>
      <c r="M3" s="81"/>
      <c r="N3" s="81"/>
    </row>
    <row r="4" spans="2:25" ht="13.5" thickBot="1" x14ac:dyDescent="0.25">
      <c r="B4" s="158" t="s">
        <v>173</v>
      </c>
      <c r="C4" s="354">
        <f>D!D2</f>
        <v>45351</v>
      </c>
      <c r="I4" s="175" t="s">
        <v>344</v>
      </c>
      <c r="J4" s="176"/>
      <c r="K4" s="176"/>
      <c r="L4" s="176"/>
      <c r="M4" s="176"/>
      <c r="N4" s="176"/>
      <c r="O4" s="70"/>
      <c r="P4" s="175" t="s">
        <v>177</v>
      </c>
      <c r="Q4" s="176"/>
      <c r="R4" s="176"/>
      <c r="S4" s="176"/>
      <c r="T4" s="176"/>
      <c r="U4" s="176"/>
    </row>
    <row r="5" spans="2:25" x14ac:dyDescent="0.2">
      <c r="I5" s="175"/>
      <c r="J5" s="176"/>
      <c r="K5" s="176"/>
      <c r="L5" s="176"/>
      <c r="M5" s="176"/>
      <c r="N5" s="176"/>
      <c r="P5" s="175"/>
      <c r="Q5" s="176"/>
      <c r="R5" s="176"/>
      <c r="S5" s="176"/>
      <c r="T5" s="176"/>
      <c r="U5" s="176"/>
    </row>
    <row r="6" spans="2:25" x14ac:dyDescent="0.2">
      <c r="B6" s="178" t="s">
        <v>37</v>
      </c>
    </row>
    <row r="7" spans="2:25" ht="25.5" x14ac:dyDescent="0.2">
      <c r="B7" s="58" t="s">
        <v>5</v>
      </c>
      <c r="C7" s="68" t="s">
        <v>6</v>
      </c>
      <c r="D7" s="69" t="s">
        <v>183</v>
      </c>
      <c r="E7" s="69" t="s">
        <v>184</v>
      </c>
      <c r="F7" s="69" t="s">
        <v>161</v>
      </c>
      <c r="G7" s="69" t="s">
        <v>163</v>
      </c>
      <c r="I7" s="68"/>
      <c r="J7" s="68"/>
      <c r="K7" s="69" t="s">
        <v>96</v>
      </c>
      <c r="L7" s="69" t="s">
        <v>172</v>
      </c>
      <c r="M7" s="69" t="s">
        <v>161</v>
      </c>
      <c r="N7" s="69" t="s">
        <v>163</v>
      </c>
      <c r="P7" s="68"/>
      <c r="Q7" s="68" t="s">
        <v>32</v>
      </c>
      <c r="R7" s="69" t="s">
        <v>2</v>
      </c>
      <c r="S7" s="69" t="s">
        <v>51</v>
      </c>
      <c r="T7" s="69" t="s">
        <v>33</v>
      </c>
      <c r="U7" s="69" t="s">
        <v>161</v>
      </c>
      <c r="V7" s="69" t="s">
        <v>24</v>
      </c>
      <c r="W7" s="69" t="s">
        <v>34</v>
      </c>
      <c r="X7" s="69" t="s">
        <v>174</v>
      </c>
      <c r="Y7" s="69" t="s">
        <v>97</v>
      </c>
    </row>
    <row r="8" spans="2:25" x14ac:dyDescent="0.2">
      <c r="B8" s="71" t="s">
        <v>29</v>
      </c>
      <c r="J8" s="81"/>
      <c r="K8" s="81"/>
      <c r="L8" s="81"/>
      <c r="M8" s="81"/>
      <c r="N8" s="81"/>
      <c r="P8" s="149"/>
      <c r="V8" s="153"/>
    </row>
    <row r="9" spans="2:25" x14ac:dyDescent="0.2">
      <c r="B9" s="329" t="str">
        <f>'CF (Equity, Debt)'!C53</f>
        <v xml:space="preserve">Glass Earth Holdings LLC </v>
      </c>
      <c r="C9" s="64">
        <f>'CF (Equity, Debt)'!D53</f>
        <v>43635</v>
      </c>
      <c r="D9" s="62">
        <f>'CF (Equity, Debt)'!E53</f>
        <v>-8</v>
      </c>
      <c r="E9" s="62"/>
      <c r="F9" s="62"/>
      <c r="G9" s="62">
        <f t="shared" ref="G9:G11" si="0">SUM(D9:F9)</f>
        <v>-8</v>
      </c>
      <c r="I9" s="329" t="str">
        <f>B9</f>
        <v xml:space="preserve">Glass Earth Holdings LLC </v>
      </c>
      <c r="J9" s="64">
        <f>C9</f>
        <v>43635</v>
      </c>
      <c r="K9" s="62">
        <f>D9</f>
        <v>-8</v>
      </c>
      <c r="L9" s="62"/>
      <c r="M9" s="62"/>
      <c r="N9" s="62">
        <f>SUM(K9:M9)</f>
        <v>-8</v>
      </c>
      <c r="P9" s="151" t="s">
        <v>49</v>
      </c>
      <c r="Q9" s="150">
        <f>R9</f>
        <v>8</v>
      </c>
      <c r="R9" s="150">
        <f>-D9</f>
        <v>8</v>
      </c>
      <c r="S9" s="150">
        <v>0</v>
      </c>
      <c r="T9" s="150">
        <f>E9</f>
        <v>0</v>
      </c>
      <c r="U9" s="150">
        <f>F14</f>
        <v>0</v>
      </c>
      <c r="V9" s="174" t="str">
        <f>J12</f>
        <v>NM</v>
      </c>
      <c r="W9" s="164">
        <f>(T9+U9)/R9</f>
        <v>0</v>
      </c>
      <c r="X9" s="164">
        <f>U9/R9</f>
        <v>0</v>
      </c>
      <c r="Y9" s="164">
        <f>T9/R9</f>
        <v>0</v>
      </c>
    </row>
    <row r="10" spans="2:25" x14ac:dyDescent="0.2">
      <c r="B10" s="329" t="str">
        <f>'CF (Equity, Debt)'!C54</f>
        <v>Mena Mobile Inc (Debt)</v>
      </c>
      <c r="C10" s="64">
        <f>'CF (Equity, Debt)'!D54</f>
        <v>44293</v>
      </c>
      <c r="D10" s="62">
        <f>'CF (Equity, Debt)'!E54</f>
        <v>-2.3539819999999998</v>
      </c>
      <c r="E10" s="62"/>
      <c r="F10" s="62"/>
      <c r="G10" s="62">
        <f t="shared" si="0"/>
        <v>-2.3539819999999998</v>
      </c>
      <c r="I10" s="330" t="str">
        <f>B14</f>
        <v xml:space="preserve">Glass Earth Holdings LLC </v>
      </c>
      <c r="J10" s="66">
        <f>C14</f>
        <v>45351</v>
      </c>
      <c r="K10" s="67"/>
      <c r="L10" s="67"/>
      <c r="M10" s="67">
        <f>F14</f>
        <v>0</v>
      </c>
      <c r="N10" s="67">
        <f>SUM(K10:M10)</f>
        <v>0</v>
      </c>
      <c r="P10" s="151" t="s">
        <v>271</v>
      </c>
      <c r="Q10" s="150">
        <f>R10</f>
        <v>2.3539819999999998</v>
      </c>
      <c r="R10" s="150">
        <f>-D10</f>
        <v>2.3539819999999998</v>
      </c>
      <c r="S10" s="150">
        <v>0</v>
      </c>
      <c r="T10" s="150">
        <f>E10</f>
        <v>0</v>
      </c>
      <c r="U10" s="150">
        <f>F15</f>
        <v>0</v>
      </c>
      <c r="V10" s="174" t="str">
        <f>J22:J22</f>
        <v>NM</v>
      </c>
      <c r="W10" s="164">
        <f t="shared" ref="W10:W12" si="1">(T10+U10)/R10</f>
        <v>0</v>
      </c>
      <c r="X10" s="164">
        <f>U10/R10</f>
        <v>0</v>
      </c>
      <c r="Y10" s="164">
        <f>T10/R10</f>
        <v>0</v>
      </c>
    </row>
    <row r="11" spans="2:25" x14ac:dyDescent="0.2">
      <c r="B11" s="329" t="str">
        <f>'CF (Equity, Debt)'!C55</f>
        <v>Esyasoft Holding (Debt)</v>
      </c>
      <c r="C11" s="64">
        <f>'CF (Equity, Debt)'!D55</f>
        <v>44384</v>
      </c>
      <c r="D11" s="62">
        <f>'CF (Equity, Debt)'!E55</f>
        <v>-0.41176499999999999</v>
      </c>
      <c r="E11" s="62"/>
      <c r="F11" s="62"/>
      <c r="G11" s="62">
        <f t="shared" si="0"/>
        <v>-0.41176499999999999</v>
      </c>
      <c r="J11" s="81"/>
      <c r="K11" s="81"/>
      <c r="L11" s="81"/>
      <c r="M11" s="81"/>
      <c r="N11" s="81"/>
      <c r="P11" s="151" t="s">
        <v>263</v>
      </c>
      <c r="Q11" s="150">
        <f>R11</f>
        <v>0.41176499999999999</v>
      </c>
      <c r="R11" s="150">
        <f>-D11</f>
        <v>0.41176499999999999</v>
      </c>
      <c r="S11" s="150">
        <v>0</v>
      </c>
      <c r="T11" s="150">
        <f>E12</f>
        <v>0.47078465000000003</v>
      </c>
      <c r="U11" s="150">
        <f>F16</f>
        <v>0</v>
      </c>
      <c r="V11" s="174">
        <f>J31</f>
        <v>7.5277027487754833E-2</v>
      </c>
      <c r="W11" s="164">
        <f t="shared" si="1"/>
        <v>1.1433333333333333</v>
      </c>
      <c r="X11" s="164">
        <f>U11/R11</f>
        <v>0</v>
      </c>
      <c r="Y11" s="164">
        <f>T11/R11</f>
        <v>1.1433333333333333</v>
      </c>
    </row>
    <row r="12" spans="2:25" x14ac:dyDescent="0.2">
      <c r="B12" s="329" t="str">
        <f>'CF (Equity, Debt)'!C56</f>
        <v>Esyasoft Holding (Debt)</v>
      </c>
      <c r="C12" s="64">
        <f>'CF (Equity, Debt)'!D56</f>
        <v>44902</v>
      </c>
      <c r="D12" s="62">
        <f>'CF (Equity, Debt)'!E56</f>
        <v>0</v>
      </c>
      <c r="E12" s="62">
        <f>'CF (Equity, Debt)'!F56</f>
        <v>0.47078465000000003</v>
      </c>
      <c r="F12" s="62"/>
      <c r="G12" s="62">
        <f t="shared" ref="G12" si="2">SUM(D12:F12)</f>
        <v>0.47078465000000003</v>
      </c>
      <c r="I12" s="154" t="s">
        <v>162</v>
      </c>
      <c r="J12" s="182" t="str">
        <f>IF(ISERROR(XIRR(N9:N10,J9:J10)),"NM",XIRR(N9:N10,J9:J10))</f>
        <v>NM</v>
      </c>
      <c r="K12" s="81"/>
      <c r="L12" s="70" t="s">
        <v>165</v>
      </c>
      <c r="N12" s="81"/>
      <c r="P12" s="161"/>
      <c r="Q12" s="163">
        <f>SUM(Q9:Q11)</f>
        <v>10.765747000000001</v>
      </c>
      <c r="R12" s="163">
        <f>SUM(R9:R11)</f>
        <v>10.765747000000001</v>
      </c>
      <c r="S12" s="163">
        <f>SUM(S9:S11)</f>
        <v>0</v>
      </c>
      <c r="T12" s="163">
        <f>SUM(T9:T11)</f>
        <v>0.47078465000000003</v>
      </c>
      <c r="U12" s="163">
        <f>SUM(U9:U11)</f>
        <v>0</v>
      </c>
      <c r="V12" s="262">
        <f>XIRR(G9:G16,C9:C16)</f>
        <v>-0.71226245388388643</v>
      </c>
      <c r="W12" s="165">
        <f t="shared" si="1"/>
        <v>4.3729863798582673E-2</v>
      </c>
      <c r="X12" s="165">
        <f>U12/R12</f>
        <v>0</v>
      </c>
      <c r="Y12" s="165">
        <f t="shared" ref="Y12" si="3">T12/R12</f>
        <v>4.3729863798582673E-2</v>
      </c>
    </row>
    <row r="13" spans="2:25" x14ac:dyDescent="0.2">
      <c r="I13" s="155" t="s">
        <v>34</v>
      </c>
      <c r="J13" s="170">
        <f>SUM(L9:M10)/-SUM(K9:K10)</f>
        <v>0</v>
      </c>
      <c r="K13" s="81"/>
      <c r="L13" s="70" t="s">
        <v>33</v>
      </c>
      <c r="M13" s="148"/>
      <c r="N13" s="81"/>
      <c r="P13" s="70"/>
    </row>
    <row r="14" spans="2:25" x14ac:dyDescent="0.2">
      <c r="B14" s="330" t="str">
        <f>B9</f>
        <v xml:space="preserve">Glass Earth Holdings LLC </v>
      </c>
      <c r="C14" s="66">
        <f>$C$4</f>
        <v>45351</v>
      </c>
      <c r="D14" s="67"/>
      <c r="E14" s="67"/>
      <c r="F14" s="67">
        <f>VLOOKUP(B14,NAV!$B$34:$E$36,4,0)</f>
        <v>0</v>
      </c>
      <c r="G14" s="67">
        <f t="shared" ref="G14:G16" si="4">SUM(D14:F14)</f>
        <v>0</v>
      </c>
      <c r="I14" s="155" t="s">
        <v>164</v>
      </c>
      <c r="J14" s="170">
        <f>SUM(M9:M10)/-SUM(K9:K10)</f>
        <v>0</v>
      </c>
      <c r="K14" s="81"/>
      <c r="L14" s="70" t="s">
        <v>161</v>
      </c>
      <c r="N14" s="81"/>
      <c r="S14" s="148"/>
      <c r="T14" s="148"/>
    </row>
    <row r="15" spans="2:25" x14ac:dyDescent="0.2">
      <c r="B15" s="330" t="str">
        <f>B10</f>
        <v>Mena Mobile Inc (Debt)</v>
      </c>
      <c r="C15" s="66">
        <f t="shared" ref="C15:C16" si="5">$C$4</f>
        <v>45351</v>
      </c>
      <c r="D15" s="67"/>
      <c r="E15" s="67"/>
      <c r="F15" s="67">
        <f>VLOOKUP(B15,NAV!$B$34:$E$36,4,0)</f>
        <v>0</v>
      </c>
      <c r="G15" s="67">
        <f t="shared" si="4"/>
        <v>0</v>
      </c>
      <c r="I15" s="156" t="s">
        <v>97</v>
      </c>
      <c r="J15" s="171">
        <f>SUM(L9:L10)/-SUM(K9:K10)</f>
        <v>0</v>
      </c>
      <c r="K15" s="81"/>
      <c r="L15" s="81"/>
      <c r="M15" s="81"/>
      <c r="N15" s="81"/>
      <c r="P15" s="154" t="s">
        <v>162</v>
      </c>
      <c r="Q15" s="169">
        <f>XIRR(G9:G18,C9:C18)</f>
        <v>-0.71226245388388643</v>
      </c>
      <c r="S15" s="148"/>
      <c r="T15" s="148"/>
    </row>
    <row r="16" spans="2:25" x14ac:dyDescent="0.2">
      <c r="B16" s="330" t="str">
        <f>B11</f>
        <v>Esyasoft Holding (Debt)</v>
      </c>
      <c r="C16" s="66">
        <f t="shared" si="5"/>
        <v>45351</v>
      </c>
      <c r="D16" s="67"/>
      <c r="E16" s="67"/>
      <c r="F16" s="67">
        <f>VLOOKUP(B16,NAV!$B$34:$E$36,4,0)</f>
        <v>0</v>
      </c>
      <c r="G16" s="67">
        <f t="shared" si="4"/>
        <v>0</v>
      </c>
      <c r="J16" s="81"/>
      <c r="K16" s="81"/>
      <c r="L16" s="81"/>
      <c r="M16" s="81"/>
      <c r="N16" s="81"/>
      <c r="P16" s="155" t="s">
        <v>34</v>
      </c>
      <c r="Q16" s="170">
        <f>SUM(T9:U11)/SUM(R9:R11)</f>
        <v>4.3729863798582673E-2</v>
      </c>
      <c r="S16" s="152"/>
      <c r="T16" s="152"/>
    </row>
    <row r="17" spans="9:17" x14ac:dyDescent="0.2">
      <c r="J17" s="81"/>
      <c r="K17" s="81"/>
      <c r="L17" s="81"/>
      <c r="M17" s="81"/>
      <c r="N17" s="81"/>
      <c r="P17" s="155" t="s">
        <v>164</v>
      </c>
      <c r="Q17" s="170">
        <f>SUM(U9:U11)/SUM(R9:R11)</f>
        <v>0</v>
      </c>
    </row>
    <row r="18" spans="9:17" x14ac:dyDescent="0.2">
      <c r="J18" s="81"/>
      <c r="K18" s="81"/>
      <c r="L18" s="81"/>
      <c r="M18" s="81"/>
      <c r="N18" s="81"/>
      <c r="P18" s="156" t="s">
        <v>97</v>
      </c>
      <c r="Q18" s="171">
        <f>SUM(T9:T11)/SUM(R9:R11)</f>
        <v>4.3729863798582673E-2</v>
      </c>
    </row>
    <row r="19" spans="9:17" x14ac:dyDescent="0.2">
      <c r="I19" s="329" t="str">
        <f>B10</f>
        <v>Mena Mobile Inc (Debt)</v>
      </c>
      <c r="J19" s="64">
        <f>C10</f>
        <v>44293</v>
      </c>
      <c r="K19" s="62">
        <v>-2.3539819999999998</v>
      </c>
      <c r="L19" s="62"/>
      <c r="M19" s="62"/>
      <c r="N19" s="62">
        <f>SUM(K19:M19)</f>
        <v>-2.3539819999999998</v>
      </c>
    </row>
    <row r="20" spans="9:17" x14ac:dyDescent="0.2">
      <c r="I20" s="330" t="str">
        <f>B15</f>
        <v>Mena Mobile Inc (Debt)</v>
      </c>
      <c r="J20" s="66">
        <f>C15</f>
        <v>45351</v>
      </c>
      <c r="K20" s="67"/>
      <c r="L20" s="67"/>
      <c r="M20" s="67">
        <v>0</v>
      </c>
      <c r="N20" s="67">
        <f>SUM(K20:M20)</f>
        <v>0</v>
      </c>
    </row>
    <row r="21" spans="9:17" x14ac:dyDescent="0.2">
      <c r="J21" s="81"/>
      <c r="K21" s="81"/>
      <c r="L21" s="81"/>
      <c r="M21" s="81"/>
      <c r="N21" s="81"/>
    </row>
    <row r="22" spans="9:17" x14ac:dyDescent="0.2">
      <c r="I22" s="154" t="s">
        <v>162</v>
      </c>
      <c r="J22" s="182" t="str">
        <f>IF(ISERROR(XIRR(N19:N20,J19:J20)),"NM",XIRR(N19:N20,J19:J20))</f>
        <v>NM</v>
      </c>
      <c r="K22" s="81"/>
      <c r="L22" s="70" t="s">
        <v>165</v>
      </c>
      <c r="N22" s="81"/>
    </row>
    <row r="23" spans="9:17" x14ac:dyDescent="0.2">
      <c r="I23" s="155" t="s">
        <v>34</v>
      </c>
      <c r="J23" s="170">
        <f>SUM(L19:M20)/-SUM(K19:K20)</f>
        <v>0</v>
      </c>
      <c r="K23" s="81"/>
      <c r="L23" s="70" t="s">
        <v>33</v>
      </c>
      <c r="M23" s="148"/>
      <c r="N23" s="81"/>
    </row>
    <row r="24" spans="9:17" x14ac:dyDescent="0.2">
      <c r="I24" s="155" t="s">
        <v>164</v>
      </c>
      <c r="J24" s="170">
        <f>SUM(M19:M20)/-SUM(K19:K20)</f>
        <v>0</v>
      </c>
      <c r="K24" s="81"/>
      <c r="L24" s="70" t="s">
        <v>161</v>
      </c>
      <c r="N24" s="81"/>
    </row>
    <row r="25" spans="9:17" x14ac:dyDescent="0.2">
      <c r="I25" s="156" t="s">
        <v>97</v>
      </c>
      <c r="J25" s="171">
        <f>SUM(L19:L20)/-SUM(K19:K20)</f>
        <v>0</v>
      </c>
      <c r="K25" s="81"/>
      <c r="L25" s="81"/>
      <c r="M25" s="81"/>
      <c r="N25" s="81"/>
    </row>
    <row r="28" spans="9:17" x14ac:dyDescent="0.2">
      <c r="I28" s="329" t="str">
        <f>B11</f>
        <v>Esyasoft Holding (Debt)</v>
      </c>
      <c r="J28" s="329">
        <f>C11</f>
        <v>44384</v>
      </c>
      <c r="K28" s="62">
        <v>-0.41176499999999999</v>
      </c>
      <c r="L28" s="62"/>
      <c r="M28" s="62"/>
      <c r="N28" s="62">
        <f>SUM(K28:M28)</f>
        <v>-0.41176499999999999</v>
      </c>
    </row>
    <row r="29" spans="9:17" x14ac:dyDescent="0.2">
      <c r="I29" s="330" t="str">
        <f>B16</f>
        <v>Esyasoft Holding (Debt)</v>
      </c>
      <c r="J29" s="376">
        <f>'CF (Equity, Debt)'!D56</f>
        <v>44902</v>
      </c>
      <c r="K29" s="67"/>
      <c r="L29" s="67"/>
      <c r="M29" s="67">
        <v>0.45643868219178102</v>
      </c>
      <c r="N29" s="67">
        <f>SUM(K29:M29)</f>
        <v>0.45643868219178102</v>
      </c>
    </row>
    <row r="30" spans="9:17" x14ac:dyDescent="0.2">
      <c r="J30" s="81"/>
      <c r="K30" s="81"/>
      <c r="L30" s="81"/>
      <c r="M30" s="81"/>
      <c r="N30" s="81"/>
    </row>
    <row r="31" spans="9:17" x14ac:dyDescent="0.2">
      <c r="I31" s="154" t="s">
        <v>162</v>
      </c>
      <c r="J31" s="375">
        <f>IF(ISERROR(XIRR(N28:N29,J28:J29)),"NM",XIRR(N28:N29,J28:J29))</f>
        <v>7.5277027487754833E-2</v>
      </c>
      <c r="K31" s="81"/>
      <c r="L31" s="70" t="s">
        <v>165</v>
      </c>
      <c r="N31" s="81"/>
    </row>
    <row r="32" spans="9:17" x14ac:dyDescent="0.2">
      <c r="I32" s="155" t="s">
        <v>34</v>
      </c>
      <c r="J32" s="170">
        <f>SUM(L28:M29)/-SUM(K28:K29)</f>
        <v>1.108493150684932</v>
      </c>
      <c r="K32" s="81"/>
      <c r="L32" s="70" t="s">
        <v>33</v>
      </c>
      <c r="M32" s="148"/>
      <c r="N32" s="81"/>
    </row>
    <row r="33" spans="9:14" x14ac:dyDescent="0.2">
      <c r="I33" s="155" t="s">
        <v>164</v>
      </c>
      <c r="J33" s="170">
        <f>SUM(M28:M29)/-SUM(K28:K29)</f>
        <v>1.108493150684932</v>
      </c>
      <c r="K33" s="81"/>
      <c r="L33" s="70" t="s">
        <v>161</v>
      </c>
      <c r="N33" s="81"/>
    </row>
    <row r="34" spans="9:14" x14ac:dyDescent="0.2">
      <c r="I34" s="156" t="s">
        <v>97</v>
      </c>
      <c r="J34" s="171">
        <f>SUM(L28:L29)/-SUM(K28:K29)</f>
        <v>0</v>
      </c>
      <c r="K34" s="81"/>
      <c r="L34" s="81"/>
      <c r="M34" s="81"/>
      <c r="N34" s="81"/>
    </row>
  </sheetData>
  <pageMargins left="0.7" right="0.7" top="0.75" bottom="0.75" header="0.3" footer="0.3"/>
  <ignoredErrors>
    <ignoredError sqref="N9:N19 N28:N29 G9:G11" formulaRange="1"/>
  </ignoredErrors>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4C787-9DEF-4C4B-99A2-5D58B438F6F3}">
  <sheetPr>
    <tabColor theme="4" tint="-0.499984740745262"/>
  </sheetPr>
  <dimension ref="B2:Y118"/>
  <sheetViews>
    <sheetView zoomScale="70" zoomScaleNormal="70" workbookViewId="0"/>
  </sheetViews>
  <sheetFormatPr defaultColWidth="9.140625" defaultRowHeight="12.75" x14ac:dyDescent="0.2"/>
  <cols>
    <col min="1" max="1" width="2.85546875" style="71" customWidth="1"/>
    <col min="2" max="2" width="24" style="71" bestFit="1" customWidth="1"/>
    <col min="3" max="3" width="18.85546875" style="71" customWidth="1"/>
    <col min="4" max="4" width="13.140625" style="71" customWidth="1"/>
    <col min="5" max="5" width="13.42578125" style="71" customWidth="1"/>
    <col min="6" max="6" width="12.85546875" style="71" bestFit="1" customWidth="1"/>
    <col min="7" max="7" width="11.140625" style="71" customWidth="1"/>
    <col min="8" max="8" width="3.7109375" style="71" customWidth="1"/>
    <col min="9" max="9" width="24" style="71" bestFit="1" customWidth="1"/>
    <col min="10" max="10" width="13.42578125" style="81" customWidth="1"/>
    <col min="11" max="11" width="12.7109375" style="81" customWidth="1"/>
    <col min="12" max="13" width="12.85546875" style="81" bestFit="1" customWidth="1"/>
    <col min="14" max="14" width="10.85546875" style="81" customWidth="1"/>
    <col min="15" max="15" width="4.140625" style="71" customWidth="1"/>
    <col min="16" max="16" width="34" style="71" bestFit="1" customWidth="1"/>
    <col min="17" max="21" width="15.42578125" style="71" customWidth="1"/>
    <col min="22" max="25" width="11.42578125" style="71" customWidth="1"/>
    <col min="26" max="16384" width="9.140625" style="71"/>
  </cols>
  <sheetData>
    <row r="2" spans="2:25" s="96" customFormat="1" ht="43.5" customHeight="1" x14ac:dyDescent="0.45">
      <c r="B2" s="215" t="s">
        <v>208</v>
      </c>
      <c r="C2" s="216"/>
      <c r="D2" s="216"/>
      <c r="E2" s="247" t="s">
        <v>354</v>
      </c>
      <c r="F2" s="399" t="b">
        <f>COUNTA(B8:B56)=COUNTA('CF (Funds)'!C4:C52)</f>
        <v>1</v>
      </c>
      <c r="G2" s="223"/>
      <c r="H2" s="223"/>
      <c r="I2" s="223"/>
      <c r="J2" s="217"/>
      <c r="K2" s="218"/>
      <c r="L2" s="217"/>
    </row>
    <row r="3" spans="2:25" ht="13.5" thickBot="1" x14ac:dyDescent="0.25"/>
    <row r="4" spans="2:25" ht="13.5" thickBot="1" x14ac:dyDescent="0.25">
      <c r="B4" s="158" t="s">
        <v>173</v>
      </c>
      <c r="C4" s="172">
        <f>D!D2</f>
        <v>45351</v>
      </c>
      <c r="I4" s="175" t="s">
        <v>176</v>
      </c>
      <c r="J4" s="176"/>
      <c r="K4" s="176"/>
      <c r="L4" s="176"/>
      <c r="M4" s="176"/>
      <c r="N4" s="176"/>
      <c r="O4" s="70"/>
      <c r="P4" s="175" t="s">
        <v>177</v>
      </c>
      <c r="Q4" s="177"/>
      <c r="R4" s="177"/>
      <c r="S4" s="177"/>
      <c r="T4" s="177"/>
      <c r="U4" s="177"/>
      <c r="V4" s="177"/>
      <c r="W4" s="177"/>
      <c r="X4" s="177"/>
      <c r="Y4" s="177"/>
    </row>
    <row r="5" spans="2:25" x14ac:dyDescent="0.2">
      <c r="B5" s="179"/>
      <c r="C5" s="180"/>
      <c r="D5" s="181"/>
      <c r="I5" s="175"/>
      <c r="J5" s="176"/>
      <c r="K5" s="176"/>
      <c r="L5" s="176"/>
      <c r="M5" s="176"/>
      <c r="N5" s="176"/>
      <c r="O5" s="70"/>
      <c r="P5" s="175"/>
      <c r="Q5" s="177"/>
      <c r="R5" s="177"/>
      <c r="S5" s="177"/>
      <c r="T5" s="177"/>
      <c r="U5" s="177"/>
      <c r="V5" s="177"/>
      <c r="W5" s="177"/>
      <c r="X5" s="177"/>
      <c r="Y5" s="177"/>
    </row>
    <row r="6" spans="2:25" x14ac:dyDescent="0.2">
      <c r="B6" s="178" t="s">
        <v>37</v>
      </c>
      <c r="I6" s="157"/>
    </row>
    <row r="7" spans="2:25" ht="33.75" customHeight="1" x14ac:dyDescent="0.2">
      <c r="B7" s="58" t="s">
        <v>5</v>
      </c>
      <c r="C7" s="68" t="s">
        <v>6</v>
      </c>
      <c r="D7" s="69" t="s">
        <v>183</v>
      </c>
      <c r="E7" s="331" t="s">
        <v>184</v>
      </c>
      <c r="F7" s="69" t="s">
        <v>161</v>
      </c>
      <c r="G7" s="69" t="s">
        <v>163</v>
      </c>
      <c r="I7" s="68"/>
      <c r="J7" s="68"/>
      <c r="K7" s="69" t="s">
        <v>96</v>
      </c>
      <c r="L7" s="69" t="s">
        <v>172</v>
      </c>
      <c r="M7" s="69" t="s">
        <v>161</v>
      </c>
      <c r="N7" s="69" t="s">
        <v>163</v>
      </c>
      <c r="P7" s="68"/>
      <c r="Q7" s="68" t="s">
        <v>32</v>
      </c>
      <c r="R7" s="69" t="s">
        <v>2</v>
      </c>
      <c r="S7" s="69" t="s">
        <v>51</v>
      </c>
      <c r="T7" s="69" t="s">
        <v>33</v>
      </c>
      <c r="U7" s="69" t="s">
        <v>161</v>
      </c>
      <c r="V7" s="69" t="s">
        <v>24</v>
      </c>
      <c r="W7" s="69" t="s">
        <v>34</v>
      </c>
      <c r="X7" s="69" t="s">
        <v>174</v>
      </c>
      <c r="Y7" s="69" t="s">
        <v>97</v>
      </c>
    </row>
    <row r="8" spans="2:25" x14ac:dyDescent="0.2">
      <c r="B8" s="61" t="str">
        <f>'CF (Funds)'!C4</f>
        <v>Sinovation Disrupt Fund, L.P.</v>
      </c>
      <c r="C8" s="267">
        <f>'CF (Funds)'!D4</f>
        <v>44153</v>
      </c>
      <c r="D8" s="62">
        <f>'CF (Funds)'!E4</f>
        <v>-10.5</v>
      </c>
      <c r="E8" s="332">
        <f>'CF (Funds)'!F4</f>
        <v>0</v>
      </c>
      <c r="F8" s="62"/>
      <c r="G8" s="62">
        <f>SUM(D8:F8)</f>
        <v>-10.5</v>
      </c>
      <c r="P8" s="149" t="s">
        <v>30</v>
      </c>
      <c r="V8" s="153"/>
    </row>
    <row r="9" spans="2:25" x14ac:dyDescent="0.2">
      <c r="B9" s="61" t="str">
        <f>'CF (Funds)'!C5</f>
        <v>Sinovation Disrupt Fund, L.P.</v>
      </c>
      <c r="C9" s="267">
        <f>'CF (Funds)'!D5</f>
        <v>44238</v>
      </c>
      <c r="D9" s="62">
        <f>'CF (Funds)'!E5</f>
        <v>4.2140269999999997</v>
      </c>
      <c r="E9" s="332">
        <f>'CF (Funds)'!F5</f>
        <v>0</v>
      </c>
      <c r="F9" s="62"/>
      <c r="G9" s="62">
        <f t="shared" ref="G9:G19" si="0">SUM(D9:F9)</f>
        <v>4.2140269999999997</v>
      </c>
      <c r="I9" s="61" t="str">
        <f t="shared" ref="I9:M15" si="1">B41</f>
        <v>New Space Capital Fund I</v>
      </c>
      <c r="J9" s="64">
        <f t="shared" si="1"/>
        <v>44087</v>
      </c>
      <c r="K9" s="62">
        <f t="shared" si="1"/>
        <v>-20.917552997000001</v>
      </c>
      <c r="L9" s="332">
        <f t="shared" si="1"/>
        <v>0</v>
      </c>
      <c r="M9" s="332">
        <f t="shared" si="1"/>
        <v>0</v>
      </c>
      <c r="N9" s="62">
        <f t="shared" ref="N9:N10" si="2">SUM(K9:M9)</f>
        <v>-20.917552997000001</v>
      </c>
      <c r="P9" s="151" t="s">
        <v>124</v>
      </c>
      <c r="Q9" s="150">
        <f ca="1">'S | 01 '!J41</f>
        <v>25.800830036606605</v>
      </c>
      <c r="R9" s="150">
        <f ca="1">-SUMIF($B$7:$F$109,$P9,$D$7:$D$109)</f>
        <v>13.988552928385005</v>
      </c>
      <c r="S9" s="150">
        <f ca="1">Q9-R9</f>
        <v>11.8122771082216</v>
      </c>
      <c r="T9" s="150">
        <f ca="1">SUMIF($B$7:$F$109,$P9,$E$7:$E$109)</f>
        <v>2.9557743514081998</v>
      </c>
      <c r="U9" s="150">
        <f ca="1">SUMIF($B$7:$F$109,$P9,$F$7:$F$109)</f>
        <v>16.078910212171998</v>
      </c>
      <c r="V9" s="174">
        <f>J21</f>
        <v>7.5401434302330039E-2</v>
      </c>
      <c r="W9" s="164">
        <f ca="1">(T9+U9)/R9</f>
        <v>1.3607329264884709</v>
      </c>
      <c r="X9" s="164">
        <f ca="1">U9/R9</f>
        <v>1.1494334184878641</v>
      </c>
      <c r="Y9" s="164">
        <f ca="1">T9/R9</f>
        <v>0.21129950800060684</v>
      </c>
    </row>
    <row r="10" spans="2:25" x14ac:dyDescent="0.2">
      <c r="B10" s="61" t="str">
        <f>'CF (Funds)'!C6</f>
        <v>Sinovation Disrupt Fund, L.P.</v>
      </c>
      <c r="C10" s="267">
        <f>'CF (Funds)'!D6</f>
        <v>44238</v>
      </c>
      <c r="D10" s="62">
        <f>'CF (Funds)'!E6</f>
        <v>0</v>
      </c>
      <c r="E10" s="332">
        <f>'CF (Funds)'!F6</f>
        <v>5.0448349999999996E-2</v>
      </c>
      <c r="F10" s="62"/>
      <c r="G10" s="62">
        <f t="shared" si="0"/>
        <v>5.0448349999999996E-2</v>
      </c>
      <c r="I10" s="61" t="str">
        <f t="shared" si="1"/>
        <v>New Space Capital Fund I</v>
      </c>
      <c r="J10" s="64">
        <f t="shared" si="1"/>
        <v>44287</v>
      </c>
      <c r="K10" s="62">
        <f t="shared" si="1"/>
        <v>-0.21103182000000001</v>
      </c>
      <c r="L10" s="332">
        <f t="shared" si="1"/>
        <v>0</v>
      </c>
      <c r="M10" s="332">
        <f t="shared" si="1"/>
        <v>0</v>
      </c>
      <c r="N10" s="62">
        <f t="shared" si="2"/>
        <v>-0.21103182000000001</v>
      </c>
      <c r="P10" s="151" t="s">
        <v>380</v>
      </c>
      <c r="Q10" s="150">
        <f>'S | 01 '!J42</f>
        <v>2.7058823529411762</v>
      </c>
      <c r="R10" s="150">
        <f ca="1">-SUMIF($B$7:$F$109,$P10,$D$7:$D$109)</f>
        <v>2.7058823529411762</v>
      </c>
      <c r="S10" s="150">
        <f t="shared" ref="S10:S13" ca="1" si="3">Q10-R10</f>
        <v>0</v>
      </c>
      <c r="T10" s="150">
        <f ca="1">SUMIF($B$7:$F$109,$P10,$E$7:$E$109)</f>
        <v>0</v>
      </c>
      <c r="U10" s="150">
        <f ca="1">SUMIF($B$7:$F$109,$P10,$F$7:$F$109)</f>
        <v>3.1102316029671613</v>
      </c>
      <c r="V10" s="174">
        <v>0</v>
      </c>
      <c r="W10" s="164">
        <f t="shared" ref="W10:W13" ca="1" si="4">(T10+U10)/R10</f>
        <v>1.1494334184878641</v>
      </c>
      <c r="X10" s="164">
        <f t="shared" ref="X10:X13" ca="1" si="5">U10/R10</f>
        <v>1.1494334184878641</v>
      </c>
      <c r="Y10" s="164">
        <f t="shared" ref="Y10:Y13" ca="1" si="6">T10/R10</f>
        <v>0</v>
      </c>
    </row>
    <row r="11" spans="2:25" x14ac:dyDescent="0.2">
      <c r="B11" s="61" t="str">
        <f>'CF (Funds)'!C7</f>
        <v>Sinovation Disrupt Fund, L.P.</v>
      </c>
      <c r="C11" s="267">
        <f>'CF (Funds)'!D7</f>
        <v>44285</v>
      </c>
      <c r="D11" s="62">
        <f>'CF (Funds)'!E7</f>
        <v>-6.4337459999999993</v>
      </c>
      <c r="E11" s="332">
        <f>'CF (Funds)'!F7</f>
        <v>0</v>
      </c>
      <c r="F11" s="62"/>
      <c r="G11" s="62">
        <f t="shared" si="0"/>
        <v>-6.4337459999999993</v>
      </c>
      <c r="I11" s="61" t="str">
        <f t="shared" si="1"/>
        <v>New Space Capital Fund I</v>
      </c>
      <c r="J11" s="64">
        <f t="shared" si="1"/>
        <v>44442</v>
      </c>
      <c r="K11" s="62">
        <f t="shared" si="1"/>
        <v>-0.23965473139999999</v>
      </c>
      <c r="L11" s="332">
        <f t="shared" si="1"/>
        <v>0</v>
      </c>
      <c r="M11" s="332">
        <f t="shared" si="1"/>
        <v>0</v>
      </c>
      <c r="N11" s="62">
        <f t="shared" ref="N11:N14" si="7">SUM(K11:M11)</f>
        <v>-0.23965473139999999</v>
      </c>
      <c r="P11" s="151" t="s">
        <v>1</v>
      </c>
      <c r="Q11" s="150">
        <f ca="1">'S | 01 '!J43</f>
        <v>83.334352999999979</v>
      </c>
      <c r="R11" s="150">
        <f ca="1">-SUMIF($B$7:$F$109,$P11,$D$7:$D$109)</f>
        <v>83.214652999999984</v>
      </c>
      <c r="S11" s="150">
        <f>'S | 01 '!L43</f>
        <v>0.11969999999999459</v>
      </c>
      <c r="T11" s="150">
        <f ca="1">SUMIF($B$7:$F$109,$P11,$E$7:$E$109)</f>
        <v>7.8158709999999996</v>
      </c>
      <c r="U11" s="150">
        <f ca="1">SUMIF($B$7:$F$109,$P11,$F$7:$F$109)</f>
        <v>74.725861000000009</v>
      </c>
      <c r="V11" s="174">
        <f>J57</f>
        <v>-2.4627689272165303E-3</v>
      </c>
      <c r="W11" s="164">
        <f t="shared" ca="1" si="4"/>
        <v>0.99191343140011679</v>
      </c>
      <c r="X11" s="164">
        <f t="shared" ca="1" si="5"/>
        <v>0.89798921591369274</v>
      </c>
      <c r="Y11" s="164">
        <f t="shared" ca="1" si="6"/>
        <v>9.3924215486424018E-2</v>
      </c>
    </row>
    <row r="12" spans="2:25" x14ac:dyDescent="0.2">
      <c r="B12" s="61" t="str">
        <f>'CF (Funds)'!C8</f>
        <v>Sinovation Disrupt Fund, L.P.</v>
      </c>
      <c r="C12" s="267">
        <f>'CF (Funds)'!D8</f>
        <v>44269</v>
      </c>
      <c r="D12" s="62">
        <f>'CF (Funds)'!E8</f>
        <v>1.1352073899999999</v>
      </c>
      <c r="E12" s="332">
        <f>'CF (Funds)'!F8</f>
        <v>0</v>
      </c>
      <c r="F12" s="62"/>
      <c r="G12" s="62">
        <f t="shared" si="0"/>
        <v>1.1352073899999999</v>
      </c>
      <c r="I12" s="61" t="str">
        <f t="shared" si="1"/>
        <v>New Space Capital Fund I</v>
      </c>
      <c r="J12" s="64">
        <f t="shared" si="1"/>
        <v>44623</v>
      </c>
      <c r="K12" s="62">
        <f t="shared" si="1"/>
        <v>-0.25893584940000003</v>
      </c>
      <c r="L12" s="332">
        <f t="shared" si="1"/>
        <v>0</v>
      </c>
      <c r="M12" s="332">
        <f t="shared" si="1"/>
        <v>0</v>
      </c>
      <c r="N12" s="62">
        <f t="shared" si="7"/>
        <v>-0.25893584940000003</v>
      </c>
      <c r="P12" s="151" t="s">
        <v>12</v>
      </c>
      <c r="Q12" s="150">
        <f>'S | 01 '!J44</f>
        <v>50</v>
      </c>
      <c r="R12" s="150">
        <f ca="1">-SUMIF($B$7:$F$109,$P12,$D$7:$D$109)</f>
        <v>24.959693000000001</v>
      </c>
      <c r="S12" s="150">
        <v>0</v>
      </c>
      <c r="T12" s="150">
        <f ca="1">SUMIF($B$7:$F$109,$P12,$E$7:$E$109)</f>
        <v>25.403521350000002</v>
      </c>
      <c r="U12" s="150">
        <f ca="1">SUMIF($B$7:$F$109,$P12,$F$7:$F$109)</f>
        <v>0</v>
      </c>
      <c r="V12" s="174">
        <f>J83</f>
        <v>7.6422423124313356E-3</v>
      </c>
      <c r="W12" s="164">
        <f t="shared" ca="1" si="4"/>
        <v>1.0177818032457371</v>
      </c>
      <c r="X12" s="164">
        <f t="shared" ca="1" si="5"/>
        <v>0</v>
      </c>
      <c r="Y12" s="164">
        <f t="shared" ca="1" si="6"/>
        <v>1.0177818032457371</v>
      </c>
    </row>
    <row r="13" spans="2:25" x14ac:dyDescent="0.2">
      <c r="B13" s="61" t="str">
        <f>'CF (Funds)'!C9</f>
        <v>Sinovation Disrupt Fund, L.P.</v>
      </c>
      <c r="C13" s="267">
        <f>'CF (Funds)'!D9</f>
        <v>44269</v>
      </c>
      <c r="D13" s="62">
        <f>'CF (Funds)'!E9</f>
        <v>0</v>
      </c>
      <c r="E13" s="332">
        <f>'CF (Funds)'!F9</f>
        <v>2.5899999999999999E-2</v>
      </c>
      <c r="F13" s="62"/>
      <c r="G13" s="62">
        <f t="shared" si="0"/>
        <v>2.5899999999999999E-2</v>
      </c>
      <c r="I13" s="61" t="str">
        <f t="shared" si="1"/>
        <v>New Space Capital Fund I</v>
      </c>
      <c r="J13" s="64">
        <f t="shared" si="1"/>
        <v>44784</v>
      </c>
      <c r="K13" s="62">
        <f t="shared" si="1"/>
        <v>1.5224656599999999E-2</v>
      </c>
      <c r="L13" s="332">
        <f t="shared" si="1"/>
        <v>0</v>
      </c>
      <c r="M13" s="332">
        <f t="shared" si="1"/>
        <v>0</v>
      </c>
      <c r="N13" s="62">
        <f t="shared" si="7"/>
        <v>1.5224656599999999E-2</v>
      </c>
      <c r="P13" s="151" t="s">
        <v>175</v>
      </c>
      <c r="Q13" s="150">
        <f>'S | 01 '!J45</f>
        <v>17.112500000000001</v>
      </c>
      <c r="R13" s="150">
        <f ca="1">-SUMIF($B$7:$F$109,$P13,$D$7:$D$109)</f>
        <v>14.0151375</v>
      </c>
      <c r="S13" s="150">
        <f t="shared" ca="1" si="3"/>
        <v>3.0973625000000009</v>
      </c>
      <c r="T13" s="150">
        <f ca="1">SUMIF($B$7:$F$109,$P13,$E$7:$E$109)</f>
        <v>0</v>
      </c>
      <c r="U13" s="150">
        <f ca="1">SUMIF($B$7:$F$109,$P13,$F$7:$F$109)</f>
        <v>12.310425</v>
      </c>
      <c r="V13" s="174">
        <f>J95</f>
        <v>-6.8944522738456734E-2</v>
      </c>
      <c r="W13" s="164">
        <f t="shared" ca="1" si="4"/>
        <v>0.87836633782579732</v>
      </c>
      <c r="X13" s="164">
        <f t="shared" ca="1" si="5"/>
        <v>0.87836633782579732</v>
      </c>
      <c r="Y13" s="164">
        <f t="shared" ca="1" si="6"/>
        <v>0</v>
      </c>
    </row>
    <row r="14" spans="2:25" x14ac:dyDescent="0.2">
      <c r="B14" s="61" t="str">
        <f>'CF (Funds)'!C10</f>
        <v>Sinovation Disrupt Fund, L.P.</v>
      </c>
      <c r="C14" s="267">
        <f>'CF (Funds)'!D10</f>
        <v>44483</v>
      </c>
      <c r="D14" s="62">
        <f>'CF (Funds)'!E10</f>
        <v>-7.5671379999999999</v>
      </c>
      <c r="E14" s="332">
        <f>'CF (Funds)'!F10</f>
        <v>0</v>
      </c>
      <c r="F14" s="62"/>
      <c r="G14" s="62">
        <f t="shared" si="0"/>
        <v>-7.5671379999999999</v>
      </c>
      <c r="I14" s="61" t="str">
        <f t="shared" si="1"/>
        <v>New Space Capital Fund I</v>
      </c>
      <c r="J14" s="64">
        <f t="shared" si="1"/>
        <v>44956</v>
      </c>
      <c r="K14" s="62">
        <f t="shared" si="1"/>
        <v>10.553916089669999</v>
      </c>
      <c r="L14" s="332">
        <f t="shared" si="1"/>
        <v>0</v>
      </c>
      <c r="M14" s="332">
        <f t="shared" si="1"/>
        <v>0</v>
      </c>
      <c r="N14" s="62">
        <f t="shared" si="7"/>
        <v>10.553916089669999</v>
      </c>
      <c r="Q14" s="162"/>
      <c r="R14" s="159"/>
      <c r="S14" s="160"/>
      <c r="T14" s="160"/>
      <c r="U14" s="160"/>
      <c r="V14" s="288"/>
      <c r="W14" s="160"/>
      <c r="X14" s="160"/>
    </row>
    <row r="15" spans="2:25" x14ac:dyDescent="0.2">
      <c r="B15" s="61" t="str">
        <f>'CF (Funds)'!C11</f>
        <v>Sinovation Disrupt Fund, L.P.</v>
      </c>
      <c r="C15" s="267">
        <f>'CF (Funds)'!D11</f>
        <v>44554</v>
      </c>
      <c r="D15" s="62">
        <f>'CF (Funds)'!E11</f>
        <v>-7.3850159999999994</v>
      </c>
      <c r="E15" s="332">
        <f>'CF (Funds)'!F11</f>
        <v>0</v>
      </c>
      <c r="F15" s="62"/>
      <c r="G15" s="62">
        <f t="shared" si="0"/>
        <v>-7.3850159999999994</v>
      </c>
      <c r="I15" s="61" t="str">
        <f t="shared" si="1"/>
        <v>New Space Capital Fund I</v>
      </c>
      <c r="J15" s="64">
        <f t="shared" si="1"/>
        <v>44956</v>
      </c>
      <c r="K15" s="62">
        <f t="shared" si="1"/>
        <v>0</v>
      </c>
      <c r="L15" s="332">
        <f t="shared" si="1"/>
        <v>2.9557743514081998</v>
      </c>
      <c r="M15" s="332">
        <f t="shared" si="1"/>
        <v>0</v>
      </c>
      <c r="N15" s="62">
        <f>SUM(K15:M15)</f>
        <v>2.9557743514081998</v>
      </c>
      <c r="P15" s="161" t="s">
        <v>57</v>
      </c>
      <c r="Q15" s="163">
        <f ca="1">SUM(Q9:Q14)</f>
        <v>178.95356538954778</v>
      </c>
      <c r="R15" s="163">
        <f ca="1">SUM(R9:R14)</f>
        <v>138.88391878132617</v>
      </c>
      <c r="S15" s="163">
        <f ca="1">SUM(S9:S14)</f>
        <v>15.029339608221596</v>
      </c>
      <c r="T15" s="163">
        <f ca="1">SUM(T9:T14)</f>
        <v>36.175166701408202</v>
      </c>
      <c r="U15" s="163">
        <f ca="1">SUM(U9:U14)</f>
        <v>106.22542781513916</v>
      </c>
      <c r="V15" s="262">
        <f>XIRR(G8:G50,C8:C50)</f>
        <v>2.9802322387695314E-9</v>
      </c>
      <c r="W15" s="165">
        <f t="shared" ref="W15" ca="1" si="8">(T15+U15)/R15</f>
        <v>1.0253209713988429</v>
      </c>
      <c r="X15" s="165">
        <f t="shared" ref="X15" ca="1" si="9">U15/R15</f>
        <v>0.76485045026985399</v>
      </c>
      <c r="Y15" s="165">
        <f t="shared" ref="Y15" ca="1" si="10">T15/R15</f>
        <v>0.26047052112898894</v>
      </c>
    </row>
    <row r="16" spans="2:25" x14ac:dyDescent="0.2">
      <c r="B16" s="61" t="str">
        <f>'CF (Funds)'!C12</f>
        <v>Sinovation Disrupt Fund, L.P.</v>
      </c>
      <c r="C16" s="267">
        <f>'CF (Funds)'!D12</f>
        <v>44554</v>
      </c>
      <c r="D16" s="62">
        <f>'CF (Funds)'!E12</f>
        <v>4.0733456099999996</v>
      </c>
      <c r="E16" s="332">
        <f>'CF (Funds)'!F12</f>
        <v>0</v>
      </c>
      <c r="F16" s="62"/>
      <c r="G16" s="62">
        <f t="shared" si="0"/>
        <v>4.0733456099999996</v>
      </c>
      <c r="I16" s="61" t="str">
        <f t="shared" ref="I16:I18" si="11">B48</f>
        <v>New Space Capital Fund I</v>
      </c>
      <c r="J16" s="64">
        <f t="shared" ref="J16:J18" si="12">C48</f>
        <v>45170</v>
      </c>
      <c r="K16" s="62">
        <f t="shared" ref="K16:K18" si="13">D48</f>
        <v>-0.22532724156300002</v>
      </c>
      <c r="L16" s="332">
        <f t="shared" ref="L16:L18" si="14">E48</f>
        <v>0</v>
      </c>
      <c r="M16" s="332">
        <f t="shared" ref="M16:M18" si="15">F48</f>
        <v>0</v>
      </c>
      <c r="N16" s="62">
        <f t="shared" ref="N16:N17" si="16">SUM(K16:M16)</f>
        <v>-0.22532724156300002</v>
      </c>
      <c r="P16" s="70"/>
      <c r="Q16" s="527">
        <f ca="1">'S | 01 '!J46</f>
        <v>178.95356538954778</v>
      </c>
      <c r="R16" s="527">
        <f ca="1">'S | 01 '!K46</f>
        <v>138.88391878132617</v>
      </c>
      <c r="S16" s="527">
        <f ca="1">'S | 01 '!L46</f>
        <v>15.029339608221596</v>
      </c>
      <c r="T16" s="527">
        <f>'S | 01 '!M46</f>
        <v>36.175166701408202</v>
      </c>
      <c r="U16" s="527">
        <f ca="1">'S | 01 '!N46</f>
        <v>106.22542781513916</v>
      </c>
    </row>
    <row r="17" spans="2:20" x14ac:dyDescent="0.2">
      <c r="B17" s="61" t="str">
        <f>'CF (Funds)'!C13</f>
        <v>Sinovation Disrupt Fund, L.P.</v>
      </c>
      <c r="C17" s="267">
        <f>'CF (Funds)'!D13</f>
        <v>44554</v>
      </c>
      <c r="D17" s="62">
        <f>'CF (Funds)'!E13</f>
        <v>0</v>
      </c>
      <c r="E17" s="332">
        <f>'CF (Funds)'!F13</f>
        <v>0.13969399999999998</v>
      </c>
      <c r="F17" s="62"/>
      <c r="G17" s="62">
        <f t="shared" si="0"/>
        <v>0.13969399999999998</v>
      </c>
      <c r="I17" s="61" t="str">
        <f t="shared" si="11"/>
        <v>New Space Capital Fund I</v>
      </c>
      <c r="J17" s="64">
        <f t="shared" si="12"/>
        <v>45260</v>
      </c>
      <c r="K17" s="62">
        <f t="shared" si="13"/>
        <v>-0.28531251529200002</v>
      </c>
      <c r="L17" s="332">
        <f t="shared" si="14"/>
        <v>0</v>
      </c>
      <c r="M17" s="332">
        <f t="shared" si="15"/>
        <v>0</v>
      </c>
      <c r="N17" s="62">
        <f t="shared" si="16"/>
        <v>-0.28531251529200002</v>
      </c>
      <c r="S17" s="148"/>
      <c r="T17" s="148"/>
    </row>
    <row r="18" spans="2:20" x14ac:dyDescent="0.2">
      <c r="B18" s="61" t="str">
        <f>'CF (Funds)'!C14</f>
        <v>Sinovation Disrupt Fund, L.P.</v>
      </c>
      <c r="C18" s="267">
        <f>'CF (Funds)'!D14</f>
        <v>44703</v>
      </c>
      <c r="D18" s="62">
        <f>'CF (Funds)'!E14</f>
        <v>5.6730739999999997</v>
      </c>
      <c r="E18" s="332">
        <f>'CF (Funds)'!F14</f>
        <v>0</v>
      </c>
      <c r="F18" s="62"/>
      <c r="G18" s="62">
        <f t="shared" si="0"/>
        <v>5.6730739999999997</v>
      </c>
      <c r="I18" s="61" t="str">
        <f t="shared" si="11"/>
        <v>New Space Capital Fund I</v>
      </c>
      <c r="J18" s="64">
        <f t="shared" si="12"/>
        <v>45321</v>
      </c>
      <c r="K18" s="62">
        <f t="shared" si="13"/>
        <v>-2.4198785200000001</v>
      </c>
      <c r="L18" s="332">
        <f t="shared" si="14"/>
        <v>0</v>
      </c>
      <c r="M18" s="332">
        <f t="shared" si="15"/>
        <v>0</v>
      </c>
      <c r="N18" s="62">
        <f>SUM(K18:M18)</f>
        <v>-2.4198785200000001</v>
      </c>
      <c r="P18" s="154" t="s">
        <v>162</v>
      </c>
      <c r="Q18" s="419">
        <f>XIRR(G8:G50,C8:C50)</f>
        <v>2.9802322387695314E-9</v>
      </c>
      <c r="S18" s="148"/>
      <c r="T18" s="148"/>
    </row>
    <row r="19" spans="2:20" x14ac:dyDescent="0.2">
      <c r="B19" s="61" t="str">
        <f>'CF (Funds)'!C15</f>
        <v>Sinovation Disrupt Fund, L.P.</v>
      </c>
      <c r="C19" s="267">
        <f>'CF (Funds)'!D15</f>
        <v>44703</v>
      </c>
      <c r="D19" s="62">
        <f>'CF (Funds)'!E15</f>
        <v>0</v>
      </c>
      <c r="E19" s="332">
        <f>'CF (Funds)'!F15</f>
        <v>0.22778599999999999</v>
      </c>
      <c r="F19" s="62"/>
      <c r="G19" s="62">
        <f t="shared" si="0"/>
        <v>0.22778599999999999</v>
      </c>
      <c r="I19" s="65" t="s">
        <v>124</v>
      </c>
      <c r="J19" s="66">
        <f>$C$4</f>
        <v>45351</v>
      </c>
      <c r="K19" s="67"/>
      <c r="L19" s="67"/>
      <c r="M19" s="67">
        <f>F59</f>
        <v>16.078910212171998</v>
      </c>
      <c r="N19" s="67">
        <f>SUM(K19:M19)</f>
        <v>16.078910212171998</v>
      </c>
      <c r="P19" s="155" t="s">
        <v>34</v>
      </c>
      <c r="Q19" s="170">
        <f ca="1">SUM(T9:U13)/SUM(R9:R13)</f>
        <v>1.0253209713988432</v>
      </c>
      <c r="S19" s="152"/>
      <c r="T19" s="152"/>
    </row>
    <row r="20" spans="2:20" x14ac:dyDescent="0.2">
      <c r="B20" s="61" t="str">
        <f>'CF (Funds)'!C16</f>
        <v>Sinovation Disrupt Fund, L.P.</v>
      </c>
      <c r="C20" s="267">
        <f>'CF (Funds)'!D16</f>
        <v>44776</v>
      </c>
      <c r="D20" s="62">
        <f>'CF (Funds)'!E16</f>
        <v>-3.235493</v>
      </c>
      <c r="E20" s="332">
        <f>'CF (Funds)'!F16</f>
        <v>0</v>
      </c>
      <c r="F20" s="62"/>
      <c r="G20" s="62">
        <f t="shared" ref="G20" si="17">SUM(D20:F20)</f>
        <v>-3.235493</v>
      </c>
      <c r="P20" s="155" t="s">
        <v>164</v>
      </c>
      <c r="Q20" s="170">
        <f ca="1">SUM(U9:U13)/SUM(R9:R13)</f>
        <v>0.76485045026985399</v>
      </c>
    </row>
    <row r="21" spans="2:20" x14ac:dyDescent="0.2">
      <c r="B21" s="61" t="str">
        <f>'CF (Funds)'!C17</f>
        <v>Sinovation Disrupt Fund, L.P.</v>
      </c>
      <c r="C21" s="267">
        <f>'CF (Funds)'!D17</f>
        <v>44960</v>
      </c>
      <c r="D21" s="62">
        <f>'CF (Funds)'!E17</f>
        <v>-2.6315279999999999</v>
      </c>
      <c r="E21" s="332">
        <f>'CF (Funds)'!F17</f>
        <v>0</v>
      </c>
      <c r="F21" s="62"/>
      <c r="G21" s="62">
        <f t="shared" ref="G21" si="18">SUM(D21:F21)</f>
        <v>-2.6315279999999999</v>
      </c>
      <c r="I21" s="154" t="s">
        <v>162</v>
      </c>
      <c r="J21" s="169">
        <f>XIRR(N9:N19,J9:J19)</f>
        <v>7.5401434302330039E-2</v>
      </c>
      <c r="L21" s="70" t="s">
        <v>165</v>
      </c>
      <c r="M21" s="71" t="b">
        <f ca="1">-SUM(K9:K19)='S | 01 '!K41</f>
        <v>1</v>
      </c>
      <c r="P21" s="156" t="s">
        <v>97</v>
      </c>
      <c r="Q21" s="171">
        <f ca="1">SUM(T9:T13)/SUM(R9:R13)</f>
        <v>0.26047052112898894</v>
      </c>
    </row>
    <row r="22" spans="2:20" x14ac:dyDescent="0.2">
      <c r="B22" s="61" t="str">
        <f>'CF (Funds)'!C18</f>
        <v>Sinovation Disrupt Fund, L.P.</v>
      </c>
      <c r="C22" s="267">
        <f>'CF (Funds)'!D18</f>
        <v>45085</v>
      </c>
      <c r="D22" s="62">
        <f>'CF (Funds)'!E18</f>
        <v>1.9125570000000001</v>
      </c>
      <c r="E22" s="332">
        <f>'CF (Funds)'!F18</f>
        <v>0</v>
      </c>
      <c r="F22" s="62"/>
      <c r="G22" s="62">
        <f t="shared" ref="G22" si="19">SUM(D22:F22)</f>
        <v>1.9125570000000001</v>
      </c>
      <c r="I22" s="155" t="s">
        <v>34</v>
      </c>
      <c r="J22" s="170">
        <f>SUM(L9:M19)/-SUM(K9:K19)</f>
        <v>1.3607329264884709</v>
      </c>
      <c r="L22" s="70" t="s">
        <v>33</v>
      </c>
      <c r="M22" s="148" t="b">
        <f>-SUM(L9:L20)=-'S | 01 '!M41</f>
        <v>1</v>
      </c>
      <c r="P22" s="481"/>
      <c r="Q22" s="482"/>
    </row>
    <row r="23" spans="2:20" x14ac:dyDescent="0.2">
      <c r="B23" s="61" t="str">
        <f>'CF (Funds)'!C19</f>
        <v>Sinovation Disrupt Fund, L.P.</v>
      </c>
      <c r="C23" s="267">
        <f>'CF (Funds)'!D19</f>
        <v>45166</v>
      </c>
      <c r="D23" s="62">
        <f>'CF (Funds)'!E19</f>
        <v>-1.7991220000000001</v>
      </c>
      <c r="E23" s="332">
        <f>'CF (Funds)'!F19</f>
        <v>0</v>
      </c>
      <c r="F23" s="62"/>
      <c r="G23" s="62">
        <f t="shared" ref="G23" si="20">SUM(D23:F23)</f>
        <v>-1.7991220000000001</v>
      </c>
      <c r="I23" s="155" t="s">
        <v>164</v>
      </c>
      <c r="J23" s="170">
        <f>SUM(M9:M19)/-SUM(K9:K19)</f>
        <v>1.1494334184878641</v>
      </c>
      <c r="L23" s="70" t="s">
        <v>161</v>
      </c>
      <c r="M23" s="71" t="b">
        <f>M19='S | 01 '!N41</f>
        <v>1</v>
      </c>
    </row>
    <row r="24" spans="2:20" x14ac:dyDescent="0.2">
      <c r="B24" s="61" t="str">
        <f>'CF (Funds)'!C20</f>
        <v>Sinovation Disrupt Fund, L.P.</v>
      </c>
      <c r="C24" s="267">
        <f>'CF (Funds)'!D20</f>
        <v>45218</v>
      </c>
      <c r="D24" s="62">
        <f>'CF (Funds)'!E20</f>
        <v>-2.415861</v>
      </c>
      <c r="E24" s="332">
        <f>'CF (Funds)'!F20</f>
        <v>0</v>
      </c>
      <c r="F24" s="62"/>
      <c r="G24" s="62">
        <f t="shared" ref="G24" si="21">SUM(D24:F24)</f>
        <v>-2.415861</v>
      </c>
      <c r="I24" s="156" t="s">
        <v>97</v>
      </c>
      <c r="J24" s="171">
        <f>SUM(L9:L19)/-SUM(K9:K19)</f>
        <v>0.21129950800060684</v>
      </c>
    </row>
    <row r="25" spans="2:20" x14ac:dyDescent="0.2">
      <c r="B25" s="61" t="str">
        <f>'CF (Funds)'!C21</f>
        <v>Sinovation Disrupt Fund, L.P.</v>
      </c>
      <c r="C25" s="267">
        <f>'CF (Funds)'!D21</f>
        <v>45323</v>
      </c>
      <c r="D25" s="62">
        <f>'CF (Funds)'!E21</f>
        <v>0</v>
      </c>
      <c r="E25" s="332">
        <f>'CF (Funds)'!F21</f>
        <v>24.959693000000001</v>
      </c>
      <c r="F25" s="62"/>
      <c r="G25" s="62">
        <f t="shared" ref="G25" si="22">SUM(D25:F25)</f>
        <v>24.959693000000001</v>
      </c>
      <c r="I25" s="481"/>
      <c r="J25" s="482"/>
    </row>
    <row r="26" spans="2:20" x14ac:dyDescent="0.2">
      <c r="B26" s="65" t="str">
        <f>'CF (Funds)'!C22</f>
        <v>North Summit Capital Fund</v>
      </c>
      <c r="C26" s="268">
        <f>'CF (Funds)'!D22</f>
        <v>43665</v>
      </c>
      <c r="D26" s="67">
        <f>'CF (Funds)'!E22</f>
        <v>-3</v>
      </c>
      <c r="E26" s="333">
        <f>'CF (Funds)'!F22</f>
        <v>0</v>
      </c>
      <c r="F26" s="67"/>
      <c r="G26" s="67">
        <f t="shared" ref="G26:G39" si="23">SUM(D26:F26)</f>
        <v>-3</v>
      </c>
    </row>
    <row r="27" spans="2:20" x14ac:dyDescent="0.2">
      <c r="B27" s="65" t="str">
        <f>'CF (Funds)'!C23</f>
        <v>North Summit Capital Fund</v>
      </c>
      <c r="C27" s="268">
        <f>'CF (Funds)'!D23</f>
        <v>43983</v>
      </c>
      <c r="D27" s="67">
        <f>'CF (Funds)'!E23</f>
        <v>-4.4849999999999994</v>
      </c>
      <c r="E27" s="333">
        <f>'CF (Funds)'!F23</f>
        <v>0</v>
      </c>
      <c r="F27" s="67"/>
      <c r="G27" s="67">
        <f t="shared" si="23"/>
        <v>-4.4849999999999994</v>
      </c>
    </row>
    <row r="28" spans="2:20" x14ac:dyDescent="0.2">
      <c r="B28" s="65" t="str">
        <f>'CF (Funds)'!C24</f>
        <v>North Summit Capital Fund</v>
      </c>
      <c r="C28" s="268">
        <f>'CF (Funds)'!D24</f>
        <v>43879</v>
      </c>
      <c r="D28" s="67">
        <f>'CF (Funds)'!E24</f>
        <v>-9.5097500000000004</v>
      </c>
      <c r="E28" s="333">
        <f>'CF (Funds)'!F24</f>
        <v>0</v>
      </c>
      <c r="F28" s="67"/>
      <c r="G28" s="67">
        <f t="shared" si="23"/>
        <v>-9.5097500000000004</v>
      </c>
    </row>
    <row r="29" spans="2:20" x14ac:dyDescent="0.2">
      <c r="B29" s="65" t="str">
        <f>'CF (Funds)'!C25</f>
        <v>North Summit Capital Fund</v>
      </c>
      <c r="C29" s="268">
        <f>'CF (Funds)'!D25</f>
        <v>43934</v>
      </c>
      <c r="D29" s="67">
        <f>'CF (Funds)'!E25</f>
        <v>-41.3</v>
      </c>
      <c r="E29" s="333">
        <f>'CF (Funds)'!F25</f>
        <v>0</v>
      </c>
      <c r="F29" s="67"/>
      <c r="G29" s="67">
        <f t="shared" si="23"/>
        <v>-41.3</v>
      </c>
    </row>
    <row r="30" spans="2:20" x14ac:dyDescent="0.2">
      <c r="B30" s="65" t="str">
        <f>'CF (Funds)'!C26</f>
        <v>North Summit Capital Fund</v>
      </c>
      <c r="C30" s="268">
        <f>'CF (Funds)'!D26</f>
        <v>44151</v>
      </c>
      <c r="D30" s="67">
        <f>'CF (Funds)'!E26</f>
        <v>9.9499999999999993</v>
      </c>
      <c r="E30" s="333">
        <f>'CF (Funds)'!F26</f>
        <v>0</v>
      </c>
      <c r="F30" s="67"/>
      <c r="G30" s="67">
        <f t="shared" si="23"/>
        <v>9.9499999999999993</v>
      </c>
      <c r="I30" s="61" t="str">
        <f>B51</f>
        <v>New Space Capital GP Com SCSp</v>
      </c>
      <c r="J30" s="64">
        <f>C51</f>
        <v>44087</v>
      </c>
      <c r="K30" s="62">
        <f>D51</f>
        <v>-2.7058823529411762</v>
      </c>
      <c r="L30" s="112"/>
      <c r="M30" s="112"/>
      <c r="N30" s="62">
        <f>SUM(K30:M30)</f>
        <v>-2.7058823529411762</v>
      </c>
    </row>
    <row r="31" spans="2:20" x14ac:dyDescent="0.2">
      <c r="B31" s="65" t="str">
        <f>'CF (Funds)'!C27</f>
        <v>North Summit Capital Fund</v>
      </c>
      <c r="C31" s="268">
        <f>'CF (Funds)'!D27</f>
        <v>44151</v>
      </c>
      <c r="D31" s="67">
        <f>'CF (Funds)'!E27</f>
        <v>-10.455</v>
      </c>
      <c r="E31" s="333">
        <f>'CF (Funds)'!F27</f>
        <v>0</v>
      </c>
      <c r="F31" s="67"/>
      <c r="G31" s="67">
        <f t="shared" si="23"/>
        <v>-10.455</v>
      </c>
      <c r="I31" s="65" t="s">
        <v>107</v>
      </c>
      <c r="J31" s="66">
        <f>$C$4</f>
        <v>45351</v>
      </c>
      <c r="K31" s="67"/>
      <c r="L31" s="67"/>
      <c r="M31" s="67">
        <f ca="1">F60</f>
        <v>3.1102316029671613</v>
      </c>
      <c r="N31" s="67">
        <f ca="1">SUM(K31:M31)</f>
        <v>3.1102316029671613</v>
      </c>
    </row>
    <row r="32" spans="2:20" x14ac:dyDescent="0.2">
      <c r="B32" s="65" t="str">
        <f>'CF (Funds)'!C28</f>
        <v>North Summit Capital Fund</v>
      </c>
      <c r="C32" s="268">
        <f>'CF (Funds)'!D28</f>
        <v>44196</v>
      </c>
      <c r="D32" s="67">
        <f>'CF (Funds)'!E28</f>
        <v>4.9749999999999996</v>
      </c>
      <c r="E32" s="333">
        <f>'CF (Funds)'!F28</f>
        <v>0</v>
      </c>
      <c r="F32" s="67"/>
      <c r="G32" s="67">
        <f t="shared" si="23"/>
        <v>4.9749999999999996</v>
      </c>
    </row>
    <row r="33" spans="2:14" x14ac:dyDescent="0.2">
      <c r="B33" s="65" t="str">
        <f>'CF (Funds)'!C29</f>
        <v>North Summit Capital Fund</v>
      </c>
      <c r="C33" s="268">
        <f>'CF (Funds)'!D29</f>
        <v>44196</v>
      </c>
      <c r="D33" s="67">
        <f>'CF (Funds)'!E29</f>
        <v>-3.4522930000000001</v>
      </c>
      <c r="E33" s="333">
        <f>'CF (Funds)'!F29</f>
        <v>0</v>
      </c>
      <c r="F33" s="67"/>
      <c r="G33" s="67">
        <f t="shared" si="23"/>
        <v>-3.4522930000000001</v>
      </c>
      <c r="I33" s="154" t="s">
        <v>162</v>
      </c>
      <c r="J33" s="169">
        <f ca="1">XIRR(N30:N31,J30:J31)</f>
        <v>4.103578627109529E-2</v>
      </c>
      <c r="L33" s="70" t="s">
        <v>165</v>
      </c>
      <c r="M33" s="71" t="b">
        <f>-SUM(K30:K31)='S | 01 '!K42</f>
        <v>1</v>
      </c>
    </row>
    <row r="34" spans="2:14" x14ac:dyDescent="0.2">
      <c r="B34" s="65" t="str">
        <f>'CF (Funds)'!C30</f>
        <v>North Summit Capital Fund</v>
      </c>
      <c r="C34" s="268">
        <f>'CF (Funds)'!D30</f>
        <v>44196</v>
      </c>
      <c r="D34" s="67">
        <f>'CF (Funds)'!E30</f>
        <v>0</v>
      </c>
      <c r="E34" s="333">
        <f>'CF (Funds)'!F30</f>
        <v>0.58290199999999992</v>
      </c>
      <c r="F34" s="67"/>
      <c r="G34" s="67">
        <f t="shared" si="23"/>
        <v>0.58290199999999992</v>
      </c>
      <c r="I34" s="155" t="s">
        <v>34</v>
      </c>
      <c r="J34" s="170">
        <f ca="1">SUM(L30:M31)/-SUM(K30:K31)</f>
        <v>1.1494334184878641</v>
      </c>
      <c r="L34" s="70" t="s">
        <v>33</v>
      </c>
      <c r="M34" s="148" t="b">
        <f>-SUM(L24:L32)=-'S | 01 '!L42</f>
        <v>1</v>
      </c>
    </row>
    <row r="35" spans="2:14" x14ac:dyDescent="0.2">
      <c r="B35" s="65" t="str">
        <f>'CF (Funds)'!C31</f>
        <v>North Summit Capital Fund</v>
      </c>
      <c r="C35" s="268">
        <f>'CF (Funds)'!D31</f>
        <v>44370</v>
      </c>
      <c r="D35" s="67">
        <f>'CF (Funds)'!E31</f>
        <v>-5.97</v>
      </c>
      <c r="E35" s="333">
        <f>'CF (Funds)'!F31</f>
        <v>0</v>
      </c>
      <c r="F35" s="67"/>
      <c r="G35" s="67">
        <f t="shared" si="23"/>
        <v>-5.97</v>
      </c>
      <c r="I35" s="155" t="s">
        <v>164</v>
      </c>
      <c r="J35" s="170">
        <f ca="1">SUM(M30:M31)/-SUM(K30:K31)</f>
        <v>1.1494334184878641</v>
      </c>
      <c r="L35" s="70" t="s">
        <v>161</v>
      </c>
      <c r="M35" s="71" t="b">
        <f ca="1">M31='S | 01 '!N42</f>
        <v>1</v>
      </c>
    </row>
    <row r="36" spans="2:14" x14ac:dyDescent="0.2">
      <c r="B36" s="65" t="str">
        <f>'CF (Funds)'!C32</f>
        <v>North Summit Capital Fund</v>
      </c>
      <c r="C36" s="268">
        <f>'CF (Funds)'!D32</f>
        <v>44400</v>
      </c>
      <c r="D36" s="67">
        <f>'CF (Funds)'!E32</f>
        <v>-0.75</v>
      </c>
      <c r="E36" s="333">
        <f>'CF (Funds)'!F32</f>
        <v>0</v>
      </c>
      <c r="F36" s="67"/>
      <c r="G36" s="67">
        <f t="shared" si="23"/>
        <v>-0.75</v>
      </c>
      <c r="I36" s="156" t="s">
        <v>97</v>
      </c>
      <c r="J36" s="171">
        <f>SUM(L30:L31)/-SUM(K30:K31)</f>
        <v>0</v>
      </c>
    </row>
    <row r="37" spans="2:14" x14ac:dyDescent="0.2">
      <c r="B37" s="65" t="str">
        <f>'CF (Funds)'!C33</f>
        <v>North Summit Capital Fund</v>
      </c>
      <c r="C37" s="268">
        <f>'CF (Funds)'!D33</f>
        <v>44400</v>
      </c>
      <c r="D37" s="67">
        <f>'CF (Funds)'!E33</f>
        <v>0</v>
      </c>
      <c r="E37" s="333">
        <f>'CF (Funds)'!F33</f>
        <v>0.44505899999999998</v>
      </c>
      <c r="F37" s="67"/>
      <c r="G37" s="67">
        <f t="shared" si="23"/>
        <v>0.44505899999999998</v>
      </c>
    </row>
    <row r="38" spans="2:14" x14ac:dyDescent="0.2">
      <c r="B38" s="65" t="str">
        <f>'CF (Funds)'!C34</f>
        <v>North Summit Capital Fund</v>
      </c>
      <c r="C38" s="268">
        <f>'CF (Funds)'!D34</f>
        <v>44554</v>
      </c>
      <c r="D38" s="67">
        <f>'CF (Funds)'!E34</f>
        <v>1.7823899999999999</v>
      </c>
      <c r="E38" s="333">
        <f>'CF (Funds)'!F34</f>
        <v>0</v>
      </c>
      <c r="F38" s="67"/>
      <c r="G38" s="67">
        <f t="shared" si="23"/>
        <v>1.7823899999999999</v>
      </c>
    </row>
    <row r="39" spans="2:14" x14ac:dyDescent="0.2">
      <c r="B39" s="65" t="str">
        <f>'CF (Funds)'!C35</f>
        <v>North Summit Capital Fund</v>
      </c>
      <c r="C39" s="268">
        <f>'CF (Funds)'!D35</f>
        <v>44676</v>
      </c>
      <c r="D39" s="67">
        <f>'CF (Funds)'!E35</f>
        <v>-21</v>
      </c>
      <c r="E39" s="333">
        <f>'CF (Funds)'!F35</f>
        <v>0</v>
      </c>
      <c r="F39" s="67"/>
      <c r="G39" s="67">
        <f t="shared" si="23"/>
        <v>-21</v>
      </c>
      <c r="I39" s="61" t="str">
        <f t="shared" ref="I39:I53" si="24">B26</f>
        <v>North Summit Capital Fund</v>
      </c>
      <c r="J39" s="64">
        <f t="shared" ref="J39:J53" si="25">C26</f>
        <v>43665</v>
      </c>
      <c r="K39" s="62">
        <f t="shared" ref="K39:K53" si="26">D26</f>
        <v>-3</v>
      </c>
      <c r="L39" s="332">
        <f t="shared" ref="L39:L53" si="27">E26</f>
        <v>0</v>
      </c>
      <c r="M39" s="332">
        <f t="shared" ref="M39:M53" si="28">F26</f>
        <v>0</v>
      </c>
      <c r="N39" s="62">
        <f t="shared" ref="N39:N52" si="29">SUM(K39:M39)</f>
        <v>-3</v>
      </c>
    </row>
    <row r="40" spans="2:14" x14ac:dyDescent="0.2">
      <c r="B40" s="65" t="str">
        <f>'CF (Funds)'!C36</f>
        <v>North Summit Capital Fund</v>
      </c>
      <c r="C40" s="268">
        <f>'CF (Funds)'!D36</f>
        <v>45243</v>
      </c>
      <c r="D40" s="67"/>
      <c r="E40" s="333">
        <f>'CF (Funds)'!F36</f>
        <v>6.7879100000000001</v>
      </c>
      <c r="F40" s="67"/>
      <c r="G40" s="67">
        <f t="shared" ref="G40" si="30">SUM(D40:F40)</f>
        <v>6.7879100000000001</v>
      </c>
      <c r="I40" s="61" t="str">
        <f t="shared" si="24"/>
        <v>North Summit Capital Fund</v>
      </c>
      <c r="J40" s="64">
        <f t="shared" si="25"/>
        <v>43983</v>
      </c>
      <c r="K40" s="62">
        <f t="shared" si="26"/>
        <v>-4.4849999999999994</v>
      </c>
      <c r="L40" s="332">
        <f t="shared" si="27"/>
        <v>0</v>
      </c>
      <c r="M40" s="332">
        <f t="shared" si="28"/>
        <v>0</v>
      </c>
      <c r="N40" s="62">
        <f t="shared" si="29"/>
        <v>-4.4849999999999994</v>
      </c>
    </row>
    <row r="41" spans="2:14" x14ac:dyDescent="0.2">
      <c r="B41" s="61" t="str">
        <f>'CF (Funds)'!C37</f>
        <v>New Space Capital Fund I</v>
      </c>
      <c r="C41" s="267">
        <f>'CF (Funds)'!D37</f>
        <v>44087</v>
      </c>
      <c r="D41" s="62">
        <f>'CF (Funds)'!E37</f>
        <v>-20.917552997000001</v>
      </c>
      <c r="E41" s="334">
        <f>'CF (Funds)'!F37</f>
        <v>0</v>
      </c>
      <c r="F41" s="112"/>
      <c r="G41" s="287">
        <f>SUM(D41:F41)</f>
        <v>-20.917552997000001</v>
      </c>
      <c r="I41" s="61" t="str">
        <f t="shared" si="24"/>
        <v>North Summit Capital Fund</v>
      </c>
      <c r="J41" s="64">
        <f t="shared" si="25"/>
        <v>43879</v>
      </c>
      <c r="K41" s="62">
        <f t="shared" si="26"/>
        <v>-9.5097500000000004</v>
      </c>
      <c r="L41" s="332">
        <f t="shared" si="27"/>
        <v>0</v>
      </c>
      <c r="M41" s="332">
        <f t="shared" si="28"/>
        <v>0</v>
      </c>
      <c r="N41" s="62">
        <f t="shared" si="29"/>
        <v>-9.5097500000000004</v>
      </c>
    </row>
    <row r="42" spans="2:14" x14ac:dyDescent="0.2">
      <c r="B42" s="61" t="str">
        <f>'CF (Funds)'!C38</f>
        <v>New Space Capital Fund I</v>
      </c>
      <c r="C42" s="267">
        <f>'CF (Funds)'!D38</f>
        <v>44287</v>
      </c>
      <c r="D42" s="62">
        <f>'CF (Funds)'!E38</f>
        <v>-0.21103182000000001</v>
      </c>
      <c r="E42" s="334">
        <f>'CF (Funds)'!F38</f>
        <v>0</v>
      </c>
      <c r="F42" s="112"/>
      <c r="G42" s="287">
        <f>SUM(D42:F42)</f>
        <v>-0.21103182000000001</v>
      </c>
      <c r="I42" s="61" t="str">
        <f t="shared" si="24"/>
        <v>North Summit Capital Fund</v>
      </c>
      <c r="J42" s="64">
        <f t="shared" si="25"/>
        <v>43934</v>
      </c>
      <c r="K42" s="62">
        <f t="shared" si="26"/>
        <v>-41.3</v>
      </c>
      <c r="L42" s="332">
        <f t="shared" si="27"/>
        <v>0</v>
      </c>
      <c r="M42" s="332">
        <f t="shared" si="28"/>
        <v>0</v>
      </c>
      <c r="N42" s="62">
        <f t="shared" si="29"/>
        <v>-41.3</v>
      </c>
    </row>
    <row r="43" spans="2:14" x14ac:dyDescent="0.2">
      <c r="B43" s="61" t="str">
        <f>'CF (Funds)'!C39</f>
        <v>New Space Capital Fund I</v>
      </c>
      <c r="C43" s="267">
        <f>'CF (Funds)'!D39</f>
        <v>44442</v>
      </c>
      <c r="D43" s="62">
        <f>'CF (Funds)'!E39</f>
        <v>-0.23965473139999999</v>
      </c>
      <c r="E43" s="334">
        <f>'CF (Funds)'!F39</f>
        <v>0</v>
      </c>
      <c r="F43" s="112"/>
      <c r="G43" s="287">
        <f>SUM(D43:F43)</f>
        <v>-0.23965473139999999</v>
      </c>
      <c r="I43" s="61" t="str">
        <f t="shared" si="24"/>
        <v>North Summit Capital Fund</v>
      </c>
      <c r="J43" s="64">
        <f t="shared" si="25"/>
        <v>44151</v>
      </c>
      <c r="K43" s="62">
        <f t="shared" si="26"/>
        <v>9.9499999999999993</v>
      </c>
      <c r="L43" s="332">
        <f t="shared" si="27"/>
        <v>0</v>
      </c>
      <c r="M43" s="332">
        <f t="shared" si="28"/>
        <v>0</v>
      </c>
      <c r="N43" s="62">
        <f t="shared" si="29"/>
        <v>9.9499999999999993</v>
      </c>
    </row>
    <row r="44" spans="2:14" x14ac:dyDescent="0.2">
      <c r="B44" s="61" t="str">
        <f>'CF (Funds)'!C40</f>
        <v>New Space Capital Fund I</v>
      </c>
      <c r="C44" s="267">
        <f>'CF (Funds)'!D40</f>
        <v>44623</v>
      </c>
      <c r="D44" s="62">
        <f>'CF (Funds)'!E40</f>
        <v>-0.25893584940000003</v>
      </c>
      <c r="E44" s="334">
        <f>'CF (Funds)'!F40</f>
        <v>0</v>
      </c>
      <c r="F44" s="112"/>
      <c r="G44" s="287">
        <f t="shared" ref="G44:G45" si="31">SUM(D44:F44)</f>
        <v>-0.25893584940000003</v>
      </c>
      <c r="I44" s="61" t="str">
        <f t="shared" si="24"/>
        <v>North Summit Capital Fund</v>
      </c>
      <c r="J44" s="64">
        <f t="shared" si="25"/>
        <v>44151</v>
      </c>
      <c r="K44" s="62">
        <f t="shared" si="26"/>
        <v>-10.455</v>
      </c>
      <c r="L44" s="332">
        <f t="shared" si="27"/>
        <v>0</v>
      </c>
      <c r="M44" s="332">
        <f t="shared" si="28"/>
        <v>0</v>
      </c>
      <c r="N44" s="62">
        <f t="shared" si="29"/>
        <v>-10.455</v>
      </c>
    </row>
    <row r="45" spans="2:14" x14ac:dyDescent="0.2">
      <c r="B45" s="61" t="str">
        <f>'CF (Funds)'!C41</f>
        <v>New Space Capital Fund I</v>
      </c>
      <c r="C45" s="267">
        <f>'CF (Funds)'!D41</f>
        <v>44784</v>
      </c>
      <c r="D45" s="62">
        <f>'CF (Funds)'!E41</f>
        <v>1.5224656599999999E-2</v>
      </c>
      <c r="E45" s="334">
        <f>'CF (Funds)'!F41</f>
        <v>0</v>
      </c>
      <c r="F45" s="112"/>
      <c r="G45" s="287">
        <f t="shared" si="31"/>
        <v>1.5224656599999999E-2</v>
      </c>
      <c r="I45" s="61" t="str">
        <f t="shared" si="24"/>
        <v>North Summit Capital Fund</v>
      </c>
      <c r="J45" s="64">
        <f t="shared" si="25"/>
        <v>44196</v>
      </c>
      <c r="K45" s="62">
        <f t="shared" si="26"/>
        <v>4.9749999999999996</v>
      </c>
      <c r="L45" s="332">
        <f t="shared" si="27"/>
        <v>0</v>
      </c>
      <c r="M45" s="332">
        <f t="shared" si="28"/>
        <v>0</v>
      </c>
      <c r="N45" s="62">
        <f t="shared" si="29"/>
        <v>4.9749999999999996</v>
      </c>
    </row>
    <row r="46" spans="2:14" x14ac:dyDescent="0.2">
      <c r="B46" s="61" t="str">
        <f>'CF (Funds)'!C42</f>
        <v>New Space Capital Fund I</v>
      </c>
      <c r="C46" s="267">
        <f>'CF (Funds)'!D42</f>
        <v>44956</v>
      </c>
      <c r="D46" s="62">
        <f>'CF (Funds)'!E42</f>
        <v>10.553916089669999</v>
      </c>
      <c r="E46" s="334">
        <f>'CF (Funds)'!F42</f>
        <v>0</v>
      </c>
      <c r="F46" s="112"/>
      <c r="G46" s="287">
        <f t="shared" ref="G46:G47" si="32">SUM(D46:F46)</f>
        <v>10.553916089669999</v>
      </c>
      <c r="I46" s="61" t="str">
        <f t="shared" si="24"/>
        <v>North Summit Capital Fund</v>
      </c>
      <c r="J46" s="64">
        <f t="shared" si="25"/>
        <v>44196</v>
      </c>
      <c r="K46" s="62">
        <f t="shared" si="26"/>
        <v>-3.4522930000000001</v>
      </c>
      <c r="L46" s="332">
        <f t="shared" si="27"/>
        <v>0</v>
      </c>
      <c r="M46" s="332">
        <f t="shared" si="28"/>
        <v>0</v>
      </c>
      <c r="N46" s="62">
        <f t="shared" si="29"/>
        <v>-3.4522930000000001</v>
      </c>
    </row>
    <row r="47" spans="2:14" x14ac:dyDescent="0.2">
      <c r="B47" s="61" t="str">
        <f>'CF (Funds)'!C43</f>
        <v>New Space Capital Fund I</v>
      </c>
      <c r="C47" s="267">
        <f>'CF (Funds)'!D43</f>
        <v>44956</v>
      </c>
      <c r="D47" s="62">
        <f>'CF (Funds)'!E43</f>
        <v>0</v>
      </c>
      <c r="E47" s="334">
        <f>'CF (Funds)'!F43</f>
        <v>2.9557743514081998</v>
      </c>
      <c r="F47" s="112"/>
      <c r="G47" s="287">
        <f t="shared" si="32"/>
        <v>2.9557743514081998</v>
      </c>
      <c r="I47" s="61" t="str">
        <f t="shared" si="24"/>
        <v>North Summit Capital Fund</v>
      </c>
      <c r="J47" s="64">
        <f t="shared" si="25"/>
        <v>44196</v>
      </c>
      <c r="K47" s="62">
        <f t="shared" si="26"/>
        <v>0</v>
      </c>
      <c r="L47" s="332">
        <f t="shared" si="27"/>
        <v>0.58290199999999992</v>
      </c>
      <c r="M47" s="332">
        <f t="shared" si="28"/>
        <v>0</v>
      </c>
      <c r="N47" s="62">
        <f t="shared" si="29"/>
        <v>0.58290199999999992</v>
      </c>
    </row>
    <row r="48" spans="2:14" x14ac:dyDescent="0.2">
      <c r="B48" s="61" t="str">
        <f>'CF (Funds)'!C44</f>
        <v>New Space Capital Fund I</v>
      </c>
      <c r="C48" s="267">
        <f>'CF (Funds)'!D44</f>
        <v>45170</v>
      </c>
      <c r="D48" s="62">
        <f>'CF (Funds)'!E44</f>
        <v>-0.22532724156300002</v>
      </c>
      <c r="E48" s="334">
        <f>'CF (Funds)'!F44</f>
        <v>0</v>
      </c>
      <c r="F48" s="112"/>
      <c r="G48" s="287">
        <f t="shared" ref="G48:G50" si="33">SUM(D48:F48)</f>
        <v>-0.22532724156300002</v>
      </c>
      <c r="I48" s="61" t="str">
        <f t="shared" si="24"/>
        <v>North Summit Capital Fund</v>
      </c>
      <c r="J48" s="64">
        <f t="shared" si="25"/>
        <v>44370</v>
      </c>
      <c r="K48" s="62">
        <f t="shared" si="26"/>
        <v>-5.97</v>
      </c>
      <c r="L48" s="332">
        <f t="shared" si="27"/>
        <v>0</v>
      </c>
      <c r="M48" s="332">
        <f t="shared" si="28"/>
        <v>0</v>
      </c>
      <c r="N48" s="62">
        <f t="shared" si="29"/>
        <v>-5.97</v>
      </c>
    </row>
    <row r="49" spans="2:14" x14ac:dyDescent="0.2">
      <c r="B49" s="61" t="str">
        <f>'CF (Funds)'!C45</f>
        <v>New Space Capital Fund I</v>
      </c>
      <c r="C49" s="267">
        <f>'CF (Funds)'!D45</f>
        <v>45260</v>
      </c>
      <c r="D49" s="62">
        <f>'CF (Funds)'!E45</f>
        <v>-0.28531251529200002</v>
      </c>
      <c r="E49" s="334">
        <f>'CF (Funds)'!F45</f>
        <v>0</v>
      </c>
      <c r="F49" s="112"/>
      <c r="G49" s="287">
        <f t="shared" si="33"/>
        <v>-0.28531251529200002</v>
      </c>
      <c r="I49" s="61" t="str">
        <f t="shared" si="24"/>
        <v>North Summit Capital Fund</v>
      </c>
      <c r="J49" s="64">
        <f t="shared" si="25"/>
        <v>44400</v>
      </c>
      <c r="K49" s="62">
        <f t="shared" si="26"/>
        <v>-0.75</v>
      </c>
      <c r="L49" s="332">
        <f t="shared" si="27"/>
        <v>0</v>
      </c>
      <c r="M49" s="332">
        <f t="shared" si="28"/>
        <v>0</v>
      </c>
      <c r="N49" s="62">
        <f t="shared" si="29"/>
        <v>-0.75</v>
      </c>
    </row>
    <row r="50" spans="2:14" x14ac:dyDescent="0.2">
      <c r="B50" s="61" t="str">
        <f>'CF (Funds)'!C46</f>
        <v>New Space Capital Fund I</v>
      </c>
      <c r="C50" s="267">
        <f>'CF (Funds)'!D46</f>
        <v>45321</v>
      </c>
      <c r="D50" s="62">
        <f>'CF (Funds)'!E46</f>
        <v>-2.4198785200000001</v>
      </c>
      <c r="E50" s="334">
        <f>'CF (Funds)'!F46</f>
        <v>0</v>
      </c>
      <c r="F50" s="112"/>
      <c r="G50" s="287">
        <f t="shared" si="33"/>
        <v>-2.4198785200000001</v>
      </c>
      <c r="I50" s="61" t="str">
        <f t="shared" si="24"/>
        <v>North Summit Capital Fund</v>
      </c>
      <c r="J50" s="64">
        <f t="shared" si="25"/>
        <v>44400</v>
      </c>
      <c r="K50" s="62">
        <f t="shared" si="26"/>
        <v>0</v>
      </c>
      <c r="L50" s="332">
        <f t="shared" si="27"/>
        <v>0.44505899999999998</v>
      </c>
      <c r="M50" s="332">
        <f t="shared" si="28"/>
        <v>0</v>
      </c>
      <c r="N50" s="62">
        <f t="shared" si="29"/>
        <v>0.44505899999999998</v>
      </c>
    </row>
    <row r="51" spans="2:14" x14ac:dyDescent="0.2">
      <c r="B51" s="61" t="str">
        <f>'CF (Funds)'!C47</f>
        <v>New Space Capital GP Com SCSp</v>
      </c>
      <c r="C51" s="267">
        <f>'CF (Funds)'!D47</f>
        <v>44087</v>
      </c>
      <c r="D51" s="62">
        <f>'CF (Funds)'!E47</f>
        <v>-2.7058823529411762</v>
      </c>
      <c r="E51" s="334">
        <f>'CF (Funds)'!F47</f>
        <v>0</v>
      </c>
      <c r="F51" s="112"/>
      <c r="G51" s="287">
        <f t="shared" ref="G51:G61" si="34">SUM(D51:F51)</f>
        <v>-2.7058823529411762</v>
      </c>
      <c r="I51" s="61" t="str">
        <f t="shared" si="24"/>
        <v>North Summit Capital Fund</v>
      </c>
      <c r="J51" s="64">
        <f t="shared" si="25"/>
        <v>44554</v>
      </c>
      <c r="K51" s="62">
        <f t="shared" si="26"/>
        <v>1.7823899999999999</v>
      </c>
      <c r="L51" s="332">
        <f t="shared" si="27"/>
        <v>0</v>
      </c>
      <c r="M51" s="332">
        <f t="shared" si="28"/>
        <v>0</v>
      </c>
      <c r="N51" s="62">
        <f t="shared" si="29"/>
        <v>1.7823899999999999</v>
      </c>
    </row>
    <row r="52" spans="2:14" x14ac:dyDescent="0.2">
      <c r="B52" s="65" t="str">
        <f>'CF (Funds)'!C48</f>
        <v>Acies Investments Fund I, L.P.</v>
      </c>
      <c r="C52" s="268">
        <f>'CF (Funds)'!D48</f>
        <v>44540</v>
      </c>
      <c r="D52" s="67">
        <f>'CF (Funds)'!E48</f>
        <v>-2.8053124999999999</v>
      </c>
      <c r="E52" s="333">
        <f>'CF (Funds)'!F48</f>
        <v>0</v>
      </c>
      <c r="F52" s="67"/>
      <c r="G52" s="67">
        <f t="shared" si="34"/>
        <v>-2.8053124999999999</v>
      </c>
      <c r="I52" s="61" t="str">
        <f t="shared" si="24"/>
        <v>North Summit Capital Fund</v>
      </c>
      <c r="J52" s="64">
        <f t="shared" si="25"/>
        <v>44676</v>
      </c>
      <c r="K52" s="62">
        <f t="shared" si="26"/>
        <v>-21</v>
      </c>
      <c r="L52" s="332">
        <f t="shared" si="27"/>
        <v>0</v>
      </c>
      <c r="M52" s="332">
        <f t="shared" si="28"/>
        <v>0</v>
      </c>
      <c r="N52" s="62">
        <f t="shared" si="29"/>
        <v>-21</v>
      </c>
    </row>
    <row r="53" spans="2:14" x14ac:dyDescent="0.2">
      <c r="B53" s="65" t="str">
        <f>'CF (Funds)'!C49</f>
        <v>Acies Investments Fund I, L.P.</v>
      </c>
      <c r="C53" s="268">
        <f>'CF (Funds)'!D49</f>
        <v>44602</v>
      </c>
      <c r="D53" s="67">
        <f>'CF (Funds)'!E49</f>
        <v>-3.4074999999999998</v>
      </c>
      <c r="E53" s="333">
        <f>'CF (Funds)'!F49</f>
        <v>0</v>
      </c>
      <c r="F53" s="67"/>
      <c r="G53" s="67">
        <f t="shared" si="34"/>
        <v>-3.4074999999999998</v>
      </c>
      <c r="I53" s="61" t="str">
        <f t="shared" si="24"/>
        <v>North Summit Capital Fund</v>
      </c>
      <c r="J53" s="64">
        <f t="shared" si="25"/>
        <v>45243</v>
      </c>
      <c r="K53" s="62">
        <f t="shared" si="26"/>
        <v>0</v>
      </c>
      <c r="L53" s="332">
        <f t="shared" si="27"/>
        <v>6.7879100000000001</v>
      </c>
      <c r="M53" s="332">
        <f t="shared" si="28"/>
        <v>0</v>
      </c>
      <c r="N53" s="62">
        <f t="shared" ref="N53" si="35">SUM(K53:M53)</f>
        <v>6.7879100000000001</v>
      </c>
    </row>
    <row r="54" spans="2:14" x14ac:dyDescent="0.2">
      <c r="B54" s="65" t="str">
        <f>'CF (Funds)'!C50</f>
        <v>Acies Investments Fund I, L.P.</v>
      </c>
      <c r="C54" s="268">
        <f>'CF (Funds)'!D50</f>
        <v>44683</v>
      </c>
      <c r="D54" s="67">
        <f>'CF (Funds)'!E50</f>
        <v>-1.0257749999999999</v>
      </c>
      <c r="E54" s="333">
        <f>'CF (Funds)'!F50</f>
        <v>0</v>
      </c>
      <c r="F54" s="67"/>
      <c r="G54" s="67">
        <f t="shared" si="34"/>
        <v>-1.0257749999999999</v>
      </c>
      <c r="I54" s="65" t="s">
        <v>1</v>
      </c>
      <c r="J54" s="66">
        <f>$C$4</f>
        <v>45351</v>
      </c>
      <c r="K54" s="67"/>
      <c r="L54" s="67"/>
      <c r="M54" s="67">
        <f>F58</f>
        <v>74.725861000000009</v>
      </c>
      <c r="N54" s="67">
        <f>SUM(K54:M54)</f>
        <v>74.725861000000009</v>
      </c>
    </row>
    <row r="55" spans="2:14" x14ac:dyDescent="0.2">
      <c r="B55" s="65" t="str">
        <f>'CF (Funds)'!C51</f>
        <v>Acies Investments Fund I, L.P.</v>
      </c>
      <c r="C55" s="268">
        <f>'CF (Funds)'!D51</f>
        <v>44707</v>
      </c>
      <c r="D55" s="67">
        <f>'CF (Funds)'!E51</f>
        <v>-3.3882749999999997</v>
      </c>
      <c r="E55" s="333">
        <f>'CF (Funds)'!F51</f>
        <v>0</v>
      </c>
      <c r="F55" s="67"/>
      <c r="G55" s="67">
        <f t="shared" si="34"/>
        <v>-3.3882749999999997</v>
      </c>
    </row>
    <row r="56" spans="2:14" x14ac:dyDescent="0.2">
      <c r="B56" s="65" t="str">
        <f>'CF (Funds)'!C52</f>
        <v>Acies Investments Fund I, L.P.</v>
      </c>
      <c r="C56" s="268">
        <f>'CF (Funds)'!D52</f>
        <v>44875</v>
      </c>
      <c r="D56" s="67">
        <f>'CF (Funds)'!E52</f>
        <v>-3.3882749999999997</v>
      </c>
      <c r="E56" s="333">
        <f>'CF (Funds)'!F52</f>
        <v>0</v>
      </c>
      <c r="F56" s="67"/>
      <c r="G56" s="67">
        <f t="shared" si="34"/>
        <v>-3.3882749999999997</v>
      </c>
    </row>
    <row r="57" spans="2:14" x14ac:dyDescent="0.2">
      <c r="B57" s="61" t="s">
        <v>12</v>
      </c>
      <c r="C57" s="267">
        <f t="shared" ref="C57:C61" si="36">$C$4</f>
        <v>45351</v>
      </c>
      <c r="D57" s="62"/>
      <c r="E57" s="334"/>
      <c r="F57" s="285">
        <f>VLOOKUP(B57,NAV!$B$2:$H$43,4,0)</f>
        <v>0</v>
      </c>
      <c r="G57" s="285">
        <f t="shared" si="34"/>
        <v>0</v>
      </c>
      <c r="I57" s="154" t="s">
        <v>162</v>
      </c>
      <c r="J57" s="169">
        <f>XIRR(N39:N54,J39:J54,-0.1)</f>
        <v>-2.4627689272165303E-3</v>
      </c>
      <c r="L57" s="70" t="s">
        <v>165</v>
      </c>
      <c r="M57" s="71" t="b">
        <f ca="1">-SUM(K39:K52)='S | 01 '!K43</f>
        <v>1</v>
      </c>
    </row>
    <row r="58" spans="2:14" x14ac:dyDescent="0.2">
      <c r="B58" s="65" t="s">
        <v>1</v>
      </c>
      <c r="C58" s="268">
        <f t="shared" si="36"/>
        <v>45351</v>
      </c>
      <c r="D58" s="67"/>
      <c r="E58" s="67"/>
      <c r="F58" s="286">
        <f>VLOOKUP(B58,NAV!$B$2:$H$43,4,0)</f>
        <v>74.725861000000009</v>
      </c>
      <c r="G58" s="286">
        <f t="shared" si="34"/>
        <v>74.725861000000009</v>
      </c>
      <c r="I58" s="155" t="s">
        <v>34</v>
      </c>
      <c r="J58" s="170">
        <f>SUM(L39:M54)/-SUM(K39:K54)</f>
        <v>0.99191343140011679</v>
      </c>
      <c r="L58" s="70" t="s">
        <v>33</v>
      </c>
      <c r="M58" s="148" t="b">
        <f>-SUM(L39:L53)=-'S | 01 '!M43</f>
        <v>1</v>
      </c>
    </row>
    <row r="59" spans="2:14" x14ac:dyDescent="0.2">
      <c r="B59" s="61" t="s">
        <v>124</v>
      </c>
      <c r="C59" s="267">
        <f>$C$4</f>
        <v>45351</v>
      </c>
      <c r="D59" s="62"/>
      <c r="E59" s="112"/>
      <c r="F59" s="285">
        <f>VLOOKUP(B59,NAV!$B$2:$H$43,4,0)</f>
        <v>16.078910212171998</v>
      </c>
      <c r="G59" s="285">
        <f t="shared" si="34"/>
        <v>16.078910212171998</v>
      </c>
      <c r="I59" s="155" t="s">
        <v>164</v>
      </c>
      <c r="J59" s="170">
        <f>SUM(M39:M54)/-SUM(K39:K54)</f>
        <v>0.89798921591369274</v>
      </c>
      <c r="L59" s="70" t="s">
        <v>161</v>
      </c>
      <c r="M59" s="71" t="b">
        <f>M54='S | 01 '!N43</f>
        <v>1</v>
      </c>
    </row>
    <row r="60" spans="2:14" x14ac:dyDescent="0.2">
      <c r="B60" s="65" t="s">
        <v>380</v>
      </c>
      <c r="C60" s="268">
        <f t="shared" si="36"/>
        <v>45351</v>
      </c>
      <c r="D60" s="67"/>
      <c r="E60" s="67"/>
      <c r="F60" s="286">
        <f ca="1">VLOOKUP(B60,NAV!$B$2:$H$43,4,0)</f>
        <v>3.1102316029671613</v>
      </c>
      <c r="G60" s="286">
        <f t="shared" ca="1" si="34"/>
        <v>3.1102316029671613</v>
      </c>
      <c r="I60" s="156" t="s">
        <v>97</v>
      </c>
      <c r="J60" s="171">
        <f>SUM(L39:L54)/-SUM(K39:K54)</f>
        <v>9.3924215486424018E-2</v>
      </c>
    </row>
    <row r="61" spans="2:14" x14ac:dyDescent="0.2">
      <c r="B61" s="61" t="s">
        <v>175</v>
      </c>
      <c r="C61" s="267">
        <f t="shared" si="36"/>
        <v>45351</v>
      </c>
      <c r="D61" s="62"/>
      <c r="E61" s="112"/>
      <c r="F61" s="285">
        <f>VLOOKUP(B61,NAV!$B$2:$H$43,4,0)</f>
        <v>12.310425</v>
      </c>
      <c r="G61" s="285">
        <f t="shared" si="34"/>
        <v>12.310425</v>
      </c>
    </row>
    <row r="63" spans="2:14" x14ac:dyDescent="0.2">
      <c r="B63" s="65"/>
      <c r="C63" s="268"/>
      <c r="D63" s="67"/>
      <c r="E63" s="67"/>
      <c r="F63" s="67"/>
      <c r="G63" s="67"/>
      <c r="I63" s="61" t="str">
        <f t="shared" ref="I63:I80" si="37">B8</f>
        <v>Sinovation Disrupt Fund, L.P.</v>
      </c>
      <c r="J63" s="64">
        <f t="shared" ref="J63:J80" si="38">C8</f>
        <v>44153</v>
      </c>
      <c r="K63" s="62">
        <f t="shared" ref="K63:K80" si="39">D8</f>
        <v>-10.5</v>
      </c>
      <c r="L63" s="332">
        <f t="shared" ref="L63:L80" si="40">E8</f>
        <v>0</v>
      </c>
      <c r="M63" s="332">
        <f t="shared" ref="M63:M80" si="41">F8</f>
        <v>0</v>
      </c>
      <c r="N63" s="62">
        <f t="shared" ref="N63:N74" si="42">SUM(K63:M63)</f>
        <v>-10.5</v>
      </c>
    </row>
    <row r="64" spans="2:14" x14ac:dyDescent="0.2">
      <c r="C64" s="79"/>
      <c r="I64" s="61" t="str">
        <f t="shared" si="37"/>
        <v>Sinovation Disrupt Fund, L.P.</v>
      </c>
      <c r="J64" s="64">
        <f t="shared" si="38"/>
        <v>44238</v>
      </c>
      <c r="K64" s="62">
        <f t="shared" si="39"/>
        <v>4.2140269999999997</v>
      </c>
      <c r="L64" s="332">
        <f t="shared" si="40"/>
        <v>0</v>
      </c>
      <c r="M64" s="332">
        <f t="shared" si="41"/>
        <v>0</v>
      </c>
      <c r="N64" s="62">
        <f t="shared" si="42"/>
        <v>4.2140269999999997</v>
      </c>
    </row>
    <row r="65" spans="3:14" x14ac:dyDescent="0.2">
      <c r="C65" s="79"/>
      <c r="I65" s="61" t="str">
        <f t="shared" si="37"/>
        <v>Sinovation Disrupt Fund, L.P.</v>
      </c>
      <c r="J65" s="64">
        <f t="shared" si="38"/>
        <v>44238</v>
      </c>
      <c r="K65" s="62">
        <f t="shared" si="39"/>
        <v>0</v>
      </c>
      <c r="L65" s="332">
        <f t="shared" si="40"/>
        <v>5.0448349999999996E-2</v>
      </c>
      <c r="M65" s="332">
        <f t="shared" si="41"/>
        <v>0</v>
      </c>
      <c r="N65" s="62">
        <f t="shared" si="42"/>
        <v>5.0448349999999996E-2</v>
      </c>
    </row>
    <row r="66" spans="3:14" x14ac:dyDescent="0.2">
      <c r="C66" s="79"/>
      <c r="I66" s="61" t="str">
        <f t="shared" si="37"/>
        <v>Sinovation Disrupt Fund, L.P.</v>
      </c>
      <c r="J66" s="64">
        <f t="shared" si="38"/>
        <v>44285</v>
      </c>
      <c r="K66" s="62">
        <f t="shared" si="39"/>
        <v>-6.4337459999999993</v>
      </c>
      <c r="L66" s="332">
        <f t="shared" si="40"/>
        <v>0</v>
      </c>
      <c r="M66" s="332">
        <f t="shared" si="41"/>
        <v>0</v>
      </c>
      <c r="N66" s="62">
        <f t="shared" si="42"/>
        <v>-6.4337459999999993</v>
      </c>
    </row>
    <row r="67" spans="3:14" x14ac:dyDescent="0.2">
      <c r="C67" s="79"/>
      <c r="I67" s="61" t="str">
        <f t="shared" si="37"/>
        <v>Sinovation Disrupt Fund, L.P.</v>
      </c>
      <c r="J67" s="64">
        <f t="shared" si="38"/>
        <v>44269</v>
      </c>
      <c r="K67" s="62">
        <f t="shared" si="39"/>
        <v>1.1352073899999999</v>
      </c>
      <c r="L67" s="332">
        <f t="shared" si="40"/>
        <v>0</v>
      </c>
      <c r="M67" s="332">
        <f t="shared" si="41"/>
        <v>0</v>
      </c>
      <c r="N67" s="62">
        <f t="shared" si="42"/>
        <v>1.1352073899999999</v>
      </c>
    </row>
    <row r="68" spans="3:14" x14ac:dyDescent="0.2">
      <c r="C68" s="79"/>
      <c r="I68" s="61" t="str">
        <f t="shared" si="37"/>
        <v>Sinovation Disrupt Fund, L.P.</v>
      </c>
      <c r="J68" s="64">
        <f t="shared" si="38"/>
        <v>44269</v>
      </c>
      <c r="K68" s="62">
        <f t="shared" si="39"/>
        <v>0</v>
      </c>
      <c r="L68" s="332">
        <f t="shared" si="40"/>
        <v>2.5899999999999999E-2</v>
      </c>
      <c r="M68" s="332">
        <f t="shared" si="41"/>
        <v>0</v>
      </c>
      <c r="N68" s="62">
        <f t="shared" si="42"/>
        <v>2.5899999999999999E-2</v>
      </c>
    </row>
    <row r="69" spans="3:14" x14ac:dyDescent="0.2">
      <c r="C69" s="79"/>
      <c r="I69" s="61" t="str">
        <f t="shared" si="37"/>
        <v>Sinovation Disrupt Fund, L.P.</v>
      </c>
      <c r="J69" s="64">
        <f t="shared" si="38"/>
        <v>44483</v>
      </c>
      <c r="K69" s="62">
        <f t="shared" si="39"/>
        <v>-7.5671379999999999</v>
      </c>
      <c r="L69" s="332">
        <f t="shared" si="40"/>
        <v>0</v>
      </c>
      <c r="M69" s="332">
        <f t="shared" si="41"/>
        <v>0</v>
      </c>
      <c r="N69" s="62">
        <f t="shared" si="42"/>
        <v>-7.5671379999999999</v>
      </c>
    </row>
    <row r="70" spans="3:14" x14ac:dyDescent="0.2">
      <c r="C70" s="79"/>
      <c r="I70" s="61" t="str">
        <f t="shared" si="37"/>
        <v>Sinovation Disrupt Fund, L.P.</v>
      </c>
      <c r="J70" s="64">
        <f t="shared" si="38"/>
        <v>44554</v>
      </c>
      <c r="K70" s="62">
        <f t="shared" si="39"/>
        <v>-7.3850159999999994</v>
      </c>
      <c r="L70" s="332">
        <f t="shared" si="40"/>
        <v>0</v>
      </c>
      <c r="M70" s="332">
        <f t="shared" si="41"/>
        <v>0</v>
      </c>
      <c r="N70" s="62">
        <f t="shared" si="42"/>
        <v>-7.3850159999999994</v>
      </c>
    </row>
    <row r="71" spans="3:14" x14ac:dyDescent="0.2">
      <c r="C71" s="79"/>
      <c r="I71" s="61" t="str">
        <f t="shared" si="37"/>
        <v>Sinovation Disrupt Fund, L.P.</v>
      </c>
      <c r="J71" s="64">
        <f t="shared" si="38"/>
        <v>44554</v>
      </c>
      <c r="K71" s="62">
        <f t="shared" si="39"/>
        <v>4.0733456099999996</v>
      </c>
      <c r="L71" s="332">
        <f t="shared" si="40"/>
        <v>0</v>
      </c>
      <c r="M71" s="332">
        <f t="shared" si="41"/>
        <v>0</v>
      </c>
      <c r="N71" s="62">
        <f t="shared" si="42"/>
        <v>4.0733456099999996</v>
      </c>
    </row>
    <row r="72" spans="3:14" x14ac:dyDescent="0.2">
      <c r="C72" s="79"/>
      <c r="I72" s="61" t="str">
        <f t="shared" si="37"/>
        <v>Sinovation Disrupt Fund, L.P.</v>
      </c>
      <c r="J72" s="64">
        <f t="shared" si="38"/>
        <v>44554</v>
      </c>
      <c r="K72" s="62">
        <f t="shared" si="39"/>
        <v>0</v>
      </c>
      <c r="L72" s="332">
        <f t="shared" si="40"/>
        <v>0.13969399999999998</v>
      </c>
      <c r="M72" s="332">
        <f t="shared" si="41"/>
        <v>0</v>
      </c>
      <c r="N72" s="62">
        <f t="shared" si="42"/>
        <v>0.13969399999999998</v>
      </c>
    </row>
    <row r="73" spans="3:14" x14ac:dyDescent="0.2">
      <c r="C73" s="79"/>
      <c r="I73" s="61" t="str">
        <f t="shared" si="37"/>
        <v>Sinovation Disrupt Fund, L.P.</v>
      </c>
      <c r="J73" s="64">
        <f t="shared" si="38"/>
        <v>44703</v>
      </c>
      <c r="K73" s="62">
        <f t="shared" si="39"/>
        <v>5.6730739999999997</v>
      </c>
      <c r="L73" s="332">
        <f t="shared" si="40"/>
        <v>0</v>
      </c>
      <c r="M73" s="332">
        <f t="shared" si="41"/>
        <v>0</v>
      </c>
      <c r="N73" s="62">
        <f t="shared" si="42"/>
        <v>5.6730739999999997</v>
      </c>
    </row>
    <row r="74" spans="3:14" x14ac:dyDescent="0.2">
      <c r="C74" s="79"/>
      <c r="I74" s="61" t="str">
        <f t="shared" si="37"/>
        <v>Sinovation Disrupt Fund, L.P.</v>
      </c>
      <c r="J74" s="64">
        <f t="shared" si="38"/>
        <v>44703</v>
      </c>
      <c r="K74" s="62">
        <f t="shared" si="39"/>
        <v>0</v>
      </c>
      <c r="L74" s="332">
        <f t="shared" si="40"/>
        <v>0.22778599999999999</v>
      </c>
      <c r="M74" s="332">
        <f t="shared" si="41"/>
        <v>0</v>
      </c>
      <c r="N74" s="62">
        <f t="shared" si="42"/>
        <v>0.22778599999999999</v>
      </c>
    </row>
    <row r="75" spans="3:14" x14ac:dyDescent="0.2">
      <c r="C75" s="79"/>
      <c r="I75" s="61" t="str">
        <f t="shared" si="37"/>
        <v>Sinovation Disrupt Fund, L.P.</v>
      </c>
      <c r="J75" s="64">
        <f t="shared" si="38"/>
        <v>44776</v>
      </c>
      <c r="K75" s="62">
        <f t="shared" si="39"/>
        <v>-3.235493</v>
      </c>
      <c r="L75" s="332">
        <f t="shared" si="40"/>
        <v>0</v>
      </c>
      <c r="M75" s="332">
        <f t="shared" si="41"/>
        <v>0</v>
      </c>
      <c r="N75" s="62">
        <f t="shared" ref="N75" si="43">SUM(K75:M75)</f>
        <v>-3.235493</v>
      </c>
    </row>
    <row r="76" spans="3:14" x14ac:dyDescent="0.2">
      <c r="C76" s="79"/>
      <c r="I76" s="61" t="str">
        <f t="shared" si="37"/>
        <v>Sinovation Disrupt Fund, L.P.</v>
      </c>
      <c r="J76" s="64">
        <f t="shared" si="38"/>
        <v>44960</v>
      </c>
      <c r="K76" s="62">
        <f t="shared" si="39"/>
        <v>-2.6315279999999999</v>
      </c>
      <c r="L76" s="332">
        <f t="shared" si="40"/>
        <v>0</v>
      </c>
      <c r="M76" s="332">
        <f t="shared" si="41"/>
        <v>0</v>
      </c>
      <c r="N76" s="62">
        <f t="shared" ref="N76" si="44">SUM(K76:M76)</f>
        <v>-2.6315279999999999</v>
      </c>
    </row>
    <row r="77" spans="3:14" x14ac:dyDescent="0.2">
      <c r="C77" s="79"/>
      <c r="I77" s="61" t="str">
        <f t="shared" si="37"/>
        <v>Sinovation Disrupt Fund, L.P.</v>
      </c>
      <c r="J77" s="64">
        <f t="shared" si="38"/>
        <v>45085</v>
      </c>
      <c r="K77" s="62">
        <f t="shared" si="39"/>
        <v>1.9125570000000001</v>
      </c>
      <c r="L77" s="332">
        <f t="shared" si="40"/>
        <v>0</v>
      </c>
      <c r="M77" s="332">
        <f t="shared" si="41"/>
        <v>0</v>
      </c>
      <c r="N77" s="62">
        <f t="shared" ref="N77" si="45">SUM(K77:M77)</f>
        <v>1.9125570000000001</v>
      </c>
    </row>
    <row r="78" spans="3:14" x14ac:dyDescent="0.2">
      <c r="C78" s="79"/>
      <c r="I78" s="61" t="str">
        <f t="shared" si="37"/>
        <v>Sinovation Disrupt Fund, L.P.</v>
      </c>
      <c r="J78" s="64">
        <f t="shared" si="38"/>
        <v>45166</v>
      </c>
      <c r="K78" s="62">
        <f t="shared" si="39"/>
        <v>-1.7991220000000001</v>
      </c>
      <c r="L78" s="332">
        <f t="shared" si="40"/>
        <v>0</v>
      </c>
      <c r="M78" s="332">
        <f t="shared" si="41"/>
        <v>0</v>
      </c>
      <c r="N78" s="62">
        <f t="shared" ref="N78" si="46">SUM(K78:M78)</f>
        <v>-1.7991220000000001</v>
      </c>
    </row>
    <row r="79" spans="3:14" x14ac:dyDescent="0.2">
      <c r="C79" s="79"/>
      <c r="I79" s="61" t="str">
        <f t="shared" si="37"/>
        <v>Sinovation Disrupt Fund, L.P.</v>
      </c>
      <c r="J79" s="64">
        <f t="shared" si="38"/>
        <v>45218</v>
      </c>
      <c r="K79" s="62">
        <f t="shared" si="39"/>
        <v>-2.415861</v>
      </c>
      <c r="L79" s="332">
        <f t="shared" si="40"/>
        <v>0</v>
      </c>
      <c r="M79" s="332">
        <f t="shared" si="41"/>
        <v>0</v>
      </c>
      <c r="N79" s="62">
        <f t="shared" ref="N79" si="47">SUM(K79:M79)</f>
        <v>-2.415861</v>
      </c>
    </row>
    <row r="80" spans="3:14" x14ac:dyDescent="0.2">
      <c r="C80" s="79"/>
      <c r="I80" s="61" t="str">
        <f t="shared" si="37"/>
        <v>Sinovation Disrupt Fund, L.P.</v>
      </c>
      <c r="J80" s="64">
        <f t="shared" si="38"/>
        <v>45323</v>
      </c>
      <c r="K80" s="62">
        <f t="shared" si="39"/>
        <v>0</v>
      </c>
      <c r="L80" s="332">
        <f t="shared" si="40"/>
        <v>24.959693000000001</v>
      </c>
      <c r="M80" s="332">
        <f t="shared" si="41"/>
        <v>0</v>
      </c>
      <c r="N80" s="62">
        <f t="shared" ref="N80" si="48">SUM(K80:M80)</f>
        <v>24.959693000000001</v>
      </c>
    </row>
    <row r="81" spans="3:14" x14ac:dyDescent="0.2">
      <c r="C81" s="79"/>
      <c r="I81" s="65" t="s">
        <v>12</v>
      </c>
      <c r="J81" s="66">
        <f>$C$4</f>
        <v>45351</v>
      </c>
      <c r="K81" s="67"/>
      <c r="L81" s="67"/>
      <c r="M81" s="67">
        <f>F57</f>
        <v>0</v>
      </c>
      <c r="N81" s="67">
        <f>SUM(K81:M81)</f>
        <v>0</v>
      </c>
    </row>
    <row r="82" spans="3:14" x14ac:dyDescent="0.2">
      <c r="C82" s="79"/>
    </row>
    <row r="83" spans="3:14" x14ac:dyDescent="0.2">
      <c r="C83" s="79"/>
      <c r="I83" s="154" t="s">
        <v>162</v>
      </c>
      <c r="J83" s="169">
        <f>XIRR(N63:N81,J63:J81)</f>
        <v>7.6422423124313356E-3</v>
      </c>
      <c r="L83" s="70" t="s">
        <v>165</v>
      </c>
      <c r="M83" s="71" t="b">
        <f ca="1">-SUM(K63:K80)='S | 01 '!K44</f>
        <v>1</v>
      </c>
    </row>
    <row r="84" spans="3:14" x14ac:dyDescent="0.2">
      <c r="C84" s="79"/>
      <c r="I84" s="155" t="s">
        <v>34</v>
      </c>
      <c r="J84" s="170">
        <f>SUM(L63:M81)/-SUM(K63:K81)</f>
        <v>1.0177818032457371</v>
      </c>
      <c r="L84" s="70" t="s">
        <v>33</v>
      </c>
      <c r="M84" s="148" t="b">
        <f>-SUM(L63:L80)=-'S | 01 '!M44</f>
        <v>1</v>
      </c>
    </row>
    <row r="85" spans="3:14" x14ac:dyDescent="0.2">
      <c r="C85" s="79"/>
      <c r="I85" s="155" t="s">
        <v>164</v>
      </c>
      <c r="J85" s="170">
        <f>SUM(M63:M81)/-SUM(K63:K81)</f>
        <v>0</v>
      </c>
      <c r="L85" s="70" t="s">
        <v>161</v>
      </c>
      <c r="M85" s="71" t="b">
        <f>M81='S | 01 '!N44</f>
        <v>1</v>
      </c>
    </row>
    <row r="86" spans="3:14" x14ac:dyDescent="0.2">
      <c r="C86" s="79"/>
      <c r="I86" s="156" t="s">
        <v>97</v>
      </c>
      <c r="J86" s="171">
        <f>SUM(L63:L81)/-SUM(K63:K81)</f>
        <v>1.0177818032457371</v>
      </c>
    </row>
    <row r="87" spans="3:14" x14ac:dyDescent="0.2">
      <c r="C87" s="79"/>
    </row>
    <row r="88" spans="3:14" x14ac:dyDescent="0.2">
      <c r="C88" s="79"/>
      <c r="I88" s="61" t="str">
        <f t="shared" ref="I88:M92" si="49">B52</f>
        <v>Acies Investments Fund I, L.P.</v>
      </c>
      <c r="J88" s="60">
        <f t="shared" si="49"/>
        <v>44540</v>
      </c>
      <c r="K88" s="62">
        <f t="shared" si="49"/>
        <v>-2.8053124999999999</v>
      </c>
      <c r="L88" s="332">
        <f t="shared" si="49"/>
        <v>0</v>
      </c>
      <c r="M88" s="332">
        <f t="shared" si="49"/>
        <v>0</v>
      </c>
      <c r="N88" s="62">
        <f t="shared" ref="N88:N93" si="50">SUM(K88:M88)</f>
        <v>-2.8053124999999999</v>
      </c>
    </row>
    <row r="89" spans="3:14" x14ac:dyDescent="0.2">
      <c r="C89" s="79"/>
      <c r="I89" s="61" t="str">
        <f t="shared" si="49"/>
        <v>Acies Investments Fund I, L.P.</v>
      </c>
      <c r="J89" s="64">
        <f t="shared" si="49"/>
        <v>44602</v>
      </c>
      <c r="K89" s="62">
        <f t="shared" si="49"/>
        <v>-3.4074999999999998</v>
      </c>
      <c r="L89" s="332">
        <f t="shared" si="49"/>
        <v>0</v>
      </c>
      <c r="M89" s="332">
        <f t="shared" si="49"/>
        <v>0</v>
      </c>
      <c r="N89" s="62">
        <f t="shared" si="50"/>
        <v>-3.4074999999999998</v>
      </c>
    </row>
    <row r="90" spans="3:14" x14ac:dyDescent="0.2">
      <c r="C90" s="79"/>
      <c r="I90" s="61" t="str">
        <f t="shared" si="49"/>
        <v>Acies Investments Fund I, L.P.</v>
      </c>
      <c r="J90" s="64">
        <f t="shared" si="49"/>
        <v>44683</v>
      </c>
      <c r="K90" s="62">
        <f t="shared" si="49"/>
        <v>-1.0257749999999999</v>
      </c>
      <c r="L90" s="332">
        <f t="shared" si="49"/>
        <v>0</v>
      </c>
      <c r="M90" s="332">
        <f t="shared" si="49"/>
        <v>0</v>
      </c>
      <c r="N90" s="62">
        <f t="shared" si="50"/>
        <v>-1.0257749999999999</v>
      </c>
    </row>
    <row r="91" spans="3:14" x14ac:dyDescent="0.2">
      <c r="C91" s="79"/>
      <c r="I91" s="61" t="str">
        <f t="shared" si="49"/>
        <v>Acies Investments Fund I, L.P.</v>
      </c>
      <c r="J91" s="64">
        <f t="shared" si="49"/>
        <v>44707</v>
      </c>
      <c r="K91" s="62">
        <f t="shared" si="49"/>
        <v>-3.3882749999999997</v>
      </c>
      <c r="L91" s="332">
        <f t="shared" si="49"/>
        <v>0</v>
      </c>
      <c r="M91" s="332">
        <f t="shared" si="49"/>
        <v>0</v>
      </c>
      <c r="N91" s="62">
        <f t="shared" si="50"/>
        <v>-3.3882749999999997</v>
      </c>
    </row>
    <row r="92" spans="3:14" x14ac:dyDescent="0.2">
      <c r="C92" s="79"/>
      <c r="I92" s="61" t="str">
        <f t="shared" si="49"/>
        <v>Acies Investments Fund I, L.P.</v>
      </c>
      <c r="J92" s="64">
        <f t="shared" si="49"/>
        <v>44875</v>
      </c>
      <c r="K92" s="62">
        <f t="shared" si="49"/>
        <v>-3.3882749999999997</v>
      </c>
      <c r="L92" s="332">
        <f t="shared" si="49"/>
        <v>0</v>
      </c>
      <c r="M92" s="332">
        <f t="shared" si="49"/>
        <v>0</v>
      </c>
      <c r="N92" s="62">
        <f t="shared" si="50"/>
        <v>-3.3882749999999997</v>
      </c>
    </row>
    <row r="93" spans="3:14" x14ac:dyDescent="0.2">
      <c r="C93" s="79"/>
      <c r="I93" s="65" t="s">
        <v>175</v>
      </c>
      <c r="J93" s="66">
        <f>$C$4</f>
        <v>45351</v>
      </c>
      <c r="K93" s="67"/>
      <c r="L93" s="67"/>
      <c r="M93" s="67">
        <f>F61</f>
        <v>12.310425</v>
      </c>
      <c r="N93" s="67">
        <f t="shared" si="50"/>
        <v>12.310425</v>
      </c>
    </row>
    <row r="94" spans="3:14" x14ac:dyDescent="0.2">
      <c r="C94" s="79"/>
    </row>
    <row r="95" spans="3:14" x14ac:dyDescent="0.2">
      <c r="C95" s="79"/>
      <c r="I95" s="154" t="s">
        <v>162</v>
      </c>
      <c r="J95" s="166">
        <f>XIRR(N88:N93,J88:J93)</f>
        <v>-6.8944522738456734E-2</v>
      </c>
      <c r="L95" s="70" t="s">
        <v>165</v>
      </c>
      <c r="M95" s="71" t="b">
        <f ca="1">-SUM(K88:K93)='S | 01 '!K45</f>
        <v>1</v>
      </c>
    </row>
    <row r="96" spans="3:14" x14ac:dyDescent="0.2">
      <c r="C96" s="79"/>
      <c r="I96" s="155" t="s">
        <v>34</v>
      </c>
      <c r="J96" s="167">
        <f>SUM(L88:M93)/-SUM(K88:K93)</f>
        <v>0.87836633782579732</v>
      </c>
      <c r="L96" s="70" t="s">
        <v>33</v>
      </c>
      <c r="M96" s="148" t="b">
        <f>-SUM(L88:L98)=-'S | 01 '!M45</f>
        <v>1</v>
      </c>
    </row>
    <row r="97" spans="3:14" x14ac:dyDescent="0.2">
      <c r="C97" s="79"/>
      <c r="I97" s="155" t="s">
        <v>164</v>
      </c>
      <c r="J97" s="167">
        <f>SUM(M88:M93)/-SUM(K88:K93)</f>
        <v>0.87836633782579732</v>
      </c>
      <c r="L97" s="70" t="s">
        <v>161</v>
      </c>
      <c r="M97" s="71" t="b">
        <f>M93='S | 01 '!N45</f>
        <v>1</v>
      </c>
    </row>
    <row r="98" spans="3:14" x14ac:dyDescent="0.2">
      <c r="C98" s="79"/>
      <c r="I98" s="156" t="s">
        <v>97</v>
      </c>
      <c r="J98" s="168">
        <f>SUM(L88:L93)/-SUM(K88:K93)</f>
        <v>0</v>
      </c>
      <c r="K98" s="147"/>
      <c r="L98" s="147"/>
      <c r="M98" s="147"/>
      <c r="N98" s="147"/>
    </row>
    <row r="99" spans="3:14" x14ac:dyDescent="0.2">
      <c r="C99" s="79"/>
    </row>
    <row r="100" spans="3:14" x14ac:dyDescent="0.2">
      <c r="C100" s="79"/>
    </row>
    <row r="101" spans="3:14" x14ac:dyDescent="0.2">
      <c r="C101" s="79"/>
    </row>
    <row r="102" spans="3:14" x14ac:dyDescent="0.2">
      <c r="C102" s="79"/>
    </row>
    <row r="103" spans="3:14" x14ac:dyDescent="0.2">
      <c r="C103" s="79"/>
    </row>
    <row r="104" spans="3:14" x14ac:dyDescent="0.2">
      <c r="C104" s="79"/>
    </row>
    <row r="105" spans="3:14" x14ac:dyDescent="0.2">
      <c r="C105" s="79"/>
    </row>
    <row r="106" spans="3:14" x14ac:dyDescent="0.2">
      <c r="C106" s="79"/>
    </row>
    <row r="107" spans="3:14" x14ac:dyDescent="0.2">
      <c r="C107" s="79"/>
    </row>
    <row r="108" spans="3:14" x14ac:dyDescent="0.2">
      <c r="C108" s="79"/>
    </row>
    <row r="109" spans="3:14" x14ac:dyDescent="0.2">
      <c r="C109" s="79"/>
    </row>
    <row r="110" spans="3:14" x14ac:dyDescent="0.2">
      <c r="C110" s="79"/>
    </row>
    <row r="111" spans="3:14" x14ac:dyDescent="0.2">
      <c r="C111" s="79"/>
    </row>
    <row r="112" spans="3:14" x14ac:dyDescent="0.2">
      <c r="C112" s="79"/>
    </row>
    <row r="113" spans="3:3" x14ac:dyDescent="0.2">
      <c r="C113" s="79"/>
    </row>
    <row r="114" spans="3:3" x14ac:dyDescent="0.2">
      <c r="C114" s="79"/>
    </row>
    <row r="115" spans="3:3" x14ac:dyDescent="0.2">
      <c r="C115" s="79"/>
    </row>
    <row r="116" spans="3:3" x14ac:dyDescent="0.2">
      <c r="C116" s="79"/>
    </row>
    <row r="117" spans="3:3" x14ac:dyDescent="0.2">
      <c r="C117" s="79"/>
    </row>
    <row r="118" spans="3:3" x14ac:dyDescent="0.2">
      <c r="C118" s="79"/>
    </row>
  </sheetData>
  <pageMargins left="0.7" right="0.7" top="0.75" bottom="0.75" header="0.3" footer="0.3"/>
  <pageSetup paperSize="9" orientation="portrait" verticalDpi="0" r:id="rId1"/>
  <ignoredErrors>
    <ignoredError sqref="G9:G19 N9" formulaRange="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5F633-CD55-4837-B5F3-3509D77E11C2}">
  <sheetPr>
    <tabColor theme="4" tint="-0.499984740745262"/>
  </sheetPr>
  <dimension ref="B2:Q197"/>
  <sheetViews>
    <sheetView zoomScale="70" zoomScaleNormal="70" workbookViewId="0">
      <selection activeCell="P9" sqref="P9"/>
    </sheetView>
  </sheetViews>
  <sheetFormatPr defaultColWidth="9.140625" defaultRowHeight="12" x14ac:dyDescent="0.2"/>
  <cols>
    <col min="1" max="1" width="9.140625" style="29"/>
    <col min="2" max="2" width="30.7109375" style="29" customWidth="1"/>
    <col min="3" max="7" width="16.5703125" style="29" customWidth="1"/>
    <col min="8" max="8" width="16.5703125" style="34" customWidth="1"/>
    <col min="9" max="9" width="20" style="29" bestFit="1" customWidth="1"/>
    <col min="10" max="13" width="24.85546875" style="29" customWidth="1"/>
    <col min="14" max="17" width="8.7109375" style="29" customWidth="1"/>
    <col min="18" max="16384" width="9.140625" style="29"/>
  </cols>
  <sheetData>
    <row r="2" spans="2:17" s="96" customFormat="1" ht="43.5" customHeight="1" x14ac:dyDescent="0.45">
      <c r="B2" s="215" t="s">
        <v>213</v>
      </c>
      <c r="C2" s="216"/>
      <c r="D2" s="216"/>
      <c r="E2" s="223"/>
      <c r="F2" s="223"/>
      <c r="G2" s="223"/>
      <c r="H2" s="216" t="s">
        <v>355</v>
      </c>
      <c r="I2" s="223" t="b">
        <f>COUNTA(B8:B108)=COUNTA('CF (Equity, Debt)'!C4:C42)+COUNTA('CF (Equity, Debt)'!C53:C56)+COUNTA('CF (Funds)'!C4:C52)</f>
        <v>0</v>
      </c>
      <c r="J2" s="217"/>
      <c r="K2" s="218"/>
      <c r="L2" s="217"/>
    </row>
    <row r="3" spans="2:17" ht="12.75" thickBot="1" x14ac:dyDescent="0.25"/>
    <row r="4" spans="2:17" s="71" customFormat="1" ht="13.5" thickBot="1" x14ac:dyDescent="0.25">
      <c r="B4" s="158" t="s">
        <v>173</v>
      </c>
      <c r="C4" s="172">
        <f>D!D2</f>
        <v>45351</v>
      </c>
    </row>
    <row r="6" spans="2:17" x14ac:dyDescent="0.2">
      <c r="B6" s="43" t="s">
        <v>95</v>
      </c>
      <c r="H6" s="29"/>
    </row>
    <row r="7" spans="2:17" ht="30.75" customHeight="1" x14ac:dyDescent="0.2">
      <c r="B7" s="41" t="s">
        <v>5</v>
      </c>
      <c r="C7" s="42" t="s">
        <v>6</v>
      </c>
      <c r="D7" s="42" t="s">
        <v>96</v>
      </c>
      <c r="E7" s="42" t="s">
        <v>33</v>
      </c>
      <c r="F7" s="43" t="s">
        <v>94</v>
      </c>
      <c r="G7" s="43" t="s">
        <v>163</v>
      </c>
      <c r="H7" s="42" t="s">
        <v>159</v>
      </c>
      <c r="I7" s="213"/>
      <c r="J7" s="69" t="s">
        <v>2</v>
      </c>
      <c r="K7" s="69" t="s">
        <v>51</v>
      </c>
      <c r="L7" s="69" t="s">
        <v>33</v>
      </c>
      <c r="M7" s="69" t="s">
        <v>161</v>
      </c>
      <c r="N7" s="69" t="s">
        <v>24</v>
      </c>
      <c r="O7" s="69" t="s">
        <v>34</v>
      </c>
      <c r="P7" s="69" t="s">
        <v>174</v>
      </c>
      <c r="Q7" s="69" t="s">
        <v>97</v>
      </c>
    </row>
    <row r="8" spans="2:17" ht="12.75" x14ac:dyDescent="0.2">
      <c r="B8" s="30" t="str">
        <f>'CF (Equity, Debt)'!C4</f>
        <v>Jollychic Holding Limited</v>
      </c>
      <c r="C8" s="31">
        <f>'CF (Equity, Debt)'!D4</f>
        <v>43470</v>
      </c>
      <c r="D8" s="39">
        <f>'CF (Equity, Debt)'!E4</f>
        <v>-30</v>
      </c>
      <c r="E8" s="39"/>
      <c r="F8" s="39"/>
      <c r="G8" s="39">
        <f>SUM(D8:F8)</f>
        <v>-30</v>
      </c>
      <c r="H8" s="35" t="s">
        <v>158</v>
      </c>
      <c r="I8" s="149"/>
      <c r="J8" s="71"/>
      <c r="K8" s="71"/>
      <c r="L8" s="71"/>
      <c r="M8" s="71"/>
      <c r="N8" s="153"/>
      <c r="O8" s="71"/>
      <c r="P8" s="71"/>
      <c r="Q8" s="71"/>
    </row>
    <row r="9" spans="2:17" ht="15" x14ac:dyDescent="0.25">
      <c r="B9" s="30" t="str">
        <f>'CF (Equity, Debt)'!C5</f>
        <v>Jollychic Holding Limited</v>
      </c>
      <c r="C9" s="31">
        <f>'CF (Equity, Debt)'!D5</f>
        <v>43724</v>
      </c>
      <c r="D9" s="39">
        <f>'CF (Equity, Debt)'!E5</f>
        <v>-20</v>
      </c>
      <c r="E9" s="39"/>
      <c r="F9" s="39"/>
      <c r="G9" s="39">
        <f t="shared" ref="G9:G34" si="0">SUM(D9:F9)</f>
        <v>-20</v>
      </c>
      <c r="H9" s="35" t="s">
        <v>158</v>
      </c>
      <c r="J9" s="45">
        <f>-SUM(D8:D140)</f>
        <v>2287.6827091541695</v>
      </c>
      <c r="K9" s="34"/>
      <c r="L9" s="45">
        <f>SUM(E8:E140)</f>
        <v>1279.8881438814083</v>
      </c>
      <c r="M9" s="45">
        <f ca="1">SUM(F8:F140)</f>
        <v>941.2365780782585</v>
      </c>
      <c r="N9" s="210">
        <f ca="1">XIRR(G8:G139,C8:C139)</f>
        <v>2.9802322387695314E-9</v>
      </c>
      <c r="O9" s="211">
        <f ca="1">(L9+M9)/J9</f>
        <v>0.97090593598134445</v>
      </c>
      <c r="P9" s="211">
        <f ca="1">M9/J9</f>
        <v>0.41143667970732889</v>
      </c>
      <c r="Q9" s="211">
        <f>L9/J9</f>
        <v>0.55946925627401556</v>
      </c>
    </row>
    <row r="10" spans="2:17" x14ac:dyDescent="0.2">
      <c r="B10" s="30" t="str">
        <f>'CF (Equity, Debt)'!C6</f>
        <v>Jollychic Holding Limited</v>
      </c>
      <c r="C10" s="31">
        <f>'CF (Equity, Debt)'!D6</f>
        <v>43724</v>
      </c>
      <c r="D10" s="39">
        <f>'CF (Equity, Debt)'!E6</f>
        <v>-15</v>
      </c>
      <c r="E10" s="39"/>
      <c r="F10" s="39"/>
      <c r="G10" s="39">
        <f t="shared" si="0"/>
        <v>-15</v>
      </c>
      <c r="H10" s="35" t="s">
        <v>158</v>
      </c>
    </row>
    <row r="11" spans="2:17" x14ac:dyDescent="0.2">
      <c r="B11" s="32" t="str">
        <f>'CF (Equity, Debt)'!C7</f>
        <v>Mena Mobile Inc</v>
      </c>
      <c r="C11" s="33">
        <f>'CF (Equity, Debt)'!D7</f>
        <v>43563</v>
      </c>
      <c r="D11" s="40">
        <f>'CF (Equity, Debt)'!E7</f>
        <v>-8</v>
      </c>
      <c r="E11" s="40"/>
      <c r="F11" s="40"/>
      <c r="G11" s="40">
        <f t="shared" si="0"/>
        <v>-8</v>
      </c>
      <c r="H11" s="36" t="s">
        <v>158</v>
      </c>
      <c r="J11" s="374" t="b">
        <f ca="1">ROUND(J9,2)=ROUND('S | 01 '!K48,2)</f>
        <v>1</v>
      </c>
      <c r="L11" s="29" t="b">
        <f ca="1">ROUND(L9,3)=ROUND('S | 01 '!M48,3)</f>
        <v>1</v>
      </c>
      <c r="M11" s="29" t="b">
        <f ca="1">ROUND(M9,3)=ROUND('S | 01 '!N48,3)</f>
        <v>1</v>
      </c>
    </row>
    <row r="12" spans="2:17" x14ac:dyDescent="0.2">
      <c r="B12" s="30" t="str">
        <f>'CF (Equity, Debt)'!C8</f>
        <v>Flyr Inc</v>
      </c>
      <c r="C12" s="31">
        <f>'CF (Equity, Debt)'!D8</f>
        <v>43570</v>
      </c>
      <c r="D12" s="39">
        <f>'CF (Equity, Debt)'!E8</f>
        <v>-4.9999980900000001</v>
      </c>
      <c r="E12" s="39"/>
      <c r="F12" s="39"/>
      <c r="G12" s="39">
        <f t="shared" si="0"/>
        <v>-4.9999980900000001</v>
      </c>
      <c r="H12" s="35" t="s">
        <v>158</v>
      </c>
      <c r="M12" s="433"/>
    </row>
    <row r="13" spans="2:17" x14ac:dyDescent="0.2">
      <c r="B13" s="30" t="str">
        <f>'CF (Equity, Debt)'!C9</f>
        <v>Flyr Inc</v>
      </c>
      <c r="C13" s="31">
        <f>'CF (Equity, Debt)'!D9</f>
        <v>43915</v>
      </c>
      <c r="D13" s="39">
        <f>'CF (Equity, Debt)'!E9</f>
        <v>-5.0000019099999999</v>
      </c>
      <c r="E13" s="39"/>
      <c r="F13" s="39"/>
      <c r="G13" s="39">
        <f t="shared" si="0"/>
        <v>-5.0000019099999999</v>
      </c>
      <c r="H13" s="35" t="s">
        <v>158</v>
      </c>
      <c r="M13" s="433"/>
    </row>
    <row r="14" spans="2:17" x14ac:dyDescent="0.2">
      <c r="B14" s="32" t="str">
        <f>'CF (Equity, Debt)'!C10</f>
        <v xml:space="preserve">Esyasoft Holding </v>
      </c>
      <c r="C14" s="33">
        <f>'CF (Equity, Debt)'!D10</f>
        <v>43870</v>
      </c>
      <c r="D14" s="40">
        <f>'CF (Equity, Debt)'!E10</f>
        <v>-2.5</v>
      </c>
      <c r="E14" s="40"/>
      <c r="F14" s="40"/>
      <c r="G14" s="40">
        <f t="shared" si="0"/>
        <v>-2.5</v>
      </c>
      <c r="H14" s="36" t="s">
        <v>158</v>
      </c>
    </row>
    <row r="15" spans="2:17" x14ac:dyDescent="0.2">
      <c r="B15" s="30" t="str">
        <f>'CF (Equity, Debt)'!C11</f>
        <v>Beyond Limits</v>
      </c>
      <c r="C15" s="31">
        <f>'CF (Equity, Debt)'!D11</f>
        <v>43879</v>
      </c>
      <c r="D15" s="39">
        <f>'CF (Equity, Debt)'!E11</f>
        <v>-20</v>
      </c>
      <c r="E15" s="39"/>
      <c r="F15" s="39"/>
      <c r="G15" s="39">
        <f t="shared" si="0"/>
        <v>-20</v>
      </c>
      <c r="H15" s="35" t="s">
        <v>158</v>
      </c>
    </row>
    <row r="16" spans="2:17" x14ac:dyDescent="0.2">
      <c r="B16" s="30" t="str">
        <f>'CF (Equity, Debt)'!C12</f>
        <v>Beyond Limits</v>
      </c>
      <c r="C16" s="31">
        <f>'CF (Equity, Debt)'!D12</f>
        <v>43921</v>
      </c>
      <c r="D16" s="39">
        <f>'CF (Equity, Debt)'!E12</f>
        <v>-30</v>
      </c>
      <c r="E16" s="39"/>
      <c r="F16" s="39"/>
      <c r="G16" s="39">
        <f t="shared" si="0"/>
        <v>-30</v>
      </c>
      <c r="H16" s="35" t="s">
        <v>158</v>
      </c>
    </row>
    <row r="17" spans="2:8" x14ac:dyDescent="0.2">
      <c r="B17" s="30" t="str">
        <f>'CF (Equity, Debt)'!C13</f>
        <v>Beyond Limits</v>
      </c>
      <c r="C17" s="31">
        <f>'CF (Equity, Debt)'!D13</f>
        <v>43989</v>
      </c>
      <c r="D17" s="39">
        <f>'CF (Equity, Debt)'!E13</f>
        <v>-30</v>
      </c>
      <c r="E17" s="39"/>
      <c r="F17" s="39"/>
      <c r="G17" s="39">
        <f t="shared" si="0"/>
        <v>-30</v>
      </c>
      <c r="H17" s="35" t="s">
        <v>158</v>
      </c>
    </row>
    <row r="18" spans="2:8" x14ac:dyDescent="0.2">
      <c r="B18" s="30" t="str">
        <f>'CF (Equity, Debt)'!C14</f>
        <v>Beyond Limits</v>
      </c>
      <c r="C18" s="31">
        <f>'CF (Equity, Debt)'!D14</f>
        <v>44103</v>
      </c>
      <c r="D18" s="39">
        <f>'CF (Equity, Debt)'!E14</f>
        <v>-10</v>
      </c>
      <c r="E18" s="39"/>
      <c r="F18" s="39"/>
      <c r="G18" s="39">
        <f t="shared" si="0"/>
        <v>-10</v>
      </c>
      <c r="H18" s="35" t="s">
        <v>158</v>
      </c>
    </row>
    <row r="19" spans="2:8" x14ac:dyDescent="0.2">
      <c r="B19" s="32" t="str">
        <f>'CF (Equity, Debt)'!C15</f>
        <v>ONT plc</v>
      </c>
      <c r="C19" s="33">
        <f>'CF (Equity, Debt)'!D15</f>
        <v>43968</v>
      </c>
      <c r="D19" s="40">
        <f>'CF (Equity, Debt)'!E15</f>
        <v>-50</v>
      </c>
      <c r="E19" s="40"/>
      <c r="F19" s="40"/>
      <c r="G19" s="40">
        <f t="shared" si="0"/>
        <v>-50</v>
      </c>
      <c r="H19" s="36" t="s">
        <v>158</v>
      </c>
    </row>
    <row r="20" spans="2:8" x14ac:dyDescent="0.2">
      <c r="B20" s="32" t="str">
        <f>'CF (Equity, Debt)'!C16</f>
        <v>ONT plc</v>
      </c>
      <c r="C20" s="33">
        <f>'CF (Equity, Debt)'!D16</f>
        <v>44006</v>
      </c>
      <c r="D20" s="40">
        <f>'CF (Equity, Debt)'!E16</f>
        <v>-27.268350856443721</v>
      </c>
      <c r="E20" s="40"/>
      <c r="F20" s="40"/>
      <c r="G20" s="40">
        <f t="shared" si="0"/>
        <v>-27.268350856443721</v>
      </c>
      <c r="H20" s="36" t="s">
        <v>158</v>
      </c>
    </row>
    <row r="21" spans="2:8" x14ac:dyDescent="0.2">
      <c r="B21" s="32" t="str">
        <f>'CF (Equity, Debt)'!C17</f>
        <v>ONT plc</v>
      </c>
      <c r="C21" s="33">
        <f>'CF (Equity, Debt)'!D17</f>
        <v>43837</v>
      </c>
      <c r="D21" s="40">
        <f>'CF (Equity, Debt)'!E17</f>
        <v>-18.109441299619355</v>
      </c>
      <c r="E21" s="40"/>
      <c r="F21" s="40"/>
      <c r="G21" s="40">
        <f t="shared" si="0"/>
        <v>-18.109441299619355</v>
      </c>
      <c r="H21" s="36" t="s">
        <v>158</v>
      </c>
    </row>
    <row r="22" spans="2:8" x14ac:dyDescent="0.2">
      <c r="B22" s="32" t="str">
        <f>'CF (Equity, Debt)'!C18</f>
        <v>ONT plc</v>
      </c>
      <c r="C22" s="33">
        <f>'CF (Equity, Debt)'!D18</f>
        <v>43990</v>
      </c>
      <c r="D22" s="40">
        <f>'CF (Equity, Debt)'!E18</f>
        <v>-34.851687094159864</v>
      </c>
      <c r="E22" s="40"/>
      <c r="F22" s="40"/>
      <c r="G22" s="40">
        <f t="shared" si="0"/>
        <v>-34.851687094159864</v>
      </c>
      <c r="H22" s="36" t="s">
        <v>158</v>
      </c>
    </row>
    <row r="23" spans="2:8" x14ac:dyDescent="0.2">
      <c r="B23" s="32" t="str">
        <f>'CF (Equity, Debt)'!C19</f>
        <v>ONT plc</v>
      </c>
      <c r="C23" s="33">
        <f>'CF (Equity, Debt)'!D19</f>
        <v>44315</v>
      </c>
      <c r="D23" s="40">
        <f>'CF (Equity, Debt)'!E19</f>
        <v>-11.240780424143557</v>
      </c>
      <c r="E23" s="40"/>
      <c r="F23" s="40"/>
      <c r="G23" s="40">
        <f t="shared" si="0"/>
        <v>-11.240780424143557</v>
      </c>
      <c r="H23" s="36" t="s">
        <v>158</v>
      </c>
    </row>
    <row r="24" spans="2:8" x14ac:dyDescent="0.2">
      <c r="B24" s="30" t="str">
        <f>'CF (Equity, Debt)'!C20</f>
        <v>Heygears</v>
      </c>
      <c r="C24" s="31">
        <f>'CF (Equity, Debt)'!D20</f>
        <v>44166</v>
      </c>
      <c r="D24" s="39">
        <f>'CF (Equity, Debt)'!E20</f>
        <v>-60</v>
      </c>
      <c r="E24" s="39"/>
      <c r="F24" s="39"/>
      <c r="G24" s="39">
        <f t="shared" si="0"/>
        <v>-60</v>
      </c>
      <c r="H24" s="35" t="s">
        <v>158</v>
      </c>
    </row>
    <row r="25" spans="2:8" x14ac:dyDescent="0.2">
      <c r="B25" s="32" t="str">
        <f>'CF (Equity, Debt)'!C21</f>
        <v>Jysan Technologies</v>
      </c>
      <c r="C25" s="33">
        <f>'CF (Equity, Debt)'!D21</f>
        <v>44363</v>
      </c>
      <c r="D25" s="40">
        <f>'CF (Equity, Debt)'!E21</f>
        <v>-20</v>
      </c>
      <c r="E25" s="40"/>
      <c r="F25" s="40"/>
      <c r="G25" s="40">
        <f t="shared" si="0"/>
        <v>-20</v>
      </c>
      <c r="H25" s="36" t="s">
        <v>158</v>
      </c>
    </row>
    <row r="26" spans="2:8" x14ac:dyDescent="0.2">
      <c r="B26" s="30" t="str">
        <f>'CF (Equity, Debt)'!C22</f>
        <v>Cerebras Systems Inc</v>
      </c>
      <c r="C26" s="31">
        <f>'CF (Equity, Debt)'!D22</f>
        <v>44488</v>
      </c>
      <c r="D26" s="39">
        <f>'CF (Equity, Debt)'!E22</f>
        <v>-39.999983359999995</v>
      </c>
      <c r="E26" s="39"/>
      <c r="F26" s="39"/>
      <c r="G26" s="39">
        <f t="shared" si="0"/>
        <v>-39.999983359999995</v>
      </c>
      <c r="H26" s="35" t="s">
        <v>158</v>
      </c>
    </row>
    <row r="27" spans="2:8" x14ac:dyDescent="0.2">
      <c r="B27" s="32" t="str">
        <f>'CF (Equity, Debt)'!C23</f>
        <v>Endless Studios LLC</v>
      </c>
      <c r="C27" s="33">
        <f>'CF (Equity, Debt)'!D23</f>
        <v>44494</v>
      </c>
      <c r="D27" s="40">
        <f>'CF (Equity, Debt)'!E23</f>
        <v>-3</v>
      </c>
      <c r="E27" s="40"/>
      <c r="F27" s="40"/>
      <c r="G27" s="40">
        <f t="shared" si="0"/>
        <v>-3</v>
      </c>
      <c r="H27" s="36" t="s">
        <v>158</v>
      </c>
    </row>
    <row r="28" spans="2:8" x14ac:dyDescent="0.2">
      <c r="B28" s="30" t="str">
        <f>'CF (Equity, Debt)'!C24</f>
        <v>Instadeep Limited</v>
      </c>
      <c r="C28" s="31">
        <f>'CF (Equity, Debt)'!D24</f>
        <v>44550</v>
      </c>
      <c r="D28" s="39">
        <f>'CF (Equity, Debt)'!E24</f>
        <v>-5.0237201984774336</v>
      </c>
      <c r="E28" s="39"/>
      <c r="F28" s="39"/>
      <c r="G28" s="39">
        <f t="shared" si="0"/>
        <v>-5.0237201984774336</v>
      </c>
      <c r="H28" s="35" t="s">
        <v>158</v>
      </c>
    </row>
    <row r="29" spans="2:8" x14ac:dyDescent="0.2">
      <c r="B29" s="32" t="str">
        <f>'CF (Equity, Debt)'!C25</f>
        <v>X-fusion</v>
      </c>
      <c r="C29" s="33">
        <f>'CF (Equity, Debt)'!D25</f>
        <v>44574</v>
      </c>
      <c r="D29" s="40">
        <f>'CF (Equity, Debt)'!E25</f>
        <v>-493.50095619999996</v>
      </c>
      <c r="E29" s="40"/>
      <c r="F29" s="40"/>
      <c r="G29" s="40">
        <f t="shared" si="0"/>
        <v>-493.50095619999996</v>
      </c>
      <c r="H29" s="36" t="s">
        <v>158</v>
      </c>
    </row>
    <row r="30" spans="2:8" x14ac:dyDescent="0.2">
      <c r="B30" s="30" t="str">
        <f>'CF (Equity, Debt)'!C26</f>
        <v>DriveNets</v>
      </c>
      <c r="C30" s="31">
        <f>'CF (Equity, Debt)'!D26</f>
        <v>44643</v>
      </c>
      <c r="D30" s="39">
        <f>'CF (Equity, Debt)'!E26</f>
        <v>-200</v>
      </c>
      <c r="E30" s="39"/>
      <c r="F30" s="39"/>
      <c r="G30" s="39">
        <f t="shared" si="0"/>
        <v>-200</v>
      </c>
      <c r="H30" s="35" t="s">
        <v>158</v>
      </c>
    </row>
    <row r="31" spans="2:8" x14ac:dyDescent="0.2">
      <c r="B31" s="30" t="str">
        <f>'CF (Equity, Debt)'!C27</f>
        <v>DriveNets</v>
      </c>
      <c r="C31" s="31">
        <f>'CF (Equity, Debt)'!D27</f>
        <v>44680</v>
      </c>
      <c r="D31" s="39">
        <f>'CF (Equity, Debt)'!E27</f>
        <v>-100</v>
      </c>
      <c r="E31" s="39"/>
      <c r="F31" s="39"/>
      <c r="G31" s="39">
        <f t="shared" si="0"/>
        <v>-100</v>
      </c>
      <c r="H31" s="35" t="s">
        <v>158</v>
      </c>
    </row>
    <row r="32" spans="2:8" x14ac:dyDescent="0.2">
      <c r="B32" s="32" t="str">
        <f>'CF (Equity, Debt)'!C28</f>
        <v xml:space="preserve">Esyasoft Holding </v>
      </c>
      <c r="C32" s="33">
        <f>'CF (Equity, Debt)'!D28</f>
        <v>44691</v>
      </c>
      <c r="D32" s="40">
        <f>'CF (Equity, Debt)'!E28</f>
        <v>0</v>
      </c>
      <c r="E32" s="40">
        <v>5</v>
      </c>
      <c r="F32" s="40"/>
      <c r="G32" s="40">
        <f t="shared" si="0"/>
        <v>5</v>
      </c>
      <c r="H32" s="36" t="s">
        <v>158</v>
      </c>
    </row>
    <row r="33" spans="2:8" x14ac:dyDescent="0.2">
      <c r="B33" s="30" t="str">
        <f>'CF (Equity, Debt)'!C29</f>
        <v>vTv Therapeutics Inc.</v>
      </c>
      <c r="C33" s="31">
        <f>'CF (Equity, Debt)'!D29</f>
        <v>44712</v>
      </c>
      <c r="D33" s="39">
        <f>'CF (Equity, Debt)'!E29</f>
        <v>-12.5</v>
      </c>
      <c r="E33" s="39"/>
      <c r="F33" s="39"/>
      <c r="G33" s="39">
        <f t="shared" si="0"/>
        <v>-12.5</v>
      </c>
      <c r="H33" s="35" t="s">
        <v>158</v>
      </c>
    </row>
    <row r="34" spans="2:8" x14ac:dyDescent="0.2">
      <c r="B34" s="32" t="str">
        <f>'CF (Equity, Debt)'!C30</f>
        <v>Honor Device Co Ltd</v>
      </c>
      <c r="C34" s="33">
        <f>'CF (Equity, Debt)'!D30</f>
        <v>44769</v>
      </c>
      <c r="D34" s="40">
        <f>'CF (Equity, Debt)'!E30</f>
        <v>-600</v>
      </c>
      <c r="E34" s="40"/>
      <c r="F34" s="40"/>
      <c r="G34" s="40">
        <f t="shared" si="0"/>
        <v>-600</v>
      </c>
      <c r="H34" s="36" t="s">
        <v>158</v>
      </c>
    </row>
    <row r="35" spans="2:8" x14ac:dyDescent="0.2">
      <c r="B35" s="32" t="str">
        <f>'CF (Equity, Debt)'!C31</f>
        <v>Honor Device Co Ltd</v>
      </c>
      <c r="C35" s="33">
        <f>'CF (Equity, Debt)'!D31</f>
        <v>44849</v>
      </c>
      <c r="D35" s="40">
        <f>'CF (Equity, Debt)'!E31</f>
        <v>-200</v>
      </c>
      <c r="E35" s="40"/>
      <c r="F35" s="40"/>
      <c r="G35" s="40">
        <f t="shared" ref="G35" si="1">SUM(D35:F35)</f>
        <v>-200</v>
      </c>
      <c r="H35" s="36" t="s">
        <v>158</v>
      </c>
    </row>
    <row r="36" spans="2:8" x14ac:dyDescent="0.2">
      <c r="B36" s="30" t="str">
        <f>'CF (Equity, Debt)'!C32</f>
        <v>Applied AI Corporation Limited</v>
      </c>
      <c r="C36" s="31">
        <f>'CF (Equity, Debt)'!D32</f>
        <v>44861</v>
      </c>
      <c r="D36" s="39">
        <f>'CF (Equity, Debt)'!E32</f>
        <v>-4.75</v>
      </c>
      <c r="E36" s="39"/>
      <c r="F36" s="39"/>
      <c r="G36" s="39">
        <f t="shared" ref="G36" si="2">SUM(D36:F36)</f>
        <v>-4.75</v>
      </c>
      <c r="H36" s="35" t="s">
        <v>158</v>
      </c>
    </row>
    <row r="37" spans="2:8" x14ac:dyDescent="0.2">
      <c r="B37" s="32" t="str">
        <f>'CF (Equity, Debt)'!C33</f>
        <v xml:space="preserve">eSpace </v>
      </c>
      <c r="C37" s="33">
        <f>'CF (Equity, Debt)'!D33</f>
        <v>44892</v>
      </c>
      <c r="D37" s="40">
        <f>'CF (Equity, Debt)'!E33</f>
        <v>-15</v>
      </c>
      <c r="E37" s="40"/>
      <c r="F37" s="40"/>
      <c r="G37" s="40">
        <f t="shared" ref="G37" si="3">SUM(D37:F37)</f>
        <v>-15</v>
      </c>
      <c r="H37" s="36" t="s">
        <v>158</v>
      </c>
    </row>
    <row r="38" spans="2:8" x14ac:dyDescent="0.2">
      <c r="B38" s="30" t="str">
        <f>'CF (Equity, Debt)'!C34</f>
        <v>vTv Therapeutics Inc.</v>
      </c>
      <c r="C38" s="31">
        <f>'CF (Equity, Debt)'!D34</f>
        <v>44985</v>
      </c>
      <c r="D38" s="39">
        <f>'CF (Equity, Debt)'!E34</f>
        <v>-12.03125</v>
      </c>
      <c r="E38" s="39"/>
      <c r="F38" s="39"/>
      <c r="G38" s="39">
        <f t="shared" ref="G38" si="4">SUM(D38:F38)</f>
        <v>-12.03125</v>
      </c>
      <c r="H38" s="35" t="s">
        <v>158</v>
      </c>
    </row>
    <row r="39" spans="2:8" x14ac:dyDescent="0.2">
      <c r="B39" s="32" t="str">
        <f>'CF (Equity, Debt)'!C35</f>
        <v>Tools for Humanity Corporation</v>
      </c>
      <c r="C39" s="33">
        <f>'CF (Equity, Debt)'!D35</f>
        <v>45075</v>
      </c>
      <c r="D39" s="40">
        <f>'CF (Equity, Debt)'!E35</f>
        <v>-14.999998939999999</v>
      </c>
      <c r="E39" s="40"/>
      <c r="F39" s="40"/>
      <c r="G39" s="40">
        <f t="shared" ref="G39" si="5">SUM(D39:F39)</f>
        <v>-14.999998939999999</v>
      </c>
      <c r="H39" s="36" t="s">
        <v>158</v>
      </c>
    </row>
    <row r="40" spans="2:8" x14ac:dyDescent="0.2">
      <c r="B40" s="30" t="str">
        <f>'CF (Equity, Debt)'!C36</f>
        <v>WLD Tokens</v>
      </c>
      <c r="C40" s="31">
        <f>'CF (Equity, Debt)'!D36</f>
        <v>45075</v>
      </c>
      <c r="D40" s="39">
        <f>'CF (Equity, Debt)'!E36</f>
        <v>-5.875E-3</v>
      </c>
      <c r="E40" s="39"/>
      <c r="F40" s="39"/>
      <c r="G40" s="39">
        <f t="shared" ref="G40:G42" si="6">SUM(D40:F40)</f>
        <v>-5.875E-3</v>
      </c>
      <c r="H40" s="35" t="s">
        <v>158</v>
      </c>
    </row>
    <row r="41" spans="2:8" x14ac:dyDescent="0.2">
      <c r="B41" s="30" t="str">
        <f>'CF (Equity, Debt)'!C37</f>
        <v>WLD Tokens</v>
      </c>
      <c r="C41" s="31">
        <f>'CF (Equity, Debt)'!D37</f>
        <v>45114</v>
      </c>
      <c r="D41" s="39">
        <f>'CF (Equity, Debt)'!E37</f>
        <v>-1E-3</v>
      </c>
      <c r="E41" s="39"/>
      <c r="F41" s="39"/>
      <c r="G41" s="39">
        <f t="shared" si="6"/>
        <v>-1E-3</v>
      </c>
      <c r="H41" s="35" t="s">
        <v>158</v>
      </c>
    </row>
    <row r="42" spans="2:8" x14ac:dyDescent="0.2">
      <c r="B42" s="32" t="str">
        <f>'CF (Equity, Debt)'!C38</f>
        <v>Applied AI Corporation Limited</v>
      </c>
      <c r="C42" s="33">
        <f>'CF (Equity, Debt)'!D38</f>
        <v>45121</v>
      </c>
      <c r="D42" s="40">
        <f>'CF (Equity, Debt)'!E38</f>
        <v>-2.75</v>
      </c>
      <c r="E42" s="40"/>
      <c r="F42" s="40"/>
      <c r="G42" s="40">
        <f t="shared" si="6"/>
        <v>-2.75</v>
      </c>
      <c r="H42" s="36" t="s">
        <v>158</v>
      </c>
    </row>
    <row r="43" spans="2:8" x14ac:dyDescent="0.2">
      <c r="B43" s="30" t="str">
        <f>'CF (Equity, Debt)'!C39</f>
        <v>Instadeep Limited</v>
      </c>
      <c r="C43" s="31">
        <f>'CF (Equity, Debt)'!D39</f>
        <v>45138</v>
      </c>
      <c r="D43" s="39">
        <f>'CF (Equity, Debt)'!E39</f>
        <v>0</v>
      </c>
      <c r="E43" s="39">
        <f>'CF (Equity, Debt)'!F39</f>
        <v>7.8207760999999989</v>
      </c>
      <c r="F43" s="39"/>
      <c r="G43" s="39">
        <f t="shared" ref="G43" si="7">SUM(D43:F43)</f>
        <v>7.8207760999999989</v>
      </c>
      <c r="H43" s="35" t="s">
        <v>158</v>
      </c>
    </row>
    <row r="44" spans="2:8" x14ac:dyDescent="0.2">
      <c r="B44" s="32" t="str">
        <f>'CF (Equity, Debt)'!C40</f>
        <v>Jysan Technologies</v>
      </c>
      <c r="C44" s="33">
        <f>'CF (Equity, Debt)'!D40</f>
        <v>45149</v>
      </c>
      <c r="D44" s="40">
        <f>'CF (Equity, Debt)'!E40</f>
        <v>0</v>
      </c>
      <c r="E44" s="40">
        <f>'CF (Equity, Debt)'!F40</f>
        <v>24.5</v>
      </c>
      <c r="F44" s="40"/>
      <c r="G44" s="40">
        <f t="shared" ref="G44:G46" si="8">SUM(D44:F44)</f>
        <v>24.5</v>
      </c>
      <c r="H44" s="36" t="s">
        <v>158</v>
      </c>
    </row>
    <row r="45" spans="2:8" x14ac:dyDescent="0.2">
      <c r="B45" s="30" t="str">
        <f>'CF (Equity, Debt)'!C41</f>
        <v>Endless Studios LLC</v>
      </c>
      <c r="C45" s="31">
        <f>'CF (Equity, Debt)'!D41</f>
        <v>45167</v>
      </c>
      <c r="D45" s="39">
        <f>'CF (Equity, Debt)'!E41</f>
        <v>-5</v>
      </c>
      <c r="E45" s="39">
        <f>'CF (Equity, Debt)'!F41</f>
        <v>0</v>
      </c>
      <c r="F45" s="39"/>
      <c r="G45" s="39">
        <f t="shared" si="8"/>
        <v>-5</v>
      </c>
      <c r="H45" s="35" t="s">
        <v>158</v>
      </c>
    </row>
    <row r="46" spans="2:8" x14ac:dyDescent="0.2">
      <c r="B46" s="32" t="str">
        <f>'CF (Equity, Debt)'!C42</f>
        <v>E-line Ventures LLC</v>
      </c>
      <c r="C46" s="33">
        <f>'CF (Equity, Debt)'!D42</f>
        <v>45167</v>
      </c>
      <c r="D46" s="40">
        <f>'CF (Equity, Debt)'!E42</f>
        <v>-6</v>
      </c>
      <c r="E46" s="40">
        <f>'CF (Equity, Debt)'!F42</f>
        <v>0</v>
      </c>
      <c r="F46" s="40"/>
      <c r="G46" s="40">
        <f t="shared" si="8"/>
        <v>-6</v>
      </c>
      <c r="H46" s="36" t="s">
        <v>158</v>
      </c>
    </row>
    <row r="47" spans="2:8" x14ac:dyDescent="0.2">
      <c r="B47" s="30" t="str">
        <f>'CF (Equity, Debt)'!C43</f>
        <v>Honor Device Co Ltd</v>
      </c>
      <c r="C47" s="31">
        <f>'CF (Equity, Debt)'!D43</f>
        <v>45224</v>
      </c>
      <c r="D47" s="39">
        <f>'CF (Equity, Debt)'!E43</f>
        <v>0</v>
      </c>
      <c r="E47" s="39">
        <f>'CF (Equity, Debt)'!F43</f>
        <v>2.8</v>
      </c>
      <c r="F47" s="39"/>
      <c r="G47" s="39">
        <f t="shared" ref="G47:G50" si="9">SUM(D47:F47)</f>
        <v>2.8</v>
      </c>
      <c r="H47" s="35" t="s">
        <v>158</v>
      </c>
    </row>
    <row r="48" spans="2:8" x14ac:dyDescent="0.2">
      <c r="B48" s="32" t="str">
        <f>'CF (Equity, Debt)'!C44</f>
        <v>Honor Device Co Ltd</v>
      </c>
      <c r="C48" s="33">
        <f>'CF (Equity, Debt)'!D44</f>
        <v>45224</v>
      </c>
      <c r="D48" s="40">
        <f>'CF (Equity, Debt)'!E44</f>
        <v>0</v>
      </c>
      <c r="E48" s="40">
        <f>'CF (Equity, Debt)'!F44</f>
        <v>800</v>
      </c>
      <c r="F48" s="40"/>
      <c r="G48" s="40">
        <f t="shared" si="9"/>
        <v>800</v>
      </c>
      <c r="H48" s="36" t="s">
        <v>158</v>
      </c>
    </row>
    <row r="49" spans="2:8" x14ac:dyDescent="0.2">
      <c r="B49" s="30" t="str">
        <f>'CF (Equity, Debt)'!C45</f>
        <v>X-fusion</v>
      </c>
      <c r="C49" s="31">
        <f>'CF (Equity, Debt)'!D45</f>
        <v>45224</v>
      </c>
      <c r="D49" s="39">
        <f>'CF (Equity, Debt)'!E45</f>
        <v>0</v>
      </c>
      <c r="E49" s="39">
        <f>'CF (Equity, Debt)'!F45</f>
        <v>403</v>
      </c>
      <c r="F49" s="39"/>
      <c r="G49" s="39">
        <f t="shared" si="9"/>
        <v>403</v>
      </c>
      <c r="H49" s="35" t="s">
        <v>158</v>
      </c>
    </row>
    <row r="50" spans="2:8" x14ac:dyDescent="0.2">
      <c r="B50" s="32" t="str">
        <f>'CF (Equity, Debt)'!C46</f>
        <v>Instadeep Limited</v>
      </c>
      <c r="C50" s="33">
        <f>'CF (Equity, Debt)'!D46</f>
        <v>45224</v>
      </c>
      <c r="D50" s="40">
        <f>'CF (Equity, Debt)'!E46</f>
        <v>0</v>
      </c>
      <c r="E50" s="40">
        <f>'CF (Equity, Debt)'!F46</f>
        <v>0.12141643000000001</v>
      </c>
      <c r="F50" s="40"/>
      <c r="G50" s="40">
        <f t="shared" si="9"/>
        <v>0.12141643000000001</v>
      </c>
      <c r="H50" s="36" t="s">
        <v>158</v>
      </c>
    </row>
    <row r="51" spans="2:8" x14ac:dyDescent="0.2">
      <c r="B51" s="30" t="str">
        <f>'CF (Equity, Debt)'!C47</f>
        <v>Applied AI Corporation Limited</v>
      </c>
      <c r="C51" s="31">
        <f>'CF (Equity, Debt)'!D47</f>
        <v>45295</v>
      </c>
      <c r="D51" s="39">
        <f>'CF (Equity, Debt)'!E47</f>
        <v>-4</v>
      </c>
      <c r="E51" s="39">
        <f>'CF (Equity, Debt)'!F47</f>
        <v>0</v>
      </c>
      <c r="F51" s="39"/>
      <c r="G51" s="39">
        <f t="shared" ref="G51:G52" si="10">SUM(D51:F51)</f>
        <v>-4</v>
      </c>
      <c r="H51" s="35" t="s">
        <v>158</v>
      </c>
    </row>
    <row r="52" spans="2:8" x14ac:dyDescent="0.2">
      <c r="B52" s="32" t="str">
        <f>'CF (Equity, Debt)'!C48</f>
        <v>School Hack (AIREV Holding Limited)</v>
      </c>
      <c r="C52" s="33">
        <f>'CF (Equity, Debt)'!D48</f>
        <v>45322</v>
      </c>
      <c r="D52" s="40">
        <f>'CF (Equity, Debt)'!E48</f>
        <v>-2.5</v>
      </c>
      <c r="E52" s="40">
        <f>'CF (Equity, Debt)'!F48</f>
        <v>0</v>
      </c>
      <c r="F52" s="40"/>
      <c r="G52" s="40">
        <f t="shared" si="10"/>
        <v>-2.5</v>
      </c>
      <c r="H52" s="36" t="s">
        <v>158</v>
      </c>
    </row>
    <row r="53" spans="2:8" x14ac:dyDescent="0.2">
      <c r="B53" s="30" t="str">
        <f>'CF (Equity, Debt)'!C49</f>
        <v>Life Biosciences LLC</v>
      </c>
      <c r="C53" s="31">
        <f>'CF (Equity, Debt)'!D49</f>
        <v>45349</v>
      </c>
      <c r="D53" s="39">
        <f>'CF (Equity, Debt)'!E49</f>
        <v>-20</v>
      </c>
      <c r="E53" s="39">
        <f>'CF (Equity, Debt)'!F49</f>
        <v>0</v>
      </c>
      <c r="F53" s="39"/>
      <c r="G53" s="39">
        <f t="shared" ref="G53" si="11">SUM(D53:F53)</f>
        <v>-20</v>
      </c>
      <c r="H53" s="35" t="s">
        <v>158</v>
      </c>
    </row>
    <row r="54" spans="2:8" x14ac:dyDescent="0.2">
      <c r="B54" s="30"/>
      <c r="C54" s="31"/>
      <c r="D54" s="39"/>
      <c r="E54" s="39"/>
      <c r="F54" s="39"/>
      <c r="G54" s="39"/>
      <c r="H54" s="35"/>
    </row>
    <row r="55" spans="2:8" x14ac:dyDescent="0.2">
      <c r="B55" s="256" t="str">
        <f>'CF (Equity, Debt)'!C53</f>
        <v xml:space="preserve">Glass Earth Holdings LLC </v>
      </c>
      <c r="C55" s="31">
        <f>'CF (Equity, Debt)'!D53</f>
        <v>43635</v>
      </c>
      <c r="D55" s="190">
        <f>'CF (Equity, Debt)'!E53</f>
        <v>-8</v>
      </c>
      <c r="E55" s="190"/>
      <c r="F55" s="190"/>
      <c r="G55" s="190">
        <f t="shared" ref="G55:G97" si="12">SUM(D55:F55)</f>
        <v>-8</v>
      </c>
      <c r="H55" s="188" t="s">
        <v>44</v>
      </c>
    </row>
    <row r="56" spans="2:8" x14ac:dyDescent="0.2">
      <c r="B56" s="187" t="str">
        <f>'CF (Equity, Debt)'!C54</f>
        <v>Mena Mobile Inc (Debt)</v>
      </c>
      <c r="C56" s="31">
        <f>'CF (Equity, Debt)'!D54</f>
        <v>44293</v>
      </c>
      <c r="D56" s="190">
        <f>'CF (Equity, Debt)'!E54</f>
        <v>-2.3539819999999998</v>
      </c>
      <c r="E56" s="190"/>
      <c r="F56" s="190"/>
      <c r="G56" s="190">
        <f t="shared" si="12"/>
        <v>-2.3539819999999998</v>
      </c>
      <c r="H56" s="188" t="s">
        <v>44</v>
      </c>
    </row>
    <row r="57" spans="2:8" x14ac:dyDescent="0.2">
      <c r="B57" s="187" t="str">
        <f>'CF (Equity, Debt)'!C55</f>
        <v>Esyasoft Holding (Debt)</v>
      </c>
      <c r="C57" s="31">
        <f>'CF (Equity, Debt)'!D55</f>
        <v>44384</v>
      </c>
      <c r="D57" s="190">
        <f>'CF (Equity, Debt)'!E55</f>
        <v>-0.41176499999999999</v>
      </c>
      <c r="E57" s="190"/>
      <c r="F57" s="190"/>
      <c r="G57" s="190">
        <f t="shared" si="12"/>
        <v>-0.41176499999999999</v>
      </c>
      <c r="H57" s="188" t="s">
        <v>44</v>
      </c>
    </row>
    <row r="58" spans="2:8" x14ac:dyDescent="0.2">
      <c r="B58" s="187" t="str">
        <f>'CF (Equity, Debt)'!C56</f>
        <v>Esyasoft Holding (Debt)</v>
      </c>
      <c r="C58" s="31">
        <f>'CF (Equity, Debt)'!D56</f>
        <v>44902</v>
      </c>
      <c r="D58" s="190">
        <f>'CF (Equity, Debt)'!E56</f>
        <v>0</v>
      </c>
      <c r="E58" s="190">
        <f>'CF (Equity, Debt)'!F56</f>
        <v>0.47078465000000003</v>
      </c>
      <c r="F58" s="190"/>
      <c r="G58" s="190">
        <f t="shared" ref="G58" si="13">SUM(D58:F58)</f>
        <v>0.47078465000000003</v>
      </c>
      <c r="H58" s="188" t="s">
        <v>44</v>
      </c>
    </row>
    <row r="59" spans="2:8" x14ac:dyDescent="0.2">
      <c r="B59" s="187"/>
      <c r="C59" s="31"/>
      <c r="D59" s="190"/>
      <c r="E59" s="190"/>
      <c r="F59" s="190"/>
      <c r="G59" s="190"/>
      <c r="H59" s="188"/>
    </row>
    <row r="60" spans="2:8" x14ac:dyDescent="0.2">
      <c r="B60" s="187" t="str">
        <f>'CF (Funds)'!C4</f>
        <v>Sinovation Disrupt Fund, L.P.</v>
      </c>
      <c r="C60" s="31">
        <f>'CF (Funds)'!D4</f>
        <v>44153</v>
      </c>
      <c r="D60" s="190">
        <f>'CF (Funds)'!E4</f>
        <v>-10.5</v>
      </c>
      <c r="E60" s="190">
        <f>'CF (Funds)'!F4</f>
        <v>0</v>
      </c>
      <c r="F60" s="190"/>
      <c r="G60" s="190">
        <f t="shared" si="12"/>
        <v>-10.5</v>
      </c>
      <c r="H60" s="188" t="s">
        <v>53</v>
      </c>
    </row>
    <row r="61" spans="2:8" x14ac:dyDescent="0.2">
      <c r="B61" s="187" t="str">
        <f>'CF (Funds)'!C5</f>
        <v>Sinovation Disrupt Fund, L.P.</v>
      </c>
      <c r="C61" s="31">
        <f>'CF (Funds)'!D5</f>
        <v>44238</v>
      </c>
      <c r="D61" s="190">
        <f>'CF (Funds)'!E5</f>
        <v>4.2140269999999997</v>
      </c>
      <c r="E61" s="190">
        <f>'CF (Funds)'!F5</f>
        <v>0</v>
      </c>
      <c r="F61" s="190"/>
      <c r="G61" s="190">
        <f t="shared" si="12"/>
        <v>4.2140269999999997</v>
      </c>
      <c r="H61" s="188" t="s">
        <v>53</v>
      </c>
    </row>
    <row r="62" spans="2:8" x14ac:dyDescent="0.2">
      <c r="B62" s="187" t="str">
        <f>'CF (Funds)'!C6</f>
        <v>Sinovation Disrupt Fund, L.P.</v>
      </c>
      <c r="C62" s="31">
        <f>'CF (Funds)'!D6</f>
        <v>44238</v>
      </c>
      <c r="D62" s="190">
        <f>'CF (Funds)'!E6</f>
        <v>0</v>
      </c>
      <c r="E62" s="190">
        <f>'CF (Funds)'!F6</f>
        <v>5.0448349999999996E-2</v>
      </c>
      <c r="F62" s="190"/>
      <c r="G62" s="190">
        <f t="shared" si="12"/>
        <v>5.0448349999999996E-2</v>
      </c>
      <c r="H62" s="188" t="s">
        <v>53</v>
      </c>
    </row>
    <row r="63" spans="2:8" x14ac:dyDescent="0.2">
      <c r="B63" s="187" t="str">
        <f>'CF (Funds)'!C7</f>
        <v>Sinovation Disrupt Fund, L.P.</v>
      </c>
      <c r="C63" s="31">
        <f>'CF (Funds)'!D7</f>
        <v>44285</v>
      </c>
      <c r="D63" s="190">
        <f>'CF (Funds)'!E7</f>
        <v>-6.4337459999999993</v>
      </c>
      <c r="E63" s="190">
        <f>'CF (Funds)'!F7</f>
        <v>0</v>
      </c>
      <c r="F63" s="190"/>
      <c r="G63" s="190">
        <f t="shared" si="12"/>
        <v>-6.4337459999999993</v>
      </c>
      <c r="H63" s="188" t="s">
        <v>53</v>
      </c>
    </row>
    <row r="64" spans="2:8" x14ac:dyDescent="0.2">
      <c r="B64" s="187" t="str">
        <f>'CF (Funds)'!C8</f>
        <v>Sinovation Disrupt Fund, L.P.</v>
      </c>
      <c r="C64" s="31">
        <f>'CF (Funds)'!D8</f>
        <v>44269</v>
      </c>
      <c r="D64" s="190">
        <f>'CF (Funds)'!E8</f>
        <v>1.1352073899999999</v>
      </c>
      <c r="E64" s="190">
        <f>'CF (Funds)'!F8</f>
        <v>0</v>
      </c>
      <c r="F64" s="190"/>
      <c r="G64" s="190">
        <f t="shared" si="12"/>
        <v>1.1352073899999999</v>
      </c>
      <c r="H64" s="188" t="s">
        <v>53</v>
      </c>
    </row>
    <row r="65" spans="2:8" x14ac:dyDescent="0.2">
      <c r="B65" s="187" t="str">
        <f>'CF (Funds)'!C9</f>
        <v>Sinovation Disrupt Fund, L.P.</v>
      </c>
      <c r="C65" s="31">
        <f>'CF (Funds)'!D9</f>
        <v>44269</v>
      </c>
      <c r="D65" s="190">
        <f>'CF (Funds)'!E9</f>
        <v>0</v>
      </c>
      <c r="E65" s="190">
        <f>'CF (Funds)'!F9</f>
        <v>2.5899999999999999E-2</v>
      </c>
      <c r="F65" s="190"/>
      <c r="G65" s="190">
        <f t="shared" si="12"/>
        <v>2.5899999999999999E-2</v>
      </c>
      <c r="H65" s="188" t="s">
        <v>53</v>
      </c>
    </row>
    <row r="66" spans="2:8" x14ac:dyDescent="0.2">
      <c r="B66" s="187" t="str">
        <f>'CF (Funds)'!C10</f>
        <v>Sinovation Disrupt Fund, L.P.</v>
      </c>
      <c r="C66" s="31">
        <f>'CF (Funds)'!D10</f>
        <v>44483</v>
      </c>
      <c r="D66" s="190">
        <f>'CF (Funds)'!E10</f>
        <v>-7.5671379999999999</v>
      </c>
      <c r="E66" s="190">
        <f>'CF (Funds)'!F10</f>
        <v>0</v>
      </c>
      <c r="F66" s="190"/>
      <c r="G66" s="190">
        <f t="shared" si="12"/>
        <v>-7.5671379999999999</v>
      </c>
      <c r="H66" s="188" t="s">
        <v>53</v>
      </c>
    </row>
    <row r="67" spans="2:8" x14ac:dyDescent="0.2">
      <c r="B67" s="187" t="str">
        <f>'CF (Funds)'!C11</f>
        <v>Sinovation Disrupt Fund, L.P.</v>
      </c>
      <c r="C67" s="31">
        <f>'CF (Funds)'!D11</f>
        <v>44554</v>
      </c>
      <c r="D67" s="190">
        <f>'CF (Funds)'!E11</f>
        <v>-7.3850159999999994</v>
      </c>
      <c r="E67" s="190">
        <f>'CF (Funds)'!F11</f>
        <v>0</v>
      </c>
      <c r="F67" s="190"/>
      <c r="G67" s="190">
        <f t="shared" si="12"/>
        <v>-7.3850159999999994</v>
      </c>
      <c r="H67" s="188" t="s">
        <v>53</v>
      </c>
    </row>
    <row r="68" spans="2:8" x14ac:dyDescent="0.2">
      <c r="B68" s="187" t="str">
        <f>'CF (Funds)'!C12</f>
        <v>Sinovation Disrupt Fund, L.P.</v>
      </c>
      <c r="C68" s="31">
        <f>'CF (Funds)'!D12</f>
        <v>44554</v>
      </c>
      <c r="D68" s="190">
        <f>'CF (Funds)'!E12</f>
        <v>4.0733456099999996</v>
      </c>
      <c r="E68" s="190">
        <f>'CF (Funds)'!F12</f>
        <v>0</v>
      </c>
      <c r="F68" s="190"/>
      <c r="G68" s="190">
        <f t="shared" si="12"/>
        <v>4.0733456099999996</v>
      </c>
      <c r="H68" s="188" t="s">
        <v>53</v>
      </c>
    </row>
    <row r="69" spans="2:8" x14ac:dyDescent="0.2">
      <c r="B69" s="187" t="str">
        <f>'CF (Funds)'!C13</f>
        <v>Sinovation Disrupt Fund, L.P.</v>
      </c>
      <c r="C69" s="31">
        <f>'CF (Funds)'!D13</f>
        <v>44554</v>
      </c>
      <c r="D69" s="190">
        <f>'CF (Funds)'!E13</f>
        <v>0</v>
      </c>
      <c r="E69" s="190">
        <f>'CF (Funds)'!F13</f>
        <v>0.13969399999999998</v>
      </c>
      <c r="F69" s="190"/>
      <c r="G69" s="190">
        <f t="shared" si="12"/>
        <v>0.13969399999999998</v>
      </c>
      <c r="H69" s="188" t="s">
        <v>53</v>
      </c>
    </row>
    <row r="70" spans="2:8" x14ac:dyDescent="0.2">
      <c r="B70" s="187" t="str">
        <f>'CF (Funds)'!C14</f>
        <v>Sinovation Disrupt Fund, L.P.</v>
      </c>
      <c r="C70" s="31">
        <f>'CF (Funds)'!D14</f>
        <v>44703</v>
      </c>
      <c r="D70" s="190">
        <f>'CF (Funds)'!E14</f>
        <v>5.6730739999999997</v>
      </c>
      <c r="E70" s="190">
        <f>'CF (Funds)'!F14</f>
        <v>0</v>
      </c>
      <c r="F70" s="190"/>
      <c r="G70" s="190">
        <f t="shared" si="12"/>
        <v>5.6730739999999997</v>
      </c>
      <c r="H70" s="188" t="s">
        <v>53</v>
      </c>
    </row>
    <row r="71" spans="2:8" x14ac:dyDescent="0.2">
      <c r="B71" s="187" t="str">
        <f>'CF (Funds)'!C15</f>
        <v>Sinovation Disrupt Fund, L.P.</v>
      </c>
      <c r="C71" s="31">
        <f>'CF (Funds)'!D15</f>
        <v>44703</v>
      </c>
      <c r="D71" s="190">
        <f>'CF (Funds)'!E15</f>
        <v>0</v>
      </c>
      <c r="E71" s="190">
        <f>'CF (Funds)'!F15</f>
        <v>0.22778599999999999</v>
      </c>
      <c r="F71" s="190"/>
      <c r="G71" s="190">
        <f t="shared" si="12"/>
        <v>0.22778599999999999</v>
      </c>
      <c r="H71" s="188" t="s">
        <v>53</v>
      </c>
    </row>
    <row r="72" spans="2:8" x14ac:dyDescent="0.2">
      <c r="B72" s="187" t="str">
        <f>'CF (Funds)'!C16</f>
        <v>Sinovation Disrupt Fund, L.P.</v>
      </c>
      <c r="C72" s="31">
        <f>'CF (Funds)'!D16</f>
        <v>44776</v>
      </c>
      <c r="D72" s="190">
        <f>'CF (Funds)'!E16</f>
        <v>-3.235493</v>
      </c>
      <c r="E72" s="190">
        <f>'CF (Funds)'!F16</f>
        <v>0</v>
      </c>
      <c r="F72" s="190"/>
      <c r="G72" s="190">
        <f t="shared" ref="G72" si="14">SUM(D72:F72)</f>
        <v>-3.235493</v>
      </c>
      <c r="H72" s="188" t="s">
        <v>53</v>
      </c>
    </row>
    <row r="73" spans="2:8" x14ac:dyDescent="0.2">
      <c r="B73" s="187" t="str">
        <f>'CF (Funds)'!C17</f>
        <v>Sinovation Disrupt Fund, L.P.</v>
      </c>
      <c r="C73" s="31">
        <f>'CF (Funds)'!D17</f>
        <v>44960</v>
      </c>
      <c r="D73" s="190">
        <f>'CF (Funds)'!E17</f>
        <v>-2.6315279999999999</v>
      </c>
      <c r="E73" s="190">
        <f>'CF (Funds)'!F17</f>
        <v>0</v>
      </c>
      <c r="F73" s="190"/>
      <c r="G73" s="190">
        <f t="shared" ref="G73" si="15">SUM(D73:F73)</f>
        <v>-2.6315279999999999</v>
      </c>
      <c r="H73" s="188" t="s">
        <v>53</v>
      </c>
    </row>
    <row r="74" spans="2:8" x14ac:dyDescent="0.2">
      <c r="B74" s="187" t="str">
        <f>'CF (Funds)'!C18</f>
        <v>Sinovation Disrupt Fund, L.P.</v>
      </c>
      <c r="C74" s="31">
        <f>'CF (Funds)'!D18</f>
        <v>45085</v>
      </c>
      <c r="D74" s="190">
        <f>'CF (Funds)'!E18</f>
        <v>1.9125570000000001</v>
      </c>
      <c r="E74" s="190">
        <f>'CF (Funds)'!F18</f>
        <v>0</v>
      </c>
      <c r="F74" s="190"/>
      <c r="G74" s="190">
        <f t="shared" ref="G74" si="16">SUM(D74:F74)</f>
        <v>1.9125570000000001</v>
      </c>
      <c r="H74" s="188" t="s">
        <v>53</v>
      </c>
    </row>
    <row r="75" spans="2:8" x14ac:dyDescent="0.2">
      <c r="B75" s="187" t="str">
        <f>'CF (Funds)'!C19</f>
        <v>Sinovation Disrupt Fund, L.P.</v>
      </c>
      <c r="C75" s="31">
        <f>'CF (Funds)'!D19</f>
        <v>45166</v>
      </c>
      <c r="D75" s="190">
        <f>'CF (Funds)'!E19</f>
        <v>-1.7991220000000001</v>
      </c>
      <c r="E75" s="190">
        <f>'CF (Funds)'!F19</f>
        <v>0</v>
      </c>
      <c r="F75" s="190"/>
      <c r="G75" s="190">
        <f t="shared" ref="G75" si="17">SUM(D75:F75)</f>
        <v>-1.7991220000000001</v>
      </c>
      <c r="H75" s="188" t="s">
        <v>53</v>
      </c>
    </row>
    <row r="76" spans="2:8" x14ac:dyDescent="0.2">
      <c r="B76" s="187" t="str">
        <f>'CF (Funds)'!C20</f>
        <v>Sinovation Disrupt Fund, L.P.</v>
      </c>
      <c r="C76" s="31">
        <f>'CF (Funds)'!D20</f>
        <v>45218</v>
      </c>
      <c r="D76" s="190">
        <f>'CF (Funds)'!E20</f>
        <v>-2.415861</v>
      </c>
      <c r="E76" s="190">
        <f>'CF (Funds)'!F20</f>
        <v>0</v>
      </c>
      <c r="F76" s="190"/>
      <c r="G76" s="190">
        <f t="shared" ref="G76" si="18">SUM(D76:F76)</f>
        <v>-2.415861</v>
      </c>
      <c r="H76" s="188" t="s">
        <v>53</v>
      </c>
    </row>
    <row r="77" spans="2:8" x14ac:dyDescent="0.2">
      <c r="B77" s="187" t="str">
        <f>'CF (Funds)'!C21</f>
        <v>Sinovation Disrupt Fund, L.P.</v>
      </c>
      <c r="C77" s="31">
        <f>'CF (Funds)'!D21</f>
        <v>45323</v>
      </c>
      <c r="D77" s="190">
        <f>'CF (Funds)'!E21</f>
        <v>0</v>
      </c>
      <c r="E77" s="190">
        <f>'CF (Funds)'!F21</f>
        <v>24.959693000000001</v>
      </c>
      <c r="F77" s="190"/>
      <c r="G77" s="190">
        <f t="shared" ref="G77" si="19">SUM(D77:F77)</f>
        <v>24.959693000000001</v>
      </c>
      <c r="H77" s="188" t="s">
        <v>53</v>
      </c>
    </row>
    <row r="78" spans="2:8" x14ac:dyDescent="0.2">
      <c r="B78" s="191" t="str">
        <f>'CF (Funds)'!C22</f>
        <v>North Summit Capital Fund</v>
      </c>
      <c r="C78" s="289">
        <f>'CF (Funds)'!D22</f>
        <v>43665</v>
      </c>
      <c r="D78" s="194">
        <f>'CF (Funds)'!E22</f>
        <v>-3</v>
      </c>
      <c r="E78" s="194">
        <f>'CF (Funds)'!F22</f>
        <v>0</v>
      </c>
      <c r="F78" s="194"/>
      <c r="G78" s="194">
        <f t="shared" si="12"/>
        <v>-3</v>
      </c>
      <c r="H78" s="192" t="s">
        <v>53</v>
      </c>
    </row>
    <row r="79" spans="2:8" x14ac:dyDescent="0.2">
      <c r="B79" s="191" t="str">
        <f>'CF (Funds)'!C23</f>
        <v>North Summit Capital Fund</v>
      </c>
      <c r="C79" s="289">
        <f>'CF (Funds)'!D23</f>
        <v>43983</v>
      </c>
      <c r="D79" s="194">
        <f>'CF (Funds)'!E23</f>
        <v>-4.4849999999999994</v>
      </c>
      <c r="E79" s="194">
        <f>'CF (Funds)'!F23</f>
        <v>0</v>
      </c>
      <c r="F79" s="194"/>
      <c r="G79" s="194">
        <f t="shared" si="12"/>
        <v>-4.4849999999999994</v>
      </c>
      <c r="H79" s="192" t="s">
        <v>53</v>
      </c>
    </row>
    <row r="80" spans="2:8" x14ac:dyDescent="0.2">
      <c r="B80" s="191" t="str">
        <f>'CF (Funds)'!C24</f>
        <v>North Summit Capital Fund</v>
      </c>
      <c r="C80" s="289">
        <f>'CF (Funds)'!D24</f>
        <v>43879</v>
      </c>
      <c r="D80" s="194">
        <f>'CF (Funds)'!E24</f>
        <v>-9.5097500000000004</v>
      </c>
      <c r="E80" s="194">
        <f>'CF (Funds)'!F24</f>
        <v>0</v>
      </c>
      <c r="F80" s="194"/>
      <c r="G80" s="194">
        <f t="shared" si="12"/>
        <v>-9.5097500000000004</v>
      </c>
      <c r="H80" s="192" t="s">
        <v>53</v>
      </c>
    </row>
    <row r="81" spans="2:8" x14ac:dyDescent="0.2">
      <c r="B81" s="191" t="str">
        <f>'CF (Funds)'!C25</f>
        <v>North Summit Capital Fund</v>
      </c>
      <c r="C81" s="289">
        <f>'CF (Funds)'!D25</f>
        <v>43934</v>
      </c>
      <c r="D81" s="194">
        <f>'CF (Funds)'!E25</f>
        <v>-41.3</v>
      </c>
      <c r="E81" s="194">
        <f>'CF (Funds)'!F25</f>
        <v>0</v>
      </c>
      <c r="F81" s="194"/>
      <c r="G81" s="194">
        <f t="shared" si="12"/>
        <v>-41.3</v>
      </c>
      <c r="H81" s="192" t="s">
        <v>53</v>
      </c>
    </row>
    <row r="82" spans="2:8" x14ac:dyDescent="0.2">
      <c r="B82" s="191" t="str">
        <f>'CF (Funds)'!C26</f>
        <v>North Summit Capital Fund</v>
      </c>
      <c r="C82" s="289">
        <f>'CF (Funds)'!D26</f>
        <v>44151</v>
      </c>
      <c r="D82" s="194">
        <f>'CF (Funds)'!E26</f>
        <v>9.9499999999999993</v>
      </c>
      <c r="E82" s="194">
        <f>'CF (Funds)'!F26</f>
        <v>0</v>
      </c>
      <c r="F82" s="194"/>
      <c r="G82" s="194">
        <f t="shared" si="12"/>
        <v>9.9499999999999993</v>
      </c>
      <c r="H82" s="192" t="s">
        <v>53</v>
      </c>
    </row>
    <row r="83" spans="2:8" x14ac:dyDescent="0.2">
      <c r="B83" s="191" t="str">
        <f>'CF (Funds)'!C27</f>
        <v>North Summit Capital Fund</v>
      </c>
      <c r="C83" s="289">
        <f>'CF (Funds)'!D27</f>
        <v>44151</v>
      </c>
      <c r="D83" s="194">
        <f>'CF (Funds)'!E27</f>
        <v>-10.455</v>
      </c>
      <c r="E83" s="194">
        <f>'CF (Funds)'!F27</f>
        <v>0</v>
      </c>
      <c r="F83" s="194"/>
      <c r="G83" s="194">
        <f t="shared" si="12"/>
        <v>-10.455</v>
      </c>
      <c r="H83" s="192" t="s">
        <v>53</v>
      </c>
    </row>
    <row r="84" spans="2:8" x14ac:dyDescent="0.2">
      <c r="B84" s="191" t="str">
        <f>'CF (Funds)'!C28</f>
        <v>North Summit Capital Fund</v>
      </c>
      <c r="C84" s="289">
        <f>'CF (Funds)'!D28</f>
        <v>44196</v>
      </c>
      <c r="D84" s="194">
        <f>'CF (Funds)'!E28</f>
        <v>4.9749999999999996</v>
      </c>
      <c r="E84" s="194">
        <f>'CF (Funds)'!F28</f>
        <v>0</v>
      </c>
      <c r="F84" s="194"/>
      <c r="G84" s="194">
        <f t="shared" si="12"/>
        <v>4.9749999999999996</v>
      </c>
      <c r="H84" s="192" t="s">
        <v>53</v>
      </c>
    </row>
    <row r="85" spans="2:8" x14ac:dyDescent="0.2">
      <c r="B85" s="191" t="str">
        <f>'CF (Funds)'!C29</f>
        <v>North Summit Capital Fund</v>
      </c>
      <c r="C85" s="289">
        <f>'CF (Funds)'!D29</f>
        <v>44196</v>
      </c>
      <c r="D85" s="194">
        <f>'CF (Funds)'!E29</f>
        <v>-3.4522930000000001</v>
      </c>
      <c r="E85" s="194">
        <f>'CF (Funds)'!F29</f>
        <v>0</v>
      </c>
      <c r="F85" s="194"/>
      <c r="G85" s="194">
        <f t="shared" si="12"/>
        <v>-3.4522930000000001</v>
      </c>
      <c r="H85" s="192" t="s">
        <v>53</v>
      </c>
    </row>
    <row r="86" spans="2:8" x14ac:dyDescent="0.2">
      <c r="B86" s="191" t="str">
        <f>'CF (Funds)'!C30</f>
        <v>North Summit Capital Fund</v>
      </c>
      <c r="C86" s="289">
        <f>'CF (Funds)'!D30</f>
        <v>44196</v>
      </c>
      <c r="D86" s="194">
        <f>'CF (Funds)'!E30</f>
        <v>0</v>
      </c>
      <c r="E86" s="194">
        <f>'CF (Funds)'!F30</f>
        <v>0.58290199999999992</v>
      </c>
      <c r="F86" s="194"/>
      <c r="G86" s="194">
        <f t="shared" si="12"/>
        <v>0.58290199999999992</v>
      </c>
      <c r="H86" s="192" t="s">
        <v>53</v>
      </c>
    </row>
    <row r="87" spans="2:8" x14ac:dyDescent="0.2">
      <c r="B87" s="191" t="str">
        <f>'CF (Funds)'!C31</f>
        <v>North Summit Capital Fund</v>
      </c>
      <c r="C87" s="289">
        <f>'CF (Funds)'!D31</f>
        <v>44370</v>
      </c>
      <c r="D87" s="194">
        <f>'CF (Funds)'!E31</f>
        <v>-5.97</v>
      </c>
      <c r="E87" s="194">
        <f>'CF (Funds)'!F31</f>
        <v>0</v>
      </c>
      <c r="F87" s="194"/>
      <c r="G87" s="194">
        <f t="shared" si="12"/>
        <v>-5.97</v>
      </c>
      <c r="H87" s="192" t="s">
        <v>53</v>
      </c>
    </row>
    <row r="88" spans="2:8" x14ac:dyDescent="0.2">
      <c r="B88" s="191" t="str">
        <f>'CF (Funds)'!C32</f>
        <v>North Summit Capital Fund</v>
      </c>
      <c r="C88" s="289">
        <f>'CF (Funds)'!D32</f>
        <v>44400</v>
      </c>
      <c r="D88" s="194">
        <f>'CF (Funds)'!E32</f>
        <v>-0.75</v>
      </c>
      <c r="E88" s="194">
        <f>'CF (Funds)'!F32</f>
        <v>0</v>
      </c>
      <c r="F88" s="194"/>
      <c r="G88" s="194">
        <f t="shared" si="12"/>
        <v>-0.75</v>
      </c>
      <c r="H88" s="192" t="s">
        <v>53</v>
      </c>
    </row>
    <row r="89" spans="2:8" x14ac:dyDescent="0.2">
      <c r="B89" s="191" t="str">
        <f>'CF (Funds)'!C33</f>
        <v>North Summit Capital Fund</v>
      </c>
      <c r="C89" s="289">
        <f>'CF (Funds)'!D33</f>
        <v>44400</v>
      </c>
      <c r="D89" s="194">
        <f>'CF (Funds)'!E33</f>
        <v>0</v>
      </c>
      <c r="E89" s="194">
        <f>'CF (Funds)'!F33</f>
        <v>0.44505899999999998</v>
      </c>
      <c r="F89" s="194"/>
      <c r="G89" s="194">
        <f t="shared" si="12"/>
        <v>0.44505899999999998</v>
      </c>
      <c r="H89" s="192" t="s">
        <v>53</v>
      </c>
    </row>
    <row r="90" spans="2:8" x14ac:dyDescent="0.2">
      <c r="B90" s="191" t="str">
        <f>'CF (Funds)'!C34</f>
        <v>North Summit Capital Fund</v>
      </c>
      <c r="C90" s="289">
        <f>'CF (Funds)'!D34</f>
        <v>44554</v>
      </c>
      <c r="D90" s="194">
        <f>'CF (Funds)'!E34</f>
        <v>1.7823899999999999</v>
      </c>
      <c r="E90" s="194">
        <f>'CF (Funds)'!F34</f>
        <v>0</v>
      </c>
      <c r="F90" s="194"/>
      <c r="G90" s="194">
        <f t="shared" si="12"/>
        <v>1.7823899999999999</v>
      </c>
      <c r="H90" s="192" t="s">
        <v>53</v>
      </c>
    </row>
    <row r="91" spans="2:8" x14ac:dyDescent="0.2">
      <c r="B91" s="191" t="str">
        <f>'CF (Funds)'!C35</f>
        <v>North Summit Capital Fund</v>
      </c>
      <c r="C91" s="289">
        <f>'CF (Funds)'!D35</f>
        <v>44676</v>
      </c>
      <c r="D91" s="194">
        <f>'CF (Funds)'!E35</f>
        <v>-21</v>
      </c>
      <c r="E91" s="194">
        <f>'CF (Funds)'!F35</f>
        <v>0</v>
      </c>
      <c r="F91" s="194"/>
      <c r="G91" s="194">
        <f t="shared" si="12"/>
        <v>-21</v>
      </c>
      <c r="H91" s="192" t="s">
        <v>53</v>
      </c>
    </row>
    <row r="92" spans="2:8" x14ac:dyDescent="0.2">
      <c r="B92" s="191" t="str">
        <f>'CF (Funds)'!C36</f>
        <v>North Summit Capital Fund</v>
      </c>
      <c r="C92" s="289">
        <f>'CF (Funds)'!D36</f>
        <v>45243</v>
      </c>
      <c r="D92" s="194">
        <f>'CF (Funds)'!E36</f>
        <v>0</v>
      </c>
      <c r="E92" s="194">
        <f>'CF (Funds)'!F36</f>
        <v>6.7879100000000001</v>
      </c>
      <c r="F92" s="194"/>
      <c r="G92" s="194">
        <f t="shared" ref="G92" si="20">SUM(D92:F92)</f>
        <v>6.7879100000000001</v>
      </c>
      <c r="H92" s="192" t="s">
        <v>53</v>
      </c>
    </row>
    <row r="93" spans="2:8" x14ac:dyDescent="0.2">
      <c r="B93" s="187" t="str">
        <f>'CF (Funds)'!C37</f>
        <v>New Space Capital Fund I</v>
      </c>
      <c r="C93" s="290">
        <f>'CF (Funds)'!D37</f>
        <v>44087</v>
      </c>
      <c r="D93" s="190">
        <f>'CF (Funds)'!E37</f>
        <v>-20.917552997000001</v>
      </c>
      <c r="E93" s="190">
        <f>'CF (Funds)'!F37</f>
        <v>0</v>
      </c>
      <c r="F93" s="190"/>
      <c r="G93" s="190">
        <f t="shared" si="12"/>
        <v>-20.917552997000001</v>
      </c>
      <c r="H93" s="188" t="s">
        <v>53</v>
      </c>
    </row>
    <row r="94" spans="2:8" x14ac:dyDescent="0.2">
      <c r="B94" s="187" t="str">
        <f>'CF (Funds)'!C38</f>
        <v>New Space Capital Fund I</v>
      </c>
      <c r="C94" s="290">
        <f>'CF (Funds)'!D38</f>
        <v>44287</v>
      </c>
      <c r="D94" s="190">
        <f>'CF (Funds)'!E38</f>
        <v>-0.21103182000000001</v>
      </c>
      <c r="E94" s="190">
        <f>'CF (Funds)'!F38</f>
        <v>0</v>
      </c>
      <c r="F94" s="190"/>
      <c r="G94" s="190">
        <f t="shared" si="12"/>
        <v>-0.21103182000000001</v>
      </c>
      <c r="H94" s="188" t="s">
        <v>53</v>
      </c>
    </row>
    <row r="95" spans="2:8" x14ac:dyDescent="0.2">
      <c r="B95" s="187" t="str">
        <f>'CF (Funds)'!C39</f>
        <v>New Space Capital Fund I</v>
      </c>
      <c r="C95" s="290">
        <f>'CF (Funds)'!D39</f>
        <v>44442</v>
      </c>
      <c r="D95" s="190">
        <f>'CF (Funds)'!E39</f>
        <v>-0.23965473139999999</v>
      </c>
      <c r="E95" s="190">
        <f>'CF (Funds)'!F39</f>
        <v>0</v>
      </c>
      <c r="F95" s="190"/>
      <c r="G95" s="190">
        <f t="shared" si="12"/>
        <v>-0.23965473139999999</v>
      </c>
      <c r="H95" s="188" t="s">
        <v>53</v>
      </c>
    </row>
    <row r="96" spans="2:8" x14ac:dyDescent="0.2">
      <c r="B96" s="187" t="str">
        <f>'CF (Funds)'!C40</f>
        <v>New Space Capital Fund I</v>
      </c>
      <c r="C96" s="290">
        <f>'CF (Funds)'!D40</f>
        <v>44623</v>
      </c>
      <c r="D96" s="190">
        <f>'CF (Funds)'!E40</f>
        <v>-0.25893584940000003</v>
      </c>
      <c r="E96" s="190">
        <f>'CF (Funds)'!F40</f>
        <v>0</v>
      </c>
      <c r="F96" s="190"/>
      <c r="G96" s="190">
        <f t="shared" si="12"/>
        <v>-0.25893584940000003</v>
      </c>
      <c r="H96" s="188" t="s">
        <v>53</v>
      </c>
    </row>
    <row r="97" spans="2:8" x14ac:dyDescent="0.2">
      <c r="B97" s="187" t="str">
        <f>'CF (Funds)'!C41</f>
        <v>New Space Capital Fund I</v>
      </c>
      <c r="C97" s="290">
        <f>'CF (Funds)'!D41</f>
        <v>44784</v>
      </c>
      <c r="D97" s="190">
        <f>'CF (Funds)'!E41</f>
        <v>1.5224656599999999E-2</v>
      </c>
      <c r="E97" s="190">
        <f>'CF (Funds)'!F41</f>
        <v>0</v>
      </c>
      <c r="F97" s="190"/>
      <c r="G97" s="190">
        <f t="shared" si="12"/>
        <v>1.5224656599999999E-2</v>
      </c>
      <c r="H97" s="188" t="s">
        <v>53</v>
      </c>
    </row>
    <row r="98" spans="2:8" x14ac:dyDescent="0.2">
      <c r="B98" s="187" t="str">
        <f>'CF (Funds)'!C42</f>
        <v>New Space Capital Fund I</v>
      </c>
      <c r="C98" s="290">
        <f>'CF (Funds)'!D42</f>
        <v>44956</v>
      </c>
      <c r="D98" s="190">
        <f>'CF (Funds)'!E42</f>
        <v>10.553916089669999</v>
      </c>
      <c r="E98" s="190">
        <f>'CF (Funds)'!F42</f>
        <v>0</v>
      </c>
      <c r="F98" s="190"/>
      <c r="G98" s="190">
        <f t="shared" ref="G98:G99" si="21">SUM(D98:F98)</f>
        <v>10.553916089669999</v>
      </c>
      <c r="H98" s="188" t="s">
        <v>53</v>
      </c>
    </row>
    <row r="99" spans="2:8" x14ac:dyDescent="0.2">
      <c r="B99" s="187" t="str">
        <f>'CF (Funds)'!C43</f>
        <v>New Space Capital Fund I</v>
      </c>
      <c r="C99" s="290">
        <f>'CF (Funds)'!D43</f>
        <v>44956</v>
      </c>
      <c r="D99" s="190">
        <f>'CF (Funds)'!E43</f>
        <v>0</v>
      </c>
      <c r="E99" s="190">
        <f>'CF (Funds)'!F43</f>
        <v>2.9557743514081998</v>
      </c>
      <c r="F99" s="190"/>
      <c r="G99" s="190">
        <f t="shared" si="21"/>
        <v>2.9557743514081998</v>
      </c>
      <c r="H99" s="188" t="s">
        <v>53</v>
      </c>
    </row>
    <row r="100" spans="2:8" x14ac:dyDescent="0.2">
      <c r="B100" s="187" t="str">
        <f>'CF (Funds)'!C44</f>
        <v>New Space Capital Fund I</v>
      </c>
      <c r="C100" s="290">
        <f>'CF (Funds)'!D44</f>
        <v>45170</v>
      </c>
      <c r="D100" s="190">
        <f>'CF (Funds)'!E44</f>
        <v>-0.22532724156300002</v>
      </c>
      <c r="E100" s="190">
        <f>'CF (Funds)'!F44</f>
        <v>0</v>
      </c>
      <c r="F100" s="190"/>
      <c r="G100" s="190">
        <f t="shared" ref="G100:G101" si="22">SUM(D100:F100)</f>
        <v>-0.22532724156300002</v>
      </c>
      <c r="H100" s="188" t="s">
        <v>53</v>
      </c>
    </row>
    <row r="101" spans="2:8" x14ac:dyDescent="0.2">
      <c r="B101" s="187" t="str">
        <f>'CF (Funds)'!C45</f>
        <v>New Space Capital Fund I</v>
      </c>
      <c r="C101" s="290">
        <f>'CF (Funds)'!D45</f>
        <v>45260</v>
      </c>
      <c r="D101" s="190">
        <f>'CF (Funds)'!E45</f>
        <v>-0.28531251529200002</v>
      </c>
      <c r="E101" s="190">
        <f>'CF (Funds)'!F45</f>
        <v>0</v>
      </c>
      <c r="F101" s="190"/>
      <c r="G101" s="190">
        <f t="shared" si="22"/>
        <v>-0.28531251529200002</v>
      </c>
      <c r="H101" s="188" t="s">
        <v>53</v>
      </c>
    </row>
    <row r="102" spans="2:8" x14ac:dyDescent="0.2">
      <c r="B102" s="187" t="str">
        <f>'CF (Funds)'!C46</f>
        <v>New Space Capital Fund I</v>
      </c>
      <c r="C102" s="290">
        <f>'CF (Funds)'!D46</f>
        <v>45321</v>
      </c>
      <c r="D102" s="190">
        <f>'CF (Funds)'!E46</f>
        <v>-2.4198785200000001</v>
      </c>
      <c r="E102" s="190">
        <f>'CF (Funds)'!F46</f>
        <v>0</v>
      </c>
      <c r="F102" s="190"/>
      <c r="G102" s="190">
        <f t="shared" ref="G102" si="23">SUM(D102:F102)</f>
        <v>-2.4198785200000001</v>
      </c>
      <c r="H102" s="188" t="s">
        <v>53</v>
      </c>
    </row>
    <row r="103" spans="2:8" x14ac:dyDescent="0.2">
      <c r="B103" s="187" t="str">
        <f>'CF (Funds)'!C47</f>
        <v>New Space Capital GP Com SCSp</v>
      </c>
      <c r="C103" s="290">
        <f>'CF (Funds)'!D47</f>
        <v>44087</v>
      </c>
      <c r="D103" s="190">
        <f>'CF (Funds)'!E47</f>
        <v>-2.7058823529411762</v>
      </c>
      <c r="E103" s="190">
        <f>'CF (Funds)'!F47</f>
        <v>0</v>
      </c>
      <c r="F103" s="190"/>
      <c r="G103" s="190">
        <f>SUM(D103:F103)</f>
        <v>-2.7058823529411762</v>
      </c>
      <c r="H103" s="188" t="s">
        <v>53</v>
      </c>
    </row>
    <row r="104" spans="2:8" x14ac:dyDescent="0.2">
      <c r="B104" s="191" t="str">
        <f>'CF (Funds)'!C48</f>
        <v>Acies Investments Fund I, L.P.</v>
      </c>
      <c r="C104" s="289">
        <f>'CF (Funds)'!D48</f>
        <v>44540</v>
      </c>
      <c r="D104" s="194">
        <f>'CF (Funds)'!E48</f>
        <v>-2.8053124999999999</v>
      </c>
      <c r="E104" s="194">
        <f>'CF (Funds)'!F48</f>
        <v>0</v>
      </c>
      <c r="F104" s="194"/>
      <c r="G104" s="194">
        <f>SUM(D104:F104)</f>
        <v>-2.8053124999999999</v>
      </c>
      <c r="H104" s="192" t="s">
        <v>53</v>
      </c>
    </row>
    <row r="105" spans="2:8" x14ac:dyDescent="0.2">
      <c r="B105" s="191" t="str">
        <f>'CF (Funds)'!C49</f>
        <v>Acies Investments Fund I, L.P.</v>
      </c>
      <c r="C105" s="289">
        <f>'CF (Funds)'!D49</f>
        <v>44602</v>
      </c>
      <c r="D105" s="194">
        <f>'CF (Funds)'!E49</f>
        <v>-3.4074999999999998</v>
      </c>
      <c r="E105" s="194">
        <f>'CF (Funds)'!F49</f>
        <v>0</v>
      </c>
      <c r="F105" s="194"/>
      <c r="G105" s="194">
        <f>SUM(D105:F105)</f>
        <v>-3.4074999999999998</v>
      </c>
      <c r="H105" s="192" t="s">
        <v>53</v>
      </c>
    </row>
    <row r="106" spans="2:8" x14ac:dyDescent="0.2">
      <c r="B106" s="191" t="str">
        <f>'CF (Funds)'!C50</f>
        <v>Acies Investments Fund I, L.P.</v>
      </c>
      <c r="C106" s="289">
        <f>'CF (Funds)'!D50</f>
        <v>44683</v>
      </c>
      <c r="D106" s="194">
        <f>'CF (Funds)'!E50</f>
        <v>-1.0257749999999999</v>
      </c>
      <c r="E106" s="194">
        <f>'CF (Funds)'!F50</f>
        <v>0</v>
      </c>
      <c r="F106" s="194"/>
      <c r="G106" s="194">
        <f>SUM(D106:F106)</f>
        <v>-1.0257749999999999</v>
      </c>
      <c r="H106" s="192" t="s">
        <v>53</v>
      </c>
    </row>
    <row r="107" spans="2:8" x14ac:dyDescent="0.2">
      <c r="B107" s="191" t="str">
        <f>'CF (Funds)'!C51</f>
        <v>Acies Investments Fund I, L.P.</v>
      </c>
      <c r="C107" s="289">
        <f>'CF (Funds)'!D51</f>
        <v>44707</v>
      </c>
      <c r="D107" s="194">
        <f>'CF (Funds)'!E51</f>
        <v>-3.3882749999999997</v>
      </c>
      <c r="E107" s="194">
        <f>'CF (Funds)'!F51</f>
        <v>0</v>
      </c>
      <c r="F107" s="194"/>
      <c r="G107" s="194">
        <f>SUM(D107:F107)</f>
        <v>-3.3882749999999997</v>
      </c>
      <c r="H107" s="192" t="s">
        <v>53</v>
      </c>
    </row>
    <row r="108" spans="2:8" x14ac:dyDescent="0.2">
      <c r="B108" s="191" t="str">
        <f>'CF (Funds)'!C52</f>
        <v>Acies Investments Fund I, L.P.</v>
      </c>
      <c r="C108" s="289">
        <f>'CF (Funds)'!D52</f>
        <v>44875</v>
      </c>
      <c r="D108" s="194">
        <f>'CF (Funds)'!E52</f>
        <v>-3.3882749999999997</v>
      </c>
      <c r="E108" s="194">
        <f>'CF (Funds)'!F52</f>
        <v>0</v>
      </c>
      <c r="F108" s="194"/>
      <c r="G108" s="194">
        <f t="shared" ref="G108" si="24">SUM(D108:F108)</f>
        <v>-3.3882749999999997</v>
      </c>
      <c r="H108" s="192" t="s">
        <v>53</v>
      </c>
    </row>
    <row r="109" spans="2:8" x14ac:dyDescent="0.2">
      <c r="B109" s="187" t="s">
        <v>48</v>
      </c>
      <c r="C109" s="290">
        <f t="shared" ref="C109:C139" si="25">$C$4</f>
        <v>45351</v>
      </c>
      <c r="D109" s="190"/>
      <c r="E109" s="190"/>
      <c r="F109" s="190">
        <f>VLOOKUP(B109,NAV!$B$10:$E$43,4,0)</f>
        <v>0</v>
      </c>
      <c r="G109" s="534">
        <f t="shared" ref="G109:G126" si="26">SUM(D109:F109)</f>
        <v>0</v>
      </c>
      <c r="H109" s="188" t="s">
        <v>275</v>
      </c>
    </row>
    <row r="110" spans="2:8" x14ac:dyDescent="0.2">
      <c r="B110" s="187" t="s">
        <v>0</v>
      </c>
      <c r="C110" s="290">
        <f t="shared" si="25"/>
        <v>45351</v>
      </c>
      <c r="D110" s="190"/>
      <c r="E110" s="190"/>
      <c r="F110" s="190">
        <f>VLOOKUP(B110,NAV!$B$10:$E$43,4,0)</f>
        <v>0</v>
      </c>
      <c r="G110" s="190">
        <f t="shared" si="26"/>
        <v>0</v>
      </c>
      <c r="H110" s="188" t="s">
        <v>275</v>
      </c>
    </row>
    <row r="111" spans="2:8" x14ac:dyDescent="0.2">
      <c r="B111" s="187" t="s">
        <v>39</v>
      </c>
      <c r="C111" s="290">
        <f t="shared" si="25"/>
        <v>45351</v>
      </c>
      <c r="D111" s="190"/>
      <c r="E111" s="190"/>
      <c r="F111" s="190">
        <f>VLOOKUP(B111,NAV!$B$10:$E$43,4,0)</f>
        <v>78.082229999999996</v>
      </c>
      <c r="G111" s="190">
        <f t="shared" si="26"/>
        <v>78.082229999999996</v>
      </c>
      <c r="H111" s="188" t="s">
        <v>275</v>
      </c>
    </row>
    <row r="112" spans="2:8" x14ac:dyDescent="0.2">
      <c r="B112" s="187" t="s">
        <v>40</v>
      </c>
      <c r="C112" s="290">
        <f t="shared" si="25"/>
        <v>45351</v>
      </c>
      <c r="D112" s="190"/>
      <c r="E112" s="190"/>
      <c r="F112" s="190">
        <f>VLOOKUP(B112,NAV!$B$10:$E$43,4,0)</f>
        <v>0</v>
      </c>
      <c r="G112" s="534">
        <f t="shared" si="26"/>
        <v>0</v>
      </c>
      <c r="H112" s="188" t="s">
        <v>275</v>
      </c>
    </row>
    <row r="113" spans="2:8" x14ac:dyDescent="0.2">
      <c r="B113" s="187" t="s">
        <v>38</v>
      </c>
      <c r="C113" s="290">
        <f t="shared" si="25"/>
        <v>45351</v>
      </c>
      <c r="D113" s="190"/>
      <c r="E113" s="190"/>
      <c r="F113" s="190">
        <f>VLOOKUP(B113,NAV!$B$10:$E$43,4,0)</f>
        <v>91.001540300000002</v>
      </c>
      <c r="G113" s="190">
        <f t="shared" si="26"/>
        <v>91.001540300000002</v>
      </c>
      <c r="H113" s="188" t="s">
        <v>275</v>
      </c>
    </row>
    <row r="114" spans="2:8" x14ac:dyDescent="0.2">
      <c r="B114" s="187" t="s">
        <v>88</v>
      </c>
      <c r="C114" s="290">
        <f t="shared" si="25"/>
        <v>45351</v>
      </c>
      <c r="D114" s="190"/>
      <c r="E114" s="190"/>
      <c r="F114" s="190">
        <f>VLOOKUP(B114,NAV!$B$10:$E$43,4,0)</f>
        <v>74.432454495000002</v>
      </c>
      <c r="G114" s="190">
        <f t="shared" si="26"/>
        <v>74.432454495000002</v>
      </c>
      <c r="H114" s="188" t="s">
        <v>275</v>
      </c>
    </row>
    <row r="115" spans="2:8" x14ac:dyDescent="0.2">
      <c r="B115" s="187" t="s">
        <v>9</v>
      </c>
      <c r="C115" s="290">
        <f t="shared" si="25"/>
        <v>45351</v>
      </c>
      <c r="D115" s="190"/>
      <c r="E115" s="190"/>
      <c r="F115" s="190">
        <f>VLOOKUP(B115,NAV!$B$10:$E$43,4,0)</f>
        <v>148.0498412781194</v>
      </c>
      <c r="G115" s="190">
        <f t="shared" si="26"/>
        <v>148.0498412781194</v>
      </c>
      <c r="H115" s="188" t="s">
        <v>275</v>
      </c>
    </row>
    <row r="116" spans="2:8" x14ac:dyDescent="0.2">
      <c r="B116" s="187" t="s">
        <v>18</v>
      </c>
      <c r="C116" s="290">
        <f t="shared" si="25"/>
        <v>45351</v>
      </c>
      <c r="D116" s="190"/>
      <c r="E116" s="190"/>
      <c r="F116" s="190">
        <f>VLOOKUP(B116,NAV!$B$10:$E$43,4,0)</f>
        <v>0</v>
      </c>
      <c r="G116" s="534">
        <f t="shared" si="26"/>
        <v>0</v>
      </c>
      <c r="H116" s="188" t="s">
        <v>275</v>
      </c>
    </row>
    <row r="117" spans="2:8" x14ac:dyDescent="0.2">
      <c r="B117" s="187" t="s">
        <v>41</v>
      </c>
      <c r="C117" s="290">
        <f t="shared" si="25"/>
        <v>45351</v>
      </c>
      <c r="D117" s="190"/>
      <c r="E117" s="190"/>
      <c r="F117" s="190">
        <f>VLOOKUP(B117,NAV!$B$10:$E$43,4,0)</f>
        <v>39.999983359999995</v>
      </c>
      <c r="G117" s="190">
        <f t="shared" si="26"/>
        <v>39.999983359999995</v>
      </c>
      <c r="H117" s="188" t="s">
        <v>275</v>
      </c>
    </row>
    <row r="118" spans="2:8" x14ac:dyDescent="0.2">
      <c r="B118" s="187" t="s">
        <v>42</v>
      </c>
      <c r="C118" s="290">
        <f t="shared" si="25"/>
        <v>45351</v>
      </c>
      <c r="D118" s="190"/>
      <c r="E118" s="190"/>
      <c r="F118" s="190">
        <f>VLOOKUP(B118,NAV!$B$10:$E$43,4,0)</f>
        <v>8</v>
      </c>
      <c r="G118" s="190">
        <f t="shared" si="26"/>
        <v>8</v>
      </c>
      <c r="H118" s="188" t="s">
        <v>275</v>
      </c>
    </row>
    <row r="119" spans="2:8" x14ac:dyDescent="0.2">
      <c r="B119" s="187" t="s">
        <v>43</v>
      </c>
      <c r="C119" s="290">
        <f t="shared" si="25"/>
        <v>45351</v>
      </c>
      <c r="D119" s="190"/>
      <c r="E119" s="190"/>
      <c r="F119" s="190">
        <f>VLOOKUP(B119,NAV!$B$10:$E$43,4,0)</f>
        <v>0</v>
      </c>
      <c r="G119" s="534">
        <f t="shared" si="26"/>
        <v>0</v>
      </c>
      <c r="H119" s="188" t="s">
        <v>275</v>
      </c>
    </row>
    <row r="120" spans="2:8" x14ac:dyDescent="0.2">
      <c r="B120" s="187" t="s">
        <v>71</v>
      </c>
      <c r="C120" s="290">
        <f t="shared" si="25"/>
        <v>45351</v>
      </c>
      <c r="D120" s="190"/>
      <c r="E120" s="190"/>
      <c r="F120" s="190">
        <f>VLOOKUP(B120,NAV!$B$10:$E$43,4,0)</f>
        <v>0</v>
      </c>
      <c r="G120" s="534">
        <f t="shared" si="26"/>
        <v>0</v>
      </c>
      <c r="H120" s="188" t="s">
        <v>275</v>
      </c>
    </row>
    <row r="121" spans="2:8" x14ac:dyDescent="0.2">
      <c r="B121" s="187" t="s">
        <v>19</v>
      </c>
      <c r="C121" s="290">
        <f t="shared" si="25"/>
        <v>45351</v>
      </c>
      <c r="D121" s="190"/>
      <c r="E121" s="190"/>
      <c r="F121" s="190">
        <f>VLOOKUP(B121,NAV!$B$10:$E$43,4,0)</f>
        <v>300</v>
      </c>
      <c r="G121" s="190">
        <f t="shared" si="26"/>
        <v>300</v>
      </c>
      <c r="H121" s="188" t="s">
        <v>275</v>
      </c>
    </row>
    <row r="122" spans="2:8" x14ac:dyDescent="0.2">
      <c r="B122" s="187" t="s">
        <v>89</v>
      </c>
      <c r="C122" s="290">
        <f t="shared" si="25"/>
        <v>45351</v>
      </c>
      <c r="D122" s="190"/>
      <c r="E122" s="190"/>
      <c r="F122" s="190">
        <f>VLOOKUP(B122,NAV!$B$10:$E$43,4,0)</f>
        <v>4.5569803500000008</v>
      </c>
      <c r="G122" s="190">
        <f t="shared" si="26"/>
        <v>4.5569803500000008</v>
      </c>
      <c r="H122" s="188" t="s">
        <v>275</v>
      </c>
    </row>
    <row r="123" spans="2:8" x14ac:dyDescent="0.2">
      <c r="B123" s="187" t="s">
        <v>35</v>
      </c>
      <c r="C123" s="290">
        <f t="shared" si="25"/>
        <v>45351</v>
      </c>
      <c r="D123" s="190"/>
      <c r="E123" s="190"/>
      <c r="F123" s="190">
        <f>VLOOKUP(B123,NAV!$B$10:$E$43,4,0)</f>
        <v>0</v>
      </c>
      <c r="G123" s="534">
        <f t="shared" si="26"/>
        <v>0</v>
      </c>
      <c r="H123" s="188" t="s">
        <v>275</v>
      </c>
    </row>
    <row r="124" spans="2:8" x14ac:dyDescent="0.2">
      <c r="B124" s="30" t="s">
        <v>269</v>
      </c>
      <c r="C124" s="290">
        <f t="shared" si="25"/>
        <v>45351</v>
      </c>
      <c r="D124" s="190"/>
      <c r="E124" s="190"/>
      <c r="F124" s="190">
        <f>VLOOKUP(B124,NAV!$B$10:$E$43,4,0)</f>
        <v>11.5</v>
      </c>
      <c r="G124" s="190">
        <f t="shared" si="26"/>
        <v>11.5</v>
      </c>
      <c r="H124" s="188" t="s">
        <v>275</v>
      </c>
    </row>
    <row r="125" spans="2:8" x14ac:dyDescent="0.2">
      <c r="B125" s="30" t="s">
        <v>304</v>
      </c>
      <c r="C125" s="290">
        <f t="shared" si="25"/>
        <v>45351</v>
      </c>
      <c r="D125" s="190"/>
      <c r="E125" s="190"/>
      <c r="F125" s="190">
        <f>VLOOKUP(B125,NAV!$B$10:$E$43,4,0)</f>
        <v>20.888121539999997</v>
      </c>
      <c r="G125" s="190">
        <f t="shared" si="26"/>
        <v>20.888121539999997</v>
      </c>
      <c r="H125" s="188" t="s">
        <v>275</v>
      </c>
    </row>
    <row r="126" spans="2:8" x14ac:dyDescent="0.2">
      <c r="B126" s="30" t="s">
        <v>381</v>
      </c>
      <c r="C126" s="290">
        <f t="shared" si="25"/>
        <v>45351</v>
      </c>
      <c r="D126" s="190"/>
      <c r="E126" s="190"/>
      <c r="F126" s="190">
        <f ca="1">VLOOKUP(B126,NAV!$B$10:$E$43,4,0)</f>
        <v>14.999998939999999</v>
      </c>
      <c r="G126" s="190">
        <f t="shared" ca="1" si="26"/>
        <v>14.999998939999999</v>
      </c>
      <c r="H126" s="188" t="s">
        <v>275</v>
      </c>
    </row>
    <row r="127" spans="2:8" x14ac:dyDescent="0.2">
      <c r="B127" s="30" t="s">
        <v>447</v>
      </c>
      <c r="C127" s="290">
        <f t="shared" si="25"/>
        <v>45351</v>
      </c>
      <c r="D127" s="190"/>
      <c r="E127" s="190"/>
      <c r="F127" s="190">
        <f ca="1">VLOOKUP(B127,NAV!$B$10:$E$43,4,0)</f>
        <v>15</v>
      </c>
      <c r="G127" s="190">
        <f t="shared" ref="G127" ca="1" si="27">SUM(D127:F127)</f>
        <v>15</v>
      </c>
      <c r="H127" s="188" t="s">
        <v>275</v>
      </c>
    </row>
    <row r="128" spans="2:8" x14ac:dyDescent="0.2">
      <c r="B128" s="30" t="s">
        <v>458</v>
      </c>
      <c r="C128" s="290">
        <f t="shared" si="25"/>
        <v>45351</v>
      </c>
      <c r="D128" s="190"/>
      <c r="E128" s="190"/>
      <c r="F128" s="190">
        <f ca="1">VLOOKUP(B128,NAV!$B$10:$E$43,4,0)</f>
        <v>6</v>
      </c>
      <c r="G128" s="190">
        <f t="shared" ref="G128" ca="1" si="28">SUM(D128:F128)</f>
        <v>6</v>
      </c>
      <c r="H128" s="188" t="s">
        <v>275</v>
      </c>
    </row>
    <row r="129" spans="2:8" x14ac:dyDescent="0.2">
      <c r="B129" s="187" t="s">
        <v>49</v>
      </c>
      <c r="C129" s="290">
        <f t="shared" si="25"/>
        <v>45351</v>
      </c>
      <c r="D129" s="190"/>
      <c r="E129" s="190"/>
      <c r="F129" s="190">
        <f>VLOOKUP(B129,NAV!$B$10:$E$43,4,0)</f>
        <v>0</v>
      </c>
      <c r="G129" s="190">
        <f t="shared" ref="G129" si="29">SUM(D129:F129)</f>
        <v>0</v>
      </c>
      <c r="H129" s="188" t="s">
        <v>275</v>
      </c>
    </row>
    <row r="130" spans="2:8" x14ac:dyDescent="0.2">
      <c r="B130" s="187" t="s">
        <v>271</v>
      </c>
      <c r="C130" s="290">
        <f t="shared" si="25"/>
        <v>45351</v>
      </c>
      <c r="D130" s="190"/>
      <c r="E130" s="190"/>
      <c r="F130" s="190">
        <f>VLOOKUP(B130,NAV!$B$10:$E$43,4,0)</f>
        <v>0</v>
      </c>
      <c r="G130" s="190">
        <f t="shared" ref="G130:G139" si="30">SUM(D130:F130)</f>
        <v>0</v>
      </c>
      <c r="H130" s="188" t="s">
        <v>275</v>
      </c>
    </row>
    <row r="131" spans="2:8" x14ac:dyDescent="0.2">
      <c r="B131" s="187" t="s">
        <v>263</v>
      </c>
      <c r="C131" s="290">
        <f t="shared" si="25"/>
        <v>45351</v>
      </c>
      <c r="D131" s="190"/>
      <c r="E131" s="190"/>
      <c r="F131" s="190">
        <f>VLOOKUP(B131,NAV!$B$10:$E$43,4,0)</f>
        <v>0</v>
      </c>
      <c r="G131" s="534">
        <f t="shared" si="30"/>
        <v>0</v>
      </c>
      <c r="H131" s="188" t="s">
        <v>275</v>
      </c>
    </row>
    <row r="132" spans="2:8" x14ac:dyDescent="0.2">
      <c r="B132" s="187" t="s">
        <v>505</v>
      </c>
      <c r="C132" s="290">
        <f t="shared" si="25"/>
        <v>45351</v>
      </c>
      <c r="D132" s="190"/>
      <c r="E132" s="190"/>
      <c r="F132" s="190">
        <f ca="1">VLOOKUP(B132,NAV!$B$10:$E$43,4,0)</f>
        <v>2.5</v>
      </c>
      <c r="G132" s="534">
        <f t="shared" ref="G132" ca="1" si="31">SUM(D132:F132)</f>
        <v>2.5</v>
      </c>
      <c r="H132" s="188" t="s">
        <v>275</v>
      </c>
    </row>
    <row r="133" spans="2:8" x14ac:dyDescent="0.2">
      <c r="B133" s="187" t="s">
        <v>645</v>
      </c>
      <c r="C133" s="290">
        <f t="shared" si="25"/>
        <v>45351</v>
      </c>
      <c r="D133" s="190"/>
      <c r="E133" s="190"/>
      <c r="F133" s="190">
        <f>VLOOKUP(B133,NAV!$B$10:$E$43,4,0)</f>
        <v>20</v>
      </c>
      <c r="G133" s="534">
        <f t="shared" ref="G133" si="32">SUM(D133:F133)</f>
        <v>20</v>
      </c>
      <c r="H133" s="188" t="s">
        <v>275</v>
      </c>
    </row>
    <row r="134" spans="2:8" x14ac:dyDescent="0.2">
      <c r="B134" s="187"/>
      <c r="C134" s="290"/>
      <c r="D134" s="190"/>
      <c r="E134" s="190"/>
      <c r="F134" s="190"/>
      <c r="G134" s="534"/>
      <c r="H134" s="188"/>
    </row>
    <row r="135" spans="2:8" x14ac:dyDescent="0.2">
      <c r="B135" s="187" t="s">
        <v>124</v>
      </c>
      <c r="C135" s="290">
        <f t="shared" si="25"/>
        <v>45351</v>
      </c>
      <c r="D135" s="190"/>
      <c r="E135" s="190"/>
      <c r="F135" s="190">
        <f>VLOOKUP(B135,NAV!$B$10:$E$43,4,0)</f>
        <v>16.078910212171998</v>
      </c>
      <c r="G135" s="190">
        <f t="shared" si="30"/>
        <v>16.078910212171998</v>
      </c>
      <c r="H135" s="188" t="s">
        <v>275</v>
      </c>
    </row>
    <row r="136" spans="2:8" x14ac:dyDescent="0.2">
      <c r="B136" s="187" t="s">
        <v>380</v>
      </c>
      <c r="C136" s="290">
        <f t="shared" si="25"/>
        <v>45351</v>
      </c>
      <c r="D136" s="190"/>
      <c r="E136" s="190"/>
      <c r="F136" s="190">
        <f ca="1">VLOOKUP(B136,NAV!$B$10:$E$43,4,0)</f>
        <v>3.1102316029671613</v>
      </c>
      <c r="G136" s="190">
        <f t="shared" ca="1" si="30"/>
        <v>3.1102316029671613</v>
      </c>
      <c r="H136" s="188" t="s">
        <v>275</v>
      </c>
    </row>
    <row r="137" spans="2:8" x14ac:dyDescent="0.2">
      <c r="B137" s="187" t="s">
        <v>1</v>
      </c>
      <c r="C137" s="290">
        <f t="shared" si="25"/>
        <v>45351</v>
      </c>
      <c r="D137" s="190"/>
      <c r="E137" s="190"/>
      <c r="F137" s="190">
        <f>VLOOKUP(B137,NAV!$B$10:$E$43,4,0)</f>
        <v>74.725861000000009</v>
      </c>
      <c r="G137" s="190">
        <f t="shared" si="30"/>
        <v>74.725861000000009</v>
      </c>
      <c r="H137" s="188" t="s">
        <v>275</v>
      </c>
    </row>
    <row r="138" spans="2:8" x14ac:dyDescent="0.2">
      <c r="B138" s="187" t="s">
        <v>12</v>
      </c>
      <c r="C138" s="290">
        <f t="shared" si="25"/>
        <v>45351</v>
      </c>
      <c r="D138" s="190"/>
      <c r="E138" s="190"/>
      <c r="F138" s="190">
        <f>VLOOKUP(B138,NAV!$B$10:$E$43,4,0)</f>
        <v>0</v>
      </c>
      <c r="G138" s="534">
        <f t="shared" si="30"/>
        <v>0</v>
      </c>
      <c r="H138" s="188" t="s">
        <v>275</v>
      </c>
    </row>
    <row r="139" spans="2:8" x14ac:dyDescent="0.2">
      <c r="B139" s="187" t="s">
        <v>175</v>
      </c>
      <c r="C139" s="290">
        <f t="shared" si="25"/>
        <v>45351</v>
      </c>
      <c r="D139" s="190"/>
      <c r="E139" s="190"/>
      <c r="F139" s="190">
        <f>VLOOKUP(B139,NAV!$B$10:$E$43,4,0)</f>
        <v>12.310425</v>
      </c>
      <c r="G139" s="190">
        <f t="shared" si="30"/>
        <v>12.310425</v>
      </c>
      <c r="H139" s="188" t="s">
        <v>275</v>
      </c>
    </row>
    <row r="140" spans="2:8" x14ac:dyDescent="0.2">
      <c r="C140" s="291"/>
    </row>
    <row r="141" spans="2:8" x14ac:dyDescent="0.2">
      <c r="C141" s="291"/>
    </row>
    <row r="142" spans="2:8" x14ac:dyDescent="0.2">
      <c r="C142" s="291"/>
    </row>
    <row r="143" spans="2:8" x14ac:dyDescent="0.2">
      <c r="C143" s="291"/>
    </row>
    <row r="144" spans="2:8" x14ac:dyDescent="0.2">
      <c r="C144" s="291"/>
    </row>
    <row r="145" spans="3:3" x14ac:dyDescent="0.2">
      <c r="C145" s="291"/>
    </row>
    <row r="146" spans="3:3" x14ac:dyDescent="0.2">
      <c r="C146" s="291"/>
    </row>
    <row r="147" spans="3:3" x14ac:dyDescent="0.2">
      <c r="C147" s="291"/>
    </row>
    <row r="148" spans="3:3" x14ac:dyDescent="0.2">
      <c r="C148" s="291"/>
    </row>
    <row r="149" spans="3:3" x14ac:dyDescent="0.2">
      <c r="C149" s="291"/>
    </row>
    <row r="150" spans="3:3" x14ac:dyDescent="0.2">
      <c r="C150" s="291"/>
    </row>
    <row r="151" spans="3:3" x14ac:dyDescent="0.2">
      <c r="C151" s="291"/>
    </row>
    <row r="152" spans="3:3" x14ac:dyDescent="0.2">
      <c r="C152" s="291"/>
    </row>
    <row r="153" spans="3:3" x14ac:dyDescent="0.2">
      <c r="C153" s="291"/>
    </row>
    <row r="154" spans="3:3" x14ac:dyDescent="0.2">
      <c r="C154" s="291"/>
    </row>
    <row r="155" spans="3:3" x14ac:dyDescent="0.2">
      <c r="C155" s="291"/>
    </row>
    <row r="156" spans="3:3" x14ac:dyDescent="0.2">
      <c r="C156" s="291"/>
    </row>
    <row r="157" spans="3:3" x14ac:dyDescent="0.2">
      <c r="C157" s="291"/>
    </row>
    <row r="158" spans="3:3" x14ac:dyDescent="0.2">
      <c r="C158" s="291"/>
    </row>
    <row r="159" spans="3:3" x14ac:dyDescent="0.2">
      <c r="C159" s="291"/>
    </row>
    <row r="160" spans="3:3" x14ac:dyDescent="0.2">
      <c r="C160" s="291"/>
    </row>
    <row r="161" spans="3:3" x14ac:dyDescent="0.2">
      <c r="C161" s="291"/>
    </row>
    <row r="162" spans="3:3" x14ac:dyDescent="0.2">
      <c r="C162" s="291"/>
    </row>
    <row r="163" spans="3:3" x14ac:dyDescent="0.2">
      <c r="C163" s="291"/>
    </row>
    <row r="164" spans="3:3" x14ac:dyDescent="0.2">
      <c r="C164" s="291"/>
    </row>
    <row r="165" spans="3:3" x14ac:dyDescent="0.2">
      <c r="C165" s="291"/>
    </row>
    <row r="166" spans="3:3" x14ac:dyDescent="0.2">
      <c r="C166" s="291"/>
    </row>
    <row r="167" spans="3:3" x14ac:dyDescent="0.2">
      <c r="C167" s="291"/>
    </row>
    <row r="168" spans="3:3" x14ac:dyDescent="0.2">
      <c r="C168" s="291"/>
    </row>
    <row r="169" spans="3:3" x14ac:dyDescent="0.2">
      <c r="C169" s="291"/>
    </row>
    <row r="170" spans="3:3" x14ac:dyDescent="0.2">
      <c r="C170" s="291"/>
    </row>
    <row r="171" spans="3:3" x14ac:dyDescent="0.2">
      <c r="C171" s="291"/>
    </row>
    <row r="172" spans="3:3" x14ac:dyDescent="0.2">
      <c r="C172" s="291"/>
    </row>
    <row r="173" spans="3:3" x14ac:dyDescent="0.2">
      <c r="C173" s="291"/>
    </row>
    <row r="174" spans="3:3" x14ac:dyDescent="0.2">
      <c r="C174" s="291"/>
    </row>
    <row r="175" spans="3:3" x14ac:dyDescent="0.2">
      <c r="C175" s="291"/>
    </row>
    <row r="176" spans="3:3" x14ac:dyDescent="0.2">
      <c r="C176" s="291"/>
    </row>
    <row r="177" spans="3:3" x14ac:dyDescent="0.2">
      <c r="C177" s="291"/>
    </row>
    <row r="178" spans="3:3" x14ac:dyDescent="0.2">
      <c r="C178" s="291"/>
    </row>
    <row r="179" spans="3:3" x14ac:dyDescent="0.2">
      <c r="C179" s="291"/>
    </row>
    <row r="180" spans="3:3" x14ac:dyDescent="0.2">
      <c r="C180" s="291"/>
    </row>
    <row r="181" spans="3:3" x14ac:dyDescent="0.2">
      <c r="C181" s="291"/>
    </row>
    <row r="182" spans="3:3" x14ac:dyDescent="0.2">
      <c r="C182" s="291"/>
    </row>
    <row r="183" spans="3:3" x14ac:dyDescent="0.2">
      <c r="C183" s="291"/>
    </row>
    <row r="184" spans="3:3" x14ac:dyDescent="0.2">
      <c r="C184" s="291"/>
    </row>
    <row r="185" spans="3:3" x14ac:dyDescent="0.2">
      <c r="C185" s="291"/>
    </row>
    <row r="186" spans="3:3" x14ac:dyDescent="0.2">
      <c r="C186" s="291"/>
    </row>
    <row r="187" spans="3:3" x14ac:dyDescent="0.2">
      <c r="C187" s="291"/>
    </row>
    <row r="188" spans="3:3" x14ac:dyDescent="0.2">
      <c r="C188" s="291"/>
    </row>
    <row r="189" spans="3:3" x14ac:dyDescent="0.2">
      <c r="C189" s="291"/>
    </row>
    <row r="190" spans="3:3" x14ac:dyDescent="0.2">
      <c r="C190" s="291"/>
    </row>
    <row r="191" spans="3:3" x14ac:dyDescent="0.2">
      <c r="C191" s="291"/>
    </row>
    <row r="192" spans="3:3" x14ac:dyDescent="0.2">
      <c r="C192" s="291"/>
    </row>
    <row r="193" spans="3:3" x14ac:dyDescent="0.2">
      <c r="C193" s="291"/>
    </row>
    <row r="194" spans="3:3" x14ac:dyDescent="0.2">
      <c r="C194" s="291"/>
    </row>
    <row r="195" spans="3:3" x14ac:dyDescent="0.2">
      <c r="C195" s="291"/>
    </row>
    <row r="196" spans="3:3" x14ac:dyDescent="0.2">
      <c r="C196" s="291"/>
    </row>
    <row r="197" spans="3:3" x14ac:dyDescent="0.2">
      <c r="C197" s="291"/>
    </row>
  </sheetData>
  <pageMargins left="0.7" right="0.7" top="0.75" bottom="0.75" header="0.3" footer="0.3"/>
  <pageSetup paperSize="9" orientation="portrait" verticalDpi="0" r:id="rId1"/>
  <ignoredErrors>
    <ignoredError sqref="G8:G34"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4F52E-07F1-40F1-94E4-981C92EE782A}">
  <sheetPr>
    <tabColor theme="4" tint="-0.499984740745262"/>
  </sheetPr>
  <dimension ref="B2:R125"/>
  <sheetViews>
    <sheetView zoomScale="70" zoomScaleNormal="70" workbookViewId="0">
      <selection activeCell="K9" sqref="K9"/>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96" customFormat="1" ht="43.5" customHeight="1" x14ac:dyDescent="0.45">
      <c r="B2" s="215" t="s">
        <v>301</v>
      </c>
      <c r="C2" s="305"/>
      <c r="D2" s="305"/>
      <c r="E2" s="216"/>
      <c r="F2" s="216"/>
      <c r="G2" s="223" t="s">
        <v>355</v>
      </c>
      <c r="H2" s="223" t="b">
        <f>H5=H4</f>
        <v>1</v>
      </c>
      <c r="I2" s="223"/>
      <c r="J2" s="223"/>
      <c r="K2" s="217"/>
      <c r="L2" s="218"/>
      <c r="M2" s="217"/>
    </row>
    <row r="3" spans="2:18" ht="12.75" thickBot="1" x14ac:dyDescent="0.25"/>
    <row r="4" spans="2:18" s="71" customFormat="1" ht="13.5" thickBot="1" x14ac:dyDescent="0.25">
      <c r="B4" s="158" t="s">
        <v>173</v>
      </c>
      <c r="C4" s="306"/>
      <c r="D4" s="306"/>
      <c r="E4" s="172">
        <f>D!D2</f>
        <v>45351</v>
      </c>
      <c r="H4" s="71">
        <f>COUNTIF('CF (Equity, Debt)'!$B$4:$B$66,MID('CF (Equity, Debt)'!$B$4:$B$66,1,4))</f>
        <v>35</v>
      </c>
    </row>
    <row r="5" spans="2:18" ht="12.75" x14ac:dyDescent="0.2">
      <c r="G5" s="71"/>
      <c r="H5" s="71">
        <f>COUNTIFS('CF (Equity, Debt)'!B4:B56,"Mozn")+COUNTIFS('CF (Funds)'!B4:B52,"Mozn")</f>
        <v>35</v>
      </c>
      <c r="K5" s="29" t="b">
        <f ca="1">K9='S | 02'!L30</f>
        <v>1</v>
      </c>
      <c r="M5" s="29" t="b">
        <f ca="1">M9='S | 02'!M30</f>
        <v>1</v>
      </c>
      <c r="N5" s="29" t="b">
        <f ca="1">N9='S | 02'!N30</f>
        <v>1</v>
      </c>
    </row>
    <row r="7" spans="2:18" ht="12.75" x14ac:dyDescent="0.2">
      <c r="J7" s="213"/>
      <c r="K7" s="69" t="s">
        <v>2</v>
      </c>
      <c r="L7" s="69" t="s">
        <v>51</v>
      </c>
      <c r="M7" s="69" t="s">
        <v>33</v>
      </c>
      <c r="N7" s="69" t="s">
        <v>161</v>
      </c>
      <c r="O7" s="69" t="s">
        <v>24</v>
      </c>
      <c r="P7" s="69" t="s">
        <v>34</v>
      </c>
      <c r="Q7" s="69" t="s">
        <v>174</v>
      </c>
      <c r="R7" s="69" t="s">
        <v>97</v>
      </c>
    </row>
    <row r="8" spans="2:18" ht="12.75" x14ac:dyDescent="0.2">
      <c r="J8" s="149"/>
      <c r="K8" s="71"/>
      <c r="L8" s="71"/>
      <c r="M8" s="71"/>
      <c r="N8" s="71"/>
      <c r="O8" s="153"/>
      <c r="P8" s="71"/>
      <c r="Q8" s="71"/>
      <c r="R8" s="71"/>
    </row>
    <row r="9" spans="2:18" ht="15" x14ac:dyDescent="0.25">
      <c r="K9" s="307">
        <f>-SUM(F12:F71)</f>
        <v>1001.7675403728437</v>
      </c>
      <c r="L9" s="307"/>
      <c r="M9" s="45">
        <f>SUM(G12:G71)</f>
        <v>440.91297717999998</v>
      </c>
      <c r="N9" s="307">
        <f ca="1">SUM(H12:H71)</f>
        <v>507.95416991311936</v>
      </c>
      <c r="O9" s="210">
        <f ca="1">XIRR(I12:I71,E12:E71)</f>
        <v>-2.0768167823553087E-2</v>
      </c>
      <c r="P9" s="211">
        <f ca="1">(M9+N9)/K9</f>
        <v>0.94719294532139109</v>
      </c>
      <c r="Q9" s="211">
        <f ca="1">N9/K9</f>
        <v>0.50705792456008913</v>
      </c>
      <c r="R9" s="211">
        <f>M9/K9</f>
        <v>0.44013502076130201</v>
      </c>
    </row>
    <row r="10" spans="2:18" ht="15" x14ac:dyDescent="0.25">
      <c r="B10" s="304" t="s">
        <v>95</v>
      </c>
      <c r="C10" s="43"/>
      <c r="D10" s="43"/>
      <c r="E10" s="43"/>
      <c r="F10" s="43"/>
      <c r="G10" s="43"/>
      <c r="H10" s="43"/>
      <c r="I10" s="43"/>
      <c r="K10" s="45"/>
      <c r="L10" s="34"/>
      <c r="M10" s="45"/>
      <c r="N10" s="45"/>
      <c r="O10" s="210"/>
      <c r="P10" s="211"/>
      <c r="Q10" s="211"/>
      <c r="R10" s="211"/>
    </row>
    <row r="11" spans="2:18" x14ac:dyDescent="0.2">
      <c r="B11" s="301" t="s">
        <v>5</v>
      </c>
      <c r="C11" s="303" t="s">
        <v>159</v>
      </c>
      <c r="D11" s="303" t="s">
        <v>121</v>
      </c>
      <c r="E11" s="302" t="s">
        <v>6</v>
      </c>
      <c r="F11" s="302" t="s">
        <v>96</v>
      </c>
      <c r="G11" s="302" t="s">
        <v>33</v>
      </c>
      <c r="H11" s="303" t="s">
        <v>94</v>
      </c>
      <c r="I11" s="303" t="s">
        <v>163</v>
      </c>
    </row>
    <row r="12" spans="2:18" x14ac:dyDescent="0.2">
      <c r="B12" s="30" t="str">
        <f>'CF (Equity, Debt)'!C4</f>
        <v>Jollychic Holding Limited</v>
      </c>
      <c r="C12" s="35" t="str">
        <f>VLOOKUP(B12,'S | 02'!$C$6:$J$41,2,0)</f>
        <v>Direct Investment</v>
      </c>
      <c r="D12" s="35" t="str">
        <f>VLOOKUP(B12,'S | 02'!$C$6:$J$41,5,0)</f>
        <v>Mozn</v>
      </c>
      <c r="E12" s="31">
        <f>'CF (Equity, Debt)'!D4</f>
        <v>43470</v>
      </c>
      <c r="F12" s="39">
        <f>'CF (Equity, Debt)'!E4</f>
        <v>-30</v>
      </c>
      <c r="G12" s="39"/>
      <c r="H12" s="39"/>
      <c r="I12" s="39">
        <f>SUM(F12:H12)</f>
        <v>-30</v>
      </c>
      <c r="K12" s="29" t="s">
        <v>2</v>
      </c>
      <c r="L12" s="311">
        <f>-SUM(F12:F83)</f>
        <v>1001.7675403728437</v>
      </c>
      <c r="M12" s="29" t="b">
        <f ca="1">'S | 02'!L30=L12</f>
        <v>1</v>
      </c>
    </row>
    <row r="13" spans="2:18" ht="12.75" x14ac:dyDescent="0.2">
      <c r="B13" s="30" t="str">
        <f>'CF (Equity, Debt)'!C5</f>
        <v>Jollychic Holding Limited</v>
      </c>
      <c r="C13" s="35" t="str">
        <f>VLOOKUP(B13,'S | 02'!$C$6:$J$41,2,0)</f>
        <v>Direct Investment</v>
      </c>
      <c r="D13" s="35" t="str">
        <f>VLOOKUP(B13,'S | 02'!$C$6:$J$41,5,0)</f>
        <v>Mozn</v>
      </c>
      <c r="E13" s="31">
        <f>'CF (Equity, Debt)'!D5</f>
        <v>43724</v>
      </c>
      <c r="F13" s="39">
        <f>'CF (Equity, Debt)'!E5</f>
        <v>-20</v>
      </c>
      <c r="G13" s="39"/>
      <c r="H13" s="39"/>
      <c r="I13" s="39">
        <f t="shared" ref="I13:I28" si="0">SUM(F13:H13)</f>
        <v>-20</v>
      </c>
      <c r="K13" s="29" t="s">
        <v>275</v>
      </c>
      <c r="L13" s="311">
        <f ca="1">SUM(H12:H83)</f>
        <v>507.95416991311936</v>
      </c>
      <c r="M13" s="150"/>
      <c r="N13" s="150"/>
      <c r="O13" s="173"/>
      <c r="P13" s="164"/>
      <c r="Q13" s="164"/>
      <c r="R13" s="164"/>
    </row>
    <row r="14" spans="2:18" x14ac:dyDescent="0.2">
      <c r="B14" s="30" t="str">
        <f>'CF (Equity, Debt)'!C6</f>
        <v>Jollychic Holding Limited</v>
      </c>
      <c r="C14" s="35" t="str">
        <f>VLOOKUP(B14,'S | 02'!$C$6:$J$41,2,0)</f>
        <v>Direct Investment</v>
      </c>
      <c r="D14" s="35" t="str">
        <f>VLOOKUP(B14,'S | 02'!$C$6:$J$41,5,0)</f>
        <v>Mozn</v>
      </c>
      <c r="E14" s="31">
        <f>'CF (Equity, Debt)'!D6</f>
        <v>43724</v>
      </c>
      <c r="F14" s="39">
        <f>'CF (Equity, Debt)'!E6</f>
        <v>-15</v>
      </c>
      <c r="G14" s="39"/>
      <c r="H14" s="39"/>
      <c r="I14" s="39">
        <f t="shared" si="0"/>
        <v>-15</v>
      </c>
      <c r="K14" s="29" t="s">
        <v>33</v>
      </c>
      <c r="L14" s="310">
        <f>SUM(G12:G83)</f>
        <v>440.91297717999998</v>
      </c>
    </row>
    <row r="15" spans="2:18" x14ac:dyDescent="0.2">
      <c r="B15" s="32" t="str">
        <f>'CF (Equity, Debt)'!C7</f>
        <v>Mena Mobile Inc</v>
      </c>
      <c r="C15" s="36" t="str">
        <f>VLOOKUP(B15,'S | 02'!$C$6:$J$41,2,0)</f>
        <v>Direct Investment</v>
      </c>
      <c r="D15" s="36" t="str">
        <f>VLOOKUP(B15,'S | 02'!$C$6:$J$41,5,0)</f>
        <v>Mozn</v>
      </c>
      <c r="E15" s="33">
        <f>'CF (Equity, Debt)'!D7</f>
        <v>43563</v>
      </c>
      <c r="F15" s="40">
        <f>'CF (Equity, Debt)'!E7</f>
        <v>-8</v>
      </c>
      <c r="G15" s="40"/>
      <c r="H15" s="40"/>
      <c r="I15" s="40">
        <f t="shared" si="0"/>
        <v>-8</v>
      </c>
      <c r="K15" s="29" t="s">
        <v>276</v>
      </c>
      <c r="L15" s="310">
        <f ca="1">L14+L13-L12</f>
        <v>-52.900393279724312</v>
      </c>
    </row>
    <row r="16" spans="2:18" x14ac:dyDescent="0.2">
      <c r="B16" s="30" t="str">
        <f>'CF (Equity, Debt)'!C8</f>
        <v>Flyr Inc</v>
      </c>
      <c r="C16" s="35" t="str">
        <f>VLOOKUP(B16,'S | 02'!$C$6:$J$41,2,0)</f>
        <v>Direct Investment</v>
      </c>
      <c r="D16" s="35" t="str">
        <f>VLOOKUP(B16,'S | 02'!$C$6:$J$41,5,0)</f>
        <v>Mozn</v>
      </c>
      <c r="E16" s="31">
        <f>'CF (Equity, Debt)'!D8</f>
        <v>43570</v>
      </c>
      <c r="F16" s="39">
        <f>'CF (Equity, Debt)'!E8</f>
        <v>-4.9999980900000001</v>
      </c>
      <c r="G16" s="39"/>
      <c r="H16" s="39"/>
      <c r="I16" s="39">
        <f t="shared" si="0"/>
        <v>-4.9999980900000001</v>
      </c>
      <c r="K16" s="29" t="s">
        <v>24</v>
      </c>
      <c r="L16" s="309">
        <f ca="1">O9</f>
        <v>-2.0768167823553087E-2</v>
      </c>
    </row>
    <row r="17" spans="2:9" x14ac:dyDescent="0.2">
      <c r="B17" s="30" t="str">
        <f>'CF (Equity, Debt)'!C9</f>
        <v>Flyr Inc</v>
      </c>
      <c r="C17" s="35" t="str">
        <f>VLOOKUP(B17,'S | 02'!$C$6:$J$41,2,0)</f>
        <v>Direct Investment</v>
      </c>
      <c r="D17" s="35" t="str">
        <f>VLOOKUP(B17,'S | 02'!$C$6:$J$41,5,0)</f>
        <v>Mozn</v>
      </c>
      <c r="E17" s="31">
        <f>'CF (Equity, Debt)'!D9</f>
        <v>43915</v>
      </c>
      <c r="F17" s="39">
        <f>'CF (Equity, Debt)'!E9</f>
        <v>-5.0000019099999999</v>
      </c>
      <c r="G17" s="39"/>
      <c r="H17" s="39"/>
      <c r="I17" s="39">
        <f t="shared" si="0"/>
        <v>-5.0000019099999999</v>
      </c>
    </row>
    <row r="18" spans="2:9" x14ac:dyDescent="0.2">
      <c r="B18" s="32" t="str">
        <f>'CF (Equity, Debt)'!C10</f>
        <v xml:space="preserve">Esyasoft Holding </v>
      </c>
      <c r="C18" s="36" t="str">
        <f>VLOOKUP(B18,'S | 02'!$C$6:$J$41,2,0)</f>
        <v>Direct Investment</v>
      </c>
      <c r="D18" s="36" t="str">
        <f>VLOOKUP(B18,'S | 02'!$C$6:$J$41,5,0)</f>
        <v>Mozn</v>
      </c>
      <c r="E18" s="33">
        <f>'CF (Equity, Debt)'!D10</f>
        <v>43870</v>
      </c>
      <c r="F18" s="40">
        <f>'CF (Equity, Debt)'!E10</f>
        <v>-2.5</v>
      </c>
      <c r="G18" s="40"/>
      <c r="H18" s="40"/>
      <c r="I18" s="40">
        <f t="shared" si="0"/>
        <v>-2.5</v>
      </c>
    </row>
    <row r="19" spans="2:9" x14ac:dyDescent="0.2">
      <c r="B19" s="30" t="str">
        <f>'CF (Equity, Debt)'!C11</f>
        <v>Beyond Limits</v>
      </c>
      <c r="C19" s="35" t="str">
        <f>VLOOKUP(B19,'S | 02'!$C$6:$J$41,2,0)</f>
        <v>Direct Investment</v>
      </c>
      <c r="D19" s="35" t="str">
        <f>VLOOKUP(B19,'S | 02'!$C$6:$J$41,5,0)</f>
        <v>Mozn</v>
      </c>
      <c r="E19" s="31">
        <f>'CF (Equity, Debt)'!D11</f>
        <v>43879</v>
      </c>
      <c r="F19" s="39">
        <f>'CF (Equity, Debt)'!E11</f>
        <v>-20</v>
      </c>
      <c r="G19" s="39"/>
      <c r="H19" s="39"/>
      <c r="I19" s="39">
        <f t="shared" si="0"/>
        <v>-20</v>
      </c>
    </row>
    <row r="20" spans="2:9" x14ac:dyDescent="0.2">
      <c r="B20" s="30" t="str">
        <f>'CF (Equity, Debt)'!C12</f>
        <v>Beyond Limits</v>
      </c>
      <c r="C20" s="35" t="str">
        <f>VLOOKUP(B20,'S | 02'!$C$6:$J$41,2,0)</f>
        <v>Direct Investment</v>
      </c>
      <c r="D20" s="35" t="str">
        <f>VLOOKUP(B20,'S | 02'!$C$6:$J$41,5,0)</f>
        <v>Mozn</v>
      </c>
      <c r="E20" s="31">
        <f>'CF (Equity, Debt)'!D12</f>
        <v>43921</v>
      </c>
      <c r="F20" s="39">
        <f>'CF (Equity, Debt)'!E12</f>
        <v>-30</v>
      </c>
      <c r="G20" s="39"/>
      <c r="H20" s="39"/>
      <c r="I20" s="39">
        <f t="shared" si="0"/>
        <v>-30</v>
      </c>
    </row>
    <row r="21" spans="2:9" x14ac:dyDescent="0.2">
      <c r="B21" s="30" t="str">
        <f>'CF (Equity, Debt)'!C13</f>
        <v>Beyond Limits</v>
      </c>
      <c r="C21" s="35" t="str">
        <f>VLOOKUP(B21,'S | 02'!$C$6:$J$41,2,0)</f>
        <v>Direct Investment</v>
      </c>
      <c r="D21" s="35" t="str">
        <f>VLOOKUP(B21,'S | 02'!$C$6:$J$41,5,0)</f>
        <v>Mozn</v>
      </c>
      <c r="E21" s="31">
        <f>'CF (Equity, Debt)'!D13</f>
        <v>43989</v>
      </c>
      <c r="F21" s="39">
        <f>'CF (Equity, Debt)'!E13</f>
        <v>-30</v>
      </c>
      <c r="G21" s="39"/>
      <c r="H21" s="39"/>
      <c r="I21" s="39">
        <f t="shared" si="0"/>
        <v>-30</v>
      </c>
    </row>
    <row r="22" spans="2:9" x14ac:dyDescent="0.2">
      <c r="B22" s="30" t="str">
        <f>'CF (Equity, Debt)'!C14</f>
        <v>Beyond Limits</v>
      </c>
      <c r="C22" s="35" t="str">
        <f>VLOOKUP(B22,'S | 02'!$C$6:$J$41,2,0)</f>
        <v>Direct Investment</v>
      </c>
      <c r="D22" s="35" t="str">
        <f>VLOOKUP(B22,'S | 02'!$C$6:$J$41,5,0)</f>
        <v>Mozn</v>
      </c>
      <c r="E22" s="31">
        <f>'CF (Equity, Debt)'!D14</f>
        <v>44103</v>
      </c>
      <c r="F22" s="39">
        <f>'CF (Equity, Debt)'!E14</f>
        <v>-10</v>
      </c>
      <c r="G22" s="39"/>
      <c r="H22" s="39"/>
      <c r="I22" s="39">
        <f t="shared" si="0"/>
        <v>-10</v>
      </c>
    </row>
    <row r="23" spans="2:9" x14ac:dyDescent="0.2">
      <c r="B23" s="32" t="str">
        <f>'CF (Equity, Debt)'!C15</f>
        <v>ONT plc</v>
      </c>
      <c r="C23" s="36" t="str">
        <f>VLOOKUP(B23,'S | 02'!$C$6:$J$41,2,0)</f>
        <v>Direct Investment</v>
      </c>
      <c r="D23" s="36" t="str">
        <f>VLOOKUP(B23,'S | 02'!$C$6:$J$41,5,0)</f>
        <v>Mozn</v>
      </c>
      <c r="E23" s="33">
        <f>'CF (Equity, Debt)'!D15</f>
        <v>43968</v>
      </c>
      <c r="F23" s="40">
        <f>'CF (Equity, Debt)'!E15</f>
        <v>-50</v>
      </c>
      <c r="G23" s="40"/>
      <c r="H23" s="40"/>
      <c r="I23" s="40">
        <f t="shared" si="0"/>
        <v>-50</v>
      </c>
    </row>
    <row r="24" spans="2:9" x14ac:dyDescent="0.2">
      <c r="B24" s="32" t="str">
        <f>'CF (Equity, Debt)'!C16</f>
        <v>ONT plc</v>
      </c>
      <c r="C24" s="36" t="str">
        <f>VLOOKUP(B24,'S | 02'!$C$6:$J$41,2,0)</f>
        <v>Direct Investment</v>
      </c>
      <c r="D24" s="36" t="str">
        <f>VLOOKUP(B24,'S | 02'!$C$6:$J$41,5,0)</f>
        <v>Mozn</v>
      </c>
      <c r="E24" s="33">
        <f>'CF (Equity, Debt)'!D16</f>
        <v>44006</v>
      </c>
      <c r="F24" s="40">
        <f>'CF (Equity, Debt)'!E16</f>
        <v>-27.268350856443721</v>
      </c>
      <c r="G24" s="40"/>
      <c r="H24" s="40"/>
      <c r="I24" s="40">
        <f t="shared" si="0"/>
        <v>-27.268350856443721</v>
      </c>
    </row>
    <row r="25" spans="2:9" x14ac:dyDescent="0.2">
      <c r="B25" s="32" t="str">
        <f>'CF (Equity, Debt)'!C17</f>
        <v>ONT plc</v>
      </c>
      <c r="C25" s="36" t="str">
        <f>VLOOKUP(B25,'S | 02'!$C$6:$J$41,2,0)</f>
        <v>Direct Investment</v>
      </c>
      <c r="D25" s="36" t="str">
        <f>VLOOKUP(B25,'S | 02'!$C$6:$J$41,5,0)</f>
        <v>Mozn</v>
      </c>
      <c r="E25" s="33">
        <f>'CF (Equity, Debt)'!D17</f>
        <v>43837</v>
      </c>
      <c r="F25" s="40">
        <f>'CF (Equity, Debt)'!E17</f>
        <v>-18.109441299619355</v>
      </c>
      <c r="G25" s="40"/>
      <c r="H25" s="40"/>
      <c r="I25" s="40">
        <f t="shared" si="0"/>
        <v>-18.109441299619355</v>
      </c>
    </row>
    <row r="26" spans="2:9" x14ac:dyDescent="0.2">
      <c r="B26" s="32" t="str">
        <f>'CF (Equity, Debt)'!C18</f>
        <v>ONT plc</v>
      </c>
      <c r="C26" s="36" t="str">
        <f>VLOOKUP(B26,'S | 02'!$C$6:$J$41,2,0)</f>
        <v>Direct Investment</v>
      </c>
      <c r="D26" s="36" t="str">
        <f>VLOOKUP(B26,'S | 02'!$C$6:$J$41,5,0)</f>
        <v>Mozn</v>
      </c>
      <c r="E26" s="33">
        <f>'CF (Equity, Debt)'!D18</f>
        <v>43990</v>
      </c>
      <c r="F26" s="40">
        <f>'CF (Equity, Debt)'!E18</f>
        <v>-34.851687094159864</v>
      </c>
      <c r="G26" s="40"/>
      <c r="H26" s="40"/>
      <c r="I26" s="40">
        <f t="shared" si="0"/>
        <v>-34.851687094159864</v>
      </c>
    </row>
    <row r="27" spans="2:9" x14ac:dyDescent="0.2">
      <c r="B27" s="32" t="str">
        <f>'CF (Equity, Debt)'!C19</f>
        <v>ONT plc</v>
      </c>
      <c r="C27" s="36" t="str">
        <f>VLOOKUP(B27,'S | 02'!$C$6:$J$41,2,0)</f>
        <v>Direct Investment</v>
      </c>
      <c r="D27" s="36" t="str">
        <f>VLOOKUP(B27,'S | 02'!$C$6:$J$41,5,0)</f>
        <v>Mozn</v>
      </c>
      <c r="E27" s="33">
        <f>'CF (Equity, Debt)'!D19</f>
        <v>44315</v>
      </c>
      <c r="F27" s="40">
        <f>'CF (Equity, Debt)'!E19</f>
        <v>-11.240780424143557</v>
      </c>
      <c r="G27" s="40"/>
      <c r="H27" s="40"/>
      <c r="I27" s="40">
        <f t="shared" si="0"/>
        <v>-11.240780424143557</v>
      </c>
    </row>
    <row r="28" spans="2:9" x14ac:dyDescent="0.2">
      <c r="B28" s="30" t="str">
        <f>'CF (Equity, Debt)'!C20</f>
        <v>Heygears</v>
      </c>
      <c r="C28" s="35" t="str">
        <f>VLOOKUP(B28,'S | 02'!$C$6:$J$41,2,0)</f>
        <v>Direct Investment</v>
      </c>
      <c r="D28" s="35" t="str">
        <f>VLOOKUP(B28,'S | 02'!$C$6:$J$41,5,0)</f>
        <v>Mozn</v>
      </c>
      <c r="E28" s="31">
        <f>'CF (Equity, Debt)'!D20</f>
        <v>44166</v>
      </c>
      <c r="F28" s="39">
        <f>'CF (Equity, Debt)'!E20</f>
        <v>-60</v>
      </c>
      <c r="G28" s="39"/>
      <c r="H28" s="39"/>
      <c r="I28" s="39">
        <f t="shared" si="0"/>
        <v>-60</v>
      </c>
    </row>
    <row r="29" spans="2:9" x14ac:dyDescent="0.2">
      <c r="B29" s="30" t="str">
        <f>'CF (Equity, Debt)'!C21</f>
        <v>Jysan Technologies</v>
      </c>
      <c r="C29" s="35" t="str">
        <f>VLOOKUP(B29,'S | 02'!$C$6:$J$41,2,0)</f>
        <v>Direct Investment</v>
      </c>
      <c r="D29" s="35" t="str">
        <f>VLOOKUP(B29,'S | 02'!$C$6:$J$41,5,0)</f>
        <v>Mozn 1</v>
      </c>
      <c r="E29" s="31">
        <f>'CF (Equity, Debt)'!D21</f>
        <v>44363</v>
      </c>
      <c r="F29" s="39">
        <f>'CF (Equity, Debt)'!E21</f>
        <v>-20</v>
      </c>
      <c r="G29" s="39"/>
      <c r="H29" s="39"/>
      <c r="I29" s="39">
        <f t="shared" ref="I29" si="1">SUM(F29:H29)</f>
        <v>-20</v>
      </c>
    </row>
    <row r="30" spans="2:9" x14ac:dyDescent="0.2">
      <c r="B30" s="30" t="str">
        <f>'CF (Equity, Debt)'!C22</f>
        <v>Cerebras Systems Inc</v>
      </c>
      <c r="C30" s="35" t="str">
        <f>VLOOKUP(B30,'S | 02'!$C$6:$J$41,2,0)</f>
        <v>Direct Investment</v>
      </c>
      <c r="D30" s="35" t="str">
        <f>VLOOKUP(B30,'S | 02'!$C$6:$J$41,5,0)</f>
        <v>Mozn</v>
      </c>
      <c r="E30" s="31">
        <f>'CF (Equity, Debt)'!D22</f>
        <v>44488</v>
      </c>
      <c r="F30" s="39">
        <f>'CF (Equity, Debt)'!E22</f>
        <v>-39.999983359999995</v>
      </c>
      <c r="G30" s="39"/>
      <c r="H30" s="39"/>
      <c r="I30" s="39">
        <f>SUM(F30:H30)</f>
        <v>-39.999983359999995</v>
      </c>
    </row>
    <row r="31" spans="2:9" x14ac:dyDescent="0.2">
      <c r="B31" s="32" t="str">
        <f>'CF (Equity, Debt)'!C23</f>
        <v>Endless Studios LLC</v>
      </c>
      <c r="C31" s="36" t="str">
        <f>VLOOKUP(B31,'S | 02'!$C$6:$J$41,2,0)</f>
        <v>Direct Investment</v>
      </c>
      <c r="D31" s="36" t="str">
        <f>VLOOKUP(B31,'S | 02'!$C$6:$J$41,5,0)</f>
        <v>Mozn</v>
      </c>
      <c r="E31" s="33">
        <f>'CF (Equity, Debt)'!D23</f>
        <v>44494</v>
      </c>
      <c r="F31" s="40">
        <f>'CF (Equity, Debt)'!E23</f>
        <v>-3</v>
      </c>
      <c r="G31" s="40"/>
      <c r="H31" s="40"/>
      <c r="I31" s="40">
        <f>SUM(F31:H31)</f>
        <v>-3</v>
      </c>
    </row>
    <row r="32" spans="2:9" x14ac:dyDescent="0.2">
      <c r="B32" s="30" t="str">
        <f>'CF (Equity, Debt)'!C24</f>
        <v>Instadeep Limited</v>
      </c>
      <c r="C32" s="35" t="str">
        <f>VLOOKUP(B32,'S | 02'!$C$6:$J$41,2,0)</f>
        <v>Direct Investment</v>
      </c>
      <c r="D32" s="35" t="str">
        <f>VLOOKUP(B32,'S | 02'!$C$6:$J$41,5,0)</f>
        <v>Mozn</v>
      </c>
      <c r="E32" s="31">
        <f>'CF (Equity, Debt)'!D24</f>
        <v>44550</v>
      </c>
      <c r="F32" s="39">
        <f>'CF (Equity, Debt)'!E24</f>
        <v>-5.0237201984774336</v>
      </c>
      <c r="G32" s="39"/>
      <c r="H32" s="39"/>
      <c r="I32" s="39">
        <f>SUM(F32:H32)</f>
        <v>-5.0237201984774336</v>
      </c>
    </row>
    <row r="33" spans="2:9" x14ac:dyDescent="0.2">
      <c r="B33" s="30" t="str">
        <f>'CF (Equity, Debt)'!C25</f>
        <v>X-fusion</v>
      </c>
      <c r="C33" s="35" t="str">
        <f>VLOOKUP(B33,'S | 02'!$C$6:$J$41,2,0)</f>
        <v>Direct Investment</v>
      </c>
      <c r="D33" s="35" t="str">
        <f>VLOOKUP(B33,'S | 02'!$C$6:$J$41,5,0)</f>
        <v>Mozn 2</v>
      </c>
      <c r="E33" s="31">
        <f>'CF (Equity, Debt)'!D25</f>
        <v>44574</v>
      </c>
      <c r="F33" s="39">
        <f>'CF (Equity, Debt)'!E25</f>
        <v>-493.50095619999996</v>
      </c>
      <c r="G33" s="39"/>
      <c r="H33" s="39"/>
      <c r="I33" s="39">
        <f t="shared" ref="I33" si="2">SUM(F33:H33)</f>
        <v>-493.50095619999996</v>
      </c>
    </row>
    <row r="34" spans="2:9" x14ac:dyDescent="0.2">
      <c r="B34" s="32" t="str">
        <f>'CF (Equity, Debt)'!C28</f>
        <v xml:space="preserve">Esyasoft Holding </v>
      </c>
      <c r="C34" s="36" t="str">
        <f>VLOOKUP(B34,'S | 02'!$C$6:$J$41,2,0)</f>
        <v>Direct Investment</v>
      </c>
      <c r="D34" s="36" t="str">
        <f>VLOOKUP(B34,'S | 02'!$C$6:$J$41,5,0)</f>
        <v>Mozn</v>
      </c>
      <c r="E34" s="33">
        <f>'CF (Equity, Debt)'!D28</f>
        <v>44691</v>
      </c>
      <c r="F34" s="40">
        <f>'CF (Equity, Debt)'!E28</f>
        <v>0</v>
      </c>
      <c r="G34" s="40">
        <v>5</v>
      </c>
      <c r="H34" s="40"/>
      <c r="I34" s="40">
        <f>SUM(F34:H34)</f>
        <v>5</v>
      </c>
    </row>
    <row r="35" spans="2:9" x14ac:dyDescent="0.2">
      <c r="B35" s="30" t="str">
        <f>'CF (Equity, Debt)'!C32</f>
        <v>Applied AI Corporation Limited</v>
      </c>
      <c r="C35" s="35" t="str">
        <f>VLOOKUP(B35,'S | 02'!$C$6:$J$41,2,0)</f>
        <v>Direct Investment</v>
      </c>
      <c r="D35" s="35" t="str">
        <f>VLOOKUP(B35,'S | 02'!$C$6:$J$41,5,0)</f>
        <v>Mozn</v>
      </c>
      <c r="E35" s="31">
        <f>'CF (Equity, Debt)'!D32</f>
        <v>44861</v>
      </c>
      <c r="F35" s="39">
        <f>'CF (Equity, Debt)'!E32</f>
        <v>-4.75</v>
      </c>
      <c r="G35" s="39"/>
      <c r="H35" s="39"/>
      <c r="I35" s="39">
        <f t="shared" ref="I35" si="3">SUM(F35:H35)</f>
        <v>-4.75</v>
      </c>
    </row>
    <row r="36" spans="2:9" x14ac:dyDescent="0.2">
      <c r="B36" s="30" t="str">
        <f>'CF (Equity, Debt)'!C33</f>
        <v xml:space="preserve">eSpace </v>
      </c>
      <c r="C36" s="35" t="str">
        <f>VLOOKUP(B36,'S | 02'!$C$6:$J$41,2,0)</f>
        <v>Direct Investment</v>
      </c>
      <c r="D36" s="35" t="str">
        <f>VLOOKUP(B36,'S | 02'!$C$6:$J$41,5,0)</f>
        <v>Mozn 4</v>
      </c>
      <c r="E36" s="31">
        <f>'CF (Equity, Debt)'!D33</f>
        <v>44892</v>
      </c>
      <c r="F36" s="39">
        <f>'CF (Equity, Debt)'!E33</f>
        <v>-15</v>
      </c>
      <c r="G36" s="39"/>
      <c r="H36" s="39"/>
      <c r="I36" s="39">
        <f t="shared" ref="I36" si="4">SUM(F36:H36)</f>
        <v>-15</v>
      </c>
    </row>
    <row r="37" spans="2:9" x14ac:dyDescent="0.2">
      <c r="B37" s="30" t="str">
        <f>'CF (Equity, Debt)'!C35</f>
        <v>Tools for Humanity Corporation</v>
      </c>
      <c r="C37" s="35" t="str">
        <f>VLOOKUP(B37,'S | 02'!$C$6:$J$41,2,0)</f>
        <v>Direct Investment</v>
      </c>
      <c r="D37" s="35" t="str">
        <f>VLOOKUP(B37,'S | 02'!$C$6:$J$41,5,0)</f>
        <v>Mozn</v>
      </c>
      <c r="E37" s="31">
        <f>'CF (Equity, Debt)'!D35</f>
        <v>45075</v>
      </c>
      <c r="F37" s="39">
        <f>'CF (Equity, Debt)'!E35</f>
        <v>-14.999998939999999</v>
      </c>
      <c r="G37" s="39"/>
      <c r="H37" s="39"/>
      <c r="I37" s="39">
        <f t="shared" ref="I37:I40" si="5">SUM(F37:H37)</f>
        <v>-14.999998939999999</v>
      </c>
    </row>
    <row r="38" spans="2:9" x14ac:dyDescent="0.2">
      <c r="B38" s="30" t="str">
        <f>'CF (Equity, Debt)'!C36</f>
        <v>WLD Tokens</v>
      </c>
      <c r="C38" s="35" t="str">
        <f>VLOOKUP(B38,'S | 02'!$C$6:$J$41,2,0)</f>
        <v>Direct Investment</v>
      </c>
      <c r="D38" s="35" t="str">
        <f>VLOOKUP(B38,'S | 02'!$C$6:$J$41,5,0)</f>
        <v>Mozn</v>
      </c>
      <c r="E38" s="31">
        <f>'CF (Equity, Debt)'!D36</f>
        <v>45075</v>
      </c>
      <c r="F38" s="39">
        <f>'CF (Equity, Debt)'!E36</f>
        <v>-5.875E-3</v>
      </c>
      <c r="G38" s="39"/>
      <c r="H38" s="39"/>
      <c r="I38" s="39">
        <f t="shared" si="5"/>
        <v>-5.875E-3</v>
      </c>
    </row>
    <row r="39" spans="2:9" x14ac:dyDescent="0.2">
      <c r="B39" s="30" t="str">
        <f>'CF (Equity, Debt)'!C37</f>
        <v>WLD Tokens</v>
      </c>
      <c r="C39" s="35" t="str">
        <f>VLOOKUP(B39,'S | 02'!$C$6:$J$41,2,0)</f>
        <v>Direct Investment</v>
      </c>
      <c r="D39" s="35" t="str">
        <f>VLOOKUP(B39,'S | 02'!$C$6:$J$41,5,0)</f>
        <v>Mozn</v>
      </c>
      <c r="E39" s="31">
        <f>'CF (Equity, Debt)'!D37</f>
        <v>45114</v>
      </c>
      <c r="F39" s="39">
        <f>'CF (Equity, Debt)'!E37</f>
        <v>-1E-3</v>
      </c>
      <c r="G39" s="39"/>
      <c r="H39" s="39"/>
      <c r="I39" s="39">
        <f t="shared" si="5"/>
        <v>-1E-3</v>
      </c>
    </row>
    <row r="40" spans="2:9" x14ac:dyDescent="0.2">
      <c r="B40" s="30" t="str">
        <f>'CF (Equity, Debt)'!C38</f>
        <v>Applied AI Corporation Limited</v>
      </c>
      <c r="C40" s="35" t="str">
        <f>VLOOKUP(B40,'S | 02'!$C$6:$J$41,2,0)</f>
        <v>Direct Investment</v>
      </c>
      <c r="D40" s="35" t="str">
        <f>VLOOKUP(B40,'S | 02'!$C$6:$J$41,5,0)</f>
        <v>Mozn</v>
      </c>
      <c r="E40" s="31">
        <f>'CF (Equity, Debt)'!D38</f>
        <v>45121</v>
      </c>
      <c r="F40" s="39">
        <f>'CF (Equity, Debt)'!E38</f>
        <v>-2.75</v>
      </c>
      <c r="G40" s="39"/>
      <c r="H40" s="39"/>
      <c r="I40" s="39">
        <f t="shared" si="5"/>
        <v>-2.75</v>
      </c>
    </row>
    <row r="41" spans="2:9" x14ac:dyDescent="0.2">
      <c r="B41" s="30" t="str">
        <f>'CF (Equity, Debt)'!C39</f>
        <v>Instadeep Limited</v>
      </c>
      <c r="C41" s="35" t="str">
        <f>VLOOKUP(B41,'S | 02'!$C$6:$J$41,2,0)</f>
        <v>Direct Investment</v>
      </c>
      <c r="D41" s="35" t="str">
        <f>VLOOKUP(B41,'S | 02'!$C$6:$J$41,5,0)</f>
        <v>Mozn</v>
      </c>
      <c r="E41" s="31">
        <f>'CF (Equity, Debt)'!D39</f>
        <v>45138</v>
      </c>
      <c r="F41" s="39">
        <f>'CF (Equity, Debt)'!E39</f>
        <v>0</v>
      </c>
      <c r="G41" s="39">
        <f>'CF (Equity, Debt)'!F39</f>
        <v>7.8207760999999989</v>
      </c>
      <c r="H41" s="39"/>
      <c r="I41" s="39">
        <f t="shared" ref="I41" si="6">SUM(F41:H41)</f>
        <v>7.8207760999999989</v>
      </c>
    </row>
    <row r="42" spans="2:9" x14ac:dyDescent="0.2">
      <c r="B42" s="30" t="str">
        <f>'CF (Equity, Debt)'!C40</f>
        <v>Jysan Technologies</v>
      </c>
      <c r="C42" s="35" t="str">
        <f>VLOOKUP(B42,'S | 02'!$C$6:$J$41,2,0)</f>
        <v>Direct Investment</v>
      </c>
      <c r="D42" s="35" t="str">
        <f>VLOOKUP(B42,'S | 02'!$C$6:$J$41,5,0)</f>
        <v>Mozn 1</v>
      </c>
      <c r="E42" s="31">
        <f>'CF (Equity, Debt)'!D40</f>
        <v>45149</v>
      </c>
      <c r="F42" s="39">
        <f>'CF (Equity, Debt)'!E40</f>
        <v>0</v>
      </c>
      <c r="G42" s="39">
        <f>'CF (Equity, Debt)'!F40</f>
        <v>24.5</v>
      </c>
      <c r="H42" s="39"/>
      <c r="I42" s="39">
        <f t="shared" ref="I42:I44" si="7">SUM(F42:H42)</f>
        <v>24.5</v>
      </c>
    </row>
    <row r="43" spans="2:9" x14ac:dyDescent="0.2">
      <c r="B43" s="30" t="str">
        <f>'CF (Equity, Debt)'!C41</f>
        <v>Endless Studios LLC</v>
      </c>
      <c r="C43" s="35" t="str">
        <f>VLOOKUP(B43,'S | 02'!$C$6:$J$41,2,0)</f>
        <v>Direct Investment</v>
      </c>
      <c r="D43" s="35" t="str">
        <f>VLOOKUP(B43,'S | 02'!$C$6:$J$41,5,0)</f>
        <v>Mozn</v>
      </c>
      <c r="E43" s="31">
        <f>'CF (Equity, Debt)'!D41</f>
        <v>45167</v>
      </c>
      <c r="F43" s="39">
        <f>'CF (Equity, Debt)'!E41</f>
        <v>-5</v>
      </c>
      <c r="G43" s="39">
        <f>'CF (Equity, Debt)'!F41</f>
        <v>0</v>
      </c>
      <c r="H43" s="39"/>
      <c r="I43" s="39">
        <f t="shared" si="7"/>
        <v>-5</v>
      </c>
    </row>
    <row r="44" spans="2:9" x14ac:dyDescent="0.2">
      <c r="B44" s="30" t="str">
        <f>'CF (Equity, Debt)'!C42</f>
        <v>E-line Ventures LLC</v>
      </c>
      <c r="C44" s="35" t="str">
        <f>VLOOKUP(B44,'S | 02'!$C$6:$J$41,2,0)</f>
        <v>Direct Investment</v>
      </c>
      <c r="D44" s="35" t="str">
        <f>VLOOKUP(B44,'S | 02'!$C$6:$J$41,5,0)</f>
        <v>Mozn</v>
      </c>
      <c r="E44" s="31">
        <f>'CF (Equity, Debt)'!D42</f>
        <v>45167</v>
      </c>
      <c r="F44" s="39">
        <f>'CF (Equity, Debt)'!E42</f>
        <v>-6</v>
      </c>
      <c r="G44" s="39">
        <f>'CF (Equity, Debt)'!F42</f>
        <v>0</v>
      </c>
      <c r="H44" s="39"/>
      <c r="I44" s="39">
        <f t="shared" si="7"/>
        <v>-6</v>
      </c>
    </row>
    <row r="45" spans="2:9" x14ac:dyDescent="0.2">
      <c r="B45" s="30" t="str">
        <f>'CF (Equity, Debt)'!C45</f>
        <v>X-fusion</v>
      </c>
      <c r="C45" s="35" t="str">
        <f>VLOOKUP(B45,'S | 02'!$C$6:$J$41,2,0)</f>
        <v>Direct Investment</v>
      </c>
      <c r="D45" s="35" t="str">
        <f>VLOOKUP(B45,'S | 02'!$C$6:$J$41,5,0)</f>
        <v>Mozn 2</v>
      </c>
      <c r="E45" s="31">
        <f>'CF (Equity, Debt)'!D45</f>
        <v>45224</v>
      </c>
      <c r="F45" s="39">
        <f>'CF (Equity, Debt)'!E45</f>
        <v>0</v>
      </c>
      <c r="G45" s="39">
        <f>'CF (Equity, Debt)'!F45</f>
        <v>403</v>
      </c>
      <c r="H45" s="39"/>
      <c r="I45" s="39">
        <f t="shared" ref="I45:I46" si="8">SUM(F45:H45)</f>
        <v>403</v>
      </c>
    </row>
    <row r="46" spans="2:9" x14ac:dyDescent="0.2">
      <c r="B46" s="30" t="str">
        <f>'CF (Equity, Debt)'!C46</f>
        <v>Instadeep Limited</v>
      </c>
      <c r="C46" s="35" t="str">
        <f>VLOOKUP(B46,'S | 02'!$C$6:$J$41,2,0)</f>
        <v>Direct Investment</v>
      </c>
      <c r="D46" s="35" t="str">
        <f>VLOOKUP(B46,'S | 02'!$C$6:$J$41,5,0)</f>
        <v>Mozn</v>
      </c>
      <c r="E46" s="31">
        <f>'CF (Equity, Debt)'!D46</f>
        <v>45224</v>
      </c>
      <c r="F46" s="39">
        <f>'CF (Equity, Debt)'!E46</f>
        <v>0</v>
      </c>
      <c r="G46" s="39">
        <f>'CF (Equity, Debt)'!F46</f>
        <v>0.12141643000000001</v>
      </c>
      <c r="H46" s="39"/>
      <c r="I46" s="39">
        <f t="shared" si="8"/>
        <v>0.12141643000000001</v>
      </c>
    </row>
    <row r="47" spans="2:9" x14ac:dyDescent="0.2">
      <c r="B47" s="30" t="str">
        <f>'CF (Equity, Debt)'!C47</f>
        <v>Applied AI Corporation Limited</v>
      </c>
      <c r="C47" s="35" t="str">
        <f>VLOOKUP(B47,'S | 02'!$C$6:$J$41,2,0)</f>
        <v>Direct Investment</v>
      </c>
      <c r="D47" s="35" t="str">
        <f>VLOOKUP(B47,'S | 02'!$C$6:$J$41,5,0)</f>
        <v>Mozn</v>
      </c>
      <c r="E47" s="31">
        <f>'CF (Equity, Debt)'!D47</f>
        <v>45295</v>
      </c>
      <c r="F47" s="39">
        <f>'CF (Equity, Debt)'!E47</f>
        <v>-4</v>
      </c>
      <c r="G47" s="39">
        <f>'CF (Equity, Debt)'!F47</f>
        <v>0</v>
      </c>
      <c r="H47" s="39"/>
      <c r="I47" s="39">
        <f t="shared" ref="I47" si="9">SUM(F47:H47)</f>
        <v>-4</v>
      </c>
    </row>
    <row r="48" spans="2:9" x14ac:dyDescent="0.2">
      <c r="B48" s="256" t="str">
        <f>'CF (Equity, Debt)'!C53</f>
        <v xml:space="preserve">Glass Earth Holdings LLC </v>
      </c>
      <c r="C48" s="189" t="str">
        <f>VLOOKUP(B48,'S | 02'!$C$6:$J$41,2,0)</f>
        <v>Debt Investment</v>
      </c>
      <c r="D48" s="189" t="str">
        <f>VLOOKUP(B48,'S | 02'!$C$6:$J$41,5,0)</f>
        <v>Mozn</v>
      </c>
      <c r="E48" s="31">
        <f>'CF (Equity, Debt)'!D53</f>
        <v>43635</v>
      </c>
      <c r="F48" s="190">
        <f>'CF (Equity, Debt)'!E53</f>
        <v>-8</v>
      </c>
      <c r="G48" s="190"/>
      <c r="H48" s="190"/>
      <c r="I48" s="190">
        <f>SUM(F48:H48)</f>
        <v>-8</v>
      </c>
    </row>
    <row r="49" spans="2:9" x14ac:dyDescent="0.2">
      <c r="B49" s="187" t="str">
        <f>'CF (Equity, Debt)'!C54</f>
        <v>Mena Mobile Inc (Debt)</v>
      </c>
      <c r="C49" s="188" t="str">
        <f>VLOOKUP(B49,'S | 02'!$C$6:$J$41,2,0)</f>
        <v>Debt Investment</v>
      </c>
      <c r="D49" s="188" t="str">
        <f>VLOOKUP(B49,'S | 02'!$C$6:$J$41,5,0)</f>
        <v>Mozn</v>
      </c>
      <c r="E49" s="31">
        <f>'CF (Equity, Debt)'!D54</f>
        <v>44293</v>
      </c>
      <c r="F49" s="190">
        <f>'CF (Equity, Debt)'!E54</f>
        <v>-2.3539819999999998</v>
      </c>
      <c r="G49" s="190"/>
      <c r="H49" s="190"/>
      <c r="I49" s="190">
        <f>SUM(F49:H49)</f>
        <v>-2.3539819999999998</v>
      </c>
    </row>
    <row r="50" spans="2:9" x14ac:dyDescent="0.2">
      <c r="B50" s="187" t="str">
        <f>'CF (Equity, Debt)'!C55</f>
        <v>Esyasoft Holding (Debt)</v>
      </c>
      <c r="C50" s="188" t="str">
        <f>VLOOKUP(B50,'S | 02'!$C$6:$J$41,2,0)</f>
        <v>Debt Investment</v>
      </c>
      <c r="D50" s="188" t="str">
        <f>VLOOKUP(B50,'S | 02'!$C$6:$J$41,5,0)</f>
        <v>Mozn</v>
      </c>
      <c r="E50" s="31">
        <f>'CF (Equity, Debt)'!D55</f>
        <v>44384</v>
      </c>
      <c r="F50" s="190">
        <f>'CF (Equity, Debt)'!E55</f>
        <v>-0.41176499999999999</v>
      </c>
      <c r="G50" s="190"/>
      <c r="H50" s="190"/>
      <c r="I50" s="190">
        <f>SUM(F50:H50)</f>
        <v>-0.41176499999999999</v>
      </c>
    </row>
    <row r="51" spans="2:9" x14ac:dyDescent="0.2">
      <c r="B51" s="187" t="str">
        <f>'CF (Equity, Debt)'!C56</f>
        <v>Esyasoft Holding (Debt)</v>
      </c>
      <c r="C51" s="188" t="str">
        <f>VLOOKUP(B51,'S | 02'!$C$6:$J$41,2,0)</f>
        <v>Debt Investment</v>
      </c>
      <c r="D51" s="188" t="str">
        <f>VLOOKUP(B51,'S | 02'!$C$6:$J$41,5,0)</f>
        <v>Mozn</v>
      </c>
      <c r="E51" s="31">
        <f>'CF (Equity, Debt)'!D56</f>
        <v>44902</v>
      </c>
      <c r="F51" s="190">
        <f>'CF (Equity, Debt)'!E56</f>
        <v>0</v>
      </c>
      <c r="G51" s="190">
        <f>'CF (Equity, Debt)'!F56</f>
        <v>0.47078465000000003</v>
      </c>
      <c r="H51" s="190"/>
      <c r="I51" s="190">
        <f>SUM(F51:H51)</f>
        <v>0.47078465000000003</v>
      </c>
    </row>
    <row r="53" spans="2:9" x14ac:dyDescent="0.2">
      <c r="B53" s="187" t="s">
        <v>48</v>
      </c>
      <c r="C53" s="188" t="str">
        <f>VLOOKUP(B53,'S | 02'!$C$6:$J$41,2,0)</f>
        <v>Direct Investment</v>
      </c>
      <c r="D53" s="188" t="str">
        <f>VLOOKUP(B53,'S | 02'!$C$6:$J$41,5,0)</f>
        <v>Mozn</v>
      </c>
      <c r="E53" s="290">
        <f t="shared" ref="E53:E71" si="10">$E$4</f>
        <v>45351</v>
      </c>
      <c r="F53" s="190"/>
      <c r="G53" s="190"/>
      <c r="H53" s="534">
        <f>VLOOKUP(B53,NAV!$B$10:$E$43,4,0)</f>
        <v>0</v>
      </c>
      <c r="I53" s="190">
        <f t="shared" ref="I53:I71" si="11">SUM(F53:H53)</f>
        <v>0</v>
      </c>
    </row>
    <row r="54" spans="2:9" x14ac:dyDescent="0.2">
      <c r="B54" s="187" t="s">
        <v>0</v>
      </c>
      <c r="C54" s="188" t="str">
        <f>VLOOKUP(B54,'S | 02'!$C$6:$J$41,2,0)</f>
        <v>Direct Investment</v>
      </c>
      <c r="D54" s="188" t="str">
        <f>VLOOKUP(B54,'S | 02'!$C$6:$J$41,5,0)</f>
        <v>Mozn</v>
      </c>
      <c r="E54" s="290">
        <f t="shared" si="10"/>
        <v>45351</v>
      </c>
      <c r="F54" s="190"/>
      <c r="G54" s="190"/>
      <c r="H54" s="534">
        <f>VLOOKUP(B54,NAV!$B$10:$E$43,4,0)</f>
        <v>0</v>
      </c>
      <c r="I54" s="190">
        <f t="shared" si="11"/>
        <v>0</v>
      </c>
    </row>
    <row r="55" spans="2:9" x14ac:dyDescent="0.2">
      <c r="B55" s="187" t="s">
        <v>39</v>
      </c>
      <c r="C55" s="188" t="str">
        <f>VLOOKUP(B55,'S | 02'!$C$6:$J$41,2,0)</f>
        <v>Direct Investment</v>
      </c>
      <c r="D55" s="188" t="str">
        <f>VLOOKUP(B55,'S | 02'!$C$6:$J$41,5,0)</f>
        <v>Mozn</v>
      </c>
      <c r="E55" s="290">
        <f t="shared" si="10"/>
        <v>45351</v>
      </c>
      <c r="F55" s="190"/>
      <c r="G55" s="190"/>
      <c r="H55" s="190">
        <f>VLOOKUP(B55,NAV!$B$10:$E$43,4,0)</f>
        <v>78.082229999999996</v>
      </c>
      <c r="I55" s="190">
        <f t="shared" si="11"/>
        <v>78.082229999999996</v>
      </c>
    </row>
    <row r="56" spans="2:9" x14ac:dyDescent="0.2">
      <c r="B56" s="187" t="s">
        <v>40</v>
      </c>
      <c r="C56" s="188" t="str">
        <f>VLOOKUP(B56,'S | 02'!$C$6:$J$41,2,0)</f>
        <v>Direct Investment</v>
      </c>
      <c r="D56" s="188" t="str">
        <f>VLOOKUP(B56,'S | 02'!$C$6:$J$41,5,0)</f>
        <v>Mozn</v>
      </c>
      <c r="E56" s="290">
        <f t="shared" si="10"/>
        <v>45351</v>
      </c>
      <c r="F56" s="190"/>
      <c r="G56" s="190"/>
      <c r="H56" s="534">
        <f>VLOOKUP(B56,NAV!$B$10:$E$43,4,0)</f>
        <v>0</v>
      </c>
      <c r="I56" s="190">
        <f t="shared" si="11"/>
        <v>0</v>
      </c>
    </row>
    <row r="57" spans="2:9" x14ac:dyDescent="0.2">
      <c r="B57" s="187" t="s">
        <v>38</v>
      </c>
      <c r="C57" s="188" t="str">
        <f>VLOOKUP(B57,'S | 02'!$C$6:$J$41,2,0)</f>
        <v>Direct Investment</v>
      </c>
      <c r="D57" s="188" t="str">
        <f>VLOOKUP(B57,'S | 02'!$C$6:$J$41,5,0)</f>
        <v>Mozn</v>
      </c>
      <c r="E57" s="290">
        <f t="shared" si="10"/>
        <v>45351</v>
      </c>
      <c r="F57" s="190"/>
      <c r="G57" s="190"/>
      <c r="H57" s="190">
        <f>VLOOKUP(B57,NAV!$B$10:$E$43,4,0)</f>
        <v>91.001540300000002</v>
      </c>
      <c r="I57" s="190">
        <f t="shared" si="11"/>
        <v>91.001540300000002</v>
      </c>
    </row>
    <row r="58" spans="2:9" x14ac:dyDescent="0.2">
      <c r="B58" s="187" t="s">
        <v>88</v>
      </c>
      <c r="C58" s="188" t="str">
        <f>VLOOKUP(B58,'S | 02'!$C$6:$J$41,2,0)</f>
        <v>Direct Investment</v>
      </c>
      <c r="D58" s="188" t="str">
        <f>VLOOKUP(B58,'S | 02'!$C$6:$J$41,5,0)</f>
        <v>Mozn</v>
      </c>
      <c r="E58" s="290">
        <f t="shared" si="10"/>
        <v>45351</v>
      </c>
      <c r="F58" s="190"/>
      <c r="G58" s="190"/>
      <c r="H58" s="190">
        <f>VLOOKUP(B58,NAV!$B$10:$E$43,4,0)</f>
        <v>74.432454495000002</v>
      </c>
      <c r="I58" s="190">
        <f t="shared" si="11"/>
        <v>74.432454495000002</v>
      </c>
    </row>
    <row r="59" spans="2:9" x14ac:dyDescent="0.2">
      <c r="B59" s="187" t="s">
        <v>9</v>
      </c>
      <c r="C59" s="188" t="str">
        <f>VLOOKUP(B59,'S | 02'!$C$6:$J$41,2,0)</f>
        <v>Direct Investment</v>
      </c>
      <c r="D59" s="188" t="str">
        <f>VLOOKUP(B59,'S | 02'!$C$6:$J$41,5,0)</f>
        <v>Mozn</v>
      </c>
      <c r="E59" s="290">
        <f t="shared" si="10"/>
        <v>45351</v>
      </c>
      <c r="F59" s="190"/>
      <c r="G59" s="190"/>
      <c r="H59" s="190">
        <f>VLOOKUP(B59,NAV!$B$10:$E$43,4,0)</f>
        <v>148.0498412781194</v>
      </c>
      <c r="I59" s="190">
        <f t="shared" si="11"/>
        <v>148.0498412781194</v>
      </c>
    </row>
    <row r="60" spans="2:9" x14ac:dyDescent="0.2">
      <c r="B60" s="30" t="s">
        <v>18</v>
      </c>
      <c r="C60" s="188" t="str">
        <f>VLOOKUP(B60,'S | 02'!$C$6:$J$41,2,0)</f>
        <v>Direct Investment</v>
      </c>
      <c r="D60" s="35" t="s">
        <v>307</v>
      </c>
      <c r="E60" s="290">
        <f t="shared" si="10"/>
        <v>45351</v>
      </c>
      <c r="F60" s="190"/>
      <c r="G60" s="190"/>
      <c r="H60" s="534">
        <f>VLOOKUP(B60,NAV!$B$10:$E$43,4,0)</f>
        <v>0</v>
      </c>
      <c r="I60" s="190">
        <f t="shared" si="11"/>
        <v>0</v>
      </c>
    </row>
    <row r="61" spans="2:9" x14ac:dyDescent="0.2">
      <c r="B61" s="187" t="s">
        <v>41</v>
      </c>
      <c r="C61" s="188" t="str">
        <f>VLOOKUP(B61,'S | 02'!$C$6:$J$41,2,0)</f>
        <v>Direct Investment</v>
      </c>
      <c r="D61" s="188" t="str">
        <f>VLOOKUP(B61,'S | 02'!$C$6:$J$41,5,0)</f>
        <v>Mozn</v>
      </c>
      <c r="E61" s="290">
        <f t="shared" si="10"/>
        <v>45351</v>
      </c>
      <c r="F61" s="190"/>
      <c r="G61" s="190"/>
      <c r="H61" s="190">
        <f>VLOOKUP(B61,NAV!$B$10:$E$43,4,0)</f>
        <v>39.999983359999995</v>
      </c>
      <c r="I61" s="190">
        <f t="shared" si="11"/>
        <v>39.999983359999995</v>
      </c>
    </row>
    <row r="62" spans="2:9" x14ac:dyDescent="0.2">
      <c r="B62" s="187" t="s">
        <v>42</v>
      </c>
      <c r="C62" s="188" t="str">
        <f>VLOOKUP(B62,'S | 02'!$C$6:$J$41,2,0)</f>
        <v>Direct Investment</v>
      </c>
      <c r="D62" s="188" t="str">
        <f>VLOOKUP(B62,'S | 02'!$C$6:$J$41,5,0)</f>
        <v>Mozn</v>
      </c>
      <c r="E62" s="290">
        <f t="shared" si="10"/>
        <v>45351</v>
      </c>
      <c r="F62" s="190"/>
      <c r="G62" s="190"/>
      <c r="H62" s="190">
        <f>VLOOKUP(B62,NAV!$B$10:$E$43,4,0)</f>
        <v>8</v>
      </c>
      <c r="I62" s="190">
        <f t="shared" si="11"/>
        <v>8</v>
      </c>
    </row>
    <row r="63" spans="2:9" x14ac:dyDescent="0.2">
      <c r="B63" s="187" t="s">
        <v>43</v>
      </c>
      <c r="C63" s="188" t="str">
        <f>VLOOKUP(B63,'S | 02'!$C$6:$J$41,2,0)</f>
        <v>Direct Investment</v>
      </c>
      <c r="D63" s="188" t="str">
        <f>VLOOKUP(B63,'S | 02'!$C$6:$J$41,5,0)</f>
        <v>Mozn</v>
      </c>
      <c r="E63" s="290">
        <f t="shared" si="10"/>
        <v>45351</v>
      </c>
      <c r="F63" s="190"/>
      <c r="G63" s="190"/>
      <c r="H63" s="534">
        <f>VLOOKUP(B63,NAV!$B$10:$E$43,4,0)</f>
        <v>0</v>
      </c>
      <c r="I63" s="190">
        <f t="shared" si="11"/>
        <v>0</v>
      </c>
    </row>
    <row r="64" spans="2:9" x14ac:dyDescent="0.2">
      <c r="B64" s="30" t="s">
        <v>71</v>
      </c>
      <c r="C64" s="188" t="str">
        <f>VLOOKUP(B64,'S | 02'!$C$6:$J$41,2,0)</f>
        <v>Direct Investment</v>
      </c>
      <c r="D64" s="188" t="str">
        <f>VLOOKUP(B64,'S | 02'!$C$6:$J$41,5,0)</f>
        <v>Mozn 2</v>
      </c>
      <c r="E64" s="290">
        <f t="shared" si="10"/>
        <v>45351</v>
      </c>
      <c r="F64" s="190"/>
      <c r="G64" s="190"/>
      <c r="H64" s="534">
        <f>VLOOKUP(B64,NAV!$B$10:$E$43,4,0)</f>
        <v>0</v>
      </c>
      <c r="I64" s="190">
        <f t="shared" ref="I64" si="12">SUM(F64:H64)</f>
        <v>0</v>
      </c>
    </row>
    <row r="65" spans="2:9" x14ac:dyDescent="0.2">
      <c r="B65" s="30" t="s">
        <v>269</v>
      </c>
      <c r="C65" s="188" t="str">
        <f>VLOOKUP(B65,'S | 02'!$C$6:$J$41,2,0)</f>
        <v>Direct Investment</v>
      </c>
      <c r="D65" s="35" t="str">
        <f>VLOOKUP(B65,'S | 02'!$C$6:$J$41,5,0)</f>
        <v>Mozn</v>
      </c>
      <c r="E65" s="290">
        <f t="shared" si="10"/>
        <v>45351</v>
      </c>
      <c r="F65" s="190"/>
      <c r="G65" s="190"/>
      <c r="H65" s="190">
        <f>VLOOKUP(B65,NAV!$B$10:$E$43,4,0)</f>
        <v>11.5</v>
      </c>
      <c r="I65" s="190">
        <f t="shared" si="11"/>
        <v>11.5</v>
      </c>
    </row>
    <row r="66" spans="2:9" x14ac:dyDescent="0.2">
      <c r="B66" s="30" t="s">
        <v>304</v>
      </c>
      <c r="C66" s="188" t="str">
        <f>VLOOKUP(B66,'S | 02'!$C$6:$J$41,2,0)</f>
        <v>Direct Investment</v>
      </c>
      <c r="D66" s="35" t="str">
        <f>VLOOKUP(B66,'S | 02'!$C$6:$J$41,5,0)</f>
        <v>Mozn 4</v>
      </c>
      <c r="E66" s="290">
        <f t="shared" si="10"/>
        <v>45351</v>
      </c>
      <c r="F66" s="190"/>
      <c r="G66" s="190"/>
      <c r="H66" s="190">
        <f>VLOOKUP(B66,NAV!$B$10:$E$43,4,0)</f>
        <v>20.888121539999997</v>
      </c>
      <c r="I66" s="190">
        <f t="shared" si="11"/>
        <v>20.888121539999997</v>
      </c>
    </row>
    <row r="67" spans="2:9" x14ac:dyDescent="0.2">
      <c r="B67" s="30" t="s">
        <v>381</v>
      </c>
      <c r="C67" s="188" t="str">
        <f>VLOOKUP(B67,'S | 02'!$C$6:$J$41,2,0)</f>
        <v>Direct Investment</v>
      </c>
      <c r="D67" s="188" t="str">
        <f>VLOOKUP(B67,'S | 02'!$C$6:$J$41,5,0)</f>
        <v>Mozn</v>
      </c>
      <c r="E67" s="290">
        <f t="shared" si="10"/>
        <v>45351</v>
      </c>
      <c r="F67" s="190"/>
      <c r="G67" s="190"/>
      <c r="H67" s="190">
        <f ca="1">VLOOKUP(B67,NAV!$B$10:$E$43,4,0)</f>
        <v>14.999998939999999</v>
      </c>
      <c r="I67" s="190">
        <f t="shared" ref="I67" ca="1" si="13">SUM(F67:H67)</f>
        <v>14.999998939999999</v>
      </c>
    </row>
    <row r="68" spans="2:9" x14ac:dyDescent="0.2">
      <c r="B68" s="30" t="s">
        <v>447</v>
      </c>
      <c r="C68" s="188" t="str">
        <f>VLOOKUP(B68,'S | 02'!$C$6:$J$41,2,0)</f>
        <v>Direct Investment</v>
      </c>
      <c r="D68" s="188" t="str">
        <f>VLOOKUP(B68,'S | 02'!$C$6:$J$41,5,0)</f>
        <v>Mozn</v>
      </c>
      <c r="E68" s="290">
        <f t="shared" si="10"/>
        <v>45351</v>
      </c>
      <c r="F68" s="190"/>
      <c r="G68" s="190"/>
      <c r="H68" s="190">
        <f ca="1">VLOOKUP(B68,NAV!$B$10:$E$43,4,0)</f>
        <v>15</v>
      </c>
      <c r="I68" s="190">
        <f t="shared" ref="I68:I69" ca="1" si="14">SUM(F68:H68)</f>
        <v>15</v>
      </c>
    </row>
    <row r="69" spans="2:9" x14ac:dyDescent="0.2">
      <c r="B69" s="30" t="s">
        <v>458</v>
      </c>
      <c r="C69" s="188" t="str">
        <f>VLOOKUP(B69,'S | 02'!$C$6:$J$41,2,0)</f>
        <v>Direct Investment</v>
      </c>
      <c r="D69" s="188" t="str">
        <f>VLOOKUP(B69,'S | 02'!$C$6:$J$41,5,0)</f>
        <v>Mozn</v>
      </c>
      <c r="E69" s="290">
        <f t="shared" si="10"/>
        <v>45351</v>
      </c>
      <c r="F69" s="190"/>
      <c r="G69" s="190"/>
      <c r="H69" s="190">
        <f ca="1">VLOOKUP(B69,NAV!$B$10:$E$43,4,0)</f>
        <v>6</v>
      </c>
      <c r="I69" s="190">
        <f t="shared" ca="1" si="14"/>
        <v>6</v>
      </c>
    </row>
    <row r="70" spans="2:9" x14ac:dyDescent="0.2">
      <c r="B70" s="187" t="s">
        <v>49</v>
      </c>
      <c r="C70" s="188" t="str">
        <f>VLOOKUP(B70,'S | 02'!$C$6:$J$41,2,0)</f>
        <v>Debt Investment</v>
      </c>
      <c r="D70" s="188" t="str">
        <f>VLOOKUP(B70,'S | 02'!$C$6:$J$41,5,0)</f>
        <v>Mozn</v>
      </c>
      <c r="E70" s="290">
        <f t="shared" si="10"/>
        <v>45351</v>
      </c>
      <c r="F70" s="190"/>
      <c r="G70" s="190"/>
      <c r="H70" s="534">
        <f>VLOOKUP(B70,NAV!$B$10:$E$43,4,0)</f>
        <v>0</v>
      </c>
      <c r="I70" s="190">
        <f t="shared" si="11"/>
        <v>0</v>
      </c>
    </row>
    <row r="71" spans="2:9" x14ac:dyDescent="0.2">
      <c r="B71" s="187" t="s">
        <v>271</v>
      </c>
      <c r="C71" s="188" t="str">
        <f>VLOOKUP(B71,'S | 02'!$C$6:$J$41,2,0)</f>
        <v>Debt Investment</v>
      </c>
      <c r="D71" s="188" t="str">
        <f>VLOOKUP(B71,'S | 02'!$C$6:$J$41,5,0)</f>
        <v>Mozn</v>
      </c>
      <c r="E71" s="290">
        <f t="shared" si="10"/>
        <v>45351</v>
      </c>
      <c r="F71" s="190"/>
      <c r="G71" s="190"/>
      <c r="H71" s="190">
        <f>VLOOKUP(B71,NAV!$B$10:$E$43,4,0)</f>
        <v>0</v>
      </c>
      <c r="I71" s="190">
        <f t="shared" si="11"/>
        <v>0</v>
      </c>
    </row>
    <row r="72" spans="2:9" x14ac:dyDescent="0.2">
      <c r="B72" s="187"/>
      <c r="C72" s="188"/>
      <c r="D72" s="188"/>
      <c r="E72" s="290"/>
      <c r="F72" s="190"/>
      <c r="G72" s="190"/>
      <c r="H72" s="190"/>
      <c r="I72" s="190"/>
    </row>
    <row r="73" spans="2:9" x14ac:dyDescent="0.2">
      <c r="E73" s="291"/>
    </row>
    <row r="74" spans="2:9" x14ac:dyDescent="0.2">
      <c r="E74" s="291"/>
    </row>
    <row r="75" spans="2:9" x14ac:dyDescent="0.2">
      <c r="E75" s="291"/>
    </row>
    <row r="76" spans="2:9" x14ac:dyDescent="0.2">
      <c r="E76" s="291"/>
    </row>
    <row r="77" spans="2:9" x14ac:dyDescent="0.2">
      <c r="E77" s="291"/>
    </row>
    <row r="78" spans="2:9" x14ac:dyDescent="0.2">
      <c r="E78" s="291"/>
    </row>
    <row r="79" spans="2:9" x14ac:dyDescent="0.2">
      <c r="E79" s="291"/>
    </row>
    <row r="80" spans="2:9" x14ac:dyDescent="0.2">
      <c r="E80" s="291"/>
    </row>
    <row r="81" spans="3:5" x14ac:dyDescent="0.2">
      <c r="E81" s="291"/>
    </row>
    <row r="82" spans="3:5" x14ac:dyDescent="0.2">
      <c r="E82" s="291"/>
    </row>
    <row r="83" spans="3:5" x14ac:dyDescent="0.2">
      <c r="C83" s="29"/>
      <c r="D83" s="29"/>
      <c r="E83" s="291"/>
    </row>
    <row r="84" spans="3:5" x14ac:dyDescent="0.2">
      <c r="C84" s="29"/>
      <c r="D84" s="29"/>
      <c r="E84" s="291"/>
    </row>
    <row r="85" spans="3:5" x14ac:dyDescent="0.2">
      <c r="C85" s="29"/>
      <c r="D85" s="29"/>
      <c r="E85" s="291"/>
    </row>
    <row r="86" spans="3:5" x14ac:dyDescent="0.2">
      <c r="C86" s="29"/>
      <c r="D86" s="29"/>
      <c r="E86" s="291"/>
    </row>
    <row r="87" spans="3:5" x14ac:dyDescent="0.2">
      <c r="C87" s="29"/>
      <c r="D87" s="29"/>
      <c r="E87" s="291"/>
    </row>
    <row r="88" spans="3:5" x14ac:dyDescent="0.2">
      <c r="C88" s="29"/>
      <c r="D88" s="29"/>
      <c r="E88" s="291"/>
    </row>
    <row r="89" spans="3:5" x14ac:dyDescent="0.2">
      <c r="C89" s="29"/>
      <c r="D89" s="29"/>
      <c r="E89" s="291"/>
    </row>
    <row r="90" spans="3:5" x14ac:dyDescent="0.2">
      <c r="C90" s="29"/>
      <c r="D90" s="29"/>
      <c r="E90" s="291"/>
    </row>
    <row r="91" spans="3:5" x14ac:dyDescent="0.2">
      <c r="C91" s="29"/>
      <c r="D91" s="29"/>
      <c r="E91" s="291"/>
    </row>
    <row r="92" spans="3:5" x14ac:dyDescent="0.2">
      <c r="C92" s="29"/>
      <c r="D92" s="29"/>
      <c r="E92" s="291"/>
    </row>
    <row r="93" spans="3:5" x14ac:dyDescent="0.2">
      <c r="C93" s="29"/>
      <c r="D93" s="29"/>
      <c r="E93" s="291"/>
    </row>
    <row r="94" spans="3:5" x14ac:dyDescent="0.2">
      <c r="C94" s="29"/>
      <c r="D94" s="29"/>
      <c r="E94" s="291"/>
    </row>
    <row r="95" spans="3:5" x14ac:dyDescent="0.2">
      <c r="C95" s="29"/>
      <c r="D95" s="29"/>
      <c r="E95" s="291"/>
    </row>
    <row r="96" spans="3:5" x14ac:dyDescent="0.2">
      <c r="C96" s="29"/>
      <c r="D96" s="29"/>
      <c r="E96" s="291"/>
    </row>
    <row r="97" spans="3:5" x14ac:dyDescent="0.2">
      <c r="C97" s="29"/>
      <c r="D97" s="29"/>
      <c r="E97" s="291"/>
    </row>
    <row r="98" spans="3:5" x14ac:dyDescent="0.2">
      <c r="C98" s="29"/>
      <c r="D98" s="29"/>
      <c r="E98" s="291"/>
    </row>
    <row r="99" spans="3:5" x14ac:dyDescent="0.2">
      <c r="C99" s="29"/>
      <c r="D99" s="29"/>
      <c r="E99" s="291"/>
    </row>
    <row r="100" spans="3:5" x14ac:dyDescent="0.2">
      <c r="C100" s="29"/>
      <c r="D100" s="29"/>
      <c r="E100" s="291"/>
    </row>
    <row r="101" spans="3:5" x14ac:dyDescent="0.2">
      <c r="C101" s="29"/>
      <c r="D101" s="29"/>
      <c r="E101" s="291"/>
    </row>
    <row r="102" spans="3:5" x14ac:dyDescent="0.2">
      <c r="C102" s="29"/>
      <c r="D102" s="29"/>
      <c r="E102" s="291"/>
    </row>
    <row r="103" spans="3:5" x14ac:dyDescent="0.2">
      <c r="C103" s="29"/>
      <c r="D103" s="29"/>
      <c r="E103" s="291"/>
    </row>
    <row r="104" spans="3:5" x14ac:dyDescent="0.2">
      <c r="C104" s="29"/>
      <c r="D104" s="29"/>
      <c r="E104" s="291"/>
    </row>
    <row r="105" spans="3:5" x14ac:dyDescent="0.2">
      <c r="C105" s="29"/>
      <c r="D105" s="29"/>
      <c r="E105" s="291"/>
    </row>
    <row r="106" spans="3:5" x14ac:dyDescent="0.2">
      <c r="C106" s="29"/>
      <c r="D106" s="29"/>
      <c r="E106" s="291"/>
    </row>
    <row r="107" spans="3:5" x14ac:dyDescent="0.2">
      <c r="C107" s="29"/>
      <c r="D107" s="29"/>
      <c r="E107" s="291"/>
    </row>
    <row r="108" spans="3:5" x14ac:dyDescent="0.2">
      <c r="C108" s="29"/>
      <c r="D108" s="29"/>
      <c r="E108" s="291"/>
    </row>
    <row r="109" spans="3:5" x14ac:dyDescent="0.2">
      <c r="C109" s="29"/>
      <c r="D109" s="29"/>
      <c r="E109" s="291"/>
    </row>
    <row r="110" spans="3:5" x14ac:dyDescent="0.2">
      <c r="C110" s="29"/>
      <c r="D110" s="29"/>
      <c r="E110" s="291"/>
    </row>
    <row r="111" spans="3:5" x14ac:dyDescent="0.2">
      <c r="C111" s="29"/>
      <c r="D111" s="29"/>
      <c r="E111" s="291"/>
    </row>
    <row r="112" spans="3:5" x14ac:dyDescent="0.2">
      <c r="C112" s="29"/>
      <c r="D112" s="29"/>
      <c r="E112" s="291"/>
    </row>
    <row r="113" spans="3:5" x14ac:dyDescent="0.2">
      <c r="C113" s="29"/>
      <c r="D113" s="29"/>
      <c r="E113" s="291"/>
    </row>
    <row r="114" spans="3:5" x14ac:dyDescent="0.2">
      <c r="C114" s="29"/>
      <c r="D114" s="29"/>
      <c r="E114" s="291"/>
    </row>
    <row r="115" spans="3:5" x14ac:dyDescent="0.2">
      <c r="C115" s="29"/>
      <c r="D115" s="29"/>
      <c r="E115" s="291"/>
    </row>
    <row r="116" spans="3:5" x14ac:dyDescent="0.2">
      <c r="C116" s="29"/>
      <c r="D116" s="29"/>
      <c r="E116" s="291"/>
    </row>
    <row r="117" spans="3:5" x14ac:dyDescent="0.2">
      <c r="C117" s="29"/>
      <c r="D117" s="29"/>
      <c r="E117" s="291"/>
    </row>
    <row r="118" spans="3:5" x14ac:dyDescent="0.2">
      <c r="C118" s="29"/>
      <c r="D118" s="29"/>
      <c r="E118" s="291"/>
    </row>
    <row r="119" spans="3:5" x14ac:dyDescent="0.2">
      <c r="C119" s="29"/>
      <c r="D119" s="29"/>
      <c r="E119" s="291"/>
    </row>
    <row r="120" spans="3:5" x14ac:dyDescent="0.2">
      <c r="C120" s="29"/>
      <c r="D120" s="29"/>
      <c r="E120" s="291"/>
    </row>
    <row r="121" spans="3:5" x14ac:dyDescent="0.2">
      <c r="C121" s="29"/>
      <c r="D121" s="29"/>
      <c r="E121" s="291"/>
    </row>
    <row r="122" spans="3:5" x14ac:dyDescent="0.2">
      <c r="C122" s="29"/>
      <c r="D122" s="29"/>
      <c r="E122" s="291"/>
    </row>
    <row r="123" spans="3:5" x14ac:dyDescent="0.2">
      <c r="C123" s="29"/>
      <c r="D123" s="29"/>
      <c r="E123" s="291"/>
    </row>
    <row r="124" spans="3:5" x14ac:dyDescent="0.2">
      <c r="C124" s="29"/>
      <c r="D124" s="29"/>
      <c r="E124" s="291"/>
    </row>
    <row r="125" spans="3:5" x14ac:dyDescent="0.2">
      <c r="C125" s="29"/>
      <c r="D125" s="29"/>
      <c r="E125" s="291"/>
    </row>
  </sheetData>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4A3CC-CB8B-4F33-86A8-C08A1E557D45}">
  <sheetPr>
    <tabColor theme="4" tint="-0.499984740745262"/>
  </sheetPr>
  <dimension ref="B2:R136"/>
  <sheetViews>
    <sheetView zoomScale="70" zoomScaleNormal="70" workbookViewId="0">
      <selection activeCell="F36" sqref="F36"/>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2" width="24.85546875" style="29" customWidth="1"/>
    <col min="13" max="13" width="24.85546875" style="34" customWidth="1"/>
    <col min="14" max="14" width="24.85546875" style="29" customWidth="1"/>
    <col min="15" max="18" width="8.7109375" style="29" customWidth="1"/>
    <col min="19" max="16384" width="9.140625" style="29"/>
  </cols>
  <sheetData>
    <row r="2" spans="2:18" s="96" customFormat="1" ht="43.5" customHeight="1" x14ac:dyDescent="0.45">
      <c r="B2" s="215" t="s">
        <v>300</v>
      </c>
      <c r="C2" s="305"/>
      <c r="D2" s="305"/>
      <c r="E2" s="216"/>
      <c r="F2" s="216"/>
      <c r="G2" s="223"/>
      <c r="H2" s="223">
        <f>COUNTA(B13:B78)</f>
        <v>65</v>
      </c>
      <c r="I2" s="223"/>
      <c r="J2" s="223"/>
      <c r="K2" s="217"/>
      <c r="L2" s="218"/>
      <c r="M2" s="217"/>
    </row>
    <row r="3" spans="2:18" ht="12.75" thickBot="1" x14ac:dyDescent="0.25"/>
    <row r="4" spans="2:18" s="71" customFormat="1" ht="13.5" thickBot="1" x14ac:dyDescent="0.25">
      <c r="B4" s="158" t="s">
        <v>173</v>
      </c>
      <c r="C4" s="306"/>
      <c r="D4" s="306"/>
      <c r="E4" s="172">
        <f>D!D2</f>
        <v>45351</v>
      </c>
      <c r="M4" s="81"/>
    </row>
    <row r="7" spans="2:18" ht="12.75" x14ac:dyDescent="0.2">
      <c r="J7" s="213"/>
      <c r="K7" s="69" t="s">
        <v>2</v>
      </c>
      <c r="L7" s="69" t="s">
        <v>51</v>
      </c>
      <c r="M7" s="69" t="s">
        <v>33</v>
      </c>
      <c r="N7" s="69" t="s">
        <v>161</v>
      </c>
      <c r="O7" s="69" t="s">
        <v>24</v>
      </c>
      <c r="P7" s="69" t="s">
        <v>34</v>
      </c>
      <c r="Q7" s="69" t="s">
        <v>174</v>
      </c>
      <c r="R7" s="69" t="s">
        <v>97</v>
      </c>
    </row>
    <row r="8" spans="2:18" ht="12.75" x14ac:dyDescent="0.2">
      <c r="J8" s="149"/>
      <c r="K8" s="71"/>
      <c r="L8" s="71"/>
      <c r="M8" s="81"/>
      <c r="N8" s="71"/>
      <c r="O8" s="153"/>
      <c r="P8" s="71"/>
      <c r="Q8" s="71"/>
      <c r="R8" s="71"/>
    </row>
    <row r="9" spans="2:18" ht="15" x14ac:dyDescent="0.25">
      <c r="K9" s="45">
        <f>-SUM(F12:F78)</f>
        <v>1263.4151687813253</v>
      </c>
      <c r="L9" s="307"/>
      <c r="M9" s="45">
        <f>SUM(G12:G78)</f>
        <v>838.97516670140817</v>
      </c>
      <c r="N9" s="45">
        <f ca="1">SUM(H12:H78)</f>
        <v>410.78240816513915</v>
      </c>
      <c r="O9" s="210">
        <f ca="1">XIRR(I13:I78,E13:E78)</f>
        <v>-1.0984978079795836E-2</v>
      </c>
      <c r="P9" s="211">
        <f ca="1">(M9+N9)/K9</f>
        <v>0.98918993989287618</v>
      </c>
      <c r="Q9" s="211">
        <f ca="1">N9/K9</f>
        <v>0.32513651752446093</v>
      </c>
      <c r="R9" s="211">
        <f>M9/K9</f>
        <v>0.66405342236841536</v>
      </c>
    </row>
    <row r="10" spans="2:18" ht="15" x14ac:dyDescent="0.25">
      <c r="B10" s="304" t="s">
        <v>95</v>
      </c>
      <c r="C10" s="43"/>
      <c r="D10" s="43"/>
      <c r="E10" s="43"/>
      <c r="F10" s="43"/>
      <c r="G10" s="43"/>
      <c r="H10" s="43"/>
      <c r="I10" s="43"/>
      <c r="K10" s="45"/>
      <c r="L10" s="34"/>
      <c r="M10" s="45"/>
      <c r="N10" s="45"/>
      <c r="O10" s="210"/>
      <c r="P10" s="211"/>
      <c r="Q10" s="211"/>
      <c r="R10" s="211"/>
    </row>
    <row r="11" spans="2:18" x14ac:dyDescent="0.2">
      <c r="B11" s="301" t="s">
        <v>5</v>
      </c>
      <c r="C11" s="303" t="s">
        <v>159</v>
      </c>
      <c r="D11" s="303" t="s">
        <v>121</v>
      </c>
      <c r="E11" s="302" t="s">
        <v>6</v>
      </c>
      <c r="F11" s="302" t="s">
        <v>96</v>
      </c>
      <c r="G11" s="302" t="s">
        <v>33</v>
      </c>
      <c r="H11" s="303" t="s">
        <v>94</v>
      </c>
      <c r="I11" s="303" t="s">
        <v>163</v>
      </c>
      <c r="M11" s="483" t="s">
        <v>346</v>
      </c>
    </row>
    <row r="12" spans="2:18" ht="12.75" x14ac:dyDescent="0.2">
      <c r="B12" s="32"/>
      <c r="C12" s="36"/>
      <c r="D12" s="36"/>
      <c r="E12" s="33"/>
      <c r="F12" s="40"/>
      <c r="G12" s="40"/>
      <c r="H12" s="40"/>
      <c r="I12" s="40"/>
      <c r="K12" s="29" t="s">
        <v>2</v>
      </c>
      <c r="L12" s="310">
        <f>-SUM(F12:F78)</f>
        <v>1263.4151687813253</v>
      </c>
      <c r="M12" s="81" t="b">
        <f ca="1">K9='S | 02'!L42</f>
        <v>1</v>
      </c>
    </row>
    <row r="13" spans="2:18" ht="12.75" x14ac:dyDescent="0.2">
      <c r="B13" s="30" t="str">
        <f>'CF (Equity, Debt)'!C26</f>
        <v>DriveNets</v>
      </c>
      <c r="C13" s="35" t="str">
        <f>VLOOKUP(B13,'S | 02'!$C$6:$J$41,2,0)</f>
        <v>Direct Investment</v>
      </c>
      <c r="D13" s="35" t="str">
        <f>VLOOKUP(B13,'S | 02'!$C$6:$J$41,5,0)</f>
        <v>G42</v>
      </c>
      <c r="E13" s="31">
        <f>'CF (Equity, Debt)'!D26</f>
        <v>44643</v>
      </c>
      <c r="F13" s="39">
        <f>'CF (Equity, Debt)'!E26</f>
        <v>-200</v>
      </c>
      <c r="G13" s="39"/>
      <c r="H13" s="39"/>
      <c r="I13" s="39">
        <f>SUM(F13:H13)</f>
        <v>-200</v>
      </c>
      <c r="K13" s="29" t="s">
        <v>275</v>
      </c>
      <c r="L13" s="310">
        <f ca="1">SUM(H12:H78)</f>
        <v>410.78240816513915</v>
      </c>
      <c r="M13" s="81" t="b">
        <f ca="1">M9='S | 02'!M42</f>
        <v>1</v>
      </c>
    </row>
    <row r="14" spans="2:18" ht="12.75" x14ac:dyDescent="0.2">
      <c r="B14" s="30" t="str">
        <f>'CF (Equity, Debt)'!C27</f>
        <v>DriveNets</v>
      </c>
      <c r="C14" s="35" t="str">
        <f>VLOOKUP(B14,'S | 02'!$C$6:$J$41,2,0)</f>
        <v>Direct Investment</v>
      </c>
      <c r="D14" s="35" t="str">
        <f>VLOOKUP(B14,'S | 02'!$C$6:$J$41,5,0)</f>
        <v>G42</v>
      </c>
      <c r="E14" s="31">
        <f>'CF (Equity, Debt)'!D27</f>
        <v>44680</v>
      </c>
      <c r="F14" s="39">
        <f>'CF (Equity, Debt)'!E27</f>
        <v>-100</v>
      </c>
      <c r="G14" s="39"/>
      <c r="H14" s="39"/>
      <c r="I14" s="39">
        <f>SUM(F14:H14)</f>
        <v>-100</v>
      </c>
      <c r="K14" s="29" t="s">
        <v>33</v>
      </c>
      <c r="L14" s="310">
        <f>SUM(G12:G78)</f>
        <v>838.97516670140817</v>
      </c>
      <c r="M14" s="81" t="b">
        <f ca="1">ROUND(N9,3)=ROUND('S | 02'!N42,3)</f>
        <v>1</v>
      </c>
    </row>
    <row r="15" spans="2:18" x14ac:dyDescent="0.2">
      <c r="B15" s="32" t="str">
        <f>'CF (Equity, Debt)'!C29</f>
        <v>vTv Therapeutics Inc.</v>
      </c>
      <c r="C15" s="36" t="str">
        <f>VLOOKUP(B15,'S | 02'!$C$6:$J$41,2,0)</f>
        <v>Direct Investment</v>
      </c>
      <c r="D15" s="36" t="str">
        <f>VLOOKUP(B15,'S | 02'!$C$6:$J$41,5,0)</f>
        <v>G42</v>
      </c>
      <c r="E15" s="33">
        <f>'CF (Equity, Debt)'!D29</f>
        <v>44712</v>
      </c>
      <c r="F15" s="40">
        <f>'CF (Equity, Debt)'!E29</f>
        <v>-12.5</v>
      </c>
      <c r="G15" s="40"/>
      <c r="H15" s="40"/>
      <c r="I15" s="40">
        <f>SUM(F15:H15)</f>
        <v>-12.5</v>
      </c>
      <c r="K15" s="29" t="s">
        <v>276</v>
      </c>
      <c r="L15" s="310">
        <f ca="1">L14+L13-L12</f>
        <v>-13.65759391477809</v>
      </c>
    </row>
    <row r="16" spans="2:18" x14ac:dyDescent="0.2">
      <c r="B16" s="32" t="str">
        <f>'CF (Equity, Debt)'!C34</f>
        <v>vTv Therapeutics Inc.</v>
      </c>
      <c r="C16" s="36" t="str">
        <f>VLOOKUP(B16,'S | 02'!$C$6:$J$41,2,0)</f>
        <v>Direct Investment</v>
      </c>
      <c r="D16" s="36" t="str">
        <f>VLOOKUP(B16,'S | 02'!$C$6:$J$41,5,0)</f>
        <v>G42</v>
      </c>
      <c r="E16" s="33">
        <f>'CF (Equity, Debt)'!D34</f>
        <v>44985</v>
      </c>
      <c r="F16" s="40">
        <f>'CF (Equity, Debt)'!E34</f>
        <v>-12.03125</v>
      </c>
      <c r="G16" s="40"/>
      <c r="H16" s="40"/>
      <c r="I16" s="40">
        <f>SUM(F16:H16)</f>
        <v>-12.03125</v>
      </c>
      <c r="K16" s="29" t="s">
        <v>24</v>
      </c>
      <c r="L16" s="309">
        <f ca="1">O9</f>
        <v>-1.0984978079795836E-2</v>
      </c>
    </row>
    <row r="17" spans="2:12" x14ac:dyDescent="0.2">
      <c r="B17" s="191" t="str">
        <f>'CF (Equity, Debt)'!C30</f>
        <v>Honor Device Co Ltd</v>
      </c>
      <c r="C17" s="192" t="str">
        <f>VLOOKUP(B17,'S | 02'!$C$6:$J$41,2,0)</f>
        <v>Direct Investment</v>
      </c>
      <c r="D17" s="192" t="str">
        <f>VLOOKUP(B17,'S | 02'!$C$6:$J$41,5,0)</f>
        <v>G42 3</v>
      </c>
      <c r="E17" s="289">
        <f>'CF (Equity, Debt)'!D30</f>
        <v>44769</v>
      </c>
      <c r="F17" s="194">
        <f>'CF (Equity, Debt)'!E30</f>
        <v>-600</v>
      </c>
      <c r="G17" s="194"/>
      <c r="H17" s="194"/>
      <c r="I17" s="194">
        <f>SUM(F17:H17)</f>
        <v>-600</v>
      </c>
    </row>
    <row r="18" spans="2:12" x14ac:dyDescent="0.2">
      <c r="B18" s="191" t="str">
        <f>'CF (Equity, Debt)'!C31</f>
        <v>Honor Device Co Ltd</v>
      </c>
      <c r="C18" s="192" t="str">
        <f>VLOOKUP(B18,'S | 02'!$C$6:$J$41,2,0)</f>
        <v>Direct Investment</v>
      </c>
      <c r="D18" s="192" t="str">
        <f>VLOOKUP(B18,'S | 02'!$C$6:$J$41,5,0)</f>
        <v>G42 3</v>
      </c>
      <c r="E18" s="289">
        <f>'CF (Equity, Debt)'!D31</f>
        <v>44849</v>
      </c>
      <c r="F18" s="194">
        <f>'CF (Equity, Debt)'!E31</f>
        <v>-200</v>
      </c>
      <c r="G18" s="194"/>
      <c r="H18" s="194"/>
      <c r="I18" s="194">
        <f t="shared" ref="I18" si="0">SUM(F18:H18)</f>
        <v>-200</v>
      </c>
    </row>
    <row r="19" spans="2:12" x14ac:dyDescent="0.2">
      <c r="B19" s="536" t="str">
        <f>'CF (Equity, Debt)'!C43</f>
        <v>Honor Device Co Ltd</v>
      </c>
      <c r="C19" s="192" t="str">
        <f>VLOOKUP(B19,'S | 02'!$C$6:$J$41,2,0)</f>
        <v>Direct Investment</v>
      </c>
      <c r="D19" s="192" t="str">
        <f>VLOOKUP(B19,'S | 02'!$C$6:$J$41,5,0)</f>
        <v>G42 3</v>
      </c>
      <c r="E19" s="289">
        <f>'CF (Equity, Debt)'!D32</f>
        <v>44861</v>
      </c>
      <c r="F19" s="194">
        <f>'CF (Equity, Debt)'!E43</f>
        <v>0</v>
      </c>
      <c r="G19" s="194">
        <f>'CF (Equity, Debt)'!F43</f>
        <v>2.8</v>
      </c>
      <c r="H19" s="194"/>
      <c r="I19" s="194">
        <f t="shared" ref="I19:I20" si="1">SUM(F19:H19)</f>
        <v>2.8</v>
      </c>
    </row>
    <row r="20" spans="2:12" x14ac:dyDescent="0.2">
      <c r="B20" s="536" t="str">
        <f>'CF (Equity, Debt)'!C44</f>
        <v>Honor Device Co Ltd</v>
      </c>
      <c r="C20" s="192" t="str">
        <f>VLOOKUP(B20,'S | 02'!$C$6:$J$41,2,0)</f>
        <v>Direct Investment</v>
      </c>
      <c r="D20" s="192" t="str">
        <f>VLOOKUP(B20,'S | 02'!$C$6:$J$41,5,0)</f>
        <v>G42 3</v>
      </c>
      <c r="E20" s="289">
        <f>'CF (Equity, Debt)'!D33</f>
        <v>44892</v>
      </c>
      <c r="F20" s="194">
        <f>'CF (Equity, Debt)'!E44</f>
        <v>0</v>
      </c>
      <c r="G20" s="194">
        <f>'CF (Equity, Debt)'!F44</f>
        <v>800</v>
      </c>
      <c r="H20" s="194"/>
      <c r="I20" s="194">
        <f t="shared" si="1"/>
        <v>800</v>
      </c>
    </row>
    <row r="21" spans="2:12" x14ac:dyDescent="0.2">
      <c r="B21" s="187" t="str">
        <f>'CF (Funds)'!C4</f>
        <v>Sinovation Disrupt Fund, L.P.</v>
      </c>
      <c r="C21" s="188" t="str">
        <f>VLOOKUP(B21,'S | 02'!$C$6:$J$41,2,0)</f>
        <v>Fund Investment</v>
      </c>
      <c r="D21" s="188" t="str">
        <f>VLOOKUP(B21,'S | 02'!$C$6:$J$41,5,0)</f>
        <v>G42 Investments</v>
      </c>
      <c r="E21" s="31">
        <f>'CF (Funds)'!D4</f>
        <v>44153</v>
      </c>
      <c r="F21" s="190">
        <f>'CF (Funds)'!E4</f>
        <v>-10.5</v>
      </c>
      <c r="G21" s="190">
        <f>'CF (Funds)'!F4</f>
        <v>0</v>
      </c>
      <c r="H21" s="190"/>
      <c r="I21" s="190">
        <f t="shared" ref="I21:I68" si="2">SUM(F21:H21)</f>
        <v>-10.5</v>
      </c>
      <c r="L21" s="387">
        <f ca="1">L15/L12</f>
        <v>-1.0810060107123803E-2</v>
      </c>
    </row>
    <row r="22" spans="2:12" x14ac:dyDescent="0.2">
      <c r="B22" s="187" t="str">
        <f>'CF (Funds)'!C5</f>
        <v>Sinovation Disrupt Fund, L.P.</v>
      </c>
      <c r="C22" s="188" t="str">
        <f>VLOOKUP(B22,'S | 02'!$C$6:$J$41,2,0)</f>
        <v>Fund Investment</v>
      </c>
      <c r="D22" s="188" t="str">
        <f>VLOOKUP(B22,'S | 02'!$C$6:$J$41,5,0)</f>
        <v>G42 Investments</v>
      </c>
      <c r="E22" s="31">
        <f>'CF (Funds)'!D5</f>
        <v>44238</v>
      </c>
      <c r="F22" s="190">
        <f>'CF (Funds)'!E5</f>
        <v>4.2140269999999997</v>
      </c>
      <c r="G22" s="190">
        <f>'CF (Funds)'!F5</f>
        <v>0</v>
      </c>
      <c r="H22" s="190"/>
      <c r="I22" s="190">
        <f t="shared" si="2"/>
        <v>4.2140269999999997</v>
      </c>
    </row>
    <row r="23" spans="2:12" x14ac:dyDescent="0.2">
      <c r="B23" s="187" t="str">
        <f>'CF (Funds)'!C6</f>
        <v>Sinovation Disrupt Fund, L.P.</v>
      </c>
      <c r="C23" s="188" t="str">
        <f>VLOOKUP(B23,'S | 02'!$C$6:$J$41,2,0)</f>
        <v>Fund Investment</v>
      </c>
      <c r="D23" s="188" t="str">
        <f>VLOOKUP(B23,'S | 02'!$C$6:$J$41,5,0)</f>
        <v>G42 Investments</v>
      </c>
      <c r="E23" s="31">
        <f>'CF (Funds)'!D6</f>
        <v>44238</v>
      </c>
      <c r="F23" s="190">
        <f>'CF (Funds)'!E6</f>
        <v>0</v>
      </c>
      <c r="G23" s="190">
        <f>'CF (Funds)'!F6</f>
        <v>5.0448349999999996E-2</v>
      </c>
      <c r="H23" s="190"/>
      <c r="I23" s="190">
        <f t="shared" si="2"/>
        <v>5.0448349999999996E-2</v>
      </c>
    </row>
    <row r="24" spans="2:12" x14ac:dyDescent="0.2">
      <c r="B24" s="187" t="str">
        <f>'CF (Funds)'!C7</f>
        <v>Sinovation Disrupt Fund, L.P.</v>
      </c>
      <c r="C24" s="188" t="str">
        <f>VLOOKUP(B24,'S | 02'!$C$6:$J$41,2,0)</f>
        <v>Fund Investment</v>
      </c>
      <c r="D24" s="188" t="str">
        <f>VLOOKUP(B24,'S | 02'!$C$6:$J$41,5,0)</f>
        <v>G42 Investments</v>
      </c>
      <c r="E24" s="31">
        <f>'CF (Funds)'!D7</f>
        <v>44285</v>
      </c>
      <c r="F24" s="190">
        <f>'CF (Funds)'!E7</f>
        <v>-6.4337459999999993</v>
      </c>
      <c r="G24" s="190">
        <f>'CF (Funds)'!F7</f>
        <v>0</v>
      </c>
      <c r="H24" s="190"/>
      <c r="I24" s="190">
        <f t="shared" si="2"/>
        <v>-6.4337459999999993</v>
      </c>
    </row>
    <row r="25" spans="2:12" x14ac:dyDescent="0.2">
      <c r="B25" s="187" t="str">
        <f>'CF (Funds)'!C8</f>
        <v>Sinovation Disrupt Fund, L.P.</v>
      </c>
      <c r="C25" s="188" t="str">
        <f>VLOOKUP(B25,'S | 02'!$C$6:$J$41,2,0)</f>
        <v>Fund Investment</v>
      </c>
      <c r="D25" s="188" t="str">
        <f>VLOOKUP(B25,'S | 02'!$C$6:$J$41,5,0)</f>
        <v>G42 Investments</v>
      </c>
      <c r="E25" s="31">
        <f>'CF (Funds)'!D8</f>
        <v>44269</v>
      </c>
      <c r="F25" s="190">
        <f>'CF (Funds)'!E8</f>
        <v>1.1352073899999999</v>
      </c>
      <c r="G25" s="190">
        <f>'CF (Funds)'!F8</f>
        <v>0</v>
      </c>
      <c r="H25" s="190"/>
      <c r="I25" s="190">
        <f t="shared" si="2"/>
        <v>1.1352073899999999</v>
      </c>
    </row>
    <row r="26" spans="2:12" x14ac:dyDescent="0.2">
      <c r="B26" s="187" t="str">
        <f>'CF (Funds)'!C9</f>
        <v>Sinovation Disrupt Fund, L.P.</v>
      </c>
      <c r="C26" s="188" t="str">
        <f>VLOOKUP(B26,'S | 02'!$C$6:$J$41,2,0)</f>
        <v>Fund Investment</v>
      </c>
      <c r="D26" s="188" t="str">
        <f>VLOOKUP(B26,'S | 02'!$C$6:$J$41,5,0)</f>
        <v>G42 Investments</v>
      </c>
      <c r="E26" s="31">
        <f>'CF (Funds)'!D9</f>
        <v>44269</v>
      </c>
      <c r="F26" s="190">
        <f>'CF (Funds)'!E9</f>
        <v>0</v>
      </c>
      <c r="G26" s="190">
        <f>'CF (Funds)'!F9</f>
        <v>2.5899999999999999E-2</v>
      </c>
      <c r="H26" s="190"/>
      <c r="I26" s="190">
        <f t="shared" si="2"/>
        <v>2.5899999999999999E-2</v>
      </c>
    </row>
    <row r="27" spans="2:12" x14ac:dyDescent="0.2">
      <c r="B27" s="187" t="str">
        <f>'CF (Funds)'!C10</f>
        <v>Sinovation Disrupt Fund, L.P.</v>
      </c>
      <c r="C27" s="188" t="str">
        <f>VLOOKUP(B27,'S | 02'!$C$6:$J$41,2,0)</f>
        <v>Fund Investment</v>
      </c>
      <c r="D27" s="188" t="str">
        <f>VLOOKUP(B27,'S | 02'!$C$6:$J$41,5,0)</f>
        <v>G42 Investments</v>
      </c>
      <c r="E27" s="31">
        <f>'CF (Funds)'!D10</f>
        <v>44483</v>
      </c>
      <c r="F27" s="190">
        <f>'CF (Funds)'!E10</f>
        <v>-7.5671379999999999</v>
      </c>
      <c r="G27" s="190">
        <f>'CF (Funds)'!F10</f>
        <v>0</v>
      </c>
      <c r="H27" s="190"/>
      <c r="I27" s="190">
        <f t="shared" si="2"/>
        <v>-7.5671379999999999</v>
      </c>
    </row>
    <row r="28" spans="2:12" x14ac:dyDescent="0.2">
      <c r="B28" s="187" t="str">
        <f>'CF (Funds)'!C11</f>
        <v>Sinovation Disrupt Fund, L.P.</v>
      </c>
      <c r="C28" s="188" t="str">
        <f>VLOOKUP(B28,'S | 02'!$C$6:$J$41,2,0)</f>
        <v>Fund Investment</v>
      </c>
      <c r="D28" s="188" t="str">
        <f>VLOOKUP(B28,'S | 02'!$C$6:$J$41,5,0)</f>
        <v>G42 Investments</v>
      </c>
      <c r="E28" s="31">
        <f>'CF (Funds)'!D11</f>
        <v>44554</v>
      </c>
      <c r="F28" s="190">
        <f>'CF (Funds)'!E11</f>
        <v>-7.3850159999999994</v>
      </c>
      <c r="G28" s="190">
        <f>'CF (Funds)'!F11</f>
        <v>0</v>
      </c>
      <c r="H28" s="190"/>
      <c r="I28" s="190">
        <f t="shared" si="2"/>
        <v>-7.3850159999999994</v>
      </c>
    </row>
    <row r="29" spans="2:12" x14ac:dyDescent="0.2">
      <c r="B29" s="187" t="str">
        <f>'CF (Funds)'!C12</f>
        <v>Sinovation Disrupt Fund, L.P.</v>
      </c>
      <c r="C29" s="188" t="str">
        <f>VLOOKUP(B29,'S | 02'!$C$6:$J$41,2,0)</f>
        <v>Fund Investment</v>
      </c>
      <c r="D29" s="188" t="str">
        <f>VLOOKUP(B29,'S | 02'!$C$6:$J$41,5,0)</f>
        <v>G42 Investments</v>
      </c>
      <c r="E29" s="31">
        <f>'CF (Funds)'!D12</f>
        <v>44554</v>
      </c>
      <c r="F29" s="190">
        <f>'CF (Funds)'!E12</f>
        <v>4.0733456099999996</v>
      </c>
      <c r="G29" s="190">
        <f>'CF (Funds)'!F12</f>
        <v>0</v>
      </c>
      <c r="H29" s="190"/>
      <c r="I29" s="190">
        <f t="shared" si="2"/>
        <v>4.0733456099999996</v>
      </c>
    </row>
    <row r="30" spans="2:12" x14ac:dyDescent="0.2">
      <c r="B30" s="187" t="str">
        <f>'CF (Funds)'!C13</f>
        <v>Sinovation Disrupt Fund, L.P.</v>
      </c>
      <c r="C30" s="188" t="str">
        <f>VLOOKUP(B30,'S | 02'!$C$6:$J$41,2,0)</f>
        <v>Fund Investment</v>
      </c>
      <c r="D30" s="188" t="str">
        <f>VLOOKUP(B30,'S | 02'!$C$6:$J$41,5,0)</f>
        <v>G42 Investments</v>
      </c>
      <c r="E30" s="31">
        <f>'CF (Funds)'!D13</f>
        <v>44554</v>
      </c>
      <c r="F30" s="190">
        <f>'CF (Funds)'!E13</f>
        <v>0</v>
      </c>
      <c r="G30" s="190">
        <f>'CF (Funds)'!F13</f>
        <v>0.13969399999999998</v>
      </c>
      <c r="H30" s="190"/>
      <c r="I30" s="190">
        <f t="shared" si="2"/>
        <v>0.13969399999999998</v>
      </c>
    </row>
    <row r="31" spans="2:12" x14ac:dyDescent="0.2">
      <c r="B31" s="187" t="str">
        <f>'CF (Funds)'!C14</f>
        <v>Sinovation Disrupt Fund, L.P.</v>
      </c>
      <c r="C31" s="188" t="str">
        <f>VLOOKUP(B31,'S | 02'!$C$6:$J$41,2,0)</f>
        <v>Fund Investment</v>
      </c>
      <c r="D31" s="188" t="str">
        <f>VLOOKUP(B31,'S | 02'!$C$6:$J$41,5,0)</f>
        <v>G42 Investments</v>
      </c>
      <c r="E31" s="31">
        <f>'CF (Funds)'!D14</f>
        <v>44703</v>
      </c>
      <c r="F31" s="190">
        <f>'CF (Funds)'!E14</f>
        <v>5.6730739999999997</v>
      </c>
      <c r="G31" s="190">
        <f>'CF (Funds)'!F14</f>
        <v>0</v>
      </c>
      <c r="H31" s="190"/>
      <c r="I31" s="190">
        <f t="shared" si="2"/>
        <v>5.6730739999999997</v>
      </c>
    </row>
    <row r="32" spans="2:12" x14ac:dyDescent="0.2">
      <c r="B32" s="187" t="str">
        <f>'CF (Funds)'!C15</f>
        <v>Sinovation Disrupt Fund, L.P.</v>
      </c>
      <c r="C32" s="188" t="str">
        <f>VLOOKUP(B32,'S | 02'!$C$6:$J$41,2,0)</f>
        <v>Fund Investment</v>
      </c>
      <c r="D32" s="188" t="str">
        <f>VLOOKUP(B32,'S | 02'!$C$6:$J$41,5,0)</f>
        <v>G42 Investments</v>
      </c>
      <c r="E32" s="31">
        <f>'CF (Funds)'!D15</f>
        <v>44703</v>
      </c>
      <c r="F32" s="190">
        <f>'CF (Funds)'!E15</f>
        <v>0</v>
      </c>
      <c r="G32" s="190">
        <f>'CF (Funds)'!F15</f>
        <v>0.22778599999999999</v>
      </c>
      <c r="H32" s="190"/>
      <c r="I32" s="190">
        <f t="shared" si="2"/>
        <v>0.22778599999999999</v>
      </c>
    </row>
    <row r="33" spans="2:9" x14ac:dyDescent="0.2">
      <c r="B33" s="187" t="str">
        <f>'CF (Funds)'!C16</f>
        <v>Sinovation Disrupt Fund, L.P.</v>
      </c>
      <c r="C33" s="188" t="str">
        <f>VLOOKUP(B33,'S | 02'!$C$6:$J$41,2,0)</f>
        <v>Fund Investment</v>
      </c>
      <c r="D33" s="188" t="str">
        <f>VLOOKUP(B33,'S | 02'!$C$6:$J$41,5,0)</f>
        <v>G42 Investments</v>
      </c>
      <c r="E33" s="31">
        <f>'CF (Funds)'!D16</f>
        <v>44776</v>
      </c>
      <c r="F33" s="190">
        <f>'CF (Funds)'!E16</f>
        <v>-3.235493</v>
      </c>
      <c r="G33" s="190">
        <f>'CF (Funds)'!F16</f>
        <v>0</v>
      </c>
      <c r="H33" s="190"/>
      <c r="I33" s="190">
        <f t="shared" ref="I33" si="3">SUM(F33:H33)</f>
        <v>-3.235493</v>
      </c>
    </row>
    <row r="34" spans="2:9" x14ac:dyDescent="0.2">
      <c r="B34" s="187" t="str">
        <f>'CF (Funds)'!C17</f>
        <v>Sinovation Disrupt Fund, L.P.</v>
      </c>
      <c r="C34" s="188" t="str">
        <f>VLOOKUP(B34,'S | 02'!$C$6:$J$41,2,0)</f>
        <v>Fund Investment</v>
      </c>
      <c r="D34" s="188" t="str">
        <f>VLOOKUP(B34,'S | 02'!$C$6:$J$41,5,0)</f>
        <v>G42 Investments</v>
      </c>
      <c r="E34" s="31">
        <f>'CF (Funds)'!D17</f>
        <v>44960</v>
      </c>
      <c r="F34" s="190">
        <f>'CF (Funds)'!E17</f>
        <v>-2.6315279999999999</v>
      </c>
      <c r="G34" s="190">
        <f>'CF (Funds)'!F17</f>
        <v>0</v>
      </c>
      <c r="H34" s="190"/>
      <c r="I34" s="190">
        <f t="shared" ref="I34" si="4">SUM(F34:H34)</f>
        <v>-2.6315279999999999</v>
      </c>
    </row>
    <row r="35" spans="2:9" x14ac:dyDescent="0.2">
      <c r="B35" s="187" t="str">
        <f>'CF (Funds)'!C18</f>
        <v>Sinovation Disrupt Fund, L.P.</v>
      </c>
      <c r="C35" s="188" t="str">
        <f>VLOOKUP(B35,'S | 02'!$C$6:$J$41,2,0)</f>
        <v>Fund Investment</v>
      </c>
      <c r="D35" s="188" t="str">
        <f>VLOOKUP(B35,'S | 02'!$C$6:$J$41,5,0)</f>
        <v>G42 Investments</v>
      </c>
      <c r="E35" s="31">
        <f>'CF (Funds)'!D18</f>
        <v>45085</v>
      </c>
      <c r="F35" s="190">
        <f>'CF (Funds)'!E18</f>
        <v>1.9125570000000001</v>
      </c>
      <c r="G35" s="190">
        <f>'CF (Funds)'!F18</f>
        <v>0</v>
      </c>
      <c r="H35" s="190"/>
      <c r="I35" s="190">
        <f t="shared" ref="I35" si="5">SUM(F35:H35)</f>
        <v>1.9125570000000001</v>
      </c>
    </row>
    <row r="36" spans="2:9" x14ac:dyDescent="0.2">
      <c r="B36" s="187" t="str">
        <f>'CF (Funds)'!C19</f>
        <v>Sinovation Disrupt Fund, L.P.</v>
      </c>
      <c r="C36" s="188" t="str">
        <f>VLOOKUP(B36,'S | 02'!$C$6:$J$41,2,0)</f>
        <v>Fund Investment</v>
      </c>
      <c r="D36" s="188" t="str">
        <f>VLOOKUP(B36,'S | 02'!$C$6:$J$41,5,0)</f>
        <v>G42 Investments</v>
      </c>
      <c r="E36" s="31">
        <f>'CF (Funds)'!D19</f>
        <v>45166</v>
      </c>
      <c r="F36" s="190">
        <f>'CF (Funds)'!E19</f>
        <v>-1.7991220000000001</v>
      </c>
      <c r="G36" s="190">
        <f>'CF (Funds)'!F19</f>
        <v>0</v>
      </c>
      <c r="H36" s="190"/>
      <c r="I36" s="190">
        <f t="shared" ref="I36" si="6">SUM(F36:H36)</f>
        <v>-1.7991220000000001</v>
      </c>
    </row>
    <row r="37" spans="2:9" x14ac:dyDescent="0.2">
      <c r="B37" s="187" t="str">
        <f>'CF (Funds)'!C20</f>
        <v>Sinovation Disrupt Fund, L.P.</v>
      </c>
      <c r="C37" s="188" t="str">
        <f>VLOOKUP(B37,'S | 02'!$C$6:$J$41,2,0)</f>
        <v>Fund Investment</v>
      </c>
      <c r="D37" s="188" t="str">
        <f>VLOOKUP(B37,'S | 02'!$C$6:$J$41,5,0)</f>
        <v>G42 Investments</v>
      </c>
      <c r="E37" s="31">
        <f>'CF (Funds)'!D20</f>
        <v>45218</v>
      </c>
      <c r="F37" s="190">
        <f>'CF (Funds)'!E20</f>
        <v>-2.415861</v>
      </c>
      <c r="G37" s="190">
        <f>'CF (Funds)'!F20</f>
        <v>0</v>
      </c>
      <c r="H37" s="190"/>
      <c r="I37" s="190">
        <f t="shared" ref="I37" si="7">SUM(F37:H37)</f>
        <v>-2.415861</v>
      </c>
    </row>
    <row r="38" spans="2:9" x14ac:dyDescent="0.2">
      <c r="B38" s="187" t="str">
        <f>'CF (Funds)'!C21</f>
        <v>Sinovation Disrupt Fund, L.P.</v>
      </c>
      <c r="C38" s="188" t="str">
        <f>VLOOKUP(B38,'S | 02'!$C$6:$J$41,2,0)</f>
        <v>Fund Investment</v>
      </c>
      <c r="D38" s="188" t="str">
        <f>VLOOKUP(B38,'S | 02'!$C$6:$J$41,5,0)</f>
        <v>G42 Investments</v>
      </c>
      <c r="E38" s="31">
        <f>'CF (Funds)'!D21</f>
        <v>45323</v>
      </c>
      <c r="F38" s="190">
        <f>'CF (Funds)'!E21</f>
        <v>0</v>
      </c>
      <c r="G38" s="190">
        <f>'CF (Funds)'!F21</f>
        <v>24.959693000000001</v>
      </c>
      <c r="H38" s="190"/>
      <c r="I38" s="190">
        <f t="shared" ref="I38" si="8">SUM(F38:H38)</f>
        <v>24.959693000000001</v>
      </c>
    </row>
    <row r="39" spans="2:9" x14ac:dyDescent="0.2">
      <c r="B39" s="191" t="str">
        <f>'CF (Funds)'!C22</f>
        <v>North Summit Capital Fund</v>
      </c>
      <c r="C39" s="192" t="str">
        <f>VLOOKUP(B39,'S | 02'!$C$6:$J$41,2,0)</f>
        <v>Fund Investment</v>
      </c>
      <c r="D39" s="192" t="str">
        <f>VLOOKUP(B39,'S | 02'!$C$6:$J$41,5,0)</f>
        <v>G42 Investments</v>
      </c>
      <c r="E39" s="289">
        <f>'CF (Funds)'!D22</f>
        <v>43665</v>
      </c>
      <c r="F39" s="194">
        <f>'CF (Funds)'!E22</f>
        <v>-3</v>
      </c>
      <c r="G39" s="194">
        <f>'CF (Funds)'!F22</f>
        <v>0</v>
      </c>
      <c r="H39" s="194"/>
      <c r="I39" s="194">
        <f t="shared" si="2"/>
        <v>-3</v>
      </c>
    </row>
    <row r="40" spans="2:9" x14ac:dyDescent="0.2">
      <c r="B40" s="191" t="str">
        <f>'CF (Funds)'!C23</f>
        <v>North Summit Capital Fund</v>
      </c>
      <c r="C40" s="192" t="str">
        <f>VLOOKUP(B40,'S | 02'!$C$6:$J$41,2,0)</f>
        <v>Fund Investment</v>
      </c>
      <c r="D40" s="192" t="str">
        <f>VLOOKUP(B40,'S | 02'!$C$6:$J$41,5,0)</f>
        <v>G42 Investments</v>
      </c>
      <c r="E40" s="289">
        <f>'CF (Funds)'!D23</f>
        <v>43983</v>
      </c>
      <c r="F40" s="194">
        <f>'CF (Funds)'!E23</f>
        <v>-4.4849999999999994</v>
      </c>
      <c r="G40" s="194">
        <f>'CF (Funds)'!F23</f>
        <v>0</v>
      </c>
      <c r="H40" s="194"/>
      <c r="I40" s="194">
        <f t="shared" si="2"/>
        <v>-4.4849999999999994</v>
      </c>
    </row>
    <row r="41" spans="2:9" x14ac:dyDescent="0.2">
      <c r="B41" s="191" t="str">
        <f>'CF (Funds)'!C24</f>
        <v>North Summit Capital Fund</v>
      </c>
      <c r="C41" s="192" t="str">
        <f>VLOOKUP(B41,'S | 02'!$C$6:$J$41,2,0)</f>
        <v>Fund Investment</v>
      </c>
      <c r="D41" s="192" t="str">
        <f>VLOOKUP(B41,'S | 02'!$C$6:$J$41,5,0)</f>
        <v>G42 Investments</v>
      </c>
      <c r="E41" s="289">
        <f>'CF (Funds)'!D24</f>
        <v>43879</v>
      </c>
      <c r="F41" s="194">
        <f>'CF (Funds)'!E24</f>
        <v>-9.5097500000000004</v>
      </c>
      <c r="G41" s="194">
        <f>'CF (Funds)'!F24</f>
        <v>0</v>
      </c>
      <c r="H41" s="194"/>
      <c r="I41" s="194">
        <f t="shared" si="2"/>
        <v>-9.5097500000000004</v>
      </c>
    </row>
    <row r="42" spans="2:9" x14ac:dyDescent="0.2">
      <c r="B42" s="191" t="str">
        <f>'CF (Funds)'!C25</f>
        <v>North Summit Capital Fund</v>
      </c>
      <c r="C42" s="192" t="str">
        <f>VLOOKUP(B42,'S | 02'!$C$6:$J$41,2,0)</f>
        <v>Fund Investment</v>
      </c>
      <c r="D42" s="192" t="str">
        <f>VLOOKUP(B42,'S | 02'!$C$6:$J$41,5,0)</f>
        <v>G42 Investments</v>
      </c>
      <c r="E42" s="289">
        <f>'CF (Funds)'!D25</f>
        <v>43934</v>
      </c>
      <c r="F42" s="194">
        <f>'CF (Funds)'!E25</f>
        <v>-41.3</v>
      </c>
      <c r="G42" s="194">
        <f>'CF (Funds)'!F25</f>
        <v>0</v>
      </c>
      <c r="H42" s="194"/>
      <c r="I42" s="194">
        <f t="shared" si="2"/>
        <v>-41.3</v>
      </c>
    </row>
    <row r="43" spans="2:9" x14ac:dyDescent="0.2">
      <c r="B43" s="191" t="str">
        <f>'CF (Funds)'!C26</f>
        <v>North Summit Capital Fund</v>
      </c>
      <c r="C43" s="192" t="str">
        <f>VLOOKUP(B43,'S | 02'!$C$6:$J$41,2,0)</f>
        <v>Fund Investment</v>
      </c>
      <c r="D43" s="192" t="str">
        <f>VLOOKUP(B43,'S | 02'!$C$6:$J$41,5,0)</f>
        <v>G42 Investments</v>
      </c>
      <c r="E43" s="289">
        <f>'CF (Funds)'!D26</f>
        <v>44151</v>
      </c>
      <c r="F43" s="194">
        <f>'CF (Funds)'!E26</f>
        <v>9.9499999999999993</v>
      </c>
      <c r="G43" s="194">
        <f>'CF (Funds)'!F26</f>
        <v>0</v>
      </c>
      <c r="H43" s="194"/>
      <c r="I43" s="194">
        <f t="shared" si="2"/>
        <v>9.9499999999999993</v>
      </c>
    </row>
    <row r="44" spans="2:9" x14ac:dyDescent="0.2">
      <c r="B44" s="191" t="str">
        <f>'CF (Funds)'!C27</f>
        <v>North Summit Capital Fund</v>
      </c>
      <c r="C44" s="192" t="str">
        <f>VLOOKUP(B44,'S | 02'!$C$6:$J$41,2,0)</f>
        <v>Fund Investment</v>
      </c>
      <c r="D44" s="192" t="str">
        <f>VLOOKUP(B44,'S | 02'!$C$6:$J$41,5,0)</f>
        <v>G42 Investments</v>
      </c>
      <c r="E44" s="289">
        <f>'CF (Funds)'!D27</f>
        <v>44151</v>
      </c>
      <c r="F44" s="194">
        <f>'CF (Funds)'!E27</f>
        <v>-10.455</v>
      </c>
      <c r="G44" s="194">
        <f>'CF (Funds)'!F27</f>
        <v>0</v>
      </c>
      <c r="H44" s="194"/>
      <c r="I44" s="194">
        <f t="shared" si="2"/>
        <v>-10.455</v>
      </c>
    </row>
    <row r="45" spans="2:9" x14ac:dyDescent="0.2">
      <c r="B45" s="191" t="str">
        <f>'CF (Funds)'!C28</f>
        <v>North Summit Capital Fund</v>
      </c>
      <c r="C45" s="192" t="str">
        <f>VLOOKUP(B45,'S | 02'!$C$6:$J$41,2,0)</f>
        <v>Fund Investment</v>
      </c>
      <c r="D45" s="192" t="str">
        <f>VLOOKUP(B45,'S | 02'!$C$6:$J$41,5,0)</f>
        <v>G42 Investments</v>
      </c>
      <c r="E45" s="289">
        <f>'CF (Funds)'!D28</f>
        <v>44196</v>
      </c>
      <c r="F45" s="194">
        <f>'CF (Funds)'!E28</f>
        <v>4.9749999999999996</v>
      </c>
      <c r="G45" s="194">
        <f>'CF (Funds)'!F28</f>
        <v>0</v>
      </c>
      <c r="H45" s="194"/>
      <c r="I45" s="194">
        <f t="shared" si="2"/>
        <v>4.9749999999999996</v>
      </c>
    </row>
    <row r="46" spans="2:9" x14ac:dyDescent="0.2">
      <c r="B46" s="191" t="str">
        <f>'CF (Funds)'!C29</f>
        <v>North Summit Capital Fund</v>
      </c>
      <c r="C46" s="192" t="str">
        <f>VLOOKUP(B46,'S | 02'!$C$6:$J$41,2,0)</f>
        <v>Fund Investment</v>
      </c>
      <c r="D46" s="192" t="str">
        <f>VLOOKUP(B46,'S | 02'!$C$6:$J$41,5,0)</f>
        <v>G42 Investments</v>
      </c>
      <c r="E46" s="289">
        <f>'CF (Funds)'!D29</f>
        <v>44196</v>
      </c>
      <c r="F46" s="194">
        <f>'CF (Funds)'!E29</f>
        <v>-3.4522930000000001</v>
      </c>
      <c r="G46" s="194">
        <f>'CF (Funds)'!F29</f>
        <v>0</v>
      </c>
      <c r="H46" s="194"/>
      <c r="I46" s="194">
        <f t="shared" si="2"/>
        <v>-3.4522930000000001</v>
      </c>
    </row>
    <row r="47" spans="2:9" x14ac:dyDescent="0.2">
      <c r="B47" s="191" t="str">
        <f>'CF (Funds)'!C30</f>
        <v>North Summit Capital Fund</v>
      </c>
      <c r="C47" s="192" t="str">
        <f>VLOOKUP(B47,'S | 02'!$C$6:$J$41,2,0)</f>
        <v>Fund Investment</v>
      </c>
      <c r="D47" s="192" t="str">
        <f>VLOOKUP(B47,'S | 02'!$C$6:$J$41,5,0)</f>
        <v>G42 Investments</v>
      </c>
      <c r="E47" s="289">
        <f>'CF (Funds)'!D30</f>
        <v>44196</v>
      </c>
      <c r="F47" s="194">
        <f>'CF (Funds)'!E30</f>
        <v>0</v>
      </c>
      <c r="G47" s="194">
        <f>'CF (Funds)'!F30</f>
        <v>0.58290199999999992</v>
      </c>
      <c r="H47" s="194"/>
      <c r="I47" s="194">
        <f t="shared" si="2"/>
        <v>0.58290199999999992</v>
      </c>
    </row>
    <row r="48" spans="2:9" x14ac:dyDescent="0.2">
      <c r="B48" s="191" t="str">
        <f>'CF (Funds)'!C31</f>
        <v>North Summit Capital Fund</v>
      </c>
      <c r="C48" s="192" t="str">
        <f>VLOOKUP(B48,'S | 02'!$C$6:$J$41,2,0)</f>
        <v>Fund Investment</v>
      </c>
      <c r="D48" s="192" t="str">
        <f>VLOOKUP(B48,'S | 02'!$C$6:$J$41,5,0)</f>
        <v>G42 Investments</v>
      </c>
      <c r="E48" s="289">
        <f>'CF (Funds)'!D31</f>
        <v>44370</v>
      </c>
      <c r="F48" s="194">
        <f>'CF (Funds)'!E31</f>
        <v>-5.97</v>
      </c>
      <c r="G48" s="194">
        <f>'CF (Funds)'!F31</f>
        <v>0</v>
      </c>
      <c r="H48" s="194"/>
      <c r="I48" s="194">
        <f t="shared" si="2"/>
        <v>-5.97</v>
      </c>
    </row>
    <row r="49" spans="2:9" x14ac:dyDescent="0.2">
      <c r="B49" s="191" t="str">
        <f>'CF (Funds)'!C32</f>
        <v>North Summit Capital Fund</v>
      </c>
      <c r="C49" s="192" t="str">
        <f>VLOOKUP(B49,'S | 02'!$C$6:$J$41,2,0)</f>
        <v>Fund Investment</v>
      </c>
      <c r="D49" s="192" t="str">
        <f>VLOOKUP(B49,'S | 02'!$C$6:$J$41,5,0)</f>
        <v>G42 Investments</v>
      </c>
      <c r="E49" s="289">
        <f>'CF (Funds)'!D32</f>
        <v>44400</v>
      </c>
      <c r="F49" s="194">
        <f>'CF (Funds)'!E32</f>
        <v>-0.75</v>
      </c>
      <c r="G49" s="194">
        <f>'CF (Funds)'!F32</f>
        <v>0</v>
      </c>
      <c r="H49" s="194"/>
      <c r="I49" s="194">
        <f t="shared" si="2"/>
        <v>-0.75</v>
      </c>
    </row>
    <row r="50" spans="2:9" x14ac:dyDescent="0.2">
      <c r="B50" s="191" t="str">
        <f>'CF (Funds)'!C33</f>
        <v>North Summit Capital Fund</v>
      </c>
      <c r="C50" s="192" t="str">
        <f>VLOOKUP(B50,'S | 02'!$C$6:$J$41,2,0)</f>
        <v>Fund Investment</v>
      </c>
      <c r="D50" s="192" t="str">
        <f>VLOOKUP(B50,'S | 02'!$C$6:$J$41,5,0)</f>
        <v>G42 Investments</v>
      </c>
      <c r="E50" s="289">
        <f>'CF (Funds)'!D33</f>
        <v>44400</v>
      </c>
      <c r="F50" s="194">
        <f>'CF (Funds)'!E33</f>
        <v>0</v>
      </c>
      <c r="G50" s="194">
        <f>'CF (Funds)'!F33</f>
        <v>0.44505899999999998</v>
      </c>
      <c r="H50" s="194"/>
      <c r="I50" s="194">
        <f t="shared" si="2"/>
        <v>0.44505899999999998</v>
      </c>
    </row>
    <row r="51" spans="2:9" x14ac:dyDescent="0.2">
      <c r="B51" s="191" t="str">
        <f>'CF (Funds)'!C34</f>
        <v>North Summit Capital Fund</v>
      </c>
      <c r="C51" s="192" t="str">
        <f>VLOOKUP(B51,'S | 02'!$C$6:$J$41,2,0)</f>
        <v>Fund Investment</v>
      </c>
      <c r="D51" s="192" t="str">
        <f>VLOOKUP(B51,'S | 02'!$C$6:$J$41,5,0)</f>
        <v>G42 Investments</v>
      </c>
      <c r="E51" s="289">
        <f>'CF (Funds)'!D34</f>
        <v>44554</v>
      </c>
      <c r="F51" s="194">
        <f>'CF (Funds)'!E34</f>
        <v>1.7823899999999999</v>
      </c>
      <c r="G51" s="194">
        <f>'CF (Funds)'!F34</f>
        <v>0</v>
      </c>
      <c r="H51" s="194"/>
      <c r="I51" s="194">
        <f t="shared" si="2"/>
        <v>1.7823899999999999</v>
      </c>
    </row>
    <row r="52" spans="2:9" x14ac:dyDescent="0.2">
      <c r="B52" s="191" t="str">
        <f>'CF (Funds)'!C35</f>
        <v>North Summit Capital Fund</v>
      </c>
      <c r="C52" s="192" t="str">
        <f>VLOOKUP(B52,'S | 02'!$C$6:$J$41,2,0)</f>
        <v>Fund Investment</v>
      </c>
      <c r="D52" s="192" t="str">
        <f>VLOOKUP(B52,'S | 02'!$C$6:$J$41,5,0)</f>
        <v>G42 Investments</v>
      </c>
      <c r="E52" s="289">
        <f>'CF (Funds)'!D35</f>
        <v>44676</v>
      </c>
      <c r="F52" s="194">
        <f>'CF (Funds)'!E35</f>
        <v>-21</v>
      </c>
      <c r="G52" s="194">
        <f>'CF (Funds)'!F35</f>
        <v>0</v>
      </c>
      <c r="H52" s="194"/>
      <c r="I52" s="194">
        <f t="shared" si="2"/>
        <v>-21</v>
      </c>
    </row>
    <row r="53" spans="2:9" x14ac:dyDescent="0.2">
      <c r="B53" s="191" t="str">
        <f>'CF (Funds)'!C36</f>
        <v>North Summit Capital Fund</v>
      </c>
      <c r="C53" s="192" t="str">
        <f>VLOOKUP(B53,'S | 02'!$C$6:$J$41,2,0)</f>
        <v>Fund Investment</v>
      </c>
      <c r="D53" s="192" t="str">
        <f>VLOOKUP(B53,'S | 02'!$C$6:$J$41,5,0)</f>
        <v>G42 Investments</v>
      </c>
      <c r="E53" s="289">
        <f>'CF (Funds)'!D36</f>
        <v>45243</v>
      </c>
      <c r="F53" s="194">
        <f>'CF (Funds)'!E36</f>
        <v>0</v>
      </c>
      <c r="G53" s="194">
        <f>'CF (Funds)'!F36</f>
        <v>6.7879100000000001</v>
      </c>
      <c r="H53" s="194"/>
      <c r="I53" s="194">
        <f t="shared" ref="I53" si="9">SUM(F53:H53)</f>
        <v>6.7879100000000001</v>
      </c>
    </row>
    <row r="54" spans="2:9" x14ac:dyDescent="0.2">
      <c r="B54" s="191"/>
      <c r="C54" s="192"/>
      <c r="D54" s="192"/>
      <c r="E54" s="289"/>
      <c r="F54" s="194"/>
      <c r="G54" s="194"/>
      <c r="H54" s="194"/>
      <c r="I54" s="194"/>
    </row>
    <row r="55" spans="2:9" x14ac:dyDescent="0.2">
      <c r="B55" s="187" t="str">
        <f>'CF (Funds)'!C37</f>
        <v>New Space Capital Fund I</v>
      </c>
      <c r="C55" s="188" t="str">
        <f>VLOOKUP(B55,'S | 02'!$C$6:$J$41,2,0)</f>
        <v>Fund Investment</v>
      </c>
      <c r="D55" s="188" t="str">
        <f>VLOOKUP(B55,'S | 02'!$C$6:$J$41,5,0)</f>
        <v>G42 Investments</v>
      </c>
      <c r="E55" s="290">
        <f>'CF (Funds)'!D37</f>
        <v>44087</v>
      </c>
      <c r="F55" s="190">
        <f>'CF (Funds)'!E37</f>
        <v>-20.917552997000001</v>
      </c>
      <c r="G55" s="190">
        <f>'CF (Funds)'!F37</f>
        <v>0</v>
      </c>
      <c r="H55" s="190"/>
      <c r="I55" s="190">
        <f t="shared" si="2"/>
        <v>-20.917552997000001</v>
      </c>
    </row>
    <row r="56" spans="2:9" x14ac:dyDescent="0.2">
      <c r="B56" s="187" t="str">
        <f>'CF (Funds)'!C38</f>
        <v>New Space Capital Fund I</v>
      </c>
      <c r="C56" s="188" t="str">
        <f>VLOOKUP(B56,'S | 02'!$C$6:$J$41,2,0)</f>
        <v>Fund Investment</v>
      </c>
      <c r="D56" s="188" t="str">
        <f>VLOOKUP(B56,'S | 02'!$C$6:$J$41,5,0)</f>
        <v>G42 Investments</v>
      </c>
      <c r="E56" s="290">
        <f>'CF (Funds)'!D38</f>
        <v>44287</v>
      </c>
      <c r="F56" s="190">
        <f>'CF (Funds)'!E38</f>
        <v>-0.21103182000000001</v>
      </c>
      <c r="G56" s="190">
        <f>'CF (Funds)'!F38</f>
        <v>0</v>
      </c>
      <c r="H56" s="190"/>
      <c r="I56" s="190">
        <f t="shared" si="2"/>
        <v>-0.21103182000000001</v>
      </c>
    </row>
    <row r="57" spans="2:9" x14ac:dyDescent="0.2">
      <c r="B57" s="187" t="str">
        <f>'CF (Funds)'!C39</f>
        <v>New Space Capital Fund I</v>
      </c>
      <c r="C57" s="188" t="str">
        <f>VLOOKUP(B57,'S | 02'!$C$6:$J$41,2,0)</f>
        <v>Fund Investment</v>
      </c>
      <c r="D57" s="188" t="str">
        <f>VLOOKUP(B57,'S | 02'!$C$6:$J$41,5,0)</f>
        <v>G42 Investments</v>
      </c>
      <c r="E57" s="290">
        <f>'CF (Funds)'!D39</f>
        <v>44442</v>
      </c>
      <c r="F57" s="190">
        <f>'CF (Funds)'!E39</f>
        <v>-0.23965473139999999</v>
      </c>
      <c r="G57" s="190">
        <f>'CF (Funds)'!F39</f>
        <v>0</v>
      </c>
      <c r="H57" s="190"/>
      <c r="I57" s="190">
        <f t="shared" si="2"/>
        <v>-0.23965473139999999</v>
      </c>
    </row>
    <row r="58" spans="2:9" x14ac:dyDescent="0.2">
      <c r="B58" s="187" t="str">
        <f>'CF (Funds)'!C40</f>
        <v>New Space Capital Fund I</v>
      </c>
      <c r="C58" s="188" t="str">
        <f>VLOOKUP(B58,'S | 02'!$C$6:$J$41,2,0)</f>
        <v>Fund Investment</v>
      </c>
      <c r="D58" s="188" t="str">
        <f>VLOOKUP(B58,'S | 02'!$C$6:$J$41,5,0)</f>
        <v>G42 Investments</v>
      </c>
      <c r="E58" s="290">
        <f>'CF (Funds)'!D40</f>
        <v>44623</v>
      </c>
      <c r="F58" s="190">
        <f>'CF (Funds)'!E40</f>
        <v>-0.25893584940000003</v>
      </c>
      <c r="G58" s="190">
        <f>'CF (Funds)'!F40</f>
        <v>0</v>
      </c>
      <c r="H58" s="190"/>
      <c r="I58" s="190">
        <f t="shared" si="2"/>
        <v>-0.25893584940000003</v>
      </c>
    </row>
    <row r="59" spans="2:9" x14ac:dyDescent="0.2">
      <c r="B59" s="187" t="str">
        <f>'CF (Funds)'!C41</f>
        <v>New Space Capital Fund I</v>
      </c>
      <c r="C59" s="188" t="str">
        <f>VLOOKUP(B59,'S | 02'!$C$6:$J$41,2,0)</f>
        <v>Fund Investment</v>
      </c>
      <c r="D59" s="188" t="str">
        <f>VLOOKUP(B59,'S | 02'!$C$6:$J$41,5,0)</f>
        <v>G42 Investments</v>
      </c>
      <c r="E59" s="290">
        <f>'CF (Funds)'!D41</f>
        <v>44784</v>
      </c>
      <c r="F59" s="190">
        <f>'CF (Funds)'!E41</f>
        <v>1.5224656599999999E-2</v>
      </c>
      <c r="G59" s="190">
        <f>'CF (Funds)'!F41</f>
        <v>0</v>
      </c>
      <c r="H59" s="190"/>
      <c r="I59" s="190">
        <f t="shared" si="2"/>
        <v>1.5224656599999999E-2</v>
      </c>
    </row>
    <row r="60" spans="2:9" x14ac:dyDescent="0.2">
      <c r="B60" s="187" t="str">
        <f>'CF (Funds)'!C42</f>
        <v>New Space Capital Fund I</v>
      </c>
      <c r="C60" s="188" t="str">
        <f>VLOOKUP(B60,'S | 02'!$C$6:$J$41,2,0)</f>
        <v>Fund Investment</v>
      </c>
      <c r="D60" s="188" t="str">
        <f>VLOOKUP(B60,'S | 02'!$C$6:$J$41,5,0)</f>
        <v>G42 Investments</v>
      </c>
      <c r="E60" s="290">
        <f>'CF (Funds)'!D42</f>
        <v>44956</v>
      </c>
      <c r="F60" s="190">
        <f>'CF (Funds)'!E42</f>
        <v>10.553916089669999</v>
      </c>
      <c r="G60" s="190">
        <f>'CF (Funds)'!F42</f>
        <v>0</v>
      </c>
      <c r="H60" s="190"/>
      <c r="I60" s="190">
        <f t="shared" ref="I60:I61" si="10">SUM(F60:H60)</f>
        <v>10.553916089669999</v>
      </c>
    </row>
    <row r="61" spans="2:9" x14ac:dyDescent="0.2">
      <c r="B61" s="187" t="str">
        <f>'CF (Funds)'!C43</f>
        <v>New Space Capital Fund I</v>
      </c>
      <c r="C61" s="188" t="str">
        <f>VLOOKUP(B61,'S | 02'!$C$6:$J$41,2,0)</f>
        <v>Fund Investment</v>
      </c>
      <c r="D61" s="188" t="str">
        <f>VLOOKUP(B61,'S | 02'!$C$6:$J$41,5,0)</f>
        <v>G42 Investments</v>
      </c>
      <c r="E61" s="290">
        <f>'CF (Funds)'!D43</f>
        <v>44956</v>
      </c>
      <c r="F61" s="190">
        <f>'CF (Funds)'!E43</f>
        <v>0</v>
      </c>
      <c r="G61" s="190">
        <f>'CF (Funds)'!F43</f>
        <v>2.9557743514081998</v>
      </c>
      <c r="H61" s="190"/>
      <c r="I61" s="190">
        <f t="shared" si="10"/>
        <v>2.9557743514081998</v>
      </c>
    </row>
    <row r="62" spans="2:9" x14ac:dyDescent="0.2">
      <c r="B62" s="187" t="str">
        <f>'CF (Funds)'!C44</f>
        <v>New Space Capital Fund I</v>
      </c>
      <c r="C62" s="188" t="str">
        <f>VLOOKUP(B62,'S | 02'!$C$6:$J$41,2,0)</f>
        <v>Fund Investment</v>
      </c>
      <c r="D62" s="188" t="str">
        <f>VLOOKUP(B62,'S | 02'!$C$6:$J$41,5,0)</f>
        <v>G42 Investments</v>
      </c>
      <c r="E62" s="290">
        <f>'CF (Funds)'!D44</f>
        <v>45170</v>
      </c>
      <c r="F62" s="190">
        <f>'CF (Funds)'!E44</f>
        <v>-0.22532724156300002</v>
      </c>
      <c r="G62" s="190">
        <f>'CF (Funds)'!F44</f>
        <v>0</v>
      </c>
      <c r="H62" s="190"/>
      <c r="I62" s="190">
        <f t="shared" ref="I62:I64" si="11">SUM(F62:H62)</f>
        <v>-0.22532724156300002</v>
      </c>
    </row>
    <row r="63" spans="2:9" x14ac:dyDescent="0.2">
      <c r="B63" s="187" t="str">
        <f>'CF (Funds)'!C45</f>
        <v>New Space Capital Fund I</v>
      </c>
      <c r="C63" s="188" t="str">
        <f>VLOOKUP(B63,'S | 02'!$C$6:$J$41,2,0)</f>
        <v>Fund Investment</v>
      </c>
      <c r="D63" s="188" t="str">
        <f>VLOOKUP(B63,'S | 02'!$C$6:$J$41,5,0)</f>
        <v>G42 Investments</v>
      </c>
      <c r="E63" s="290">
        <f>'CF (Funds)'!D45</f>
        <v>45260</v>
      </c>
      <c r="F63" s="190">
        <f>'CF (Funds)'!E45</f>
        <v>-0.28531251529200002</v>
      </c>
      <c r="G63" s="190">
        <f>'CF (Funds)'!F45</f>
        <v>0</v>
      </c>
      <c r="H63" s="190"/>
      <c r="I63" s="190">
        <f t="shared" si="11"/>
        <v>-0.28531251529200002</v>
      </c>
    </row>
    <row r="64" spans="2:9" x14ac:dyDescent="0.2">
      <c r="B64" s="187" t="str">
        <f>'CF (Funds)'!C46</f>
        <v>New Space Capital Fund I</v>
      </c>
      <c r="C64" s="188" t="str">
        <f>VLOOKUP(B64,'S | 02'!$C$6:$J$41,2,0)</f>
        <v>Fund Investment</v>
      </c>
      <c r="D64" s="188" t="str">
        <f>VLOOKUP(B64,'S | 02'!$C$6:$J$41,5,0)</f>
        <v>G42 Investments</v>
      </c>
      <c r="E64" s="290">
        <f>'CF (Funds)'!D46</f>
        <v>45321</v>
      </c>
      <c r="F64" s="190">
        <f>'CF (Funds)'!E46</f>
        <v>-2.4198785200000001</v>
      </c>
      <c r="G64" s="190">
        <f>'CF (Funds)'!F46</f>
        <v>0</v>
      </c>
      <c r="H64" s="190"/>
      <c r="I64" s="190">
        <f t="shared" si="11"/>
        <v>-2.4198785200000001</v>
      </c>
    </row>
    <row r="65" spans="2:9" x14ac:dyDescent="0.2">
      <c r="B65" s="187" t="str">
        <f>'CF (Funds)'!C47</f>
        <v>New Space Capital GP Com SCSp</v>
      </c>
      <c r="C65" s="188" t="str">
        <f>VLOOKUP(B65,'S | 02'!$C$6:$J$41,2,0)</f>
        <v>Fund Investment</v>
      </c>
      <c r="D65" s="188" t="str">
        <f>VLOOKUP(B65,'S | 02'!$C$6:$J$41,5,0)</f>
        <v>G42 Investments</v>
      </c>
      <c r="E65" s="290">
        <f>'CF (Funds)'!D47</f>
        <v>44087</v>
      </c>
      <c r="F65" s="190">
        <f>'CF (Funds)'!E47</f>
        <v>-2.7058823529411762</v>
      </c>
      <c r="G65" s="190">
        <f>'CF (Funds)'!F47</f>
        <v>0</v>
      </c>
      <c r="H65" s="190"/>
      <c r="I65" s="190">
        <f t="shared" si="2"/>
        <v>-2.7058823529411762</v>
      </c>
    </row>
    <row r="66" spans="2:9" x14ac:dyDescent="0.2">
      <c r="B66" s="191" t="str">
        <f>'CF (Funds)'!C48</f>
        <v>Acies Investments Fund I, L.P.</v>
      </c>
      <c r="C66" s="192" t="str">
        <f>VLOOKUP(B66,'S | 02'!$C$6:$J$41,2,0)</f>
        <v>Fund Investment</v>
      </c>
      <c r="D66" s="192" t="str">
        <f>VLOOKUP(B66,'S | 02'!$C$6:$J$41,5,0)</f>
        <v>G42 Investments</v>
      </c>
      <c r="E66" s="289">
        <f>'CF (Funds)'!D48</f>
        <v>44540</v>
      </c>
      <c r="F66" s="194">
        <f>'CF (Funds)'!E48</f>
        <v>-2.8053124999999999</v>
      </c>
      <c r="G66" s="194">
        <f>'CF (Funds)'!F48</f>
        <v>0</v>
      </c>
      <c r="H66" s="194"/>
      <c r="I66" s="194">
        <f t="shared" si="2"/>
        <v>-2.8053124999999999</v>
      </c>
    </row>
    <row r="67" spans="2:9" x14ac:dyDescent="0.2">
      <c r="B67" s="191" t="str">
        <f>'CF (Funds)'!C49</f>
        <v>Acies Investments Fund I, L.P.</v>
      </c>
      <c r="C67" s="192" t="str">
        <f>VLOOKUP(B67,'S | 02'!$C$6:$J$41,2,0)</f>
        <v>Fund Investment</v>
      </c>
      <c r="D67" s="192" t="str">
        <f>VLOOKUP(B67,'S | 02'!$C$6:$J$41,5,0)</f>
        <v>G42 Investments</v>
      </c>
      <c r="E67" s="289">
        <f>'CF (Funds)'!D49</f>
        <v>44602</v>
      </c>
      <c r="F67" s="194">
        <f>'CF (Funds)'!E49</f>
        <v>-3.4074999999999998</v>
      </c>
      <c r="G67" s="194">
        <f>'CF (Funds)'!F49</f>
        <v>0</v>
      </c>
      <c r="H67" s="194"/>
      <c r="I67" s="194">
        <f t="shared" si="2"/>
        <v>-3.4074999999999998</v>
      </c>
    </row>
    <row r="68" spans="2:9" x14ac:dyDescent="0.2">
      <c r="B68" s="191" t="str">
        <f>'CF (Funds)'!C50</f>
        <v>Acies Investments Fund I, L.P.</v>
      </c>
      <c r="C68" s="192" t="str">
        <f>VLOOKUP(B68,'S | 02'!$C$6:$J$41,2,0)</f>
        <v>Fund Investment</v>
      </c>
      <c r="D68" s="192" t="str">
        <f>VLOOKUP(B68,'S | 02'!$C$6:$J$41,5,0)</f>
        <v>G42 Investments</v>
      </c>
      <c r="E68" s="289">
        <f>'CF (Funds)'!D50</f>
        <v>44683</v>
      </c>
      <c r="F68" s="194">
        <f>'CF (Funds)'!E50</f>
        <v>-1.0257749999999999</v>
      </c>
      <c r="G68" s="194">
        <f>'CF (Funds)'!F50</f>
        <v>0</v>
      </c>
      <c r="H68" s="194"/>
      <c r="I68" s="194">
        <f t="shared" si="2"/>
        <v>-1.0257749999999999</v>
      </c>
    </row>
    <row r="69" spans="2:9" x14ac:dyDescent="0.2">
      <c r="B69" s="191" t="str">
        <f>'CF (Funds)'!C51</f>
        <v>Acies Investments Fund I, L.P.</v>
      </c>
      <c r="C69" s="192" t="str">
        <f>VLOOKUP(B69,'S | 02'!$C$6:$J$41,2,0)</f>
        <v>Fund Investment</v>
      </c>
      <c r="D69" s="192" t="str">
        <f>VLOOKUP(B69,'S | 02'!$C$6:$J$41,5,0)</f>
        <v>G42 Investments</v>
      </c>
      <c r="E69" s="289">
        <f>'CF (Funds)'!D51</f>
        <v>44707</v>
      </c>
      <c r="F69" s="194">
        <f>'CF (Funds)'!E51</f>
        <v>-3.3882749999999997</v>
      </c>
      <c r="G69" s="194">
        <f>'CF (Funds)'!F51</f>
        <v>0</v>
      </c>
      <c r="H69" s="194"/>
      <c r="I69" s="194">
        <f t="shared" ref="I69:I78" si="12">SUM(F69:H69)</f>
        <v>-3.3882749999999997</v>
      </c>
    </row>
    <row r="70" spans="2:9" x14ac:dyDescent="0.2">
      <c r="B70" s="191" t="str">
        <f>'CF (Funds)'!C52</f>
        <v>Acies Investments Fund I, L.P.</v>
      </c>
      <c r="C70" s="192" t="str">
        <f>VLOOKUP(B70,'S | 02'!$C$6:$J$41,2,0)</f>
        <v>Fund Investment</v>
      </c>
      <c r="D70" s="192" t="str">
        <f>VLOOKUP(B70,'S | 02'!$C$6:$J$41,5,0)</f>
        <v>G42 Investments</v>
      </c>
      <c r="E70" s="289">
        <f>'CF (Funds)'!D52</f>
        <v>44875</v>
      </c>
      <c r="F70" s="194">
        <f>'CF (Funds)'!E52</f>
        <v>-3.3882749999999997</v>
      </c>
      <c r="G70" s="194">
        <f>'CF (Funds)'!F52</f>
        <v>0</v>
      </c>
      <c r="H70" s="194"/>
      <c r="I70" s="194">
        <f t="shared" si="12"/>
        <v>-3.3882749999999997</v>
      </c>
    </row>
    <row r="71" spans="2:9" x14ac:dyDescent="0.2">
      <c r="B71" s="187" t="s">
        <v>19</v>
      </c>
      <c r="C71" s="188" t="str">
        <f>VLOOKUP(B71,'S | 02'!$C$6:$J$41,2,0)</f>
        <v>Direct Investment</v>
      </c>
      <c r="D71" s="188" t="str">
        <f>VLOOKUP(B71,'S | 02'!$C$6:$J$41,5,0)</f>
        <v>G42</v>
      </c>
      <c r="E71" s="290">
        <f t="shared" ref="E71:E78" si="13">$E$4</f>
        <v>45351</v>
      </c>
      <c r="F71" s="190"/>
      <c r="G71" s="190"/>
      <c r="H71" s="190">
        <f>VLOOKUP(B71,NAV!$B$10:$E$43,4,0)</f>
        <v>300</v>
      </c>
      <c r="I71" s="190">
        <f t="shared" si="12"/>
        <v>300</v>
      </c>
    </row>
    <row r="72" spans="2:9" x14ac:dyDescent="0.2">
      <c r="B72" s="187" t="s">
        <v>89</v>
      </c>
      <c r="C72" s="188" t="str">
        <f>VLOOKUP(B72,'S | 02'!$C$6:$J$41,2,0)</f>
        <v>Direct Investment</v>
      </c>
      <c r="D72" s="188" t="str">
        <f>VLOOKUP(B72,'S | 02'!$C$6:$J$41,5,0)</f>
        <v>G42</v>
      </c>
      <c r="E72" s="290">
        <f t="shared" si="13"/>
        <v>45351</v>
      </c>
      <c r="F72" s="190"/>
      <c r="G72" s="190"/>
      <c r="H72" s="190">
        <f>VLOOKUP(B72,NAV!$B$10:$E$43,4,0)</f>
        <v>4.5569803500000008</v>
      </c>
      <c r="I72" s="190">
        <f t="shared" si="12"/>
        <v>4.5569803500000008</v>
      </c>
    </row>
    <row r="73" spans="2:9" x14ac:dyDescent="0.2">
      <c r="B73" s="187" t="s">
        <v>35</v>
      </c>
      <c r="C73" s="188" t="str">
        <f>VLOOKUP(B73,'S | 02'!$C$6:$J$41,2,0)</f>
        <v>Direct Investment</v>
      </c>
      <c r="D73" s="188" t="str">
        <f>VLOOKUP(B73,'S | 02'!$C$6:$J$41,5,0)</f>
        <v>G42 3</v>
      </c>
      <c r="E73" s="290">
        <f t="shared" si="13"/>
        <v>45351</v>
      </c>
      <c r="F73" s="190"/>
      <c r="G73" s="190"/>
      <c r="H73" s="190">
        <f>VLOOKUP(B73,NAV!$B$10:$E$43,4,0)</f>
        <v>0</v>
      </c>
      <c r="I73" s="534">
        <f t="shared" si="12"/>
        <v>0</v>
      </c>
    </row>
    <row r="74" spans="2:9" x14ac:dyDescent="0.2">
      <c r="B74" s="187" t="s">
        <v>124</v>
      </c>
      <c r="C74" s="188" t="str">
        <f>VLOOKUP(B74,'S | 02'!$C$6:$J$41,2,0)</f>
        <v>Fund Investment</v>
      </c>
      <c r="D74" s="188" t="str">
        <f>VLOOKUP(B74,'S | 02'!$C$6:$J$41,5,0)</f>
        <v>G42 Investments</v>
      </c>
      <c r="E74" s="290">
        <f t="shared" si="13"/>
        <v>45351</v>
      </c>
      <c r="F74" s="190"/>
      <c r="G74" s="190"/>
      <c r="H74" s="190">
        <f>VLOOKUP(B74,NAV!$B$10:$E$43,4,0)</f>
        <v>16.078910212171998</v>
      </c>
      <c r="I74" s="190">
        <f t="shared" si="12"/>
        <v>16.078910212171998</v>
      </c>
    </row>
    <row r="75" spans="2:9" x14ac:dyDescent="0.2">
      <c r="B75" s="187" t="s">
        <v>380</v>
      </c>
      <c r="C75" s="188" t="str">
        <f>VLOOKUP(B75,'S | 02'!$C$6:$J$41,2,0)</f>
        <v>Fund Investment</v>
      </c>
      <c r="D75" s="188" t="str">
        <f>VLOOKUP(B75,'S | 02'!$C$6:$J$41,5,0)</f>
        <v>G42 Investments</v>
      </c>
      <c r="E75" s="290">
        <f t="shared" si="13"/>
        <v>45351</v>
      </c>
      <c r="F75" s="190"/>
      <c r="G75" s="190"/>
      <c r="H75" s="190">
        <f ca="1">VLOOKUP(B75,NAV!$B$10:$E$43,4,0)</f>
        <v>3.1102316029671613</v>
      </c>
      <c r="I75" s="190">
        <f t="shared" ca="1" si="12"/>
        <v>3.1102316029671613</v>
      </c>
    </row>
    <row r="76" spans="2:9" x14ac:dyDescent="0.2">
      <c r="B76" s="187" t="s">
        <v>1</v>
      </c>
      <c r="C76" s="188" t="str">
        <f>VLOOKUP(B76,'S | 02'!$C$6:$J$41,2,0)</f>
        <v>Fund Investment</v>
      </c>
      <c r="D76" s="188" t="str">
        <f>VLOOKUP(B76,'S | 02'!$C$6:$J$41,5,0)</f>
        <v>G42 Investments</v>
      </c>
      <c r="E76" s="290">
        <f t="shared" si="13"/>
        <v>45351</v>
      </c>
      <c r="F76" s="190"/>
      <c r="G76" s="190"/>
      <c r="H76" s="190">
        <f>VLOOKUP(B76,NAV!$B$10:$E$43,4,0)</f>
        <v>74.725861000000009</v>
      </c>
      <c r="I76" s="190">
        <f t="shared" si="12"/>
        <v>74.725861000000009</v>
      </c>
    </row>
    <row r="77" spans="2:9" x14ac:dyDescent="0.2">
      <c r="B77" s="187" t="s">
        <v>12</v>
      </c>
      <c r="C77" s="188" t="str">
        <f>VLOOKUP(B77,'S | 02'!$C$6:$J$41,2,0)</f>
        <v>Fund Investment</v>
      </c>
      <c r="D77" s="188" t="str">
        <f>VLOOKUP(B77,'S | 02'!$C$6:$J$41,5,0)</f>
        <v>G42 Investments</v>
      </c>
      <c r="E77" s="290">
        <f t="shared" si="13"/>
        <v>45351</v>
      </c>
      <c r="F77" s="190"/>
      <c r="G77" s="190"/>
      <c r="H77" s="190">
        <f>VLOOKUP(B77,NAV!$B$10:$E$43,4,0)</f>
        <v>0</v>
      </c>
      <c r="I77" s="534">
        <f t="shared" si="12"/>
        <v>0</v>
      </c>
    </row>
    <row r="78" spans="2:9" x14ac:dyDescent="0.2">
      <c r="B78" s="187" t="s">
        <v>175</v>
      </c>
      <c r="C78" s="188" t="str">
        <f>VLOOKUP(B78,'S | 02'!$C$6:$J$41,2,0)</f>
        <v>Fund Investment</v>
      </c>
      <c r="D78" s="188" t="str">
        <f>VLOOKUP(B78,'S | 02'!$C$6:$J$41,5,0)</f>
        <v>G42 Investments</v>
      </c>
      <c r="E78" s="290">
        <f t="shared" si="13"/>
        <v>45351</v>
      </c>
      <c r="F78" s="190"/>
      <c r="G78" s="190"/>
      <c r="H78" s="190">
        <f>VLOOKUP(B78,NAV!$B$10:$E$43,4,0)</f>
        <v>12.310425</v>
      </c>
      <c r="I78" s="190">
        <f t="shared" si="12"/>
        <v>12.310425</v>
      </c>
    </row>
    <row r="80" spans="2:9" x14ac:dyDescent="0.2">
      <c r="E80" s="291"/>
    </row>
    <row r="81" spans="3:5" x14ac:dyDescent="0.2">
      <c r="E81" s="291"/>
    </row>
    <row r="82" spans="3:5" x14ac:dyDescent="0.2">
      <c r="E82" s="291"/>
    </row>
    <row r="83" spans="3:5" x14ac:dyDescent="0.2">
      <c r="E83" s="291"/>
    </row>
    <row r="84" spans="3:5" x14ac:dyDescent="0.2">
      <c r="E84" s="291"/>
    </row>
    <row r="85" spans="3:5" x14ac:dyDescent="0.2">
      <c r="E85" s="291"/>
    </row>
    <row r="86" spans="3:5" x14ac:dyDescent="0.2">
      <c r="E86" s="291"/>
    </row>
    <row r="87" spans="3:5" x14ac:dyDescent="0.2">
      <c r="E87" s="291"/>
    </row>
    <row r="88" spans="3:5" x14ac:dyDescent="0.2">
      <c r="E88" s="291"/>
    </row>
    <row r="89" spans="3:5" x14ac:dyDescent="0.2">
      <c r="E89" s="291"/>
    </row>
    <row r="90" spans="3:5" x14ac:dyDescent="0.2">
      <c r="E90" s="291"/>
    </row>
    <row r="91" spans="3:5" x14ac:dyDescent="0.2">
      <c r="E91" s="291"/>
    </row>
    <row r="92" spans="3:5" x14ac:dyDescent="0.2">
      <c r="E92" s="291"/>
    </row>
    <row r="93" spans="3:5" x14ac:dyDescent="0.2">
      <c r="E93" s="291"/>
    </row>
    <row r="94" spans="3:5" x14ac:dyDescent="0.2">
      <c r="C94" s="29"/>
      <c r="D94" s="29"/>
      <c r="E94" s="291"/>
    </row>
    <row r="95" spans="3:5" x14ac:dyDescent="0.2">
      <c r="C95" s="29"/>
      <c r="D95" s="29"/>
      <c r="E95" s="291"/>
    </row>
    <row r="96" spans="3:5" x14ac:dyDescent="0.2">
      <c r="C96" s="29"/>
      <c r="D96" s="29"/>
      <c r="E96" s="291"/>
    </row>
    <row r="97" spans="3:5" x14ac:dyDescent="0.2">
      <c r="C97" s="29"/>
      <c r="D97" s="29"/>
      <c r="E97" s="291"/>
    </row>
    <row r="98" spans="3:5" x14ac:dyDescent="0.2">
      <c r="C98" s="29"/>
      <c r="D98" s="29"/>
      <c r="E98" s="291"/>
    </row>
    <row r="99" spans="3:5" x14ac:dyDescent="0.2">
      <c r="C99" s="29"/>
      <c r="D99" s="29"/>
      <c r="E99" s="291"/>
    </row>
    <row r="100" spans="3:5" x14ac:dyDescent="0.2">
      <c r="C100" s="29"/>
      <c r="D100" s="29"/>
      <c r="E100" s="291"/>
    </row>
    <row r="101" spans="3:5" x14ac:dyDescent="0.2">
      <c r="C101" s="29"/>
      <c r="D101" s="29"/>
      <c r="E101" s="291"/>
    </row>
    <row r="102" spans="3:5" x14ac:dyDescent="0.2">
      <c r="C102" s="29"/>
      <c r="D102" s="29"/>
      <c r="E102" s="291"/>
    </row>
    <row r="103" spans="3:5" x14ac:dyDescent="0.2">
      <c r="C103" s="29"/>
      <c r="D103" s="29"/>
      <c r="E103" s="291"/>
    </row>
    <row r="104" spans="3:5" x14ac:dyDescent="0.2">
      <c r="C104" s="29"/>
      <c r="D104" s="29"/>
      <c r="E104" s="291"/>
    </row>
    <row r="105" spans="3:5" x14ac:dyDescent="0.2">
      <c r="C105" s="29"/>
      <c r="D105" s="29"/>
      <c r="E105" s="291"/>
    </row>
    <row r="106" spans="3:5" x14ac:dyDescent="0.2">
      <c r="C106" s="29"/>
      <c r="D106" s="29"/>
      <c r="E106" s="291"/>
    </row>
    <row r="107" spans="3:5" x14ac:dyDescent="0.2">
      <c r="C107" s="29"/>
      <c r="D107" s="29"/>
      <c r="E107" s="291"/>
    </row>
    <row r="108" spans="3:5" x14ac:dyDescent="0.2">
      <c r="C108" s="29"/>
      <c r="D108" s="29"/>
      <c r="E108" s="291"/>
    </row>
    <row r="109" spans="3:5" x14ac:dyDescent="0.2">
      <c r="C109" s="29"/>
      <c r="D109" s="29"/>
      <c r="E109" s="291"/>
    </row>
    <row r="110" spans="3:5" x14ac:dyDescent="0.2">
      <c r="C110" s="29"/>
      <c r="D110" s="29"/>
      <c r="E110" s="291"/>
    </row>
    <row r="111" spans="3:5" x14ac:dyDescent="0.2">
      <c r="C111" s="29"/>
      <c r="D111" s="29"/>
      <c r="E111" s="291"/>
    </row>
    <row r="112" spans="3:5" x14ac:dyDescent="0.2">
      <c r="C112" s="29"/>
      <c r="D112" s="29"/>
      <c r="E112" s="291"/>
    </row>
    <row r="113" spans="3:5" x14ac:dyDescent="0.2">
      <c r="C113" s="29"/>
      <c r="D113" s="29"/>
      <c r="E113" s="291"/>
    </row>
    <row r="114" spans="3:5" x14ac:dyDescent="0.2">
      <c r="C114" s="29"/>
      <c r="D114" s="29"/>
      <c r="E114" s="291"/>
    </row>
    <row r="115" spans="3:5" x14ac:dyDescent="0.2">
      <c r="C115" s="29"/>
      <c r="D115" s="29"/>
      <c r="E115" s="291"/>
    </row>
    <row r="116" spans="3:5" x14ac:dyDescent="0.2">
      <c r="C116" s="29"/>
      <c r="D116" s="29"/>
      <c r="E116" s="291"/>
    </row>
    <row r="117" spans="3:5" x14ac:dyDescent="0.2">
      <c r="C117" s="29"/>
      <c r="D117" s="29"/>
      <c r="E117" s="291"/>
    </row>
    <row r="118" spans="3:5" x14ac:dyDescent="0.2">
      <c r="C118" s="29"/>
      <c r="D118" s="29"/>
      <c r="E118" s="291"/>
    </row>
    <row r="119" spans="3:5" x14ac:dyDescent="0.2">
      <c r="C119" s="29"/>
      <c r="D119" s="29"/>
      <c r="E119" s="291"/>
    </row>
    <row r="120" spans="3:5" x14ac:dyDescent="0.2">
      <c r="C120" s="29"/>
      <c r="D120" s="29"/>
      <c r="E120" s="291"/>
    </row>
    <row r="121" spans="3:5" x14ac:dyDescent="0.2">
      <c r="C121" s="29"/>
      <c r="D121" s="29"/>
      <c r="E121" s="291"/>
    </row>
    <row r="122" spans="3:5" x14ac:dyDescent="0.2">
      <c r="C122" s="29"/>
      <c r="D122" s="29"/>
      <c r="E122" s="291"/>
    </row>
    <row r="123" spans="3:5" x14ac:dyDescent="0.2">
      <c r="C123" s="29"/>
      <c r="D123" s="29"/>
      <c r="E123" s="291"/>
    </row>
    <row r="124" spans="3:5" x14ac:dyDescent="0.2">
      <c r="C124" s="29"/>
      <c r="D124" s="29"/>
      <c r="E124" s="291"/>
    </row>
    <row r="125" spans="3:5" x14ac:dyDescent="0.2">
      <c r="C125" s="29"/>
      <c r="D125" s="29"/>
      <c r="E125" s="291"/>
    </row>
    <row r="126" spans="3:5" x14ac:dyDescent="0.2">
      <c r="C126" s="29"/>
      <c r="D126" s="29"/>
      <c r="E126" s="291"/>
    </row>
    <row r="127" spans="3:5" x14ac:dyDescent="0.2">
      <c r="C127" s="29"/>
      <c r="D127" s="29"/>
      <c r="E127" s="291"/>
    </row>
    <row r="128" spans="3:5" x14ac:dyDescent="0.2">
      <c r="C128" s="29"/>
      <c r="D128" s="29"/>
      <c r="E128" s="291"/>
    </row>
    <row r="129" spans="3:5" x14ac:dyDescent="0.2">
      <c r="C129" s="29"/>
      <c r="D129" s="29"/>
      <c r="E129" s="291"/>
    </row>
    <row r="130" spans="3:5" x14ac:dyDescent="0.2">
      <c r="C130" s="29"/>
      <c r="D130" s="29"/>
      <c r="E130" s="291"/>
    </row>
    <row r="131" spans="3:5" x14ac:dyDescent="0.2">
      <c r="C131" s="29"/>
      <c r="D131" s="29"/>
      <c r="E131" s="291"/>
    </row>
    <row r="132" spans="3:5" x14ac:dyDescent="0.2">
      <c r="C132" s="29"/>
      <c r="D132" s="29"/>
      <c r="E132" s="291"/>
    </row>
    <row r="133" spans="3:5" x14ac:dyDescent="0.2">
      <c r="C133" s="29"/>
      <c r="D133" s="29"/>
      <c r="E133" s="291"/>
    </row>
    <row r="134" spans="3:5" x14ac:dyDescent="0.2">
      <c r="C134" s="29"/>
      <c r="D134" s="29"/>
      <c r="E134" s="291"/>
    </row>
    <row r="135" spans="3:5" x14ac:dyDescent="0.2">
      <c r="C135" s="29"/>
      <c r="D135" s="29"/>
      <c r="E135" s="291"/>
    </row>
    <row r="136" spans="3:5" x14ac:dyDescent="0.2">
      <c r="C136" s="29"/>
      <c r="D136" s="29"/>
      <c r="E136" s="291"/>
    </row>
  </sheetData>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3FA7-E65C-46FF-A48A-FF89D4B60398}">
  <sheetPr>
    <tabColor theme="4" tint="-0.499984740745262"/>
  </sheetPr>
  <dimension ref="B2:R59"/>
  <sheetViews>
    <sheetView zoomScale="70" zoomScaleNormal="70" workbookViewId="0">
      <selection activeCell="E14" sqref="E14"/>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96" customFormat="1" ht="43.5" customHeight="1" x14ac:dyDescent="0.45">
      <c r="B2" s="215" t="s">
        <v>671</v>
      </c>
      <c r="C2" s="305"/>
      <c r="D2" s="305"/>
      <c r="E2" s="216"/>
      <c r="F2" s="216"/>
      <c r="G2" s="223" t="s">
        <v>355</v>
      </c>
      <c r="H2" s="223" t="b">
        <f>H5=H4</f>
        <v>1</v>
      </c>
      <c r="I2" s="223"/>
      <c r="J2" s="223"/>
      <c r="K2" s="217"/>
      <c r="L2" s="218"/>
      <c r="M2" s="217"/>
    </row>
    <row r="3" spans="2:18" ht="12.75" thickBot="1" x14ac:dyDescent="0.25"/>
    <row r="4" spans="2:18" s="71" customFormat="1" ht="13.5" thickBot="1" x14ac:dyDescent="0.25">
      <c r="B4" s="158" t="s">
        <v>173</v>
      </c>
      <c r="C4" s="306"/>
      <c r="D4" s="306"/>
      <c r="E4" s="172">
        <f>D!D2</f>
        <v>45351</v>
      </c>
      <c r="H4" s="71">
        <f>COUNTIF('CF (Equity, Debt)'!$B$4:$B$66,MID('CF (Equity, Debt)'!$B$4:$B$66,1,4))</f>
        <v>35</v>
      </c>
    </row>
    <row r="5" spans="2:18" ht="12.75" x14ac:dyDescent="0.2">
      <c r="G5" s="71"/>
      <c r="H5" s="71">
        <f>COUNTIFS('CF (Equity, Debt)'!B4:B56,"Mozn")+COUNTIFS('CF (Funds)'!B4:B52,"Mozn")</f>
        <v>35</v>
      </c>
      <c r="K5" s="29" t="b">
        <f ca="1">K9='S | 02'!L30</f>
        <v>0</v>
      </c>
      <c r="M5" s="29" t="b">
        <f ca="1">M9='S | 02'!M30</f>
        <v>0</v>
      </c>
      <c r="N5" s="29" t="b">
        <f ca="1">N9='S | 02'!N30</f>
        <v>0</v>
      </c>
    </row>
    <row r="7" spans="2:18" ht="12.75" x14ac:dyDescent="0.2">
      <c r="J7" s="213"/>
      <c r="K7" s="69" t="s">
        <v>2</v>
      </c>
      <c r="L7" s="69" t="s">
        <v>51</v>
      </c>
      <c r="M7" s="69" t="s">
        <v>33</v>
      </c>
      <c r="N7" s="69" t="s">
        <v>161</v>
      </c>
      <c r="O7" s="69" t="s">
        <v>24</v>
      </c>
      <c r="P7" s="69" t="s">
        <v>34</v>
      </c>
      <c r="Q7" s="69" t="s">
        <v>174</v>
      </c>
      <c r="R7" s="69" t="s">
        <v>97</v>
      </c>
    </row>
    <row r="8" spans="2:18" ht="12.75" x14ac:dyDescent="0.2">
      <c r="J8" s="149"/>
      <c r="K8" s="71"/>
      <c r="L8" s="71"/>
      <c r="M8" s="71"/>
      <c r="N8" s="71"/>
      <c r="O8" s="153"/>
      <c r="P8" s="71"/>
      <c r="Q8" s="71"/>
      <c r="R8" s="71"/>
    </row>
    <row r="9" spans="2:18" ht="15" x14ac:dyDescent="0.25">
      <c r="K9" s="307">
        <f>-SUM(F13:F17)</f>
        <v>2.5</v>
      </c>
      <c r="L9" s="307"/>
      <c r="M9" s="45">
        <f>SUM(G13:G17)</f>
        <v>0</v>
      </c>
      <c r="N9" s="307">
        <f ca="1">SUM(H13:H17)</f>
        <v>2.5</v>
      </c>
      <c r="O9" s="210">
        <f ca="1">XIRR(I13:I17,E13:E17)</f>
        <v>2.9802322387695314E-9</v>
      </c>
      <c r="P9" s="211">
        <f ca="1">(M9+N9)/K9</f>
        <v>1</v>
      </c>
      <c r="Q9" s="211">
        <f ca="1">N9/K9</f>
        <v>1</v>
      </c>
      <c r="R9" s="211">
        <f>M9/K9</f>
        <v>0</v>
      </c>
    </row>
    <row r="10" spans="2:18" ht="15" x14ac:dyDescent="0.25">
      <c r="B10" s="304" t="s">
        <v>95</v>
      </c>
      <c r="C10" s="43"/>
      <c r="D10" s="43"/>
      <c r="E10" s="43"/>
      <c r="F10" s="43"/>
      <c r="G10" s="43"/>
      <c r="H10" s="43"/>
      <c r="I10" s="43"/>
      <c r="K10" s="45"/>
      <c r="L10" s="34"/>
      <c r="M10" s="45"/>
      <c r="N10" s="45"/>
      <c r="O10" s="210"/>
      <c r="P10" s="211"/>
      <c r="Q10" s="211"/>
      <c r="R10" s="211"/>
    </row>
    <row r="11" spans="2:18" x14ac:dyDescent="0.2">
      <c r="B11" s="301" t="s">
        <v>5</v>
      </c>
      <c r="C11" s="303" t="s">
        <v>159</v>
      </c>
      <c r="D11" s="303" t="s">
        <v>121</v>
      </c>
      <c r="E11" s="302" t="s">
        <v>6</v>
      </c>
      <c r="F11" s="302" t="s">
        <v>96</v>
      </c>
      <c r="G11" s="302" t="s">
        <v>33</v>
      </c>
      <c r="H11" s="303" t="s">
        <v>94</v>
      </c>
      <c r="I11" s="303" t="s">
        <v>163</v>
      </c>
    </row>
    <row r="12" spans="2:18" x14ac:dyDescent="0.2">
      <c r="K12" s="29" t="s">
        <v>2</v>
      </c>
      <c r="L12" s="661">
        <f>-SUM(F13:F17)</f>
        <v>2.5</v>
      </c>
      <c r="M12" s="29" t="b">
        <f ca="1">'S | 02'!L52=L12</f>
        <v>1</v>
      </c>
    </row>
    <row r="13" spans="2:18" ht="12.75" x14ac:dyDescent="0.2">
      <c r="B13" s="30" t="str">
        <f>'CF (Equity, Debt)'!C48</f>
        <v>School Hack (AIREV Holding Limited)</v>
      </c>
      <c r="C13" s="35" t="str">
        <f>VLOOKUP(B13,'S | 02'!$C$6:$J$55,2,0)</f>
        <v>Direct Investment</v>
      </c>
      <c r="D13" s="35" t="str">
        <f>VLOOKUP(B13,'S | 02'!$C$6:$J$55,5,0)</f>
        <v>Core42 5</v>
      </c>
      <c r="E13" s="31">
        <f>'CF (Equity, Debt)'!D48</f>
        <v>45322</v>
      </c>
      <c r="F13" s="39">
        <f>'CF (Equity, Debt)'!E48</f>
        <v>-2.5</v>
      </c>
      <c r="G13" s="39">
        <f>'CF (Equity, Debt)'!F48</f>
        <v>0</v>
      </c>
      <c r="H13" s="39"/>
      <c r="I13" s="39">
        <f t="shared" ref="I13" si="0">SUM(F13:H13)</f>
        <v>-2.5</v>
      </c>
      <c r="K13" s="29" t="s">
        <v>275</v>
      </c>
      <c r="L13" s="661">
        <f ca="1">SUM(H13:H17)</f>
        <v>2.5</v>
      </c>
      <c r="M13" s="150"/>
      <c r="N13" s="150"/>
      <c r="O13" s="173"/>
      <c r="P13" s="164"/>
      <c r="Q13" s="164"/>
      <c r="R13" s="164"/>
    </row>
    <row r="14" spans="2:18" x14ac:dyDescent="0.2">
      <c r="B14" s="30" t="s">
        <v>505</v>
      </c>
      <c r="C14" s="35" t="str">
        <f>VLOOKUP(B14,'S | 02'!$C$6:$J$55,2,0)</f>
        <v>Direct Investment</v>
      </c>
      <c r="D14" s="35" t="str">
        <f>VLOOKUP(B14,'S | 02'!$C$6:$J$55,5,0)</f>
        <v>Core42 5</v>
      </c>
      <c r="E14" s="31">
        <f t="shared" ref="E14" si="1">$E$4</f>
        <v>45351</v>
      </c>
      <c r="F14" s="39"/>
      <c r="G14" s="39"/>
      <c r="H14" s="39">
        <f ca="1">VLOOKUP(B14,NAV!$B$10:$E$43,4,0)</f>
        <v>2.5</v>
      </c>
      <c r="I14" s="39">
        <f t="shared" ref="I14" ca="1" si="2">SUM(F14:H14)</f>
        <v>2.5</v>
      </c>
      <c r="K14" s="29" t="s">
        <v>33</v>
      </c>
      <c r="L14" s="310">
        <f>SUM(G13:G17)</f>
        <v>0</v>
      </c>
    </row>
    <row r="15" spans="2:18" x14ac:dyDescent="0.2">
      <c r="K15" s="29" t="s">
        <v>276</v>
      </c>
      <c r="L15" s="310">
        <f ca="1">L14+L13-L12</f>
        <v>0</v>
      </c>
    </row>
    <row r="16" spans="2:18" x14ac:dyDescent="0.2">
      <c r="K16" s="29" t="s">
        <v>24</v>
      </c>
      <c r="L16" s="309">
        <f ca="1">O9</f>
        <v>2.9802322387695314E-9</v>
      </c>
    </row>
    <row r="17" spans="3:5" x14ac:dyDescent="0.2">
      <c r="C17" s="29"/>
      <c r="D17" s="29"/>
      <c r="E17" s="291"/>
    </row>
    <row r="18" spans="3:5" x14ac:dyDescent="0.2">
      <c r="C18" s="29"/>
      <c r="D18" s="29"/>
      <c r="E18" s="291"/>
    </row>
    <row r="19" spans="3:5" x14ac:dyDescent="0.2">
      <c r="C19" s="29"/>
      <c r="D19" s="29"/>
      <c r="E19" s="291"/>
    </row>
    <row r="20" spans="3:5" x14ac:dyDescent="0.2">
      <c r="C20" s="29"/>
      <c r="D20" s="29"/>
      <c r="E20" s="291"/>
    </row>
    <row r="21" spans="3:5" x14ac:dyDescent="0.2">
      <c r="C21" s="29"/>
      <c r="D21" s="29"/>
      <c r="E21" s="291"/>
    </row>
    <row r="22" spans="3:5" x14ac:dyDescent="0.2">
      <c r="C22" s="29"/>
      <c r="D22" s="29"/>
      <c r="E22" s="291"/>
    </row>
    <row r="23" spans="3:5" x14ac:dyDescent="0.2">
      <c r="C23" s="29"/>
      <c r="D23" s="29"/>
      <c r="E23" s="291"/>
    </row>
    <row r="24" spans="3:5" x14ac:dyDescent="0.2">
      <c r="C24" s="29"/>
      <c r="D24" s="29"/>
      <c r="E24" s="291"/>
    </row>
    <row r="25" spans="3:5" x14ac:dyDescent="0.2">
      <c r="C25" s="29"/>
      <c r="D25" s="29"/>
      <c r="E25" s="291"/>
    </row>
    <row r="26" spans="3:5" x14ac:dyDescent="0.2">
      <c r="C26" s="29"/>
      <c r="D26" s="29"/>
      <c r="E26" s="291"/>
    </row>
    <row r="27" spans="3:5" x14ac:dyDescent="0.2">
      <c r="C27" s="29"/>
      <c r="D27" s="29"/>
      <c r="E27" s="291"/>
    </row>
    <row r="28" spans="3:5" x14ac:dyDescent="0.2">
      <c r="C28" s="29"/>
      <c r="D28" s="29"/>
      <c r="E28" s="291"/>
    </row>
    <row r="29" spans="3:5" x14ac:dyDescent="0.2">
      <c r="C29" s="29"/>
      <c r="D29" s="29"/>
      <c r="E29" s="291"/>
    </row>
    <row r="30" spans="3:5" x14ac:dyDescent="0.2">
      <c r="C30" s="29"/>
      <c r="D30" s="29"/>
      <c r="E30" s="291"/>
    </row>
    <row r="31" spans="3:5" x14ac:dyDescent="0.2">
      <c r="C31" s="29"/>
      <c r="D31" s="29"/>
      <c r="E31" s="291"/>
    </row>
    <row r="32" spans="3:5" x14ac:dyDescent="0.2">
      <c r="C32" s="29"/>
      <c r="D32" s="29"/>
      <c r="E32" s="291"/>
    </row>
    <row r="33" spans="3:5" x14ac:dyDescent="0.2">
      <c r="C33" s="29"/>
      <c r="D33" s="29"/>
      <c r="E33" s="291"/>
    </row>
    <row r="34" spans="3:5" x14ac:dyDescent="0.2">
      <c r="C34" s="29"/>
      <c r="D34" s="29"/>
      <c r="E34" s="291"/>
    </row>
    <row r="35" spans="3:5" x14ac:dyDescent="0.2">
      <c r="C35" s="29"/>
      <c r="D35" s="29"/>
      <c r="E35" s="291"/>
    </row>
    <row r="36" spans="3:5" x14ac:dyDescent="0.2">
      <c r="C36" s="29"/>
      <c r="D36" s="29"/>
      <c r="E36" s="291"/>
    </row>
    <row r="37" spans="3:5" x14ac:dyDescent="0.2">
      <c r="C37" s="29"/>
      <c r="D37" s="29"/>
      <c r="E37" s="291"/>
    </row>
    <row r="38" spans="3:5" x14ac:dyDescent="0.2">
      <c r="C38" s="29"/>
      <c r="D38" s="29"/>
      <c r="E38" s="291"/>
    </row>
    <row r="39" spans="3:5" x14ac:dyDescent="0.2">
      <c r="C39" s="29"/>
      <c r="D39" s="29"/>
      <c r="E39" s="291"/>
    </row>
    <row r="40" spans="3:5" x14ac:dyDescent="0.2">
      <c r="C40" s="29"/>
      <c r="D40" s="29"/>
      <c r="E40" s="291"/>
    </row>
    <row r="41" spans="3:5" x14ac:dyDescent="0.2">
      <c r="C41" s="29"/>
      <c r="D41" s="29"/>
      <c r="E41" s="291"/>
    </row>
    <row r="42" spans="3:5" x14ac:dyDescent="0.2">
      <c r="C42" s="29"/>
      <c r="D42" s="29"/>
      <c r="E42" s="291"/>
    </row>
    <row r="43" spans="3:5" x14ac:dyDescent="0.2">
      <c r="C43" s="29"/>
      <c r="D43" s="29"/>
      <c r="E43" s="291"/>
    </row>
    <row r="44" spans="3:5" x14ac:dyDescent="0.2">
      <c r="C44" s="29"/>
      <c r="D44" s="29"/>
      <c r="E44" s="291"/>
    </row>
    <row r="45" spans="3:5" x14ac:dyDescent="0.2">
      <c r="C45" s="29"/>
      <c r="D45" s="29"/>
      <c r="E45" s="291"/>
    </row>
    <row r="46" spans="3:5" x14ac:dyDescent="0.2">
      <c r="C46" s="29"/>
      <c r="D46" s="29"/>
      <c r="E46" s="291"/>
    </row>
    <row r="47" spans="3:5" x14ac:dyDescent="0.2">
      <c r="C47" s="29"/>
      <c r="D47" s="29"/>
      <c r="E47" s="291"/>
    </row>
    <row r="48" spans="3:5" x14ac:dyDescent="0.2">
      <c r="C48" s="29"/>
      <c r="D48" s="29"/>
      <c r="E48" s="291"/>
    </row>
    <row r="49" spans="3:5" x14ac:dyDescent="0.2">
      <c r="C49" s="29"/>
      <c r="D49" s="29"/>
      <c r="E49" s="291"/>
    </row>
    <row r="50" spans="3:5" x14ac:dyDescent="0.2">
      <c r="C50" s="29"/>
      <c r="D50" s="29"/>
      <c r="E50" s="291"/>
    </row>
    <row r="51" spans="3:5" x14ac:dyDescent="0.2">
      <c r="C51" s="29"/>
      <c r="D51" s="29"/>
      <c r="E51" s="291"/>
    </row>
    <row r="52" spans="3:5" x14ac:dyDescent="0.2">
      <c r="C52" s="29"/>
      <c r="D52" s="29"/>
      <c r="E52" s="291"/>
    </row>
    <row r="53" spans="3:5" x14ac:dyDescent="0.2">
      <c r="C53" s="29"/>
      <c r="D53" s="29"/>
      <c r="E53" s="291"/>
    </row>
    <row r="54" spans="3:5" x14ac:dyDescent="0.2">
      <c r="C54" s="29"/>
      <c r="D54" s="29"/>
      <c r="E54" s="291"/>
    </row>
    <row r="55" spans="3:5" x14ac:dyDescent="0.2">
      <c r="C55" s="29"/>
      <c r="D55" s="29"/>
      <c r="E55" s="291"/>
    </row>
    <row r="56" spans="3:5" x14ac:dyDescent="0.2">
      <c r="C56" s="29"/>
      <c r="D56" s="29"/>
      <c r="E56" s="291"/>
    </row>
    <row r="57" spans="3:5" x14ac:dyDescent="0.2">
      <c r="C57" s="29"/>
      <c r="D57" s="29"/>
      <c r="E57" s="291"/>
    </row>
    <row r="58" spans="3:5" x14ac:dyDescent="0.2">
      <c r="C58" s="29"/>
      <c r="D58" s="29"/>
      <c r="E58" s="291"/>
    </row>
    <row r="59" spans="3:5" x14ac:dyDescent="0.2">
      <c r="C59" s="29"/>
      <c r="D59" s="29"/>
      <c r="E59" s="291"/>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80520-92C6-40F3-B98B-07A8C5D44DEB}">
  <sheetPr>
    <tabColor theme="4" tint="-0.499984740745262"/>
  </sheetPr>
  <dimension ref="B2:R59"/>
  <sheetViews>
    <sheetView zoomScale="70" zoomScaleNormal="70" workbookViewId="0">
      <selection activeCell="H30" sqref="H30"/>
    </sheetView>
  </sheetViews>
  <sheetFormatPr defaultColWidth="9.140625" defaultRowHeight="12" x14ac:dyDescent="0.2"/>
  <cols>
    <col min="1" max="1" width="9.140625" style="29"/>
    <col min="2" max="2" width="31.140625" style="29" customWidth="1"/>
    <col min="3" max="4" width="22.7109375" style="34" customWidth="1"/>
    <col min="5" max="6" width="17.42578125" style="29" customWidth="1"/>
    <col min="7" max="7" width="14.85546875" style="29" customWidth="1"/>
    <col min="8" max="9" width="16.5703125" style="29" customWidth="1"/>
    <col min="10" max="10" width="20" style="29" bestFit="1" customWidth="1"/>
    <col min="11" max="14" width="24.85546875" style="29" customWidth="1"/>
    <col min="15" max="18" width="8.7109375" style="29" customWidth="1"/>
    <col min="19" max="16384" width="9.140625" style="29"/>
  </cols>
  <sheetData>
    <row r="2" spans="2:18" s="96" customFormat="1" ht="43.5" customHeight="1" x14ac:dyDescent="0.45">
      <c r="B2" s="215" t="s">
        <v>672</v>
      </c>
      <c r="C2" s="305"/>
      <c r="D2" s="305"/>
      <c r="E2" s="216"/>
      <c r="F2" s="216"/>
      <c r="G2" s="223" t="s">
        <v>355</v>
      </c>
      <c r="H2" s="223" t="b">
        <f>H5=H4</f>
        <v>1</v>
      </c>
      <c r="I2" s="223"/>
      <c r="J2" s="223"/>
      <c r="K2" s="217"/>
      <c r="L2" s="218"/>
      <c r="M2" s="217"/>
    </row>
    <row r="3" spans="2:18" ht="12.75" thickBot="1" x14ac:dyDescent="0.25"/>
    <row r="4" spans="2:18" s="71" customFormat="1" ht="13.5" thickBot="1" x14ac:dyDescent="0.25">
      <c r="B4" s="158" t="s">
        <v>173</v>
      </c>
      <c r="C4" s="306"/>
      <c r="D4" s="306"/>
      <c r="E4" s="172">
        <f>D!D2</f>
        <v>45351</v>
      </c>
      <c r="H4" s="71">
        <f>COUNTIF('CF (Equity, Debt)'!$B$4:$B$66,MID('CF (Equity, Debt)'!$B$4:$B$66,1,4))</f>
        <v>35</v>
      </c>
    </row>
    <row r="5" spans="2:18" ht="12.75" x14ac:dyDescent="0.2">
      <c r="G5" s="71"/>
      <c r="H5" s="71">
        <f>COUNTIFS('CF (Equity, Debt)'!B4:B56,"Mozn")+COUNTIFS('CF (Funds)'!B4:B52,"Mozn")</f>
        <v>35</v>
      </c>
      <c r="K5" s="29" t="b">
        <f ca="1">K9='S | 02'!L47</f>
        <v>1</v>
      </c>
      <c r="M5" s="29" t="b">
        <f>M9='S | 02'!M47</f>
        <v>1</v>
      </c>
      <c r="N5" s="29" t="b">
        <f>N9='S | 02'!N47</f>
        <v>1</v>
      </c>
    </row>
    <row r="7" spans="2:18" ht="12.75" x14ac:dyDescent="0.2">
      <c r="J7" s="213"/>
      <c r="K7" s="69" t="s">
        <v>2</v>
      </c>
      <c r="L7" s="69" t="s">
        <v>51</v>
      </c>
      <c r="M7" s="69" t="s">
        <v>33</v>
      </c>
      <c r="N7" s="69" t="s">
        <v>161</v>
      </c>
      <c r="O7" s="69" t="s">
        <v>24</v>
      </c>
      <c r="P7" s="69" t="s">
        <v>34</v>
      </c>
      <c r="Q7" s="69" t="s">
        <v>174</v>
      </c>
      <c r="R7" s="69" t="s">
        <v>97</v>
      </c>
    </row>
    <row r="8" spans="2:18" ht="12.75" x14ac:dyDescent="0.2">
      <c r="J8" s="149"/>
      <c r="K8" s="71"/>
      <c r="L8" s="71"/>
      <c r="M8" s="71"/>
      <c r="N8" s="71"/>
      <c r="O8" s="153"/>
      <c r="P8" s="71"/>
      <c r="Q8" s="71"/>
      <c r="R8" s="71"/>
    </row>
    <row r="9" spans="2:18" ht="15" x14ac:dyDescent="0.25">
      <c r="K9" s="307">
        <f>-SUM(F13:F17)</f>
        <v>20</v>
      </c>
      <c r="L9" s="307"/>
      <c r="M9" s="45">
        <f>SUM(G13:G17)</f>
        <v>0</v>
      </c>
      <c r="N9" s="307">
        <f>SUM(H13:H17)</f>
        <v>20</v>
      </c>
      <c r="O9" s="210">
        <f>XIRR(I13:I17,E13:E17)</f>
        <v>2.9802322387695314E-9</v>
      </c>
      <c r="P9" s="211">
        <f>(M9+N9)/K9</f>
        <v>1</v>
      </c>
      <c r="Q9" s="211">
        <f>N9/K9</f>
        <v>1</v>
      </c>
      <c r="R9" s="211">
        <f>M9/K9</f>
        <v>0</v>
      </c>
    </row>
    <row r="10" spans="2:18" ht="15" x14ac:dyDescent="0.25">
      <c r="B10" s="304" t="s">
        <v>95</v>
      </c>
      <c r="C10" s="43"/>
      <c r="D10" s="43"/>
      <c r="E10" s="43"/>
      <c r="F10" s="43"/>
      <c r="G10" s="43"/>
      <c r="H10" s="43"/>
      <c r="I10" s="43"/>
      <c r="K10" s="45"/>
      <c r="L10" s="34"/>
      <c r="M10" s="45"/>
      <c r="N10" s="45"/>
      <c r="O10" s="210"/>
      <c r="P10" s="211"/>
      <c r="Q10" s="211"/>
      <c r="R10" s="211"/>
    </row>
    <row r="11" spans="2:18" x14ac:dyDescent="0.2">
      <c r="B11" s="301" t="s">
        <v>5</v>
      </c>
      <c r="C11" s="303" t="s">
        <v>159</v>
      </c>
      <c r="D11" s="303" t="s">
        <v>121</v>
      </c>
      <c r="E11" s="302" t="s">
        <v>6</v>
      </c>
      <c r="F11" s="302" t="s">
        <v>96</v>
      </c>
      <c r="G11" s="302" t="s">
        <v>33</v>
      </c>
      <c r="H11" s="303" t="s">
        <v>94</v>
      </c>
      <c r="I11" s="303" t="s">
        <v>163</v>
      </c>
    </row>
    <row r="12" spans="2:18" x14ac:dyDescent="0.2">
      <c r="K12" s="29" t="s">
        <v>2</v>
      </c>
      <c r="L12" s="661">
        <f>-SUM(F13:F17)</f>
        <v>20</v>
      </c>
      <c r="M12" s="29" t="b">
        <f ca="1">'S | 02'!L47=L12</f>
        <v>1</v>
      </c>
    </row>
    <row r="13" spans="2:18" ht="12.75" x14ac:dyDescent="0.2">
      <c r="B13" s="30" t="str">
        <f>'CF (Equity, Debt)'!C49</f>
        <v>Life Biosciences LLC</v>
      </c>
      <c r="C13" s="35" t="str">
        <f>VLOOKUP(B13,'S | 02'!$C$6:$J$55,2,0)</f>
        <v>Direct Investment</v>
      </c>
      <c r="D13" s="35" t="str">
        <f>VLOOKUP(B13,'S | 02'!$C$6:$J$55,5,0)</f>
        <v>G42 Capital</v>
      </c>
      <c r="E13" s="31">
        <f>'CF (Equity, Debt)'!D48</f>
        <v>45322</v>
      </c>
      <c r="F13" s="39">
        <f>'CF (Equity, Debt)'!E49</f>
        <v>-20</v>
      </c>
      <c r="G13" s="39">
        <f>'CF (Equity, Debt)'!F48</f>
        <v>0</v>
      </c>
      <c r="H13" s="39"/>
      <c r="I13" s="39">
        <f t="shared" ref="I13:I14" si="0">SUM(F13:H13)</f>
        <v>-20</v>
      </c>
      <c r="K13" s="29" t="s">
        <v>275</v>
      </c>
      <c r="L13" s="661">
        <f>SUM(H13:H17)</f>
        <v>20</v>
      </c>
      <c r="M13" s="150"/>
      <c r="N13" s="150"/>
      <c r="O13" s="173"/>
      <c r="P13" s="164"/>
      <c r="Q13" s="164"/>
      <c r="R13" s="164"/>
    </row>
    <row r="14" spans="2:18" x14ac:dyDescent="0.2">
      <c r="B14" s="30" t="s">
        <v>645</v>
      </c>
      <c r="C14" s="35" t="str">
        <f>VLOOKUP(B14,'S | 02'!$C$6:$J$55,2,0)</f>
        <v>Direct Investment</v>
      </c>
      <c r="D14" s="35" t="str">
        <f>VLOOKUP(B14,'S | 02'!$C$6:$J$55,5,0)</f>
        <v>G42 Capital</v>
      </c>
      <c r="E14" s="31">
        <f t="shared" ref="E14" si="1">$E$4</f>
        <v>45351</v>
      </c>
      <c r="F14" s="39"/>
      <c r="G14" s="39"/>
      <c r="H14" s="39">
        <f>VLOOKUP(B14,NAV!$B$10:$E$43,4,0)</f>
        <v>20</v>
      </c>
      <c r="I14" s="39">
        <f t="shared" si="0"/>
        <v>20</v>
      </c>
      <c r="K14" s="29" t="s">
        <v>33</v>
      </c>
      <c r="L14" s="310">
        <f>SUM(G13:G17)</f>
        <v>0</v>
      </c>
    </row>
    <row r="15" spans="2:18" x14ac:dyDescent="0.2">
      <c r="K15" s="29" t="s">
        <v>276</v>
      </c>
      <c r="L15" s="310">
        <f>L14+L13-L12</f>
        <v>0</v>
      </c>
    </row>
    <row r="16" spans="2:18" x14ac:dyDescent="0.2">
      <c r="K16" s="29" t="s">
        <v>24</v>
      </c>
      <c r="L16" s="309">
        <f>O9</f>
        <v>2.9802322387695314E-9</v>
      </c>
    </row>
    <row r="17" spans="3:5" x14ac:dyDescent="0.2">
      <c r="C17" s="29"/>
      <c r="D17" s="29"/>
      <c r="E17" s="291"/>
    </row>
    <row r="18" spans="3:5" x14ac:dyDescent="0.2">
      <c r="C18" s="29"/>
      <c r="D18" s="29"/>
      <c r="E18" s="291"/>
    </row>
    <row r="19" spans="3:5" x14ac:dyDescent="0.2">
      <c r="C19" s="29"/>
      <c r="D19" s="29"/>
      <c r="E19" s="291"/>
    </row>
    <row r="20" spans="3:5" x14ac:dyDescent="0.2">
      <c r="C20" s="29"/>
      <c r="D20" s="29"/>
      <c r="E20" s="291"/>
    </row>
    <row r="21" spans="3:5" x14ac:dyDescent="0.2">
      <c r="C21" s="29"/>
      <c r="D21" s="29"/>
      <c r="E21" s="291"/>
    </row>
    <row r="22" spans="3:5" x14ac:dyDescent="0.2">
      <c r="C22" s="29"/>
      <c r="D22" s="29"/>
      <c r="E22" s="291"/>
    </row>
    <row r="23" spans="3:5" x14ac:dyDescent="0.2">
      <c r="C23" s="29"/>
      <c r="D23" s="29"/>
      <c r="E23" s="291"/>
    </row>
    <row r="24" spans="3:5" x14ac:dyDescent="0.2">
      <c r="C24" s="29"/>
      <c r="D24" s="29"/>
      <c r="E24" s="291"/>
    </row>
    <row r="25" spans="3:5" x14ac:dyDescent="0.2">
      <c r="C25" s="29"/>
      <c r="D25" s="29"/>
      <c r="E25" s="291"/>
    </row>
    <row r="26" spans="3:5" x14ac:dyDescent="0.2">
      <c r="C26" s="29"/>
      <c r="D26" s="29"/>
      <c r="E26" s="291"/>
    </row>
    <row r="27" spans="3:5" x14ac:dyDescent="0.2">
      <c r="C27" s="29"/>
      <c r="D27" s="29"/>
      <c r="E27" s="291"/>
    </row>
    <row r="28" spans="3:5" x14ac:dyDescent="0.2">
      <c r="C28" s="29"/>
      <c r="D28" s="29"/>
      <c r="E28" s="291"/>
    </row>
    <row r="29" spans="3:5" x14ac:dyDescent="0.2">
      <c r="C29" s="29"/>
      <c r="D29" s="29"/>
      <c r="E29" s="291"/>
    </row>
    <row r="30" spans="3:5" x14ac:dyDescent="0.2">
      <c r="C30" s="29"/>
      <c r="D30" s="29"/>
      <c r="E30" s="291"/>
    </row>
    <row r="31" spans="3:5" x14ac:dyDescent="0.2">
      <c r="C31" s="29"/>
      <c r="D31" s="29"/>
      <c r="E31" s="291"/>
    </row>
    <row r="32" spans="3:5" x14ac:dyDescent="0.2">
      <c r="C32" s="29"/>
      <c r="D32" s="29"/>
      <c r="E32" s="291"/>
    </row>
    <row r="33" spans="3:5" x14ac:dyDescent="0.2">
      <c r="C33" s="29"/>
      <c r="D33" s="29"/>
      <c r="E33" s="291"/>
    </row>
    <row r="34" spans="3:5" x14ac:dyDescent="0.2">
      <c r="C34" s="29"/>
      <c r="D34" s="29"/>
      <c r="E34" s="291"/>
    </row>
    <row r="35" spans="3:5" x14ac:dyDescent="0.2">
      <c r="C35" s="29"/>
      <c r="D35" s="29"/>
      <c r="E35" s="291"/>
    </row>
    <row r="36" spans="3:5" x14ac:dyDescent="0.2">
      <c r="C36" s="29"/>
      <c r="D36" s="29"/>
      <c r="E36" s="291"/>
    </row>
    <row r="37" spans="3:5" x14ac:dyDescent="0.2">
      <c r="C37" s="29"/>
      <c r="D37" s="29"/>
      <c r="E37" s="291"/>
    </row>
    <row r="38" spans="3:5" x14ac:dyDescent="0.2">
      <c r="C38" s="29"/>
      <c r="D38" s="29"/>
      <c r="E38" s="291"/>
    </row>
    <row r="39" spans="3:5" x14ac:dyDescent="0.2">
      <c r="C39" s="29"/>
      <c r="D39" s="29"/>
      <c r="E39" s="291"/>
    </row>
    <row r="40" spans="3:5" x14ac:dyDescent="0.2">
      <c r="C40" s="29"/>
      <c r="D40" s="29"/>
      <c r="E40" s="291"/>
    </row>
    <row r="41" spans="3:5" x14ac:dyDescent="0.2">
      <c r="C41" s="29"/>
      <c r="D41" s="29"/>
      <c r="E41" s="291"/>
    </row>
    <row r="42" spans="3:5" x14ac:dyDescent="0.2">
      <c r="C42" s="29"/>
      <c r="D42" s="29"/>
      <c r="E42" s="291"/>
    </row>
    <row r="43" spans="3:5" x14ac:dyDescent="0.2">
      <c r="C43" s="29"/>
      <c r="D43" s="29"/>
      <c r="E43" s="291"/>
    </row>
    <row r="44" spans="3:5" x14ac:dyDescent="0.2">
      <c r="C44" s="29"/>
      <c r="D44" s="29"/>
      <c r="E44" s="291"/>
    </row>
    <row r="45" spans="3:5" x14ac:dyDescent="0.2">
      <c r="C45" s="29"/>
      <c r="D45" s="29"/>
      <c r="E45" s="291"/>
    </row>
    <row r="46" spans="3:5" x14ac:dyDescent="0.2">
      <c r="C46" s="29"/>
      <c r="D46" s="29"/>
      <c r="E46" s="291"/>
    </row>
    <row r="47" spans="3:5" x14ac:dyDescent="0.2">
      <c r="C47" s="29"/>
      <c r="D47" s="29"/>
      <c r="E47" s="291"/>
    </row>
    <row r="48" spans="3:5" x14ac:dyDescent="0.2">
      <c r="C48" s="29"/>
      <c r="D48" s="29"/>
      <c r="E48" s="291"/>
    </row>
    <row r="49" spans="3:5" x14ac:dyDescent="0.2">
      <c r="C49" s="29"/>
      <c r="D49" s="29"/>
      <c r="E49" s="291"/>
    </row>
    <row r="50" spans="3:5" x14ac:dyDescent="0.2">
      <c r="C50" s="29"/>
      <c r="D50" s="29"/>
      <c r="E50" s="291"/>
    </row>
    <row r="51" spans="3:5" x14ac:dyDescent="0.2">
      <c r="C51" s="29"/>
      <c r="D51" s="29"/>
      <c r="E51" s="291"/>
    </row>
    <row r="52" spans="3:5" x14ac:dyDescent="0.2">
      <c r="C52" s="29"/>
      <c r="D52" s="29"/>
      <c r="E52" s="291"/>
    </row>
    <row r="53" spans="3:5" x14ac:dyDescent="0.2">
      <c r="C53" s="29"/>
      <c r="D53" s="29"/>
      <c r="E53" s="291"/>
    </row>
    <row r="54" spans="3:5" x14ac:dyDescent="0.2">
      <c r="C54" s="29"/>
      <c r="D54" s="29"/>
      <c r="E54" s="291"/>
    </row>
    <row r="55" spans="3:5" x14ac:dyDescent="0.2">
      <c r="C55" s="29"/>
      <c r="D55" s="29"/>
      <c r="E55" s="291"/>
    </row>
    <row r="56" spans="3:5" x14ac:dyDescent="0.2">
      <c r="C56" s="29"/>
      <c r="D56" s="29"/>
      <c r="E56" s="291"/>
    </row>
    <row r="57" spans="3:5" x14ac:dyDescent="0.2">
      <c r="C57" s="29"/>
      <c r="D57" s="29"/>
      <c r="E57" s="291"/>
    </row>
    <row r="58" spans="3:5" x14ac:dyDescent="0.2">
      <c r="C58" s="29"/>
      <c r="D58" s="29"/>
      <c r="E58" s="291"/>
    </row>
    <row r="59" spans="3:5" x14ac:dyDescent="0.2">
      <c r="C59" s="29"/>
      <c r="D59" s="29"/>
      <c r="E59" s="291"/>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568" t="s">
        <v>601</v>
      </c>
      <c r="C2" s="568" t="s">
        <v>602</v>
      </c>
    </row>
    <row r="3" spans="2:3" ht="15.75" thickBot="1" x14ac:dyDescent="0.3">
      <c r="B3" s="569" t="s">
        <v>603</v>
      </c>
      <c r="C3" s="570" t="s">
        <v>604</v>
      </c>
    </row>
    <row r="4" spans="2:3" ht="15.75" thickBot="1" x14ac:dyDescent="0.3">
      <c r="B4" s="571" t="s">
        <v>78</v>
      </c>
      <c r="C4" s="572" t="s">
        <v>605</v>
      </c>
    </row>
    <row r="5" spans="2:3" ht="15.75" thickBot="1" x14ac:dyDescent="0.3">
      <c r="B5" s="569" t="s">
        <v>204</v>
      </c>
      <c r="C5" s="570" t="s">
        <v>606</v>
      </c>
    </row>
    <row r="6" spans="2:3" ht="15.75" thickBot="1" x14ac:dyDescent="0.3">
      <c r="B6" s="571" t="s">
        <v>11</v>
      </c>
      <c r="C6" s="572" t="s">
        <v>607</v>
      </c>
    </row>
    <row r="7" spans="2:3" ht="15.75" thickBot="1" x14ac:dyDescent="0.3">
      <c r="B7" s="569" t="s">
        <v>608</v>
      </c>
      <c r="C7" s="570" t="s">
        <v>609</v>
      </c>
    </row>
    <row r="8" spans="2:3" ht="15.75" thickBot="1" x14ac:dyDescent="0.3">
      <c r="B8" s="571" t="s">
        <v>24</v>
      </c>
      <c r="C8" s="572" t="s">
        <v>610</v>
      </c>
    </row>
    <row r="9" spans="2:3" ht="15.75" thickBot="1" x14ac:dyDescent="0.3">
      <c r="B9" s="569" t="s">
        <v>611</v>
      </c>
      <c r="C9" s="570" t="s">
        <v>612</v>
      </c>
    </row>
    <row r="10" spans="2:3" ht="15.75" thickBot="1" x14ac:dyDescent="0.3">
      <c r="B10" s="571" t="s">
        <v>613</v>
      </c>
      <c r="C10" s="572" t="s">
        <v>614</v>
      </c>
    </row>
    <row r="11" spans="2:3" ht="15.75" thickBot="1" x14ac:dyDescent="0.3">
      <c r="B11" s="569" t="s">
        <v>8</v>
      </c>
      <c r="C11" s="570" t="s">
        <v>615</v>
      </c>
    </row>
    <row r="12" spans="2:3" ht="15.75" thickBot="1" x14ac:dyDescent="0.3">
      <c r="B12" s="571" t="s">
        <v>616</v>
      </c>
      <c r="C12" s="572" t="s">
        <v>617</v>
      </c>
    </row>
    <row r="13" spans="2:3" ht="15.75" thickBot="1" x14ac:dyDescent="0.3">
      <c r="B13" s="569" t="s">
        <v>130</v>
      </c>
      <c r="C13" s="570" t="s">
        <v>618</v>
      </c>
    </row>
    <row r="14" spans="2:3" ht="15.75" thickBot="1" x14ac:dyDescent="0.3">
      <c r="B14" s="571" t="s">
        <v>384</v>
      </c>
      <c r="C14" s="572" t="s">
        <v>619</v>
      </c>
    </row>
    <row r="15" spans="2:3" ht="15.75" thickBot="1" x14ac:dyDescent="0.3">
      <c r="B15" s="569" t="s">
        <v>620</v>
      </c>
      <c r="C15" s="570" t="s">
        <v>621</v>
      </c>
    </row>
    <row r="16" spans="2:3" ht="15.75" thickBot="1" x14ac:dyDescent="0.3">
      <c r="B16" s="571" t="s">
        <v>622</v>
      </c>
      <c r="C16" s="572" t="s">
        <v>623</v>
      </c>
    </row>
    <row r="17" spans="2:3" ht="15.75" thickBot="1" x14ac:dyDescent="0.3">
      <c r="B17" s="569" t="s">
        <v>624</v>
      </c>
      <c r="C17" s="570" t="s">
        <v>625</v>
      </c>
    </row>
    <row r="18" spans="2:3" ht="15.75" thickBot="1" x14ac:dyDescent="0.3">
      <c r="B18" s="571" t="s">
        <v>47</v>
      </c>
      <c r="C18" s="572" t="s">
        <v>626</v>
      </c>
    </row>
    <row r="20" spans="2:3" ht="15.75" thickBot="1" x14ac:dyDescent="0.3"/>
    <row r="21" spans="2:3" ht="15.75" thickBot="1" x14ac:dyDescent="0.3">
      <c r="B21" s="568" t="s">
        <v>601</v>
      </c>
      <c r="C21" s="568" t="s">
        <v>602</v>
      </c>
    </row>
    <row r="22" spans="2:3" ht="15.75" thickBot="1" x14ac:dyDescent="0.3">
      <c r="B22" s="569" t="s">
        <v>627</v>
      </c>
      <c r="C22" s="570" t="s">
        <v>640</v>
      </c>
    </row>
    <row r="23" spans="2:3" ht="15.75" thickBot="1" x14ac:dyDescent="0.3">
      <c r="B23" s="571" t="s">
        <v>628</v>
      </c>
      <c r="C23" s="572" t="s">
        <v>639</v>
      </c>
    </row>
    <row r="24" spans="2:3" ht="15.75" thickBot="1" x14ac:dyDescent="0.3">
      <c r="B24" s="569" t="s">
        <v>629</v>
      </c>
      <c r="C24" s="570" t="s">
        <v>635</v>
      </c>
    </row>
    <row r="25" spans="2:3" ht="15.75" thickBot="1" x14ac:dyDescent="0.3">
      <c r="B25" s="571" t="s">
        <v>631</v>
      </c>
      <c r="C25" s="572" t="s">
        <v>630</v>
      </c>
    </row>
    <row r="26" spans="2:3" ht="15.75" thickBot="1" x14ac:dyDescent="0.3">
      <c r="B26" s="569" t="s">
        <v>632</v>
      </c>
      <c r="C26" s="570" t="s">
        <v>636</v>
      </c>
    </row>
    <row r="27" spans="2:3" ht="15.75" thickBot="1" x14ac:dyDescent="0.3">
      <c r="B27" s="571" t="s">
        <v>633</v>
      </c>
      <c r="C27" s="572" t="s">
        <v>637</v>
      </c>
    </row>
    <row r="28" spans="2:3" ht="15.75" thickBot="1" x14ac:dyDescent="0.3">
      <c r="B28" s="569" t="s">
        <v>634</v>
      </c>
      <c r="C28" s="570" t="s">
        <v>638</v>
      </c>
    </row>
  </sheetData>
  <pageMargins left="0.7" right="0.7" top="0.75" bottom="0.75" header="0.3" footer="0.3"/>
  <pageSetup paperSize="9" scale="42" orientation="portrait" verticalDpi="0"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2"/>
  <sheetViews>
    <sheetView showGridLines="0" zoomScale="70" zoomScaleNormal="70" workbookViewId="0">
      <selection activeCell="G31" sqref="G31"/>
    </sheetView>
  </sheetViews>
  <sheetFormatPr defaultColWidth="9.140625" defaultRowHeight="15" x14ac:dyDescent="0.25"/>
  <cols>
    <col min="1" max="1" width="9.140625" style="26"/>
    <col min="2" max="2" width="12" style="26" bestFit="1" customWidth="1"/>
    <col min="3" max="3" width="32" style="26" customWidth="1"/>
    <col min="4" max="5" width="27.42578125" style="27" customWidth="1"/>
    <col min="6" max="6" width="10.42578125" style="26" customWidth="1"/>
    <col min="7" max="7" width="35" style="142" customWidth="1"/>
    <col min="8" max="9" width="27.85546875" style="142"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209"/>
      <c r="C1" s="84"/>
      <c r="D1" s="132"/>
      <c r="E1" s="132"/>
      <c r="F1" s="84"/>
    </row>
    <row r="2" spans="1:17" s="96" customFormat="1" ht="43.5" customHeight="1" thickBot="1" x14ac:dyDescent="0.5">
      <c r="B2" s="512"/>
      <c r="C2" s="215" t="s">
        <v>211</v>
      </c>
      <c r="D2" s="216"/>
      <c r="F2" s="217"/>
      <c r="G2" s="217"/>
      <c r="H2" s="217"/>
      <c r="I2" s="217"/>
      <c r="J2" s="217"/>
      <c r="K2" s="217"/>
      <c r="L2" s="217"/>
      <c r="M2" s="218"/>
      <c r="N2" s="217"/>
    </row>
    <row r="3" spans="1:17" s="71" customFormat="1" ht="15.75" thickBot="1" x14ac:dyDescent="0.3">
      <c r="B3" s="178"/>
      <c r="C3" s="158" t="s">
        <v>187</v>
      </c>
      <c r="D3" s="172">
        <f>'S | 01 '!D2</f>
        <v>45351</v>
      </c>
      <c r="E3" s="26"/>
      <c r="F3" s="26"/>
      <c r="G3" s="26"/>
      <c r="H3" s="26"/>
      <c r="I3" s="26"/>
      <c r="J3" s="26"/>
      <c r="K3" s="26"/>
      <c r="L3" s="26"/>
      <c r="M3" s="26"/>
      <c r="N3" s="26"/>
      <c r="O3" s="26"/>
      <c r="P3" s="26"/>
      <c r="Q3" s="26"/>
    </row>
    <row r="4" spans="1:17" ht="15.75" thickBot="1" x14ac:dyDescent="0.3">
      <c r="B4" s="209"/>
      <c r="C4" s="84"/>
      <c r="D4" s="132"/>
      <c r="E4" s="132"/>
      <c r="F4" s="84"/>
    </row>
    <row r="5" spans="1:17" x14ac:dyDescent="0.25">
      <c r="B5" s="513"/>
      <c r="C5" s="87"/>
      <c r="D5" s="133"/>
      <c r="E5" s="133"/>
      <c r="F5" s="87"/>
      <c r="G5" s="143"/>
      <c r="H5" s="143"/>
      <c r="I5" s="143"/>
      <c r="J5" s="90"/>
    </row>
    <row r="6" spans="1:17" ht="39" customHeight="1" x14ac:dyDescent="0.25">
      <c r="A6" s="93"/>
      <c r="B6" s="514"/>
      <c r="C6" s="1" t="s">
        <v>52</v>
      </c>
      <c r="D6" s="1" t="s">
        <v>459</v>
      </c>
      <c r="E6" s="1" t="s">
        <v>57</v>
      </c>
      <c r="F6" s="1" t="s">
        <v>390</v>
      </c>
      <c r="G6" s="421" t="s">
        <v>425</v>
      </c>
      <c r="H6" s="421" t="s">
        <v>426</v>
      </c>
      <c r="I6" s="423" t="s">
        <v>419</v>
      </c>
      <c r="J6" s="92"/>
      <c r="K6" s="93"/>
    </row>
    <row r="7" spans="1:17" x14ac:dyDescent="0.25">
      <c r="A7" s="96"/>
      <c r="B7" s="515"/>
      <c r="C7" s="115"/>
      <c r="D7" s="134"/>
      <c r="E7" s="134"/>
      <c r="F7" s="115"/>
      <c r="G7" s="115"/>
      <c r="H7" s="432"/>
      <c r="I7" s="432"/>
      <c r="J7" s="95"/>
      <c r="K7" s="96"/>
    </row>
    <row r="8" spans="1:17" x14ac:dyDescent="0.25">
      <c r="B8" s="516"/>
      <c r="C8" s="436" t="s">
        <v>28</v>
      </c>
      <c r="D8" s="437"/>
      <c r="E8" s="437"/>
      <c r="F8" s="436"/>
      <c r="G8" s="438"/>
      <c r="H8" s="439"/>
      <c r="I8" s="439"/>
      <c r="J8" s="98"/>
    </row>
    <row r="9" spans="1:17" x14ac:dyDescent="0.25">
      <c r="B9" s="516" t="s">
        <v>483</v>
      </c>
      <c r="C9" s="4" t="str">
        <f>'S | 01 '!C9</f>
        <v>Jollychic Holding Limited</v>
      </c>
      <c r="D9" s="136">
        <v>13458655</v>
      </c>
      <c r="E9" s="136">
        <v>236116762</v>
      </c>
      <c r="F9" s="83">
        <f>D9/E9</f>
        <v>5.6999998161926343E-2</v>
      </c>
      <c r="G9" s="144" t="s">
        <v>154</v>
      </c>
      <c r="H9" s="144" t="s">
        <v>415</v>
      </c>
      <c r="I9" s="144" t="s">
        <v>415</v>
      </c>
      <c r="J9" s="98"/>
      <c r="M9" s="367"/>
    </row>
    <row r="10" spans="1:17" x14ac:dyDescent="0.25">
      <c r="B10" s="516" t="s">
        <v>483</v>
      </c>
      <c r="C10" s="4" t="str">
        <f>'S | 01 '!C10</f>
        <v>Mena Mobile Inc</v>
      </c>
      <c r="D10" s="136">
        <v>21419829</v>
      </c>
      <c r="E10" s="136">
        <v>152998776</v>
      </c>
      <c r="F10" s="83">
        <f>D10/E10</f>
        <v>0.14000000235296001</v>
      </c>
      <c r="G10" s="144" t="s">
        <v>154</v>
      </c>
      <c r="H10" s="144" t="s">
        <v>415</v>
      </c>
      <c r="I10" s="144" t="s">
        <v>415</v>
      </c>
      <c r="J10" s="98"/>
      <c r="M10" s="367"/>
    </row>
    <row r="11" spans="1:17" x14ac:dyDescent="0.25">
      <c r="B11" s="516"/>
      <c r="C11" s="4" t="str">
        <f>'S | 01 '!C11</f>
        <v>Flyr Inc</v>
      </c>
      <c r="D11" s="136">
        <v>5205482</v>
      </c>
      <c r="E11" s="136">
        <v>61222609</v>
      </c>
      <c r="F11" s="83">
        <f>D11/E11</f>
        <v>8.5025484621212399E-2</v>
      </c>
      <c r="G11" s="144" t="s">
        <v>392</v>
      </c>
      <c r="H11" s="144" t="s">
        <v>416</v>
      </c>
      <c r="I11" s="144" t="s">
        <v>212</v>
      </c>
      <c r="J11" s="98"/>
      <c r="M11" s="367"/>
    </row>
    <row r="12" spans="1:17" x14ac:dyDescent="0.25">
      <c r="B12" s="516" t="s">
        <v>26</v>
      </c>
      <c r="C12" s="4" t="str">
        <f>'S | 01 '!C12</f>
        <v xml:space="preserve">Esyasoft Holding </v>
      </c>
      <c r="D12" s="136" t="s">
        <v>130</v>
      </c>
      <c r="E12" s="136" t="s">
        <v>130</v>
      </c>
      <c r="F12" s="136" t="s">
        <v>130</v>
      </c>
      <c r="G12" s="144" t="s">
        <v>400</v>
      </c>
      <c r="H12" s="144" t="s">
        <v>418</v>
      </c>
      <c r="I12" s="144" t="s">
        <v>417</v>
      </c>
      <c r="J12" s="98"/>
      <c r="M12" s="367"/>
    </row>
    <row r="13" spans="1:17" x14ac:dyDescent="0.25">
      <c r="B13" s="516"/>
      <c r="C13" s="4" t="str">
        <f>'S | 01 '!C13</f>
        <v>Beyond Limits</v>
      </c>
      <c r="D13" s="136">
        <v>17670202</v>
      </c>
      <c r="E13" s="136">
        <v>187288050</v>
      </c>
      <c r="F13" s="83">
        <f>D13/E13</f>
        <v>9.4347728005070269E-2</v>
      </c>
      <c r="G13" s="144" t="s">
        <v>156</v>
      </c>
      <c r="H13" s="144" t="s">
        <v>416</v>
      </c>
      <c r="I13" s="144" t="s">
        <v>212</v>
      </c>
      <c r="J13" s="98"/>
      <c r="M13" s="367"/>
    </row>
    <row r="14" spans="1:17" x14ac:dyDescent="0.25">
      <c r="B14" s="516"/>
      <c r="C14" s="4" t="str">
        <f>'S | 01 '!C14</f>
        <v>ONT plc</v>
      </c>
      <c r="D14" s="136">
        <v>44328120</v>
      </c>
      <c r="E14" s="136">
        <f>829189128+29025326</f>
        <v>858214454</v>
      </c>
      <c r="F14" s="83">
        <f>D14/E14</f>
        <v>5.1651565402323088E-2</v>
      </c>
      <c r="G14" s="144" t="s">
        <v>157</v>
      </c>
      <c r="H14" s="144" t="s">
        <v>388</v>
      </c>
      <c r="I14" s="144" t="s">
        <v>388</v>
      </c>
      <c r="J14" s="98"/>
    </row>
    <row r="15" spans="1:17" x14ac:dyDescent="0.25">
      <c r="B15" s="516"/>
      <c r="C15" s="4" t="str">
        <f>'S | 01 '!C15</f>
        <v>Heygears</v>
      </c>
      <c r="D15" s="136">
        <v>3565017.22</v>
      </c>
      <c r="E15" s="136">
        <f>D15/F15</f>
        <v>24791496.662030596</v>
      </c>
      <c r="F15" s="83">
        <v>0.14380000000000001</v>
      </c>
      <c r="G15" s="144" t="s">
        <v>154</v>
      </c>
      <c r="H15" s="144" t="s">
        <v>387</v>
      </c>
      <c r="I15" s="144" t="s">
        <v>420</v>
      </c>
      <c r="J15" s="98"/>
    </row>
    <row r="16" spans="1:17" x14ac:dyDescent="0.25">
      <c r="B16" s="516" t="s">
        <v>26</v>
      </c>
      <c r="C16" s="4" t="str">
        <f>'S | 01 '!C16</f>
        <v>Jysan Technologies</v>
      </c>
      <c r="D16" s="136">
        <v>7959497</v>
      </c>
      <c r="E16" s="136">
        <v>265316566.66666669</v>
      </c>
      <c r="F16" s="83">
        <v>0.03</v>
      </c>
      <c r="G16" s="144" t="s">
        <v>155</v>
      </c>
      <c r="H16" s="144" t="s">
        <v>388</v>
      </c>
      <c r="I16" s="144" t="s">
        <v>388</v>
      </c>
      <c r="J16" s="98"/>
    </row>
    <row r="17" spans="1:14" x14ac:dyDescent="0.25">
      <c r="B17" s="490"/>
      <c r="C17" s="4" t="str">
        <f>'S | 01 '!C17</f>
        <v>Cerebras Systems Inc</v>
      </c>
      <c r="D17" s="136">
        <v>1441711</v>
      </c>
      <c r="E17" s="136">
        <v>158130778</v>
      </c>
      <c r="F17" s="418">
        <f>D17/E17</f>
        <v>9.117206771726628E-3</v>
      </c>
      <c r="G17" s="144" t="s">
        <v>391</v>
      </c>
      <c r="H17" s="144" t="s">
        <v>416</v>
      </c>
      <c r="I17" s="144" t="s">
        <v>212</v>
      </c>
      <c r="J17" s="98"/>
    </row>
    <row r="18" spans="1:14" x14ac:dyDescent="0.25">
      <c r="B18" s="490"/>
      <c r="C18" s="4" t="str">
        <f>'S | 01 '!C18</f>
        <v>Endless Studios LLC</v>
      </c>
      <c r="D18" s="136">
        <v>8000000</v>
      </c>
      <c r="E18" s="136">
        <f>38750000+11000000</f>
        <v>49750000</v>
      </c>
      <c r="F18" s="418">
        <f>D18/E18</f>
        <v>0.16080402010050251</v>
      </c>
      <c r="G18" s="144" t="s">
        <v>391</v>
      </c>
      <c r="H18" s="144" t="s">
        <v>416</v>
      </c>
      <c r="I18" s="144" t="s">
        <v>212</v>
      </c>
      <c r="J18" s="98"/>
    </row>
    <row r="19" spans="1:14" x14ac:dyDescent="0.25">
      <c r="B19" s="516" t="s">
        <v>26</v>
      </c>
      <c r="C19" s="4" t="str">
        <f>'S | 01 '!C19</f>
        <v>Instadeep Limited</v>
      </c>
      <c r="D19" s="136">
        <v>33267</v>
      </c>
      <c r="E19" s="136">
        <v>2895450</v>
      </c>
      <c r="F19" s="83">
        <f>D19/E19</f>
        <v>1.1489405791845828E-2</v>
      </c>
      <c r="G19" s="144" t="s">
        <v>401</v>
      </c>
      <c r="H19" s="144" t="s">
        <v>388</v>
      </c>
      <c r="I19" s="144" t="s">
        <v>388</v>
      </c>
      <c r="J19" s="98"/>
    </row>
    <row r="20" spans="1:14" x14ac:dyDescent="0.25">
      <c r="B20" s="516" t="s">
        <v>26</v>
      </c>
      <c r="C20" s="4" t="str">
        <f>'S | 01 '!C20</f>
        <v>X-fusion</v>
      </c>
      <c r="D20" s="136" t="s">
        <v>130</v>
      </c>
      <c r="E20" s="136" t="s">
        <v>130</v>
      </c>
      <c r="F20" s="83">
        <f>10% * 51%</f>
        <v>5.1000000000000004E-2</v>
      </c>
      <c r="G20" s="144" t="s">
        <v>154</v>
      </c>
      <c r="H20" s="144" t="s">
        <v>387</v>
      </c>
      <c r="I20" s="144" t="s">
        <v>420</v>
      </c>
      <c r="J20" s="98"/>
      <c r="L20" s="139"/>
    </row>
    <row r="21" spans="1:14" x14ac:dyDescent="0.25">
      <c r="B21" s="490"/>
      <c r="C21" s="4" t="str">
        <f>'S | 01 '!C21</f>
        <v>DriveNets</v>
      </c>
      <c r="D21" s="136">
        <v>86882669</v>
      </c>
      <c r="E21" s="136">
        <v>779782293</v>
      </c>
      <c r="F21" s="418">
        <f>D21/E21</f>
        <v>0.11141913554582343</v>
      </c>
      <c r="G21" s="144" t="s">
        <v>393</v>
      </c>
      <c r="H21" s="453" t="s">
        <v>422</v>
      </c>
      <c r="I21" s="453" t="s">
        <v>421</v>
      </c>
      <c r="J21" s="98"/>
    </row>
    <row r="22" spans="1:14" x14ac:dyDescent="0.25">
      <c r="B22" s="490"/>
      <c r="C22" s="4" t="str">
        <f>'S | 01 '!C22</f>
        <v>vTv Therapeutics Inc.</v>
      </c>
      <c r="D22" s="543">
        <f>ROUNDUP(10386274/40,0)</f>
        <v>259657</v>
      </c>
      <c r="E22" s="136">
        <f>ROUNDUP(81483600+23093860+9545439+3214503,0)+464377+3853997</f>
        <v>121655776</v>
      </c>
      <c r="F22" s="577">
        <f>D22/E22</f>
        <v>2.134358174658308E-3</v>
      </c>
      <c r="G22" s="144" t="s">
        <v>479</v>
      </c>
      <c r="H22" s="144" t="s">
        <v>416</v>
      </c>
      <c r="I22" s="144" t="s">
        <v>212</v>
      </c>
      <c r="J22" s="98"/>
      <c r="L22" s="139"/>
    </row>
    <row r="23" spans="1:14" x14ac:dyDescent="0.25">
      <c r="B23" s="516" t="s">
        <v>26</v>
      </c>
      <c r="C23" s="4" t="str">
        <f>'S | 01 '!C23</f>
        <v>Honor Device Co Ltd</v>
      </c>
      <c r="D23" s="140">
        <f>1517126944.34*0.8/2</f>
        <v>606850777.73599994</v>
      </c>
      <c r="E23" s="140">
        <v>32238947567.490002</v>
      </c>
      <c r="F23" s="83">
        <f>4.705882%* 0.8/2</f>
        <v>1.8823528000000003E-2</v>
      </c>
      <c r="G23" s="144" t="s">
        <v>154</v>
      </c>
      <c r="H23" s="144" t="s">
        <v>387</v>
      </c>
      <c r="I23" s="144" t="s">
        <v>420</v>
      </c>
      <c r="J23" s="98"/>
      <c r="L23" s="261"/>
      <c r="M23" s="138"/>
    </row>
    <row r="24" spans="1:14" x14ac:dyDescent="0.25">
      <c r="B24" s="490"/>
      <c r="C24" s="4" t="str">
        <f>'S | 01 '!C24</f>
        <v>Applied AI Corporation Limited</v>
      </c>
      <c r="D24" s="136" t="s">
        <v>130</v>
      </c>
      <c r="E24" s="136" t="s">
        <v>130</v>
      </c>
      <c r="F24" s="83" t="s">
        <v>130</v>
      </c>
      <c r="G24" s="144" t="s">
        <v>389</v>
      </c>
      <c r="H24" s="144" t="s">
        <v>423</v>
      </c>
      <c r="I24" s="144" t="s">
        <v>424</v>
      </c>
      <c r="J24" s="98"/>
      <c r="L24" s="520" t="s">
        <v>466</v>
      </c>
      <c r="M24" s="521"/>
      <c r="N24" s="522"/>
    </row>
    <row r="25" spans="1:14" x14ac:dyDescent="0.25">
      <c r="B25" s="490"/>
      <c r="C25" s="4" t="str">
        <f>'S | 01 '!C25</f>
        <v xml:space="preserve">eSpace </v>
      </c>
      <c r="D25" s="136">
        <v>417846</v>
      </c>
      <c r="E25" s="136">
        <v>14995394</v>
      </c>
      <c r="F25" s="418">
        <f>D25/E25</f>
        <v>2.7864956399278339E-2</v>
      </c>
      <c r="G25" s="144" t="s">
        <v>494</v>
      </c>
      <c r="H25" s="144" t="s">
        <v>416</v>
      </c>
      <c r="I25" s="144" t="s">
        <v>212</v>
      </c>
      <c r="J25" s="98"/>
      <c r="L25" s="138">
        <v>5400972</v>
      </c>
      <c r="M25" s="138" t="s">
        <v>460</v>
      </c>
    </row>
    <row r="26" spans="1:14" x14ac:dyDescent="0.25">
      <c r="B26" s="490"/>
      <c r="C26" s="4" t="str">
        <f>'S | 01 '!C26</f>
        <v>Tools for Humanity Corporation</v>
      </c>
      <c r="D26" s="136">
        <v>65413</v>
      </c>
      <c r="E26" s="136">
        <v>10445692.929292928</v>
      </c>
      <c r="F26" s="418">
        <f>D26/E26</f>
        <v>6.2621982517370271E-3</v>
      </c>
      <c r="G26" s="144" t="s">
        <v>451</v>
      </c>
      <c r="H26" s="144" t="s">
        <v>416</v>
      </c>
      <c r="I26" s="144" t="s">
        <v>212</v>
      </c>
      <c r="J26" s="98"/>
      <c r="L26" s="138">
        <v>4857352</v>
      </c>
      <c r="M26" s="138" t="s">
        <v>461</v>
      </c>
    </row>
    <row r="27" spans="1:14" x14ac:dyDescent="0.25">
      <c r="B27" s="490"/>
      <c r="C27" s="4" t="str">
        <f>'S | 01 '!C27</f>
        <v>WLD Tokens</v>
      </c>
      <c r="D27" s="136">
        <v>62500000</v>
      </c>
      <c r="E27" s="136">
        <v>10000000000</v>
      </c>
      <c r="F27" s="418">
        <f>D27/E27</f>
        <v>6.2500000000000003E-3</v>
      </c>
      <c r="G27" s="144" t="s">
        <v>451</v>
      </c>
      <c r="H27" s="144" t="s">
        <v>452</v>
      </c>
      <c r="I27" s="144" t="s">
        <v>415</v>
      </c>
      <c r="J27" s="98"/>
      <c r="L27" s="138">
        <v>16791835</v>
      </c>
      <c r="M27" s="138" t="s">
        <v>462</v>
      </c>
    </row>
    <row r="28" spans="1:14" x14ac:dyDescent="0.25">
      <c r="B28" s="490"/>
      <c r="C28" s="4" t="str">
        <f>'S | 01 '!C28</f>
        <v>E-line Ventures LLC</v>
      </c>
      <c r="D28" s="136">
        <v>4477612</v>
      </c>
      <c r="E28" s="136">
        <f>L31</f>
        <v>38990900</v>
      </c>
      <c r="F28" s="418">
        <f>D28/E28</f>
        <v>0.11483735948644427</v>
      </c>
      <c r="G28" s="144" t="s">
        <v>469</v>
      </c>
      <c r="H28" s="144" t="s">
        <v>467</v>
      </c>
      <c r="I28" s="144" t="s">
        <v>467</v>
      </c>
      <c r="J28" s="98"/>
      <c r="L28" s="138">
        <v>1465517</v>
      </c>
      <c r="M28" s="138" t="s">
        <v>463</v>
      </c>
    </row>
    <row r="29" spans="1:14" x14ac:dyDescent="0.25">
      <c r="B29" s="490"/>
      <c r="C29" s="4" t="str">
        <f>'S | 01 '!C29</f>
        <v>School Hack (AIREV Holding Limited)</v>
      </c>
      <c r="D29" s="136">
        <v>25000</v>
      </c>
      <c r="E29" s="136">
        <v>100000</v>
      </c>
      <c r="F29" s="418">
        <f t="shared" ref="F29" si="0">D29/E29</f>
        <v>0.25</v>
      </c>
      <c r="G29" s="144" t="s">
        <v>509</v>
      </c>
      <c r="H29" s="144" t="s">
        <v>423</v>
      </c>
      <c r="I29" s="144" t="s">
        <v>510</v>
      </c>
      <c r="J29" s="98"/>
      <c r="L29" s="138">
        <f>D28*2</f>
        <v>8955224</v>
      </c>
      <c r="M29" s="138" t="s">
        <v>464</v>
      </c>
    </row>
    <row r="30" spans="1:14" x14ac:dyDescent="0.25">
      <c r="B30" s="490"/>
      <c r="C30" s="4" t="str">
        <f>'S | 01 '!C30</f>
        <v>Life Biosciences LLC</v>
      </c>
      <c r="D30" s="136" t="s">
        <v>130</v>
      </c>
      <c r="E30" s="136" t="s">
        <v>130</v>
      </c>
      <c r="F30" s="83" t="s">
        <v>130</v>
      </c>
      <c r="G30" s="144" t="s">
        <v>389</v>
      </c>
      <c r="H30" s="144" t="s">
        <v>416</v>
      </c>
      <c r="I30" s="144" t="s">
        <v>212</v>
      </c>
      <c r="J30" s="98"/>
      <c r="L30" s="138">
        <v>1520000</v>
      </c>
      <c r="M30" s="138" t="s">
        <v>465</v>
      </c>
    </row>
    <row r="31" spans="1:14" x14ac:dyDescent="0.25">
      <c r="B31" s="490"/>
      <c r="C31" s="5"/>
      <c r="D31" s="28"/>
      <c r="E31" s="28"/>
      <c r="F31" s="501"/>
      <c r="G31" s="502"/>
      <c r="H31" s="502"/>
      <c r="I31" s="502"/>
      <c r="J31" s="98"/>
      <c r="L31" s="508">
        <f>SUM(L25:L30)</f>
        <v>38990900</v>
      </c>
      <c r="M31" s="508"/>
      <c r="N31" s="509"/>
    </row>
    <row r="32" spans="1:14" x14ac:dyDescent="0.25">
      <c r="A32" s="101"/>
      <c r="B32" s="517"/>
      <c r="C32" s="442"/>
      <c r="D32" s="443"/>
      <c r="E32" s="443"/>
      <c r="F32" s="444"/>
      <c r="G32" s="445"/>
      <c r="H32" s="445"/>
      <c r="I32" s="445"/>
      <c r="J32" s="100"/>
      <c r="K32" s="101"/>
    </row>
    <row r="33" spans="1:18" x14ac:dyDescent="0.25">
      <c r="A33" s="96"/>
      <c r="B33" s="518"/>
      <c r="C33" s="5"/>
      <c r="D33" s="28"/>
      <c r="E33" s="28"/>
      <c r="F33" s="137"/>
      <c r="G33" s="145"/>
      <c r="H33" s="145"/>
      <c r="I33" s="145"/>
      <c r="J33" s="95"/>
      <c r="K33" s="96"/>
    </row>
    <row r="34" spans="1:18" x14ac:dyDescent="0.25">
      <c r="B34" s="490"/>
      <c r="C34" s="436" t="s">
        <v>30</v>
      </c>
      <c r="D34" s="440" t="s">
        <v>427</v>
      </c>
      <c r="E34" s="440" t="s">
        <v>428</v>
      </c>
      <c r="F34" s="441"/>
      <c r="G34" s="439"/>
      <c r="H34" s="439"/>
      <c r="I34" s="439"/>
      <c r="J34" s="98"/>
    </row>
    <row r="35" spans="1:18" x14ac:dyDescent="0.25">
      <c r="B35" s="490"/>
      <c r="C35" s="4" t="s">
        <v>124</v>
      </c>
      <c r="D35" s="136">
        <v>23234462</v>
      </c>
      <c r="E35" s="136" t="s">
        <v>441</v>
      </c>
      <c r="F35" s="83" t="e">
        <f>'5. NewSpace'!#REF!</f>
        <v>#REF!</v>
      </c>
      <c r="G35" s="144" t="s">
        <v>442</v>
      </c>
      <c r="H35" s="144" t="s">
        <v>432</v>
      </c>
      <c r="I35" s="144" t="s">
        <v>432</v>
      </c>
      <c r="J35" s="98"/>
    </row>
    <row r="36" spans="1:18" x14ac:dyDescent="0.25">
      <c r="B36" s="490"/>
      <c r="C36" s="4" t="s">
        <v>380</v>
      </c>
      <c r="D36" s="136">
        <f>-'CF (Funds)'!H47*10^6</f>
        <v>2125000</v>
      </c>
      <c r="E36" s="136" t="s">
        <v>441</v>
      </c>
      <c r="F36" s="83" t="e">
        <f>'5. NewSpace'!#REF!</f>
        <v>#REF!</v>
      </c>
      <c r="G36" s="144"/>
      <c r="H36" s="144" t="s">
        <v>432</v>
      </c>
      <c r="I36" s="144" t="s">
        <v>432</v>
      </c>
      <c r="J36" s="98"/>
      <c r="P36" s="367"/>
      <c r="Q36" s="367"/>
    </row>
    <row r="37" spans="1:18" x14ac:dyDescent="0.25">
      <c r="B37" s="490"/>
      <c r="C37" s="4" t="s">
        <v>1</v>
      </c>
      <c r="D37" s="136">
        <v>300000000</v>
      </c>
      <c r="E37" s="136">
        <v>301507538</v>
      </c>
      <c r="F37" s="83">
        <f>D37/E37</f>
        <v>0.99499999897183333</v>
      </c>
      <c r="G37" s="144" t="s">
        <v>431</v>
      </c>
      <c r="H37" s="144" t="s">
        <v>415</v>
      </c>
      <c r="I37" s="144" t="s">
        <v>415</v>
      </c>
      <c r="J37" s="98"/>
      <c r="P37" s="480"/>
      <c r="Q37" s="480"/>
    </row>
    <row r="38" spans="1:18" x14ac:dyDescent="0.25">
      <c r="B38" s="516" t="s">
        <v>26</v>
      </c>
      <c r="C38" s="4" t="s">
        <v>12</v>
      </c>
      <c r="D38" s="136">
        <v>50000000</v>
      </c>
      <c r="E38" s="136">
        <v>496717172</v>
      </c>
      <c r="F38" s="83">
        <f>D38/E38</f>
        <v>0.10066090487405174</v>
      </c>
      <c r="G38" s="144" t="s">
        <v>470</v>
      </c>
      <c r="H38" s="144" t="s">
        <v>415</v>
      </c>
      <c r="I38" s="144" t="s">
        <v>415</v>
      </c>
      <c r="J38" s="98"/>
      <c r="P38" s="367"/>
      <c r="Q38" s="367"/>
      <c r="R38" s="261"/>
    </row>
    <row r="39" spans="1:18" x14ac:dyDescent="0.25">
      <c r="B39" s="490"/>
      <c r="C39" s="4" t="s">
        <v>175</v>
      </c>
      <c r="D39" s="136">
        <v>17112500</v>
      </c>
      <c r="E39" s="136">
        <v>51337500</v>
      </c>
      <c r="F39" s="83">
        <f>D39/E39</f>
        <v>0.33333333333333331</v>
      </c>
      <c r="G39" s="144" t="s">
        <v>429</v>
      </c>
      <c r="H39" s="144" t="s">
        <v>430</v>
      </c>
      <c r="I39" s="144" t="s">
        <v>212</v>
      </c>
      <c r="J39" s="98"/>
    </row>
    <row r="40" spans="1:18" x14ac:dyDescent="0.25">
      <c r="B40" s="490"/>
      <c r="C40" s="5"/>
      <c r="D40" s="28"/>
      <c r="E40" s="28"/>
      <c r="F40" s="137"/>
      <c r="G40" s="145"/>
      <c r="H40" s="145"/>
      <c r="I40" s="145"/>
      <c r="J40" s="98"/>
    </row>
    <row r="41" spans="1:18" ht="15.75" thickBot="1" x14ac:dyDescent="0.3">
      <c r="B41" s="519"/>
      <c r="C41" s="103"/>
      <c r="D41" s="135"/>
      <c r="E41" s="135"/>
      <c r="F41" s="103"/>
      <c r="G41" s="146"/>
      <c r="H41" s="146"/>
      <c r="I41" s="146"/>
      <c r="J41" s="106"/>
    </row>
    <row r="42" spans="1:18" x14ac:dyDescent="0.25">
      <c r="C42" s="84"/>
      <c r="D42" s="132"/>
      <c r="E42" s="132"/>
      <c r="F42" s="84"/>
    </row>
    <row r="44" spans="1:18" x14ac:dyDescent="0.25">
      <c r="F44" s="27"/>
      <c r="G44" s="27"/>
      <c r="H44" s="27"/>
      <c r="I44" s="27"/>
      <c r="J44" s="27"/>
    </row>
    <row r="45" spans="1:18" x14ac:dyDescent="0.25">
      <c r="F45" s="27"/>
      <c r="G45" s="27"/>
      <c r="H45" s="27"/>
      <c r="I45" s="27"/>
      <c r="J45" s="27"/>
    </row>
    <row r="46" spans="1:18" x14ac:dyDescent="0.25">
      <c r="F46" s="27"/>
      <c r="G46" s="27"/>
      <c r="H46" s="27"/>
      <c r="I46" s="27"/>
      <c r="J46" s="27"/>
    </row>
    <row r="47" spans="1:18" x14ac:dyDescent="0.25">
      <c r="F47" s="27"/>
      <c r="G47" s="27"/>
      <c r="H47" s="27"/>
      <c r="I47" s="27"/>
      <c r="J47" s="27"/>
    </row>
    <row r="48" spans="1:18" x14ac:dyDescent="0.25">
      <c r="F48" s="27"/>
      <c r="G48" s="27"/>
      <c r="H48" s="27"/>
      <c r="I48" s="27"/>
      <c r="J48" s="27"/>
    </row>
    <row r="49" spans="3:10" x14ac:dyDescent="0.25">
      <c r="F49" s="27"/>
      <c r="G49" s="27"/>
      <c r="H49" s="27"/>
      <c r="I49" s="27"/>
      <c r="J49" s="27"/>
    </row>
    <row r="52" spans="3:10" x14ac:dyDescent="0.25">
      <c r="C52" s="209"/>
    </row>
  </sheetData>
  <pageMargins left="0.7" right="0.7" top="0.75" bottom="0.75" header="0.3" footer="0.3"/>
  <pageSetup paperSize="9" orientation="portrait" verticalDpi="0" r:id="rId1"/>
  <ignoredErrors>
    <ignoredError sqref="F20" formula="1"/>
  </ignoredError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L54"/>
  <sheetViews>
    <sheetView showGridLines="0" zoomScale="70" zoomScaleNormal="70" workbookViewId="0">
      <selection activeCell="V45" sqref="V45"/>
    </sheetView>
  </sheetViews>
  <sheetFormatPr defaultColWidth="9.140625" defaultRowHeight="15" x14ac:dyDescent="0.25"/>
  <cols>
    <col min="1" max="1" width="5.42578125" style="26" customWidth="1"/>
    <col min="2" max="2" width="2.42578125" style="26" customWidth="1"/>
    <col min="3" max="3" width="35.42578125" style="84" customWidth="1"/>
    <col min="4" max="4" width="35.28515625" style="27" customWidth="1"/>
    <col min="5" max="5" width="43.28515625" style="85" customWidth="1"/>
    <col min="6" max="6" width="8.85546875" style="27" customWidth="1"/>
    <col min="7" max="7" width="15.85546875" style="27" customWidth="1"/>
    <col min="8" max="8" width="35.85546875" style="27" customWidth="1"/>
    <col min="9" max="9" width="2.28515625" style="26" customWidth="1"/>
    <col min="10" max="10" width="2.42578125" style="26" customWidth="1"/>
    <col min="11" max="16384" width="9.140625" style="26"/>
  </cols>
  <sheetData>
    <row r="1" spans="2:9" ht="15.75" thickBot="1" x14ac:dyDescent="0.3"/>
    <row r="2" spans="2:9" x14ac:dyDescent="0.25">
      <c r="B2" s="86"/>
      <c r="C2" s="87"/>
      <c r="D2" s="88"/>
      <c r="E2" s="89"/>
      <c r="F2" s="88"/>
      <c r="G2" s="88"/>
      <c r="H2" s="88"/>
      <c r="I2" s="90"/>
    </row>
    <row r="3" spans="2:9" s="93" customFormat="1" ht="30" customHeight="1" x14ac:dyDescent="0.25">
      <c r="B3" s="91"/>
      <c r="C3" s="3" t="s">
        <v>52</v>
      </c>
      <c r="D3" s="1" t="s">
        <v>148</v>
      </c>
      <c r="E3" s="3" t="s">
        <v>82</v>
      </c>
      <c r="F3" s="1" t="s">
        <v>93</v>
      </c>
      <c r="G3" s="492" t="s">
        <v>25</v>
      </c>
      <c r="H3" s="116" t="s">
        <v>3</v>
      </c>
      <c r="I3" s="92"/>
    </row>
    <row r="4" spans="2:9" s="96" customFormat="1" x14ac:dyDescent="0.25">
      <c r="B4" s="94"/>
      <c r="C4" s="5"/>
      <c r="D4" s="8"/>
      <c r="E4" s="50"/>
      <c r="F4" s="8"/>
      <c r="G4" s="8"/>
      <c r="H4" s="8"/>
      <c r="I4" s="95"/>
    </row>
    <row r="5" spans="2:9" x14ac:dyDescent="0.25">
      <c r="B5" s="97"/>
      <c r="C5" s="16" t="s">
        <v>28</v>
      </c>
      <c r="D5" s="2"/>
      <c r="E5" s="51"/>
      <c r="F5" s="2"/>
      <c r="G5" s="2"/>
      <c r="H5" s="2"/>
      <c r="I5" s="98"/>
    </row>
    <row r="6" spans="2:9" x14ac:dyDescent="0.25">
      <c r="B6" s="97"/>
      <c r="C6" s="4" t="s">
        <v>0</v>
      </c>
      <c r="D6" s="48" t="s">
        <v>105</v>
      </c>
      <c r="E6" s="52" t="s">
        <v>100</v>
      </c>
      <c r="F6" s="312"/>
      <c r="G6" s="312" t="s">
        <v>83</v>
      </c>
      <c r="H6" s="57" t="s">
        <v>487</v>
      </c>
      <c r="I6" s="98"/>
    </row>
    <row r="7" spans="2:9" x14ac:dyDescent="0.25">
      <c r="B7" s="97"/>
      <c r="C7" s="4" t="s">
        <v>39</v>
      </c>
      <c r="D7" s="48" t="s">
        <v>105</v>
      </c>
      <c r="E7" s="52" t="s">
        <v>358</v>
      </c>
      <c r="F7" s="312"/>
      <c r="G7" s="312"/>
      <c r="H7" s="57"/>
      <c r="I7" s="98"/>
    </row>
    <row r="8" spans="2:9" x14ac:dyDescent="0.25">
      <c r="B8" s="97"/>
      <c r="C8" s="4" t="s">
        <v>40</v>
      </c>
      <c r="D8" s="48" t="s">
        <v>144</v>
      </c>
      <c r="E8" s="52" t="s">
        <v>130</v>
      </c>
      <c r="F8" s="312" t="s">
        <v>127</v>
      </c>
      <c r="G8" s="312" t="s">
        <v>26</v>
      </c>
      <c r="H8" s="48" t="s">
        <v>131</v>
      </c>
      <c r="I8" s="98"/>
    </row>
    <row r="9" spans="2:9" x14ac:dyDescent="0.25">
      <c r="B9" s="97"/>
      <c r="C9" s="4" t="s">
        <v>48</v>
      </c>
      <c r="D9" s="48" t="s">
        <v>105</v>
      </c>
      <c r="E9" s="52" t="s">
        <v>357</v>
      </c>
      <c r="F9" s="312" t="s">
        <v>126</v>
      </c>
      <c r="G9" s="312" t="s">
        <v>83</v>
      </c>
      <c r="H9" s="48"/>
      <c r="I9" s="98"/>
    </row>
    <row r="10" spans="2:9" x14ac:dyDescent="0.25">
      <c r="B10" s="97"/>
      <c r="C10" s="4" t="s">
        <v>38</v>
      </c>
      <c r="D10" s="48" t="s">
        <v>105</v>
      </c>
      <c r="E10" s="52" t="s">
        <v>358</v>
      </c>
      <c r="F10" s="312" t="s">
        <v>128</v>
      </c>
      <c r="G10" s="312"/>
      <c r="H10" s="57"/>
      <c r="I10" s="98"/>
    </row>
    <row r="11" spans="2:9" x14ac:dyDescent="0.25">
      <c r="B11" s="97"/>
      <c r="C11" s="4" t="s">
        <v>88</v>
      </c>
      <c r="D11" s="48" t="s">
        <v>105</v>
      </c>
      <c r="E11" s="52" t="s">
        <v>99</v>
      </c>
      <c r="F11" s="312"/>
      <c r="G11" s="312"/>
      <c r="H11" s="57"/>
      <c r="I11" s="98"/>
    </row>
    <row r="12" spans="2:9" x14ac:dyDescent="0.25">
      <c r="B12" s="97"/>
      <c r="C12" s="4" t="s">
        <v>9</v>
      </c>
      <c r="D12" s="48" t="s">
        <v>106</v>
      </c>
      <c r="E12" s="52" t="s">
        <v>64</v>
      </c>
      <c r="F12" s="312"/>
      <c r="G12" s="312" t="s">
        <v>597</v>
      </c>
      <c r="H12" s="57" t="s">
        <v>488</v>
      </c>
      <c r="I12" s="98"/>
    </row>
    <row r="13" spans="2:9" x14ac:dyDescent="0.25">
      <c r="B13" s="97"/>
      <c r="C13" s="4" t="s">
        <v>18</v>
      </c>
      <c r="D13" s="48" t="s">
        <v>105</v>
      </c>
      <c r="E13" s="52" t="s">
        <v>102</v>
      </c>
      <c r="F13" s="312"/>
      <c r="G13" s="312" t="s">
        <v>26</v>
      </c>
      <c r="H13" s="57" t="s">
        <v>26</v>
      </c>
      <c r="I13" s="98"/>
    </row>
    <row r="14" spans="2:9" x14ac:dyDescent="0.25">
      <c r="B14" s="97"/>
      <c r="C14" s="4" t="s">
        <v>41</v>
      </c>
      <c r="D14" s="48" t="s">
        <v>104</v>
      </c>
      <c r="E14" s="52" t="s">
        <v>101</v>
      </c>
      <c r="F14" s="312" t="s">
        <v>129</v>
      </c>
      <c r="G14" s="312"/>
      <c r="H14" s="57"/>
      <c r="I14" s="98"/>
    </row>
    <row r="15" spans="2:9" x14ac:dyDescent="0.25">
      <c r="B15" s="97"/>
      <c r="C15" s="4" t="s">
        <v>42</v>
      </c>
      <c r="D15" s="48" t="s">
        <v>489</v>
      </c>
      <c r="E15" s="52" t="s">
        <v>495</v>
      </c>
      <c r="F15" s="312"/>
      <c r="G15" s="312"/>
      <c r="H15" s="57"/>
      <c r="I15" s="98"/>
    </row>
    <row r="16" spans="2:9" x14ac:dyDescent="0.25">
      <c r="B16" s="97"/>
      <c r="C16" s="4" t="s">
        <v>43</v>
      </c>
      <c r="D16" s="48" t="s">
        <v>104</v>
      </c>
      <c r="E16" s="52"/>
      <c r="F16" s="312"/>
      <c r="G16" s="312" t="s">
        <v>26</v>
      </c>
      <c r="H16" s="57" t="s">
        <v>26</v>
      </c>
      <c r="I16" s="98"/>
    </row>
    <row r="17" spans="2:12" x14ac:dyDescent="0.25">
      <c r="B17" s="97"/>
      <c r="C17" s="4" t="s">
        <v>71</v>
      </c>
      <c r="D17" s="48" t="s">
        <v>144</v>
      </c>
      <c r="E17" s="52" t="s">
        <v>130</v>
      </c>
      <c r="F17" s="313"/>
      <c r="G17" s="312" t="s">
        <v>26</v>
      </c>
      <c r="H17" s="57"/>
      <c r="I17" s="98"/>
    </row>
    <row r="18" spans="2:12" x14ac:dyDescent="0.25">
      <c r="B18" s="97"/>
      <c r="C18" s="4" t="s">
        <v>19</v>
      </c>
      <c r="D18" s="48" t="s">
        <v>104</v>
      </c>
      <c r="E18" s="52" t="s">
        <v>103</v>
      </c>
      <c r="F18" s="313"/>
      <c r="G18" s="313"/>
      <c r="H18" s="57"/>
      <c r="I18" s="98"/>
    </row>
    <row r="19" spans="2:12" x14ac:dyDescent="0.25">
      <c r="B19" s="97"/>
      <c r="C19" s="4" t="s">
        <v>89</v>
      </c>
      <c r="D19" s="48" t="s">
        <v>292</v>
      </c>
      <c r="E19" s="52" t="s">
        <v>294</v>
      </c>
      <c r="F19" s="313"/>
      <c r="G19" s="313"/>
      <c r="H19" s="57"/>
      <c r="I19" s="98"/>
    </row>
    <row r="20" spans="2:12" x14ac:dyDescent="0.25">
      <c r="B20" s="97"/>
      <c r="C20" s="4" t="s">
        <v>35</v>
      </c>
      <c r="D20" s="48" t="s">
        <v>144</v>
      </c>
      <c r="E20" s="52" t="s">
        <v>130</v>
      </c>
      <c r="F20" s="312" t="s">
        <v>293</v>
      </c>
      <c r="G20" s="312" t="s">
        <v>26</v>
      </c>
      <c r="H20" s="57"/>
      <c r="I20" s="98"/>
      <c r="L20" s="4" t="s">
        <v>458</v>
      </c>
    </row>
    <row r="21" spans="2:12" x14ac:dyDescent="0.25">
      <c r="B21" s="97"/>
      <c r="C21" s="4" t="s">
        <v>269</v>
      </c>
      <c r="D21" s="48" t="s">
        <v>144</v>
      </c>
      <c r="E21" s="52" t="s">
        <v>130</v>
      </c>
      <c r="F21" s="312"/>
      <c r="G21" s="312"/>
      <c r="H21" s="57"/>
      <c r="I21" s="98"/>
      <c r="L21" s="4" t="s">
        <v>505</v>
      </c>
    </row>
    <row r="22" spans="2:12" x14ac:dyDescent="0.25">
      <c r="B22" s="97"/>
      <c r="C22" s="4" t="s">
        <v>304</v>
      </c>
      <c r="D22" s="48" t="s">
        <v>144</v>
      </c>
      <c r="E22" s="52" t="s">
        <v>130</v>
      </c>
      <c r="F22" s="312"/>
      <c r="G22" s="312"/>
      <c r="H22" s="57"/>
      <c r="I22" s="98"/>
    </row>
    <row r="23" spans="2:12" x14ac:dyDescent="0.25">
      <c r="B23" s="97"/>
      <c r="C23" s="4" t="s">
        <v>381</v>
      </c>
      <c r="D23" s="48" t="s">
        <v>144</v>
      </c>
      <c r="E23" s="52" t="s">
        <v>130</v>
      </c>
      <c r="F23" s="312"/>
      <c r="G23" s="312"/>
      <c r="H23" s="57"/>
      <c r="I23" s="98"/>
    </row>
    <row r="24" spans="2:12" x14ac:dyDescent="0.25">
      <c r="B24" s="97"/>
      <c r="C24" s="4" t="s">
        <v>458</v>
      </c>
      <c r="D24" s="48"/>
      <c r="E24" s="52"/>
      <c r="F24" s="312"/>
      <c r="G24" s="312"/>
      <c r="H24" s="57"/>
      <c r="I24" s="98"/>
    </row>
    <row r="25" spans="2:12" x14ac:dyDescent="0.25">
      <c r="B25" s="97"/>
      <c r="C25" s="5" t="s">
        <v>505</v>
      </c>
      <c r="D25" s="493" t="s">
        <v>106</v>
      </c>
      <c r="E25" s="52" t="s">
        <v>130</v>
      </c>
      <c r="F25" s="494"/>
      <c r="G25" s="494"/>
      <c r="H25" s="495"/>
      <c r="I25" s="98"/>
    </row>
    <row r="26" spans="2:12" s="101" customFormat="1" x14ac:dyDescent="0.25">
      <c r="B26" s="99"/>
      <c r="C26" s="9"/>
      <c r="D26" s="49"/>
      <c r="E26" s="53"/>
      <c r="F26" s="314"/>
      <c r="G26" s="314"/>
      <c r="H26" s="226"/>
      <c r="I26" s="100"/>
    </row>
    <row r="27" spans="2:12" s="96" customFormat="1" x14ac:dyDescent="0.25">
      <c r="B27" s="94"/>
      <c r="C27" s="5"/>
      <c r="D27" s="22"/>
      <c r="E27" s="54"/>
      <c r="F27" s="22"/>
      <c r="G27" s="22"/>
      <c r="H27" s="227"/>
      <c r="I27" s="95"/>
    </row>
    <row r="28" spans="2:12" x14ac:dyDescent="0.25">
      <c r="B28" s="97"/>
      <c r="C28" s="16" t="s">
        <v>29</v>
      </c>
      <c r="D28" s="20"/>
      <c r="E28" s="55"/>
      <c r="F28" s="20"/>
      <c r="G28" s="20"/>
      <c r="H28" s="228"/>
      <c r="I28" s="98"/>
    </row>
    <row r="29" spans="2:12" x14ac:dyDescent="0.25">
      <c r="B29" s="97"/>
      <c r="C29" s="4" t="s">
        <v>49</v>
      </c>
      <c r="D29" s="20" t="s">
        <v>144</v>
      </c>
      <c r="E29" s="55"/>
      <c r="F29" s="20"/>
      <c r="G29" s="20"/>
      <c r="H29" s="228"/>
      <c r="I29" s="98"/>
    </row>
    <row r="30" spans="2:12" x14ac:dyDescent="0.25">
      <c r="B30" s="97"/>
      <c r="C30" s="4" t="s">
        <v>0</v>
      </c>
      <c r="D30" s="48" t="s">
        <v>105</v>
      </c>
      <c r="E30" s="52" t="s">
        <v>100</v>
      </c>
      <c r="F30" s="48"/>
      <c r="G30" s="312" t="s">
        <v>83</v>
      </c>
      <c r="H30" s="57"/>
      <c r="I30" s="98"/>
    </row>
    <row r="31" spans="2:12" x14ac:dyDescent="0.25">
      <c r="B31" s="97"/>
      <c r="C31" s="4" t="s">
        <v>40</v>
      </c>
      <c r="D31" s="48" t="s">
        <v>144</v>
      </c>
      <c r="E31" s="52"/>
      <c r="F31" s="48"/>
      <c r="G31" s="48"/>
      <c r="H31" s="57"/>
      <c r="I31" s="98"/>
    </row>
    <row r="32" spans="2:12" s="101" customFormat="1" x14ac:dyDescent="0.25">
      <c r="B32" s="99"/>
      <c r="C32" s="9"/>
      <c r="D32" s="21"/>
      <c r="E32" s="56"/>
      <c r="F32" s="21"/>
      <c r="G32" s="21"/>
      <c r="H32" s="229"/>
      <c r="I32" s="100"/>
    </row>
    <row r="33" spans="2:9" s="96" customFormat="1" x14ac:dyDescent="0.25">
      <c r="B33" s="94"/>
      <c r="C33" s="5"/>
      <c r="D33" s="22"/>
      <c r="E33" s="54"/>
      <c r="F33" s="22"/>
      <c r="G33" s="22"/>
      <c r="H33" s="227"/>
      <c r="I33" s="95"/>
    </row>
    <row r="34" spans="2:9" x14ac:dyDescent="0.25">
      <c r="B34" s="97"/>
      <c r="C34" s="16" t="s">
        <v>30</v>
      </c>
      <c r="D34" s="20"/>
      <c r="E34" s="82"/>
      <c r="F34" s="83"/>
      <c r="G34" s="83"/>
      <c r="H34" s="230"/>
      <c r="I34" s="98"/>
    </row>
    <row r="35" spans="2:9" x14ac:dyDescent="0.25">
      <c r="B35" s="97"/>
      <c r="C35" s="4" t="s">
        <v>124</v>
      </c>
      <c r="D35" s="20" t="s">
        <v>144</v>
      </c>
      <c r="E35" s="55"/>
      <c r="F35" s="20"/>
      <c r="G35" s="20"/>
      <c r="H35" s="228"/>
      <c r="I35" s="98"/>
    </row>
    <row r="36" spans="2:9" x14ac:dyDescent="0.25">
      <c r="B36" s="97"/>
      <c r="C36" s="4" t="s">
        <v>380</v>
      </c>
      <c r="D36" s="20"/>
      <c r="E36" s="55" t="s">
        <v>108</v>
      </c>
      <c r="F36" s="20"/>
      <c r="G36" s="20"/>
      <c r="H36" s="228"/>
      <c r="I36" s="98"/>
    </row>
    <row r="37" spans="2:9" x14ac:dyDescent="0.25">
      <c r="B37" s="97"/>
      <c r="C37" s="4" t="s">
        <v>1</v>
      </c>
      <c r="D37" s="20" t="s">
        <v>144</v>
      </c>
      <c r="E37" s="55"/>
      <c r="F37" s="20"/>
      <c r="G37" s="20"/>
      <c r="H37" s="228"/>
      <c r="I37" s="98"/>
    </row>
    <row r="38" spans="2:9" x14ac:dyDescent="0.25">
      <c r="B38" s="97"/>
      <c r="C38" s="4" t="s">
        <v>12</v>
      </c>
      <c r="D38" s="20" t="s">
        <v>144</v>
      </c>
      <c r="E38" s="55"/>
      <c r="F38" s="20"/>
      <c r="G38" s="312" t="s">
        <v>26</v>
      </c>
      <c r="H38" s="228"/>
      <c r="I38" s="98"/>
    </row>
    <row r="39" spans="2:9" x14ac:dyDescent="0.25">
      <c r="B39" s="97"/>
      <c r="C39" s="4" t="s">
        <v>175</v>
      </c>
      <c r="D39" s="20" t="s">
        <v>306</v>
      </c>
      <c r="E39" s="55" t="s">
        <v>305</v>
      </c>
      <c r="F39" s="20"/>
      <c r="G39" s="20"/>
      <c r="H39" s="225" t="s">
        <v>145</v>
      </c>
      <c r="I39" s="98"/>
    </row>
    <row r="40" spans="2:9" s="101" customFormat="1" x14ac:dyDescent="0.25">
      <c r="B40" s="99"/>
      <c r="C40" s="9"/>
      <c r="D40" s="21"/>
      <c r="E40" s="56"/>
      <c r="F40" s="21"/>
      <c r="G40" s="21"/>
      <c r="H40" s="21"/>
      <c r="I40" s="100"/>
    </row>
    <row r="41" spans="2:9" ht="15.75" thickBot="1" x14ac:dyDescent="0.3">
      <c r="B41" s="102"/>
      <c r="C41" s="103"/>
      <c r="D41" s="104"/>
      <c r="E41" s="105"/>
      <c r="F41" s="104"/>
      <c r="G41" s="104"/>
      <c r="H41" s="104"/>
      <c r="I41" s="106"/>
    </row>
    <row r="42" spans="2:9" x14ac:dyDescent="0.25">
      <c r="D42" s="107"/>
      <c r="E42" s="108"/>
      <c r="F42" s="107"/>
      <c r="G42" s="107"/>
      <c r="H42" s="107"/>
    </row>
    <row r="43" spans="2:9" x14ac:dyDescent="0.25">
      <c r="B43" s="109"/>
      <c r="C43" s="84" t="s">
        <v>135</v>
      </c>
    </row>
    <row r="44" spans="2:9" x14ac:dyDescent="0.25">
      <c r="B44" s="109"/>
      <c r="C44" s="84" t="s">
        <v>444</v>
      </c>
    </row>
    <row r="45" spans="2:9" x14ac:dyDescent="0.25">
      <c r="B45" s="109"/>
      <c r="C45" s="84" t="s">
        <v>445</v>
      </c>
    </row>
    <row r="46" spans="2:9" x14ac:dyDescent="0.25">
      <c r="B46" s="316"/>
      <c r="C46" s="84" t="s">
        <v>149</v>
      </c>
    </row>
    <row r="47" spans="2:9" x14ac:dyDescent="0.25">
      <c r="B47" s="315">
        <v>1</v>
      </c>
      <c r="C47" s="84" t="s">
        <v>288</v>
      </c>
      <c r="D47" s="85"/>
    </row>
    <row r="48" spans="2:9" x14ac:dyDescent="0.25">
      <c r="B48" s="315">
        <v>2</v>
      </c>
      <c r="C48" s="85" t="s">
        <v>289</v>
      </c>
      <c r="D48" s="85"/>
      <c r="E48" s="26"/>
      <c r="F48" s="26"/>
      <c r="G48" s="26"/>
      <c r="H48" s="26"/>
    </row>
    <row r="49" spans="2:8" x14ac:dyDescent="0.25">
      <c r="B49" s="315">
        <v>3</v>
      </c>
      <c r="C49" s="84" t="s">
        <v>290</v>
      </c>
      <c r="D49" s="85"/>
      <c r="E49" s="26"/>
      <c r="F49" s="26"/>
      <c r="G49" s="26"/>
      <c r="H49" s="26"/>
    </row>
    <row r="50" spans="2:8" x14ac:dyDescent="0.25">
      <c r="B50" s="315">
        <v>4</v>
      </c>
      <c r="C50" s="84" t="s">
        <v>291</v>
      </c>
      <c r="D50" s="85"/>
      <c r="E50" s="26"/>
      <c r="F50" s="26"/>
      <c r="G50" s="26"/>
      <c r="H50" s="26"/>
    </row>
    <row r="51" spans="2:8" x14ac:dyDescent="0.25">
      <c r="B51" s="315">
        <v>5</v>
      </c>
      <c r="C51" s="84" t="s">
        <v>295</v>
      </c>
      <c r="D51" s="85"/>
      <c r="E51" s="26"/>
      <c r="F51" s="26"/>
      <c r="G51" s="26"/>
      <c r="H51" s="26"/>
    </row>
    <row r="52" spans="2:8" x14ac:dyDescent="0.25">
      <c r="B52" s="315"/>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ignoredErrors>
    <ignoredError sqref="F9:F14 F6:F8"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X55"/>
  <sheetViews>
    <sheetView showGridLines="0" zoomScale="80" zoomScaleNormal="80" workbookViewId="0">
      <selection activeCell="P21" sqref="P21"/>
    </sheetView>
  </sheetViews>
  <sheetFormatPr defaultColWidth="9.140625" defaultRowHeight="15" x14ac:dyDescent="0.3"/>
  <cols>
    <col min="1" max="1" width="9.140625" style="317"/>
    <col min="2" max="2" width="12.42578125" style="317" bestFit="1" customWidth="1"/>
    <col min="3" max="3" width="3.7109375" style="556" customWidth="1"/>
    <col min="4" max="19" width="9.140625" style="556"/>
    <col min="20" max="16384" width="9.140625" style="317"/>
  </cols>
  <sheetData>
    <row r="2" spans="2:24" x14ac:dyDescent="0.3">
      <c r="B2" s="435" t="s">
        <v>297</v>
      </c>
      <c r="C2" s="552"/>
      <c r="D2" s="435" t="s">
        <v>298</v>
      </c>
      <c r="E2" s="552"/>
      <c r="F2" s="552"/>
      <c r="G2" s="552"/>
      <c r="H2" s="552"/>
      <c r="I2" s="552"/>
      <c r="J2" s="552"/>
      <c r="K2" s="552"/>
      <c r="L2" s="552"/>
      <c r="M2" s="552"/>
      <c r="N2" s="552"/>
      <c r="O2" s="552"/>
      <c r="P2" s="552"/>
      <c r="Q2" s="552"/>
      <c r="R2" s="552"/>
      <c r="S2" s="552"/>
      <c r="X2" s="535"/>
    </row>
    <row r="3" spans="2:24" x14ac:dyDescent="0.3">
      <c r="X3" s="535"/>
    </row>
    <row r="4" spans="2:24" x14ac:dyDescent="0.3">
      <c r="B4" s="557" t="s">
        <v>642</v>
      </c>
      <c r="C4" s="553"/>
      <c r="D4" s="554"/>
      <c r="E4" s="555"/>
      <c r="F4" s="555"/>
      <c r="G4" s="555"/>
      <c r="H4" s="555"/>
      <c r="I4" s="555"/>
      <c r="J4" s="555"/>
      <c r="K4" s="555"/>
      <c r="L4" s="555"/>
      <c r="M4" s="555"/>
      <c r="N4" s="555"/>
      <c r="O4" s="555"/>
      <c r="P4" s="555"/>
      <c r="Q4" s="555"/>
      <c r="R4" s="555"/>
      <c r="S4" s="555"/>
      <c r="X4" s="535"/>
    </row>
    <row r="5" spans="2:24" x14ac:dyDescent="0.3">
      <c r="C5" s="556" t="s">
        <v>643</v>
      </c>
    </row>
    <row r="6" spans="2:24" x14ac:dyDescent="0.3">
      <c r="C6" s="556" t="s">
        <v>644</v>
      </c>
    </row>
    <row r="7" spans="2:24" x14ac:dyDescent="0.3">
      <c r="B7" s="557" t="s">
        <v>596</v>
      </c>
      <c r="C7" s="553"/>
      <c r="D7" s="554"/>
      <c r="E7" s="555"/>
      <c r="F7" s="555"/>
      <c r="G7" s="555"/>
      <c r="H7" s="555"/>
      <c r="I7" s="555"/>
      <c r="J7" s="555"/>
      <c r="K7" s="555"/>
      <c r="L7" s="555"/>
      <c r="M7" s="555"/>
      <c r="N7" s="555"/>
      <c r="O7" s="555"/>
      <c r="P7" s="555"/>
      <c r="Q7" s="555"/>
      <c r="R7" s="555"/>
      <c r="S7" s="555"/>
    </row>
    <row r="8" spans="2:24" x14ac:dyDescent="0.3">
      <c r="C8" s="317" t="s">
        <v>600</v>
      </c>
    </row>
    <row r="9" spans="2:24" x14ac:dyDescent="0.3">
      <c r="C9" s="317" t="s">
        <v>599</v>
      </c>
    </row>
    <row r="10" spans="2:24" x14ac:dyDescent="0.3">
      <c r="C10" s="317" t="s">
        <v>598</v>
      </c>
    </row>
    <row r="11" spans="2:24" x14ac:dyDescent="0.3">
      <c r="C11" s="317" t="s">
        <v>641</v>
      </c>
    </row>
    <row r="12" spans="2:24" x14ac:dyDescent="0.3">
      <c r="B12" s="557" t="s">
        <v>537</v>
      </c>
      <c r="C12" s="553"/>
      <c r="D12" s="554"/>
      <c r="E12" s="555"/>
      <c r="F12" s="555"/>
      <c r="G12" s="555"/>
      <c r="H12" s="555"/>
      <c r="I12" s="555"/>
      <c r="J12" s="555"/>
      <c r="K12" s="555"/>
      <c r="L12" s="555"/>
      <c r="M12" s="555"/>
      <c r="N12" s="555"/>
      <c r="O12" s="555"/>
      <c r="P12" s="555"/>
      <c r="Q12" s="555"/>
      <c r="R12" s="555"/>
      <c r="S12" s="555"/>
    </row>
    <row r="13" spans="2:24" x14ac:dyDescent="0.3">
      <c r="B13" s="558"/>
      <c r="C13" s="556" t="s">
        <v>538</v>
      </c>
    </row>
    <row r="14" spans="2:24" x14ac:dyDescent="0.3">
      <c r="B14" s="558"/>
      <c r="C14" s="556" t="s">
        <v>539</v>
      </c>
    </row>
    <row r="15" spans="2:24" x14ac:dyDescent="0.3">
      <c r="B15" s="557" t="s">
        <v>540</v>
      </c>
      <c r="C15" s="553"/>
      <c r="D15" s="554"/>
      <c r="E15" s="555"/>
      <c r="F15" s="555"/>
      <c r="G15" s="555"/>
      <c r="H15" s="555"/>
      <c r="I15" s="555"/>
      <c r="J15" s="555"/>
      <c r="K15" s="555"/>
      <c r="L15" s="555"/>
      <c r="M15" s="555"/>
      <c r="N15" s="555"/>
      <c r="O15" s="555"/>
      <c r="P15" s="555"/>
      <c r="Q15" s="555"/>
      <c r="R15" s="555"/>
      <c r="S15" s="555"/>
    </row>
    <row r="16" spans="2:24" x14ac:dyDescent="0.3">
      <c r="B16" s="558"/>
      <c r="C16" s="556" t="s">
        <v>541</v>
      </c>
    </row>
    <row r="17" spans="2:19" x14ac:dyDescent="0.3">
      <c r="B17" s="557" t="s">
        <v>542</v>
      </c>
      <c r="C17" s="553"/>
      <c r="D17" s="554"/>
      <c r="E17" s="555"/>
      <c r="F17" s="555"/>
      <c r="G17" s="555"/>
      <c r="H17" s="555"/>
      <c r="I17" s="555"/>
      <c r="J17" s="555"/>
      <c r="K17" s="555"/>
      <c r="L17" s="555"/>
      <c r="M17" s="555"/>
      <c r="N17" s="555"/>
      <c r="O17" s="555"/>
      <c r="P17" s="555"/>
      <c r="Q17" s="555"/>
      <c r="R17" s="555"/>
      <c r="S17" s="555"/>
    </row>
    <row r="18" spans="2:19" x14ac:dyDescent="0.3">
      <c r="B18" s="558"/>
      <c r="C18" s="556" t="s">
        <v>543</v>
      </c>
    </row>
    <row r="19" spans="2:19" x14ac:dyDescent="0.3">
      <c r="B19" s="558"/>
      <c r="C19" s="556" t="s">
        <v>544</v>
      </c>
    </row>
    <row r="20" spans="2:19" x14ac:dyDescent="0.3">
      <c r="B20" s="558"/>
      <c r="C20" s="556" t="s">
        <v>545</v>
      </c>
    </row>
    <row r="21" spans="2:19" x14ac:dyDescent="0.3">
      <c r="B21" s="557" t="s">
        <v>546</v>
      </c>
      <c r="C21" s="553"/>
      <c r="D21" s="554"/>
      <c r="E21" s="555"/>
      <c r="F21" s="555"/>
      <c r="G21" s="555"/>
      <c r="H21" s="555"/>
      <c r="I21" s="555"/>
      <c r="J21" s="555"/>
      <c r="K21" s="555"/>
      <c r="L21" s="555"/>
      <c r="M21" s="555"/>
      <c r="N21" s="555"/>
      <c r="O21" s="555"/>
      <c r="P21" s="555"/>
      <c r="Q21" s="555"/>
      <c r="R21" s="555"/>
      <c r="S21" s="555"/>
    </row>
    <row r="22" spans="2:19" x14ac:dyDescent="0.3">
      <c r="B22" s="558"/>
      <c r="C22" s="556" t="s">
        <v>547</v>
      </c>
    </row>
    <row r="23" spans="2:19" x14ac:dyDescent="0.3">
      <c r="B23" s="557" t="s">
        <v>548</v>
      </c>
      <c r="C23" s="553"/>
      <c r="D23" s="554"/>
      <c r="E23" s="555"/>
      <c r="F23" s="555"/>
      <c r="G23" s="555"/>
      <c r="H23" s="555"/>
      <c r="I23" s="555"/>
      <c r="J23" s="555"/>
      <c r="K23" s="555"/>
      <c r="L23" s="555"/>
      <c r="M23" s="555"/>
      <c r="N23" s="555"/>
      <c r="O23" s="555"/>
      <c r="P23" s="555"/>
      <c r="Q23" s="555"/>
      <c r="R23" s="555"/>
      <c r="S23" s="555"/>
    </row>
    <row r="24" spans="2:19" x14ac:dyDescent="0.3">
      <c r="B24" s="558"/>
      <c r="C24" s="556" t="s">
        <v>549</v>
      </c>
    </row>
    <row r="25" spans="2:19" x14ac:dyDescent="0.3">
      <c r="B25" s="558"/>
      <c r="C25" s="556" t="s">
        <v>550</v>
      </c>
    </row>
    <row r="26" spans="2:19" x14ac:dyDescent="0.3">
      <c r="B26" s="558"/>
      <c r="C26" s="556" t="s">
        <v>551</v>
      </c>
    </row>
    <row r="27" spans="2:19" x14ac:dyDescent="0.3">
      <c r="B27" s="557" t="s">
        <v>552</v>
      </c>
      <c r="C27" s="553"/>
      <c r="D27" s="554"/>
      <c r="E27" s="555"/>
      <c r="F27" s="555"/>
      <c r="G27" s="555"/>
      <c r="H27" s="555"/>
      <c r="I27" s="555"/>
      <c r="J27" s="555"/>
      <c r="K27" s="555"/>
      <c r="L27" s="555"/>
      <c r="M27" s="555"/>
      <c r="N27" s="555"/>
      <c r="O27" s="555"/>
      <c r="P27" s="555"/>
      <c r="Q27" s="555"/>
      <c r="R27" s="555"/>
      <c r="S27" s="555"/>
    </row>
    <row r="28" spans="2:19" x14ac:dyDescent="0.3">
      <c r="B28" s="558"/>
      <c r="C28" s="556" t="s">
        <v>553</v>
      </c>
    </row>
    <row r="29" spans="2:19" x14ac:dyDescent="0.3">
      <c r="B29" s="558"/>
      <c r="C29" s="556" t="s">
        <v>554</v>
      </c>
    </row>
    <row r="30" spans="2:19" x14ac:dyDescent="0.3">
      <c r="B30" s="558"/>
      <c r="C30" s="556" t="s">
        <v>555</v>
      </c>
    </row>
    <row r="31" spans="2:19" x14ac:dyDescent="0.3">
      <c r="B31" s="557" t="s">
        <v>556</v>
      </c>
      <c r="C31" s="553"/>
      <c r="D31" s="554"/>
      <c r="E31" s="555"/>
      <c r="F31" s="555"/>
      <c r="G31" s="555"/>
      <c r="H31" s="555"/>
      <c r="I31" s="555"/>
      <c r="J31" s="555"/>
      <c r="K31" s="555"/>
      <c r="L31" s="555"/>
      <c r="M31" s="555"/>
      <c r="N31" s="555"/>
      <c r="O31" s="555"/>
      <c r="P31" s="555"/>
      <c r="Q31" s="555"/>
      <c r="R31" s="555"/>
      <c r="S31" s="555"/>
    </row>
    <row r="32" spans="2:19" x14ac:dyDescent="0.3">
      <c r="B32" s="558"/>
      <c r="C32" s="556" t="s">
        <v>557</v>
      </c>
    </row>
    <row r="33" spans="2:19" x14ac:dyDescent="0.3">
      <c r="B33" s="557" t="s">
        <v>558</v>
      </c>
      <c r="C33" s="553"/>
      <c r="D33" s="554"/>
      <c r="E33" s="555"/>
      <c r="F33" s="555"/>
      <c r="G33" s="555"/>
      <c r="H33" s="555"/>
      <c r="I33" s="555"/>
      <c r="J33" s="555"/>
      <c r="K33" s="555"/>
      <c r="L33" s="555"/>
      <c r="M33" s="555"/>
      <c r="N33" s="555"/>
      <c r="O33" s="555"/>
      <c r="P33" s="555"/>
      <c r="Q33" s="555"/>
      <c r="R33" s="555"/>
      <c r="S33" s="555"/>
    </row>
    <row r="34" spans="2:19" x14ac:dyDescent="0.3">
      <c r="B34" s="558"/>
      <c r="C34" s="556" t="s">
        <v>443</v>
      </c>
    </row>
    <row r="35" spans="2:19" x14ac:dyDescent="0.3">
      <c r="B35" s="557" t="s">
        <v>559</v>
      </c>
      <c r="C35" s="553"/>
      <c r="D35" s="554"/>
      <c r="E35" s="555"/>
      <c r="F35" s="555"/>
      <c r="G35" s="555"/>
      <c r="H35" s="555"/>
      <c r="I35" s="555"/>
      <c r="J35" s="555"/>
      <c r="K35" s="555"/>
      <c r="L35" s="555"/>
      <c r="M35" s="555"/>
      <c r="N35" s="555"/>
      <c r="O35" s="555"/>
      <c r="P35" s="555"/>
      <c r="Q35" s="555"/>
      <c r="R35" s="555"/>
      <c r="S35" s="555"/>
    </row>
    <row r="36" spans="2:19" x14ac:dyDescent="0.3">
      <c r="B36" s="558"/>
      <c r="C36" s="556" t="s">
        <v>398</v>
      </c>
    </row>
    <row r="37" spans="2:19" x14ac:dyDescent="0.3">
      <c r="B37" s="558"/>
      <c r="C37" s="556" t="s">
        <v>399</v>
      </c>
    </row>
    <row r="38" spans="2:19" x14ac:dyDescent="0.3">
      <c r="B38" s="557" t="s">
        <v>560</v>
      </c>
      <c r="C38" s="553"/>
      <c r="D38" s="554"/>
      <c r="E38" s="555"/>
      <c r="F38" s="555"/>
      <c r="G38" s="555"/>
      <c r="H38" s="555"/>
      <c r="I38" s="555"/>
      <c r="J38" s="555"/>
      <c r="K38" s="555"/>
      <c r="L38" s="555"/>
      <c r="M38" s="555"/>
      <c r="N38" s="555"/>
      <c r="O38" s="555"/>
      <c r="P38" s="555"/>
      <c r="Q38" s="555"/>
      <c r="R38" s="555"/>
      <c r="S38" s="555"/>
    </row>
    <row r="39" spans="2:19" x14ac:dyDescent="0.3">
      <c r="B39" s="558"/>
      <c r="C39" s="556" t="s">
        <v>576</v>
      </c>
    </row>
    <row r="40" spans="2:19" x14ac:dyDescent="0.3">
      <c r="B40" s="557" t="s">
        <v>561</v>
      </c>
      <c r="C40" s="553"/>
      <c r="D40" s="554"/>
      <c r="E40" s="555"/>
      <c r="F40" s="555"/>
      <c r="G40" s="555"/>
      <c r="H40" s="555"/>
      <c r="I40" s="555"/>
      <c r="J40" s="555"/>
      <c r="K40" s="555"/>
      <c r="L40" s="555"/>
      <c r="M40" s="555"/>
      <c r="N40" s="555"/>
      <c r="O40" s="555"/>
      <c r="P40" s="555"/>
      <c r="Q40" s="555"/>
      <c r="R40" s="555"/>
      <c r="S40" s="555"/>
    </row>
    <row r="41" spans="2:19" ht="16.5" x14ac:dyDescent="0.3">
      <c r="B41" s="558"/>
      <c r="C41" s="556" t="s">
        <v>577</v>
      </c>
    </row>
    <row r="42" spans="2:19" ht="16.5" x14ac:dyDescent="0.3">
      <c r="B42" s="558"/>
      <c r="C42" s="556" t="s">
        <v>578</v>
      </c>
    </row>
    <row r="43" spans="2:19" x14ac:dyDescent="0.3">
      <c r="B43" s="557" t="s">
        <v>562</v>
      </c>
      <c r="C43" s="553"/>
      <c r="D43" s="554"/>
      <c r="E43" s="555"/>
      <c r="F43" s="555"/>
      <c r="G43" s="555"/>
      <c r="H43" s="555"/>
      <c r="I43" s="555"/>
      <c r="J43" s="555"/>
      <c r="K43" s="555"/>
      <c r="L43" s="555"/>
      <c r="M43" s="555"/>
      <c r="N43" s="555"/>
      <c r="O43" s="555"/>
      <c r="P43" s="555"/>
      <c r="Q43" s="555"/>
      <c r="R43" s="555"/>
      <c r="S43" s="555"/>
    </row>
    <row r="44" spans="2:19" x14ac:dyDescent="0.3">
      <c r="B44" s="558"/>
      <c r="C44" s="556" t="s">
        <v>563</v>
      </c>
    </row>
    <row r="45" spans="2:19" x14ac:dyDescent="0.3">
      <c r="B45" s="558"/>
      <c r="C45" s="556" t="s">
        <v>564</v>
      </c>
    </row>
    <row r="46" spans="2:19" x14ac:dyDescent="0.3">
      <c r="B46" s="557" t="s">
        <v>565</v>
      </c>
      <c r="C46" s="553"/>
      <c r="D46" s="554"/>
      <c r="E46" s="555"/>
      <c r="F46" s="555"/>
      <c r="G46" s="555"/>
      <c r="H46" s="555"/>
      <c r="I46" s="555"/>
      <c r="J46" s="555"/>
      <c r="K46" s="555"/>
      <c r="L46" s="555"/>
      <c r="M46" s="555"/>
      <c r="N46" s="555"/>
      <c r="O46" s="555"/>
      <c r="P46" s="555"/>
      <c r="Q46" s="555"/>
      <c r="R46" s="555"/>
      <c r="S46" s="555"/>
    </row>
    <row r="47" spans="2:19" x14ac:dyDescent="0.3">
      <c r="B47" s="558"/>
      <c r="C47" s="556" t="s">
        <v>566</v>
      </c>
    </row>
    <row r="48" spans="2:19" x14ac:dyDescent="0.3">
      <c r="B48" s="557" t="s">
        <v>567</v>
      </c>
      <c r="C48" s="553"/>
      <c r="D48" s="554"/>
      <c r="E48" s="555"/>
      <c r="F48" s="555"/>
      <c r="G48" s="555"/>
      <c r="H48" s="555"/>
      <c r="I48" s="555"/>
      <c r="J48" s="555"/>
      <c r="K48" s="555"/>
      <c r="L48" s="555"/>
      <c r="M48" s="555"/>
      <c r="N48" s="555"/>
      <c r="O48" s="555"/>
      <c r="P48" s="555"/>
      <c r="Q48" s="555"/>
      <c r="R48" s="555"/>
      <c r="S48" s="555"/>
    </row>
    <row r="49" spans="2:19" x14ac:dyDescent="0.3">
      <c r="B49" s="558"/>
      <c r="C49" s="556" t="s">
        <v>568</v>
      </c>
    </row>
    <row r="50" spans="2:19" x14ac:dyDescent="0.3">
      <c r="B50" s="558"/>
      <c r="C50" s="556" t="s">
        <v>569</v>
      </c>
    </row>
    <row r="51" spans="2:19" x14ac:dyDescent="0.3">
      <c r="B51" s="557" t="s">
        <v>350</v>
      </c>
      <c r="C51" s="553"/>
      <c r="D51" s="555"/>
      <c r="E51" s="555"/>
      <c r="F51" s="555"/>
      <c r="G51" s="555"/>
      <c r="H51" s="555"/>
      <c r="I51" s="555"/>
      <c r="J51" s="555"/>
      <c r="K51" s="555"/>
      <c r="L51" s="555"/>
      <c r="M51" s="555"/>
      <c r="N51" s="555"/>
      <c r="O51" s="555"/>
      <c r="P51" s="555"/>
      <c r="Q51" s="555"/>
      <c r="R51" s="555"/>
      <c r="S51" s="555"/>
    </row>
    <row r="52" spans="2:19" x14ac:dyDescent="0.3">
      <c r="D52" s="556" t="s">
        <v>267</v>
      </c>
    </row>
    <row r="53" spans="2:19" x14ac:dyDescent="0.3">
      <c r="D53" s="556" t="s">
        <v>273</v>
      </c>
    </row>
    <row r="54" spans="2:19" x14ac:dyDescent="0.3">
      <c r="D54" s="556" t="s">
        <v>296</v>
      </c>
    </row>
    <row r="55" spans="2:19" x14ac:dyDescent="0.3">
      <c r="D55" s="556" t="s">
        <v>286</v>
      </c>
    </row>
  </sheetData>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4"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96" customFormat="1" ht="43.5" customHeight="1" x14ac:dyDescent="0.45">
      <c r="C2" s="215" t="s">
        <v>206</v>
      </c>
      <c r="D2" s="216"/>
      <c r="E2" s="216"/>
      <c r="F2" s="216"/>
      <c r="G2" s="223"/>
      <c r="H2" s="223"/>
      <c r="I2" s="223"/>
      <c r="J2" s="223"/>
      <c r="K2" s="217"/>
      <c r="L2" s="218"/>
      <c r="M2" s="217"/>
    </row>
    <row r="5" spans="2:20" x14ac:dyDescent="0.2">
      <c r="C5" s="41" t="s">
        <v>5</v>
      </c>
      <c r="D5" s="43" t="s">
        <v>159</v>
      </c>
      <c r="E5" s="42" t="s">
        <v>6</v>
      </c>
      <c r="F5" s="42" t="s">
        <v>189</v>
      </c>
      <c r="G5" s="42" t="s">
        <v>96</v>
      </c>
      <c r="H5" s="42" t="s">
        <v>172</v>
      </c>
      <c r="J5" s="195" t="s">
        <v>96</v>
      </c>
      <c r="K5" s="196" t="s">
        <v>158</v>
      </c>
      <c r="L5" s="196" t="s">
        <v>44</v>
      </c>
      <c r="M5" s="196" t="s">
        <v>53</v>
      </c>
      <c r="N5" s="196" t="s">
        <v>57</v>
      </c>
      <c r="P5" s="195" t="s">
        <v>172</v>
      </c>
      <c r="Q5" s="196" t="s">
        <v>158</v>
      </c>
      <c r="R5" s="196" t="s">
        <v>44</v>
      </c>
      <c r="S5" s="196" t="s">
        <v>53</v>
      </c>
      <c r="T5" s="196" t="s">
        <v>57</v>
      </c>
    </row>
    <row r="6" spans="2:20" x14ac:dyDescent="0.2">
      <c r="B6" s="383" t="s">
        <v>158</v>
      </c>
      <c r="C6" s="318" t="str">
        <f>'CF (Equity, Debt)'!C4</f>
        <v>Jollychic Holding Limited</v>
      </c>
      <c r="D6" s="35" t="s">
        <v>158</v>
      </c>
      <c r="E6" s="31">
        <f>'CF (Equity, Debt)'!D4</f>
        <v>43470</v>
      </c>
      <c r="F6" s="31" t="str">
        <f>"Q"&amp;ROUNDUP(MONTH(E6)/3,0)&amp;" "&amp;YEAR(E6)</f>
        <v>Q1 2019</v>
      </c>
      <c r="G6" s="39">
        <f>'CF (Equity, Debt)'!E4</f>
        <v>-30</v>
      </c>
      <c r="H6" s="39">
        <f>'CF (Equity, Debt)'!F4</f>
        <v>0</v>
      </c>
      <c r="K6" s="34"/>
      <c r="L6" s="34"/>
      <c r="M6" s="34"/>
      <c r="N6" s="34"/>
      <c r="Q6" s="34"/>
      <c r="R6" s="34"/>
      <c r="S6" s="34"/>
    </row>
    <row r="7" spans="2:20" x14ac:dyDescent="0.2">
      <c r="C7" s="318" t="str">
        <f>'CF (Equity, Debt)'!C5</f>
        <v>Jollychic Holding Limited</v>
      </c>
      <c r="D7" s="35" t="s">
        <v>158</v>
      </c>
      <c r="E7" s="31">
        <f>'CF (Equity, Debt)'!D5</f>
        <v>43724</v>
      </c>
      <c r="F7" s="31" t="str">
        <f t="shared" ref="F7:F34" si="0">"Q"&amp;ROUNDUP(MONTH(E7)/3,0)&amp;" "&amp;YEAR(E7)</f>
        <v>Q3 2019</v>
      </c>
      <c r="G7" s="39">
        <f>'CF (Equity, Debt)'!E5</f>
        <v>-20</v>
      </c>
      <c r="H7" s="39">
        <f>'CF (Equity, Debt)'!F5</f>
        <v>0</v>
      </c>
      <c r="J7" s="29" t="s">
        <v>188</v>
      </c>
      <c r="K7" s="190">
        <f t="shared" ref="K7:K21" si="1">-SUMIFS($G$5:$G$125,$D$5:$D$125,$K$5,$F$5:$F$125,J7)</f>
        <v>30</v>
      </c>
      <c r="L7" s="190">
        <f t="shared" ref="L7:L21" si="2">-SUMIFS($G$5:$G$125,$D$5:$D$125,$L$5,$F$5:$F$125,J7)</f>
        <v>0</v>
      </c>
      <c r="M7" s="190">
        <f t="shared" ref="M7:M21" si="3">-SUMIFS($G$5:$G$125,$D$5:$D$125,"Fund",$F$5:$F$125,J7)</f>
        <v>0</v>
      </c>
      <c r="N7" s="190">
        <f t="shared" ref="N7:N26" ca="1" si="4">-SUMIF($F$5:$H$125,$J7,$G$5:$G$125)</f>
        <v>30</v>
      </c>
      <c r="P7" s="29" t="s">
        <v>188</v>
      </c>
      <c r="Q7" s="190">
        <f t="shared" ref="Q7:Q21" si="5">SUMIFS($H$5:$H$125,$D$5:$D$125,$Q$5,$F$5:$F$125,J7)</f>
        <v>0</v>
      </c>
      <c r="R7" s="190">
        <f t="shared" ref="R7:R21" si="6">SUMIFS($H$5:$H$125,$D$5:$D$125,$R$5,$F$5:$F$125,J7)</f>
        <v>0</v>
      </c>
      <c r="S7" s="190">
        <f t="shared" ref="S7:S21" si="7">SUMIFS($H$5:$H$125,$D$5:$D$125,$S$5,$F$5:$F$125,J7)</f>
        <v>0</v>
      </c>
      <c r="T7" s="190">
        <f t="shared" ref="T7:T26" ca="1" si="8">SUMIF($F$5:$H$125,$J7,$H$5:$H$125)</f>
        <v>0</v>
      </c>
    </row>
    <row r="8" spans="2:20" x14ac:dyDescent="0.2">
      <c r="C8" s="318" t="str">
        <f>'CF (Equity, Debt)'!C6</f>
        <v>Jollychic Holding Limited</v>
      </c>
      <c r="D8" s="35" t="s">
        <v>158</v>
      </c>
      <c r="E8" s="31">
        <f>'CF (Equity, Debt)'!D6</f>
        <v>43724</v>
      </c>
      <c r="F8" s="31" t="str">
        <f t="shared" si="0"/>
        <v>Q3 2019</v>
      </c>
      <c r="G8" s="39">
        <f>'CF (Equity, Debt)'!E6</f>
        <v>-15</v>
      </c>
      <c r="H8" s="39">
        <f>'CF (Equity, Debt)'!F6</f>
        <v>0</v>
      </c>
      <c r="J8" s="29" t="s">
        <v>190</v>
      </c>
      <c r="K8" s="190">
        <f t="shared" si="1"/>
        <v>12.99999809</v>
      </c>
      <c r="L8" s="190">
        <f t="shared" si="2"/>
        <v>8</v>
      </c>
      <c r="M8" s="190">
        <f t="shared" si="3"/>
        <v>0</v>
      </c>
      <c r="N8" s="190">
        <f t="shared" ca="1" si="4"/>
        <v>20.999998089999998</v>
      </c>
      <c r="P8" s="29" t="s">
        <v>190</v>
      </c>
      <c r="Q8" s="190">
        <f t="shared" si="5"/>
        <v>0</v>
      </c>
      <c r="R8" s="190">
        <f t="shared" si="6"/>
        <v>0</v>
      </c>
      <c r="S8" s="190">
        <f t="shared" si="7"/>
        <v>0</v>
      </c>
      <c r="T8" s="190">
        <f t="shared" ca="1" si="8"/>
        <v>0</v>
      </c>
    </row>
    <row r="9" spans="2:20" x14ac:dyDescent="0.2">
      <c r="C9" s="319" t="str">
        <f>'CF (Equity, Debt)'!C7</f>
        <v>Mena Mobile Inc</v>
      </c>
      <c r="D9" s="36" t="s">
        <v>158</v>
      </c>
      <c r="E9" s="33">
        <f>'CF (Equity, Debt)'!D7</f>
        <v>43563</v>
      </c>
      <c r="F9" s="33" t="str">
        <f t="shared" si="0"/>
        <v>Q2 2019</v>
      </c>
      <c r="G9" s="40">
        <f>'CF (Equity, Debt)'!E7</f>
        <v>-8</v>
      </c>
      <c r="H9" s="40">
        <f>'CF (Equity, Debt)'!F7</f>
        <v>0</v>
      </c>
      <c r="J9" s="29" t="s">
        <v>191</v>
      </c>
      <c r="K9" s="190">
        <f t="shared" si="1"/>
        <v>35</v>
      </c>
      <c r="L9" s="190">
        <f t="shared" si="2"/>
        <v>0</v>
      </c>
      <c r="M9" s="190">
        <f t="shared" si="3"/>
        <v>3</v>
      </c>
      <c r="N9" s="190">
        <f t="shared" ca="1" si="4"/>
        <v>38</v>
      </c>
      <c r="P9" s="29" t="s">
        <v>191</v>
      </c>
      <c r="Q9" s="190">
        <f t="shared" si="5"/>
        <v>0</v>
      </c>
      <c r="R9" s="190">
        <f t="shared" si="6"/>
        <v>0</v>
      </c>
      <c r="S9" s="190">
        <f t="shared" si="7"/>
        <v>0</v>
      </c>
      <c r="T9" s="190">
        <f t="shared" ca="1" si="8"/>
        <v>0</v>
      </c>
    </row>
    <row r="10" spans="2:20" x14ac:dyDescent="0.2">
      <c r="C10" s="318" t="str">
        <f>'CF (Equity, Debt)'!C8</f>
        <v>Flyr Inc</v>
      </c>
      <c r="D10" s="35" t="s">
        <v>158</v>
      </c>
      <c r="E10" s="31">
        <f>'CF (Equity, Debt)'!D8</f>
        <v>43570</v>
      </c>
      <c r="F10" s="31" t="str">
        <f t="shared" si="0"/>
        <v>Q2 2019</v>
      </c>
      <c r="G10" s="39">
        <f>'CF (Equity, Debt)'!E8</f>
        <v>-4.9999980900000001</v>
      </c>
      <c r="H10" s="39">
        <f>'CF (Equity, Debt)'!F8</f>
        <v>0</v>
      </c>
      <c r="J10" s="29" t="s">
        <v>192</v>
      </c>
      <c r="K10" s="190">
        <f t="shared" si="1"/>
        <v>0</v>
      </c>
      <c r="L10" s="190">
        <f t="shared" si="2"/>
        <v>0</v>
      </c>
      <c r="M10" s="190">
        <f t="shared" si="3"/>
        <v>0</v>
      </c>
      <c r="N10" s="190">
        <f t="shared" ca="1" si="4"/>
        <v>0</v>
      </c>
      <c r="P10" s="29" t="s">
        <v>192</v>
      </c>
      <c r="Q10" s="190">
        <f t="shared" si="5"/>
        <v>0</v>
      </c>
      <c r="R10" s="190">
        <f t="shared" si="6"/>
        <v>0</v>
      </c>
      <c r="S10" s="190">
        <f t="shared" si="7"/>
        <v>0</v>
      </c>
      <c r="T10" s="190">
        <f t="shared" ca="1" si="8"/>
        <v>0</v>
      </c>
    </row>
    <row r="11" spans="2:20" x14ac:dyDescent="0.2">
      <c r="C11" s="318" t="str">
        <f>'CF (Equity, Debt)'!C9</f>
        <v>Flyr Inc</v>
      </c>
      <c r="D11" s="35" t="s">
        <v>158</v>
      </c>
      <c r="E11" s="31">
        <f>'CF (Equity, Debt)'!D9</f>
        <v>43915</v>
      </c>
      <c r="F11" s="31" t="str">
        <f t="shared" si="0"/>
        <v>Q1 2020</v>
      </c>
      <c r="G11" s="39">
        <f>'CF (Equity, Debt)'!E9</f>
        <v>-5.0000019099999999</v>
      </c>
      <c r="H11" s="39">
        <f>'CF (Equity, Debt)'!F9</f>
        <v>0</v>
      </c>
      <c r="J11" s="29" t="s">
        <v>193</v>
      </c>
      <c r="K11" s="190">
        <f t="shared" si="1"/>
        <v>75.609443209619357</v>
      </c>
      <c r="L11" s="190">
        <f t="shared" si="2"/>
        <v>0</v>
      </c>
      <c r="M11" s="190">
        <f t="shared" si="3"/>
        <v>9.5097500000000004</v>
      </c>
      <c r="N11" s="190">
        <f t="shared" ca="1" si="4"/>
        <v>85.119193209619354</v>
      </c>
      <c r="P11" s="29" t="s">
        <v>193</v>
      </c>
      <c r="Q11" s="190">
        <f t="shared" si="5"/>
        <v>0</v>
      </c>
      <c r="R11" s="190">
        <f t="shared" si="6"/>
        <v>0</v>
      </c>
      <c r="S11" s="190">
        <f t="shared" si="7"/>
        <v>0</v>
      </c>
      <c r="T11" s="190">
        <f t="shared" ca="1" si="8"/>
        <v>0</v>
      </c>
    </row>
    <row r="12" spans="2:20" x14ac:dyDescent="0.2">
      <c r="C12" s="319" t="str">
        <f>'CF (Equity, Debt)'!C10</f>
        <v xml:space="preserve">Esyasoft Holding </v>
      </c>
      <c r="D12" s="36" t="s">
        <v>158</v>
      </c>
      <c r="E12" s="33">
        <f>'CF (Equity, Debt)'!D10</f>
        <v>43870</v>
      </c>
      <c r="F12" s="33" t="str">
        <f t="shared" si="0"/>
        <v>Q1 2020</v>
      </c>
      <c r="G12" s="40">
        <f>'CF (Equity, Debt)'!E10</f>
        <v>-2.5</v>
      </c>
      <c r="H12" s="40">
        <f>'CF (Equity, Debt)'!F10</f>
        <v>0</v>
      </c>
      <c r="J12" s="29" t="s">
        <v>194</v>
      </c>
      <c r="K12" s="190">
        <f t="shared" si="1"/>
        <v>142.12003795060357</v>
      </c>
      <c r="L12" s="190">
        <f t="shared" si="2"/>
        <v>0</v>
      </c>
      <c r="M12" s="190">
        <f t="shared" si="3"/>
        <v>45.784999999999997</v>
      </c>
      <c r="N12" s="190">
        <f t="shared" ca="1" si="4"/>
        <v>187.90503795060357</v>
      </c>
      <c r="P12" s="29" t="s">
        <v>194</v>
      </c>
      <c r="Q12" s="190">
        <f t="shared" si="5"/>
        <v>0</v>
      </c>
      <c r="R12" s="190">
        <f t="shared" si="6"/>
        <v>0</v>
      </c>
      <c r="S12" s="190">
        <f t="shared" si="7"/>
        <v>0</v>
      </c>
      <c r="T12" s="190">
        <f t="shared" ca="1" si="8"/>
        <v>0</v>
      </c>
    </row>
    <row r="13" spans="2:20" x14ac:dyDescent="0.2">
      <c r="C13" s="318" t="str">
        <f>'CF (Equity, Debt)'!C11</f>
        <v>Beyond Limits</v>
      </c>
      <c r="D13" s="35" t="s">
        <v>158</v>
      </c>
      <c r="E13" s="31">
        <f>'CF (Equity, Debt)'!D11</f>
        <v>43879</v>
      </c>
      <c r="F13" s="31" t="str">
        <f t="shared" si="0"/>
        <v>Q1 2020</v>
      </c>
      <c r="G13" s="39">
        <f>'CF (Equity, Debt)'!E11</f>
        <v>-20</v>
      </c>
      <c r="H13" s="39">
        <f>'CF (Equity, Debt)'!F11</f>
        <v>0</v>
      </c>
      <c r="J13" s="29" t="s">
        <v>195</v>
      </c>
      <c r="K13" s="190">
        <f t="shared" si="1"/>
        <v>10</v>
      </c>
      <c r="L13" s="190">
        <f t="shared" si="2"/>
        <v>0</v>
      </c>
      <c r="M13" s="190">
        <f t="shared" si="3"/>
        <v>23.623435349941179</v>
      </c>
      <c r="N13" s="190">
        <f t="shared" ca="1" si="4"/>
        <v>33.623435349941175</v>
      </c>
      <c r="P13" s="29" t="s">
        <v>195</v>
      </c>
      <c r="Q13" s="190">
        <f t="shared" si="5"/>
        <v>0</v>
      </c>
      <c r="R13" s="190">
        <f t="shared" si="6"/>
        <v>0</v>
      </c>
      <c r="S13" s="190">
        <f t="shared" si="7"/>
        <v>0</v>
      </c>
      <c r="T13" s="190">
        <f t="shared" ca="1" si="8"/>
        <v>0</v>
      </c>
    </row>
    <row r="14" spans="2:20" x14ac:dyDescent="0.2">
      <c r="C14" s="318" t="str">
        <f>'CF (Equity, Debt)'!C12</f>
        <v>Beyond Limits</v>
      </c>
      <c r="D14" s="35" t="s">
        <v>158</v>
      </c>
      <c r="E14" s="31">
        <f>'CF (Equity, Debt)'!D12</f>
        <v>43921</v>
      </c>
      <c r="F14" s="31" t="str">
        <f t="shared" si="0"/>
        <v>Q1 2020</v>
      </c>
      <c r="G14" s="39">
        <f>'CF (Equity, Debt)'!E12</f>
        <v>-30</v>
      </c>
      <c r="H14" s="39">
        <f>'CF (Equity, Debt)'!F12</f>
        <v>0</v>
      </c>
      <c r="J14" s="29" t="s">
        <v>196</v>
      </c>
      <c r="K14" s="190">
        <f t="shared" si="1"/>
        <v>60</v>
      </c>
      <c r="L14" s="190">
        <f t="shared" si="2"/>
        <v>0</v>
      </c>
      <c r="M14" s="190">
        <f t="shared" si="3"/>
        <v>9.4822930000000021</v>
      </c>
      <c r="N14" s="190">
        <f t="shared" ca="1" si="4"/>
        <v>69.482292999999999</v>
      </c>
      <c r="P14" s="29" t="s">
        <v>196</v>
      </c>
      <c r="Q14" s="190">
        <f t="shared" si="5"/>
        <v>0</v>
      </c>
      <c r="R14" s="190">
        <f t="shared" si="6"/>
        <v>0</v>
      </c>
      <c r="S14" s="190">
        <f t="shared" si="7"/>
        <v>0.58290199999999992</v>
      </c>
      <c r="T14" s="190">
        <f t="shared" ca="1" si="8"/>
        <v>0.58290199999999992</v>
      </c>
    </row>
    <row r="15" spans="2:20" x14ac:dyDescent="0.2">
      <c r="C15" s="318" t="str">
        <f>'CF (Equity, Debt)'!C13</f>
        <v>Beyond Limits</v>
      </c>
      <c r="D15" s="35" t="s">
        <v>158</v>
      </c>
      <c r="E15" s="31">
        <f>'CF (Equity, Debt)'!D13</f>
        <v>43989</v>
      </c>
      <c r="F15" s="31" t="str">
        <f t="shared" si="0"/>
        <v>Q2 2020</v>
      </c>
      <c r="G15" s="39">
        <f>'CF (Equity, Debt)'!E13</f>
        <v>-30</v>
      </c>
      <c r="H15" s="39">
        <f>'CF (Equity, Debt)'!F13</f>
        <v>0</v>
      </c>
      <c r="J15" s="29" t="s">
        <v>197</v>
      </c>
      <c r="K15" s="190">
        <f t="shared" si="1"/>
        <v>0</v>
      </c>
      <c r="L15" s="190">
        <f t="shared" si="2"/>
        <v>0</v>
      </c>
      <c r="M15" s="190">
        <f t="shared" si="3"/>
        <v>1.0845116099999996</v>
      </c>
      <c r="N15" s="190">
        <f t="shared" ca="1" si="4"/>
        <v>1.0845116099999996</v>
      </c>
      <c r="P15" s="29" t="s">
        <v>197</v>
      </c>
      <c r="Q15" s="190">
        <f t="shared" si="5"/>
        <v>0</v>
      </c>
      <c r="R15" s="190">
        <f t="shared" si="6"/>
        <v>0</v>
      </c>
      <c r="S15" s="190">
        <f t="shared" si="7"/>
        <v>7.6348349999999995E-2</v>
      </c>
      <c r="T15" s="190">
        <f t="shared" ca="1" si="8"/>
        <v>7.6348349999999995E-2</v>
      </c>
    </row>
    <row r="16" spans="2:20" x14ac:dyDescent="0.2">
      <c r="C16" s="318" t="str">
        <f>'CF (Equity, Debt)'!C14</f>
        <v>Beyond Limits</v>
      </c>
      <c r="D16" s="35" t="s">
        <v>158</v>
      </c>
      <c r="E16" s="31">
        <f>'CF (Equity, Debt)'!D14</f>
        <v>44103</v>
      </c>
      <c r="F16" s="31" t="str">
        <f t="shared" si="0"/>
        <v>Q3 2020</v>
      </c>
      <c r="G16" s="39">
        <f>'CF (Equity, Debt)'!E14</f>
        <v>-10</v>
      </c>
      <c r="H16" s="39">
        <f>'CF (Equity, Debt)'!F14</f>
        <v>0</v>
      </c>
      <c r="J16" s="29" t="s">
        <v>198</v>
      </c>
      <c r="K16" s="190">
        <f t="shared" si="1"/>
        <v>31.240780424143558</v>
      </c>
      <c r="L16" s="190">
        <f t="shared" si="2"/>
        <v>2.3539819999999998</v>
      </c>
      <c r="M16" s="190">
        <f t="shared" si="3"/>
        <v>6.1810318199999994</v>
      </c>
      <c r="N16" s="190">
        <f t="shared" ca="1" si="4"/>
        <v>39.775794244143562</v>
      </c>
      <c r="P16" s="29" t="s">
        <v>198</v>
      </c>
      <c r="Q16" s="190">
        <f t="shared" si="5"/>
        <v>0</v>
      </c>
      <c r="R16" s="190">
        <f t="shared" si="6"/>
        <v>0</v>
      </c>
      <c r="S16" s="190">
        <f t="shared" si="7"/>
        <v>0</v>
      </c>
      <c r="T16" s="190">
        <f t="shared" ca="1" si="8"/>
        <v>0</v>
      </c>
    </row>
    <row r="17" spans="3:20" x14ac:dyDescent="0.2">
      <c r="C17" s="319" t="str">
        <f>'CF (Equity, Debt)'!C15</f>
        <v>ONT plc</v>
      </c>
      <c r="D17" s="36" t="s">
        <v>158</v>
      </c>
      <c r="E17" s="33">
        <f>'CF (Equity, Debt)'!D15</f>
        <v>43968</v>
      </c>
      <c r="F17" s="33" t="str">
        <f t="shared" si="0"/>
        <v>Q2 2020</v>
      </c>
      <c r="G17" s="40">
        <f>'CF (Equity, Debt)'!E15</f>
        <v>-50</v>
      </c>
      <c r="H17" s="40">
        <f>'CF (Equity, Debt)'!F15</f>
        <v>0</v>
      </c>
      <c r="J17" s="29" t="s">
        <v>199</v>
      </c>
      <c r="K17" s="190">
        <f t="shared" si="1"/>
        <v>0</v>
      </c>
      <c r="L17" s="190">
        <f t="shared" si="2"/>
        <v>0.41176499999999999</v>
      </c>
      <c r="M17" s="190">
        <f t="shared" si="3"/>
        <v>0.98965473139999993</v>
      </c>
      <c r="N17" s="190">
        <f t="shared" ca="1" si="4"/>
        <v>1.4014197313999999</v>
      </c>
      <c r="P17" s="29" t="s">
        <v>199</v>
      </c>
      <c r="Q17" s="190">
        <f t="shared" si="5"/>
        <v>0</v>
      </c>
      <c r="R17" s="190">
        <f t="shared" si="6"/>
        <v>0</v>
      </c>
      <c r="S17" s="190">
        <f t="shared" si="7"/>
        <v>0.44505899999999998</v>
      </c>
      <c r="T17" s="190">
        <f t="shared" ca="1" si="8"/>
        <v>0.44505899999999998</v>
      </c>
    </row>
    <row r="18" spans="3:20" x14ac:dyDescent="0.2">
      <c r="C18" s="319" t="str">
        <f>'CF (Equity, Debt)'!C16</f>
        <v>ONT plc</v>
      </c>
      <c r="D18" s="36" t="s">
        <v>158</v>
      </c>
      <c r="E18" s="33">
        <f>'CF (Equity, Debt)'!D16</f>
        <v>44006</v>
      </c>
      <c r="F18" s="33" t="str">
        <f t="shared" si="0"/>
        <v>Q2 2020</v>
      </c>
      <c r="G18" s="40">
        <f>'CF (Equity, Debt)'!E16</f>
        <v>-27.268350856443721</v>
      </c>
      <c r="H18" s="40">
        <f>'CF (Equity, Debt)'!F16</f>
        <v>0</v>
      </c>
      <c r="J18" s="29" t="s">
        <v>200</v>
      </c>
      <c r="K18" s="190">
        <f t="shared" si="1"/>
        <v>48.023703558477429</v>
      </c>
      <c r="L18" s="190">
        <f t="shared" si="2"/>
        <v>0</v>
      </c>
      <c r="M18" s="190">
        <f t="shared" si="3"/>
        <v>11.90173089</v>
      </c>
      <c r="N18" s="190">
        <f t="shared" ca="1" si="4"/>
        <v>59.925434448477432</v>
      </c>
      <c r="P18" s="29" t="s">
        <v>200</v>
      </c>
      <c r="Q18" s="190">
        <f t="shared" si="5"/>
        <v>0</v>
      </c>
      <c r="R18" s="190">
        <f t="shared" si="6"/>
        <v>0</v>
      </c>
      <c r="S18" s="190">
        <f t="shared" si="7"/>
        <v>0.13969399999999998</v>
      </c>
      <c r="T18" s="190">
        <f t="shared" ca="1" si="8"/>
        <v>0.13969399999999998</v>
      </c>
    </row>
    <row r="19" spans="3:20" x14ac:dyDescent="0.2">
      <c r="C19" s="319" t="str">
        <f>'CF (Equity, Debt)'!C17</f>
        <v>ONT plc</v>
      </c>
      <c r="D19" s="36" t="s">
        <v>158</v>
      </c>
      <c r="E19" s="33">
        <f>'CF (Equity, Debt)'!D17</f>
        <v>43837</v>
      </c>
      <c r="F19" s="33" t="str">
        <f t="shared" si="0"/>
        <v>Q1 2020</v>
      </c>
      <c r="G19" s="40">
        <f>'CF (Equity, Debt)'!E17</f>
        <v>-18.109441299619355</v>
      </c>
      <c r="H19" s="40">
        <f>'CF (Equity, Debt)'!F17</f>
        <v>0</v>
      </c>
      <c r="J19" s="29" t="s">
        <v>201</v>
      </c>
      <c r="K19" s="190">
        <f t="shared" si="1"/>
        <v>693.50095620000002</v>
      </c>
      <c r="L19" s="190">
        <f t="shared" si="2"/>
        <v>0</v>
      </c>
      <c r="M19" s="190">
        <f t="shared" si="3"/>
        <v>3.6664358494</v>
      </c>
      <c r="N19" s="190">
        <f t="shared" ca="1" si="4"/>
        <v>697.16739204940006</v>
      </c>
      <c r="P19" s="29" t="s">
        <v>201</v>
      </c>
      <c r="Q19" s="190">
        <f t="shared" si="5"/>
        <v>0</v>
      </c>
      <c r="R19" s="190">
        <f t="shared" si="6"/>
        <v>0</v>
      </c>
      <c r="S19" s="190">
        <f t="shared" si="7"/>
        <v>0</v>
      </c>
      <c r="T19" s="190">
        <f t="shared" ca="1" si="8"/>
        <v>0</v>
      </c>
    </row>
    <row r="20" spans="3:20" x14ac:dyDescent="0.2">
      <c r="C20" s="319" t="str">
        <f>'CF (Equity, Debt)'!C18</f>
        <v>ONT plc</v>
      </c>
      <c r="D20" s="36" t="s">
        <v>158</v>
      </c>
      <c r="E20" s="33">
        <f>'CF (Equity, Debt)'!D18</f>
        <v>43990</v>
      </c>
      <c r="F20" s="33" t="str">
        <f t="shared" si="0"/>
        <v>Q2 2020</v>
      </c>
      <c r="G20" s="40">
        <f>'CF (Equity, Debt)'!E18</f>
        <v>-34.851687094159864</v>
      </c>
      <c r="H20" s="40">
        <f>'CF (Equity, Debt)'!F18</f>
        <v>0</v>
      </c>
      <c r="J20" s="29" t="s">
        <v>202</v>
      </c>
      <c r="K20" s="190">
        <f t="shared" si="1"/>
        <v>112.5</v>
      </c>
      <c r="L20" s="190">
        <f t="shared" si="2"/>
        <v>0</v>
      </c>
      <c r="M20" s="190">
        <f t="shared" si="3"/>
        <v>19.740976</v>
      </c>
      <c r="N20" s="190">
        <f t="shared" ca="1" si="4"/>
        <v>132.24097599999999</v>
      </c>
      <c r="P20" s="29" t="s">
        <v>202</v>
      </c>
      <c r="Q20" s="190">
        <f t="shared" si="5"/>
        <v>5</v>
      </c>
      <c r="R20" s="190">
        <f t="shared" si="6"/>
        <v>0</v>
      </c>
      <c r="S20" s="190">
        <f t="shared" si="7"/>
        <v>0.22778599999999999</v>
      </c>
      <c r="T20" s="190">
        <f t="shared" ca="1" si="8"/>
        <v>5.227786</v>
      </c>
    </row>
    <row r="21" spans="3:20" x14ac:dyDescent="0.2">
      <c r="C21" s="319" t="str">
        <f>'CF (Equity, Debt)'!C19</f>
        <v>ONT plc</v>
      </c>
      <c r="D21" s="36" t="s">
        <v>158</v>
      </c>
      <c r="E21" s="33">
        <f>'CF (Equity, Debt)'!D19</f>
        <v>44315</v>
      </c>
      <c r="F21" s="33" t="str">
        <f t="shared" si="0"/>
        <v>Q2 2021</v>
      </c>
      <c r="G21" s="40">
        <f>'CF (Equity, Debt)'!E19</f>
        <v>-11.240780424143557</v>
      </c>
      <c r="H21" s="40">
        <f>'CF (Equity, Debt)'!F19</f>
        <v>0</v>
      </c>
      <c r="J21" s="29" t="s">
        <v>203</v>
      </c>
      <c r="K21" s="190">
        <f t="shared" si="1"/>
        <v>600</v>
      </c>
      <c r="L21" s="190">
        <f t="shared" si="2"/>
        <v>0</v>
      </c>
      <c r="M21" s="190">
        <f t="shared" si="3"/>
        <v>3.2202683433999999</v>
      </c>
      <c r="N21" s="190">
        <f t="shared" ca="1" si="4"/>
        <v>603.22026834339999</v>
      </c>
      <c r="P21" s="29" t="s">
        <v>203</v>
      </c>
      <c r="Q21" s="190">
        <f t="shared" si="5"/>
        <v>0</v>
      </c>
      <c r="R21" s="190">
        <f t="shared" si="6"/>
        <v>0</v>
      </c>
      <c r="S21" s="190">
        <f t="shared" si="7"/>
        <v>0</v>
      </c>
      <c r="T21" s="190">
        <f t="shared" ca="1" si="8"/>
        <v>0</v>
      </c>
    </row>
    <row r="22" spans="3:20" x14ac:dyDescent="0.2">
      <c r="C22" s="318" t="str">
        <f>'CF (Equity, Debt)'!C20</f>
        <v>Heygears</v>
      </c>
      <c r="D22" s="35" t="s">
        <v>158</v>
      </c>
      <c r="E22" s="31">
        <f>'CF (Equity, Debt)'!D20</f>
        <v>44166</v>
      </c>
      <c r="F22" s="31" t="str">
        <f t="shared" si="0"/>
        <v>Q4 2020</v>
      </c>
      <c r="G22" s="39">
        <f>'CF (Equity, Debt)'!E20</f>
        <v>-60</v>
      </c>
      <c r="H22" s="39">
        <f>'CF (Equity, Debt)'!F20</f>
        <v>0</v>
      </c>
      <c r="J22" s="29" t="s">
        <v>272</v>
      </c>
      <c r="K22" s="190">
        <f t="shared" ref="K22" si="9">-SUMIFS($G$5:$G$125,$D$5:$D$125,$K$5,$F$5:$F$125,J22)</f>
        <v>219.75</v>
      </c>
      <c r="L22" s="190">
        <f t="shared" ref="L22" si="10">-SUMIFS($G$5:$G$125,$D$5:$D$125,$L$5,$F$5:$F$125,J22)</f>
        <v>0</v>
      </c>
      <c r="M22" s="190">
        <f t="shared" ref="M22" si="11">-SUMIFS($G$5:$G$125,$D$5:$D$125,"Fund",$F$5:$F$125,J22)</f>
        <v>3.3882749999999997</v>
      </c>
      <c r="N22" s="190">
        <f t="shared" ca="1" si="4"/>
        <v>223.13827499999999</v>
      </c>
      <c r="P22" s="29" t="s">
        <v>272</v>
      </c>
      <c r="Q22" s="190">
        <f t="shared" ref="Q22" si="12">SUMIFS($H$5:$H$125,$D$5:$D$125,$Q$5,$F$5:$F$125,J22)</f>
        <v>0</v>
      </c>
      <c r="R22" s="190">
        <f t="shared" ref="R22" si="13">SUMIFS($H$5:$H$125,$D$5:$D$125,$R$5,$F$5:$F$125,J22)</f>
        <v>0.47078465000000003</v>
      </c>
      <c r="S22" s="190">
        <f t="shared" ref="S22" si="14">SUMIFS($H$5:$H$125,$D$5:$D$125,$S$5,$F$5:$F$125,J22)</f>
        <v>0</v>
      </c>
      <c r="T22" s="190">
        <f t="shared" ca="1" si="8"/>
        <v>0.47078465000000003</v>
      </c>
    </row>
    <row r="23" spans="3:20" x14ac:dyDescent="0.2">
      <c r="C23" s="319" t="str">
        <f>'CF (Equity, Debt)'!C21</f>
        <v>Jysan Technologies</v>
      </c>
      <c r="D23" s="36" t="s">
        <v>158</v>
      </c>
      <c r="E23" s="33">
        <f>'CF (Equity, Debt)'!D21</f>
        <v>44363</v>
      </c>
      <c r="F23" s="33" t="str">
        <f t="shared" si="0"/>
        <v>Q2 2021</v>
      </c>
      <c r="G23" s="40">
        <f>'CF (Equity, Debt)'!E21</f>
        <v>-20</v>
      </c>
      <c r="H23" s="40">
        <f>'CF (Equity, Debt)'!F21</f>
        <v>0</v>
      </c>
      <c r="J23" s="29" t="s">
        <v>356</v>
      </c>
      <c r="K23" s="190">
        <f t="shared" ref="K23" si="15">-SUMIFS($G$5:$G$125,$D$5:$D$125,$K$5,$F$5:$F$125,J23)</f>
        <v>12.03125</v>
      </c>
      <c r="L23" s="190">
        <f t="shared" ref="L23" si="16">-SUMIFS($G$5:$G$125,$D$5:$D$125,$L$5,$F$5:$F$125,J23)</f>
        <v>0</v>
      </c>
      <c r="M23" s="190">
        <f t="shared" ref="M23" si="17">-SUMIFS($G$5:$G$125,$D$5:$D$125,"Fund",$F$5:$F$125,J23)</f>
        <v>-7.9223880896699992</v>
      </c>
      <c r="N23" s="190">
        <f t="shared" ca="1" si="4"/>
        <v>4.1088619103300008</v>
      </c>
      <c r="P23" s="29" t="s">
        <v>356</v>
      </c>
      <c r="Q23" s="190">
        <f t="shared" ref="Q23" si="18">SUMIFS($H$5:$H$125,$D$5:$D$125,$Q$5,$F$5:$F$125,J23)</f>
        <v>0</v>
      </c>
      <c r="R23" s="190">
        <f t="shared" ref="R23" si="19">SUMIFS($H$5:$H$125,$D$5:$D$125,$R$5,$F$5:$F$125,J23)</f>
        <v>0</v>
      </c>
      <c r="S23" s="190">
        <f t="shared" ref="S23" si="20">SUMIFS($H$5:$H$125,$D$5:$D$125,$S$5,$F$5:$F$125,J23)</f>
        <v>2.9557743514081998</v>
      </c>
      <c r="T23" s="190">
        <f t="shared" ca="1" si="8"/>
        <v>2.9557743514081998</v>
      </c>
    </row>
    <row r="24" spans="3:20" x14ac:dyDescent="0.2">
      <c r="C24" s="318" t="str">
        <f>'CF (Equity, Debt)'!C22</f>
        <v>Cerebras Systems Inc</v>
      </c>
      <c r="D24" s="35" t="s">
        <v>158</v>
      </c>
      <c r="E24" s="31">
        <f>'CF (Equity, Debt)'!D22</f>
        <v>44488</v>
      </c>
      <c r="F24" s="31" t="str">
        <f t="shared" si="0"/>
        <v>Q4 2021</v>
      </c>
      <c r="G24" s="39">
        <f>'CF (Equity, Debt)'!E22</f>
        <v>-39.999983359999995</v>
      </c>
      <c r="H24" s="39">
        <f>'CF (Equity, Debt)'!F22</f>
        <v>0</v>
      </c>
      <c r="J24" s="29" t="s">
        <v>394</v>
      </c>
      <c r="K24" s="190">
        <f t="shared" ref="K24" si="21">-SUMIFS($G$5:$G$125,$D$5:$D$125,$K$5,$F$5:$F$125,J24)</f>
        <v>15.005873939999999</v>
      </c>
      <c r="L24" s="190">
        <f t="shared" ref="L24" si="22">-SUMIFS($G$5:$G$125,$D$5:$D$125,$L$5,$F$5:$F$125,J24)</f>
        <v>0</v>
      </c>
      <c r="M24" s="190">
        <f t="shared" ref="M24" si="23">-SUMIFS($G$5:$G$125,$D$5:$D$125,"Fund",$F$5:$F$125,J24)</f>
        <v>-1.9125570000000001</v>
      </c>
      <c r="N24" s="190">
        <f t="shared" ca="1" si="4"/>
        <v>13.093316939999999</v>
      </c>
      <c r="P24" s="29" t="s">
        <v>394</v>
      </c>
      <c r="Q24" s="190">
        <f t="shared" ref="Q24" si="24">SUMIFS($H$5:$H$125,$D$5:$D$125,$Q$5,$F$5:$F$125,J24)</f>
        <v>0</v>
      </c>
      <c r="R24" s="190">
        <f t="shared" ref="R24" si="25">SUMIFS($H$5:$H$125,$D$5:$D$125,$R$5,$F$5:$F$125,J24)</f>
        <v>0</v>
      </c>
      <c r="S24" s="190">
        <f t="shared" ref="S24" si="26">SUMIFS($H$5:$H$125,$D$5:$D$125,$S$5,$F$5:$F$125,J24)</f>
        <v>0</v>
      </c>
      <c r="T24" s="190">
        <f t="shared" ca="1" si="8"/>
        <v>0</v>
      </c>
    </row>
    <row r="25" spans="3:20" x14ac:dyDescent="0.2">
      <c r="C25" s="319" t="str">
        <f>'CF (Equity, Debt)'!C23</f>
        <v>Endless Studios LLC</v>
      </c>
      <c r="D25" s="36" t="s">
        <v>158</v>
      </c>
      <c r="E25" s="33">
        <f>'CF (Equity, Debt)'!D23</f>
        <v>44494</v>
      </c>
      <c r="F25" s="33" t="str">
        <f t="shared" si="0"/>
        <v>Q4 2021</v>
      </c>
      <c r="G25" s="40">
        <f>'CF (Equity, Debt)'!E23</f>
        <v>-3</v>
      </c>
      <c r="H25" s="40">
        <f>'CF (Equity, Debt)'!F23</f>
        <v>0</v>
      </c>
      <c r="J25" s="29" t="s">
        <v>457</v>
      </c>
      <c r="K25" s="190">
        <f t="shared" ref="K25" si="27">-SUMIFS($G$5:$G$125,$D$5:$D$125,$K$5,$F$5:$F$125,J25)</f>
        <v>13.750999999999999</v>
      </c>
      <c r="L25" s="190">
        <f t="shared" ref="L25" si="28">-SUMIFS($G$5:$G$125,$D$5:$D$125,$L$5,$F$5:$F$125,J25)</f>
        <v>0</v>
      </c>
      <c r="M25" s="190">
        <f t="shared" ref="M25" si="29">-SUMIFS($G$5:$G$125,$D$5:$D$125,"Fund",$F$5:$F$125,J25)</f>
        <v>1.7991220000000001</v>
      </c>
      <c r="N25" s="190">
        <f t="shared" ca="1" si="4"/>
        <v>15.550122</v>
      </c>
      <c r="P25" s="29" t="s">
        <v>394</v>
      </c>
      <c r="Q25" s="190">
        <f t="shared" ref="Q25" si="30">SUMIFS($H$5:$H$125,$D$5:$D$125,$Q$5,$F$5:$F$125,J25)</f>
        <v>32.320776099999996</v>
      </c>
      <c r="R25" s="190">
        <f t="shared" ref="R25" si="31">SUMIFS($H$5:$H$125,$D$5:$D$125,$R$5,$F$5:$F$125,J25)</f>
        <v>0</v>
      </c>
      <c r="S25" s="190">
        <f t="shared" ref="S25" si="32">SUMIFS($H$5:$H$125,$D$5:$D$125,$S$5,$F$5:$F$125,J25)</f>
        <v>0</v>
      </c>
      <c r="T25" s="190">
        <f t="shared" ca="1" si="8"/>
        <v>32.320776099999996</v>
      </c>
    </row>
    <row r="26" spans="3:20" x14ac:dyDescent="0.2">
      <c r="C26" s="318" t="str">
        <f>'CF (Equity, Debt)'!C24</f>
        <v>Instadeep Limited</v>
      </c>
      <c r="D26" s="35" t="s">
        <v>158</v>
      </c>
      <c r="E26" s="31">
        <f>'CF (Equity, Debt)'!D24</f>
        <v>44550</v>
      </c>
      <c r="F26" s="31" t="str">
        <f t="shared" si="0"/>
        <v>Q4 2021</v>
      </c>
      <c r="G26" s="39">
        <f>'CF (Equity, Debt)'!E24</f>
        <v>-5.0237201984774336</v>
      </c>
      <c r="H26" s="39">
        <f>'CF (Equity, Debt)'!F24</f>
        <v>0</v>
      </c>
      <c r="J26" s="29" t="s">
        <v>486</v>
      </c>
      <c r="K26" s="190">
        <f t="shared" ref="K26" si="33">-SUMIFS($G$5:$G$125,$D$5:$D$125,$K$5,$F$5:$F$125,J26)</f>
        <v>0</v>
      </c>
      <c r="L26" s="190">
        <f t="shared" ref="L26" si="34">-SUMIFS($G$5:$G$125,$D$5:$D$125,$L$5,$F$5:$F$125,J26)</f>
        <v>0</v>
      </c>
      <c r="M26" s="190">
        <f t="shared" ref="M26" si="35">-SUMIFS($G$5:$G$125,$D$5:$D$125,"Fund",$F$5:$F$125,J26)</f>
        <v>2.415861</v>
      </c>
      <c r="N26" s="190">
        <f t="shared" ca="1" si="4"/>
        <v>2.415861</v>
      </c>
      <c r="P26" s="29" t="s">
        <v>486</v>
      </c>
      <c r="Q26" s="190">
        <f t="shared" ref="Q26" si="36">SUMIFS($H$5:$H$125,$D$5:$D$125,$Q$5,$F$5:$F$125,J26)</f>
        <v>1205.9214164299999</v>
      </c>
      <c r="R26" s="190">
        <f t="shared" ref="R26" si="37">SUMIFS($H$5:$H$125,$D$5:$D$125,$R$5,$F$5:$F$125,J26)</f>
        <v>0</v>
      </c>
      <c r="S26" s="190">
        <f t="shared" ref="S26" si="38">SUMIFS($H$5:$H$125,$D$5:$D$125,$S$5,$F$5:$F$125,J26)</f>
        <v>0</v>
      </c>
      <c r="T26" s="190">
        <f t="shared" ca="1" si="8"/>
        <v>1205.9214164299999</v>
      </c>
    </row>
    <row r="27" spans="3:20" x14ac:dyDescent="0.2">
      <c r="C27" s="319" t="str">
        <f>'CF (Equity, Debt)'!C25</f>
        <v>X-fusion</v>
      </c>
      <c r="D27" s="36" t="s">
        <v>158</v>
      </c>
      <c r="E27" s="33">
        <f>'CF (Equity, Debt)'!D25</f>
        <v>44574</v>
      </c>
      <c r="F27" s="33" t="str">
        <f t="shared" si="0"/>
        <v>Q1 2022</v>
      </c>
      <c r="G27" s="40">
        <f>'CF (Equity, Debt)'!E25</f>
        <v>-493.50095619999996</v>
      </c>
      <c r="H27" s="40">
        <f>'CF (Equity, Debt)'!F25</f>
        <v>0</v>
      </c>
      <c r="J27" s="197" t="s">
        <v>57</v>
      </c>
      <c r="K27" s="198">
        <f>SUM(K7:K26)</f>
        <v>2111.5330433728441</v>
      </c>
      <c r="L27" s="198">
        <f t="shared" ref="L27:N27" si="39">SUM(L7:L26)</f>
        <v>10.765747000000001</v>
      </c>
      <c r="M27" s="198">
        <f t="shared" si="39"/>
        <v>135.95340050447118</v>
      </c>
      <c r="N27" s="198">
        <f t="shared" ca="1" si="39"/>
        <v>2258.2521908773151</v>
      </c>
      <c r="P27" s="197" t="s">
        <v>57</v>
      </c>
      <c r="Q27" s="198">
        <f>SUM(Q7:Q26)</f>
        <v>1243.24219253</v>
      </c>
      <c r="R27" s="198">
        <f t="shared" ref="R27:T27" si="40">SUM(R7:R26)</f>
        <v>0.47078465000000003</v>
      </c>
      <c r="S27" s="198">
        <f t="shared" si="40"/>
        <v>4.4275637014082001</v>
      </c>
      <c r="T27" s="198">
        <f t="shared" ca="1" si="40"/>
        <v>1248.140540881408</v>
      </c>
    </row>
    <row r="28" spans="3:20" x14ac:dyDescent="0.2">
      <c r="C28" s="318" t="str">
        <f>'CF (Equity, Debt)'!C26</f>
        <v>DriveNets</v>
      </c>
      <c r="D28" s="35" t="s">
        <v>158</v>
      </c>
      <c r="E28" s="31">
        <f>'CF (Equity, Debt)'!D26</f>
        <v>44643</v>
      </c>
      <c r="F28" s="31" t="str">
        <f t="shared" si="0"/>
        <v>Q1 2022</v>
      </c>
      <c r="G28" s="39">
        <f>'CF (Equity, Debt)'!E26</f>
        <v>-200</v>
      </c>
      <c r="H28" s="39">
        <f>'CF (Equity, Debt)'!F26</f>
        <v>0</v>
      </c>
      <c r="J28" s="34"/>
      <c r="K28" s="34" t="b">
        <f ca="1">K27='S | 01 '!K32</f>
        <v>0</v>
      </c>
      <c r="L28" s="34" t="b">
        <f>L27='S | 01 '!K38</f>
        <v>1</v>
      </c>
      <c r="M28" s="29" t="b">
        <f ca="1">M27='S | 01 '!K46</f>
        <v>0</v>
      </c>
      <c r="N28" s="29" t="b">
        <f ca="1">ROUND(N27,2)=ROUND('S | 01 '!K48,2)</f>
        <v>0</v>
      </c>
      <c r="Q28" s="34" t="b">
        <f ca="1">Q27='S | 01 '!M32</f>
        <v>1</v>
      </c>
      <c r="R28" s="34" t="b">
        <f>R27='S | 01 '!M38</f>
        <v>1</v>
      </c>
      <c r="S28" s="34" t="b">
        <f>S27='S | 01 '!M46</f>
        <v>0</v>
      </c>
      <c r="T28" s="29" t="b">
        <f ca="1">T27='S | 01 '!M48</f>
        <v>0</v>
      </c>
    </row>
    <row r="29" spans="3:20" x14ac:dyDescent="0.2">
      <c r="C29" s="318" t="str">
        <f>'CF (Equity, Debt)'!C27</f>
        <v>DriveNets</v>
      </c>
      <c r="D29" s="35" t="s">
        <v>158</v>
      </c>
      <c r="E29" s="31">
        <f>'CF (Equity, Debt)'!D27</f>
        <v>44680</v>
      </c>
      <c r="F29" s="31" t="str">
        <f t="shared" si="0"/>
        <v>Q2 2022</v>
      </c>
      <c r="G29" s="39">
        <f>'CF (Equity, Debt)'!E27</f>
        <v>-100</v>
      </c>
      <c r="H29" s="39">
        <f>'CF (Equity, Debt)'!F27</f>
        <v>0</v>
      </c>
    </row>
    <row r="30" spans="3:20" x14ac:dyDescent="0.2">
      <c r="C30" s="319" t="str">
        <f>'CF (Equity, Debt)'!C28</f>
        <v xml:space="preserve">Esyasoft Holding </v>
      </c>
      <c r="D30" s="36" t="s">
        <v>158</v>
      </c>
      <c r="E30" s="33">
        <f>'CF (Equity, Debt)'!D28</f>
        <v>44691</v>
      </c>
      <c r="F30" s="33" t="str">
        <f t="shared" si="0"/>
        <v>Q2 2022</v>
      </c>
      <c r="G30" s="40">
        <f>'CF (Equity, Debt)'!E28</f>
        <v>0</v>
      </c>
      <c r="H30" s="40">
        <f>'CF (Equity, Debt)'!F28</f>
        <v>5</v>
      </c>
      <c r="K30" s="433"/>
    </row>
    <row r="31" spans="3:20" x14ac:dyDescent="0.2">
      <c r="C31" s="319" t="str">
        <f>'CF (Equity, Debt)'!C29</f>
        <v>vTv Therapeutics Inc.</v>
      </c>
      <c r="D31" s="36" t="s">
        <v>158</v>
      </c>
      <c r="E31" s="33">
        <f>'CF (Equity, Debt)'!D29</f>
        <v>44712</v>
      </c>
      <c r="F31" s="33" t="str">
        <f t="shared" si="0"/>
        <v>Q2 2022</v>
      </c>
      <c r="G31" s="40">
        <f>'CF (Equity, Debt)'!E29</f>
        <v>-12.5</v>
      </c>
      <c r="H31" s="40">
        <f>'CF (Equity, Debt)'!F29</f>
        <v>0</v>
      </c>
    </row>
    <row r="32" spans="3:20" x14ac:dyDescent="0.2">
      <c r="C32" s="318" t="str">
        <f>'CF (Equity, Debt)'!C30</f>
        <v>Honor Device Co Ltd</v>
      </c>
      <c r="D32" s="35" t="s">
        <v>158</v>
      </c>
      <c r="E32" s="31">
        <f>'CF (Equity, Debt)'!D30</f>
        <v>44769</v>
      </c>
      <c r="F32" s="31" t="str">
        <f t="shared" si="0"/>
        <v>Q3 2022</v>
      </c>
      <c r="G32" s="39">
        <f>'CF (Equity, Debt)'!E30</f>
        <v>-600</v>
      </c>
      <c r="H32" s="39">
        <f>'CF (Equity, Debt)'!F30</f>
        <v>0</v>
      </c>
    </row>
    <row r="33" spans="3:8" x14ac:dyDescent="0.2">
      <c r="C33" s="318" t="str">
        <f>'CF (Equity, Debt)'!C31</f>
        <v>Honor Device Co Ltd</v>
      </c>
      <c r="D33" s="35" t="s">
        <v>158</v>
      </c>
      <c r="E33" s="31">
        <f>'CF (Equity, Debt)'!D31</f>
        <v>44849</v>
      </c>
      <c r="F33" s="31" t="str">
        <f t="shared" ref="F33" si="41">"Q"&amp;ROUNDUP(MONTH(E33)/3,0)&amp;" "&amp;YEAR(E33)</f>
        <v>Q4 2022</v>
      </c>
      <c r="G33" s="39">
        <f>'CF (Equity, Debt)'!E31</f>
        <v>-200</v>
      </c>
      <c r="H33" s="39">
        <f>'CF (Equity, Debt)'!F31</f>
        <v>0</v>
      </c>
    </row>
    <row r="34" spans="3:8" x14ac:dyDescent="0.2">
      <c r="C34" s="319" t="str">
        <f>'CF (Equity, Debt)'!C32</f>
        <v>Applied AI Corporation Limited</v>
      </c>
      <c r="D34" s="36" t="s">
        <v>158</v>
      </c>
      <c r="E34" s="33">
        <f>'CF (Equity, Debt)'!D32</f>
        <v>44861</v>
      </c>
      <c r="F34" s="33" t="str">
        <f t="shared" si="0"/>
        <v>Q4 2022</v>
      </c>
      <c r="G34" s="40">
        <f>'CF (Equity, Debt)'!E32</f>
        <v>-4.75</v>
      </c>
      <c r="H34" s="40">
        <f>'CF (Equity, Debt)'!F32</f>
        <v>0</v>
      </c>
    </row>
    <row r="35" spans="3:8" x14ac:dyDescent="0.2">
      <c r="C35" s="318" t="str">
        <f>'CF (Equity, Debt)'!C33</f>
        <v xml:space="preserve">eSpace </v>
      </c>
      <c r="D35" s="35" t="s">
        <v>158</v>
      </c>
      <c r="E35" s="31">
        <f>'CF (Equity, Debt)'!D33</f>
        <v>44892</v>
      </c>
      <c r="F35" s="31" t="str">
        <f t="shared" ref="F35" si="42">"Q"&amp;ROUNDUP(MONTH(E35)/3,0)&amp;" "&amp;YEAR(E35)</f>
        <v>Q4 2022</v>
      </c>
      <c r="G35" s="39">
        <f>'CF (Equity, Debt)'!E33</f>
        <v>-15</v>
      </c>
      <c r="H35" s="39">
        <f>'CF (Equity, Debt)'!F33</f>
        <v>0</v>
      </c>
    </row>
    <row r="36" spans="3:8" x14ac:dyDescent="0.2">
      <c r="C36" s="318" t="str">
        <f>'CF (Equity, Debt)'!C34</f>
        <v>vTv Therapeutics Inc.</v>
      </c>
      <c r="D36" s="35" t="s">
        <v>158</v>
      </c>
      <c r="E36" s="31">
        <f>'CF (Equity, Debt)'!D34</f>
        <v>44985</v>
      </c>
      <c r="F36" s="31" t="str">
        <f t="shared" ref="F36" si="43">"Q"&amp;ROUNDUP(MONTH(E36)/3,0)&amp;" "&amp;YEAR(E36)</f>
        <v>Q1 2023</v>
      </c>
      <c r="G36" s="39">
        <f>'CF (Equity, Debt)'!E34</f>
        <v>-12.03125</v>
      </c>
      <c r="H36" s="39">
        <f>'CF (Equity, Debt)'!F34</f>
        <v>0</v>
      </c>
    </row>
    <row r="37" spans="3:8" x14ac:dyDescent="0.2">
      <c r="C37" s="318" t="str">
        <f>'CF (Equity, Debt)'!C35</f>
        <v>Tools for Humanity Corporation</v>
      </c>
      <c r="D37" s="35" t="s">
        <v>158</v>
      </c>
      <c r="E37" s="31">
        <f>'CF (Equity, Debt)'!D35</f>
        <v>45075</v>
      </c>
      <c r="F37" s="31" t="str">
        <f t="shared" ref="F37" si="44">"Q"&amp;ROUNDUP(MONTH(E37)/3,0)&amp;" "&amp;YEAR(E37)</f>
        <v>Q2 2023</v>
      </c>
      <c r="G37" s="39">
        <f>'CF (Equity, Debt)'!E35</f>
        <v>-14.999998939999999</v>
      </c>
      <c r="H37" s="39">
        <f>'CF (Equity, Debt)'!F35</f>
        <v>0</v>
      </c>
    </row>
    <row r="38" spans="3:8" x14ac:dyDescent="0.2">
      <c r="C38" s="318" t="str">
        <f>'CF (Equity, Debt)'!C36</f>
        <v>WLD Tokens</v>
      </c>
      <c r="D38" s="35" t="s">
        <v>158</v>
      </c>
      <c r="E38" s="31">
        <f>'CF (Equity, Debt)'!D36</f>
        <v>45075</v>
      </c>
      <c r="F38" s="31" t="str">
        <f t="shared" ref="F38:F41" si="45">"Q"&amp;ROUNDUP(MONTH(E38)/3,0)&amp;" "&amp;YEAR(E38)</f>
        <v>Q2 2023</v>
      </c>
      <c r="G38" s="39">
        <f>'CF (Equity, Debt)'!E36</f>
        <v>-5.875E-3</v>
      </c>
      <c r="H38" s="39">
        <f>'CF (Equity, Debt)'!F36</f>
        <v>0</v>
      </c>
    </row>
    <row r="39" spans="3:8" x14ac:dyDescent="0.2">
      <c r="C39" s="318" t="str">
        <f>'CF (Equity, Debt)'!C37</f>
        <v>WLD Tokens</v>
      </c>
      <c r="D39" s="35" t="s">
        <v>158</v>
      </c>
      <c r="E39" s="31">
        <f>'CF (Equity, Debt)'!D37</f>
        <v>45114</v>
      </c>
      <c r="F39" s="31" t="str">
        <f t="shared" si="45"/>
        <v>Q3 2023</v>
      </c>
      <c r="G39" s="39">
        <f>'CF (Equity, Debt)'!E37</f>
        <v>-1E-3</v>
      </c>
      <c r="H39" s="39">
        <f>'CF (Equity, Debt)'!F37</f>
        <v>0</v>
      </c>
    </row>
    <row r="40" spans="3:8" x14ac:dyDescent="0.2">
      <c r="C40" s="318" t="str">
        <f>'CF (Equity, Debt)'!C38</f>
        <v>Applied AI Corporation Limited</v>
      </c>
      <c r="D40" s="35" t="s">
        <v>158</v>
      </c>
      <c r="E40" s="31">
        <f>'CF (Equity, Debt)'!D38</f>
        <v>45121</v>
      </c>
      <c r="F40" s="31" t="str">
        <f t="shared" si="45"/>
        <v>Q3 2023</v>
      </c>
      <c r="G40" s="39">
        <f>'CF (Equity, Debt)'!E38</f>
        <v>-2.75</v>
      </c>
      <c r="H40" s="39">
        <f>'CF (Equity, Debt)'!F38</f>
        <v>0</v>
      </c>
    </row>
    <row r="41" spans="3:8" x14ac:dyDescent="0.2">
      <c r="C41" s="318" t="str">
        <f>'CF (Equity, Debt)'!C39</f>
        <v>Instadeep Limited</v>
      </c>
      <c r="D41" s="35" t="s">
        <v>158</v>
      </c>
      <c r="E41" s="31">
        <f>'CF (Equity, Debt)'!D39</f>
        <v>45138</v>
      </c>
      <c r="F41" s="31" t="str">
        <f t="shared" si="45"/>
        <v>Q3 2023</v>
      </c>
      <c r="G41" s="39">
        <f>'CF (Equity, Debt)'!E39</f>
        <v>0</v>
      </c>
      <c r="H41" s="39">
        <f>'CF (Equity, Debt)'!F39</f>
        <v>7.8207760999999989</v>
      </c>
    </row>
    <row r="42" spans="3:8" x14ac:dyDescent="0.2">
      <c r="C42" s="318" t="str">
        <f>'CF (Equity, Debt)'!C40</f>
        <v>Jysan Technologies</v>
      </c>
      <c r="D42" s="35" t="s">
        <v>158</v>
      </c>
      <c r="E42" s="31">
        <f>'CF (Equity, Debt)'!D40</f>
        <v>45149</v>
      </c>
      <c r="F42" s="31" t="str">
        <f t="shared" ref="F42:F44" si="46">"Q"&amp;ROUNDUP(MONTH(E42)/3,0)&amp;" "&amp;YEAR(E42)</f>
        <v>Q3 2023</v>
      </c>
      <c r="G42" s="39">
        <f>'CF (Equity, Debt)'!E40</f>
        <v>0</v>
      </c>
      <c r="H42" s="39">
        <f>'CF (Equity, Debt)'!F40</f>
        <v>24.5</v>
      </c>
    </row>
    <row r="43" spans="3:8" x14ac:dyDescent="0.2">
      <c r="C43" s="318" t="str">
        <f>'CF (Equity, Debt)'!C41</f>
        <v>Endless Studios LLC</v>
      </c>
      <c r="D43" s="35" t="s">
        <v>158</v>
      </c>
      <c r="E43" s="31">
        <f>'CF (Equity, Debt)'!D41</f>
        <v>45167</v>
      </c>
      <c r="F43" s="31" t="str">
        <f t="shared" si="46"/>
        <v>Q3 2023</v>
      </c>
      <c r="G43" s="39">
        <f>'CF (Equity, Debt)'!E41</f>
        <v>-5</v>
      </c>
      <c r="H43" s="39">
        <f>'CF (Equity, Debt)'!F41</f>
        <v>0</v>
      </c>
    </row>
    <row r="44" spans="3:8" x14ac:dyDescent="0.2">
      <c r="C44" s="318" t="str">
        <f>'CF (Equity, Debt)'!C42</f>
        <v>E-line Ventures LLC</v>
      </c>
      <c r="D44" s="35" t="s">
        <v>158</v>
      </c>
      <c r="E44" s="31">
        <f>'CF (Equity, Debt)'!D42</f>
        <v>45167</v>
      </c>
      <c r="F44" s="31" t="str">
        <f t="shared" si="46"/>
        <v>Q3 2023</v>
      </c>
      <c r="G44" s="39">
        <f>'CF (Equity, Debt)'!E42</f>
        <v>-6</v>
      </c>
      <c r="H44" s="39">
        <f>'CF (Equity, Debt)'!F42</f>
        <v>0</v>
      </c>
    </row>
    <row r="45" spans="3:8" x14ac:dyDescent="0.2">
      <c r="C45" s="318" t="str">
        <f>'CF (Equity, Debt)'!C43</f>
        <v>Honor Device Co Ltd</v>
      </c>
      <c r="D45" s="35" t="s">
        <v>158</v>
      </c>
      <c r="E45" s="31">
        <f>'CF (Equity, Debt)'!D43</f>
        <v>45224</v>
      </c>
      <c r="F45" s="31" t="str">
        <f t="shared" ref="F45:F48" si="47">"Q"&amp;ROUNDUP(MONTH(E45)/3,0)&amp;" "&amp;YEAR(E45)</f>
        <v>Q4 2023</v>
      </c>
      <c r="G45" s="39">
        <f>'CF (Equity, Debt)'!E43</f>
        <v>0</v>
      </c>
      <c r="H45" s="39">
        <f>'CF (Equity, Debt)'!F43</f>
        <v>2.8</v>
      </c>
    </row>
    <row r="46" spans="3:8" x14ac:dyDescent="0.2">
      <c r="C46" s="318" t="str">
        <f>'CF (Equity, Debt)'!C44</f>
        <v>Honor Device Co Ltd</v>
      </c>
      <c r="D46" s="35" t="s">
        <v>158</v>
      </c>
      <c r="E46" s="31">
        <f>'CF (Equity, Debt)'!D44</f>
        <v>45224</v>
      </c>
      <c r="F46" s="31" t="str">
        <f t="shared" si="47"/>
        <v>Q4 2023</v>
      </c>
      <c r="G46" s="39">
        <f>'CF (Equity, Debt)'!E44</f>
        <v>0</v>
      </c>
      <c r="H46" s="39">
        <f>'CF (Equity, Debt)'!F44</f>
        <v>800</v>
      </c>
    </row>
    <row r="47" spans="3:8" x14ac:dyDescent="0.2">
      <c r="C47" s="318" t="str">
        <f>'CF (Equity, Debt)'!C45</f>
        <v>X-fusion</v>
      </c>
      <c r="D47" s="35" t="s">
        <v>158</v>
      </c>
      <c r="E47" s="31">
        <f>'CF (Equity, Debt)'!D45</f>
        <v>45224</v>
      </c>
      <c r="F47" s="31" t="str">
        <f t="shared" si="47"/>
        <v>Q4 2023</v>
      </c>
      <c r="G47" s="39">
        <f>'CF (Equity, Debt)'!E45</f>
        <v>0</v>
      </c>
      <c r="H47" s="39">
        <f>'CF (Equity, Debt)'!F45</f>
        <v>403</v>
      </c>
    </row>
    <row r="48" spans="3:8" x14ac:dyDescent="0.2">
      <c r="C48" s="318" t="str">
        <f>'CF (Equity, Debt)'!C46</f>
        <v>Instadeep Limited</v>
      </c>
      <c r="D48" s="35" t="s">
        <v>158</v>
      </c>
      <c r="E48" s="31">
        <f>'CF (Equity, Debt)'!D46</f>
        <v>45224</v>
      </c>
      <c r="F48" s="31" t="str">
        <f t="shared" si="47"/>
        <v>Q4 2023</v>
      </c>
      <c r="G48" s="39">
        <f>'CF (Equity, Debt)'!E46</f>
        <v>0</v>
      </c>
      <c r="H48" s="39">
        <f>'CF (Equity, Debt)'!F46</f>
        <v>0.12141643000000001</v>
      </c>
    </row>
    <row r="49" spans="2:8" x14ac:dyDescent="0.2">
      <c r="C49" s="318"/>
      <c r="D49" s="35"/>
      <c r="E49" s="31"/>
      <c r="F49" s="31"/>
      <c r="G49" s="39"/>
      <c r="H49" s="39"/>
    </row>
    <row r="50" spans="2:8" x14ac:dyDescent="0.2">
      <c r="B50" s="382" t="s">
        <v>44</v>
      </c>
      <c r="C50" s="378"/>
      <c r="D50" s="379"/>
      <c r="E50" s="380"/>
      <c r="F50" s="380"/>
      <c r="G50" s="381"/>
      <c r="H50" s="381"/>
    </row>
    <row r="51" spans="2:8" x14ac:dyDescent="0.2">
      <c r="C51" s="320" t="str">
        <f>'CF (Equity, Debt)'!C53</f>
        <v xml:space="preserve">Glass Earth Holdings LLC </v>
      </c>
      <c r="D51" s="188" t="s">
        <v>44</v>
      </c>
      <c r="E51" s="290">
        <f>'CF (Equity, Debt)'!D53</f>
        <v>43635</v>
      </c>
      <c r="F51" s="189" t="str">
        <f t="shared" ref="F51:F67" si="48">"Q"&amp;ROUNDUP(MONTH(E51)/3,0)&amp;" "&amp;YEAR(E51)</f>
        <v>Q2 2019</v>
      </c>
      <c r="G51" s="190">
        <f>'CF (Equity, Debt)'!E53</f>
        <v>-8</v>
      </c>
      <c r="H51" s="190">
        <f>'CF (Equity, Debt)'!F53</f>
        <v>0</v>
      </c>
    </row>
    <row r="52" spans="2:8" x14ac:dyDescent="0.2">
      <c r="C52" s="320" t="str">
        <f>'CF (Equity, Debt)'!C54</f>
        <v>Mena Mobile Inc (Debt)</v>
      </c>
      <c r="D52" s="188" t="s">
        <v>44</v>
      </c>
      <c r="E52" s="290">
        <f>'CF (Equity, Debt)'!D54</f>
        <v>44293</v>
      </c>
      <c r="F52" s="189" t="str">
        <f t="shared" si="48"/>
        <v>Q2 2021</v>
      </c>
      <c r="G52" s="190">
        <f>'CF (Equity, Debt)'!E54</f>
        <v>-2.3539819999999998</v>
      </c>
      <c r="H52" s="190">
        <f>'CF (Equity, Debt)'!F54</f>
        <v>0</v>
      </c>
    </row>
    <row r="53" spans="2:8" x14ac:dyDescent="0.2">
      <c r="C53" s="320" t="str">
        <f>'CF (Equity, Debt)'!C55</f>
        <v>Esyasoft Holding (Debt)</v>
      </c>
      <c r="D53" s="188" t="s">
        <v>44</v>
      </c>
      <c r="E53" s="290">
        <f>'CF (Equity, Debt)'!D55</f>
        <v>44384</v>
      </c>
      <c r="F53" s="189" t="str">
        <f t="shared" si="48"/>
        <v>Q3 2021</v>
      </c>
      <c r="G53" s="190">
        <f>'CF (Equity, Debt)'!E55</f>
        <v>-0.41176499999999999</v>
      </c>
      <c r="H53" s="190">
        <f>'CF (Equity, Debt)'!F55</f>
        <v>0</v>
      </c>
    </row>
    <row r="54" spans="2:8" x14ac:dyDescent="0.2">
      <c r="C54" s="320" t="str">
        <f>'CF (Equity, Debt)'!C56</f>
        <v>Esyasoft Holding (Debt)</v>
      </c>
      <c r="D54" s="188" t="s">
        <v>44</v>
      </c>
      <c r="E54" s="290">
        <f>'CF (Equity, Debt)'!D56</f>
        <v>44902</v>
      </c>
      <c r="F54" s="189" t="str">
        <f t="shared" ref="F54" si="49">"Q"&amp;ROUNDUP(MONTH(E54)/3,0)&amp;" "&amp;YEAR(E54)</f>
        <v>Q4 2022</v>
      </c>
      <c r="G54" s="190">
        <f>'CF (Equity, Debt)'!E56</f>
        <v>0</v>
      </c>
      <c r="H54" s="190">
        <f>'CF (Equity, Debt)'!F56</f>
        <v>0.47078465000000003</v>
      </c>
    </row>
    <row r="55" spans="2:8" x14ac:dyDescent="0.2">
      <c r="B55" s="382" t="s">
        <v>299</v>
      </c>
      <c r="C55" s="378"/>
      <c r="D55" s="379"/>
      <c r="E55" s="380"/>
      <c r="F55" s="380"/>
      <c r="G55" s="381"/>
      <c r="H55" s="381"/>
    </row>
    <row r="56" spans="2:8" x14ac:dyDescent="0.2">
      <c r="C56" s="320" t="str">
        <f>'CF (Funds)'!C4</f>
        <v>Sinovation Disrupt Fund, L.P.</v>
      </c>
      <c r="D56" s="188" t="s">
        <v>53</v>
      </c>
      <c r="E56" s="290">
        <f>'CF (Funds)'!D4</f>
        <v>44153</v>
      </c>
      <c r="F56" s="188" t="str">
        <f t="shared" si="48"/>
        <v>Q4 2020</v>
      </c>
      <c r="G56" s="190">
        <f>'CF (Funds)'!E4</f>
        <v>-10.5</v>
      </c>
      <c r="H56" s="190">
        <f>'CF (Funds)'!F4</f>
        <v>0</v>
      </c>
    </row>
    <row r="57" spans="2:8" x14ac:dyDescent="0.2">
      <c r="C57" s="320" t="str">
        <f>'CF (Funds)'!C5</f>
        <v>Sinovation Disrupt Fund, L.P.</v>
      </c>
      <c r="D57" s="188" t="s">
        <v>53</v>
      </c>
      <c r="E57" s="290">
        <f>'CF (Funds)'!D5</f>
        <v>44238</v>
      </c>
      <c r="F57" s="189" t="str">
        <f t="shared" si="48"/>
        <v>Q1 2021</v>
      </c>
      <c r="G57" s="190">
        <f>'CF (Funds)'!E5</f>
        <v>4.2140269999999997</v>
      </c>
      <c r="H57" s="190">
        <f>'CF (Funds)'!F5</f>
        <v>0</v>
      </c>
    </row>
    <row r="58" spans="2:8" x14ac:dyDescent="0.2">
      <c r="C58" s="320" t="str">
        <f>'CF (Funds)'!C6</f>
        <v>Sinovation Disrupt Fund, L.P.</v>
      </c>
      <c r="D58" s="188" t="s">
        <v>53</v>
      </c>
      <c r="E58" s="290">
        <f>'CF (Funds)'!D6</f>
        <v>44238</v>
      </c>
      <c r="F58" s="189" t="str">
        <f t="shared" si="48"/>
        <v>Q1 2021</v>
      </c>
      <c r="G58" s="190">
        <f>'CF (Funds)'!E6</f>
        <v>0</v>
      </c>
      <c r="H58" s="190">
        <f>'CF (Funds)'!F6</f>
        <v>5.0448349999999996E-2</v>
      </c>
    </row>
    <row r="59" spans="2:8" x14ac:dyDescent="0.2">
      <c r="C59" s="320" t="str">
        <f>'CF (Funds)'!C7</f>
        <v>Sinovation Disrupt Fund, L.P.</v>
      </c>
      <c r="D59" s="188" t="s">
        <v>53</v>
      </c>
      <c r="E59" s="290">
        <f>'CF (Funds)'!D7</f>
        <v>44285</v>
      </c>
      <c r="F59" s="189" t="str">
        <f t="shared" si="48"/>
        <v>Q1 2021</v>
      </c>
      <c r="G59" s="190">
        <f>'CF (Funds)'!E7</f>
        <v>-6.4337459999999993</v>
      </c>
      <c r="H59" s="190">
        <f>'CF (Funds)'!F7</f>
        <v>0</v>
      </c>
    </row>
    <row r="60" spans="2:8" x14ac:dyDescent="0.2">
      <c r="C60" s="320" t="str">
        <f>'CF (Funds)'!C8</f>
        <v>Sinovation Disrupt Fund, L.P.</v>
      </c>
      <c r="D60" s="188" t="s">
        <v>53</v>
      </c>
      <c r="E60" s="290">
        <f>'CF (Funds)'!D8</f>
        <v>44269</v>
      </c>
      <c r="F60" s="189" t="str">
        <f t="shared" si="48"/>
        <v>Q1 2021</v>
      </c>
      <c r="G60" s="190">
        <f>'CF (Funds)'!E8</f>
        <v>1.1352073899999999</v>
      </c>
      <c r="H60" s="190">
        <f>'CF (Funds)'!F8</f>
        <v>0</v>
      </c>
    </row>
    <row r="61" spans="2:8" x14ac:dyDescent="0.2">
      <c r="C61" s="320" t="str">
        <f>'CF (Funds)'!C9</f>
        <v>Sinovation Disrupt Fund, L.P.</v>
      </c>
      <c r="D61" s="188" t="s">
        <v>53</v>
      </c>
      <c r="E61" s="290">
        <f>'CF (Funds)'!D9</f>
        <v>44269</v>
      </c>
      <c r="F61" s="189" t="str">
        <f t="shared" si="48"/>
        <v>Q1 2021</v>
      </c>
      <c r="G61" s="190">
        <f>'CF (Funds)'!E9</f>
        <v>0</v>
      </c>
      <c r="H61" s="190">
        <f>'CF (Funds)'!F9</f>
        <v>2.5899999999999999E-2</v>
      </c>
    </row>
    <row r="62" spans="2:8" x14ac:dyDescent="0.2">
      <c r="C62" s="320" t="str">
        <f>'CF (Funds)'!C10</f>
        <v>Sinovation Disrupt Fund, L.P.</v>
      </c>
      <c r="D62" s="188" t="s">
        <v>53</v>
      </c>
      <c r="E62" s="290">
        <f>'CF (Funds)'!D10</f>
        <v>44483</v>
      </c>
      <c r="F62" s="189" t="str">
        <f t="shared" si="48"/>
        <v>Q4 2021</v>
      </c>
      <c r="G62" s="190">
        <f>'CF (Funds)'!E10</f>
        <v>-7.5671379999999999</v>
      </c>
      <c r="H62" s="190">
        <f>'CF (Funds)'!F10</f>
        <v>0</v>
      </c>
    </row>
    <row r="63" spans="2:8" x14ac:dyDescent="0.2">
      <c r="C63" s="320" t="str">
        <f>'CF (Funds)'!C11</f>
        <v>Sinovation Disrupt Fund, L.P.</v>
      </c>
      <c r="D63" s="188" t="s">
        <v>53</v>
      </c>
      <c r="E63" s="290">
        <f>'CF (Funds)'!D11</f>
        <v>44554</v>
      </c>
      <c r="F63" s="189" t="str">
        <f t="shared" si="48"/>
        <v>Q4 2021</v>
      </c>
      <c r="G63" s="190">
        <f>'CF (Funds)'!E11</f>
        <v>-7.3850159999999994</v>
      </c>
      <c r="H63" s="190">
        <f>'CF (Funds)'!F11</f>
        <v>0</v>
      </c>
    </row>
    <row r="64" spans="2:8" x14ac:dyDescent="0.2">
      <c r="C64" s="320" t="str">
        <f>'CF (Funds)'!C12</f>
        <v>Sinovation Disrupt Fund, L.P.</v>
      </c>
      <c r="D64" s="188" t="s">
        <v>53</v>
      </c>
      <c r="E64" s="290">
        <f>'CF (Funds)'!D12</f>
        <v>44554</v>
      </c>
      <c r="F64" s="189" t="str">
        <f t="shared" si="48"/>
        <v>Q4 2021</v>
      </c>
      <c r="G64" s="190">
        <f>'CF (Funds)'!E12</f>
        <v>4.0733456099999996</v>
      </c>
      <c r="H64" s="190">
        <f>'CF (Funds)'!F12</f>
        <v>0</v>
      </c>
    </row>
    <row r="65" spans="3:8" x14ac:dyDescent="0.2">
      <c r="C65" s="320" t="str">
        <f>'CF (Funds)'!C13</f>
        <v>Sinovation Disrupt Fund, L.P.</v>
      </c>
      <c r="D65" s="188" t="s">
        <v>53</v>
      </c>
      <c r="E65" s="290">
        <f>'CF (Funds)'!D13</f>
        <v>44554</v>
      </c>
      <c r="F65" s="189" t="str">
        <f t="shared" si="48"/>
        <v>Q4 2021</v>
      </c>
      <c r="G65" s="190">
        <f>'CF (Funds)'!E13</f>
        <v>0</v>
      </c>
      <c r="H65" s="190">
        <f>'CF (Funds)'!F13</f>
        <v>0.13969399999999998</v>
      </c>
    </row>
    <row r="66" spans="3:8" x14ac:dyDescent="0.2">
      <c r="C66" s="320" t="str">
        <f>'CF (Funds)'!C14</f>
        <v>Sinovation Disrupt Fund, L.P.</v>
      </c>
      <c r="D66" s="188" t="s">
        <v>53</v>
      </c>
      <c r="E66" s="290">
        <f>'CF (Funds)'!D14</f>
        <v>44703</v>
      </c>
      <c r="F66" s="189" t="str">
        <f t="shared" si="48"/>
        <v>Q2 2022</v>
      </c>
      <c r="G66" s="190">
        <f>'CF (Funds)'!E14</f>
        <v>5.6730739999999997</v>
      </c>
      <c r="H66" s="190">
        <f>'CF (Funds)'!F14</f>
        <v>0</v>
      </c>
    </row>
    <row r="67" spans="3:8" x14ac:dyDescent="0.2">
      <c r="C67" s="320" t="str">
        <f>'CF (Funds)'!C15</f>
        <v>Sinovation Disrupt Fund, L.P.</v>
      </c>
      <c r="D67" s="188" t="s">
        <v>53</v>
      </c>
      <c r="E67" s="290">
        <f>'CF (Funds)'!D15</f>
        <v>44703</v>
      </c>
      <c r="F67" s="189" t="str">
        <f t="shared" si="48"/>
        <v>Q2 2022</v>
      </c>
      <c r="G67" s="190">
        <f>'CF (Funds)'!E15</f>
        <v>0</v>
      </c>
      <c r="H67" s="190">
        <f>'CF (Funds)'!F15</f>
        <v>0.22778599999999999</v>
      </c>
    </row>
    <row r="68" spans="3:8" x14ac:dyDescent="0.2">
      <c r="C68" s="320" t="str">
        <f>'CF (Funds)'!C16</f>
        <v>Sinovation Disrupt Fund, L.P.</v>
      </c>
      <c r="D68" s="188" t="s">
        <v>53</v>
      </c>
      <c r="E68" s="290">
        <f>'CF (Funds)'!D16</f>
        <v>44776</v>
      </c>
      <c r="F68" s="189" t="str">
        <f t="shared" ref="F68" si="50">"Q"&amp;ROUNDUP(MONTH(E68)/3,0)&amp;" "&amp;YEAR(E68)</f>
        <v>Q3 2022</v>
      </c>
      <c r="G68" s="190">
        <f>'CF (Funds)'!E16</f>
        <v>-3.235493</v>
      </c>
      <c r="H68" s="190">
        <f>'CF (Funds)'!F16</f>
        <v>0</v>
      </c>
    </row>
    <row r="69" spans="3:8" x14ac:dyDescent="0.2">
      <c r="C69" s="320" t="str">
        <f>'CF (Funds)'!C17</f>
        <v>Sinovation Disrupt Fund, L.P.</v>
      </c>
      <c r="D69" s="188" t="s">
        <v>53</v>
      </c>
      <c r="E69" s="290">
        <f>'CF (Funds)'!D17</f>
        <v>44960</v>
      </c>
      <c r="F69" s="189" t="str">
        <f t="shared" ref="F69" si="51">"Q"&amp;ROUNDUP(MONTH(E69)/3,0)&amp;" "&amp;YEAR(E69)</f>
        <v>Q1 2023</v>
      </c>
      <c r="G69" s="190">
        <f>'CF (Funds)'!E17</f>
        <v>-2.6315279999999999</v>
      </c>
      <c r="H69" s="190">
        <f>'CF (Funds)'!F17</f>
        <v>0</v>
      </c>
    </row>
    <row r="70" spans="3:8" x14ac:dyDescent="0.2">
      <c r="C70" s="320" t="str">
        <f>'CF (Funds)'!C18</f>
        <v>Sinovation Disrupt Fund, L.P.</v>
      </c>
      <c r="D70" s="188" t="s">
        <v>53</v>
      </c>
      <c r="E70" s="290">
        <f>'CF (Funds)'!D18</f>
        <v>45085</v>
      </c>
      <c r="F70" s="189" t="str">
        <f t="shared" ref="F70" si="52">"Q"&amp;ROUNDUP(MONTH(E70)/3,0)&amp;" "&amp;YEAR(E70)</f>
        <v>Q2 2023</v>
      </c>
      <c r="G70" s="190">
        <f>'CF (Funds)'!E18</f>
        <v>1.9125570000000001</v>
      </c>
      <c r="H70" s="190">
        <f>'CF (Funds)'!F18</f>
        <v>0</v>
      </c>
    </row>
    <row r="71" spans="3:8" x14ac:dyDescent="0.2">
      <c r="C71" s="320" t="str">
        <f>'CF (Funds)'!C19</f>
        <v>Sinovation Disrupt Fund, L.P.</v>
      </c>
      <c r="D71" s="188" t="s">
        <v>53</v>
      </c>
      <c r="E71" s="290">
        <f>'CF (Funds)'!D19</f>
        <v>45166</v>
      </c>
      <c r="F71" s="189" t="str">
        <f t="shared" ref="F71" si="53">"Q"&amp;ROUNDUP(MONTH(E71)/3,0)&amp;" "&amp;YEAR(E71)</f>
        <v>Q3 2023</v>
      </c>
      <c r="G71" s="190">
        <f>'CF (Funds)'!E19</f>
        <v>-1.7991220000000001</v>
      </c>
      <c r="H71" s="190">
        <f>'CF (Funds)'!F19</f>
        <v>0</v>
      </c>
    </row>
    <row r="72" spans="3:8" x14ac:dyDescent="0.2">
      <c r="C72" s="320" t="str">
        <f>'CF (Funds)'!C20</f>
        <v>Sinovation Disrupt Fund, L.P.</v>
      </c>
      <c r="D72" s="188" t="s">
        <v>53</v>
      </c>
      <c r="E72" s="290">
        <f>'CF (Funds)'!D20</f>
        <v>45218</v>
      </c>
      <c r="F72" s="189" t="str">
        <f t="shared" ref="F72" si="54">"Q"&amp;ROUNDUP(MONTH(E72)/3,0)&amp;" "&amp;YEAR(E72)</f>
        <v>Q4 2023</v>
      </c>
      <c r="G72" s="190">
        <f>'CF (Funds)'!E20</f>
        <v>-2.415861</v>
      </c>
      <c r="H72" s="190">
        <f>'CF (Funds)'!F20</f>
        <v>0</v>
      </c>
    </row>
    <row r="73" spans="3:8" x14ac:dyDescent="0.2">
      <c r="C73" s="320" t="str">
        <f>'CF (Funds)'!C21</f>
        <v>Sinovation Disrupt Fund, L.P.</v>
      </c>
      <c r="D73" s="188" t="s">
        <v>53</v>
      </c>
      <c r="E73" s="290">
        <f>'CF (Funds)'!D21</f>
        <v>45323</v>
      </c>
      <c r="F73" s="189" t="str">
        <f t="shared" ref="F73" si="55">"Q"&amp;ROUNDUP(MONTH(E73)/3,0)&amp;" "&amp;YEAR(E73)</f>
        <v>Q1 2024</v>
      </c>
      <c r="G73" s="190">
        <f>'CF (Funds)'!E21</f>
        <v>0</v>
      </c>
      <c r="H73" s="190">
        <f>'CF (Funds)'!F21</f>
        <v>24.959693000000001</v>
      </c>
    </row>
    <row r="74" spans="3:8" x14ac:dyDescent="0.2">
      <c r="C74" s="191" t="str">
        <f>'CF (Funds)'!C22</f>
        <v>North Summit Capital Fund</v>
      </c>
      <c r="D74" s="192" t="s">
        <v>53</v>
      </c>
      <c r="E74" s="289">
        <f>'CF (Funds)'!D22</f>
        <v>43665</v>
      </c>
      <c r="F74" s="193" t="str">
        <f t="shared" ref="F74:F92" si="56">"Q"&amp;ROUNDUP(MONTH(E74)/3,0)&amp;" "&amp;YEAR(E74)</f>
        <v>Q3 2019</v>
      </c>
      <c r="G74" s="194">
        <f>'CF (Funds)'!E22</f>
        <v>-3</v>
      </c>
      <c r="H74" s="194">
        <f>'CF (Funds)'!F22</f>
        <v>0</v>
      </c>
    </row>
    <row r="75" spans="3:8" x14ac:dyDescent="0.2">
      <c r="C75" s="191" t="str">
        <f>'CF (Funds)'!C23</f>
        <v>North Summit Capital Fund</v>
      </c>
      <c r="D75" s="192" t="s">
        <v>53</v>
      </c>
      <c r="E75" s="289">
        <f>'CF (Funds)'!D23</f>
        <v>43983</v>
      </c>
      <c r="F75" s="193" t="str">
        <f t="shared" si="56"/>
        <v>Q2 2020</v>
      </c>
      <c r="G75" s="194">
        <f>'CF (Funds)'!E23</f>
        <v>-4.4849999999999994</v>
      </c>
      <c r="H75" s="194">
        <f>'CF (Funds)'!F23</f>
        <v>0</v>
      </c>
    </row>
    <row r="76" spans="3:8" x14ac:dyDescent="0.2">
      <c r="C76" s="191" t="str">
        <f>'CF (Funds)'!C24</f>
        <v>North Summit Capital Fund</v>
      </c>
      <c r="D76" s="192" t="s">
        <v>53</v>
      </c>
      <c r="E76" s="289">
        <f>'CF (Funds)'!D24</f>
        <v>43879</v>
      </c>
      <c r="F76" s="193" t="str">
        <f t="shared" si="56"/>
        <v>Q1 2020</v>
      </c>
      <c r="G76" s="194">
        <f>'CF (Funds)'!E24</f>
        <v>-9.5097500000000004</v>
      </c>
      <c r="H76" s="194">
        <f>'CF (Funds)'!F24</f>
        <v>0</v>
      </c>
    </row>
    <row r="77" spans="3:8" x14ac:dyDescent="0.2">
      <c r="C77" s="191" t="str">
        <f>'CF (Funds)'!C25</f>
        <v>North Summit Capital Fund</v>
      </c>
      <c r="D77" s="192" t="s">
        <v>53</v>
      </c>
      <c r="E77" s="289">
        <f>'CF (Funds)'!D25</f>
        <v>43934</v>
      </c>
      <c r="F77" s="193" t="str">
        <f t="shared" si="56"/>
        <v>Q2 2020</v>
      </c>
      <c r="G77" s="194">
        <f>'CF (Funds)'!E25</f>
        <v>-41.3</v>
      </c>
      <c r="H77" s="194">
        <f>'CF (Funds)'!F25</f>
        <v>0</v>
      </c>
    </row>
    <row r="78" spans="3:8" x14ac:dyDescent="0.2">
      <c r="C78" s="191" t="str">
        <f>'CF (Funds)'!C26</f>
        <v>North Summit Capital Fund</v>
      </c>
      <c r="D78" s="192" t="s">
        <v>53</v>
      </c>
      <c r="E78" s="289">
        <f>'CF (Funds)'!D26</f>
        <v>44151</v>
      </c>
      <c r="F78" s="193" t="str">
        <f t="shared" si="56"/>
        <v>Q4 2020</v>
      </c>
      <c r="G78" s="194">
        <f>'CF (Funds)'!E26</f>
        <v>9.9499999999999993</v>
      </c>
      <c r="H78" s="194">
        <f>'CF (Funds)'!F26</f>
        <v>0</v>
      </c>
    </row>
    <row r="79" spans="3:8" x14ac:dyDescent="0.2">
      <c r="C79" s="191" t="str">
        <f>'CF (Funds)'!C27</f>
        <v>North Summit Capital Fund</v>
      </c>
      <c r="D79" s="192" t="s">
        <v>53</v>
      </c>
      <c r="E79" s="289">
        <f>'CF (Funds)'!D27</f>
        <v>44151</v>
      </c>
      <c r="F79" s="193" t="str">
        <f t="shared" si="56"/>
        <v>Q4 2020</v>
      </c>
      <c r="G79" s="194">
        <f>'CF (Funds)'!E27</f>
        <v>-10.455</v>
      </c>
      <c r="H79" s="194">
        <f>'CF (Funds)'!F27</f>
        <v>0</v>
      </c>
    </row>
    <row r="80" spans="3:8" x14ac:dyDescent="0.2">
      <c r="C80" s="191" t="str">
        <f>'CF (Funds)'!C28</f>
        <v>North Summit Capital Fund</v>
      </c>
      <c r="D80" s="192" t="s">
        <v>53</v>
      </c>
      <c r="E80" s="289">
        <f>'CF (Funds)'!D28</f>
        <v>44196</v>
      </c>
      <c r="F80" s="193" t="str">
        <f t="shared" si="56"/>
        <v>Q4 2020</v>
      </c>
      <c r="G80" s="194">
        <f>'CF (Funds)'!E28</f>
        <v>4.9749999999999996</v>
      </c>
      <c r="H80" s="194">
        <f>'CF (Funds)'!F28</f>
        <v>0</v>
      </c>
    </row>
    <row r="81" spans="3:8" x14ac:dyDescent="0.2">
      <c r="C81" s="191" t="str">
        <f>'CF (Funds)'!C29</f>
        <v>North Summit Capital Fund</v>
      </c>
      <c r="D81" s="192" t="s">
        <v>53</v>
      </c>
      <c r="E81" s="289">
        <f>'CF (Funds)'!D29</f>
        <v>44196</v>
      </c>
      <c r="F81" s="193" t="str">
        <f t="shared" si="56"/>
        <v>Q4 2020</v>
      </c>
      <c r="G81" s="194">
        <f>'CF (Funds)'!E29</f>
        <v>-3.4522930000000001</v>
      </c>
      <c r="H81" s="194">
        <f>'CF (Funds)'!F29</f>
        <v>0</v>
      </c>
    </row>
    <row r="82" spans="3:8" x14ac:dyDescent="0.2">
      <c r="C82" s="191" t="str">
        <f>'CF (Funds)'!C30</f>
        <v>North Summit Capital Fund</v>
      </c>
      <c r="D82" s="192" t="s">
        <v>53</v>
      </c>
      <c r="E82" s="289">
        <f>'CF (Funds)'!D30</f>
        <v>44196</v>
      </c>
      <c r="F82" s="193" t="str">
        <f t="shared" si="56"/>
        <v>Q4 2020</v>
      </c>
      <c r="G82" s="194">
        <f>'CF (Funds)'!E30</f>
        <v>0</v>
      </c>
      <c r="H82" s="194">
        <f>'CF (Funds)'!F30</f>
        <v>0.58290199999999992</v>
      </c>
    </row>
    <row r="83" spans="3:8" x14ac:dyDescent="0.2">
      <c r="C83" s="191" t="str">
        <f>'CF (Funds)'!C31</f>
        <v>North Summit Capital Fund</v>
      </c>
      <c r="D83" s="192" t="s">
        <v>53</v>
      </c>
      <c r="E83" s="289">
        <f>'CF (Funds)'!D31</f>
        <v>44370</v>
      </c>
      <c r="F83" s="193" t="str">
        <f t="shared" si="56"/>
        <v>Q2 2021</v>
      </c>
      <c r="G83" s="194">
        <f>'CF (Funds)'!E31</f>
        <v>-5.97</v>
      </c>
      <c r="H83" s="194">
        <f>'CF (Funds)'!F31</f>
        <v>0</v>
      </c>
    </row>
    <row r="84" spans="3:8" x14ac:dyDescent="0.2">
      <c r="C84" s="191" t="str">
        <f>'CF (Funds)'!C32</f>
        <v>North Summit Capital Fund</v>
      </c>
      <c r="D84" s="192" t="s">
        <v>53</v>
      </c>
      <c r="E84" s="289">
        <f>'CF (Funds)'!D32</f>
        <v>44400</v>
      </c>
      <c r="F84" s="193" t="str">
        <f t="shared" si="56"/>
        <v>Q3 2021</v>
      </c>
      <c r="G84" s="194">
        <f>'CF (Funds)'!E32</f>
        <v>-0.75</v>
      </c>
      <c r="H84" s="194">
        <f>'CF (Funds)'!F32</f>
        <v>0</v>
      </c>
    </row>
    <row r="85" spans="3:8" x14ac:dyDescent="0.2">
      <c r="C85" s="191" t="str">
        <f>'CF (Funds)'!C33</f>
        <v>North Summit Capital Fund</v>
      </c>
      <c r="D85" s="192" t="s">
        <v>53</v>
      </c>
      <c r="E85" s="289">
        <f>'CF (Funds)'!D33</f>
        <v>44400</v>
      </c>
      <c r="F85" s="193" t="str">
        <f t="shared" si="56"/>
        <v>Q3 2021</v>
      </c>
      <c r="G85" s="194">
        <f>'CF (Funds)'!E33</f>
        <v>0</v>
      </c>
      <c r="H85" s="194">
        <f>'CF (Funds)'!F33</f>
        <v>0.44505899999999998</v>
      </c>
    </row>
    <row r="86" spans="3:8" x14ac:dyDescent="0.2">
      <c r="C86" s="191" t="str">
        <f>'CF (Funds)'!C34</f>
        <v>North Summit Capital Fund</v>
      </c>
      <c r="D86" s="192" t="s">
        <v>53</v>
      </c>
      <c r="E86" s="289">
        <f>'CF (Funds)'!D34</f>
        <v>44554</v>
      </c>
      <c r="F86" s="193" t="str">
        <f t="shared" si="56"/>
        <v>Q4 2021</v>
      </c>
      <c r="G86" s="194">
        <f>'CF (Funds)'!E34</f>
        <v>1.7823899999999999</v>
      </c>
      <c r="H86" s="194">
        <f>'CF (Funds)'!F34</f>
        <v>0</v>
      </c>
    </row>
    <row r="87" spans="3:8" x14ac:dyDescent="0.2">
      <c r="C87" s="191" t="str">
        <f>'CF (Funds)'!C35</f>
        <v>North Summit Capital Fund</v>
      </c>
      <c r="D87" s="192" t="s">
        <v>53</v>
      </c>
      <c r="E87" s="289">
        <f>'CF (Funds)'!D35</f>
        <v>44676</v>
      </c>
      <c r="F87" s="193" t="str">
        <f t="shared" si="56"/>
        <v>Q2 2022</v>
      </c>
      <c r="G87" s="194">
        <f>'CF (Funds)'!E35</f>
        <v>-21</v>
      </c>
      <c r="H87" s="194">
        <f>'CF (Funds)'!F35</f>
        <v>0</v>
      </c>
    </row>
    <row r="88" spans="3:8" x14ac:dyDescent="0.2">
      <c r="C88" s="187" t="str">
        <f>'CF (Funds)'!C37</f>
        <v>New Space Capital Fund I</v>
      </c>
      <c r="D88" s="188" t="s">
        <v>53</v>
      </c>
      <c r="E88" s="290">
        <f>'CF (Funds)'!D37</f>
        <v>44087</v>
      </c>
      <c r="F88" s="189" t="str">
        <f t="shared" si="56"/>
        <v>Q3 2020</v>
      </c>
      <c r="G88" s="190">
        <f>'CF (Funds)'!E37</f>
        <v>-20.917552997000001</v>
      </c>
      <c r="H88" s="190">
        <f>'CF (Funds)'!F37</f>
        <v>0</v>
      </c>
    </row>
    <row r="89" spans="3:8" x14ac:dyDescent="0.2">
      <c r="C89" s="187" t="str">
        <f>'CF (Funds)'!C38</f>
        <v>New Space Capital Fund I</v>
      </c>
      <c r="D89" s="188" t="s">
        <v>53</v>
      </c>
      <c r="E89" s="290">
        <f>'CF (Funds)'!D38</f>
        <v>44287</v>
      </c>
      <c r="F89" s="189" t="str">
        <f t="shared" si="56"/>
        <v>Q2 2021</v>
      </c>
      <c r="G89" s="190">
        <f>'CF (Funds)'!E38</f>
        <v>-0.21103182000000001</v>
      </c>
      <c r="H89" s="190">
        <f>'CF (Funds)'!F38</f>
        <v>0</v>
      </c>
    </row>
    <row r="90" spans="3:8" x14ac:dyDescent="0.2">
      <c r="C90" s="187" t="str">
        <f>'CF (Funds)'!C39</f>
        <v>New Space Capital Fund I</v>
      </c>
      <c r="D90" s="188" t="s">
        <v>53</v>
      </c>
      <c r="E90" s="290">
        <f>'CF (Funds)'!D39</f>
        <v>44442</v>
      </c>
      <c r="F90" s="189" t="str">
        <f t="shared" si="56"/>
        <v>Q3 2021</v>
      </c>
      <c r="G90" s="190">
        <f>'CF (Funds)'!E39</f>
        <v>-0.23965473139999999</v>
      </c>
      <c r="H90" s="190">
        <f>'CF (Funds)'!F39</f>
        <v>0</v>
      </c>
    </row>
    <row r="91" spans="3:8" x14ac:dyDescent="0.2">
      <c r="C91" s="187" t="str">
        <f>'CF (Funds)'!C40</f>
        <v>New Space Capital Fund I</v>
      </c>
      <c r="D91" s="188" t="s">
        <v>53</v>
      </c>
      <c r="E91" s="290">
        <f>'CF (Funds)'!D40</f>
        <v>44623</v>
      </c>
      <c r="F91" s="189" t="str">
        <f t="shared" si="56"/>
        <v>Q1 2022</v>
      </c>
      <c r="G91" s="190">
        <f>'CF (Funds)'!E40</f>
        <v>-0.25893584940000003</v>
      </c>
      <c r="H91" s="190">
        <f>'CF (Funds)'!F40</f>
        <v>0</v>
      </c>
    </row>
    <row r="92" spans="3:8" x14ac:dyDescent="0.2">
      <c r="C92" s="187" t="str">
        <f>'CF (Funds)'!C41</f>
        <v>New Space Capital Fund I</v>
      </c>
      <c r="D92" s="188" t="s">
        <v>53</v>
      </c>
      <c r="E92" s="290">
        <f>'CF (Funds)'!D41</f>
        <v>44784</v>
      </c>
      <c r="F92" s="189" t="str">
        <f t="shared" si="56"/>
        <v>Q3 2022</v>
      </c>
      <c r="G92" s="190">
        <f>'CF (Funds)'!E41</f>
        <v>1.5224656599999999E-2</v>
      </c>
      <c r="H92" s="190">
        <f>'CF (Funds)'!F41</f>
        <v>0</v>
      </c>
    </row>
    <row r="93" spans="3:8" x14ac:dyDescent="0.2">
      <c r="C93" s="187" t="str">
        <f>'CF (Funds)'!C42</f>
        <v>New Space Capital Fund I</v>
      </c>
      <c r="D93" s="188" t="s">
        <v>53</v>
      </c>
      <c r="E93" s="290">
        <f>'CF (Funds)'!D42</f>
        <v>44956</v>
      </c>
      <c r="F93" s="189" t="str">
        <f t="shared" ref="F93" si="57">"Q"&amp;ROUNDUP(MONTH(E93)/3,0)&amp;" "&amp;YEAR(E93)</f>
        <v>Q1 2023</v>
      </c>
      <c r="G93" s="190">
        <f>'CF (Funds)'!E42</f>
        <v>10.553916089669999</v>
      </c>
      <c r="H93" s="190">
        <f>'CF (Funds)'!F42</f>
        <v>0</v>
      </c>
    </row>
    <row r="94" spans="3:8" x14ac:dyDescent="0.2">
      <c r="C94" s="187" t="str">
        <f>'CF (Funds)'!C43</f>
        <v>New Space Capital Fund I</v>
      </c>
      <c r="D94" s="188" t="s">
        <v>53</v>
      </c>
      <c r="E94" s="290">
        <f>'CF (Funds)'!D43</f>
        <v>44956</v>
      </c>
      <c r="F94" s="189" t="str">
        <f t="shared" ref="F94" si="58">"Q"&amp;ROUNDUP(MONTH(E94)/3,0)&amp;" "&amp;YEAR(E94)</f>
        <v>Q1 2023</v>
      </c>
      <c r="G94" s="190">
        <f>'CF (Funds)'!E43</f>
        <v>0</v>
      </c>
      <c r="H94" s="190">
        <f>'CF (Funds)'!F43</f>
        <v>2.9557743514081998</v>
      </c>
    </row>
    <row r="95" spans="3:8" x14ac:dyDescent="0.2">
      <c r="C95" s="187" t="str">
        <f>'CF (Funds)'!C47</f>
        <v>New Space Capital GP Com SCSp</v>
      </c>
      <c r="D95" s="188" t="s">
        <v>53</v>
      </c>
      <c r="E95" s="290">
        <f>'CF (Funds)'!D47</f>
        <v>44087</v>
      </c>
      <c r="F95" s="189" t="str">
        <f>"Q"&amp;ROUNDUP(MONTH(E95)/3,0)&amp;" "&amp;YEAR(E95)</f>
        <v>Q3 2020</v>
      </c>
      <c r="G95" s="190">
        <f>'CF (Funds)'!E47</f>
        <v>-2.7058823529411762</v>
      </c>
      <c r="H95" s="190">
        <f>'CF (Funds)'!F47</f>
        <v>0</v>
      </c>
    </row>
    <row r="96" spans="3:8" x14ac:dyDescent="0.2">
      <c r="C96" s="191" t="str">
        <f>'CF (Funds)'!C48</f>
        <v>Acies Investments Fund I, L.P.</v>
      </c>
      <c r="D96" s="192" t="s">
        <v>53</v>
      </c>
      <c r="E96" s="289">
        <f>'CF (Funds)'!D48</f>
        <v>44540</v>
      </c>
      <c r="F96" s="193" t="str">
        <f>"Q"&amp;ROUNDUP(MONTH(E96)/3,0)&amp;" "&amp;YEAR(E96)</f>
        <v>Q4 2021</v>
      </c>
      <c r="G96" s="194">
        <f>'CF (Funds)'!E48</f>
        <v>-2.8053124999999999</v>
      </c>
      <c r="H96" s="194">
        <f>'CF (Funds)'!F48</f>
        <v>0</v>
      </c>
    </row>
    <row r="97" spans="3:8" x14ac:dyDescent="0.2">
      <c r="C97" s="191" t="str">
        <f>'CF (Funds)'!C49</f>
        <v>Acies Investments Fund I, L.P.</v>
      </c>
      <c r="D97" s="192" t="s">
        <v>53</v>
      </c>
      <c r="E97" s="289">
        <f>'CF (Funds)'!D49</f>
        <v>44602</v>
      </c>
      <c r="F97" s="193" t="str">
        <f>"Q"&amp;ROUNDUP(MONTH(E97)/3,0)&amp;" "&amp;YEAR(E97)</f>
        <v>Q1 2022</v>
      </c>
      <c r="G97" s="194">
        <f>'CF (Funds)'!E49</f>
        <v>-3.4074999999999998</v>
      </c>
      <c r="H97" s="194">
        <f>'CF (Funds)'!F49</f>
        <v>0</v>
      </c>
    </row>
    <row r="98" spans="3:8" x14ac:dyDescent="0.2">
      <c r="C98" s="191" t="str">
        <f>'CF (Funds)'!C50</f>
        <v>Acies Investments Fund I, L.P.</v>
      </c>
      <c r="D98" s="192" t="s">
        <v>53</v>
      </c>
      <c r="E98" s="289">
        <f>'CF (Funds)'!D50</f>
        <v>44683</v>
      </c>
      <c r="F98" s="193" t="str">
        <f>"Q"&amp;ROUNDUP(MONTH(E98)/3,0)&amp;" "&amp;YEAR(E98)</f>
        <v>Q2 2022</v>
      </c>
      <c r="G98" s="194">
        <f>'CF (Funds)'!E50</f>
        <v>-1.0257749999999999</v>
      </c>
      <c r="H98" s="194">
        <f>'CF (Funds)'!F50</f>
        <v>0</v>
      </c>
    </row>
    <row r="99" spans="3:8" x14ac:dyDescent="0.2">
      <c r="C99" s="191" t="str">
        <f>'CF (Funds)'!C51</f>
        <v>Acies Investments Fund I, L.P.</v>
      </c>
      <c r="D99" s="192" t="s">
        <v>53</v>
      </c>
      <c r="E99" s="289">
        <f>'CF (Funds)'!D51</f>
        <v>44707</v>
      </c>
      <c r="F99" s="193" t="str">
        <f t="shared" ref="F99" si="59">"Q"&amp;ROUNDUP(MONTH(E99)/3,0)&amp;" "&amp;YEAR(E99)</f>
        <v>Q2 2022</v>
      </c>
      <c r="G99" s="194">
        <f>'CF (Funds)'!E51</f>
        <v>-3.3882749999999997</v>
      </c>
      <c r="H99" s="194">
        <f>'CF (Funds)'!F51</f>
        <v>0</v>
      </c>
    </row>
    <row r="100" spans="3:8" x14ac:dyDescent="0.2">
      <c r="C100" s="191" t="str">
        <f>'CF (Funds)'!C52</f>
        <v>Acies Investments Fund I, L.P.</v>
      </c>
      <c r="D100" s="192" t="s">
        <v>53</v>
      </c>
      <c r="E100" s="289">
        <f>'CF (Funds)'!D52</f>
        <v>44875</v>
      </c>
      <c r="F100" s="193" t="str">
        <f t="shared" ref="F100" si="60">"Q"&amp;ROUNDUP(MONTH(E100)/3,0)&amp;" "&amp;YEAR(E100)</f>
        <v>Q4 2022</v>
      </c>
      <c r="G100" s="194">
        <f>'CF (Funds)'!E52</f>
        <v>-3.3882749999999997</v>
      </c>
      <c r="H100" s="194">
        <f>'CF (Funds)'!F52</f>
        <v>0</v>
      </c>
    </row>
    <row r="101" spans="3:8" x14ac:dyDescent="0.2">
      <c r="E101" s="291"/>
    </row>
    <row r="102" spans="3:8" x14ac:dyDescent="0.2">
      <c r="E102" s="291"/>
    </row>
    <row r="103" spans="3:8" x14ac:dyDescent="0.2">
      <c r="E103" s="291"/>
    </row>
    <row r="104" spans="3:8" x14ac:dyDescent="0.2">
      <c r="E104" s="291"/>
    </row>
    <row r="105" spans="3:8" x14ac:dyDescent="0.2">
      <c r="E105" s="291"/>
    </row>
    <row r="106" spans="3:8" x14ac:dyDescent="0.2">
      <c r="E106" s="291"/>
    </row>
    <row r="107" spans="3:8" x14ac:dyDescent="0.2">
      <c r="E107" s="291"/>
    </row>
    <row r="108" spans="3:8" x14ac:dyDescent="0.2">
      <c r="E108" s="291"/>
    </row>
    <row r="109" spans="3:8" x14ac:dyDescent="0.2">
      <c r="E109" s="291"/>
    </row>
    <row r="110" spans="3:8" x14ac:dyDescent="0.2">
      <c r="E110" s="291"/>
    </row>
    <row r="111" spans="3:8" x14ac:dyDescent="0.2">
      <c r="E111" s="291"/>
    </row>
    <row r="112" spans="3:8" x14ac:dyDescent="0.2">
      <c r="E112" s="291"/>
    </row>
    <row r="113" spans="5:5" x14ac:dyDescent="0.2">
      <c r="E113" s="291"/>
    </row>
    <row r="114" spans="5:5" x14ac:dyDescent="0.2">
      <c r="E114" s="291"/>
    </row>
    <row r="115" spans="5:5" x14ac:dyDescent="0.2">
      <c r="E115" s="291"/>
    </row>
    <row r="116" spans="5:5" x14ac:dyDescent="0.2">
      <c r="E116" s="291"/>
    </row>
    <row r="117" spans="5:5" x14ac:dyDescent="0.2">
      <c r="E117" s="291"/>
    </row>
    <row r="118" spans="5:5" x14ac:dyDescent="0.2">
      <c r="E118" s="291"/>
    </row>
    <row r="119" spans="5:5" x14ac:dyDescent="0.2">
      <c r="E119" s="291"/>
    </row>
    <row r="120" spans="5:5" x14ac:dyDescent="0.2">
      <c r="E120" s="291"/>
    </row>
    <row r="121" spans="5:5" x14ac:dyDescent="0.2">
      <c r="E121" s="291"/>
    </row>
    <row r="122" spans="5:5" x14ac:dyDescent="0.2">
      <c r="E122" s="291"/>
    </row>
    <row r="123" spans="5:5" x14ac:dyDescent="0.2">
      <c r="E123" s="291"/>
    </row>
    <row r="124" spans="5:5" x14ac:dyDescent="0.2">
      <c r="E124" s="291"/>
    </row>
    <row r="125" spans="5:5" x14ac:dyDescent="0.2">
      <c r="E125" s="291"/>
    </row>
    <row r="126" spans="5:5" x14ac:dyDescent="0.2">
      <c r="E126" s="291"/>
    </row>
    <row r="127" spans="5:5" x14ac:dyDescent="0.2">
      <c r="E127" s="291"/>
    </row>
    <row r="128" spans="5:5" x14ac:dyDescent="0.2">
      <c r="E128" s="291"/>
    </row>
    <row r="129" spans="5:5" x14ac:dyDescent="0.2">
      <c r="E129" s="291"/>
    </row>
    <row r="130" spans="5:5" x14ac:dyDescent="0.2">
      <c r="E130" s="291"/>
    </row>
    <row r="131" spans="5:5" x14ac:dyDescent="0.2">
      <c r="E131" s="291"/>
    </row>
    <row r="132" spans="5:5" x14ac:dyDescent="0.2">
      <c r="E132" s="291"/>
    </row>
    <row r="133" spans="5:5" x14ac:dyDescent="0.2">
      <c r="E133" s="291"/>
    </row>
    <row r="134" spans="5:5" x14ac:dyDescent="0.2">
      <c r="E134" s="291"/>
    </row>
    <row r="135" spans="5:5" x14ac:dyDescent="0.2">
      <c r="E135" s="291"/>
    </row>
    <row r="136" spans="5:5" x14ac:dyDescent="0.2">
      <c r="E136" s="291"/>
    </row>
    <row r="137" spans="5:5" x14ac:dyDescent="0.2">
      <c r="E137" s="291"/>
    </row>
    <row r="138" spans="5:5" x14ac:dyDescent="0.2">
      <c r="E138" s="291"/>
    </row>
    <row r="139" spans="5:5" x14ac:dyDescent="0.2">
      <c r="E139" s="291"/>
    </row>
    <row r="140" spans="5:5" x14ac:dyDescent="0.2">
      <c r="E140" s="291"/>
    </row>
    <row r="141" spans="5:5" x14ac:dyDescent="0.2">
      <c r="E141" s="291"/>
    </row>
    <row r="142" spans="5:5" x14ac:dyDescent="0.2">
      <c r="E142" s="291"/>
    </row>
    <row r="143" spans="5:5" x14ac:dyDescent="0.2">
      <c r="E143" s="291"/>
    </row>
    <row r="144" spans="5:5" x14ac:dyDescent="0.2">
      <c r="E144" s="291"/>
    </row>
    <row r="145" spans="5:5" x14ac:dyDescent="0.2">
      <c r="E145" s="291"/>
    </row>
    <row r="146" spans="5:5" x14ac:dyDescent="0.2">
      <c r="E146" s="291"/>
    </row>
    <row r="147" spans="5:5" x14ac:dyDescent="0.2">
      <c r="E147" s="291"/>
    </row>
    <row r="148" spans="5:5" x14ac:dyDescent="0.2">
      <c r="E148" s="291"/>
    </row>
    <row r="149" spans="5:5" x14ac:dyDescent="0.2">
      <c r="E149" s="291"/>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theme="7" tint="0.39997558519241921"/>
  </sheetPr>
  <dimension ref="A2:Q58"/>
  <sheetViews>
    <sheetView topLeftCell="A5" zoomScale="85" zoomScaleNormal="85" workbookViewId="0">
      <selection activeCell="G43" sqref="G43"/>
    </sheetView>
  </sheetViews>
  <sheetFormatPr defaultColWidth="9.140625" defaultRowHeight="15" x14ac:dyDescent="0.25"/>
  <cols>
    <col min="1" max="1" width="12.7109375" style="26" bestFit="1" customWidth="1"/>
    <col min="2" max="2" width="59.28515625" style="26" bestFit="1" customWidth="1"/>
    <col min="3" max="5" width="12.7109375" style="26" bestFit="1" customWidth="1"/>
    <col min="6" max="6" width="10.28515625" style="26" bestFit="1" customWidth="1"/>
    <col min="7" max="7" width="13.5703125" style="26" bestFit="1" customWidth="1"/>
    <col min="8" max="8" width="26" style="26" bestFit="1" customWidth="1"/>
    <col min="9" max="9" width="13.5703125" style="26" bestFit="1" customWidth="1"/>
    <col min="10" max="10" width="13.42578125" style="26" bestFit="1" customWidth="1"/>
    <col min="11" max="11" width="13.5703125" style="26" bestFit="1" customWidth="1"/>
    <col min="12" max="12" width="9.140625" style="26"/>
    <col min="13" max="13" width="2.42578125" style="26" customWidth="1"/>
    <col min="14" max="14" width="30.42578125" style="26" customWidth="1"/>
    <col min="15" max="15" width="25.5703125" style="27" bestFit="1" customWidth="1"/>
    <col min="16" max="16" width="32.140625" style="27" bestFit="1" customWidth="1"/>
    <col min="17" max="17" width="12.7109375" style="26" bestFit="1" customWidth="1"/>
    <col min="18" max="16384" width="9.140625" style="26"/>
  </cols>
  <sheetData>
    <row r="2" spans="2:17" x14ac:dyDescent="0.25">
      <c r="N2" s="26" t="s">
        <v>439</v>
      </c>
    </row>
    <row r="5" spans="2:17" x14ac:dyDescent="0.25">
      <c r="Q5" s="456"/>
    </row>
    <row r="6" spans="2:17" x14ac:dyDescent="0.25">
      <c r="B6" s="38" t="s">
        <v>522</v>
      </c>
      <c r="D6" s="27"/>
      <c r="I6" s="27"/>
      <c r="J6" s="27"/>
      <c r="K6" s="27"/>
    </row>
    <row r="7" spans="2:17" x14ac:dyDescent="0.25">
      <c r="D7" s="27"/>
      <c r="E7" s="27"/>
      <c r="F7" s="27"/>
      <c r="G7" s="27"/>
      <c r="H7" s="27"/>
      <c r="I7" s="27"/>
      <c r="J7" s="27"/>
      <c r="K7" s="27"/>
    </row>
    <row r="8" spans="2:17" x14ac:dyDescent="0.25">
      <c r="C8" s="267">
        <v>44442</v>
      </c>
      <c r="E8" s="267">
        <v>44623</v>
      </c>
      <c r="F8" s="267">
        <v>44784</v>
      </c>
      <c r="G8" s="267">
        <v>44956</v>
      </c>
      <c r="H8" s="27"/>
      <c r="I8" s="27"/>
      <c r="J8" s="27"/>
      <c r="K8" s="27"/>
    </row>
    <row r="9" spans="2:17" ht="15.75" thickBot="1" x14ac:dyDescent="0.3">
      <c r="C9" s="27"/>
      <c r="D9" s="27"/>
      <c r="E9" s="27"/>
      <c r="F9" s="27"/>
      <c r="G9" s="27"/>
      <c r="H9" s="27"/>
      <c r="I9" s="27"/>
      <c r="J9" s="27"/>
      <c r="K9" s="27"/>
    </row>
    <row r="10" spans="2:17" x14ac:dyDescent="0.25">
      <c r="B10" s="559" t="s">
        <v>139</v>
      </c>
      <c r="C10" s="560" t="s">
        <v>524</v>
      </c>
      <c r="D10" s="560" t="s">
        <v>525</v>
      </c>
      <c r="E10" s="560" t="s">
        <v>526</v>
      </c>
      <c r="F10" s="560"/>
      <c r="G10" s="560" t="s">
        <v>527</v>
      </c>
      <c r="H10" s="560" t="s">
        <v>512</v>
      </c>
      <c r="I10" s="560" t="s">
        <v>514</v>
      </c>
      <c r="J10" s="560" t="s">
        <v>515</v>
      </c>
      <c r="K10" s="560" t="s">
        <v>516</v>
      </c>
      <c r="M10" s="457"/>
      <c r="N10" s="458"/>
      <c r="O10" s="459"/>
      <c r="P10" s="459"/>
      <c r="Q10" s="460"/>
    </row>
    <row r="11" spans="2:17" x14ac:dyDescent="0.25">
      <c r="B11" s="26" t="s">
        <v>521</v>
      </c>
      <c r="C11" s="561">
        <v>44442</v>
      </c>
      <c r="D11" s="562">
        <v>44512</v>
      </c>
      <c r="E11" s="561">
        <v>44623</v>
      </c>
      <c r="F11" s="561"/>
      <c r="G11" s="561">
        <v>44950</v>
      </c>
      <c r="H11" s="561">
        <v>45007</v>
      </c>
      <c r="I11" s="561">
        <v>45170</v>
      </c>
      <c r="J11" s="561">
        <v>45260</v>
      </c>
      <c r="K11" s="561">
        <v>45306</v>
      </c>
      <c r="M11" s="461"/>
      <c r="N11" s="462" t="s">
        <v>375</v>
      </c>
      <c r="O11" s="463"/>
      <c r="P11" s="463"/>
      <c r="Q11" s="464"/>
    </row>
    <row r="12" spans="2:17" x14ac:dyDescent="0.25">
      <c r="B12" s="38" t="s">
        <v>513</v>
      </c>
      <c r="C12" s="405">
        <v>19015957.27</v>
      </c>
      <c r="D12" s="405">
        <v>23513942</v>
      </c>
      <c r="E12" s="405">
        <v>23513942</v>
      </c>
      <c r="F12" s="405"/>
      <c r="G12" s="405">
        <v>23234461.870000001</v>
      </c>
      <c r="H12" s="405">
        <v>23234461.870000001</v>
      </c>
      <c r="I12" s="405">
        <v>23234461.870000001</v>
      </c>
      <c r="J12" s="405">
        <v>23234461.870000001</v>
      </c>
      <c r="K12" s="405">
        <v>23234461.870000001</v>
      </c>
      <c r="M12" s="461"/>
      <c r="N12" s="462" t="s">
        <v>52</v>
      </c>
      <c r="O12" s="465" t="s">
        <v>124</v>
      </c>
      <c r="P12" s="465" t="s">
        <v>373</v>
      </c>
      <c r="Q12" s="464"/>
    </row>
    <row r="13" spans="2:17" x14ac:dyDescent="0.25">
      <c r="B13" s="26" t="s">
        <v>523</v>
      </c>
      <c r="C13" s="405">
        <v>19226989.09</v>
      </c>
      <c r="D13" s="405">
        <v>19415305.100000001</v>
      </c>
      <c r="E13" s="405">
        <v>19365157.890000001</v>
      </c>
      <c r="F13" s="405"/>
      <c r="G13" s="405"/>
      <c r="H13" s="27"/>
      <c r="I13" s="405">
        <v>9566817.3300000001</v>
      </c>
      <c r="J13" s="405">
        <v>9834193.4100000001</v>
      </c>
      <c r="K13" s="405">
        <v>10093474.140000001</v>
      </c>
      <c r="M13" s="461"/>
      <c r="N13" s="466" t="s">
        <v>25</v>
      </c>
      <c r="O13" s="467" t="s">
        <v>79</v>
      </c>
      <c r="P13" s="467" t="s">
        <v>79</v>
      </c>
      <c r="Q13" s="464"/>
    </row>
    <row r="14" spans="2:17" x14ac:dyDescent="0.25">
      <c r="B14" s="26" t="s">
        <v>528</v>
      </c>
      <c r="C14" s="405"/>
      <c r="D14" s="405">
        <v>4098636.9</v>
      </c>
      <c r="E14" s="405">
        <v>4148784.11</v>
      </c>
      <c r="F14" s="405"/>
      <c r="G14" s="405">
        <v>15865093.23</v>
      </c>
      <c r="H14" s="405">
        <v>15675627.199999999</v>
      </c>
      <c r="I14" s="405">
        <v>13667644.539999999</v>
      </c>
      <c r="J14" s="405">
        <v>13400268.460000001</v>
      </c>
      <c r="K14" s="405">
        <v>13140987.73</v>
      </c>
      <c r="M14" s="461"/>
      <c r="N14" s="468" t="s">
        <v>31</v>
      </c>
      <c r="O14" s="463" t="s">
        <v>11</v>
      </c>
      <c r="P14" s="469" t="s">
        <v>11</v>
      </c>
      <c r="Q14" s="464"/>
    </row>
    <row r="15" spans="2:17" x14ac:dyDescent="0.25">
      <c r="B15" s="26" t="s">
        <v>517</v>
      </c>
      <c r="C15" s="405"/>
      <c r="D15" s="405"/>
      <c r="E15" s="405"/>
      <c r="F15" s="405"/>
      <c r="G15" s="405">
        <v>-12659067.07</v>
      </c>
      <c r="H15" s="27"/>
      <c r="I15" s="405"/>
      <c r="J15" s="405"/>
      <c r="K15" s="405"/>
      <c r="M15" s="461"/>
      <c r="N15" s="468" t="s">
        <v>371</v>
      </c>
      <c r="O15" s="463">
        <v>2020</v>
      </c>
      <c r="P15" s="469">
        <v>2020</v>
      </c>
      <c r="Q15" s="464"/>
    </row>
    <row r="16" spans="2:17" x14ac:dyDescent="0.25">
      <c r="B16" s="26" t="s">
        <v>168</v>
      </c>
      <c r="C16" s="405"/>
      <c r="D16" s="405"/>
      <c r="E16" s="405"/>
      <c r="F16" s="405"/>
      <c r="G16" s="405"/>
      <c r="H16" s="405">
        <v>-2067567.04</v>
      </c>
      <c r="I16" s="405"/>
      <c r="J16" s="405"/>
      <c r="K16" s="405"/>
      <c r="M16" s="461"/>
      <c r="N16" s="468" t="s">
        <v>36</v>
      </c>
      <c r="O16" s="463" t="s">
        <v>55</v>
      </c>
      <c r="P16" s="469" t="s">
        <v>372</v>
      </c>
      <c r="Q16" s="464"/>
    </row>
    <row r="17" spans="2:17" x14ac:dyDescent="0.25">
      <c r="B17" s="26" t="s">
        <v>518</v>
      </c>
      <c r="C17" s="405"/>
      <c r="D17" s="405"/>
      <c r="E17" s="405"/>
      <c r="F17" s="405"/>
      <c r="G17" s="405"/>
      <c r="H17" s="405">
        <v>13608060.16</v>
      </c>
      <c r="I17" s="27"/>
      <c r="J17" s="27"/>
      <c r="K17" s="27"/>
      <c r="M17" s="461"/>
      <c r="N17" s="468" t="s">
        <v>54</v>
      </c>
      <c r="O17" s="463" t="s">
        <v>130</v>
      </c>
      <c r="P17" s="469" t="s">
        <v>130</v>
      </c>
      <c r="Q17" s="464"/>
    </row>
    <row r="18" spans="2:17" x14ac:dyDescent="0.25">
      <c r="C18" s="405"/>
      <c r="D18" s="405"/>
      <c r="E18" s="405"/>
      <c r="F18" s="405"/>
      <c r="G18" s="405"/>
      <c r="H18" s="405"/>
      <c r="I18" s="27"/>
      <c r="J18" s="27"/>
      <c r="K18" s="27"/>
      <c r="M18" s="461"/>
      <c r="N18" s="468" t="s">
        <v>32</v>
      </c>
      <c r="O18" s="470">
        <v>27.691912952877303</v>
      </c>
      <c r="P18" s="471">
        <v>2.7058823529411762</v>
      </c>
      <c r="Q18" s="464"/>
    </row>
    <row r="19" spans="2:17" x14ac:dyDescent="0.25">
      <c r="C19" s="405"/>
      <c r="D19" s="405"/>
      <c r="E19" s="405"/>
      <c r="F19" s="405"/>
      <c r="G19" s="405"/>
      <c r="H19" s="405"/>
      <c r="I19" s="27"/>
      <c r="J19" s="27"/>
      <c r="K19" s="27"/>
      <c r="M19" s="461"/>
      <c r="N19" s="468" t="s">
        <v>2</v>
      </c>
      <c r="O19" s="470">
        <v>11.058034651530003</v>
      </c>
      <c r="P19" s="471">
        <v>2.7058823529411762</v>
      </c>
      <c r="Q19" s="464"/>
    </row>
    <row r="20" spans="2:17" x14ac:dyDescent="0.25">
      <c r="B20" s="26" t="s">
        <v>96</v>
      </c>
      <c r="C20" s="27"/>
      <c r="D20" s="27"/>
      <c r="E20" s="27"/>
      <c r="F20" s="27"/>
      <c r="G20" s="405">
        <f>G14-G24</f>
        <v>189466.01999999955</v>
      </c>
      <c r="H20" s="405">
        <f>H17-H24</f>
        <v>-59584.379999998957</v>
      </c>
      <c r="I20" s="405">
        <f>I14-I24</f>
        <v>267376.07999999821</v>
      </c>
      <c r="J20" s="405">
        <f>J14-J24</f>
        <v>259280.73000000045</v>
      </c>
      <c r="K20" s="405">
        <f>K14-K24</f>
        <v>2203896.6500000004</v>
      </c>
      <c r="M20" s="461"/>
      <c r="N20" s="468" t="s">
        <v>51</v>
      </c>
      <c r="O20" s="470">
        <v>16.633878301347298</v>
      </c>
      <c r="P20" s="471">
        <v>0</v>
      </c>
      <c r="Q20" s="464"/>
    </row>
    <row r="21" spans="2:17" x14ac:dyDescent="0.25">
      <c r="B21" s="26" t="s">
        <v>172</v>
      </c>
      <c r="C21" s="27"/>
      <c r="D21" s="27"/>
      <c r="E21" s="27"/>
      <c r="F21" s="27"/>
      <c r="G21" s="405">
        <f>-G22+G20</f>
        <v>12659067.039999999</v>
      </c>
      <c r="H21" s="405">
        <f>-H22+H20</f>
        <v>1.0404619388282299E-9</v>
      </c>
      <c r="I21" s="405">
        <f>-I22+I20</f>
        <v>59584.3799999982</v>
      </c>
      <c r="J21" s="405">
        <f>-J22+J20</f>
        <v>4.3655745685100555E-10</v>
      </c>
      <c r="K21" s="405">
        <f>-K22+K20</f>
        <v>0</v>
      </c>
      <c r="M21" s="461"/>
      <c r="N21" s="468" t="s">
        <v>33</v>
      </c>
      <c r="O21" s="470">
        <v>2.9557743514082002</v>
      </c>
      <c r="P21" s="471">
        <v>0</v>
      </c>
      <c r="Q21" s="464"/>
    </row>
    <row r="22" spans="2:17" x14ac:dyDescent="0.25">
      <c r="B22" s="563" t="s">
        <v>591</v>
      </c>
      <c r="C22" s="564">
        <v>203097.23</v>
      </c>
      <c r="D22" s="564">
        <v>-444437.06</v>
      </c>
      <c r="E22" s="564">
        <v>233275.54</v>
      </c>
      <c r="F22" s="564"/>
      <c r="G22" s="564">
        <v>-12469601.02</v>
      </c>
      <c r="H22" s="564">
        <v>-59584.38</v>
      </c>
      <c r="I22" s="564">
        <v>207791.7</v>
      </c>
      <c r="J22" s="564">
        <v>259280.73</v>
      </c>
      <c r="K22" s="564">
        <v>2203896.65</v>
      </c>
      <c r="M22" s="461"/>
      <c r="N22" s="468" t="s">
        <v>27</v>
      </c>
      <c r="O22" s="470">
        <f>NAV!E39</f>
        <v>16.078910212171998</v>
      </c>
      <c r="P22" s="471">
        <f>P19*O22/O19</f>
        <v>3.9344821000015684</v>
      </c>
      <c r="Q22" s="464"/>
    </row>
    <row r="23" spans="2:17" x14ac:dyDescent="0.25">
      <c r="C23" s="27"/>
      <c r="H23" s="27"/>
      <c r="I23" s="27"/>
      <c r="J23" s="27"/>
      <c r="K23" s="27"/>
      <c r="M23" s="461"/>
      <c r="N23" s="468" t="s">
        <v>204</v>
      </c>
      <c r="O23" s="470">
        <f>O22+O21-O19</f>
        <v>7.9766499120501972</v>
      </c>
      <c r="P23" s="471">
        <f>P22+P21-P19</f>
        <v>1.2285997470603922</v>
      </c>
      <c r="Q23" s="464"/>
    </row>
    <row r="24" spans="2:17" x14ac:dyDescent="0.25">
      <c r="B24" s="26" t="s">
        <v>519</v>
      </c>
      <c r="C24" s="405">
        <v>0</v>
      </c>
      <c r="D24" s="405">
        <v>4163565.33</v>
      </c>
      <c r="E24" s="405">
        <v>3915508.57</v>
      </c>
      <c r="F24" s="405"/>
      <c r="G24" s="405">
        <v>15675627.210000001</v>
      </c>
      <c r="H24" s="405">
        <v>13667644.539999999</v>
      </c>
      <c r="I24" s="405">
        <v>13400268.460000001</v>
      </c>
      <c r="J24" s="405">
        <v>13140987.73</v>
      </c>
      <c r="K24" s="405">
        <v>10937091.08</v>
      </c>
      <c r="M24" s="461"/>
      <c r="N24" s="468" t="s">
        <v>56</v>
      </c>
      <c r="O24" s="472">
        <f>(O21+O22)/O19</f>
        <v>1.7213442680744846</v>
      </c>
      <c r="P24" s="472">
        <f>(P21+P22)/P19</f>
        <v>1.4540477326092753</v>
      </c>
      <c r="Q24" s="464"/>
    </row>
    <row r="25" spans="2:17" x14ac:dyDescent="0.25">
      <c r="B25" s="26" t="s">
        <v>520</v>
      </c>
      <c r="C25" s="507">
        <v>0</v>
      </c>
      <c r="D25" s="507">
        <v>0.17710000000000001</v>
      </c>
      <c r="E25" s="507">
        <v>0.16650000000000001</v>
      </c>
      <c r="F25" s="507"/>
      <c r="G25" s="507">
        <v>0.67469999999999997</v>
      </c>
      <c r="H25" s="507">
        <v>0.58819999999999995</v>
      </c>
      <c r="I25" s="507">
        <v>0.57669999999999999</v>
      </c>
      <c r="J25" s="507">
        <v>0.56559999999999999</v>
      </c>
      <c r="K25" s="507">
        <v>0.47070000000000001</v>
      </c>
      <c r="M25" s="97"/>
      <c r="N25" s="462"/>
      <c r="O25" s="463"/>
      <c r="P25" s="463"/>
      <c r="Q25" s="98"/>
    </row>
    <row r="26" spans="2:17" x14ac:dyDescent="0.25">
      <c r="C26" s="27"/>
      <c r="D26" s="27" t="b">
        <f>ROUND(D24/D12,4)=D25</f>
        <v>1</v>
      </c>
      <c r="E26" s="27" t="b">
        <f>ROUND(E24/E12,4)=E25</f>
        <v>1</v>
      </c>
      <c r="F26" s="27"/>
      <c r="G26" s="27" t="b">
        <f>ROUND(G24/G12,4)=G25</f>
        <v>1</v>
      </c>
      <c r="H26" s="27" t="b">
        <f>ROUND(H24/H12,4)=H25</f>
        <v>1</v>
      </c>
      <c r="I26" s="27" t="b">
        <f>ROUND(I24/I12,4)=I25</f>
        <v>1</v>
      </c>
      <c r="J26" s="27" t="b">
        <f>ROUND(J24/J12,4)=J25</f>
        <v>1</v>
      </c>
      <c r="K26" s="27" t="b">
        <f>ROUND(K24/K12,4)=K25</f>
        <v>1</v>
      </c>
      <c r="M26" s="461"/>
      <c r="N26" s="462" t="s">
        <v>374</v>
      </c>
      <c r="O26" s="463"/>
      <c r="P26" s="463"/>
      <c r="Q26" s="464"/>
    </row>
    <row r="27" spans="2:17" x14ac:dyDescent="0.25">
      <c r="C27" s="27"/>
      <c r="D27" s="27"/>
      <c r="E27" s="27"/>
      <c r="F27" s="27"/>
      <c r="H27" s="27"/>
      <c r="I27" s="27"/>
      <c r="J27" s="27"/>
      <c r="K27" s="27"/>
      <c r="M27" s="461"/>
      <c r="N27" s="468" t="s">
        <v>377</v>
      </c>
      <c r="O27" s="463"/>
      <c r="P27" s="463"/>
      <c r="Q27" s="464"/>
    </row>
    <row r="28" spans="2:17" x14ac:dyDescent="0.25">
      <c r="B28" s="26" t="s">
        <v>590</v>
      </c>
      <c r="C28" s="27"/>
      <c r="G28" s="26">
        <v>1.0871999999999999</v>
      </c>
      <c r="H28" s="27">
        <v>1.0772999999999999</v>
      </c>
      <c r="I28" s="27">
        <v>1.08439</v>
      </c>
      <c r="J28" s="27">
        <v>1.1004</v>
      </c>
      <c r="K28" s="27">
        <v>1.0950599999999999</v>
      </c>
      <c r="M28" s="461"/>
      <c r="N28" s="468" t="s">
        <v>378</v>
      </c>
      <c r="O28" s="463"/>
      <c r="P28" s="463"/>
      <c r="Q28" s="464"/>
    </row>
    <row r="29" spans="2:17" ht="15.75" thickBot="1" x14ac:dyDescent="0.3">
      <c r="B29" s="38"/>
      <c r="C29" s="27"/>
      <c r="G29" s="405">
        <f>-G28*G22/1000000</f>
        <v>13.556950228943998</v>
      </c>
      <c r="H29" s="405">
        <f t="shared" ref="H29:K29" si="0">-H28*H22/1000000</f>
        <v>6.419025257399999E-2</v>
      </c>
      <c r="I29" s="405">
        <f t="shared" si="0"/>
        <v>-0.22532724156300002</v>
      </c>
      <c r="J29" s="405">
        <f t="shared" si="0"/>
        <v>-0.28531251529200002</v>
      </c>
      <c r="K29" s="405">
        <f t="shared" si="0"/>
        <v>-2.4133990655489996</v>
      </c>
      <c r="M29" s="473"/>
      <c r="N29" s="474"/>
      <c r="O29" s="475"/>
      <c r="P29" s="475"/>
      <c r="Q29" s="476"/>
    </row>
    <row r="33" spans="2:17" x14ac:dyDescent="0.25">
      <c r="N33" s="367"/>
    </row>
    <row r="34" spans="2:17" x14ac:dyDescent="0.25">
      <c r="N34" s="498"/>
    </row>
    <row r="35" spans="2:17" ht="15.75" thickBot="1" x14ac:dyDescent="0.3">
      <c r="B35" s="26" t="s">
        <v>587</v>
      </c>
      <c r="N35" s="367"/>
    </row>
    <row r="36" spans="2:17" x14ac:dyDescent="0.25">
      <c r="B36" s="397" t="s">
        <v>23</v>
      </c>
      <c r="C36" s="408"/>
      <c r="D36" s="398"/>
      <c r="E36" s="398"/>
      <c r="F36" s="398"/>
      <c r="G36" s="398"/>
      <c r="H36" s="406"/>
    </row>
    <row r="37" spans="2:17" x14ac:dyDescent="0.25">
      <c r="B37" s="97"/>
      <c r="C37" s="201"/>
      <c r="D37" s="201"/>
      <c r="E37" s="201"/>
      <c r="F37" s="201"/>
      <c r="G37" s="201"/>
      <c r="H37" s="98"/>
    </row>
    <row r="38" spans="2:17" x14ac:dyDescent="0.25">
      <c r="B38" s="486" t="s">
        <v>139</v>
      </c>
      <c r="C38" s="477" t="s">
        <v>359</v>
      </c>
      <c r="D38" s="477" t="s">
        <v>360</v>
      </c>
      <c r="E38" s="477" t="s">
        <v>440</v>
      </c>
      <c r="F38" s="477" t="s">
        <v>477</v>
      </c>
      <c r="G38" s="477" t="s">
        <v>491</v>
      </c>
      <c r="H38" s="484"/>
    </row>
    <row r="39" spans="2:17" x14ac:dyDescent="0.25">
      <c r="B39" s="97" t="s">
        <v>361</v>
      </c>
      <c r="C39" s="529">
        <v>23234462</v>
      </c>
      <c r="D39" s="529">
        <v>23234462</v>
      </c>
      <c r="E39" s="529">
        <v>23234462</v>
      </c>
      <c r="F39" s="529">
        <v>23234462</v>
      </c>
      <c r="G39" s="529">
        <v>23234462</v>
      </c>
      <c r="H39" s="484" t="s">
        <v>370</v>
      </c>
      <c r="O39" s="26"/>
      <c r="P39" s="26"/>
      <c r="Q39" s="27"/>
    </row>
    <row r="40" spans="2:17" x14ac:dyDescent="0.25">
      <c r="B40" s="97" t="s">
        <v>362</v>
      </c>
      <c r="C40" s="529">
        <v>19178323</v>
      </c>
      <c r="D40" s="529">
        <v>9436936</v>
      </c>
      <c r="E40" s="529">
        <v>9626402</v>
      </c>
      <c r="F40" s="529">
        <v>9595097</v>
      </c>
      <c r="G40" s="529">
        <v>9834193</v>
      </c>
      <c r="H40" s="484"/>
    </row>
    <row r="41" spans="2:17" x14ac:dyDescent="0.25">
      <c r="B41" s="97" t="s">
        <v>363</v>
      </c>
      <c r="C41" s="530">
        <f>C39-C40</f>
        <v>4056139</v>
      </c>
      <c r="D41" s="530">
        <f>D39-D40</f>
        <v>13797526</v>
      </c>
      <c r="E41" s="530">
        <f>E39-E40</f>
        <v>13608060</v>
      </c>
      <c r="F41" s="530">
        <f>F39-F40</f>
        <v>13639365</v>
      </c>
      <c r="G41" s="530">
        <f>G39-G40</f>
        <v>13400269</v>
      </c>
      <c r="H41" s="484"/>
    </row>
    <row r="42" spans="2:17" x14ac:dyDescent="0.25">
      <c r="B42" s="97" t="s">
        <v>364</v>
      </c>
      <c r="C42" s="530">
        <v>13103567</v>
      </c>
      <c r="D42" s="530">
        <v>3803379</v>
      </c>
      <c r="E42" s="530"/>
      <c r="F42" s="530"/>
      <c r="G42" s="530">
        <f>G43-G40</f>
        <v>2548651</v>
      </c>
      <c r="H42" s="484"/>
    </row>
    <row r="43" spans="2:17" x14ac:dyDescent="0.25">
      <c r="B43" s="487" t="s">
        <v>275</v>
      </c>
      <c r="C43" s="531">
        <v>32325017</v>
      </c>
      <c r="D43" s="531">
        <v>12031777</v>
      </c>
      <c r="E43" s="531">
        <v>12148021</v>
      </c>
      <c r="F43" s="531">
        <v>12218930</v>
      </c>
      <c r="G43" s="531">
        <v>12382844</v>
      </c>
      <c r="H43" s="484" t="s">
        <v>370</v>
      </c>
    </row>
    <row r="44" spans="2:17" x14ac:dyDescent="0.25">
      <c r="B44" s="97" t="s">
        <v>365</v>
      </c>
      <c r="C44" s="201"/>
      <c r="D44" s="530">
        <f>C40-D40</f>
        <v>9741387</v>
      </c>
      <c r="E44" s="530"/>
      <c r="F44" s="530"/>
      <c r="G44" s="530"/>
      <c r="H44" s="484" t="s">
        <v>368</v>
      </c>
    </row>
    <row r="45" spans="2:17" x14ac:dyDescent="0.25">
      <c r="B45" s="97" t="s">
        <v>366</v>
      </c>
      <c r="C45" s="201"/>
      <c r="D45" s="530">
        <f>D47-D44</f>
        <v>2728214.0199999996</v>
      </c>
      <c r="E45" s="530"/>
      <c r="F45" s="530"/>
      <c r="G45" s="530"/>
      <c r="H45" s="484" t="s">
        <v>368</v>
      </c>
    </row>
    <row r="46" spans="2:17" x14ac:dyDescent="0.25">
      <c r="B46" s="97"/>
      <c r="C46" s="201"/>
      <c r="D46" s="530"/>
      <c r="E46" s="530"/>
      <c r="F46" s="530"/>
      <c r="G46" s="530"/>
      <c r="H46" s="484"/>
    </row>
    <row r="47" spans="2:17" x14ac:dyDescent="0.25">
      <c r="B47" s="488" t="s">
        <v>367</v>
      </c>
      <c r="C47" s="531"/>
      <c r="D47" s="532">
        <v>12469601.02</v>
      </c>
      <c r="E47" s="532"/>
      <c r="F47" s="532"/>
      <c r="G47" s="532"/>
      <c r="H47" s="484" t="s">
        <v>369</v>
      </c>
    </row>
    <row r="48" spans="2:17" x14ac:dyDescent="0.25">
      <c r="B48" s="487" t="s">
        <v>51</v>
      </c>
      <c r="C48" s="531"/>
      <c r="D48" s="531">
        <f>15675627.21</f>
        <v>15675627.210000001</v>
      </c>
      <c r="E48" s="531"/>
      <c r="F48" s="531"/>
      <c r="G48" s="531">
        <f>I24</f>
        <v>13400268.460000001</v>
      </c>
      <c r="H48" s="484" t="s">
        <v>370</v>
      </c>
    </row>
    <row r="49" spans="1:17" x14ac:dyDescent="0.25">
      <c r="B49" s="97"/>
      <c r="C49" s="201"/>
      <c r="D49" s="201"/>
      <c r="E49" s="201"/>
      <c r="F49" s="201"/>
      <c r="G49" s="201"/>
      <c r="H49" s="485"/>
    </row>
    <row r="50" spans="1:17" ht="15.75" thickBot="1" x14ac:dyDescent="0.3">
      <c r="B50" s="102"/>
      <c r="C50" s="478"/>
      <c r="D50" s="479"/>
      <c r="E50" s="479"/>
      <c r="F50" s="479"/>
      <c r="G50" s="479"/>
      <c r="H50" s="106"/>
    </row>
    <row r="55" spans="1:17" x14ac:dyDescent="0.25">
      <c r="A55" s="27"/>
      <c r="O55" s="26"/>
      <c r="P55" s="26"/>
      <c r="Q55" s="27"/>
    </row>
    <row r="56" spans="1:17" x14ac:dyDescent="0.25">
      <c r="B56" s="27"/>
      <c r="C56" s="27"/>
      <c r="D56" s="27"/>
      <c r="E56" s="27"/>
      <c r="O56" s="26"/>
      <c r="P56" s="26"/>
      <c r="Q56" s="27"/>
    </row>
    <row r="57" spans="1:17" x14ac:dyDescent="0.25">
      <c r="B57" s="27"/>
      <c r="C57" s="27"/>
      <c r="D57" s="27"/>
      <c r="E57" s="27"/>
      <c r="O57" s="26"/>
      <c r="P57" s="26"/>
      <c r="Q57" s="27"/>
    </row>
    <row r="58" spans="1:17" x14ac:dyDescent="0.25">
      <c r="B58" s="27"/>
      <c r="C58" s="27"/>
      <c r="D58" s="27"/>
      <c r="E58" s="27"/>
      <c r="O58" s="26"/>
      <c r="P58" s="26"/>
      <c r="Q58" s="27"/>
    </row>
  </sheetData>
  <pageMargins left="0.7" right="0.7" top="0.75" bottom="0.75" header="0.3" footer="0.3"/>
  <pageSetup paperSize="9" orientation="portrait" verticalDpi="0" r:id="rId1"/>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O43" sqref="O43"/>
    </sheetView>
  </sheetViews>
  <sheetFormatPr defaultColWidth="9.140625" defaultRowHeight="12.75" x14ac:dyDescent="0.2"/>
  <cols>
    <col min="1" max="1" width="9.140625" style="71"/>
    <col min="2" max="2" width="22.28515625" style="71" bestFit="1" customWidth="1"/>
    <col min="3" max="3" width="9" style="81" customWidth="1"/>
    <col min="4" max="4" width="9.5703125" style="81" customWidth="1"/>
    <col min="5" max="5" width="22.7109375" style="81" customWidth="1"/>
    <col min="6" max="6" width="21.42578125" style="81" customWidth="1"/>
    <col min="7" max="8" width="16.42578125" style="71" customWidth="1"/>
    <col min="9" max="10" width="14" style="71" customWidth="1"/>
    <col min="11" max="12" width="9.140625" style="71"/>
    <col min="13" max="13" width="19" style="236" customWidth="1"/>
    <col min="14" max="17" width="16.140625" style="71" customWidth="1"/>
    <col min="18" max="16384" width="9.140625" style="71"/>
  </cols>
  <sheetData>
    <row r="2" spans="2:18" ht="15" x14ac:dyDescent="0.25">
      <c r="M2" s="25"/>
    </row>
    <row r="3" spans="2:18" s="231" customFormat="1" ht="29.25" customHeight="1" x14ac:dyDescent="0.25">
      <c r="B3" s="234" t="s">
        <v>5</v>
      </c>
      <c r="C3" s="235" t="s">
        <v>47</v>
      </c>
      <c r="D3" s="235" t="s">
        <v>159</v>
      </c>
      <c r="E3" s="235" t="s">
        <v>147</v>
      </c>
      <c r="F3" s="235" t="s">
        <v>81</v>
      </c>
      <c r="G3" s="235" t="s">
        <v>32</v>
      </c>
      <c r="H3" s="235" t="s">
        <v>2</v>
      </c>
      <c r="I3" s="235" t="s">
        <v>51</v>
      </c>
      <c r="J3" s="235" t="s">
        <v>33</v>
      </c>
      <c r="K3" s="235" t="s">
        <v>27</v>
      </c>
      <c r="M3" s="25"/>
      <c r="N3" s="71"/>
      <c r="O3" s="71"/>
      <c r="P3" s="71"/>
      <c r="Q3" s="71"/>
      <c r="R3" s="71"/>
    </row>
    <row r="4" spans="2:18" ht="15" x14ac:dyDescent="0.25">
      <c r="B4" s="61" t="s">
        <v>48</v>
      </c>
      <c r="C4" s="60">
        <v>2019</v>
      </c>
      <c r="D4" s="60" t="s">
        <v>158</v>
      </c>
      <c r="E4" s="60" t="s">
        <v>224</v>
      </c>
      <c r="F4" s="60" t="s">
        <v>214</v>
      </c>
      <c r="G4" s="233">
        <v>65</v>
      </c>
      <c r="H4" s="233">
        <v>65</v>
      </c>
      <c r="I4" s="233">
        <v>0</v>
      </c>
      <c r="J4" s="233">
        <v>0</v>
      </c>
      <c r="K4" s="233">
        <v>0</v>
      </c>
      <c r="M4" s="25"/>
    </row>
    <row r="5" spans="2:18" x14ac:dyDescent="0.2">
      <c r="B5" s="61" t="s">
        <v>0</v>
      </c>
      <c r="C5" s="60">
        <v>2019</v>
      </c>
      <c r="D5" s="60" t="s">
        <v>158</v>
      </c>
      <c r="E5" s="60" t="s">
        <v>218</v>
      </c>
      <c r="F5" s="60" t="s">
        <v>214</v>
      </c>
      <c r="G5" s="233">
        <v>8</v>
      </c>
      <c r="H5" s="233">
        <v>8</v>
      </c>
      <c r="I5" s="233">
        <v>0</v>
      </c>
      <c r="J5" s="233">
        <v>0</v>
      </c>
      <c r="K5" s="233">
        <v>3.1</v>
      </c>
      <c r="M5" s="60" t="s">
        <v>214</v>
      </c>
      <c r="N5" s="71">
        <f ca="1">SUMIF(F3:K26,$M$5,G3:G26)</f>
        <v>2578.8539820000001</v>
      </c>
    </row>
    <row r="6" spans="2:18" ht="15" x14ac:dyDescent="0.25">
      <c r="B6" s="61" t="s">
        <v>39</v>
      </c>
      <c r="C6" s="60">
        <v>2019</v>
      </c>
      <c r="D6" s="60" t="s">
        <v>158</v>
      </c>
      <c r="E6" s="60" t="s">
        <v>230</v>
      </c>
      <c r="F6" s="60" t="s">
        <v>212</v>
      </c>
      <c r="G6" s="233">
        <v>10</v>
      </c>
      <c r="H6" s="233">
        <v>10</v>
      </c>
      <c r="I6" s="233">
        <v>0</v>
      </c>
      <c r="J6" s="233">
        <v>0</v>
      </c>
      <c r="K6" s="233">
        <v>78.082229999999996</v>
      </c>
      <c r="M6" s="25"/>
    </row>
    <row r="7" spans="2:18" ht="15" x14ac:dyDescent="0.25">
      <c r="B7" s="61" t="s">
        <v>40</v>
      </c>
      <c r="C7" s="60">
        <v>2020</v>
      </c>
      <c r="D7" s="60" t="s">
        <v>158</v>
      </c>
      <c r="E7" s="60" t="s">
        <v>219</v>
      </c>
      <c r="F7" s="60" t="s">
        <v>216</v>
      </c>
      <c r="G7" s="233">
        <v>2.5</v>
      </c>
      <c r="H7" s="233">
        <v>2.5</v>
      </c>
      <c r="I7" s="233">
        <v>0</v>
      </c>
      <c r="J7" s="233">
        <v>5</v>
      </c>
      <c r="K7" s="233">
        <v>0</v>
      </c>
      <c r="M7" s="25"/>
    </row>
    <row r="8" spans="2:18" ht="15" x14ac:dyDescent="0.25">
      <c r="B8" s="61" t="s">
        <v>38</v>
      </c>
      <c r="C8" s="60">
        <v>2020</v>
      </c>
      <c r="D8" s="60" t="s">
        <v>158</v>
      </c>
      <c r="E8" s="60" t="s">
        <v>225</v>
      </c>
      <c r="F8" s="60" t="s">
        <v>212</v>
      </c>
      <c r="G8" s="233">
        <v>90</v>
      </c>
      <c r="H8" s="233">
        <v>90</v>
      </c>
      <c r="I8" s="233">
        <v>0</v>
      </c>
      <c r="J8" s="233">
        <v>0</v>
      </c>
      <c r="K8" s="233">
        <v>91.001540300000002</v>
      </c>
      <c r="M8" s="25"/>
    </row>
    <row r="9" spans="2:18" ht="15" x14ac:dyDescent="0.25">
      <c r="B9" s="61" t="s">
        <v>88</v>
      </c>
      <c r="C9" s="60">
        <v>2020</v>
      </c>
      <c r="D9" s="60" t="s">
        <v>158</v>
      </c>
      <c r="E9" s="60" t="s">
        <v>228</v>
      </c>
      <c r="F9" s="60" t="s">
        <v>217</v>
      </c>
      <c r="G9" s="233">
        <v>141.4702596743665</v>
      </c>
      <c r="H9" s="233">
        <v>141.4702596743665</v>
      </c>
      <c r="I9" s="233">
        <v>0</v>
      </c>
      <c r="J9" s="233">
        <v>0</v>
      </c>
      <c r="K9" s="233">
        <v>149.58080812799997</v>
      </c>
      <c r="M9" s="25"/>
    </row>
    <row r="10" spans="2:18" ht="15" x14ac:dyDescent="0.25">
      <c r="B10" s="61" t="s">
        <v>9</v>
      </c>
      <c r="C10" s="60">
        <v>2020</v>
      </c>
      <c r="D10" s="60" t="s">
        <v>158</v>
      </c>
      <c r="E10" s="60" t="s">
        <v>220</v>
      </c>
      <c r="F10" s="60" t="s">
        <v>214</v>
      </c>
      <c r="G10" s="233">
        <v>60</v>
      </c>
      <c r="H10" s="233">
        <v>60</v>
      </c>
      <c r="I10" s="233">
        <v>0</v>
      </c>
      <c r="J10" s="233">
        <v>0</v>
      </c>
      <c r="K10" s="233">
        <v>136.63999999999999</v>
      </c>
      <c r="M10" s="25"/>
    </row>
    <row r="11" spans="2:18" ht="15" x14ac:dyDescent="0.25">
      <c r="B11" s="61" t="s">
        <v>18</v>
      </c>
      <c r="C11" s="60">
        <v>2021</v>
      </c>
      <c r="D11" s="60" t="s">
        <v>158</v>
      </c>
      <c r="E11" s="60" t="s">
        <v>221</v>
      </c>
      <c r="F11" s="60" t="s">
        <v>216</v>
      </c>
      <c r="G11" s="233">
        <v>20</v>
      </c>
      <c r="H11" s="233">
        <v>20</v>
      </c>
      <c r="I11" s="233">
        <v>0</v>
      </c>
      <c r="J11" s="233">
        <v>0</v>
      </c>
      <c r="K11" s="233">
        <v>20</v>
      </c>
      <c r="M11" s="25"/>
    </row>
    <row r="12" spans="2:18" ht="15" x14ac:dyDescent="0.25">
      <c r="B12" s="61" t="s">
        <v>41</v>
      </c>
      <c r="C12" s="60">
        <v>2021</v>
      </c>
      <c r="D12" s="60" t="s">
        <v>158</v>
      </c>
      <c r="E12" s="60" t="s">
        <v>222</v>
      </c>
      <c r="F12" s="60" t="s">
        <v>212</v>
      </c>
      <c r="G12" s="233">
        <v>40</v>
      </c>
      <c r="H12" s="233">
        <v>40</v>
      </c>
      <c r="I12" s="233">
        <v>0</v>
      </c>
      <c r="J12" s="233">
        <v>0</v>
      </c>
      <c r="K12" s="233">
        <v>39.999983359999995</v>
      </c>
      <c r="M12" s="25"/>
    </row>
    <row r="13" spans="2:18" ht="15" x14ac:dyDescent="0.25">
      <c r="B13" s="61" t="s">
        <v>42</v>
      </c>
      <c r="C13" s="60">
        <v>2021</v>
      </c>
      <c r="D13" s="60" t="s">
        <v>158</v>
      </c>
      <c r="E13" s="60" t="s">
        <v>229</v>
      </c>
      <c r="F13" s="60" t="s">
        <v>212</v>
      </c>
      <c r="G13" s="233">
        <v>3</v>
      </c>
      <c r="H13" s="233">
        <v>3</v>
      </c>
      <c r="I13" s="233">
        <v>0</v>
      </c>
      <c r="J13" s="233">
        <v>0</v>
      </c>
      <c r="K13" s="233">
        <v>3</v>
      </c>
      <c r="M13" s="25"/>
    </row>
    <row r="14" spans="2:18" ht="15" x14ac:dyDescent="0.25">
      <c r="B14" s="61" t="s">
        <v>43</v>
      </c>
      <c r="C14" s="60">
        <v>2021</v>
      </c>
      <c r="D14" s="60" t="s">
        <v>158</v>
      </c>
      <c r="E14" s="60" t="s">
        <v>230</v>
      </c>
      <c r="F14" s="60" t="s">
        <v>217</v>
      </c>
      <c r="G14" s="233">
        <v>5.0278211945578235</v>
      </c>
      <c r="H14" s="233">
        <v>5.0278211945578235</v>
      </c>
      <c r="I14" s="233">
        <v>0</v>
      </c>
      <c r="J14" s="233">
        <v>0</v>
      </c>
      <c r="K14" s="233">
        <v>5.0237201984774336</v>
      </c>
      <c r="M14" s="25"/>
    </row>
    <row r="15" spans="2:18" ht="15" x14ac:dyDescent="0.25">
      <c r="B15" s="61" t="s">
        <v>71</v>
      </c>
      <c r="C15" s="60">
        <v>2022</v>
      </c>
      <c r="D15" s="60" t="s">
        <v>158</v>
      </c>
      <c r="E15" s="60" t="s">
        <v>226</v>
      </c>
      <c r="F15" s="60" t="s">
        <v>214</v>
      </c>
      <c r="G15" s="233">
        <v>493.5</v>
      </c>
      <c r="H15" s="233">
        <v>493.5</v>
      </c>
      <c r="I15" s="233">
        <v>0</v>
      </c>
      <c r="J15" s="233">
        <v>0</v>
      </c>
      <c r="K15" s="233">
        <v>493.5</v>
      </c>
      <c r="M15" s="25"/>
    </row>
    <row r="16" spans="2:18" ht="15" x14ac:dyDescent="0.25">
      <c r="B16" s="61" t="s">
        <v>19</v>
      </c>
      <c r="C16" s="60">
        <v>2022</v>
      </c>
      <c r="D16" s="60" t="s">
        <v>158</v>
      </c>
      <c r="E16" s="60" t="s">
        <v>227</v>
      </c>
      <c r="F16" s="60" t="s">
        <v>215</v>
      </c>
      <c r="G16" s="233">
        <v>300</v>
      </c>
      <c r="H16" s="233">
        <v>300</v>
      </c>
      <c r="I16" s="233">
        <v>0</v>
      </c>
      <c r="J16" s="233">
        <v>0</v>
      </c>
      <c r="K16" s="233">
        <v>300</v>
      </c>
      <c r="M16" s="25"/>
    </row>
    <row r="17" spans="2:13" ht="15" x14ac:dyDescent="0.25">
      <c r="B17" s="61" t="s">
        <v>89</v>
      </c>
      <c r="C17" s="60">
        <v>2022</v>
      </c>
      <c r="D17" s="60" t="s">
        <v>158</v>
      </c>
      <c r="E17" s="60" t="s">
        <v>228</v>
      </c>
      <c r="F17" s="60" t="s">
        <v>212</v>
      </c>
      <c r="G17" s="233">
        <v>25</v>
      </c>
      <c r="H17" s="233">
        <v>12.5</v>
      </c>
      <c r="I17" s="233">
        <v>12.5</v>
      </c>
      <c r="J17" s="233">
        <v>0</v>
      </c>
      <c r="K17" s="233">
        <v>-0.5557849000000008</v>
      </c>
      <c r="M17" s="25"/>
    </row>
    <row r="18" spans="2:13" ht="15" x14ac:dyDescent="0.25">
      <c r="B18" s="61" t="s">
        <v>35</v>
      </c>
      <c r="C18" s="60">
        <v>2022</v>
      </c>
      <c r="D18" s="60" t="s">
        <v>158</v>
      </c>
      <c r="E18" s="60" t="s">
        <v>223</v>
      </c>
      <c r="F18" s="60" t="s">
        <v>214</v>
      </c>
      <c r="G18" s="233">
        <v>1600</v>
      </c>
      <c r="H18" s="233">
        <v>800</v>
      </c>
      <c r="I18" s="233">
        <v>800</v>
      </c>
      <c r="J18" s="233">
        <v>0</v>
      </c>
      <c r="K18" s="233">
        <f>1075.57839098788*0.8</f>
        <v>860.46271279030407</v>
      </c>
      <c r="M18" s="25"/>
    </row>
    <row r="19" spans="2:13" ht="15" x14ac:dyDescent="0.25">
      <c r="B19" s="61" t="s">
        <v>49</v>
      </c>
      <c r="C19" s="60">
        <v>2019</v>
      </c>
      <c r="D19" s="60" t="s">
        <v>44</v>
      </c>
      <c r="E19" s="60" t="s">
        <v>231</v>
      </c>
      <c r="F19" s="60" t="s">
        <v>212</v>
      </c>
      <c r="G19" s="233">
        <v>8</v>
      </c>
      <c r="H19" s="233">
        <v>8</v>
      </c>
      <c r="I19" s="233">
        <v>0</v>
      </c>
      <c r="J19" s="233">
        <v>0</v>
      </c>
      <c r="K19" s="233">
        <v>0</v>
      </c>
      <c r="M19" s="25"/>
    </row>
    <row r="20" spans="2:13" ht="15" x14ac:dyDescent="0.25">
      <c r="B20" s="61" t="s">
        <v>0</v>
      </c>
      <c r="C20" s="60">
        <v>2021</v>
      </c>
      <c r="D20" s="60" t="s">
        <v>44</v>
      </c>
      <c r="E20" s="60" t="s">
        <v>218</v>
      </c>
      <c r="F20" s="60" t="s">
        <v>214</v>
      </c>
      <c r="G20" s="233">
        <v>2.3539819999999998</v>
      </c>
      <c r="H20" s="233">
        <v>2.3539819999999998</v>
      </c>
      <c r="I20" s="233">
        <v>0</v>
      </c>
      <c r="J20" s="233">
        <v>0</v>
      </c>
      <c r="K20" s="233">
        <v>2.3539819999999998</v>
      </c>
      <c r="M20" s="25"/>
    </row>
    <row r="21" spans="2:13" ht="15" x14ac:dyDescent="0.25">
      <c r="B21" s="61" t="s">
        <v>40</v>
      </c>
      <c r="C21" s="60">
        <v>2021</v>
      </c>
      <c r="D21" s="60" t="s">
        <v>44</v>
      </c>
      <c r="E21" s="60" t="s">
        <v>219</v>
      </c>
      <c r="F21" s="60" t="s">
        <v>216</v>
      </c>
      <c r="G21" s="233">
        <v>0.41176499999999999</v>
      </c>
      <c r="H21" s="233">
        <v>0.41176499999999999</v>
      </c>
      <c r="I21" s="233">
        <v>0</v>
      </c>
      <c r="J21" s="233">
        <v>0</v>
      </c>
      <c r="K21" s="233">
        <v>0.45643868219178102</v>
      </c>
      <c r="M21" s="25"/>
    </row>
    <row r="22" spans="2:13" ht="15" x14ac:dyDescent="0.25">
      <c r="B22" s="61" t="s">
        <v>124</v>
      </c>
      <c r="C22" s="60">
        <v>2020</v>
      </c>
      <c r="D22" s="60" t="s">
        <v>53</v>
      </c>
      <c r="E22" s="60" t="s">
        <v>53</v>
      </c>
      <c r="F22" s="60" t="s">
        <v>217</v>
      </c>
      <c r="G22" s="233">
        <v>25.557908058353444</v>
      </c>
      <c r="H22" s="233">
        <v>21.611950741200001</v>
      </c>
      <c r="I22" s="233">
        <v>3.945957317153443</v>
      </c>
      <c r="J22" s="233">
        <v>0</v>
      </c>
      <c r="K22" s="233">
        <v>31.952799285000001</v>
      </c>
      <c r="M22" s="25"/>
    </row>
    <row r="23" spans="2:13" ht="15" x14ac:dyDescent="0.25">
      <c r="B23" s="61" t="s">
        <v>107</v>
      </c>
      <c r="C23" s="60">
        <v>2020</v>
      </c>
      <c r="D23" s="60" t="s">
        <v>53</v>
      </c>
      <c r="E23" s="60" t="s">
        <v>53</v>
      </c>
      <c r="F23" s="60" t="s">
        <v>217</v>
      </c>
      <c r="G23" s="233">
        <v>2.7058823529411762</v>
      </c>
      <c r="H23" s="233">
        <v>2.7058823529411762</v>
      </c>
      <c r="I23" s="233">
        <v>0</v>
      </c>
      <c r="J23" s="233">
        <v>0</v>
      </c>
      <c r="K23" s="233">
        <v>2.7058823529411762</v>
      </c>
      <c r="M23" s="25"/>
    </row>
    <row r="24" spans="2:13" ht="15" x14ac:dyDescent="0.25">
      <c r="B24" s="61" t="s">
        <v>1</v>
      </c>
      <c r="C24" s="60">
        <v>2020</v>
      </c>
      <c r="D24" s="60" t="s">
        <v>53</v>
      </c>
      <c r="E24" s="60" t="s">
        <v>53</v>
      </c>
      <c r="F24" s="60" t="s">
        <v>214</v>
      </c>
      <c r="G24" s="233">
        <v>300</v>
      </c>
      <c r="H24" s="233">
        <v>83.214652999999984</v>
      </c>
      <c r="I24" s="233">
        <v>217.81330800000001</v>
      </c>
      <c r="J24" s="233">
        <v>1.0279609999999999</v>
      </c>
      <c r="K24" s="233">
        <v>79.319999999999993</v>
      </c>
      <c r="M24" s="25"/>
    </row>
    <row r="25" spans="2:13" ht="15" x14ac:dyDescent="0.25">
      <c r="B25" s="61" t="s">
        <v>12</v>
      </c>
      <c r="C25" s="60">
        <v>2020</v>
      </c>
      <c r="D25" s="60" t="s">
        <v>53</v>
      </c>
      <c r="E25" s="60" t="s">
        <v>53</v>
      </c>
      <c r="F25" s="60" t="s">
        <v>214</v>
      </c>
      <c r="G25" s="233">
        <v>50</v>
      </c>
      <c r="H25" s="233">
        <v>16.790246</v>
      </c>
      <c r="I25" s="233">
        <v>33.209754000000004</v>
      </c>
      <c r="J25" s="233">
        <v>0.44382834999999998</v>
      </c>
      <c r="K25" s="233">
        <v>15.875237</v>
      </c>
      <c r="M25" s="25"/>
    </row>
    <row r="26" spans="2:13" ht="15" x14ac:dyDescent="0.25">
      <c r="B26" s="61" t="s">
        <v>175</v>
      </c>
      <c r="C26" s="60">
        <v>2021</v>
      </c>
      <c r="D26" s="60" t="s">
        <v>53</v>
      </c>
      <c r="E26" s="60" t="s">
        <v>53</v>
      </c>
      <c r="F26" s="60" t="s">
        <v>212</v>
      </c>
      <c r="G26" s="233">
        <v>17.112500000000001</v>
      </c>
      <c r="H26" s="233">
        <v>10.6268625</v>
      </c>
      <c r="I26" s="233">
        <v>6.4856375000000011</v>
      </c>
      <c r="J26" s="233">
        <v>0</v>
      </c>
      <c r="K26" s="233">
        <v>10.343446999999999</v>
      </c>
      <c r="M26" s="25"/>
    </row>
    <row r="27" spans="2:13" ht="15" x14ac:dyDescent="0.25">
      <c r="G27" s="232"/>
      <c r="H27" s="232"/>
      <c r="I27" s="232"/>
      <c r="J27" s="232"/>
      <c r="M27" s="25"/>
    </row>
    <row r="28" spans="2:13" ht="15" x14ac:dyDescent="0.25">
      <c r="G28" s="237">
        <f>SUM(G4:G26)</f>
        <v>3269.6401182802188</v>
      </c>
      <c r="H28" s="237">
        <f>SUM(H4:H26)</f>
        <v>2196.7134224630649</v>
      </c>
      <c r="I28" s="237">
        <f>SUM(I4:I26)</f>
        <v>1073.9546568171534</v>
      </c>
      <c r="J28" s="237">
        <f t="shared" ref="J28:K28" si="0">SUM(J4:J26)</f>
        <v>6.4717893499999999</v>
      </c>
      <c r="K28" s="237">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84"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s="96" customFormat="1" ht="29.25" thickBot="1" x14ac:dyDescent="0.5">
      <c r="C2" s="215" t="s">
        <v>205</v>
      </c>
      <c r="D2" s="216"/>
      <c r="E2" s="216"/>
      <c r="F2" s="223"/>
      <c r="G2" s="223"/>
      <c r="H2" s="223"/>
      <c r="I2" s="217"/>
      <c r="J2" s="217"/>
    </row>
    <row r="3" spans="2:16" s="71" customFormat="1" ht="15.75" thickBot="1" x14ac:dyDescent="0.3">
      <c r="C3" s="353"/>
      <c r="D3" s="158" t="s">
        <v>187</v>
      </c>
      <c r="E3" s="354">
        <f>D!D2</f>
        <v>45351</v>
      </c>
      <c r="F3" s="353"/>
      <c r="G3" s="353"/>
      <c r="H3" s="216"/>
      <c r="I3" s="26"/>
      <c r="J3" s="26"/>
    </row>
    <row r="4" spans="2:16" s="96" customFormat="1" x14ac:dyDescent="0.25">
      <c r="C4" s="219"/>
      <c r="D4" s="220"/>
      <c r="E4" s="217"/>
      <c r="F4" s="217"/>
      <c r="G4" s="217"/>
      <c r="H4" s="217"/>
      <c r="I4" s="217"/>
      <c r="J4" s="217"/>
    </row>
    <row r="5" spans="2:16" ht="15.75" thickBot="1" x14ac:dyDescent="0.3">
      <c r="C5" s="85"/>
    </row>
    <row r="6" spans="2:16" s="93" customFormat="1" x14ac:dyDescent="0.25">
      <c r="B6" s="26"/>
      <c r="C6" s="346"/>
      <c r="D6" s="347"/>
      <c r="E6" s="347"/>
      <c r="F6" s="88"/>
      <c r="G6" s="88"/>
      <c r="H6" s="348"/>
      <c r="I6" s="27"/>
      <c r="J6" s="384"/>
      <c r="K6" s="347"/>
      <c r="L6" s="347"/>
      <c r="M6" s="347"/>
      <c r="N6" s="347"/>
      <c r="O6" s="347"/>
      <c r="P6" s="385"/>
    </row>
    <row r="7" spans="2:16" ht="30" customHeight="1" x14ac:dyDescent="0.25">
      <c r="C7" s="349"/>
      <c r="D7" s="3" t="s">
        <v>52</v>
      </c>
      <c r="E7" s="1" t="s">
        <v>159</v>
      </c>
      <c r="F7" s="1" t="s">
        <v>204</v>
      </c>
      <c r="G7" s="1" t="s">
        <v>335</v>
      </c>
      <c r="H7" s="322"/>
      <c r="J7" s="350"/>
      <c r="K7" s="576" t="s">
        <v>336</v>
      </c>
      <c r="L7" s="576"/>
      <c r="M7" s="109"/>
      <c r="N7" s="576" t="s">
        <v>337</v>
      </c>
      <c r="O7" s="576"/>
      <c r="P7" s="98"/>
    </row>
    <row r="8" spans="2:16" x14ac:dyDescent="0.25">
      <c r="C8" s="349"/>
      <c r="D8" s="4" t="s">
        <v>71</v>
      </c>
      <c r="E8" s="266" t="s">
        <v>158</v>
      </c>
      <c r="F8" s="17">
        <f ca="1">VLOOKUP(D8,'S | 01 '!$C$6:$R$48,13,0)</f>
        <v>-90.500956199999962</v>
      </c>
      <c r="G8" s="355">
        <v>0</v>
      </c>
      <c r="H8" s="322"/>
      <c r="J8" s="350"/>
      <c r="K8" s="4" t="s">
        <v>48</v>
      </c>
      <c r="L8" s="17">
        <f t="shared" ref="L8:L25" si="0">VLOOKUP(K8,$D$7:$G$33,4,0)</f>
        <v>-65</v>
      </c>
      <c r="M8" s="109"/>
      <c r="N8" s="4" t="s">
        <v>35</v>
      </c>
      <c r="O8" s="17">
        <f t="shared" ref="O8:O15" si="1">VLOOKUP(N8,$D$7:$G$33,4,0)</f>
        <v>0</v>
      </c>
      <c r="P8" s="98"/>
    </row>
    <row r="9" spans="2:16" x14ac:dyDescent="0.25">
      <c r="C9" s="349"/>
      <c r="D9" s="4" t="s">
        <v>48</v>
      </c>
      <c r="E9" s="266" t="s">
        <v>158</v>
      </c>
      <c r="F9" s="17">
        <f ca="1">VLOOKUP(D9,'S | 01 '!$C$6:$R$48,13,0)</f>
        <v>-65</v>
      </c>
      <c r="G9" s="17">
        <v>-65</v>
      </c>
      <c r="H9" s="322"/>
      <c r="J9" s="350"/>
      <c r="K9" s="4" t="s">
        <v>9</v>
      </c>
      <c r="L9" s="17">
        <f t="shared" si="0"/>
        <v>-39.700000000000003</v>
      </c>
      <c r="M9" s="109"/>
      <c r="N9" s="4" t="s">
        <v>19</v>
      </c>
      <c r="O9" s="17">
        <f t="shared" si="1"/>
        <v>0</v>
      </c>
      <c r="P9" s="98"/>
    </row>
    <row r="10" spans="2:16" x14ac:dyDescent="0.25">
      <c r="C10" s="349"/>
      <c r="D10" s="4" t="s">
        <v>89</v>
      </c>
      <c r="E10" s="266" t="s">
        <v>158</v>
      </c>
      <c r="F10" s="17">
        <f ca="1">VLOOKUP(D10,'S | 01 '!$C$6:$R$48,13,0)</f>
        <v>-19.97426965</v>
      </c>
      <c r="G10" s="355">
        <v>0</v>
      </c>
      <c r="H10" s="322"/>
      <c r="J10" s="350"/>
      <c r="K10" s="4" t="s">
        <v>49</v>
      </c>
      <c r="L10" s="17">
        <f t="shared" si="0"/>
        <v>-8</v>
      </c>
      <c r="M10" s="109"/>
      <c r="N10" s="4" t="s">
        <v>89</v>
      </c>
      <c r="O10" s="17">
        <f t="shared" si="1"/>
        <v>0</v>
      </c>
      <c r="P10" s="98"/>
    </row>
    <row r="11" spans="2:16" x14ac:dyDescent="0.25">
      <c r="C11" s="349"/>
      <c r="D11" s="4" t="s">
        <v>49</v>
      </c>
      <c r="E11" s="266" t="s">
        <v>44</v>
      </c>
      <c r="F11" s="17">
        <f>VLOOKUP(D11,'S | 01 '!$C$6:$R$48,13,0)</f>
        <v>-8</v>
      </c>
      <c r="G11" s="17">
        <v>-8</v>
      </c>
      <c r="H11" s="322"/>
      <c r="J11" s="350"/>
      <c r="K11" s="4" t="s">
        <v>0</v>
      </c>
      <c r="L11" s="17">
        <f t="shared" si="0"/>
        <v>-6.3</v>
      </c>
      <c r="M11" s="109"/>
      <c r="N11" s="4" t="s">
        <v>380</v>
      </c>
      <c r="O11" s="17">
        <f t="shared" si="1"/>
        <v>0</v>
      </c>
      <c r="P11" s="98"/>
    </row>
    <row r="12" spans="2:16" x14ac:dyDescent="0.25">
      <c r="C12" s="349"/>
      <c r="D12" s="4" t="s">
        <v>0</v>
      </c>
      <c r="E12" s="266" t="s">
        <v>158</v>
      </c>
      <c r="F12" s="17">
        <f ca="1">VLOOKUP(D12,'S | 01 '!$C$6:$R$48,13,0)</f>
        <v>-8</v>
      </c>
      <c r="G12" s="356">
        <v>-6.3</v>
      </c>
      <c r="H12" s="322"/>
      <c r="J12" s="350"/>
      <c r="K12" s="4" t="s">
        <v>38</v>
      </c>
      <c r="L12" s="17">
        <f t="shared" si="0"/>
        <v>0</v>
      </c>
      <c r="M12" s="109"/>
      <c r="N12" s="4" t="s">
        <v>175</v>
      </c>
      <c r="O12" s="17">
        <f t="shared" si="1"/>
        <v>0</v>
      </c>
      <c r="P12" s="98"/>
    </row>
    <row r="13" spans="2:16" x14ac:dyDescent="0.25">
      <c r="C13" s="349"/>
      <c r="D13" s="4" t="s">
        <v>12</v>
      </c>
      <c r="E13" s="266" t="s">
        <v>53</v>
      </c>
      <c r="F13" s="17">
        <f ca="1">VLOOKUP(D13,'S | 01 '!$C$6:$R$48,13,0)</f>
        <v>0.44382835000000043</v>
      </c>
      <c r="G13" s="17">
        <v>3.5</v>
      </c>
      <c r="H13" s="322"/>
      <c r="J13" s="350"/>
      <c r="K13" s="4" t="s">
        <v>42</v>
      </c>
      <c r="L13" s="17">
        <f t="shared" si="0"/>
        <v>0</v>
      </c>
      <c r="M13" s="109"/>
      <c r="N13" s="4" t="s">
        <v>124</v>
      </c>
      <c r="O13" s="17">
        <f t="shared" si="1"/>
        <v>1</v>
      </c>
      <c r="P13" s="98"/>
    </row>
    <row r="14" spans="2:16" x14ac:dyDescent="0.25">
      <c r="C14" s="349"/>
      <c r="D14" s="4" t="s">
        <v>175</v>
      </c>
      <c r="E14" s="266" t="s">
        <v>53</v>
      </c>
      <c r="F14" s="17">
        <f ca="1">VLOOKUP(D14,'S | 01 '!$C$6:$R$48,13,0)</f>
        <v>-1.7047124999999994</v>
      </c>
      <c r="G14" s="17">
        <v>0</v>
      </c>
      <c r="H14" s="322"/>
      <c r="J14" s="350"/>
      <c r="K14" s="4" t="s">
        <v>71</v>
      </c>
      <c r="L14" s="17">
        <f t="shared" si="0"/>
        <v>0</v>
      </c>
      <c r="M14" s="109"/>
      <c r="N14" s="4" t="s">
        <v>12</v>
      </c>
      <c r="O14" s="17">
        <f t="shared" si="1"/>
        <v>3.5</v>
      </c>
      <c r="P14" s="98"/>
    </row>
    <row r="15" spans="2:16" x14ac:dyDescent="0.25">
      <c r="C15" s="349"/>
      <c r="D15" s="4" t="s">
        <v>1</v>
      </c>
      <c r="E15" s="266" t="s">
        <v>53</v>
      </c>
      <c r="F15" s="17">
        <f ca="1">VLOOKUP(D15,'S | 01 '!$C$6:$R$48,13,0)</f>
        <v>-0.6729209999999739</v>
      </c>
      <c r="G15" s="17">
        <v>6.6</v>
      </c>
      <c r="H15" s="322"/>
      <c r="J15" s="350"/>
      <c r="K15" s="4" t="s">
        <v>269</v>
      </c>
      <c r="L15" s="17">
        <f t="shared" si="0"/>
        <v>0</v>
      </c>
      <c r="M15" s="109"/>
      <c r="N15" s="4" t="s">
        <v>1</v>
      </c>
      <c r="O15" s="17">
        <f t="shared" si="1"/>
        <v>6.6</v>
      </c>
      <c r="P15" s="98"/>
    </row>
    <row r="16" spans="2:16" x14ac:dyDescent="0.25">
      <c r="C16" s="349"/>
      <c r="D16" s="4" t="s">
        <v>271</v>
      </c>
      <c r="E16" s="266" t="s">
        <v>44</v>
      </c>
      <c r="F16" s="17">
        <f>VLOOKUP(D16,'S | 01 '!$C$6:$R$48,13,0)</f>
        <v>-2.3539819999999998</v>
      </c>
      <c r="G16" s="17">
        <v>0</v>
      </c>
      <c r="H16" s="322"/>
      <c r="J16" s="350"/>
      <c r="K16" s="4" t="s">
        <v>304</v>
      </c>
      <c r="L16" s="17">
        <f t="shared" si="0"/>
        <v>0</v>
      </c>
      <c r="M16" s="24"/>
      <c r="N16" s="109"/>
      <c r="O16" s="109"/>
      <c r="P16" s="98"/>
    </row>
    <row r="17" spans="2:16" x14ac:dyDescent="0.25">
      <c r="C17" s="349"/>
      <c r="D17" s="4" t="s">
        <v>18</v>
      </c>
      <c r="E17" s="266" t="s">
        <v>158</v>
      </c>
      <c r="F17" s="17">
        <f ca="1">VLOOKUP(D17,'S | 01 '!$C$6:$R$48,13,0)</f>
        <v>4.5</v>
      </c>
      <c r="G17" s="17">
        <v>0</v>
      </c>
      <c r="H17" s="322"/>
      <c r="J17" s="350"/>
      <c r="K17" s="4" t="s">
        <v>41</v>
      </c>
      <c r="L17" s="17">
        <f t="shared" si="0"/>
        <v>0</v>
      </c>
      <c r="M17" s="24"/>
      <c r="P17" s="98"/>
    </row>
    <row r="18" spans="2:16" x14ac:dyDescent="0.25">
      <c r="C18" s="349"/>
      <c r="D18" s="4" t="s">
        <v>269</v>
      </c>
      <c r="E18" s="266" t="s">
        <v>158</v>
      </c>
      <c r="F18" s="17">
        <f ca="1">VLOOKUP(D18,'S | 01 '!$C$6:$R$48,13,0)</f>
        <v>0</v>
      </c>
      <c r="G18" s="355">
        <v>0</v>
      </c>
      <c r="H18" s="322"/>
      <c r="J18" s="350"/>
      <c r="K18" s="4" t="s">
        <v>43</v>
      </c>
      <c r="L18" s="17">
        <f t="shared" si="0"/>
        <v>0</v>
      </c>
      <c r="M18" s="109"/>
      <c r="N18" s="109"/>
      <c r="O18" s="109"/>
      <c r="P18" s="98"/>
    </row>
    <row r="19" spans="2:16" x14ac:dyDescent="0.25">
      <c r="C19" s="349"/>
      <c r="D19" s="4" t="s">
        <v>304</v>
      </c>
      <c r="E19" s="266" t="s">
        <v>158</v>
      </c>
      <c r="F19" s="17">
        <f ca="1">VLOOKUP(D19,'S | 01 '!$C$6:$R$48,13,0)</f>
        <v>5.8881215399999967</v>
      </c>
      <c r="G19" s="355">
        <v>0</v>
      </c>
      <c r="H19" s="322"/>
      <c r="J19" s="350"/>
      <c r="K19" s="4" t="s">
        <v>18</v>
      </c>
      <c r="L19" s="17">
        <f t="shared" si="0"/>
        <v>0</v>
      </c>
      <c r="M19" s="24"/>
      <c r="N19" s="109"/>
      <c r="O19" s="109"/>
      <c r="P19" s="98"/>
    </row>
    <row r="20" spans="2:16" x14ac:dyDescent="0.25">
      <c r="C20" s="349"/>
      <c r="D20" s="4" t="s">
        <v>41</v>
      </c>
      <c r="E20" s="266" t="s">
        <v>158</v>
      </c>
      <c r="F20" s="17">
        <f ca="1">VLOOKUP(D20,'S | 01 '!$C$6:$R$48,13,0)</f>
        <v>0</v>
      </c>
      <c r="G20" s="17">
        <v>0</v>
      </c>
      <c r="H20" s="322"/>
      <c r="J20" s="350"/>
      <c r="K20" s="4" t="s">
        <v>263</v>
      </c>
      <c r="L20" s="17">
        <f t="shared" si="0"/>
        <v>0</v>
      </c>
      <c r="M20" s="24"/>
      <c r="N20" s="109"/>
      <c r="O20" s="109"/>
      <c r="P20" s="98"/>
    </row>
    <row r="21" spans="2:16" x14ac:dyDescent="0.25">
      <c r="C21" s="349"/>
      <c r="D21" s="4" t="s">
        <v>42</v>
      </c>
      <c r="E21" s="266" t="s">
        <v>158</v>
      </c>
      <c r="F21" s="17">
        <f ca="1">VLOOKUP(D21,'S | 01 '!$C$6:$R$48,13,0)</f>
        <v>0</v>
      </c>
      <c r="G21" s="17">
        <v>0</v>
      </c>
      <c r="H21" s="322"/>
      <c r="J21" s="350"/>
      <c r="K21" s="4" t="s">
        <v>271</v>
      </c>
      <c r="L21" s="17">
        <f t="shared" si="0"/>
        <v>0</v>
      </c>
      <c r="M21" s="24"/>
      <c r="N21" s="109"/>
      <c r="O21" s="109"/>
      <c r="P21" s="98"/>
    </row>
    <row r="22" spans="2:16" x14ac:dyDescent="0.25">
      <c r="C22" s="349"/>
      <c r="D22" s="4" t="s">
        <v>19</v>
      </c>
      <c r="E22" s="266" t="s">
        <v>158</v>
      </c>
      <c r="F22" s="17">
        <f ca="1">VLOOKUP(D22,'S | 01 '!$C$6:$R$48,13,0)</f>
        <v>0</v>
      </c>
      <c r="G22" s="355">
        <v>0</v>
      </c>
      <c r="H22" s="322"/>
      <c r="J22" s="350"/>
      <c r="K22" s="4" t="s">
        <v>40</v>
      </c>
      <c r="L22" s="17">
        <f t="shared" si="0"/>
        <v>2.5</v>
      </c>
      <c r="M22" s="24"/>
      <c r="N22" s="109"/>
      <c r="O22" s="109"/>
      <c r="P22" s="98"/>
    </row>
    <row r="23" spans="2:16" x14ac:dyDescent="0.25">
      <c r="C23" s="349"/>
      <c r="D23" s="4" t="s">
        <v>381</v>
      </c>
      <c r="E23" s="266" t="s">
        <v>158</v>
      </c>
      <c r="F23" s="17">
        <f ca="1">VLOOKUP(D23,'S | 01 '!$C$6:$R$48,13,0)</f>
        <v>0</v>
      </c>
      <c r="G23" s="17">
        <v>69.099999999999994</v>
      </c>
      <c r="H23" s="322"/>
      <c r="J23" s="350"/>
      <c r="K23" s="4" t="s">
        <v>39</v>
      </c>
      <c r="L23" s="17">
        <f t="shared" si="0"/>
        <v>68.099999999999994</v>
      </c>
      <c r="M23" s="24"/>
      <c r="N23" s="109"/>
      <c r="O23" s="109"/>
      <c r="P23" s="98"/>
    </row>
    <row r="24" spans="2:16" x14ac:dyDescent="0.25">
      <c r="C24" s="349"/>
      <c r="D24" s="4" t="s">
        <v>263</v>
      </c>
      <c r="E24" s="266" t="s">
        <v>44</v>
      </c>
      <c r="F24" s="17">
        <f>VLOOKUP(D24,'S | 01 '!$C$6:$R$48,13,0)</f>
        <v>5.9019650000000035E-2</v>
      </c>
      <c r="G24" s="17">
        <v>0</v>
      </c>
      <c r="H24" s="322"/>
      <c r="J24" s="350"/>
      <c r="K24" s="4" t="s">
        <v>381</v>
      </c>
      <c r="L24" s="17">
        <f t="shared" si="0"/>
        <v>69.099999999999994</v>
      </c>
      <c r="M24" s="24"/>
      <c r="N24" s="109"/>
      <c r="O24" s="109"/>
      <c r="P24" s="98"/>
    </row>
    <row r="25" spans="2:16" x14ac:dyDescent="0.25">
      <c r="C25" s="349"/>
      <c r="D25" s="4" t="s">
        <v>380</v>
      </c>
      <c r="E25" s="266" t="s">
        <v>53</v>
      </c>
      <c r="F25" s="17">
        <f ca="1">VLOOKUP(D25,'S | 01 '!$C$6:$R$48,13,0)</f>
        <v>0.4043492500259851</v>
      </c>
      <c r="G25" s="17">
        <v>0</v>
      </c>
      <c r="H25" s="322"/>
      <c r="J25" s="350"/>
      <c r="K25" s="4" t="s">
        <v>88</v>
      </c>
      <c r="L25" s="17">
        <f t="shared" si="0"/>
        <v>275.8</v>
      </c>
      <c r="M25" s="109"/>
      <c r="N25" s="109"/>
      <c r="O25" s="109"/>
      <c r="P25" s="98"/>
    </row>
    <row r="26" spans="2:16" x14ac:dyDescent="0.25">
      <c r="C26" s="349"/>
      <c r="D26" s="4" t="s">
        <v>38</v>
      </c>
      <c r="E26" s="266" t="s">
        <v>158</v>
      </c>
      <c r="F26" s="17">
        <f ca="1">VLOOKUP(D26,'S | 01 '!$C$6:$R$48,13,0)</f>
        <v>1.001540300000002</v>
      </c>
      <c r="G26" s="17">
        <v>0</v>
      </c>
      <c r="H26" s="322"/>
      <c r="J26" s="350"/>
      <c r="M26" s="109"/>
      <c r="N26" s="109"/>
      <c r="O26" s="109"/>
      <c r="P26" s="98"/>
    </row>
    <row r="27" spans="2:16" x14ac:dyDescent="0.25">
      <c r="C27" s="349"/>
      <c r="D27" s="4" t="s">
        <v>43</v>
      </c>
      <c r="E27" s="266" t="s">
        <v>158</v>
      </c>
      <c r="F27" s="17">
        <f ca="1">VLOOKUP(D27,'S | 01 '!$C$6:$R$48,13,0)</f>
        <v>2.9184723315225654</v>
      </c>
      <c r="G27" s="17">
        <v>0</v>
      </c>
      <c r="H27" s="322"/>
      <c r="J27" s="350"/>
      <c r="M27" s="109"/>
      <c r="N27" s="109"/>
      <c r="O27" s="109"/>
      <c r="P27" s="98"/>
    </row>
    <row r="28" spans="2:16" x14ac:dyDescent="0.25">
      <c r="C28" s="349"/>
      <c r="D28" s="4" t="s">
        <v>88</v>
      </c>
      <c r="E28" s="266" t="s">
        <v>158</v>
      </c>
      <c r="F28" s="17">
        <f ca="1">VLOOKUP(D28,'S | 01 '!$C$6:$R$48,13,0)</f>
        <v>-67.037805179366501</v>
      </c>
      <c r="G28" s="17">
        <v>275.8</v>
      </c>
      <c r="H28" s="322"/>
      <c r="J28" s="350"/>
      <c r="M28" s="109"/>
      <c r="N28" s="109"/>
      <c r="O28" s="109"/>
      <c r="P28" s="98"/>
    </row>
    <row r="29" spans="2:16" s="96" customFormat="1" x14ac:dyDescent="0.25">
      <c r="B29" s="26"/>
      <c r="C29" s="94"/>
      <c r="D29" s="4" t="s">
        <v>40</v>
      </c>
      <c r="E29" s="266" t="s">
        <v>158</v>
      </c>
      <c r="F29" s="17">
        <f ca="1">VLOOKUP(D29,'S | 01 '!$C$6:$R$48,13,0)</f>
        <v>2.5</v>
      </c>
      <c r="G29" s="17">
        <v>2.5</v>
      </c>
      <c r="H29" s="322"/>
      <c r="I29" s="27"/>
      <c r="J29" s="350"/>
      <c r="K29" s="222"/>
      <c r="L29" s="222"/>
      <c r="M29" s="222"/>
      <c r="N29" s="222"/>
      <c r="O29" s="222"/>
      <c r="P29" s="95"/>
    </row>
    <row r="30" spans="2:16" s="27" customFormat="1" x14ac:dyDescent="0.25">
      <c r="B30" s="26"/>
      <c r="C30" s="350"/>
      <c r="D30" s="4" t="s">
        <v>124</v>
      </c>
      <c r="E30" s="266" t="s">
        <v>53</v>
      </c>
      <c r="F30" s="17">
        <f ca="1">VLOOKUP(D30,'S | 01 '!$C$6:$R$48,13,0)</f>
        <v>5.0461316351951915</v>
      </c>
      <c r="G30" s="17">
        <v>1</v>
      </c>
      <c r="H30" s="322"/>
      <c r="J30" s="350"/>
      <c r="K30" s="201"/>
      <c r="L30" s="201"/>
      <c r="M30" s="201"/>
      <c r="N30" s="201"/>
      <c r="O30" s="201"/>
      <c r="P30" s="322"/>
    </row>
    <row r="31" spans="2:16" s="27" customFormat="1" x14ac:dyDescent="0.25">
      <c r="B31" s="26"/>
      <c r="C31" s="350"/>
      <c r="D31" s="4" t="s">
        <v>35</v>
      </c>
      <c r="E31" s="266" t="s">
        <v>158</v>
      </c>
      <c r="F31" s="17">
        <f ca="1">VLOOKUP(D31,'S | 01 '!$C$6:$R$48,13,0)</f>
        <v>2.7999999999999545</v>
      </c>
      <c r="G31" s="355">
        <v>0</v>
      </c>
      <c r="H31" s="322"/>
      <c r="J31" s="350"/>
      <c r="K31" s="357" t="s">
        <v>204</v>
      </c>
      <c r="L31" s="358">
        <f>SUM(L8:L25)</f>
        <v>296.5</v>
      </c>
      <c r="M31" s="201"/>
      <c r="N31" s="363" t="s">
        <v>57</v>
      </c>
      <c r="O31" s="364">
        <f>SUM(O8:O16)</f>
        <v>11.1</v>
      </c>
      <c r="P31" s="322"/>
    </row>
    <row r="32" spans="2:16" s="27" customFormat="1" x14ac:dyDescent="0.25">
      <c r="B32" s="26"/>
      <c r="C32" s="350"/>
      <c r="D32" s="4" t="s">
        <v>39</v>
      </c>
      <c r="E32" s="266" t="s">
        <v>158</v>
      </c>
      <c r="F32" s="17">
        <f ca="1">VLOOKUP(D32,'S | 01 '!$C$6:$R$48,13,0)</f>
        <v>68.082229999999996</v>
      </c>
      <c r="G32" s="17">
        <v>68.099999999999994</v>
      </c>
      <c r="H32" s="322"/>
      <c r="J32" s="350"/>
      <c r="K32" s="359" t="s">
        <v>338</v>
      </c>
      <c r="L32" s="360">
        <f ca="1">'S | 02'!O30</f>
        <v>-52.90039327972454</v>
      </c>
      <c r="M32" s="201"/>
      <c r="N32" s="201"/>
      <c r="O32" s="201"/>
      <c r="P32" s="322"/>
    </row>
    <row r="33" spans="2:16" s="27" customFormat="1" x14ac:dyDescent="0.25">
      <c r="B33" s="26"/>
      <c r="C33" s="350"/>
      <c r="D33" s="4" t="s">
        <v>9</v>
      </c>
      <c r="E33" s="266" t="s">
        <v>158</v>
      </c>
      <c r="F33" s="17">
        <f ca="1">VLOOKUP(D33,'S | 01 '!$C$6:$R$48,13,0)</f>
        <v>88.049841278119402</v>
      </c>
      <c r="G33" s="17">
        <v>-39.700000000000003</v>
      </c>
      <c r="H33" s="322"/>
      <c r="J33" s="350"/>
      <c r="K33" s="361" t="s">
        <v>339</v>
      </c>
      <c r="L33" s="362">
        <f ca="1">L32-L31</f>
        <v>-349.40039327972454</v>
      </c>
      <c r="M33" s="201"/>
      <c r="N33" s="201"/>
      <c r="O33" s="201"/>
      <c r="P33" s="322"/>
    </row>
    <row r="34" spans="2:16" s="27" customFormat="1" ht="15.75" thickBot="1" x14ac:dyDescent="0.3">
      <c r="B34" s="26"/>
      <c r="C34" s="351"/>
      <c r="D34" s="103"/>
      <c r="E34" s="141"/>
      <c r="F34" s="141"/>
      <c r="G34" s="141"/>
      <c r="H34" s="352"/>
      <c r="J34" s="386"/>
      <c r="K34" s="141"/>
      <c r="L34" s="141"/>
      <c r="M34" s="141"/>
      <c r="N34" s="141"/>
      <c r="O34" s="141"/>
      <c r="P34" s="352"/>
    </row>
    <row r="35" spans="2:16" s="27" customFormat="1" x14ac:dyDescent="0.25">
      <c r="B35" s="26"/>
      <c r="C35" s="85"/>
    </row>
    <row r="36" spans="2:16" s="27" customFormat="1" x14ac:dyDescent="0.25">
      <c r="B36" s="26"/>
      <c r="C36" s="85"/>
    </row>
    <row r="37" spans="2:16" s="27" customFormat="1" x14ac:dyDescent="0.25">
      <c r="B37" s="26"/>
      <c r="C37" s="85"/>
    </row>
    <row r="38" spans="2:16" s="27" customFormat="1" x14ac:dyDescent="0.25">
      <c r="B38" s="26"/>
      <c r="C38" s="84"/>
      <c r="D38" s="535"/>
    </row>
    <row r="39" spans="2:16" x14ac:dyDescent="0.25">
      <c r="D39" s="535"/>
    </row>
    <row r="40" spans="2:16" x14ac:dyDescent="0.25">
      <c r="D40" s="535"/>
    </row>
    <row r="41" spans="2:16" x14ac:dyDescent="0.25">
      <c r="D41" s="535"/>
    </row>
    <row r="42" spans="2:16" s="27" customFormat="1" x14ac:dyDescent="0.25">
      <c r="B42" s="26"/>
      <c r="C42" s="85"/>
      <c r="D42" s="535"/>
    </row>
    <row r="43" spans="2:16" s="27" customFormat="1" x14ac:dyDescent="0.25">
      <c r="B43" s="26"/>
      <c r="D43" s="535"/>
    </row>
    <row r="44" spans="2:16" s="27" customFormat="1" x14ac:dyDescent="0.25">
      <c r="B44" s="26"/>
      <c r="D44" s="535"/>
    </row>
  </sheetData>
  <sortState ref="N8:O15">
    <sortCondition ref="O8:O15"/>
  </sortState>
  <mergeCells count="2">
    <mergeCell ref="K7:L7"/>
    <mergeCell ref="N7:O7"/>
  </mergeCell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Props1.xml><?xml version="1.0" encoding="utf-8"?>
<ds:datastoreItem xmlns:ds="http://schemas.openxmlformats.org/officeDocument/2006/customXml" ds:itemID="{BF327BB3-7419-4C49-92F4-08E7D4586F2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BC0C2BB1-9E2C-4ABE-972D-41E09998C012}">
  <ds:schemaRefs>
    <ds:schemaRef ds:uri="http://www.w3.org/2001/XMLSchema"/>
    <ds:schemaRef ds:uri="http://www.boldonjames.com/2016/02/Classifier/internal/wrappedLabelHistory"/>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5</vt:i4>
      </vt:variant>
    </vt:vector>
  </HeadingPairs>
  <TitlesOfParts>
    <vt:vector size="28" baseType="lpstr">
      <vt:lpstr>D</vt:lpstr>
      <vt:lpstr>S | 01 </vt:lpstr>
      <vt:lpstr>S | 02</vt:lpstr>
      <vt:lpstr>S | 03</vt:lpstr>
      <vt:lpstr>NAV</vt:lpstr>
      <vt:lpstr>CF (Equity, Debt)</vt:lpstr>
      <vt:lpstr>CF (Funds)</vt:lpstr>
      <vt:lpstr>1. IRR Equity</vt:lpstr>
      <vt:lpstr>2. IRR Debt</vt:lpstr>
      <vt:lpstr>3. IRR Funds</vt:lpstr>
      <vt:lpstr>4.All</vt:lpstr>
      <vt:lpstr>5. Mozn-IRR</vt:lpstr>
      <vt:lpstr>5. G42 Investments-IRR</vt:lpstr>
      <vt:lpstr>5.Core42-IRR</vt:lpstr>
      <vt:lpstr>5.G42 Capital-IRR</vt:lpstr>
      <vt:lpstr>5. Glossary</vt:lpstr>
      <vt:lpstr>6. %</vt:lpstr>
      <vt:lpstr>7. Board</vt:lpstr>
      <vt:lpstr>8. Log</vt:lpstr>
      <vt:lpstr>5. CF Profile</vt:lpstr>
      <vt:lpstr>5. NewSpace</vt:lpstr>
      <vt:lpstr>1.1 Geo</vt:lpstr>
      <vt:lpstr>1.2 Attribution</vt:lpstr>
      <vt:lpstr>'5. Glossary'!Print_Area</vt:lpstr>
      <vt:lpstr>D!Print_Area</vt:lpstr>
      <vt:lpstr>NAV!Print_Area</vt:lpstr>
      <vt:lpstr>'S | 02'!Print_Area</vt:lpstr>
      <vt:lpstr>'S | 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2024-03-09T11:02:51Z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ies>
</file>