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305" documentId="8_{83739EF1-3662-4E03-A044-273B4F53F998}" xr6:coauthVersionLast="47" xr6:coauthVersionMax="47" xr10:uidLastSave="{4FD980E5-3236-4F0F-B4DE-EEE2ECEFD1DA}"/>
  <bookViews>
    <workbookView xWindow="-12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 sheetId="44" r:id="rId7"/>
    <sheet name="E. Board" sheetId="28" state="hidden" r:id="rId8"/>
    <sheet name="A. All deals (a)" sheetId="14" r:id="rId9"/>
    <sheet name="9. All deals (b)" sheetId="80" state="hidden" r:id="rId10"/>
    <sheet name="8. WLD Grant C-133" sheetId="89" state="hidden" r:id="rId11"/>
    <sheet name="8. NewSpace" sheetId="77" state="hidden" r:id="rId12"/>
    <sheet name="MGX" sheetId="90" r:id="rId13"/>
    <sheet name="Log" sheetId="68" r:id="rId14"/>
    <sheet name="check-Jul'26"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Live'!$A$1:$W$60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14" l="1"/>
  <c r="O54" i="14"/>
  <c r="O53" i="14"/>
  <c r="V55" i="93"/>
  <c r="U55" i="93"/>
  <c r="T55" i="93"/>
  <c r="S55" i="93"/>
  <c r="R55" i="93"/>
  <c r="Q55" i="93"/>
  <c r="P55" i="93"/>
  <c r="O55" i="93"/>
  <c r="N55" i="93"/>
  <c r="V54" i="93"/>
  <c r="N54" i="93"/>
  <c r="V53" i="93"/>
  <c r="U53" i="93"/>
  <c r="T53" i="93"/>
  <c r="S53" i="93"/>
  <c r="R53" i="93"/>
  <c r="Q53" i="93"/>
  <c r="P53" i="93"/>
  <c r="O53" i="93"/>
  <c r="N53" i="93"/>
  <c r="V52" i="93"/>
  <c r="N52" i="93"/>
  <c r="V51" i="93"/>
  <c r="U51" i="93"/>
  <c r="T51" i="93"/>
  <c r="S51" i="93"/>
  <c r="R51" i="93"/>
  <c r="Q51" i="93"/>
  <c r="P51" i="93"/>
  <c r="O51" i="93"/>
  <c r="N51" i="93"/>
  <c r="V50" i="93"/>
  <c r="V49" i="93"/>
  <c r="V48" i="93"/>
  <c r="V47" i="93"/>
  <c r="U47" i="93"/>
  <c r="T47" i="93"/>
  <c r="S47" i="93"/>
  <c r="R47" i="93"/>
  <c r="Q47" i="93"/>
  <c r="P47" i="93"/>
  <c r="O47" i="93"/>
  <c r="N47" i="93"/>
  <c r="V46" i="93"/>
  <c r="U46" i="93"/>
  <c r="T46" i="93"/>
  <c r="S46" i="93"/>
  <c r="R46" i="93"/>
  <c r="Q46" i="93"/>
  <c r="P46" i="93"/>
  <c r="O46" i="93"/>
  <c r="N46" i="93"/>
  <c r="V45" i="93"/>
  <c r="N45" i="93"/>
  <c r="V44" i="93"/>
  <c r="U44" i="93"/>
  <c r="T44" i="93"/>
  <c r="S44" i="93"/>
  <c r="R44" i="93"/>
  <c r="Q44" i="93"/>
  <c r="P44" i="93"/>
  <c r="O44" i="93"/>
  <c r="N44" i="93"/>
  <c r="V43" i="93"/>
  <c r="V42" i="93"/>
  <c r="U42" i="93"/>
  <c r="T42" i="93"/>
  <c r="S42" i="93"/>
  <c r="R42" i="93"/>
  <c r="Q42" i="93"/>
  <c r="P42" i="93"/>
  <c r="O42" i="93"/>
  <c r="N42" i="93"/>
  <c r="V41" i="93"/>
  <c r="U41" i="93"/>
  <c r="T41" i="93"/>
  <c r="S41" i="93"/>
  <c r="R41" i="93"/>
  <c r="Q41" i="93"/>
  <c r="P41" i="93"/>
  <c r="O41" i="93"/>
  <c r="N41" i="93"/>
  <c r="V40" i="93"/>
  <c r="N40" i="93"/>
  <c r="V39" i="93"/>
  <c r="U39" i="93"/>
  <c r="T39" i="93"/>
  <c r="S39" i="93"/>
  <c r="R39" i="93"/>
  <c r="Q39" i="93"/>
  <c r="P39" i="93"/>
  <c r="O39" i="93"/>
  <c r="N39" i="93"/>
  <c r="V38" i="93"/>
  <c r="V37" i="93"/>
  <c r="V36" i="93"/>
  <c r="V33" i="93"/>
  <c r="V32" i="93"/>
  <c r="U32" i="93"/>
  <c r="T32" i="93"/>
  <c r="S32" i="93"/>
  <c r="R32" i="93"/>
  <c r="Q32" i="93"/>
  <c r="P32" i="93"/>
  <c r="O32" i="93"/>
  <c r="N32" i="93"/>
  <c r="V31" i="93"/>
  <c r="U31" i="93"/>
  <c r="T31" i="93"/>
  <c r="S31" i="93"/>
  <c r="R31" i="93"/>
  <c r="Q31" i="93"/>
  <c r="P31" i="93"/>
  <c r="O31" i="93"/>
  <c r="N31" i="93"/>
  <c r="V30" i="93"/>
  <c r="N30" i="93"/>
  <c r="V29" i="93"/>
  <c r="U29" i="93"/>
  <c r="T29" i="93"/>
  <c r="S29" i="93"/>
  <c r="R29" i="93"/>
  <c r="Q29" i="93"/>
  <c r="P29" i="93"/>
  <c r="O29" i="93"/>
  <c r="N29" i="93"/>
  <c r="V28" i="93"/>
  <c r="V27" i="93"/>
  <c r="V26" i="93"/>
  <c r="V25" i="93"/>
  <c r="V24" i="93"/>
  <c r="V23" i="93"/>
  <c r="V22" i="93"/>
  <c r="U22" i="93"/>
  <c r="T22" i="93"/>
  <c r="S22" i="93"/>
  <c r="R22" i="93"/>
  <c r="Q22" i="93"/>
  <c r="P22" i="93"/>
  <c r="O22" i="93"/>
  <c r="N22" i="93"/>
  <c r="V21" i="93"/>
  <c r="U21" i="93"/>
  <c r="T21" i="93"/>
  <c r="S21" i="93"/>
  <c r="R21" i="93"/>
  <c r="Q21" i="93"/>
  <c r="P21" i="93"/>
  <c r="O21" i="93"/>
  <c r="N21" i="93"/>
  <c r="V20" i="93"/>
  <c r="N20" i="93"/>
  <c r="V19" i="93"/>
  <c r="U19" i="93"/>
  <c r="T19" i="93"/>
  <c r="S19" i="93"/>
  <c r="R19" i="93"/>
  <c r="Q19" i="93"/>
  <c r="P19" i="93"/>
  <c r="O19" i="93"/>
  <c r="N19" i="93"/>
  <c r="V18" i="93"/>
  <c r="V17" i="93"/>
  <c r="V16" i="93"/>
  <c r="V15" i="93"/>
  <c r="V14" i="93"/>
  <c r="V13" i="93"/>
  <c r="V12" i="93"/>
  <c r="V11" i="93"/>
  <c r="V10" i="93"/>
  <c r="V9" i="93"/>
  <c r="V56" i="93"/>
  <c r="U56" i="93"/>
  <c r="T56" i="93"/>
  <c r="S56" i="93"/>
  <c r="R56" i="93"/>
  <c r="Q56" i="93"/>
  <c r="P56" i="93"/>
  <c r="O56" i="93"/>
  <c r="N55" i="14" l="1"/>
  <c r="M55" i="14"/>
  <c r="L55" i="14"/>
  <c r="K55" i="14"/>
  <c r="J55" i="14"/>
  <c r="N54" i="14"/>
  <c r="M54" i="14"/>
  <c r="L54" i="14"/>
  <c r="K54" i="14"/>
  <c r="J54" i="14"/>
  <c r="N53" i="14"/>
  <c r="M53" i="14"/>
  <c r="L53" i="14"/>
  <c r="K53" i="14"/>
  <c r="J53" i="14"/>
  <c r="E47" i="90"/>
  <c r="H50" i="90"/>
  <c r="J50" i="90" s="1"/>
  <c r="G50" i="90"/>
  <c r="F50" i="90"/>
  <c r="E50" i="90"/>
  <c r="D50" i="90"/>
  <c r="E49" i="90"/>
  <c r="J49" i="90" s="1"/>
  <c r="F48" i="90"/>
  <c r="J48" i="90"/>
  <c r="J47" i="90"/>
  <c r="H20" i="90"/>
  <c r="H21" i="90"/>
  <c r="H28" i="90" s="1"/>
  <c r="H35" i="90" s="1"/>
  <c r="H42" i="90" s="1"/>
  <c r="H27" i="90"/>
  <c r="H34" i="90" s="1"/>
  <c r="G34" i="90"/>
  <c r="G41" i="90"/>
  <c r="R38" i="77"/>
  <c r="R36" i="77"/>
  <c r="W20" i="77"/>
  <c r="K18" i="37" a="1"/>
  <c r="I49" i="90" l="1"/>
  <c r="I47" i="90"/>
  <c r="I48" i="90"/>
  <c r="K18" i="37"/>
  <c r="E15" i="51"/>
  <c r="E13" i="51"/>
  <c r="E11" i="51"/>
  <c r="D29" i="44"/>
  <c r="F38" i="90" l="1"/>
  <c r="H86" i="40"/>
  <c r="E85" i="40"/>
  <c r="H85" i="40" s="1"/>
  <c r="H84" i="40"/>
  <c r="H61" i="40"/>
  <c r="E61" i="40" s="1"/>
  <c r="R112" i="89"/>
  <c r="E38" i="90" l="1"/>
  <c r="H41" i="90" s="1"/>
  <c r="G21" i="37" l="1"/>
  <c r="G22" i="37"/>
  <c r="F22" i="37" l="1"/>
  <c r="E61" i="17"/>
  <c r="AA46" i="93"/>
  <c r="AB46" i="93"/>
  <c r="AC46" i="93"/>
  <c r="AD46" i="93"/>
  <c r="AE46" i="93"/>
  <c r="AF46" i="93"/>
  <c r="AG46" i="93"/>
  <c r="AH46" i="93"/>
  <c r="AI46" i="93"/>
  <c r="AJ46" i="93"/>
  <c r="AK46" i="93"/>
  <c r="AL46" i="93"/>
  <c r="AM46" i="93"/>
  <c r="AN46" i="93"/>
  <c r="AO46" i="93"/>
  <c r="AP46" i="93"/>
  <c r="AQ46" i="93"/>
  <c r="AR46" i="93"/>
  <c r="AS46" i="93"/>
  <c r="AT46" i="93"/>
  <c r="AU46" i="93"/>
  <c r="AV46" i="93"/>
  <c r="AW46" i="93"/>
  <c r="AX46" i="93"/>
  <c r="AY46" i="93"/>
  <c r="AZ46" i="93"/>
  <c r="BA46" i="93"/>
  <c r="BB46" i="93"/>
  <c r="BC46" i="93"/>
  <c r="BD46" i="93"/>
  <c r="BE46" i="93"/>
  <c r="BF46" i="93"/>
  <c r="BG46" i="93"/>
  <c r="BH46" i="93"/>
  <c r="BI46" i="93"/>
  <c r="BJ46" i="93"/>
  <c r="BK46" i="93"/>
  <c r="BL46" i="93"/>
  <c r="BM46" i="93"/>
  <c r="BN46" i="93"/>
  <c r="BO46" i="93"/>
  <c r="BP46" i="93"/>
  <c r="BQ46" i="93"/>
  <c r="BR46" i="93"/>
  <c r="BS46" i="93"/>
  <c r="BT46" i="93"/>
  <c r="BU46" i="93"/>
  <c r="BV46" i="93"/>
  <c r="BW46" i="93"/>
  <c r="BX46" i="93"/>
  <c r="BY46" i="93"/>
  <c r="BZ46" i="93"/>
  <c r="CA46" i="93"/>
  <c r="CB46" i="93"/>
  <c r="CC46" i="93"/>
  <c r="CD46" i="93"/>
  <c r="CE46" i="93"/>
  <c r="CF46" i="93"/>
  <c r="CG46" i="93"/>
  <c r="CH46" i="93"/>
  <c r="CI46" i="93"/>
  <c r="CJ46" i="93"/>
  <c r="CK46" i="93"/>
  <c r="CL46" i="93"/>
  <c r="CM46" i="93"/>
  <c r="CN46" i="93"/>
  <c r="CO46" i="93"/>
  <c r="CP46" i="93"/>
  <c r="CQ46" i="93"/>
  <c r="CR46" i="93"/>
  <c r="CS46" i="93"/>
  <c r="CT46" i="93"/>
  <c r="CU46" i="93"/>
  <c r="CV46" i="93"/>
  <c r="H83" i="40"/>
  <c r="H82" i="40"/>
  <c r="H80" i="40"/>
  <c r="H79" i="40"/>
  <c r="H78" i="40"/>
  <c r="H77" i="40"/>
  <c r="H76" i="40"/>
  <c r="H75" i="40"/>
  <c r="K43" i="37"/>
  <c r="K44" i="37" s="1"/>
  <c r="G25" i="37" s="1"/>
  <c r="E33" i="44" l="1"/>
  <c r="CV54" i="93"/>
  <c r="CU54" i="93"/>
  <c r="CT54" i="93"/>
  <c r="CS54" i="93"/>
  <c r="CR54" i="93"/>
  <c r="CQ54" i="93"/>
  <c r="CP54" i="93"/>
  <c r="CO54" i="93"/>
  <c r="CN54" i="93"/>
  <c r="CM54" i="93"/>
  <c r="CL54" i="93"/>
  <c r="CK54" i="93"/>
  <c r="CJ54" i="93"/>
  <c r="CI54" i="93"/>
  <c r="CH54" i="93"/>
  <c r="CG54" i="93"/>
  <c r="CF54" i="93"/>
  <c r="CE54" i="93"/>
  <c r="CD54" i="93"/>
  <c r="CC54" i="93"/>
  <c r="CB54" i="93"/>
  <c r="CA54" i="93"/>
  <c r="BZ54" i="93"/>
  <c r="BY54" i="93"/>
  <c r="BX54" i="93"/>
  <c r="BW54" i="93"/>
  <c r="BV54" i="93"/>
  <c r="BU54" i="93"/>
  <c r="BT54" i="93"/>
  <c r="BS54" i="93"/>
  <c r="BR54" i="93"/>
  <c r="BQ54" i="93"/>
  <c r="BP54" i="93"/>
  <c r="BO54" i="93"/>
  <c r="BN54" i="93"/>
  <c r="BM54" i="93"/>
  <c r="BL54" i="93"/>
  <c r="BK54" i="93"/>
  <c r="BJ54" i="93"/>
  <c r="BI54" i="93"/>
  <c r="BH54" i="93"/>
  <c r="BG54" i="93"/>
  <c r="BF54" i="93"/>
  <c r="BE54" i="93"/>
  <c r="BD54" i="93"/>
  <c r="BC54" i="93"/>
  <c r="BB54" i="93"/>
  <c r="BA54" i="93"/>
  <c r="AZ54" i="93"/>
  <c r="AY54" i="93"/>
  <c r="AX54" i="93"/>
  <c r="AW54" i="93"/>
  <c r="AV54" i="93"/>
  <c r="AU54" i="93"/>
  <c r="AT54" i="93"/>
  <c r="AS54" i="93"/>
  <c r="AR54" i="93"/>
  <c r="AQ54" i="93"/>
  <c r="AP54" i="93"/>
  <c r="AO54" i="93"/>
  <c r="AN54" i="93"/>
  <c r="AM54" i="93"/>
  <c r="AL54" i="93"/>
  <c r="AK54" i="93"/>
  <c r="AJ54" i="93"/>
  <c r="AI54" i="93"/>
  <c r="AH54" i="93"/>
  <c r="AG54" i="93"/>
  <c r="AF54" i="93"/>
  <c r="AE54" i="93"/>
  <c r="AD54" i="93"/>
  <c r="AC54" i="93"/>
  <c r="AB54" i="93"/>
  <c r="AA54" i="93"/>
  <c r="CV53" i="93"/>
  <c r="CU53" i="93"/>
  <c r="CT53" i="93"/>
  <c r="CS53" i="93"/>
  <c r="CR53" i="93"/>
  <c r="CQ53" i="93"/>
  <c r="CP53" i="93"/>
  <c r="CO53" i="93"/>
  <c r="CN53" i="93"/>
  <c r="CM53" i="93"/>
  <c r="CL53" i="93"/>
  <c r="CK53" i="93"/>
  <c r="CJ53" i="93"/>
  <c r="CI53" i="93"/>
  <c r="CH53" i="93"/>
  <c r="CG53" i="93"/>
  <c r="CF53" i="93"/>
  <c r="CE53" i="93"/>
  <c r="CD53" i="93"/>
  <c r="CC53" i="93"/>
  <c r="CB53" i="93"/>
  <c r="CA53" i="93"/>
  <c r="BZ53" i="93"/>
  <c r="BY53" i="93"/>
  <c r="BX53" i="93"/>
  <c r="BW53" i="93"/>
  <c r="BV53" i="93"/>
  <c r="BU53" i="93"/>
  <c r="BT53" i="93"/>
  <c r="BS53" i="93"/>
  <c r="BR53" i="93"/>
  <c r="BQ53" i="93"/>
  <c r="BP53" i="93"/>
  <c r="BO53" i="93"/>
  <c r="BN53" i="93"/>
  <c r="BM53" i="93"/>
  <c r="BL53" i="93"/>
  <c r="BK53" i="93"/>
  <c r="BJ53" i="93"/>
  <c r="BI53" i="93"/>
  <c r="BH53" i="93"/>
  <c r="BG53" i="93"/>
  <c r="BF53" i="93"/>
  <c r="BE53" i="93"/>
  <c r="BD53" i="93"/>
  <c r="BC53" i="93"/>
  <c r="BB53" i="93"/>
  <c r="BA53" i="93"/>
  <c r="AZ53" i="93"/>
  <c r="AY53" i="93"/>
  <c r="AX53" i="93"/>
  <c r="AW53" i="93"/>
  <c r="AV53" i="93"/>
  <c r="AU53" i="93"/>
  <c r="AT53" i="93"/>
  <c r="AS53" i="93"/>
  <c r="AR53" i="93"/>
  <c r="AQ53" i="93"/>
  <c r="AP53" i="93"/>
  <c r="AO53" i="93"/>
  <c r="AN53" i="93"/>
  <c r="AM53" i="93"/>
  <c r="AL53" i="93"/>
  <c r="AK53" i="93"/>
  <c r="AJ53" i="93"/>
  <c r="AI53" i="93"/>
  <c r="AH53" i="93"/>
  <c r="AG53" i="93"/>
  <c r="AF53" i="93"/>
  <c r="AE53" i="93"/>
  <c r="AD53" i="93"/>
  <c r="AC53" i="93"/>
  <c r="AB53" i="93"/>
  <c r="AA53" i="93"/>
  <c r="CV52" i="93"/>
  <c r="CU52" i="93"/>
  <c r="CT52" i="93"/>
  <c r="CS52" i="93"/>
  <c r="CR52" i="93"/>
  <c r="CQ52" i="93"/>
  <c r="CP52" i="93"/>
  <c r="CO52" i="93"/>
  <c r="CN52" i="93"/>
  <c r="CM52" i="93"/>
  <c r="CL52" i="93"/>
  <c r="CK52" i="93"/>
  <c r="CJ52" i="93"/>
  <c r="CI52" i="93"/>
  <c r="CH52" i="93"/>
  <c r="CG52" i="93"/>
  <c r="CF52" i="93"/>
  <c r="CE52" i="93"/>
  <c r="CD52" i="93"/>
  <c r="CC52" i="93"/>
  <c r="CB52" i="93"/>
  <c r="CA52" i="93"/>
  <c r="BZ52" i="93"/>
  <c r="BY52" i="93"/>
  <c r="BX52" i="93"/>
  <c r="BW52" i="93"/>
  <c r="BV52" i="93"/>
  <c r="BU52" i="93"/>
  <c r="BT52" i="93"/>
  <c r="BS52" i="93"/>
  <c r="BR52" i="93"/>
  <c r="BQ52" i="93"/>
  <c r="BP52" i="93"/>
  <c r="BO52" i="93"/>
  <c r="BN52" i="93"/>
  <c r="BM52" i="93"/>
  <c r="BL52" i="93"/>
  <c r="BK52" i="93"/>
  <c r="BJ52" i="93"/>
  <c r="BI52" i="93"/>
  <c r="BH52" i="93"/>
  <c r="BG52" i="93"/>
  <c r="BF52" i="93"/>
  <c r="BE52" i="93"/>
  <c r="BD52" i="93"/>
  <c r="BC52" i="93"/>
  <c r="BB52" i="93"/>
  <c r="BA52" i="93"/>
  <c r="AZ52" i="93"/>
  <c r="AY52" i="93"/>
  <c r="AX52" i="93"/>
  <c r="AW52" i="93"/>
  <c r="AV52" i="93"/>
  <c r="AU52" i="93"/>
  <c r="AT52" i="93"/>
  <c r="AS52" i="93"/>
  <c r="AR52" i="93"/>
  <c r="AQ52" i="93"/>
  <c r="AP52" i="93"/>
  <c r="AO52" i="93"/>
  <c r="AN52" i="93"/>
  <c r="AM52" i="93"/>
  <c r="AL52" i="93"/>
  <c r="AK52" i="93"/>
  <c r="AJ52" i="93"/>
  <c r="AI52" i="93"/>
  <c r="AH52" i="93"/>
  <c r="AG52" i="93"/>
  <c r="AF52" i="93"/>
  <c r="AE52" i="93"/>
  <c r="AD52" i="93"/>
  <c r="AC52" i="93"/>
  <c r="AB52" i="93"/>
  <c r="AA52" i="93"/>
  <c r="CV51" i="93"/>
  <c r="CU51" i="93"/>
  <c r="CT51" i="93"/>
  <c r="CS51" i="93"/>
  <c r="CR51" i="93"/>
  <c r="CQ51" i="93"/>
  <c r="CP51" i="93"/>
  <c r="CO51" i="93"/>
  <c r="CN51" i="93"/>
  <c r="CM51" i="93"/>
  <c r="CL51" i="93"/>
  <c r="CK51" i="93"/>
  <c r="CJ51" i="93"/>
  <c r="CI51" i="93"/>
  <c r="CH51" i="93"/>
  <c r="CG51" i="93"/>
  <c r="CF51" i="93"/>
  <c r="CE51" i="93"/>
  <c r="CD51" i="93"/>
  <c r="CC51" i="93"/>
  <c r="CB51" i="93"/>
  <c r="CA51" i="93"/>
  <c r="BZ51" i="93"/>
  <c r="BY51" i="93"/>
  <c r="BX51" i="93"/>
  <c r="BW51" i="93"/>
  <c r="BV51" i="93"/>
  <c r="BU51" i="93"/>
  <c r="BT51" i="93"/>
  <c r="BS51" i="93"/>
  <c r="BR51" i="93"/>
  <c r="BQ51" i="93"/>
  <c r="BP51" i="93"/>
  <c r="BO51" i="93"/>
  <c r="BN51" i="93"/>
  <c r="BM51" i="93"/>
  <c r="BL51" i="93"/>
  <c r="BK51" i="93"/>
  <c r="BJ51" i="93"/>
  <c r="BI51" i="93"/>
  <c r="BH51" i="93"/>
  <c r="BG51" i="93"/>
  <c r="BF51" i="93"/>
  <c r="BE51" i="93"/>
  <c r="BD51" i="93"/>
  <c r="BC51" i="93"/>
  <c r="BB51" i="93"/>
  <c r="BA51" i="93"/>
  <c r="AZ51" i="93"/>
  <c r="AY51" i="93"/>
  <c r="AX51" i="93"/>
  <c r="AW51" i="93"/>
  <c r="AV51" i="93"/>
  <c r="AU51" i="93"/>
  <c r="AT51" i="93"/>
  <c r="AS51" i="93"/>
  <c r="AR51" i="93"/>
  <c r="AQ51" i="93"/>
  <c r="AP51" i="93"/>
  <c r="AO51" i="93"/>
  <c r="AN51" i="93"/>
  <c r="AM51" i="93"/>
  <c r="AL51" i="93"/>
  <c r="AK51" i="93"/>
  <c r="AJ51" i="93"/>
  <c r="AI51" i="93"/>
  <c r="AH51" i="93"/>
  <c r="AG51" i="93"/>
  <c r="AF51" i="93"/>
  <c r="AE51" i="93"/>
  <c r="AD51" i="93"/>
  <c r="AC51" i="93"/>
  <c r="AB51" i="93"/>
  <c r="AA51" i="93"/>
  <c r="CV50" i="93"/>
  <c r="CU50" i="93"/>
  <c r="CT50" i="93"/>
  <c r="CS50" i="93"/>
  <c r="CR50" i="93"/>
  <c r="CQ50" i="93"/>
  <c r="CP50" i="93"/>
  <c r="CO50" i="93"/>
  <c r="CN50" i="93"/>
  <c r="CM50" i="93"/>
  <c r="CL50" i="93"/>
  <c r="CK50" i="93"/>
  <c r="CJ50" i="93"/>
  <c r="CI50" i="93"/>
  <c r="CH50" i="93"/>
  <c r="CG50" i="93"/>
  <c r="CF50" i="93"/>
  <c r="CE50" i="93"/>
  <c r="CD50" i="93"/>
  <c r="CC50" i="93"/>
  <c r="CB50" i="93"/>
  <c r="CA50" i="93"/>
  <c r="BZ50" i="93"/>
  <c r="BY50" i="93"/>
  <c r="BX50" i="93"/>
  <c r="BW50" i="93"/>
  <c r="BV50" i="93"/>
  <c r="BU50" i="93"/>
  <c r="BT50" i="93"/>
  <c r="BS50" i="93"/>
  <c r="BR50" i="93"/>
  <c r="BQ50" i="93"/>
  <c r="BP50" i="93"/>
  <c r="BO50" i="93"/>
  <c r="BN50" i="93"/>
  <c r="BM50" i="93"/>
  <c r="BL50" i="93"/>
  <c r="BK50" i="93"/>
  <c r="BJ50" i="93"/>
  <c r="BI50" i="93"/>
  <c r="BH50" i="93"/>
  <c r="BG50" i="93"/>
  <c r="BF50" i="93"/>
  <c r="BE50" i="93"/>
  <c r="BD50" i="93"/>
  <c r="BC50" i="93"/>
  <c r="BB50" i="93"/>
  <c r="BA50" i="93"/>
  <c r="AZ50" i="93"/>
  <c r="AY50" i="93"/>
  <c r="AX50" i="93"/>
  <c r="AW50" i="93"/>
  <c r="AV50" i="93"/>
  <c r="AU50" i="93"/>
  <c r="AT50" i="93"/>
  <c r="AS50" i="93"/>
  <c r="AR50" i="93"/>
  <c r="AQ50" i="93"/>
  <c r="AP50" i="93"/>
  <c r="AO50" i="93"/>
  <c r="AN50" i="93"/>
  <c r="AM50" i="93"/>
  <c r="AL50" i="93"/>
  <c r="AK50" i="93"/>
  <c r="AJ50" i="93"/>
  <c r="AI50" i="93"/>
  <c r="AH50" i="93"/>
  <c r="AG50" i="93"/>
  <c r="AF50" i="93"/>
  <c r="AE50" i="93"/>
  <c r="AD50" i="93"/>
  <c r="AC50" i="93"/>
  <c r="AB50" i="93"/>
  <c r="AA50" i="93"/>
  <c r="CV49" i="93"/>
  <c r="CU49" i="93"/>
  <c r="CT49" i="93"/>
  <c r="CS49" i="93"/>
  <c r="CR49" i="93"/>
  <c r="CQ49" i="93"/>
  <c r="CP49" i="93"/>
  <c r="CO49" i="93"/>
  <c r="CN49" i="93"/>
  <c r="CM49" i="93"/>
  <c r="CL49" i="93"/>
  <c r="CK49" i="93"/>
  <c r="CJ49" i="93"/>
  <c r="CI49" i="93"/>
  <c r="CH49" i="93"/>
  <c r="CG49" i="93"/>
  <c r="CF49" i="93"/>
  <c r="CE49" i="93"/>
  <c r="CD49" i="93"/>
  <c r="CC49" i="93"/>
  <c r="CB49" i="93"/>
  <c r="CA49" i="93"/>
  <c r="BZ49" i="93"/>
  <c r="BY49" i="93"/>
  <c r="BX49" i="93"/>
  <c r="BW49" i="93"/>
  <c r="BV49" i="93"/>
  <c r="BU49" i="93"/>
  <c r="BT49" i="93"/>
  <c r="BS49" i="93"/>
  <c r="BR49" i="93"/>
  <c r="BQ49" i="93"/>
  <c r="BP49" i="93"/>
  <c r="BO49" i="93"/>
  <c r="BN49" i="93"/>
  <c r="BM49" i="93"/>
  <c r="BL49" i="93"/>
  <c r="BK49" i="93"/>
  <c r="BJ49" i="93"/>
  <c r="BI49" i="93"/>
  <c r="BH49" i="93"/>
  <c r="BG49" i="93"/>
  <c r="BF49" i="93"/>
  <c r="BE49" i="93"/>
  <c r="BD49" i="93"/>
  <c r="BC49" i="93"/>
  <c r="BB49" i="93"/>
  <c r="BA49" i="93"/>
  <c r="AZ49" i="93"/>
  <c r="AY49" i="93"/>
  <c r="AX49" i="93"/>
  <c r="AW49" i="93"/>
  <c r="AV49" i="93"/>
  <c r="AU49" i="93"/>
  <c r="AT49" i="93"/>
  <c r="AS49" i="93"/>
  <c r="AR49" i="93"/>
  <c r="AQ49" i="93"/>
  <c r="AP49" i="93"/>
  <c r="AO49" i="93"/>
  <c r="AN49" i="93"/>
  <c r="AM49" i="93"/>
  <c r="AL49" i="93"/>
  <c r="AK49" i="93"/>
  <c r="AJ49" i="93"/>
  <c r="AI49" i="93"/>
  <c r="AH49" i="93"/>
  <c r="AG49" i="93"/>
  <c r="AF49" i="93"/>
  <c r="AE49" i="93"/>
  <c r="AD49" i="93"/>
  <c r="AC49" i="93"/>
  <c r="AB49" i="93"/>
  <c r="AA49" i="93"/>
  <c r="CV48" i="93"/>
  <c r="CU48" i="93"/>
  <c r="CT48" i="93"/>
  <c r="CS48" i="93"/>
  <c r="CR48" i="93"/>
  <c r="CQ48" i="93"/>
  <c r="CP48" i="93"/>
  <c r="CO48" i="93"/>
  <c r="CN48" i="93"/>
  <c r="CM48" i="93"/>
  <c r="CL48" i="93"/>
  <c r="CK48" i="93"/>
  <c r="CJ48" i="93"/>
  <c r="CI48" i="93"/>
  <c r="CH48" i="93"/>
  <c r="CG48" i="93"/>
  <c r="CF48" i="93"/>
  <c r="CE48" i="93"/>
  <c r="CD48" i="93"/>
  <c r="CC48" i="93"/>
  <c r="CB48" i="93"/>
  <c r="CA48" i="93"/>
  <c r="BZ48" i="93"/>
  <c r="BY48" i="93"/>
  <c r="BX48" i="93"/>
  <c r="BW48" i="93"/>
  <c r="BV48" i="93"/>
  <c r="BU48" i="93"/>
  <c r="BT48" i="93"/>
  <c r="BS48" i="93"/>
  <c r="BR48" i="93"/>
  <c r="BQ48" i="93"/>
  <c r="BP48" i="93"/>
  <c r="BO48" i="93"/>
  <c r="BN48" i="93"/>
  <c r="BM48" i="93"/>
  <c r="BL48" i="93"/>
  <c r="BK48" i="93"/>
  <c r="BJ48" i="93"/>
  <c r="BI48" i="93"/>
  <c r="BH48" i="93"/>
  <c r="BG48" i="93"/>
  <c r="BF48" i="93"/>
  <c r="BE48" i="93"/>
  <c r="BD48" i="93"/>
  <c r="BC48" i="93"/>
  <c r="BB48" i="93"/>
  <c r="BA48" i="93"/>
  <c r="AZ48" i="93"/>
  <c r="AY48" i="93"/>
  <c r="AX48" i="93"/>
  <c r="AW48" i="93"/>
  <c r="AV48" i="93"/>
  <c r="AU48" i="93"/>
  <c r="AT48" i="93"/>
  <c r="AS48" i="93"/>
  <c r="AR48" i="93"/>
  <c r="AQ48" i="93"/>
  <c r="AP48" i="93"/>
  <c r="AO48" i="93"/>
  <c r="AN48" i="93"/>
  <c r="AM48" i="93"/>
  <c r="AL48" i="93"/>
  <c r="AK48" i="93"/>
  <c r="AJ48" i="93"/>
  <c r="AI48" i="93"/>
  <c r="AH48" i="93"/>
  <c r="AG48" i="93"/>
  <c r="AF48" i="93"/>
  <c r="AE48" i="93"/>
  <c r="AD48" i="93"/>
  <c r="AC48" i="93"/>
  <c r="AB48" i="93"/>
  <c r="AA48" i="93"/>
  <c r="CV47" i="93"/>
  <c r="CU47" i="93"/>
  <c r="CT47" i="93"/>
  <c r="CS47" i="93"/>
  <c r="CR47" i="93"/>
  <c r="CQ47" i="93"/>
  <c r="CP47" i="93"/>
  <c r="CO47" i="93"/>
  <c r="CN47" i="93"/>
  <c r="CM47" i="93"/>
  <c r="CL47" i="93"/>
  <c r="CK47" i="93"/>
  <c r="CJ47" i="93"/>
  <c r="CI47" i="93"/>
  <c r="CH47" i="93"/>
  <c r="CG47" i="93"/>
  <c r="CF47" i="93"/>
  <c r="CE47" i="93"/>
  <c r="CD47" i="93"/>
  <c r="CC47" i="93"/>
  <c r="CB47" i="93"/>
  <c r="CA47" i="93"/>
  <c r="BZ47" i="93"/>
  <c r="BY47" i="93"/>
  <c r="BX47" i="93"/>
  <c r="BW47" i="93"/>
  <c r="BV47" i="93"/>
  <c r="BU47" i="93"/>
  <c r="BT47" i="93"/>
  <c r="BS47" i="93"/>
  <c r="BR47" i="93"/>
  <c r="BQ47" i="93"/>
  <c r="BP47" i="93"/>
  <c r="BO47" i="93"/>
  <c r="BN47" i="93"/>
  <c r="BM47" i="93"/>
  <c r="BL47" i="93"/>
  <c r="BK47" i="93"/>
  <c r="BJ47" i="93"/>
  <c r="BI47" i="93"/>
  <c r="BH47" i="93"/>
  <c r="BG47" i="93"/>
  <c r="BF47" i="93"/>
  <c r="BE47" i="93"/>
  <c r="BD47" i="93"/>
  <c r="BC47" i="93"/>
  <c r="BB47" i="93"/>
  <c r="BA47" i="93"/>
  <c r="AZ47" i="93"/>
  <c r="AY47" i="93"/>
  <c r="AX47" i="93"/>
  <c r="AW47" i="93"/>
  <c r="AV47" i="93"/>
  <c r="AU47" i="93"/>
  <c r="AT47" i="93"/>
  <c r="AS47" i="93"/>
  <c r="AR47" i="93"/>
  <c r="AQ47" i="93"/>
  <c r="AP47" i="93"/>
  <c r="AO47" i="93"/>
  <c r="AN47" i="93"/>
  <c r="AM47" i="93"/>
  <c r="AL47" i="93"/>
  <c r="AK47" i="93"/>
  <c r="AJ47" i="93"/>
  <c r="AI47" i="93"/>
  <c r="AH47" i="93"/>
  <c r="AG47" i="93"/>
  <c r="AF47" i="93"/>
  <c r="AE47" i="93"/>
  <c r="AD47" i="93"/>
  <c r="AC47" i="93"/>
  <c r="AB47" i="93"/>
  <c r="AA47" i="93"/>
  <c r="CV45" i="93"/>
  <c r="CU45" i="93"/>
  <c r="CT45" i="93"/>
  <c r="CS45" i="93"/>
  <c r="CR45" i="93"/>
  <c r="CQ45" i="93"/>
  <c r="CP45" i="93"/>
  <c r="CO45" i="93"/>
  <c r="CN45" i="93"/>
  <c r="CM45" i="93"/>
  <c r="CL45" i="93"/>
  <c r="CK45" i="93"/>
  <c r="CJ45" i="93"/>
  <c r="CI45" i="93"/>
  <c r="CH45" i="93"/>
  <c r="CG45" i="93"/>
  <c r="CF45" i="93"/>
  <c r="CE45" i="93"/>
  <c r="CD45" i="93"/>
  <c r="CC45" i="93"/>
  <c r="CB45" i="93"/>
  <c r="CA45" i="93"/>
  <c r="BZ45" i="93"/>
  <c r="BY45" i="93"/>
  <c r="BX45" i="93"/>
  <c r="BW45" i="93"/>
  <c r="BV45" i="93"/>
  <c r="BU45" i="93"/>
  <c r="BT45" i="93"/>
  <c r="BS45" i="93"/>
  <c r="BR45" i="93"/>
  <c r="BQ45" i="93"/>
  <c r="BP45" i="93"/>
  <c r="BO45" i="93"/>
  <c r="BN45" i="93"/>
  <c r="BM45" i="93"/>
  <c r="BL45" i="93"/>
  <c r="BK45" i="93"/>
  <c r="BJ45" i="93"/>
  <c r="BI45" i="93"/>
  <c r="BH45" i="93"/>
  <c r="BG45" i="93"/>
  <c r="BF45" i="93"/>
  <c r="BE45" i="93"/>
  <c r="BD45" i="93"/>
  <c r="BC45" i="93"/>
  <c r="BB45" i="93"/>
  <c r="BA45" i="93"/>
  <c r="AZ45" i="93"/>
  <c r="AY45" i="93"/>
  <c r="AX45" i="93"/>
  <c r="AW45" i="93"/>
  <c r="AV45" i="93"/>
  <c r="AU45" i="93"/>
  <c r="AT45" i="93"/>
  <c r="AS45" i="93"/>
  <c r="AR45" i="93"/>
  <c r="AQ45" i="93"/>
  <c r="AP45" i="93"/>
  <c r="AO45" i="93"/>
  <c r="AN45" i="93"/>
  <c r="AM45" i="93"/>
  <c r="AL45" i="93"/>
  <c r="AK45" i="93"/>
  <c r="AJ45" i="93"/>
  <c r="AI45" i="93"/>
  <c r="AH45" i="93"/>
  <c r="AG45" i="93"/>
  <c r="AF45" i="93"/>
  <c r="AE45" i="93"/>
  <c r="AD45" i="93"/>
  <c r="AC45" i="93"/>
  <c r="AB45" i="93"/>
  <c r="AA45" i="93"/>
  <c r="CV44" i="93"/>
  <c r="CU44" i="93"/>
  <c r="CT44" i="93"/>
  <c r="CS44" i="93"/>
  <c r="CR44" i="93"/>
  <c r="CQ44" i="93"/>
  <c r="CP44" i="93"/>
  <c r="CO44" i="93"/>
  <c r="CN44" i="93"/>
  <c r="CM44" i="93"/>
  <c r="CL44" i="93"/>
  <c r="CK44" i="93"/>
  <c r="CJ44" i="93"/>
  <c r="CI44" i="93"/>
  <c r="CH44" i="93"/>
  <c r="CG44" i="93"/>
  <c r="CF44" i="93"/>
  <c r="CE44" i="93"/>
  <c r="CD44" i="93"/>
  <c r="CC44" i="93"/>
  <c r="CB44" i="93"/>
  <c r="CA44" i="93"/>
  <c r="BZ44" i="93"/>
  <c r="BY44" i="93"/>
  <c r="BX44" i="93"/>
  <c r="BW44" i="93"/>
  <c r="BV44" i="93"/>
  <c r="BU44" i="93"/>
  <c r="BT44" i="93"/>
  <c r="BS44" i="93"/>
  <c r="BR44" i="93"/>
  <c r="BQ44" i="93"/>
  <c r="BP44" i="93"/>
  <c r="BO44" i="93"/>
  <c r="BN44" i="93"/>
  <c r="BM44" i="93"/>
  <c r="BL44" i="93"/>
  <c r="BK44" i="93"/>
  <c r="BJ44" i="93"/>
  <c r="BI44" i="93"/>
  <c r="BH44" i="93"/>
  <c r="BG44" i="93"/>
  <c r="BF44" i="93"/>
  <c r="BE44" i="93"/>
  <c r="BD44" i="93"/>
  <c r="BC44" i="93"/>
  <c r="BB44" i="93"/>
  <c r="BA44" i="93"/>
  <c r="AZ44" i="93"/>
  <c r="AY44" i="93"/>
  <c r="AX44" i="93"/>
  <c r="AW44" i="93"/>
  <c r="AV44" i="93"/>
  <c r="AU44" i="93"/>
  <c r="AT44" i="93"/>
  <c r="AS44" i="93"/>
  <c r="AR44" i="93"/>
  <c r="AQ44" i="93"/>
  <c r="AP44" i="93"/>
  <c r="AO44" i="93"/>
  <c r="AN44" i="93"/>
  <c r="AM44" i="93"/>
  <c r="AL44" i="93"/>
  <c r="AK44" i="93"/>
  <c r="AJ44" i="93"/>
  <c r="AI44" i="93"/>
  <c r="AH44" i="93"/>
  <c r="AG44" i="93"/>
  <c r="AF44" i="93"/>
  <c r="AE44" i="93"/>
  <c r="AD44" i="93"/>
  <c r="AC44" i="93"/>
  <c r="AB44" i="93"/>
  <c r="AA44" i="93"/>
  <c r="CV43" i="93"/>
  <c r="CU43" i="93"/>
  <c r="CT43" i="93"/>
  <c r="CS43" i="93"/>
  <c r="CR43" i="93"/>
  <c r="CQ43" i="93"/>
  <c r="CP43" i="93"/>
  <c r="CO43" i="93"/>
  <c r="CN43" i="93"/>
  <c r="CM43" i="93"/>
  <c r="CL43" i="93"/>
  <c r="CK43" i="93"/>
  <c r="CJ43" i="93"/>
  <c r="CI43" i="93"/>
  <c r="CH43" i="93"/>
  <c r="CG43" i="93"/>
  <c r="CF43" i="93"/>
  <c r="CE43" i="93"/>
  <c r="CD43" i="93"/>
  <c r="CC43" i="93"/>
  <c r="CB43" i="93"/>
  <c r="CA43" i="93"/>
  <c r="BZ43" i="93"/>
  <c r="BY43" i="93"/>
  <c r="BX43" i="93"/>
  <c r="BW43" i="93"/>
  <c r="BV43" i="93"/>
  <c r="BU43" i="93"/>
  <c r="BT43" i="93"/>
  <c r="BS43" i="93"/>
  <c r="BR43" i="93"/>
  <c r="BQ43" i="93"/>
  <c r="BP43" i="93"/>
  <c r="BO43" i="93"/>
  <c r="BN43" i="93"/>
  <c r="BM43" i="93"/>
  <c r="BL43" i="93"/>
  <c r="BK43" i="93"/>
  <c r="BJ43" i="93"/>
  <c r="BI43" i="93"/>
  <c r="BH43" i="93"/>
  <c r="BG43" i="93"/>
  <c r="BF43" i="93"/>
  <c r="BE43" i="93"/>
  <c r="BD43" i="93"/>
  <c r="BC43" i="93"/>
  <c r="BB43" i="93"/>
  <c r="BA43" i="93"/>
  <c r="AZ43" i="93"/>
  <c r="AY43" i="93"/>
  <c r="AX43" i="93"/>
  <c r="AW43" i="93"/>
  <c r="AV43" i="93"/>
  <c r="AU43" i="93"/>
  <c r="AT43" i="93"/>
  <c r="AS43" i="93"/>
  <c r="AR43" i="93"/>
  <c r="AQ43" i="93"/>
  <c r="AP43" i="93"/>
  <c r="AO43" i="93"/>
  <c r="AN43" i="93"/>
  <c r="AM43" i="93"/>
  <c r="AL43" i="93"/>
  <c r="AK43" i="93"/>
  <c r="AJ43" i="93"/>
  <c r="AI43" i="93"/>
  <c r="AH43" i="93"/>
  <c r="AG43" i="93"/>
  <c r="AF43" i="93"/>
  <c r="AE43" i="93"/>
  <c r="AD43" i="93"/>
  <c r="AC43" i="93"/>
  <c r="AB43" i="93"/>
  <c r="AA43" i="93"/>
  <c r="CV42" i="93"/>
  <c r="CU42" i="93"/>
  <c r="CT42" i="93"/>
  <c r="CS42" i="93"/>
  <c r="CR42" i="93"/>
  <c r="CQ42" i="93"/>
  <c r="CP42" i="93"/>
  <c r="CO42" i="93"/>
  <c r="CN42" i="93"/>
  <c r="CM42" i="93"/>
  <c r="CL42" i="93"/>
  <c r="CK42" i="93"/>
  <c r="CJ42" i="93"/>
  <c r="CI42" i="93"/>
  <c r="CH42" i="93"/>
  <c r="CG42" i="93"/>
  <c r="CF42" i="93"/>
  <c r="CE42" i="93"/>
  <c r="CD42" i="93"/>
  <c r="CC42" i="93"/>
  <c r="CB42" i="93"/>
  <c r="CA42" i="93"/>
  <c r="BZ42" i="93"/>
  <c r="BY42" i="93"/>
  <c r="BX42" i="93"/>
  <c r="BW42" i="93"/>
  <c r="BV42" i="93"/>
  <c r="BU42" i="93"/>
  <c r="BT42" i="93"/>
  <c r="BS42" i="93"/>
  <c r="BR42" i="93"/>
  <c r="BQ42" i="93"/>
  <c r="BP42" i="93"/>
  <c r="BO42" i="93"/>
  <c r="BN42" i="93"/>
  <c r="BM42" i="93"/>
  <c r="BL42" i="93"/>
  <c r="BK42" i="93"/>
  <c r="BJ42" i="93"/>
  <c r="BI42" i="93"/>
  <c r="BH42" i="93"/>
  <c r="BG42" i="93"/>
  <c r="BF42" i="93"/>
  <c r="BE42" i="93"/>
  <c r="BD42" i="93"/>
  <c r="BC42" i="93"/>
  <c r="BB42" i="93"/>
  <c r="BA42" i="93"/>
  <c r="AZ42" i="93"/>
  <c r="AY42" i="93"/>
  <c r="AX42" i="93"/>
  <c r="AW42" i="93"/>
  <c r="AV42" i="93"/>
  <c r="AU42" i="93"/>
  <c r="AT42" i="93"/>
  <c r="AS42" i="93"/>
  <c r="AR42" i="93"/>
  <c r="AQ42" i="93"/>
  <c r="AP42" i="93"/>
  <c r="AO42" i="93"/>
  <c r="AN42" i="93"/>
  <c r="AM42" i="93"/>
  <c r="AL42" i="93"/>
  <c r="AK42" i="93"/>
  <c r="AJ42" i="93"/>
  <c r="AI42" i="93"/>
  <c r="AH42" i="93"/>
  <c r="AG42" i="93"/>
  <c r="AF42" i="93"/>
  <c r="AE42" i="93"/>
  <c r="AD42" i="93"/>
  <c r="AC42" i="93"/>
  <c r="AB42" i="93"/>
  <c r="AA42" i="93"/>
  <c r="CV40" i="93"/>
  <c r="CU40" i="93"/>
  <c r="CT40" i="93"/>
  <c r="CS40" i="93"/>
  <c r="CR40" i="93"/>
  <c r="CQ40" i="93"/>
  <c r="CP40" i="93"/>
  <c r="CO40" i="93"/>
  <c r="CN40" i="93"/>
  <c r="CM40" i="93"/>
  <c r="CL40" i="93"/>
  <c r="CK40" i="93"/>
  <c r="CJ40" i="93"/>
  <c r="CI40" i="93"/>
  <c r="CH40" i="93"/>
  <c r="CG40" i="93"/>
  <c r="CF40" i="93"/>
  <c r="CE40" i="93"/>
  <c r="CD40" i="93"/>
  <c r="CC40" i="93"/>
  <c r="CB40" i="93"/>
  <c r="CA40" i="93"/>
  <c r="BZ40" i="93"/>
  <c r="BY40" i="93"/>
  <c r="BX40" i="93"/>
  <c r="BW40" i="93"/>
  <c r="BV40" i="93"/>
  <c r="BU40" i="93"/>
  <c r="BT40" i="93"/>
  <c r="BS40" i="93"/>
  <c r="BR40" i="93"/>
  <c r="BQ40" i="93"/>
  <c r="BP40" i="93"/>
  <c r="BO40" i="93"/>
  <c r="BN40" i="93"/>
  <c r="BM40" i="93"/>
  <c r="BL40" i="93"/>
  <c r="BK40" i="93"/>
  <c r="BJ40" i="93"/>
  <c r="BI40" i="93"/>
  <c r="BH40" i="93"/>
  <c r="BG40" i="93"/>
  <c r="BF40" i="93"/>
  <c r="BE40" i="93"/>
  <c r="BD40" i="93"/>
  <c r="BC40" i="93"/>
  <c r="BB40" i="93"/>
  <c r="BA40" i="93"/>
  <c r="AZ40" i="93"/>
  <c r="AY40" i="93"/>
  <c r="AX40" i="93"/>
  <c r="AW40" i="93"/>
  <c r="AV40" i="93"/>
  <c r="AU40" i="93"/>
  <c r="AT40" i="93"/>
  <c r="AS40" i="93"/>
  <c r="AR40" i="93"/>
  <c r="AQ40" i="93"/>
  <c r="AP40" i="93"/>
  <c r="AO40" i="93"/>
  <c r="AN40" i="93"/>
  <c r="AM40" i="93"/>
  <c r="AL40" i="93"/>
  <c r="AK40" i="93"/>
  <c r="AJ40" i="93"/>
  <c r="AI40" i="93"/>
  <c r="AH40" i="93"/>
  <c r="AG40" i="93"/>
  <c r="AF40" i="93"/>
  <c r="AE40" i="93"/>
  <c r="AD40" i="93"/>
  <c r="AC40" i="93"/>
  <c r="AB40" i="93"/>
  <c r="AA40" i="93"/>
  <c r="CV39" i="93"/>
  <c r="CU39" i="93"/>
  <c r="CT39" i="93"/>
  <c r="CS39" i="93"/>
  <c r="CR39" i="93"/>
  <c r="CQ39" i="93"/>
  <c r="CP39" i="93"/>
  <c r="CO39" i="93"/>
  <c r="CN39" i="93"/>
  <c r="CM39" i="93"/>
  <c r="CL39" i="93"/>
  <c r="CK39" i="93"/>
  <c r="CJ39" i="93"/>
  <c r="CI39" i="93"/>
  <c r="CH39" i="93"/>
  <c r="CG39" i="93"/>
  <c r="CF39" i="93"/>
  <c r="CE39" i="93"/>
  <c r="CD39" i="93"/>
  <c r="CC39" i="93"/>
  <c r="CB39" i="93"/>
  <c r="CA39" i="93"/>
  <c r="BZ39" i="93"/>
  <c r="BY39" i="93"/>
  <c r="BX39" i="93"/>
  <c r="BW39" i="93"/>
  <c r="BV39" i="93"/>
  <c r="BU39" i="93"/>
  <c r="BT39" i="93"/>
  <c r="BS39" i="93"/>
  <c r="BR39" i="93"/>
  <c r="BQ39" i="93"/>
  <c r="BP39" i="93"/>
  <c r="BO39" i="93"/>
  <c r="BN39" i="93"/>
  <c r="BM39" i="93"/>
  <c r="BL39" i="93"/>
  <c r="BK39" i="93"/>
  <c r="BJ39" i="93"/>
  <c r="BI39" i="93"/>
  <c r="BH39" i="93"/>
  <c r="BG39" i="93"/>
  <c r="BF39" i="93"/>
  <c r="BE39" i="93"/>
  <c r="BD39" i="93"/>
  <c r="BC39" i="93"/>
  <c r="BB39" i="93"/>
  <c r="BA39" i="93"/>
  <c r="AZ39" i="93"/>
  <c r="AY39" i="93"/>
  <c r="AX39" i="93"/>
  <c r="AW39" i="93"/>
  <c r="AV39" i="93"/>
  <c r="AU39" i="93"/>
  <c r="AT39" i="93"/>
  <c r="AS39" i="93"/>
  <c r="AR39" i="93"/>
  <c r="AQ39" i="93"/>
  <c r="AP39" i="93"/>
  <c r="AO39" i="93"/>
  <c r="AN39" i="93"/>
  <c r="AM39" i="93"/>
  <c r="AL39" i="93"/>
  <c r="AK39" i="93"/>
  <c r="AJ39" i="93"/>
  <c r="AI39" i="93"/>
  <c r="AH39" i="93"/>
  <c r="AG39" i="93"/>
  <c r="AF39" i="93"/>
  <c r="AE39" i="93"/>
  <c r="AD39" i="93"/>
  <c r="AC39" i="93"/>
  <c r="AB39" i="93"/>
  <c r="AA39" i="93"/>
  <c r="D33" i="44" l="1"/>
  <c r="F35" i="37" s="1"/>
  <c r="E35" i="37" s="1"/>
  <c r="E81" i="40"/>
  <c r="H81" i="40" s="1"/>
  <c r="E60" i="17"/>
  <c r="E35" i="44"/>
  <c r="E28" i="44"/>
  <c r="E25" i="44"/>
  <c r="E18" i="44"/>
  <c r="F33" i="44" l="1"/>
  <c r="E13" i="44"/>
  <c r="E11" i="44"/>
  <c r="H64" i="40" l="1"/>
  <c r="E64" i="40" s="1"/>
  <c r="F64" i="40" s="1"/>
  <c r="Q38" i="75" l="1"/>
  <c r="Q38" i="93" s="1"/>
  <c r="L38" i="75"/>
  <c r="K38" i="75"/>
  <c r="J38" i="75"/>
  <c r="F35" i="44"/>
  <c r="I35" i="14" s="1"/>
  <c r="N38" i="75" s="1"/>
  <c r="N38" i="93" s="1"/>
  <c r="C35" i="44"/>
  <c r="C34" i="44"/>
  <c r="C33" i="44"/>
  <c r="D34" i="37"/>
  <c r="B22" i="37"/>
  <c r="B36" i="37"/>
  <c r="B35" i="37"/>
  <c r="D22" i="37"/>
  <c r="E59" i="17"/>
  <c r="Y57" i="93"/>
  <c r="X57" i="93"/>
  <c r="W57" i="93"/>
  <c r="V57" i="93"/>
  <c r="U57" i="93"/>
  <c r="T57" i="93"/>
  <c r="S57" i="93"/>
  <c r="R57" i="93"/>
  <c r="Q57" i="93"/>
  <c r="Y56" i="93"/>
  <c r="X56" i="93"/>
  <c r="W56" i="93"/>
  <c r="D16" i="90" l="1"/>
  <c r="L48" i="77"/>
  <c r="U18" i="77"/>
  <c r="U19" i="77"/>
  <c r="U7" i="77"/>
  <c r="V7" i="77" s="1"/>
  <c r="F17" i="44"/>
  <c r="V9" i="77" l="1"/>
  <c r="V18" i="77" s="1"/>
  <c r="W7" i="77"/>
  <c r="W9" i="77" s="1"/>
  <c r="U20" i="77"/>
  <c r="H60" i="40" s="1"/>
  <c r="E60" i="40" s="1"/>
  <c r="F60" i="40" s="1"/>
  <c r="H59" i="40"/>
  <c r="E59" i="40" s="1"/>
  <c r="Q38" i="77" l="1"/>
  <c r="E46" i="37" s="1"/>
  <c r="V20" i="77"/>
  <c r="E40" i="44"/>
  <c r="I15" i="90" l="1"/>
  <c r="H15" i="90"/>
  <c r="G15" i="90"/>
  <c r="G22" i="90" s="1"/>
  <c r="F15" i="90"/>
  <c r="E15" i="90"/>
  <c r="D15" i="90"/>
  <c r="D22" i="90" s="1"/>
  <c r="H14" i="90"/>
  <c r="G14" i="90"/>
  <c r="G21" i="90" s="1"/>
  <c r="F14" i="90"/>
  <c r="E14" i="90"/>
  <c r="D14" i="90"/>
  <c r="G13" i="90"/>
  <c r="G20" i="90" s="1"/>
  <c r="D13" i="90"/>
  <c r="D20" i="90" s="1"/>
  <c r="I7" i="90"/>
  <c r="I14" i="90" s="1"/>
  <c r="E6" i="90"/>
  <c r="E13" i="90" s="1"/>
  <c r="E20" i="90" s="1"/>
  <c r="E27" i="90" s="1"/>
  <c r="E34" i="90" s="1"/>
  <c r="H5" i="90"/>
  <c r="H13" i="90" s="1"/>
  <c r="F5" i="90"/>
  <c r="F13" i="90" s="1"/>
  <c r="G20" i="37"/>
  <c r="G24" i="37"/>
  <c r="F20" i="90" l="1"/>
  <c r="D27" i="90"/>
  <c r="E21" i="90"/>
  <c r="E28" i="90" s="1"/>
  <c r="E35" i="90" s="1"/>
  <c r="E42" i="90" s="1"/>
  <c r="F22" i="90"/>
  <c r="F29" i="90" s="1"/>
  <c r="F36" i="90" s="1"/>
  <c r="F43" i="90" s="1"/>
  <c r="G29" i="90"/>
  <c r="I20" i="90"/>
  <c r="J20" i="90"/>
  <c r="G27" i="90"/>
  <c r="D21" i="90"/>
  <c r="D28" i="90" s="1"/>
  <c r="D35" i="90" s="1"/>
  <c r="D42" i="90" s="1"/>
  <c r="F21" i="90"/>
  <c r="F28" i="90" s="1"/>
  <c r="F35" i="90" s="1"/>
  <c r="F42" i="90" s="1"/>
  <c r="G28" i="90"/>
  <c r="I21" i="90"/>
  <c r="J21" i="90"/>
  <c r="H22" i="90"/>
  <c r="H29" i="90" s="1"/>
  <c r="H36" i="90" s="1"/>
  <c r="D29" i="90"/>
  <c r="D36" i="90" s="1"/>
  <c r="E22" i="90"/>
  <c r="E29" i="90" s="1"/>
  <c r="E36" i="90" s="1"/>
  <c r="E43" i="90" s="1"/>
  <c r="I34" i="90"/>
  <c r="J34" i="90"/>
  <c r="H43" i="90"/>
  <c r="D43" i="90"/>
  <c r="E41" i="90"/>
  <c r="J14" i="90"/>
  <c r="J15" i="90"/>
  <c r="H74" i="40"/>
  <c r="H101" i="40"/>
  <c r="H100" i="40"/>
  <c r="H99" i="40"/>
  <c r="H98" i="40"/>
  <c r="H96" i="40"/>
  <c r="H95" i="40"/>
  <c r="H94" i="40"/>
  <c r="J22" i="90" l="1"/>
  <c r="G36" i="90"/>
  <c r="I29" i="90"/>
  <c r="J29" i="90"/>
  <c r="F27" i="90"/>
  <c r="D34" i="90"/>
  <c r="F34" i="90" s="1"/>
  <c r="J27" i="90"/>
  <c r="I27" i="90"/>
  <c r="I22" i="90"/>
  <c r="I28" i="90"/>
  <c r="J28" i="90"/>
  <c r="G35" i="90"/>
  <c r="J41" i="90"/>
  <c r="I41" i="90"/>
  <c r="E54" i="37"/>
  <c r="E52" i="37"/>
  <c r="E53" i="37"/>
  <c r="J13" i="90"/>
  <c r="I35" i="90" l="1"/>
  <c r="J35" i="90"/>
  <c r="I36" i="90"/>
  <c r="J36" i="90"/>
  <c r="D41" i="90"/>
  <c r="F41" i="90" s="1"/>
  <c r="G42" i="90"/>
  <c r="G43" i="90"/>
  <c r="P55" i="14"/>
  <c r="P54" i="14"/>
  <c r="T54" i="77"/>
  <c r="T50" i="77"/>
  <c r="T49" i="77"/>
  <c r="S30" i="77"/>
  <c r="N36" i="77"/>
  <c r="I43" i="90" l="1"/>
  <c r="J43" i="90"/>
  <c r="I42" i="90"/>
  <c r="J42" i="90"/>
  <c r="T53" i="77"/>
  <c r="J8" i="90"/>
  <c r="J7" i="90"/>
  <c r="J6" i="90"/>
  <c r="J5" i="90"/>
  <c r="I6" i="90"/>
  <c r="I5" i="90"/>
  <c r="I13" i="90" l="1"/>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CV55" i="93"/>
  <c r="AB56" i="93"/>
  <c r="AC56" i="93"/>
  <c r="AD56" i="93"/>
  <c r="AE56" i="93"/>
  <c r="AF56" i="93"/>
  <c r="AG56" i="93"/>
  <c r="AH56" i="93"/>
  <c r="AI56" i="93"/>
  <c r="AJ56" i="93"/>
  <c r="AK56" i="93"/>
  <c r="AL56" i="93"/>
  <c r="AM56" i="93"/>
  <c r="AN56" i="93"/>
  <c r="AO56" i="93"/>
  <c r="AP56" i="93"/>
  <c r="AQ56" i="93"/>
  <c r="AR56" i="93"/>
  <c r="AS56" i="93"/>
  <c r="AT56" i="93"/>
  <c r="AU56" i="93"/>
  <c r="AV56" i="93"/>
  <c r="AW56" i="93"/>
  <c r="AX56" i="93"/>
  <c r="AY56" i="93"/>
  <c r="AZ56" i="93"/>
  <c r="BA56" i="93"/>
  <c r="BB56" i="93"/>
  <c r="BC56" i="93"/>
  <c r="BD56" i="93"/>
  <c r="BE56" i="93"/>
  <c r="BF56" i="93"/>
  <c r="BG56" i="93"/>
  <c r="BH56" i="93"/>
  <c r="BI56" i="93"/>
  <c r="BJ56" i="93"/>
  <c r="BK56" i="93"/>
  <c r="BL56" i="93"/>
  <c r="BM56" i="93"/>
  <c r="BN56" i="93"/>
  <c r="BO56" i="93"/>
  <c r="BP56" i="93"/>
  <c r="BQ56" i="93"/>
  <c r="BR56" i="93"/>
  <c r="BS56" i="93"/>
  <c r="BT56" i="93"/>
  <c r="BU56" i="93"/>
  <c r="BV56" i="93"/>
  <c r="BW56" i="93"/>
  <c r="BX56" i="93"/>
  <c r="BY56" i="93"/>
  <c r="BZ56" i="93"/>
  <c r="CA56" i="93"/>
  <c r="CB56" i="93"/>
  <c r="CC56" i="93"/>
  <c r="CD56" i="93"/>
  <c r="CE56" i="93"/>
  <c r="CF56" i="93"/>
  <c r="CG56" i="93"/>
  <c r="CH56" i="93"/>
  <c r="CI56" i="93"/>
  <c r="CJ56" i="93"/>
  <c r="CK56" i="93"/>
  <c r="CL56" i="93"/>
  <c r="CM56" i="93"/>
  <c r="CN56" i="93"/>
  <c r="CO56" i="93"/>
  <c r="CP56" i="93"/>
  <c r="CQ56" i="93"/>
  <c r="CR56" i="93"/>
  <c r="CS56" i="93"/>
  <c r="CT56" i="93"/>
  <c r="CU56" i="93"/>
  <c r="CV56" i="93"/>
  <c r="AB57" i="93"/>
  <c r="AC57" i="93"/>
  <c r="AD57" i="93"/>
  <c r="AE57" i="93"/>
  <c r="AF57" i="93"/>
  <c r="AG57" i="93"/>
  <c r="AH57" i="93"/>
  <c r="AI57" i="93"/>
  <c r="AJ57" i="93"/>
  <c r="AK57" i="93"/>
  <c r="AL57" i="93"/>
  <c r="AM57" i="93"/>
  <c r="AN57" i="93"/>
  <c r="AO57" i="93"/>
  <c r="AP57" i="93"/>
  <c r="AQ57" i="93"/>
  <c r="AR57" i="93"/>
  <c r="AS57" i="93"/>
  <c r="AT57" i="93"/>
  <c r="AU57" i="93"/>
  <c r="AV57" i="93"/>
  <c r="AW57" i="93"/>
  <c r="AX57" i="93"/>
  <c r="AY57" i="93"/>
  <c r="AZ57" i="93"/>
  <c r="BA57" i="93"/>
  <c r="BB57" i="93"/>
  <c r="BC57" i="93"/>
  <c r="BD57" i="93"/>
  <c r="BE57" i="93"/>
  <c r="BF57" i="93"/>
  <c r="BG57" i="93"/>
  <c r="BH57" i="93"/>
  <c r="BI57" i="93"/>
  <c r="BJ57" i="93"/>
  <c r="BK57" i="93"/>
  <c r="BL57" i="93"/>
  <c r="BM57" i="93"/>
  <c r="BN57" i="93"/>
  <c r="BO57" i="93"/>
  <c r="BP57" i="93"/>
  <c r="BQ57" i="93"/>
  <c r="BR57" i="93"/>
  <c r="BS57" i="93"/>
  <c r="BT57" i="93"/>
  <c r="BU57" i="93"/>
  <c r="BV57" i="93"/>
  <c r="BW57" i="93"/>
  <c r="BX57" i="93"/>
  <c r="BY57" i="93"/>
  <c r="BZ57" i="93"/>
  <c r="CA57" i="93"/>
  <c r="CB57" i="93"/>
  <c r="CC57" i="93"/>
  <c r="CD57" i="93"/>
  <c r="CE57" i="93"/>
  <c r="CF57" i="93"/>
  <c r="CG57" i="93"/>
  <c r="CH57" i="93"/>
  <c r="CI57" i="93"/>
  <c r="CJ57" i="93"/>
  <c r="CK57" i="93"/>
  <c r="CL57" i="93"/>
  <c r="CM57" i="93"/>
  <c r="CN57" i="93"/>
  <c r="CO57" i="93"/>
  <c r="CP57" i="93"/>
  <c r="CQ57" i="93"/>
  <c r="CR57" i="93"/>
  <c r="CS57" i="93"/>
  <c r="CT57" i="93"/>
  <c r="CU57" i="93"/>
  <c r="CV57" i="93"/>
  <c r="Q58" i="93"/>
  <c r="R58" i="93"/>
  <c r="S58" i="93"/>
  <c r="T58" i="93"/>
  <c r="U58" i="93"/>
  <c r="V58" i="93"/>
  <c r="W58" i="93"/>
  <c r="X58" i="93"/>
  <c r="Y58" i="93"/>
  <c r="AB58" i="93"/>
  <c r="AC58" i="93"/>
  <c r="AD58" i="93"/>
  <c r="AE58" i="93"/>
  <c r="AF58" i="93"/>
  <c r="AG58" i="93"/>
  <c r="AH58" i="93"/>
  <c r="AI58" i="93"/>
  <c r="AJ58" i="93"/>
  <c r="AK58" i="93"/>
  <c r="AL58" i="93"/>
  <c r="AM58" i="93"/>
  <c r="AN58" i="93"/>
  <c r="AO58" i="93"/>
  <c r="AP58" i="93"/>
  <c r="AQ58" i="93"/>
  <c r="AR58" i="93"/>
  <c r="AS58" i="93"/>
  <c r="AT58" i="93"/>
  <c r="AU58" i="93"/>
  <c r="AV58" i="93"/>
  <c r="AW58" i="93"/>
  <c r="AX58" i="93"/>
  <c r="AY58" i="93"/>
  <c r="AZ58" i="93"/>
  <c r="BA58" i="93"/>
  <c r="BB58" i="93"/>
  <c r="BC58" i="93"/>
  <c r="BD58" i="93"/>
  <c r="BE58" i="93"/>
  <c r="BF58" i="93"/>
  <c r="BG58" i="93"/>
  <c r="BH58" i="93"/>
  <c r="BI58" i="93"/>
  <c r="BJ58" i="93"/>
  <c r="BK58" i="93"/>
  <c r="BL58" i="93"/>
  <c r="BM58" i="93"/>
  <c r="BN58" i="93"/>
  <c r="BO58" i="93"/>
  <c r="BP58" i="93"/>
  <c r="BQ58" i="93"/>
  <c r="BR58" i="93"/>
  <c r="BS58" i="93"/>
  <c r="BT58" i="93"/>
  <c r="BU58" i="93"/>
  <c r="BV58" i="93"/>
  <c r="BW58" i="93"/>
  <c r="BX58" i="93"/>
  <c r="BY58" i="93"/>
  <c r="BZ58" i="93"/>
  <c r="CA58" i="93"/>
  <c r="CB58" i="93"/>
  <c r="CC58" i="93"/>
  <c r="CD58" i="93"/>
  <c r="CE58" i="93"/>
  <c r="CF58" i="93"/>
  <c r="CG58" i="93"/>
  <c r="CH58" i="93"/>
  <c r="CI58" i="93"/>
  <c r="CJ58" i="93"/>
  <c r="CK58" i="93"/>
  <c r="CL58" i="93"/>
  <c r="CM58" i="93"/>
  <c r="CN58" i="93"/>
  <c r="CO58" i="93"/>
  <c r="CP58" i="93"/>
  <c r="CQ58" i="93"/>
  <c r="CR58" i="93"/>
  <c r="CS58" i="93"/>
  <c r="CT58" i="93"/>
  <c r="CU58" i="93"/>
  <c r="CV58" i="93"/>
  <c r="Q59" i="93"/>
  <c r="R59" i="93"/>
  <c r="S59" i="93"/>
  <c r="T59" i="93"/>
  <c r="U59" i="93"/>
  <c r="V59" i="93"/>
  <c r="W59" i="93"/>
  <c r="X59" i="93"/>
  <c r="Y59" i="93"/>
  <c r="AB59" i="93"/>
  <c r="AC59" i="93"/>
  <c r="AD59" i="93"/>
  <c r="AE59" i="93"/>
  <c r="AF59" i="93"/>
  <c r="AG59" i="93"/>
  <c r="AH59" i="93"/>
  <c r="AI59" i="93"/>
  <c r="AJ59" i="93"/>
  <c r="AK59" i="93"/>
  <c r="AL59" i="93"/>
  <c r="AM59" i="93"/>
  <c r="AN59" i="93"/>
  <c r="AO59" i="93"/>
  <c r="AP59" i="93"/>
  <c r="AQ59" i="93"/>
  <c r="AR59" i="93"/>
  <c r="AS59" i="93"/>
  <c r="AT59" i="93"/>
  <c r="AU59" i="93"/>
  <c r="AV59" i="93"/>
  <c r="AW59" i="93"/>
  <c r="AX59" i="93"/>
  <c r="AY59" i="93"/>
  <c r="AZ59" i="93"/>
  <c r="BA59" i="93"/>
  <c r="BB59" i="93"/>
  <c r="BC59" i="93"/>
  <c r="BD59" i="93"/>
  <c r="BE59" i="93"/>
  <c r="BF59" i="93"/>
  <c r="BG59" i="93"/>
  <c r="BH59" i="93"/>
  <c r="BI59" i="93"/>
  <c r="BJ59" i="93"/>
  <c r="BK59" i="93"/>
  <c r="BL59" i="93"/>
  <c r="BM59" i="93"/>
  <c r="BN59" i="93"/>
  <c r="BO59" i="93"/>
  <c r="BP59" i="93"/>
  <c r="BQ59" i="93"/>
  <c r="BR59" i="93"/>
  <c r="BS59" i="93"/>
  <c r="BT59" i="93"/>
  <c r="BU59" i="93"/>
  <c r="BV59" i="93"/>
  <c r="BW59" i="93"/>
  <c r="BX59" i="93"/>
  <c r="BY59" i="93"/>
  <c r="BZ59" i="93"/>
  <c r="CA59" i="93"/>
  <c r="CB59" i="93"/>
  <c r="CC59" i="93"/>
  <c r="CD59" i="93"/>
  <c r="CE59" i="93"/>
  <c r="CF59" i="93"/>
  <c r="CG59" i="93"/>
  <c r="CH59" i="93"/>
  <c r="CI59" i="93"/>
  <c r="CJ59" i="93"/>
  <c r="CK59" i="93"/>
  <c r="CL59" i="93"/>
  <c r="CM59" i="93"/>
  <c r="CN59" i="93"/>
  <c r="CO59" i="93"/>
  <c r="CP59" i="93"/>
  <c r="CQ59" i="93"/>
  <c r="CR59" i="93"/>
  <c r="CS59" i="93"/>
  <c r="CT59" i="93"/>
  <c r="CU59" i="93"/>
  <c r="CV59" i="93"/>
  <c r="Q60" i="93"/>
  <c r="R60" i="93"/>
  <c r="S60" i="93"/>
  <c r="T60" i="93"/>
  <c r="U60" i="93"/>
  <c r="V60" i="93"/>
  <c r="W60" i="93"/>
  <c r="X60" i="93"/>
  <c r="Y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CV60" i="93"/>
  <c r="Q61" i="93"/>
  <c r="R61" i="93"/>
  <c r="S61" i="93"/>
  <c r="T61" i="93"/>
  <c r="U61" i="93"/>
  <c r="V61" i="93"/>
  <c r="W61" i="93"/>
  <c r="X61" i="93"/>
  <c r="Y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Q62" i="93"/>
  <c r="R62" i="93"/>
  <c r="S62" i="93"/>
  <c r="T62"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Q63" i="93"/>
  <c r="R63" i="93"/>
  <c r="S63" i="93"/>
  <c r="T63"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Q64" i="93"/>
  <c r="R64" i="93"/>
  <c r="S64" i="93"/>
  <c r="T64"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Q65" i="93"/>
  <c r="R65" i="93"/>
  <c r="S65" i="93"/>
  <c r="T65"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Q66" i="93"/>
  <c r="R66" i="93"/>
  <c r="S66" i="93"/>
  <c r="T66"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Q67" i="93"/>
  <c r="R67" i="93"/>
  <c r="S67" i="93"/>
  <c r="T67"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H57" i="40" l="1"/>
  <c r="H56" i="40"/>
  <c r="E56" i="40" s="1"/>
  <c r="S18" i="77"/>
  <c r="S28" i="77" s="1"/>
  <c r="S7" i="77"/>
  <c r="S24" i="77" s="1"/>
  <c r="M37" i="77"/>
  <c r="S9" i="77" l="1"/>
  <c r="S29" i="77" s="1"/>
  <c r="H58" i="40"/>
  <c r="E58" i="40" s="1"/>
  <c r="T51" i="77"/>
  <c r="N47" i="14"/>
  <c r="H55" i="40"/>
  <c r="E55" i="40" s="1"/>
  <c r="E36" i="37"/>
  <c r="E58" i="17"/>
  <c r="T55" i="77" l="1"/>
  <c r="N38" i="77" s="1"/>
  <c r="T52" i="77"/>
  <c r="D31" i="44"/>
  <c r="F31" i="44" s="1"/>
  <c r="R8" i="77" l="1"/>
  <c r="R9" i="77" s="1"/>
  <c r="S37" i="75"/>
  <c r="S37" i="93" s="1"/>
  <c r="R37" i="75"/>
  <c r="R37" i="93" s="1"/>
  <c r="Q37" i="75"/>
  <c r="Q37" i="93" s="1"/>
  <c r="M37" i="75"/>
  <c r="L37" i="75"/>
  <c r="K34" i="75"/>
  <c r="K35" i="75"/>
  <c r="K36" i="75"/>
  <c r="K37" i="75"/>
  <c r="J37" i="75"/>
  <c r="D21" i="44"/>
  <c r="F34" i="44"/>
  <c r="I34" i="14" s="1"/>
  <c r="N37" i="75" s="1"/>
  <c r="N37" i="93" s="1"/>
  <c r="P49" i="75"/>
  <c r="P49" i="93" s="1"/>
  <c r="F44" i="44"/>
  <c r="I53" i="14" s="1"/>
  <c r="N48" i="75" s="1"/>
  <c r="N48" i="93" s="1"/>
  <c r="H93" i="40"/>
  <c r="H92" i="40"/>
  <c r="H91" i="40"/>
  <c r="H90" i="40"/>
  <c r="H89" i="40"/>
  <c r="H88" i="40"/>
  <c r="H72" i="40"/>
  <c r="F57" i="17"/>
  <c r="L38" i="77"/>
  <c r="L37" i="77" s="1"/>
  <c r="I33" i="14"/>
  <c r="D24" i="44"/>
  <c r="F24" i="44" s="1"/>
  <c r="I24" i="14" s="1"/>
  <c r="M12" i="75" s="1"/>
  <c r="F14" i="44"/>
  <c r="I14" i="14" s="1"/>
  <c r="M17" i="75" s="1"/>
  <c r="F15" i="44"/>
  <c r="I15" i="14" s="1"/>
  <c r="M15" i="75" s="1"/>
  <c r="I18" i="14"/>
  <c r="M14" i="75" s="1"/>
  <c r="J36" i="75"/>
  <c r="E56" i="17"/>
  <c r="E54" i="40"/>
  <c r="E70" i="40"/>
  <c r="E53" i="40"/>
  <c r="F53" i="40"/>
  <c r="Q9" i="77"/>
  <c r="P9" i="77"/>
  <c r="P22" i="77" s="1"/>
  <c r="R50" i="75"/>
  <c r="R50" i="93" s="1"/>
  <c r="P50" i="75"/>
  <c r="P50" i="93" s="1"/>
  <c r="O50" i="75"/>
  <c r="O50" i="93" s="1"/>
  <c r="N50" i="75"/>
  <c r="N50" i="93" s="1"/>
  <c r="M50" i="75"/>
  <c r="L50" i="75"/>
  <c r="K50" i="75"/>
  <c r="J50" i="75"/>
  <c r="R49" i="75"/>
  <c r="R49" i="93" s="1"/>
  <c r="O49" i="75"/>
  <c r="O49" i="93" s="1"/>
  <c r="N49" i="75"/>
  <c r="N49" i="93" s="1"/>
  <c r="M49" i="75"/>
  <c r="L49" i="75"/>
  <c r="K49" i="75"/>
  <c r="J49" i="75"/>
  <c r="R48" i="75"/>
  <c r="R48" i="93" s="1"/>
  <c r="O48" i="75"/>
  <c r="O48" i="93" s="1"/>
  <c r="M48" i="75"/>
  <c r="L48" i="75"/>
  <c r="K48" i="75"/>
  <c r="J48" i="75"/>
  <c r="M36" i="75"/>
  <c r="L36" i="75"/>
  <c r="V35" i="75"/>
  <c r="V35" i="93" s="1"/>
  <c r="V34" i="75"/>
  <c r="V34" i="93" s="1"/>
  <c r="U50" i="75"/>
  <c r="U50" i="93" s="1"/>
  <c r="M56" i="14"/>
  <c r="Q50" i="75"/>
  <c r="Q50" i="93" s="1"/>
  <c r="J56" i="14"/>
  <c r="R9" i="87"/>
  <c r="H9" i="87"/>
  <c r="G9" i="87"/>
  <c r="E9" i="87"/>
  <c r="E10" i="87"/>
  <c r="G10" i="87"/>
  <c r="H10" i="87"/>
  <c r="L35" i="75"/>
  <c r="J35" i="75"/>
  <c r="I32" i="14"/>
  <c r="N35" i="75" s="1"/>
  <c r="N35" i="93" s="1"/>
  <c r="I31" i="14"/>
  <c r="E32" i="44"/>
  <c r="C32" i="44"/>
  <c r="B34" i="37"/>
  <c r="M35" i="75"/>
  <c r="K38" i="77"/>
  <c r="K35" i="77"/>
  <c r="O20" i="77"/>
  <c r="O26" i="77" s="1"/>
  <c r="O9" i="77"/>
  <c r="J37" i="77"/>
  <c r="F32" i="80"/>
  <c r="H52" i="40"/>
  <c r="E52" i="40" s="1"/>
  <c r="H38" i="40"/>
  <c r="E38" i="40" s="1"/>
  <c r="I54" i="17"/>
  <c r="E54" i="17" s="1"/>
  <c r="F39" i="44"/>
  <c r="I30" i="14"/>
  <c r="E51" i="17"/>
  <c r="B51" i="17"/>
  <c r="G17" i="37"/>
  <c r="E17" i="37" s="1"/>
  <c r="I37" i="77"/>
  <c r="M26" i="77"/>
  <c r="Q26" i="87"/>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s="1"/>
  <c r="E63" i="40"/>
  <c r="H51" i="40"/>
  <c r="E51" i="40" s="1"/>
  <c r="J47" i="14"/>
  <c r="T20" i="77"/>
  <c r="T26" i="77" s="1"/>
  <c r="H50" i="40"/>
  <c r="F50" i="40" s="1"/>
  <c r="F31" i="80"/>
  <c r="L34" i="75"/>
  <c r="J34" i="75"/>
  <c r="H37" i="40"/>
  <c r="E37" i="40" s="1"/>
  <c r="C31" i="44"/>
  <c r="D20" i="37"/>
  <c r="C20" i="37"/>
  <c r="B20" i="37"/>
  <c r="H37" i="77"/>
  <c r="H34" i="77"/>
  <c r="I34" i="77" s="1"/>
  <c r="K20" i="77"/>
  <c r="K26" i="77" s="1"/>
  <c r="J20" i="77"/>
  <c r="J26" i="77" s="1"/>
  <c r="I20" i="77"/>
  <c r="I26" i="77" s="1"/>
  <c r="L20" i="77"/>
  <c r="L26" i="77" s="1"/>
  <c r="I9" i="77"/>
  <c r="G36" i="77"/>
  <c r="G43" i="77"/>
  <c r="F30" i="80"/>
  <c r="H48" i="17"/>
  <c r="B49" i="17"/>
  <c r="F25" i="37"/>
  <c r="E25" i="37" s="1"/>
  <c r="E49" i="17"/>
  <c r="F21" i="40"/>
  <c r="D33" i="37"/>
  <c r="D32" i="37"/>
  <c r="D27" i="37"/>
  <c r="D17" i="37"/>
  <c r="D31" i="37"/>
  <c r="C33" i="37"/>
  <c r="C32" i="37"/>
  <c r="C27" i="37"/>
  <c r="B33" i="37"/>
  <c r="B32" i="37"/>
  <c r="B27" i="37"/>
  <c r="M33" i="75"/>
  <c r="L33" i="75"/>
  <c r="K33" i="75"/>
  <c r="J33" i="75"/>
  <c r="C30" i="44"/>
  <c r="H26" i="77"/>
  <c r="G26" i="77"/>
  <c r="C36" i="77"/>
  <c r="D36" i="77"/>
  <c r="E36" i="77"/>
  <c r="F36" i="77"/>
  <c r="G37" i="77"/>
  <c r="D39" i="77"/>
  <c r="D40" i="77" s="1"/>
  <c r="D43" i="77"/>
  <c r="G18" i="77"/>
  <c r="G19" i="77" s="1"/>
  <c r="H18" i="77"/>
  <c r="H19" i="77" s="1"/>
  <c r="D24" i="77"/>
  <c r="E24" i="77"/>
  <c r="G24" i="77"/>
  <c r="H24" i="77"/>
  <c r="I24" i="77"/>
  <c r="N38" i="80"/>
  <c r="N39" i="80"/>
  <c r="J8" i="77"/>
  <c r="K8" i="77" s="1"/>
  <c r="E48" i="17"/>
  <c r="B48" i="17"/>
  <c r="L43" i="75"/>
  <c r="K43" i="75"/>
  <c r="J43" i="75"/>
  <c r="I47" i="17"/>
  <c r="E47" i="17" s="1"/>
  <c r="B47" i="17"/>
  <c r="C29" i="44"/>
  <c r="C28" i="44"/>
  <c r="C27" i="44"/>
  <c r="I29" i="14"/>
  <c r="M43" i="75"/>
  <c r="D22" i="44"/>
  <c r="F22" i="44" s="1"/>
  <c r="F36" i="40"/>
  <c r="B46" i="17"/>
  <c r="B45" i="17"/>
  <c r="B44" i="17"/>
  <c r="B43" i="17"/>
  <c r="E2" i="51"/>
  <c r="J9" i="75"/>
  <c r="L9" i="75"/>
  <c r="K9" i="75"/>
  <c r="J42" i="17"/>
  <c r="E41" i="17"/>
  <c r="B42" i="17"/>
  <c r="B41" i="17"/>
  <c r="B40" i="17"/>
  <c r="C17" i="37"/>
  <c r="B17" i="37"/>
  <c r="I27" i="14"/>
  <c r="F39" i="17"/>
  <c r="E37" i="17"/>
  <c r="E38" i="17"/>
  <c r="E36" i="17"/>
  <c r="B39" i="17"/>
  <c r="B38" i="17"/>
  <c r="B37" i="17"/>
  <c r="B36" i="17"/>
  <c r="B35" i="17"/>
  <c r="B34" i="17"/>
  <c r="B33" i="17"/>
  <c r="I9" i="87"/>
  <c r="E18" i="40"/>
  <c r="D23" i="44"/>
  <c r="D40" i="44"/>
  <c r="F40" i="44" s="1"/>
  <c r="F43" i="44"/>
  <c r="F42" i="44"/>
  <c r="F41" i="44"/>
  <c r="I21" i="14"/>
  <c r="C31" i="37"/>
  <c r="L10" i="75"/>
  <c r="K10" i="75"/>
  <c r="J10" i="75"/>
  <c r="I25" i="14"/>
  <c r="C25" i="44"/>
  <c r="C26" i="44"/>
  <c r="C10" i="44"/>
  <c r="C11" i="44"/>
  <c r="C12" i="44"/>
  <c r="C13" i="44"/>
  <c r="C14" i="44"/>
  <c r="C15" i="44"/>
  <c r="C16" i="44"/>
  <c r="C17" i="44"/>
  <c r="C18" i="44"/>
  <c r="C19" i="44"/>
  <c r="C20" i="44"/>
  <c r="C21" i="44"/>
  <c r="C22" i="44"/>
  <c r="C23" i="44"/>
  <c r="C24" i="44"/>
  <c r="C9" i="44"/>
  <c r="E22" i="37" s="1"/>
  <c r="I12" i="14"/>
  <c r="I15" i="87" s="1"/>
  <c r="I16" i="14"/>
  <c r="I17" i="14"/>
  <c r="B31" i="37"/>
  <c r="B30" i="37"/>
  <c r="I35" i="17"/>
  <c r="E35" i="17" s="1"/>
  <c r="I13" i="87"/>
  <c r="E17" i="40"/>
  <c r="I34" i="17"/>
  <c r="E34" i="17" s="1"/>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I23" i="14"/>
  <c r="I23" i="87" s="1"/>
  <c r="T21" i="37"/>
  <c r="I65" i="17"/>
  <c r="H66" i="17"/>
  <c r="I66" i="17" s="1"/>
  <c r="F68" i="17"/>
  <c r="M41" i="14" s="1"/>
  <c r="Q27" i="75"/>
  <c r="Q27" i="93" s="1"/>
  <c r="M27" i="75"/>
  <c r="L27" i="75"/>
  <c r="K27" i="75"/>
  <c r="J27" i="75"/>
  <c r="N28" i="75"/>
  <c r="N28" i="93" s="1"/>
  <c r="M28" i="75"/>
  <c r="L28" i="75"/>
  <c r="K28" i="75"/>
  <c r="J28" i="75"/>
  <c r="M26" i="75"/>
  <c r="L26" i="75"/>
  <c r="K26" i="75"/>
  <c r="J26" i="75"/>
  <c r="M25" i="75"/>
  <c r="L25" i="75"/>
  <c r="K25" i="75"/>
  <c r="J25" i="75"/>
  <c r="L24" i="75"/>
  <c r="K24" i="75"/>
  <c r="J24" i="75"/>
  <c r="M23" i="75"/>
  <c r="L23" i="75"/>
  <c r="K23" i="75"/>
  <c r="J23" i="75"/>
  <c r="L13" i="75"/>
  <c r="K13" i="75"/>
  <c r="M11" i="75"/>
  <c r="L11" i="75"/>
  <c r="K11" i="75"/>
  <c r="L12" i="75"/>
  <c r="K12" i="75"/>
  <c r="L14" i="75"/>
  <c r="K14" i="75"/>
  <c r="L18" i="75"/>
  <c r="K18" i="75"/>
  <c r="L15" i="75"/>
  <c r="K15" i="75"/>
  <c r="L16" i="75"/>
  <c r="K16" i="75"/>
  <c r="L17" i="75"/>
  <c r="K17" i="75"/>
  <c r="J13" i="75"/>
  <c r="J11" i="75"/>
  <c r="J12" i="75"/>
  <c r="J14" i="75"/>
  <c r="J18" i="75"/>
  <c r="J15" i="75"/>
  <c r="J16" i="75"/>
  <c r="J17" i="75"/>
  <c r="I33" i="17"/>
  <c r="E33" i="17" s="1"/>
  <c r="M12" i="87"/>
  <c r="D30" i="37"/>
  <c r="C30" i="37"/>
  <c r="B29" i="37"/>
  <c r="B16" i="37"/>
  <c r="B19" i="37"/>
  <c r="B28" i="37"/>
  <c r="B15" i="37"/>
  <c r="B14" i="37"/>
  <c r="B26" i="37"/>
  <c r="B21" i="37"/>
  <c r="B13" i="37"/>
  <c r="B25" i="37"/>
  <c r="B18" i="37"/>
  <c r="B24" i="37"/>
  <c r="B12" i="37"/>
  <c r="B23" i="37"/>
  <c r="B11" i="37"/>
  <c r="B10" i="37"/>
  <c r="C29" i="37"/>
  <c r="C16" i="37"/>
  <c r="C19" i="37"/>
  <c r="C28" i="37"/>
  <c r="C15" i="37"/>
  <c r="C14" i="37"/>
  <c r="C26" i="37"/>
  <c r="C21" i="37"/>
  <c r="C13" i="37"/>
  <c r="C25" i="37"/>
  <c r="C18" i="37"/>
  <c r="C24" i="37"/>
  <c r="C12" i="37"/>
  <c r="C23" i="37"/>
  <c r="C11" i="37"/>
  <c r="C10" i="37"/>
  <c r="I31" i="17"/>
  <c r="E31" i="17" s="1"/>
  <c r="O39" i="14"/>
  <c r="O17" i="87" s="1"/>
  <c r="C3" i="75"/>
  <c r="I32" i="17"/>
  <c r="E32" i="17" s="1"/>
  <c r="D29" i="37"/>
  <c r="E69" i="40"/>
  <c r="I20" i="14"/>
  <c r="I10" i="87"/>
  <c r="D2" i="14"/>
  <c r="C2" i="37" s="1"/>
  <c r="K16" i="37" s="1"/>
  <c r="F10" i="44"/>
  <c r="I10" i="14" s="1"/>
  <c r="I16" i="87"/>
  <c r="E67" i="17"/>
  <c r="H43" i="40"/>
  <c r="E43" i="40" s="1"/>
  <c r="H42" i="40"/>
  <c r="E42" i="40" s="1"/>
  <c r="H41" i="40"/>
  <c r="E41" i="40" s="1"/>
  <c r="J46" i="14"/>
  <c r="O27" i="75" s="1"/>
  <c r="O27" i="93" s="1"/>
  <c r="E39" i="40"/>
  <c r="N27" i="75"/>
  <c r="N27" i="93" s="1"/>
  <c r="I19" i="14"/>
  <c r="I14" i="87" s="1"/>
  <c r="I13" i="14"/>
  <c r="I11" i="14"/>
  <c r="F9" i="44"/>
  <c r="I9" i="14" s="1"/>
  <c r="I18" i="87" s="1"/>
  <c r="M16" i="75"/>
  <c r="K40" i="14"/>
  <c r="K42" i="14" s="1"/>
  <c r="M18" i="75"/>
  <c r="K11" i="87"/>
  <c r="E32" i="40"/>
  <c r="E10" i="40"/>
  <c r="E68" i="40"/>
  <c r="E67" i="40"/>
  <c r="E66" i="40"/>
  <c r="E65" i="40"/>
  <c r="E35" i="40"/>
  <c r="E34" i="40"/>
  <c r="F33" i="40"/>
  <c r="E31" i="40"/>
  <c r="F30" i="40"/>
  <c r="E29" i="40"/>
  <c r="E28" i="40"/>
  <c r="E27" i="40"/>
  <c r="E26" i="40"/>
  <c r="E25" i="40"/>
  <c r="E24" i="40"/>
  <c r="E23" i="40"/>
  <c r="E22" i="40"/>
  <c r="F15" i="40"/>
  <c r="E14" i="40"/>
  <c r="F13" i="40"/>
  <c r="E12" i="40"/>
  <c r="E11" i="40"/>
  <c r="F9" i="40"/>
  <c r="E8" i="40"/>
  <c r="E7" i="40"/>
  <c r="F6" i="40"/>
  <c r="E5" i="40"/>
  <c r="E4" i="40"/>
  <c r="R25" i="75"/>
  <c r="R25" i="93" s="1"/>
  <c r="E25" i="17"/>
  <c r="E24" i="17"/>
  <c r="E14" i="37" s="1"/>
  <c r="E17" i="17"/>
  <c r="E16" i="17"/>
  <c r="I30" i="17"/>
  <c r="E30" i="17" s="1"/>
  <c r="I29" i="17"/>
  <c r="E29" i="17" s="1"/>
  <c r="I27" i="17"/>
  <c r="E27" i="17" s="1"/>
  <c r="I26" i="17"/>
  <c r="E26" i="17" s="1"/>
  <c r="I23" i="17"/>
  <c r="E23" i="1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D16" i="37"/>
  <c r="D19" i="37"/>
  <c r="D28" i="37"/>
  <c r="D15" i="37"/>
  <c r="D14" i="37"/>
  <c r="D26" i="37"/>
  <c r="D21" i="37"/>
  <c r="D13" i="37"/>
  <c r="D25" i="37"/>
  <c r="D18" i="37"/>
  <c r="D24" i="37"/>
  <c r="D12" i="37"/>
  <c r="D23" i="37"/>
  <c r="D11" i="37"/>
  <c r="D10" i="37"/>
  <c r="E19" i="17"/>
  <c r="E18" i="17"/>
  <c r="H9" i="17"/>
  <c r="I9" i="17" s="1"/>
  <c r="E9" i="17" s="1"/>
  <c r="L21" i="14"/>
  <c r="J42" i="14"/>
  <c r="L42" i="14"/>
  <c r="O35" i="75"/>
  <c r="O35" i="93" s="1"/>
  <c r="P39" i="14"/>
  <c r="R17" i="87" s="1"/>
  <c r="E41" i="37"/>
  <c r="J30" i="37" s="1"/>
  <c r="F26" i="44"/>
  <c r="I26" i="14" s="1"/>
  <c r="M10" i="75" s="1"/>
  <c r="P27" i="75"/>
  <c r="P27" i="93" s="1"/>
  <c r="P47" i="14"/>
  <c r="U25" i="75" s="1"/>
  <c r="U25" i="93" s="1"/>
  <c r="P25" i="75"/>
  <c r="P25" i="93" s="1"/>
  <c r="O47" i="14"/>
  <c r="N25" i="75"/>
  <c r="N25" i="93" s="1"/>
  <c r="S25" i="75"/>
  <c r="S25" i="93" s="1"/>
  <c r="N9" i="77"/>
  <c r="K19" i="37" a="1"/>
  <c r="K24" i="37" a="1"/>
  <c r="K21" i="37" a="1"/>
  <c r="K20" i="37" a="1"/>
  <c r="K22" i="37" a="1"/>
  <c r="K23" i="37" a="1"/>
  <c r="H36" i="77" l="1"/>
  <c r="Q36" i="87"/>
  <c r="N22" i="77"/>
  <c r="N24" i="77" s="1"/>
  <c r="K20" i="37"/>
  <c r="K19" i="37"/>
  <c r="K22" i="37"/>
  <c r="K24" i="37"/>
  <c r="K23" i="37"/>
  <c r="K21" i="37"/>
  <c r="D2" i="37"/>
  <c r="J29" i="17"/>
  <c r="M19" i="14" s="1"/>
  <c r="M14" i="87" s="1"/>
  <c r="M45" i="14"/>
  <c r="O22" i="77"/>
  <c r="O24" i="77" s="1"/>
  <c r="K9" i="77"/>
  <c r="K22" i="77" s="1"/>
  <c r="K24" i="77" s="1"/>
  <c r="L8" i="77"/>
  <c r="J9" i="77"/>
  <c r="J22" i="77" s="1"/>
  <c r="J24" i="77" s="1"/>
  <c r="K37" i="77"/>
  <c r="O28" i="80"/>
  <c r="I28" i="14"/>
  <c r="M9" i="75" s="1"/>
  <c r="N36" i="75"/>
  <c r="N36" i="93" s="1"/>
  <c r="I22" i="14"/>
  <c r="M24" i="75" s="1"/>
  <c r="N35" i="14"/>
  <c r="S38" i="75" s="1"/>
  <c r="S38" i="93" s="1"/>
  <c r="P17" i="87"/>
  <c r="L11" i="87"/>
  <c r="G29" i="51" s="1"/>
  <c r="N12" i="75"/>
  <c r="N12" i="93" s="1"/>
  <c r="F11" i="37"/>
  <c r="F12" i="37"/>
  <c r="F13" i="37"/>
  <c r="G13" i="37" s="1"/>
  <c r="F27" i="37"/>
  <c r="F26" i="37"/>
  <c r="F33" i="37"/>
  <c r="E33" i="37" s="1"/>
  <c r="N30" i="14" s="1"/>
  <c r="F32" i="37"/>
  <c r="F14" i="37"/>
  <c r="F34" i="37"/>
  <c r="T50" i="75"/>
  <c r="T50" i="93" s="1"/>
  <c r="F15" i="37"/>
  <c r="F28" i="37"/>
  <c r="E28" i="37" s="1"/>
  <c r="N21" i="14" s="1"/>
  <c r="F30" i="37"/>
  <c r="E30" i="37" s="1"/>
  <c r="N25" i="14" s="1"/>
  <c r="S50" i="75"/>
  <c r="S50" i="93" s="1"/>
  <c r="F18" i="37"/>
  <c r="F21" i="37"/>
  <c r="E21" i="37" s="1"/>
  <c r="N17" i="14" s="1"/>
  <c r="F19" i="37"/>
  <c r="F31" i="37"/>
  <c r="F24" i="37"/>
  <c r="N13" i="14" s="1"/>
  <c r="F20" i="37"/>
  <c r="E20" i="37" s="1"/>
  <c r="F16" i="37"/>
  <c r="F29" i="37"/>
  <c r="F10" i="37"/>
  <c r="E10" i="37" s="1"/>
  <c r="N9" i="14" s="1"/>
  <c r="N45" i="14"/>
  <c r="Q49" i="75"/>
  <c r="Q49" i="93" s="1"/>
  <c r="N23" i="14"/>
  <c r="N10" i="14"/>
  <c r="K15" i="37"/>
  <c r="N15" i="14"/>
  <c r="G18" i="37"/>
  <c r="H21" i="40"/>
  <c r="P24" i="77"/>
  <c r="Q22" i="77"/>
  <c r="I36" i="77"/>
  <c r="J34" i="77"/>
  <c r="M48" i="14"/>
  <c r="M24" i="87" s="1"/>
  <c r="H31" i="51" s="1"/>
  <c r="K56" i="14"/>
  <c r="K13" i="51"/>
  <c r="F13" i="51"/>
  <c r="G13" i="51"/>
  <c r="J13" i="51"/>
  <c r="P48" i="75"/>
  <c r="P48" i="93" s="1"/>
  <c r="N12" i="87"/>
  <c r="M42" i="14"/>
  <c r="O41" i="14"/>
  <c r="O12" i="87" s="1"/>
  <c r="P41" i="14"/>
  <c r="N33" i="14"/>
  <c r="H68" i="17"/>
  <c r="N12" i="14"/>
  <c r="N28" i="14"/>
  <c r="N49" i="14"/>
  <c r="N48" i="14"/>
  <c r="N16" i="14"/>
  <c r="N40" i="14"/>
  <c r="N32" i="14"/>
  <c r="N24" i="14"/>
  <c r="N27" i="14"/>
  <c r="N26" i="14"/>
  <c r="N19" i="14"/>
  <c r="N18" i="14"/>
  <c r="F23" i="37"/>
  <c r="N11" i="14" s="1"/>
  <c r="N20" i="14"/>
  <c r="N34" i="75"/>
  <c r="N34" i="93" s="1"/>
  <c r="Q25" i="75"/>
  <c r="Q25" i="93" s="1"/>
  <c r="O25" i="75"/>
  <c r="O25" i="93" s="1"/>
  <c r="U49" i="75"/>
  <c r="U49" i="93" s="1"/>
  <c r="S49" i="75"/>
  <c r="S49" i="93" s="1"/>
  <c r="O52" i="75"/>
  <c r="O52" i="93" s="1"/>
  <c r="T25" i="75"/>
  <c r="T25" i="93" s="1"/>
  <c r="R52" i="75"/>
  <c r="R52" i="93" s="1"/>
  <c r="E7" i="37"/>
  <c r="G7" i="37"/>
  <c r="D3" i="44"/>
  <c r="H13" i="51"/>
  <c r="I13" i="51"/>
  <c r="D2" i="80"/>
  <c r="E31" i="51"/>
  <c r="E29" i="51"/>
  <c r="F29" i="51"/>
  <c r="H29" i="51"/>
  <c r="M26" i="14" l="1"/>
  <c r="R10" i="75" s="1"/>
  <c r="R10" i="93" s="1"/>
  <c r="M9" i="14"/>
  <c r="K20" i="14"/>
  <c r="K27" i="14"/>
  <c r="J27" i="14" s="1"/>
  <c r="J9" i="87" s="1"/>
  <c r="K29" i="14"/>
  <c r="E32" i="37" s="1"/>
  <c r="K30" i="14"/>
  <c r="J30" i="14" s="1"/>
  <c r="K11" i="14"/>
  <c r="J11" i="14" s="1"/>
  <c r="M17" i="14"/>
  <c r="K9" i="14"/>
  <c r="K18" i="14"/>
  <c r="J18" i="14" s="1"/>
  <c r="M16" i="14"/>
  <c r="M13" i="87" s="1"/>
  <c r="K19" i="14"/>
  <c r="J19" i="14" s="1"/>
  <c r="J14" i="87" s="1"/>
  <c r="K33" i="14"/>
  <c r="J33" i="14" s="1"/>
  <c r="O36" i="75" s="1"/>
  <c r="O36" i="93" s="1"/>
  <c r="M32" i="14"/>
  <c r="R35" i="75" s="1"/>
  <c r="R35" i="93" s="1"/>
  <c r="M21" i="14"/>
  <c r="R23" i="75" s="1"/>
  <c r="R23" i="93" s="1"/>
  <c r="K31" i="14"/>
  <c r="L31" i="14" s="1"/>
  <c r="K24" i="14"/>
  <c r="L24" i="14" s="1"/>
  <c r="M20" i="14"/>
  <c r="M10" i="87" s="1"/>
  <c r="M15" i="14"/>
  <c r="K12" i="14"/>
  <c r="J12" i="14" s="1"/>
  <c r="K22" i="14"/>
  <c r="J22" i="14" s="1"/>
  <c r="M25" i="14"/>
  <c r="M29" i="14"/>
  <c r="M27" i="14"/>
  <c r="N9" i="87" s="1"/>
  <c r="M13" i="14"/>
  <c r="K26" i="14"/>
  <c r="M11" i="14"/>
  <c r="K10" i="14"/>
  <c r="K28" i="14"/>
  <c r="J28" i="14" s="1"/>
  <c r="M10" i="14"/>
  <c r="M16" i="87" s="1"/>
  <c r="M24" i="14"/>
  <c r="R12" i="75" s="1"/>
  <c r="R12" i="93" s="1"/>
  <c r="M23" i="14"/>
  <c r="N23" i="87" s="1"/>
  <c r="K15" i="14"/>
  <c r="J15" i="14" s="1"/>
  <c r="M14" i="14"/>
  <c r="R17" i="75" s="1"/>
  <c r="R17" i="93" s="1"/>
  <c r="K23" i="14"/>
  <c r="M28" i="14"/>
  <c r="K17" i="14"/>
  <c r="J17" i="14" s="1"/>
  <c r="M12" i="14"/>
  <c r="M15" i="87" s="1"/>
  <c r="K14" i="14"/>
  <c r="P17" i="75" s="1"/>
  <c r="P17" i="93" s="1"/>
  <c r="M31" i="14"/>
  <c r="K35" i="14"/>
  <c r="J35" i="14" s="1"/>
  <c r="M18" i="14"/>
  <c r="R14" i="75" s="1"/>
  <c r="R14" i="93" s="1"/>
  <c r="M22" i="14"/>
  <c r="K13" i="14"/>
  <c r="J13" i="14" s="1"/>
  <c r="K16" i="14"/>
  <c r="L13" i="87" s="1"/>
  <c r="K36" i="77"/>
  <c r="K32" i="14"/>
  <c r="L32" i="14" s="1"/>
  <c r="K34" i="14"/>
  <c r="O34" i="14" s="1"/>
  <c r="M35" i="14"/>
  <c r="R38" i="75" s="1"/>
  <c r="R38" i="93" s="1"/>
  <c r="K21" i="14"/>
  <c r="P23" i="75" s="1"/>
  <c r="P23" i="93" s="1"/>
  <c r="K25" i="14"/>
  <c r="J25" i="14" s="1"/>
  <c r="M30" i="14"/>
  <c r="T22" i="37"/>
  <c r="T23" i="37" s="1"/>
  <c r="M8" i="77"/>
  <c r="M9" i="77" s="1"/>
  <c r="L9" i="77"/>
  <c r="L22" i="77" s="1"/>
  <c r="Q16" i="75"/>
  <c r="Q16" i="93" s="1"/>
  <c r="O28" i="75"/>
  <c r="O28" i="93" s="1"/>
  <c r="O12" i="75"/>
  <c r="O12" i="93" s="1"/>
  <c r="Q15" i="75"/>
  <c r="Q15" i="93" s="1"/>
  <c r="Q17" i="75"/>
  <c r="Q17" i="93" s="1"/>
  <c r="Q18" i="75"/>
  <c r="Q18" i="93" s="1"/>
  <c r="Q23" i="75"/>
  <c r="Q23" i="93" s="1"/>
  <c r="Q14" i="75"/>
  <c r="Q14" i="93" s="1"/>
  <c r="O34" i="75"/>
  <c r="O34" i="93" s="1"/>
  <c r="Q13" i="75"/>
  <c r="Q13" i="93" s="1"/>
  <c r="R28" i="75"/>
  <c r="R28" i="93" s="1"/>
  <c r="S9" i="75"/>
  <c r="S9" i="93" s="1"/>
  <c r="O14" i="87"/>
  <c r="S23" i="75"/>
  <c r="S23" i="93" s="1"/>
  <c r="O23" i="87"/>
  <c r="O9" i="87"/>
  <c r="S12" i="75"/>
  <c r="S12" i="93" s="1"/>
  <c r="R36" i="75"/>
  <c r="R36" i="93" s="1"/>
  <c r="O40" i="14"/>
  <c r="N11" i="87"/>
  <c r="I29" i="51" s="1"/>
  <c r="M29" i="51" s="1"/>
  <c r="T49" i="75"/>
  <c r="T49" i="93" s="1"/>
  <c r="E33" i="51"/>
  <c r="N14" i="87"/>
  <c r="F17" i="51"/>
  <c r="I17" i="51"/>
  <c r="P52" i="75"/>
  <c r="P52" i="93" s="1"/>
  <c r="E19" i="51"/>
  <c r="O56" i="14"/>
  <c r="N24" i="87"/>
  <c r="I31" i="51" s="1"/>
  <c r="J36" i="77"/>
  <c r="K34" i="77"/>
  <c r="L34" i="77" s="1"/>
  <c r="R22" i="77"/>
  <c r="R24" i="77" s="1"/>
  <c r="Q24" i="77"/>
  <c r="M13" i="51"/>
  <c r="R26" i="75"/>
  <c r="R26" i="93" s="1"/>
  <c r="L56" i="14"/>
  <c r="Q48" i="75"/>
  <c r="Q48" i="93" s="1"/>
  <c r="M50" i="14"/>
  <c r="O11" i="87"/>
  <c r="J29" i="51" s="1"/>
  <c r="R12" i="87"/>
  <c r="P12" i="87"/>
  <c r="O15" i="87"/>
  <c r="P40" i="14"/>
  <c r="R11" i="87" s="1"/>
  <c r="N42" i="14"/>
  <c r="K30" i="37" s="1"/>
  <c r="E18" i="37"/>
  <c r="N14" i="14" s="1"/>
  <c r="G19" i="37"/>
  <c r="E19" i="37" s="1"/>
  <c r="N22" i="14" s="1"/>
  <c r="N31" i="14"/>
  <c r="T48" i="75"/>
  <c r="T48" i="93" s="1"/>
  <c r="P53" i="14"/>
  <c r="U48" i="75" s="1"/>
  <c r="U48" i="93" s="1"/>
  <c r="N56" i="14"/>
  <c r="P56" i="14" s="1"/>
  <c r="S10" i="75"/>
  <c r="S10" i="93" s="1"/>
  <c r="S48" i="75"/>
  <c r="S48" i="93" s="1"/>
  <c r="L13" i="51"/>
  <c r="K36" i="14" l="1"/>
  <c r="M18" i="87"/>
  <c r="M36" i="14"/>
  <c r="M58" i="14" s="1"/>
  <c r="P26" i="14"/>
  <c r="U10" i="75" s="1"/>
  <c r="U10" i="93" s="1"/>
  <c r="N10" i="87"/>
  <c r="J29" i="14"/>
  <c r="O43" i="75" s="1"/>
  <c r="O43" i="93" s="1"/>
  <c r="P16" i="75"/>
  <c r="P16" i="93" s="1"/>
  <c r="P34" i="75"/>
  <c r="P34" i="93" s="1"/>
  <c r="N18" i="87"/>
  <c r="P15" i="14"/>
  <c r="U15" i="75" s="1"/>
  <c r="U15" i="93" s="1"/>
  <c r="N16" i="87"/>
  <c r="P15" i="75"/>
  <c r="P15" i="93" s="1"/>
  <c r="O10" i="14"/>
  <c r="O16" i="87" s="1"/>
  <c r="O9" i="14"/>
  <c r="L15" i="87"/>
  <c r="P20" i="14"/>
  <c r="R10" i="87" s="1"/>
  <c r="L10" i="87"/>
  <c r="O20" i="14"/>
  <c r="O10" i="87" s="1"/>
  <c r="O24" i="14"/>
  <c r="T12" i="75" s="1"/>
  <c r="T12" i="93" s="1"/>
  <c r="O11" i="14"/>
  <c r="T18" i="75" s="1"/>
  <c r="T18" i="93" s="1"/>
  <c r="P18" i="75"/>
  <c r="P18" i="93" s="1"/>
  <c r="P24" i="14"/>
  <c r="U12" i="75" s="1"/>
  <c r="U12" i="93" s="1"/>
  <c r="J20" i="14"/>
  <c r="J10" i="87" s="1"/>
  <c r="J16" i="14"/>
  <c r="K13" i="87" s="1"/>
  <c r="L16" i="87"/>
  <c r="P18" i="14"/>
  <c r="U14" i="75" s="1"/>
  <c r="U14" i="93" s="1"/>
  <c r="O15" i="14"/>
  <c r="T15" i="75" s="1"/>
  <c r="T15" i="93" s="1"/>
  <c r="J10" i="14"/>
  <c r="K16" i="87" s="1"/>
  <c r="P10" i="14"/>
  <c r="R16" i="87" s="1"/>
  <c r="O32" i="14"/>
  <c r="T35" i="75" s="1"/>
  <c r="T35" i="93" s="1"/>
  <c r="P13" i="75"/>
  <c r="P13" i="93" s="1"/>
  <c r="J9" i="14"/>
  <c r="R15" i="75"/>
  <c r="R15" i="93" s="1"/>
  <c r="O33" i="14"/>
  <c r="T36" i="75" s="1"/>
  <c r="T36" i="93" s="1"/>
  <c r="P14" i="75"/>
  <c r="P14" i="93" s="1"/>
  <c r="P16" i="14"/>
  <c r="R13" i="87" s="1"/>
  <c r="O30" i="14"/>
  <c r="T33" i="75" s="1"/>
  <c r="T33" i="93" s="1"/>
  <c r="N13" i="87"/>
  <c r="P17" i="14"/>
  <c r="U13" i="75" s="1"/>
  <c r="U13" i="93" s="1"/>
  <c r="R18" i="75"/>
  <c r="R18" i="93" s="1"/>
  <c r="P11" i="14"/>
  <c r="U18" i="75" s="1"/>
  <c r="U18" i="93" s="1"/>
  <c r="N15" i="87"/>
  <c r="P9" i="14"/>
  <c r="R18" i="87" s="1"/>
  <c r="O12" i="14"/>
  <c r="P15" i="87" s="1"/>
  <c r="P33" i="14"/>
  <c r="U36" i="75" s="1"/>
  <c r="U36" i="93" s="1"/>
  <c r="P36" i="75"/>
  <c r="P36" i="93" s="1"/>
  <c r="O19" i="14"/>
  <c r="P14" i="87" s="1"/>
  <c r="P19" i="14"/>
  <c r="R14" i="87" s="1"/>
  <c r="L18" i="87"/>
  <c r="O27" i="14"/>
  <c r="P9" i="87" s="1"/>
  <c r="R13" i="75"/>
  <c r="R13" i="93" s="1"/>
  <c r="O16" i="14"/>
  <c r="O13" i="87" s="1"/>
  <c r="L14" i="87"/>
  <c r="P12" i="14"/>
  <c r="R15" i="87" s="1"/>
  <c r="O18" i="14"/>
  <c r="T14" i="75" s="1"/>
  <c r="T14" i="93" s="1"/>
  <c r="J26" i="14"/>
  <c r="L26" i="14" s="1"/>
  <c r="Q10" i="75" s="1"/>
  <c r="Q10" i="93" s="1"/>
  <c r="O26" i="14"/>
  <c r="T10" i="75" s="1"/>
  <c r="T10" i="93" s="1"/>
  <c r="R34" i="75"/>
  <c r="R34" i="93" s="1"/>
  <c r="P23" i="14"/>
  <c r="R23" i="87" s="1"/>
  <c r="R24" i="75"/>
  <c r="R24" i="93" s="1"/>
  <c r="R33" i="75"/>
  <c r="R33" i="93" s="1"/>
  <c r="P38" i="75"/>
  <c r="P38" i="93" s="1"/>
  <c r="O17" i="14"/>
  <c r="T13" i="75" s="1"/>
  <c r="T13" i="93" s="1"/>
  <c r="O23" i="14"/>
  <c r="P23" i="87" s="1"/>
  <c r="P34" i="14"/>
  <c r="U37" i="75" s="1"/>
  <c r="U37" i="93" s="1"/>
  <c r="J23" i="14"/>
  <c r="J23" i="87" s="1"/>
  <c r="J34" i="14"/>
  <c r="O37" i="75" s="1"/>
  <c r="O37" i="93" s="1"/>
  <c r="P13" i="14"/>
  <c r="U16" i="75" s="1"/>
  <c r="U16" i="93" s="1"/>
  <c r="O28" i="14"/>
  <c r="T9" i="75" s="1"/>
  <c r="T9" i="93" s="1"/>
  <c r="P25" i="14"/>
  <c r="U11" i="75" s="1"/>
  <c r="U11" i="93" s="1"/>
  <c r="R9" i="75"/>
  <c r="R9" i="93" s="1"/>
  <c r="O25" i="14"/>
  <c r="T11" i="75" s="1"/>
  <c r="T11" i="93" s="1"/>
  <c r="P32" i="14"/>
  <c r="U35" i="75" s="1"/>
  <c r="U35" i="93" s="1"/>
  <c r="J14" i="14"/>
  <c r="O17" i="75" s="1"/>
  <c r="O17" i="93" s="1"/>
  <c r="P28" i="14"/>
  <c r="U9" i="75" s="1"/>
  <c r="U9" i="93" s="1"/>
  <c r="O13" i="14"/>
  <c r="T16" i="75" s="1"/>
  <c r="T16" i="93" s="1"/>
  <c r="R16" i="75"/>
  <c r="R16" i="93" s="1"/>
  <c r="P35" i="14"/>
  <c r="U38" i="75" s="1"/>
  <c r="U38" i="93" s="1"/>
  <c r="R11" i="75"/>
  <c r="R11" i="93" s="1"/>
  <c r="O21" i="14"/>
  <c r="T23" i="75" s="1"/>
  <c r="T23" i="93" s="1"/>
  <c r="J21" i="14"/>
  <c r="O23" i="75" s="1"/>
  <c r="O23" i="93" s="1"/>
  <c r="P37" i="75"/>
  <c r="P37" i="93" s="1"/>
  <c r="O35" i="14"/>
  <c r="T38" i="75" s="1"/>
  <c r="T38" i="93" s="1"/>
  <c r="P30" i="14"/>
  <c r="U33" i="75" s="1"/>
  <c r="U33" i="93" s="1"/>
  <c r="P21" i="14"/>
  <c r="U23" i="75" s="1"/>
  <c r="U23" i="93" s="1"/>
  <c r="L24" i="77"/>
  <c r="T9" i="77"/>
  <c r="T37" i="75"/>
  <c r="T37" i="93" s="1"/>
  <c r="O38" i="75"/>
  <c r="O38" i="93" s="1"/>
  <c r="J16" i="87"/>
  <c r="J15" i="87"/>
  <c r="J13" i="87"/>
  <c r="S11" i="75"/>
  <c r="S11" i="93" s="1"/>
  <c r="N15" i="75"/>
  <c r="N15" i="93" s="1"/>
  <c r="S36" i="75"/>
  <c r="S36" i="93" s="1"/>
  <c r="S13" i="75"/>
  <c r="S13" i="93" s="1"/>
  <c r="N43" i="75"/>
  <c r="N43" i="93" s="1"/>
  <c r="S28" i="75"/>
  <c r="S28" i="93" s="1"/>
  <c r="N14" i="75"/>
  <c r="N14" i="93" s="1"/>
  <c r="N33" i="75"/>
  <c r="N33" i="93" s="1"/>
  <c r="N18" i="75"/>
  <c r="N18" i="93" s="1"/>
  <c r="S35" i="75"/>
  <c r="S35" i="93" s="1"/>
  <c r="S14" i="75"/>
  <c r="S14" i="93" s="1"/>
  <c r="P35" i="75"/>
  <c r="P35" i="93" s="1"/>
  <c r="S33" i="75"/>
  <c r="S33" i="93" s="1"/>
  <c r="S16" i="75"/>
  <c r="S16" i="93" s="1"/>
  <c r="N11" i="75"/>
  <c r="N11" i="93" s="1"/>
  <c r="N17" i="75"/>
  <c r="N17" i="93" s="1"/>
  <c r="P12" i="75"/>
  <c r="P12" i="93" s="1"/>
  <c r="N9" i="75"/>
  <c r="N9" i="93" s="1"/>
  <c r="N16" i="75"/>
  <c r="N16" i="93" s="1"/>
  <c r="N23" i="75"/>
  <c r="N23" i="93" s="1"/>
  <c r="S18" i="75"/>
  <c r="S18" i="93" s="1"/>
  <c r="S15" i="75"/>
  <c r="S15" i="93" s="1"/>
  <c r="N24" i="75"/>
  <c r="N24" i="93" s="1"/>
  <c r="L29" i="51"/>
  <c r="P11" i="87"/>
  <c r="K29" i="51" s="1"/>
  <c r="O13" i="75"/>
  <c r="O13" i="93" s="1"/>
  <c r="N13" i="75"/>
  <c r="N13" i="93" s="1"/>
  <c r="N10" i="75"/>
  <c r="N10" i="93" s="1"/>
  <c r="Q34" i="75"/>
  <c r="Q34" i="93" s="1"/>
  <c r="O9" i="75"/>
  <c r="O9" i="93" s="1"/>
  <c r="O11" i="75"/>
  <c r="O11" i="93" s="1"/>
  <c r="K15" i="87"/>
  <c r="O16" i="75"/>
  <c r="O16" i="93" s="1"/>
  <c r="Q35" i="75"/>
  <c r="Q35" i="93" s="1"/>
  <c r="Q36" i="75"/>
  <c r="Q36" i="93" s="1"/>
  <c r="O14" i="75"/>
  <c r="O14" i="93" s="1"/>
  <c r="Q52" i="75"/>
  <c r="Q52" i="93" s="1"/>
  <c r="T52" i="75"/>
  <c r="T52" i="93" s="1"/>
  <c r="S52" i="75"/>
  <c r="S52" i="93" s="1"/>
  <c r="G17" i="51"/>
  <c r="M17" i="51" s="1"/>
  <c r="N26" i="87"/>
  <c r="M34" i="77"/>
  <c r="L36" i="77"/>
  <c r="J29" i="37"/>
  <c r="O15" i="75"/>
  <c r="O15" i="93" s="1"/>
  <c r="L30" i="14"/>
  <c r="O33" i="75"/>
  <c r="O33" i="93" s="1"/>
  <c r="L22" i="14"/>
  <c r="L25" i="14"/>
  <c r="O18" i="75"/>
  <c r="O18" i="93" s="1"/>
  <c r="L28" i="14"/>
  <c r="K14" i="87"/>
  <c r="O24" i="75"/>
  <c r="O24" i="93" s="1"/>
  <c r="Q12" i="75"/>
  <c r="Q12" i="93" s="1"/>
  <c r="L27" i="14"/>
  <c r="L9" i="87" s="1"/>
  <c r="N29" i="14"/>
  <c r="N36" i="14" s="1"/>
  <c r="K9" i="87"/>
  <c r="P42" i="14"/>
  <c r="O42" i="14"/>
  <c r="P14" i="14"/>
  <c r="O14" i="14"/>
  <c r="AA15" i="77"/>
  <c r="O31" i="14"/>
  <c r="P31" i="14"/>
  <c r="S24" i="75"/>
  <c r="S24" i="93" s="1"/>
  <c r="O22" i="14"/>
  <c r="P22" i="14"/>
  <c r="O18" i="87" l="1"/>
  <c r="O20" i="87" s="1"/>
  <c r="J18" i="87"/>
  <c r="J36" i="14"/>
  <c r="L29" i="14"/>
  <c r="Q43" i="75" s="1"/>
  <c r="Q43" i="93" s="1"/>
  <c r="P16" i="87"/>
  <c r="O10" i="75"/>
  <c r="O10" i="93" s="1"/>
  <c r="P18" i="87"/>
  <c r="N20" i="87"/>
  <c r="N36" i="87" s="1"/>
  <c r="L20" i="87"/>
  <c r="I27" i="51"/>
  <c r="I33" i="51" s="1"/>
  <c r="K10" i="87"/>
  <c r="L23" i="14"/>
  <c r="M23" i="87" s="1"/>
  <c r="M26" i="87" s="1"/>
  <c r="K23" i="87"/>
  <c r="K18" i="87"/>
  <c r="P10" i="87"/>
  <c r="P13" i="87"/>
  <c r="R40" i="75"/>
  <c r="R40" i="93" s="1"/>
  <c r="R20" i="75"/>
  <c r="R20" i="93" s="1"/>
  <c r="M36" i="77"/>
  <c r="N34" i="77"/>
  <c r="T22" i="77"/>
  <c r="T8" i="77"/>
  <c r="O40" i="75"/>
  <c r="O40" i="93" s="1"/>
  <c r="U52" i="75"/>
  <c r="U52" i="93" s="1"/>
  <c r="S17" i="75"/>
  <c r="S17" i="93" s="1"/>
  <c r="R27" i="75"/>
  <c r="R27" i="93" s="1"/>
  <c r="S34" i="75"/>
  <c r="S34" i="93" s="1"/>
  <c r="P43" i="75"/>
  <c r="P43" i="93" s="1"/>
  <c r="P9" i="75"/>
  <c r="P9" i="93" s="1"/>
  <c r="P33" i="75"/>
  <c r="P33" i="93" s="1"/>
  <c r="P10" i="75"/>
  <c r="P10" i="93" s="1"/>
  <c r="P11" i="75"/>
  <c r="P11" i="93" s="1"/>
  <c r="R43" i="75"/>
  <c r="R43" i="93" s="1"/>
  <c r="P24" i="75"/>
  <c r="P24" i="93" s="1"/>
  <c r="L23" i="87"/>
  <c r="M9" i="87"/>
  <c r="M20" i="87" s="1"/>
  <c r="K29" i="37"/>
  <c r="Q33" i="75"/>
  <c r="Q33" i="93" s="1"/>
  <c r="Q24" i="75"/>
  <c r="Q24" i="93" s="1"/>
  <c r="Q11" i="75"/>
  <c r="Q11" i="93" s="1"/>
  <c r="J17" i="51"/>
  <c r="L17" i="51" s="1"/>
  <c r="K17" i="51"/>
  <c r="H17" i="51"/>
  <c r="O45" i="75"/>
  <c r="O45" i="93" s="1"/>
  <c r="O29" i="14"/>
  <c r="O36" i="14" s="1"/>
  <c r="Q9" i="75"/>
  <c r="Q9" i="93" s="1"/>
  <c r="S43" i="75"/>
  <c r="S43" i="93" s="1"/>
  <c r="P29" i="14"/>
  <c r="U17" i="75"/>
  <c r="U17" i="93" s="1"/>
  <c r="T17" i="75"/>
  <c r="T17" i="93" s="1"/>
  <c r="U34" i="75"/>
  <c r="U34" i="93" s="1"/>
  <c r="U24" i="75"/>
  <c r="U24" i="93" s="1"/>
  <c r="T34" i="75"/>
  <c r="T34" i="93" s="1"/>
  <c r="T24" i="75"/>
  <c r="T24" i="93" s="1"/>
  <c r="S26" i="75"/>
  <c r="S26" i="93" s="1"/>
  <c r="AA17" i="77"/>
  <c r="AB15" i="77"/>
  <c r="AA16" i="77"/>
  <c r="J27" i="51" l="1"/>
  <c r="L36" i="14"/>
  <c r="F11" i="51"/>
  <c r="O20" i="75"/>
  <c r="O20" i="93" s="1"/>
  <c r="K27" i="51"/>
  <c r="R20" i="87"/>
  <c r="I39" i="51"/>
  <c r="K20" i="87"/>
  <c r="P20" i="87"/>
  <c r="F27" i="51"/>
  <c r="S40" i="75"/>
  <c r="S40" i="93" s="1"/>
  <c r="T24" i="77"/>
  <c r="M22" i="77"/>
  <c r="M24" i="77" s="1"/>
  <c r="O34" i="77"/>
  <c r="P34" i="77" s="1"/>
  <c r="Q34" i="77" s="1"/>
  <c r="W22" i="77" s="1"/>
  <c r="N35" i="77"/>
  <c r="T40" i="75"/>
  <c r="T40" i="93" s="1"/>
  <c r="Q40" i="75"/>
  <c r="Q40" i="93" s="1"/>
  <c r="P40" i="75"/>
  <c r="P40" i="93" s="1"/>
  <c r="I11" i="51"/>
  <c r="Q45" i="75"/>
  <c r="Q45" i="93" s="1"/>
  <c r="P45" i="75"/>
  <c r="P45" i="93" s="1"/>
  <c r="R30" i="75"/>
  <c r="R30" i="93" s="1"/>
  <c r="S20" i="75"/>
  <c r="S20" i="93" s="1"/>
  <c r="I15" i="51"/>
  <c r="M36" i="87"/>
  <c r="N26" i="75"/>
  <c r="N26" i="93" s="1"/>
  <c r="P20" i="75"/>
  <c r="P20" i="93" s="1"/>
  <c r="R45" i="75"/>
  <c r="R45" i="93" s="1"/>
  <c r="G11" i="51"/>
  <c r="G27" i="51"/>
  <c r="H27" i="51"/>
  <c r="H33" i="51" s="1"/>
  <c r="U43" i="75"/>
  <c r="U43" i="93" s="1"/>
  <c r="P36" i="14"/>
  <c r="S45" i="75"/>
  <c r="S45" i="93" s="1"/>
  <c r="H11" i="51"/>
  <c r="T43" i="75"/>
  <c r="T43" i="93" s="1"/>
  <c r="Q20" i="75"/>
  <c r="Q20" i="93" s="1"/>
  <c r="J11" i="51"/>
  <c r="AB16" i="77"/>
  <c r="AB17" i="77"/>
  <c r="R34" i="77" l="1"/>
  <c r="R35" i="77" s="1"/>
  <c r="O35" i="77"/>
  <c r="O36" i="77" s="1"/>
  <c r="L45" i="14" s="1"/>
  <c r="U8" i="77"/>
  <c r="U9" i="77" s="1"/>
  <c r="N37" i="77"/>
  <c r="I19" i="51"/>
  <c r="M11" i="51"/>
  <c r="L11" i="51"/>
  <c r="U40" i="75"/>
  <c r="U40" i="93" s="1"/>
  <c r="H39" i="51"/>
  <c r="T20" i="75"/>
  <c r="T20" i="93" s="1"/>
  <c r="R54" i="75"/>
  <c r="R54" i="93" s="1"/>
  <c r="U20" i="75"/>
  <c r="U20" i="93" s="1"/>
  <c r="L27" i="51"/>
  <c r="M27" i="51"/>
  <c r="U45" i="75"/>
  <c r="U45" i="93" s="1"/>
  <c r="T45" i="75"/>
  <c r="T45" i="93" s="1"/>
  <c r="K11" i="51"/>
  <c r="K45" i="14" l="1"/>
  <c r="P26" i="75" s="1"/>
  <c r="P26" i="93" s="1"/>
  <c r="P35" i="77"/>
  <c r="Q35" i="77" s="1"/>
  <c r="O37" i="77"/>
  <c r="U22" i="77"/>
  <c r="U23" i="77" s="1"/>
  <c r="I38" i="51"/>
  <c r="Q37" i="77" l="1"/>
  <c r="Q36" i="77"/>
  <c r="O45" i="14"/>
  <c r="T26" i="75" s="1"/>
  <c r="T26" i="93" s="1"/>
  <c r="P45" i="14"/>
  <c r="U26" i="75" s="1"/>
  <c r="U26" i="93" s="1"/>
  <c r="P37" i="77"/>
  <c r="P36" i="77"/>
  <c r="Q26" i="75"/>
  <c r="Q26" i="93" s="1"/>
  <c r="J45" i="14"/>
  <c r="O26" i="75" s="1"/>
  <c r="O26" i="93" s="1"/>
  <c r="R37" i="77" l="1"/>
  <c r="E47" i="37"/>
  <c r="N46" i="14" s="1"/>
  <c r="J50" i="14"/>
  <c r="J58" i="14" s="1"/>
  <c r="O30" i="75"/>
  <c r="O30" i="93" s="1"/>
  <c r="F15" i="51"/>
  <c r="F19" i="51" s="1"/>
  <c r="J31" i="37" l="1"/>
  <c r="P46" i="14"/>
  <c r="U27" i="75" s="1"/>
  <c r="U27" i="93" s="1"/>
  <c r="N50" i="14"/>
  <c r="O46" i="14"/>
  <c r="T27" i="75" s="1"/>
  <c r="T27" i="93" s="1"/>
  <c r="S27" i="75"/>
  <c r="S27" i="93" s="1"/>
  <c r="O54" i="75"/>
  <c r="O54" i="93" s="1"/>
  <c r="K31" i="37" l="1"/>
  <c r="J15" i="51"/>
  <c r="S30" i="75"/>
  <c r="S30" i="93" s="1"/>
  <c r="N58" i="14"/>
  <c r="F38" i="51"/>
  <c r="S54" i="75" l="1"/>
  <c r="S54" i="93" s="1"/>
  <c r="J19" i="51"/>
  <c r="J38" i="51" l="1"/>
  <c r="O24" i="87"/>
  <c r="O26" i="87" s="1"/>
  <c r="O36" i="87" s="1"/>
  <c r="K24" i="87"/>
  <c r="K26" i="87" s="1"/>
  <c r="K36" i="87" s="1"/>
  <c r="K48" i="14"/>
  <c r="K49" i="14"/>
  <c r="P28" i="75" s="1"/>
  <c r="P28" i="93" s="1"/>
  <c r="J31" i="51" l="1"/>
  <c r="J33" i="51" s="1"/>
  <c r="J39" i="51" s="1"/>
  <c r="F31" i="51"/>
  <c r="F33" i="51" s="1"/>
  <c r="F39" i="51" s="1"/>
  <c r="G15" i="51"/>
  <c r="P30" i="75"/>
  <c r="P30" i="93" s="1"/>
  <c r="P48" i="14"/>
  <c r="R24" i="87" s="1"/>
  <c r="L24" i="87"/>
  <c r="K50" i="14"/>
  <c r="O48" i="14"/>
  <c r="P24" i="87" s="1"/>
  <c r="P49" i="14"/>
  <c r="U28" i="75" s="1"/>
  <c r="U28" i="93" s="1"/>
  <c r="L49" i="14"/>
  <c r="O49" i="14"/>
  <c r="T28" i="75" s="1"/>
  <c r="T28" i="93" s="1"/>
  <c r="L50" i="14" l="1"/>
  <c r="L58" i="14" s="1"/>
  <c r="Q28" i="75"/>
  <c r="Q28" i="93" s="1"/>
  <c r="K15" i="51"/>
  <c r="K19" i="51" s="1"/>
  <c r="O50" i="14"/>
  <c r="O58" i="14" s="1"/>
  <c r="P50" i="14"/>
  <c r="K58" i="14"/>
  <c r="P58" i="14" s="1"/>
  <c r="P26" i="87"/>
  <c r="P36" i="87" s="1"/>
  <c r="K31" i="51"/>
  <c r="K33" i="51" s="1"/>
  <c r="L26" i="87"/>
  <c r="G31" i="51"/>
  <c r="T30" i="75"/>
  <c r="T30" i="93" s="1"/>
  <c r="U30" i="75"/>
  <c r="U30" i="93" s="1"/>
  <c r="P54" i="75"/>
  <c r="P54" i="93" s="1"/>
  <c r="M15" i="51"/>
  <c r="G19" i="51"/>
  <c r="L15" i="51"/>
  <c r="K39" i="51" l="1"/>
  <c r="L31" i="51"/>
  <c r="G33" i="51"/>
  <c r="M31" i="51"/>
  <c r="L19" i="51"/>
  <c r="G38" i="51"/>
  <c r="M19" i="51"/>
  <c r="Q30" i="75"/>
  <c r="Q30" i="93" s="1"/>
  <c r="H15" i="51"/>
  <c r="H19" i="51" s="1"/>
  <c r="T54" i="75"/>
  <c r="T54" i="93" s="1"/>
  <c r="L36" i="87"/>
  <c r="R36" i="87" s="1"/>
  <c r="R26" i="87"/>
  <c r="S26" i="87"/>
  <c r="U54" i="75"/>
  <c r="U54" i="93" s="1"/>
  <c r="Q54" i="75" l="1"/>
  <c r="Q54" i="93" s="1"/>
  <c r="G39" i="51"/>
  <c r="M33" i="51"/>
  <c r="L33" i="51"/>
  <c r="K38" i="51"/>
  <c r="H38"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80" authorId="0" shapeId="0" xr:uid="{283A9DCF-FA89-4165-82EE-101A52B16BD4}">
      <text>
        <r>
          <rPr>
            <sz val="9"/>
            <color indexed="81"/>
            <rFont val="Tahoma"/>
            <family val="2"/>
          </rPr>
          <t xml:space="preserve">Date and the entity to be confirmed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30" authorId="1" shapeId="0" xr:uid="{1A613243-CC56-4158-A8AE-871F696E3E62}">
      <text>
        <r>
          <rPr>
            <b/>
            <sz val="9"/>
            <color indexed="81"/>
            <rFont val="Tahoma"/>
            <family val="2"/>
          </rPr>
          <t>As per the B-6 round, available on Carta</t>
        </r>
        <r>
          <rPr>
            <sz val="9"/>
            <color indexed="81"/>
            <rFont val="Tahoma"/>
            <family val="2"/>
          </rPr>
          <t xml:space="preserve">
</t>
        </r>
      </text>
    </comment>
    <comment ref="E47" authorId="1" shapeId="0" xr:uid="{A9B9512A-4BF0-4243-AE38-4E209ACC3DBC}">
      <text>
        <r>
          <rPr>
            <b/>
            <sz val="9"/>
            <color indexed="81"/>
            <rFont val="Tahoma"/>
            <family val="2"/>
          </rPr>
          <t xml:space="preserve">prorated NAV for EUR 2.3m commitment, plus EUR 0.871m (uncalled capital, but funded capital) = EUR 2.622m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as of 31 Dec 25
</t>
        </r>
      </text>
    </comment>
    <comment ref="F13" authorId="0" shapeId="0" xr:uid="{50A8FF4E-188E-4011-AA38-6E46AD2A5113}">
      <text>
        <r>
          <rPr>
            <sz val="9"/>
            <color indexed="81"/>
            <rFont val="Tahoma"/>
            <family val="2"/>
          </rPr>
          <t xml:space="preserve">Estimated as of fully diluted basis as of 31 Dec 25
</t>
        </r>
      </text>
    </comment>
    <comment ref="E14" authorId="0" shapeId="0" xr:uid="{ECC14C59-864D-4D05-8ED4-189CD588E2FB}">
      <text>
        <r>
          <rPr>
            <b/>
            <sz val="9"/>
            <color indexed="81"/>
            <rFont val="Tahoma"/>
            <family val="2"/>
          </rPr>
          <t xml:space="preserve">source: LSE website
</t>
        </r>
        <r>
          <rPr>
            <sz val="9"/>
            <color indexed="81"/>
            <rFont val="Tahoma"/>
            <family val="2"/>
          </rPr>
          <t xml:space="preserve">
AS of 01 June 2026</t>
        </r>
      </text>
    </comment>
    <comment ref="F15" authorId="0" shapeId="0" xr:uid="{845AE8F0-D4D5-4C27-A610-388605AC8546}">
      <text>
        <r>
          <rPr>
            <sz val="9"/>
            <color indexed="81"/>
            <rFont val="Tahoma"/>
            <family val="2"/>
          </rPr>
          <t xml:space="preserve">As of 31 Dec 25
</t>
        </r>
      </text>
    </comment>
    <comment ref="E17" authorId="0" shapeId="0" xr:uid="{6EDA4DC4-8886-4848-8744-BDEC3BC2D407}">
      <text>
        <r>
          <rPr>
            <sz val="9"/>
            <color indexed="81"/>
            <rFont val="Tahoma"/>
            <family val="2"/>
          </rPr>
          <t>Based on the Prospectus, Page 13</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F6BA12CC-1E6F-4720-A1FC-75A40C986D9C}">
      <text>
        <r>
          <rPr>
            <b/>
            <sz val="9"/>
            <color indexed="81"/>
            <rFont val="Tahoma"/>
            <family val="2"/>
          </rPr>
          <t>Estimated as of 31 Dec 25</t>
        </r>
        <r>
          <rPr>
            <sz val="9"/>
            <color indexed="81"/>
            <rFont val="Tahoma"/>
            <family val="2"/>
          </rPr>
          <t xml:space="preserve">
</t>
        </r>
      </text>
    </comment>
    <comment ref="D22" authorId="0" shapeId="0" xr:uid="{332C7D36-EB80-421D-AB40-6BD641E0D4FF}">
      <text>
        <r>
          <rPr>
            <b/>
            <sz val="9"/>
            <color indexed="81"/>
            <rFont val="Tahoma"/>
            <family val="2"/>
          </rPr>
          <t>Author:</t>
        </r>
        <r>
          <rPr>
            <sz val="9"/>
            <color indexed="81"/>
            <rFont val="Tahoma"/>
            <family val="2"/>
          </rPr>
          <t xml:space="preserve">
https://www.sec.gov/Archives/edgar/data/1641489/000164148926000010/vtvt-20251231.htm
</t>
        </r>
        <r>
          <rPr>
            <b/>
            <sz val="9"/>
            <color indexed="81"/>
            <rFont val="Tahoma"/>
            <family val="2"/>
          </rPr>
          <t xml:space="preserve">
search for: 259,657</t>
        </r>
      </text>
    </comment>
    <comment ref="E22" authorId="0" shapeId="0" xr:uid="{46A576DC-0CCA-4CC9-8088-7945B8BF7E99}">
      <text>
        <r>
          <rPr>
            <b/>
            <sz val="9"/>
            <color indexed="81"/>
            <rFont val="Tahoma"/>
            <family val="2"/>
          </rPr>
          <t>source: capital IQ</t>
        </r>
      </text>
    </comment>
    <comment ref="F25" authorId="0" shapeId="0" xr:uid="{264A5454-5F0E-4722-9CE3-78DE99012ADC}">
      <text>
        <r>
          <rPr>
            <sz val="9"/>
            <color indexed="81"/>
            <rFont val="Tahoma"/>
            <family val="2"/>
          </rPr>
          <t xml:space="preserve">Aug26: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G26" authorId="0" shapeId="0" xr:uid="{4297FDA6-18B1-44C9-9CDB-AA257E06D2E0}">
      <text>
        <r>
          <rPr>
            <b/>
            <sz val="9"/>
            <color indexed="81"/>
            <rFont val="Tahoma"/>
            <family val="2"/>
          </rPr>
          <t>SAFE note converted to Series B-2 Pref in November 2023</t>
        </r>
      </text>
    </comment>
    <comment ref="F29" authorId="0" shapeId="0" xr:uid="{BE5B2484-A52F-4ADC-8056-C3E44C43BC22}">
      <text>
        <r>
          <rPr>
            <sz val="9"/>
            <color indexed="81"/>
            <rFont val="Tahoma"/>
            <family val="2"/>
          </rPr>
          <t xml:space="preserve">As per Camillo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5" authorId="0" shapeId="0" xr:uid="{471F37C7-4337-4A5A-8E72-5E5B58F9CCBD}">
      <text>
        <r>
          <rPr>
            <sz val="9"/>
            <color indexed="81"/>
            <rFont val="Tahoma"/>
            <family val="2"/>
          </rPr>
          <t>Based on the Cap Table shared as of Q4'25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futureMetadata name="XLDAPR" count="1">
    <bk>
      <extLst>
        <ext uri="{bdbb8cdc-fa1e-496e-a857-3c3f30c029c3}">
          <xda:dynamicArrayProperties fDynamic="1" fCollapsed="0"/>
        </ext>
      </extLst>
    </bk>
  </futureMetadata>
  <cellMetadata count="1">
    <bk>
      <rc t="2" v="0"/>
    </bk>
  </cell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<sst xmlns="http://schemas.openxmlformats.org/spreadsheetml/2006/main" count="4906" uniqueCount="885">
  <si>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</si>
  <si>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</si>
  <si>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</si>
  <si>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</si>
  <si>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</si>
  <si>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</si>
  <si>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</si>
  <si>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</si>
  <si>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</si>
  <si>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</si>
  <si>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</si>
  <si>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</si>
  <si>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</si>
  <si>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</si>
  <si>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</si>
  <si>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</si>
  <si>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</si>
  <si>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</si>
  <si>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</si>
  <si>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</si>
  <si>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</si>
  <si>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</si>
  <si>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</si>
  <si>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</si>
  <si>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</si>
  <si>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</si>
  <si>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</si>
  <si>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</si>
  <si>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</si>
  <si>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</si>
  <si>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</si>
  <si>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</si>
  <si>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</si>
  <si>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</si>
  <si>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</si>
  <si>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</si>
  <si>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</si>
  <si>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</si>
  <si>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</si>
  <si>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</si>
  <si>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</si>
  <si>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</si>
  <si>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</si>
  <si>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</si>
  <si>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</si>
  <si>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</si>
  <si>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</si>
  <si>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</si>
  <si>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</si>
  <si>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</si>
  <si>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</si>
  <si>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</si>
  <si>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</si>
  <si>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</si>
  <si>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</si>
  <si>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</si>
  <si>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</si>
  <si>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</si>
  <si>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</si>
  <si>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</si>
  <si>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</si>
  <si>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</si>
  <si>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</si>
  <si>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</si>
  <si>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</si>
  <si>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</si>
  <si>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</si>
  <si>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</si>
  <si>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</si>
  <si>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</si>
  <si>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</si>
  <si>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</si>
  <si>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</si>
  <si>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</si>
  <si>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</si>
  <si>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</si>
  <si>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</si>
  <si>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</si>
  <si>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</si>
  <si>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</si>
  <si>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</si>
  <si>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</si>
  <si>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</si>
  <si>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</si>
  <si>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</si>
  <si>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</si>
  <si>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</si>
  <si>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</si>
  <si>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</si>
  <si>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</si>
  <si>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</si>
  <si>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</si>
  <si>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</si>
  <si>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</si>
  <si>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</si>
  <si>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</si>
  <si>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</si>
  <si>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</si>
  <si>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</si>
  <si>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</si>
  <si>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</si>
  <si>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</si>
  <si>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</si>
  <si>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</si>
  <si>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</si>
  <si>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</si>
  <si>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</si>
  <si>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</si>
  <si>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</si>
  <si>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</si>
  <si>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</si>
  <si>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</si>
  <si>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</si>
  <si>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</si>
  <si>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</si>
  <si>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</si>
  <si>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</si>
  <si>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</si>
  <si>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</si>
  <si>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</si>
  <si>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</si>
  <si>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</si>
  <si>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</si>
  <si>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</si>
  <si>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</si>
  <si>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</si>
  <si>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</si>
  <si>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</si>
  <si>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</si>
  <si>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</si>
  <si>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</si>
  <si>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</si>
  <si>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</si>
  <si>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</si>
  <si>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</si>
  <si>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</si>
  <si>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</si>
  <si>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</si>
  <si>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</si>
  <si>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</si>
  <si>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</si>
  <si>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</si>
  <si>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Cap Table</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</si>
  <si>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</si>
  <si>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</si>
  <si>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</si>
  <si>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</si>
  <si>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</si>
  <si>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</si>
  <si>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</si>
  <si>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</si>
  <si>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</si>
  <si>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</si>
  <si>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</si>
  <si>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</si>
  <si>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</si>
  <si>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</si>
  <si>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</si>
  <si>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</si>
  <si>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</si>
  <si>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</si>
  <si>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</si>
  <si>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</si>
  <si>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</si>
  <si>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</si>
  <si>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</si>
  <si>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</si>
  <si>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</si>
  <si>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</si>
  <si>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</si>
  <si>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</si>
  <si>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</si>
  <si>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</si>
  <si>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</si>
  <si>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</si>
  <si>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</si>
  <si>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</si>
  <si>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</si>
  <si>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</si>
  <si>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</si>
  <si>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</si>
  <si>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</si>
  <si>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</si>
  <si>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</si>
  <si>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</si>
  <si>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</si>
  <si>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</si>
  <si>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</si>
  <si>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</si>
  <si>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</si>
  <si>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</si>
  <si>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</si>
  <si>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</si>
  <si>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</si>
  <si>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</si>
  <si>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</si>
  <si>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</si>
  <si>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</si>
  <si>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</si>
  <si>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</si>
  <si>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</si>
  <si>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</si>
  <si>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</si>
  <si>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</si>
  <si>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</si>
  <si>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</si>
  <si>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</si>
  <si>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</si>
  <si>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</si>
  <si>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</si>
  <si>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</si>
  <si>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</si>
  <si>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</si>
  <si>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</si>
  <si>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</si>
  <si>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</si>
  <si>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</si>
  <si>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</si>
  <si>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</si>
  <si>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</si>
  <si>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</si>
  <si>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</si>
  <si>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</si>
  <si>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</si>
  <si>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</si>
  <si>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</si>
  <si>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</si>
  <si>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</si>
  <si>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</si>
  <si>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</si>
  <si>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</si>
  <si>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</si>
  <si>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</si>
  <si>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</si>
  <si>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</si>
  <si>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</si>
  <si>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</si>
  <si>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</si>
  <si>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</si>
  <si>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</si>
  <si>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</si>
  <si>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</si>
  <si>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</si>
  <si>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</si>
  <si>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</si>
  <si>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</si>
  <si>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</si>
  <si>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</si>
  <si>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</si>
  <si>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</si>
  <si>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</si>
  <si>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</si>
  <si>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</si>
  <si>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</si>
  <si>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</si>
  <si>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</si>
  <si>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</si>
  <si>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</si>
  <si>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</si>
  <si>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</si>
  <si>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</si>
  <si>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</si>
  <si>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</si>
  <si>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</si>
  <si>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</si>
  <si>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</si>
  <si>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</si>
  <si>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</si>
  <si>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</si>
  <si>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</si>
  <si>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</si>
  <si>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</si>
  <si>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</si>
  <si>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</si>
  <si>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</si>
  <si>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</si>
  <si>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</si>
  <si>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</si>
  <si>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</si>
  <si>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</si>
  <si>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</si>
  <si>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</si>
  <si>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</si>
  <si>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</si>
  <si>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</si>
  <si>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</si>
  <si>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</si>
  <si>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</si>
  <si>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</si>
  <si>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</si>
  <si>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</si>
  <si>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</si>
  <si>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</si>
  <si>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</si>
  <si>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</si>
  <si>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</si>
  <si>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</si>
  <si>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</si>
  <si>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</si>
  <si>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</si>
  <si>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</si>
  <si>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</si>
  <si>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</si>
  <si>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</si>
  <si>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</si>
  <si>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</si>
  <si>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</si>
  <si>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</si>
  <si>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</si>
  <si>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</si>
  <si>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</si>
  <si>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</si>
  <si>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</si>
  <si>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</si>
  <si>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</si>
  <si>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</si>
  <si>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</si>
  <si>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</si>
  <si>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</si>
  <si>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</si>
  <si>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</si>
  <si>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</si>
  <si>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</si>
  <si>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</si>
  <si>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</si>
  <si>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</si>
  <si>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</si>
  <si>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</si>
  <si>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</si>
  <si>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</si>
  <si>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</si>
  <si>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</si>
  <si>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</si>
  <si>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</si>
  <si>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</si>
  <si>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</si>
  <si>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</si>
  <si>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</si>
  <si>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</si>
  <si>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</si>
  <si>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</si>
  <si>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</si>
  <si>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DAO | Cayman Islands</t>
  </si>
  <si>
    <t>Coinbase</t>
  </si>
  <si>
    <t xml:space="preserve">Fully Exited on 31st July with 1.5x returns. </t>
  </si>
  <si>
    <t>Received 62.5M Tokens as of Jul'23</t>
  </si>
  <si>
    <t>Exited at 1.56X | Residual Value = 0</t>
  </si>
  <si>
    <t>E-line Ventures LLC</t>
  </si>
  <si>
    <t>Shares / Units</t>
  </si>
  <si>
    <t>Series A</t>
  </si>
  <si>
    <t>New Jersey</t>
  </si>
  <si>
    <t>Exited at $24.5m</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</si>
  <si>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</si>
  <si>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</si>
  <si>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</si>
  <si>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</si>
  <si>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</si>
  <si>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</si>
  <si>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</si>
  <si>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</si>
  <si>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 xml:space="preserve">8th Capital Call </t>
  </si>
  <si>
    <t>Written Off</t>
  </si>
  <si>
    <t>Written-off</t>
  </si>
  <si>
    <t>In Default</t>
  </si>
  <si>
    <t>PX to be replaced by XP</t>
  </si>
  <si>
    <t>Additonal Upside/Downside</t>
  </si>
  <si>
    <t>3Q'23</t>
  </si>
  <si>
    <t>13th Capital Call &amp; Distribution #4</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</si>
  <si>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</si>
  <si>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</si>
  <si>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</si>
  <si>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</si>
  <si>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</si>
  <si>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</si>
  <si>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</si>
  <si>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</si>
  <si>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</si>
  <si>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</si>
  <si>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</si>
  <si>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</si>
  <si>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</si>
  <si>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</si>
  <si>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</si>
  <si>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</si>
  <si>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</si>
  <si>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</si>
  <si>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</si>
  <si>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</si>
  <si>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</si>
  <si>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</si>
  <si>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</si>
  <si>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</si>
  <si>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</si>
  <si>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</si>
  <si>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</si>
  <si>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</si>
  <si>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</si>
  <si>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</si>
  <si>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</si>
  <si>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</si>
  <si>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</si>
  <si>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</si>
  <si>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</si>
  <si>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</si>
  <si>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</si>
  <si>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</si>
  <si>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</si>
  <si>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</si>
  <si>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</si>
  <si>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</si>
  <si>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</si>
  <si>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</si>
  <si>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</si>
  <si>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</si>
  <si>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</si>
  <si>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</si>
  <si>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</si>
  <si>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</si>
  <si>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</si>
  <si>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</si>
  <si>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</si>
  <si>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</si>
  <si>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</si>
  <si>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</si>
  <si>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</si>
  <si>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</si>
  <si>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</si>
  <si>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</si>
  <si>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</si>
  <si>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</si>
  <si>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</si>
  <si>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</si>
  <si>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</si>
  <si>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</si>
  <si>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</si>
  <si>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</si>
  <si>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</si>
  <si>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</si>
  <si>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</si>
  <si>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</si>
  <si>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</si>
  <si>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</si>
  <si>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</si>
  <si>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</si>
  <si>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</si>
  <si>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</si>
  <si>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</si>
  <si>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</si>
  <si>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</si>
  <si>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</si>
  <si>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</si>
  <si>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</si>
  <si>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</si>
  <si>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</si>
  <si>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</si>
  <si>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</si>
  <si>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</si>
  <si>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</si>
  <si>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</si>
  <si>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</si>
  <si>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</si>
  <si>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</si>
  <si>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</si>
  <si>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</si>
  <si>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</si>
  <si>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</si>
  <si>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</si>
  <si>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</si>
  <si>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</si>
  <si>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</si>
  <si>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</si>
  <si>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</si>
  <si>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</si>
  <si>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</si>
  <si>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</si>
  <si>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</si>
  <si>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</si>
  <si>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</si>
  <si>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</si>
  <si>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</si>
  <si>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</si>
  <si>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</si>
  <si>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</si>
  <si>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</si>
  <si>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</si>
  <si>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</si>
  <si>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</si>
  <si>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</si>
  <si>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</si>
  <si>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</si>
  <si>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</si>
  <si>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</si>
  <si>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</si>
  <si>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</si>
  <si>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</si>
  <si>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</si>
  <si>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</si>
  <si>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</si>
  <si>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</si>
  <si>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</si>
  <si>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</si>
  <si>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</si>
  <si>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</si>
  <si>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</si>
  <si>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</si>
  <si>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</si>
  <si>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</si>
  <si>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</si>
  <si>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</si>
  <si>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</si>
  <si>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</si>
  <si>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</si>
  <si>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</si>
  <si>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</si>
  <si>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</si>
  <si>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</si>
  <si>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</si>
  <si>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</si>
  <si>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</si>
  <si>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</si>
  <si>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</si>
  <si>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</si>
  <si>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</si>
  <si>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</si>
  <si>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</si>
  <si>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</si>
  <si>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</si>
  <si>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</si>
  <si>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</si>
  <si>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</si>
  <si>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</si>
  <si>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</si>
  <si>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</si>
  <si>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</si>
  <si>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</si>
  <si>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</si>
  <si>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</si>
  <si>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</si>
  <si>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</si>
  <si>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</si>
  <si>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</si>
  <si>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</si>
  <si>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</si>
  <si>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</si>
  <si>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</si>
  <si>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</si>
  <si>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</si>
  <si>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</si>
  <si>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</si>
  <si>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</si>
  <si>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</si>
  <si>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</si>
  <si>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</si>
  <si>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</si>
  <si>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</si>
  <si>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</si>
  <si>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</si>
  <si>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</si>
  <si>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</si>
  <si>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</si>
  <si>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</si>
  <si>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</si>
  <si>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</si>
  <si>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</si>
  <si>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</si>
  <si>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</si>
  <si>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</si>
  <si>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</si>
  <si>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</si>
  <si>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</si>
  <si>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</si>
  <si>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</si>
  <si>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</si>
  <si>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</si>
  <si>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</si>
  <si>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</si>
  <si>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</si>
  <si>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</si>
  <si>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</si>
  <si>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</si>
  <si>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</si>
  <si>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</si>
  <si>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</si>
  <si>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</si>
  <si>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</si>
  <si>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</si>
  <si>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</si>
  <si>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</si>
  <si>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</si>
  <si>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</si>
  <si>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</si>
  <si>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</si>
  <si>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</si>
  <si>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</si>
  <si>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</si>
  <si>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</si>
  <si>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</si>
  <si>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</si>
  <si>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</si>
  <si>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</si>
  <si>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</si>
  <si>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</si>
  <si>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</si>
  <si>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</si>
  <si>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</si>
  <si>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</si>
  <si>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</si>
  <si>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</si>
  <si>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</si>
  <si>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</si>
  <si>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</si>
  <si>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</si>
  <si>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</si>
  <si>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</si>
  <si>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</si>
  <si>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</si>
  <si>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</si>
  <si>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</si>
  <si>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</si>
  <si>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</si>
  <si>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</si>
  <si>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</si>
  <si>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</si>
  <si>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</si>
  <si>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</si>
  <si>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</si>
  <si>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</si>
  <si>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</si>
  <si>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</si>
  <si>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</si>
  <si>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</si>
  <si>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</si>
  <si>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</si>
  <si>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</si>
  <si>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</si>
  <si>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</si>
  <si>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</si>
  <si>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</si>
  <si>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</si>
  <si>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</si>
  <si>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</si>
  <si>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</si>
  <si>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</si>
  <si>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</si>
  <si>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</si>
  <si>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</si>
  <si>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</si>
  <si>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</si>
  <si>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</si>
  <si>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</si>
  <si>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</si>
  <si>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</si>
  <si>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</si>
  <si>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</si>
  <si>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</si>
  <si>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</si>
  <si>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</si>
  <si>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</si>
  <si>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</si>
  <si>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</si>
  <si>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</si>
  <si>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</si>
  <si>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</si>
  <si>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</si>
  <si>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</si>
  <si>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</si>
  <si>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</si>
  <si>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</si>
  <si>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</si>
  <si>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</si>
  <si>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</si>
  <si>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</si>
  <si>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</si>
  <si>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</si>
  <si>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</si>
  <si>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</si>
  <si>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</si>
  <si>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</si>
  <si>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</si>
  <si>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</si>
  <si>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</si>
  <si>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</si>
  <si>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</si>
  <si>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</si>
  <si>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</si>
  <si>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</si>
  <si>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</si>
  <si>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</si>
  <si>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</si>
  <si>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</si>
  <si>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</si>
  <si>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</si>
  <si>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</si>
  <si>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</si>
  <si>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</si>
  <si>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</si>
  <si>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</si>
  <si>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</si>
  <si>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</si>
  <si>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</si>
  <si>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</si>
  <si>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</si>
  <si>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</si>
  <si>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</si>
  <si>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</si>
  <si>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</si>
  <si>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</si>
  <si>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</si>
  <si>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</si>
  <si>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</si>
  <si>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</si>
  <si>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</si>
  <si>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</si>
  <si>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</si>
  <si>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</si>
  <si>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</si>
  <si>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</si>
  <si>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</si>
  <si>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</si>
  <si>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</si>
  <si>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</si>
  <si>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</si>
  <si>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</si>
  <si>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</si>
  <si>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</si>
  <si>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</si>
  <si>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</si>
  <si>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</si>
  <si>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</si>
  <si>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</si>
  <si>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</si>
  <si>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</si>
  <si>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</si>
  <si>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</si>
  <si>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</si>
  <si>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</si>
  <si>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</si>
  <si>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</si>
  <si>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</si>
  <si>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</si>
  <si>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</si>
  <si>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</si>
  <si>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</si>
  <si>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</si>
  <si>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</si>
  <si>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</si>
  <si>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</si>
  <si>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</si>
  <si>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</si>
  <si>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</si>
  <si>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</si>
  <si>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</si>
  <si>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</si>
  <si>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</si>
  <si>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</si>
  <si>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</si>
  <si>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</si>
  <si>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</si>
  <si>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</si>
  <si>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</si>
  <si>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</si>
  <si>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</si>
  <si>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</si>
  <si>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</si>
  <si>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</si>
  <si>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</si>
  <si>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</si>
  <si>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</si>
  <si>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Exited/Liquidated</t>
  </si>
  <si>
    <t>Marked up, being held at 2.27X as per the last round</t>
  </si>
  <si>
    <t>Oct' 25</t>
  </si>
  <si>
    <t>Q3'25</t>
  </si>
  <si>
    <t>Source: Capital Account Statement Q3 25</t>
  </si>
  <si>
    <t>Nov25  | Estimated</t>
  </si>
  <si>
    <t>Nov'25</t>
  </si>
  <si>
    <t>Removed capital commitment of $117.5m</t>
  </si>
  <si>
    <t>Dec'25</t>
  </si>
  <si>
    <t>Valuation revised down to $24.4m</t>
  </si>
  <si>
    <r>
      <t xml:space="preserve">Warrants </t>
    </r>
    <r>
      <rPr>
        <vertAlign val="superscript"/>
        <sz val="11"/>
        <rFont val="Garamond"/>
        <family val="1"/>
      </rPr>
      <t>i</t>
    </r>
  </si>
  <si>
    <t>Drawdown (Notice 21) | Capital Call</t>
  </si>
  <si>
    <t>Distribution (Notice 21)</t>
  </si>
  <si>
    <t>EUR USD</t>
  </si>
  <si>
    <t>Dec25  | Estimated</t>
  </si>
  <si>
    <t>ESpace</t>
  </si>
  <si>
    <t>Espace</t>
  </si>
  <si>
    <t>Revised valuation as per last round (refer Carta)</t>
  </si>
  <si>
    <t>Class N</t>
  </si>
  <si>
    <t>Cerebras Systems Inc (1)</t>
  </si>
  <si>
    <t>Cerebras Systems Inc (2)</t>
  </si>
  <si>
    <t>Estimated, Feb'26 fund raise</t>
  </si>
  <si>
    <t>Jan'26</t>
  </si>
  <si>
    <t>Valuation increased to $89.02per share, as per the latest funding round</t>
  </si>
  <si>
    <t>received  EUR 175,237.47 distribution</t>
  </si>
  <si>
    <t>Distribution (Notice 1)</t>
  </si>
  <si>
    <t>updated commitment to 41m in exchange of additional  384,643 shares (to be completed in Feb'26)</t>
  </si>
  <si>
    <r>
      <t xml:space="preserve">i) Cererbras: </t>
    </r>
    <r>
      <rPr>
        <sz val="11"/>
        <color theme="1"/>
        <rFont val="Garamond"/>
        <family val="1"/>
      </rPr>
      <t>1,857,516 shares received in Jan'26</t>
    </r>
  </si>
  <si>
    <t>Received Warrant1 for 1.86m shares</t>
  </si>
  <si>
    <t>Fully diluted</t>
  </si>
  <si>
    <t>Est as of 31 Dec 25</t>
  </si>
  <si>
    <t>Capital IQ</t>
  </si>
  <si>
    <t>Txn docs for FY26 Fund Raise</t>
  </si>
  <si>
    <t xml:space="preserve">Company Reproting | link </t>
  </si>
  <si>
    <t>Company Reporting | link</t>
  </si>
  <si>
    <t>Est as of Feb26</t>
  </si>
  <si>
    <t>Feb'26</t>
  </si>
  <si>
    <t>NAV updated</t>
  </si>
  <si>
    <t>$40.8m invested in Liquid</t>
  </si>
  <si>
    <t>$85.7m invested in MGX on 24 Feb</t>
  </si>
  <si>
    <t>Feb'26  | Estimated</t>
  </si>
  <si>
    <t>Capital Called</t>
  </si>
  <si>
    <t>&gt;10x</t>
  </si>
  <si>
    <t>NAVs for Flyr, Beyond Limits, Eline, Endless aligned with the latest agreed with auditors</t>
  </si>
  <si>
    <t>Price</t>
  </si>
  <si>
    <t>Shares</t>
  </si>
  <si>
    <t>Value</t>
  </si>
  <si>
    <t>Conversion Rate</t>
  </si>
  <si>
    <t xml:space="preserve"> Priced round at RMB 141.2 per share | Mar'26</t>
  </si>
  <si>
    <t>Q4'25  capital account statement</t>
  </si>
  <si>
    <t>Mar'26</t>
  </si>
  <si>
    <t>Distribution Received</t>
  </si>
  <si>
    <t xml:space="preserve">Capital Call </t>
  </si>
  <si>
    <t>Valuation re-priced round at RMB 141.2 per share</t>
  </si>
  <si>
    <t>Distributions received</t>
  </si>
  <si>
    <t xml:space="preserve">Valuation re-priced round at US$7.35 per share </t>
  </si>
  <si>
    <t>Apr'26</t>
  </si>
  <si>
    <t>NAV revised</t>
  </si>
  <si>
    <t>Received additional c1.66m shares upon conversion of Warrant2</t>
  </si>
  <si>
    <t>EPTH8 (1.86m shares W1 plus 1.66m shares W2)</t>
  </si>
  <si>
    <t>Ardent Valuation as of 31 Dec 25</t>
  </si>
  <si>
    <t>Ardent Dec'25 | 50% haircut recent convertible price during Q4'25</t>
  </si>
  <si>
    <t>Priced round at US$7.35 per share | Mar'26</t>
  </si>
  <si>
    <t>EPTH11</t>
  </si>
  <si>
    <t>Nevada</t>
  </si>
  <si>
    <t>May'26</t>
  </si>
  <si>
    <t>Drawdown22</t>
  </si>
  <si>
    <t>May'26  | Estimated</t>
  </si>
  <si>
    <t>New Space</t>
  </si>
  <si>
    <t>funded capital call of EUR 0.84M</t>
  </si>
  <si>
    <t>Funded capital calls of US$38.4m and $0.003m, received $19.3m of equalization refund</t>
  </si>
  <si>
    <t>Class A/B</t>
  </si>
  <si>
    <t>Jun'26</t>
  </si>
  <si>
    <t>CBRS</t>
  </si>
  <si>
    <t>Q1'26</t>
  </si>
  <si>
    <t>Key Person</t>
  </si>
  <si>
    <t>G42 Sponsor</t>
  </si>
  <si>
    <t>Sector</t>
  </si>
  <si>
    <t>Last Series</t>
  </si>
  <si>
    <t>Peng</t>
  </si>
  <si>
    <t>HE Tariq</t>
  </si>
  <si>
    <t>Dr. Fahed, M42</t>
  </si>
  <si>
    <t>Peng/XP</t>
  </si>
  <si>
    <t>UAE/UK</t>
  </si>
  <si>
    <t>Cayman</t>
  </si>
  <si>
    <t>Luxembourg</t>
  </si>
  <si>
    <t>Space</t>
  </si>
  <si>
    <t>Semiconductors</t>
  </si>
  <si>
    <t>3D Printing</t>
  </si>
  <si>
    <t>AI Software</t>
  </si>
  <si>
    <t>Genome Sequencing</t>
  </si>
  <si>
    <t>Aviation</t>
  </si>
  <si>
    <t>Networking</t>
  </si>
  <si>
    <t>Healthcare</t>
  </si>
  <si>
    <t>Fund</t>
  </si>
  <si>
    <t>Foundation Model</t>
  </si>
  <si>
    <t>Gaming</t>
  </si>
  <si>
    <t>Education</t>
  </si>
  <si>
    <t>Series D</t>
  </si>
  <si>
    <t>Nitesh/Gino</t>
  </si>
  <si>
    <t>Geography</t>
  </si>
  <si>
    <t>Convertible</t>
  </si>
  <si>
    <t>Biometrics</t>
  </si>
  <si>
    <t>Jul'26</t>
  </si>
  <si>
    <t>May'26 Est</t>
  </si>
  <si>
    <t>Drawdown 23</t>
  </si>
  <si>
    <t xml:space="preserve">NAV updated </t>
  </si>
  <si>
    <t>Capital Call EUR 1.66m</t>
  </si>
  <si>
    <t>Aug'26 Act</t>
  </si>
  <si>
    <t>Q2'26  capital account statement</t>
  </si>
  <si>
    <t>Q2'26 NSC Fund 1 and Q3'25  capital account statement of GP</t>
  </si>
  <si>
    <t>Aug'26  | Estimated</t>
  </si>
  <si>
    <t>MGX I LP + Denali</t>
  </si>
  <si>
    <t>Aug'26</t>
  </si>
  <si>
    <t>MGX, North Summit Capital</t>
  </si>
  <si>
    <t>revised NAV for Q2'26</t>
  </si>
  <si>
    <t>New Space Capital, Acies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</si>
</sst>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409]#,##0_ ;\-[$$-409]#,##0\ "/>
    <numFmt numFmtId="188" formatCode="0.000%"/>
    <numFmt numFmtId="189" formatCode="[$$-409]#,##0.0_ ;\-[$$-409]#,##0.0\ "/>
    <numFmt numFmtId="190" formatCode="#,##0.00000000;[Red]#,##0.00000000"/>
    <numFmt numFmtId="191" formatCode="&quot;$&quot;#,##0.0000_);[Red]\(&quot;$&quot;#,##0.0000\)"/>
    <numFmt numFmtId="192" formatCode="yyyy&quot;-&quot;mm&quot;-&quot;dd"/>
    <numFmt numFmtId="193" formatCode="yyyy&quot;-&quot;mmm&quot;-&quot;dd"/>
    <numFmt numFmtId="194" formatCode="[$$-409]#,##0"/>
    <numFmt numFmtId="195" formatCode="_([$$-409]* #,##0.00000_);_([$$-409]* \(#,##0.00000\);_([$$-409]* &quot;-&quot;??_);_(@_)"/>
    <numFmt numFmtId="196" formatCode="0.0000000000000"/>
  </numFmts>
  <fonts count="88"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theme="7" tint="0.39997558519241921"/>
      <name val="Garamond"/>
      <family val="1"/>
    </font>
  </fonts>
  <fills count="40">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theme="1" tint="0.249977111117893"/>
        <bgColor indexed="64"/>
      </patternFill>
    </fill>
    <fill>
      <patternFill patternType="solid">
        <fgColor theme="5" tint="-0.249977111117893"/>
        <bgColor indexed="64"/>
      </patternFill>
    </fill>
    <fill>
      <patternFill patternType="solid">
        <fgColor theme="5" tint="0.39997558519241921"/>
        <bgColor indexed="64"/>
      </patternFill>
    </fill>
  </fills>
  <borders count="2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3" fillId="0" borderId="0">
      <alignment vertical="center"/>
    </xf>
    <xf numFmtId="180" fontId="43" fillId="0" borderId="0" applyFont="0" applyFill="0" applyBorder="0" applyAlignment="0" applyProtection="0">
      <alignment vertical="center"/>
    </xf>
    <xf numFmtId="9" fontId="43" fillId="0" borderId="0" applyFont="0" applyFill="0" applyBorder="0" applyAlignment="0" applyProtection="0">
      <alignment vertical="center"/>
    </xf>
    <xf numFmtId="0" fontId="44" fillId="0" borderId="0" applyAlignment="0"/>
    <xf numFmtId="0" fontId="81" fillId="0" borderId="0"/>
  </cellStyleXfs>
  <cellXfs count="608">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4" fillId="4" borderId="0" xfId="3" applyFont="1" applyFill="1" applyAlignment="1">
      <alignment wrapText="1"/>
    </xf>
    <xf numFmtId="0" fontId="14" fillId="4" borderId="0" xfId="3" applyFont="1" applyFill="1"/>
    <xf numFmtId="169" fontId="15" fillId="7" borderId="0" xfId="3" applyNumberFormat="1" applyFont="1" applyFill="1" applyAlignment="1">
      <alignment horizontal="center" vertical="center" wrapText="1"/>
    </xf>
    <xf numFmtId="0" fontId="15" fillId="7" borderId="0" xfId="3" applyFont="1" applyFill="1" applyAlignment="1">
      <alignment horizontal="center" vertical="center" wrapText="1"/>
    </xf>
    <xf numFmtId="0" fontId="16" fillId="0" borderId="0" xfId="0" applyFont="1"/>
    <xf numFmtId="0" fontId="14" fillId="0" borderId="0" xfId="0" applyFont="1"/>
    <xf numFmtId="0" fontId="14" fillId="10" borderId="0" xfId="3" applyFont="1" applyFill="1"/>
    <xf numFmtId="14" fontId="14" fillId="10" borderId="0" xfId="3" applyNumberFormat="1" applyFont="1" applyFill="1"/>
    <xf numFmtId="169" fontId="14" fillId="10" borderId="0" xfId="3" applyNumberFormat="1" applyFont="1" applyFill="1" applyAlignment="1">
      <alignment horizontal="center"/>
    </xf>
    <xf numFmtId="0" fontId="14" fillId="10" borderId="0" xfId="3" applyFont="1" applyFill="1" applyAlignment="1">
      <alignment horizontal="center"/>
    </xf>
    <xf numFmtId="8" fontId="14" fillId="10" borderId="0" xfId="4" applyNumberFormat="1" applyFont="1" applyFill="1" applyAlignment="1">
      <alignment horizontal="center"/>
    </xf>
    <xf numFmtId="3" fontId="14" fillId="10" borderId="0" xfId="3" applyNumberFormat="1" applyFont="1" applyFill="1" applyAlignment="1">
      <alignment horizontal="center"/>
    </xf>
    <xf numFmtId="169" fontId="14" fillId="0" borderId="0" xfId="0" applyNumberFormat="1" applyFont="1"/>
    <xf numFmtId="49" fontId="14" fillId="0" borderId="0" xfId="0" applyNumberFormat="1" applyFont="1"/>
    <xf numFmtId="0" fontId="14"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4"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19"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2" fillId="0" borderId="2" xfId="0" applyNumberFormat="1" applyFont="1" applyBorder="1" applyAlignment="1">
      <alignment horizontal="center" vertical="center"/>
    </xf>
    <xf numFmtId="8" fontId="24" fillId="16" borderId="1" xfId="0" applyNumberFormat="1" applyFont="1" applyFill="1" applyBorder="1" applyAlignment="1">
      <alignment horizontal="center" vertical="center"/>
    </xf>
    <xf numFmtId="8" fontId="24" fillId="0" borderId="0" xfId="0" applyNumberFormat="1" applyFont="1" applyAlignment="1">
      <alignment horizontal="center" vertical="center"/>
    </xf>
    <xf numFmtId="166" fontId="22" fillId="0" borderId="2" xfId="1" applyNumberFormat="1" applyFont="1" applyFill="1" applyBorder="1" applyAlignment="1">
      <alignment horizontal="center" vertical="center"/>
    </xf>
    <xf numFmtId="166" fontId="24" fillId="16" borderId="1" xfId="1" applyNumberFormat="1" applyFont="1" applyFill="1" applyBorder="1" applyAlignment="1">
      <alignment horizontal="center" vertical="center"/>
    </xf>
    <xf numFmtId="166" fontId="24" fillId="0" borderId="0" xfId="1" applyNumberFormat="1" applyFont="1" applyFill="1" applyBorder="1" applyAlignment="1">
      <alignment horizontal="center" vertical="center"/>
    </xf>
    <xf numFmtId="166" fontId="24"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9" fillId="0" borderId="0" xfId="0" applyNumberFormat="1" applyFont="1"/>
    <xf numFmtId="0" fontId="9" fillId="0" borderId="4" xfId="0" applyFont="1" applyBorder="1" applyAlignment="1">
      <alignment horizontal="center"/>
    </xf>
    <xf numFmtId="0" fontId="25" fillId="0" borderId="0" xfId="0" applyFont="1" applyAlignment="1">
      <alignment horizontal="center"/>
    </xf>
    <xf numFmtId="0" fontId="25"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5" fillId="0" borderId="4" xfId="0" applyFont="1" applyBorder="1" applyAlignment="1">
      <alignment horizontal="center"/>
    </xf>
    <xf numFmtId="0" fontId="16" fillId="17" borderId="0" xfId="0" applyFont="1" applyFill="1"/>
    <xf numFmtId="168" fontId="14" fillId="0" borderId="11" xfId="0" applyNumberFormat="1" applyFont="1" applyBorder="1" applyAlignment="1">
      <alignment horizontal="center"/>
    </xf>
    <xf numFmtId="175" fontId="27" fillId="0" borderId="11" xfId="0" applyNumberFormat="1" applyFont="1" applyBorder="1" applyAlignment="1">
      <alignment horizontal="center" vertical="center"/>
    </xf>
    <xf numFmtId="15" fontId="16" fillId="17" borderId="13" xfId="0" applyNumberFormat="1" applyFont="1" applyFill="1" applyBorder="1"/>
    <xf numFmtId="0" fontId="28" fillId="0" borderId="0" xfId="0" applyFont="1"/>
    <xf numFmtId="15" fontId="16" fillId="0" borderId="0" xfId="0" applyNumberFormat="1" applyFont="1"/>
    <xf numFmtId="0" fontId="29"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4" fillId="0" borderId="11" xfId="0" applyNumberFormat="1" applyFont="1" applyBorder="1" applyAlignment="1">
      <alignment horizontal="center"/>
    </xf>
    <xf numFmtId="1" fontId="9" fillId="0" borderId="0" xfId="0" applyNumberFormat="1" applyFont="1" applyAlignment="1">
      <alignment horizontal="center"/>
    </xf>
    <xf numFmtId="0" fontId="25" fillId="0" borderId="0" xfId="0" applyFont="1"/>
    <xf numFmtId="166" fontId="9" fillId="0" borderId="0" xfId="0" applyNumberFormat="1" applyFont="1"/>
    <xf numFmtId="175" fontId="27"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1"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5" fillId="0" borderId="0" xfId="0" applyFont="1" applyAlignment="1">
      <alignment horizontal="left"/>
    </xf>
    <xf numFmtId="49" fontId="13" fillId="12" borderId="2" xfId="1" applyNumberFormat="1" applyFont="1" applyFill="1" applyBorder="1" applyAlignment="1">
      <alignment horizontal="center" vertical="center"/>
    </xf>
    <xf numFmtId="49" fontId="32" fillId="3" borderId="1" xfId="1" applyNumberFormat="1" applyFont="1" applyFill="1" applyBorder="1" applyAlignment="1">
      <alignment horizontal="center" vertical="center"/>
    </xf>
    <xf numFmtId="166" fontId="33"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2" fillId="3" borderId="1" xfId="1" applyNumberFormat="1" applyFont="1" applyFill="1" applyBorder="1" applyAlignment="1">
      <alignment horizontal="center" vertical="center"/>
    </xf>
    <xf numFmtId="166" fontId="32"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4"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4" fillId="0" borderId="4" xfId="0" applyFont="1" applyBorder="1"/>
    <xf numFmtId="0" fontId="35" fillId="0" borderId="0" xfId="0" applyFont="1"/>
    <xf numFmtId="8" fontId="7" fillId="0" borderId="2" xfId="0" applyNumberFormat="1" applyFont="1" applyBorder="1" applyAlignment="1">
      <alignment horizontal="center" vertical="center"/>
    </xf>
    <xf numFmtId="169" fontId="14"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8" fillId="0" borderId="0" xfId="0" applyNumberFormat="1" applyFont="1" applyAlignment="1">
      <alignment horizontal="center" vertical="center"/>
    </xf>
    <xf numFmtId="178" fontId="38" fillId="0" borderId="2" xfId="0" applyNumberFormat="1" applyFont="1" applyBorder="1" applyAlignment="1">
      <alignment horizontal="center" vertical="center"/>
    </xf>
    <xf numFmtId="178" fontId="38" fillId="16" borderId="1" xfId="0" applyNumberFormat="1" applyFont="1" applyFill="1" applyBorder="1" applyAlignment="1">
      <alignment horizontal="center" vertical="center"/>
    </xf>
    <xf numFmtId="0" fontId="39" fillId="2" borderId="3" xfId="0" applyFont="1" applyFill="1" applyBorder="1" applyAlignment="1">
      <alignment horizontal="centerContinuous" vertical="center"/>
    </xf>
    <xf numFmtId="0" fontId="38"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8" fillId="19" borderId="0" xfId="0" applyFont="1" applyFill="1" applyAlignment="1">
      <alignment horizontal="center" vertical="center"/>
    </xf>
    <xf numFmtId="8" fontId="38" fillId="0" borderId="0" xfId="0" applyNumberFormat="1" applyFont="1" applyAlignment="1">
      <alignment horizontal="left" vertical="center"/>
    </xf>
    <xf numFmtId="166" fontId="22" fillId="0" borderId="0" xfId="1" applyNumberFormat="1" applyFont="1" applyFill="1" applyBorder="1" applyAlignment="1">
      <alignment horizontal="center" vertical="center"/>
    </xf>
    <xf numFmtId="0" fontId="41" fillId="0" borderId="9" xfId="0" applyFont="1" applyBorder="1"/>
    <xf numFmtId="0" fontId="42" fillId="0" borderId="4" xfId="0" applyFont="1" applyBorder="1" applyAlignment="1">
      <alignment horizontal="left"/>
    </xf>
    <xf numFmtId="0" fontId="41" fillId="0" borderId="4" xfId="0" applyFont="1" applyBorder="1" applyAlignment="1">
      <alignment horizontal="center"/>
    </xf>
    <xf numFmtId="166" fontId="41" fillId="0" borderId="4" xfId="0" applyNumberFormat="1" applyFont="1" applyBorder="1" applyAlignment="1">
      <alignment horizontal="center"/>
    </xf>
    <xf numFmtId="4" fontId="41" fillId="0" borderId="4" xfId="0" applyNumberFormat="1" applyFont="1" applyBorder="1" applyAlignment="1">
      <alignment horizontal="center"/>
    </xf>
    <xf numFmtId="165" fontId="41" fillId="0" borderId="4" xfId="0" applyNumberFormat="1" applyFont="1" applyBorder="1" applyAlignment="1">
      <alignment horizontal="center"/>
    </xf>
    <xf numFmtId="0" fontId="41" fillId="0" borderId="10" xfId="0" applyFont="1" applyBorder="1"/>
    <xf numFmtId="0" fontId="41" fillId="0" borderId="0" xfId="0" applyFont="1"/>
    <xf numFmtId="0" fontId="37" fillId="0" borderId="0" xfId="0" applyFont="1" applyAlignment="1">
      <alignment horizontal="left"/>
    </xf>
    <xf numFmtId="8" fontId="22" fillId="0" borderId="0" xfId="0" applyNumberFormat="1" applyFont="1" applyAlignment="1">
      <alignment horizontal="center" vertical="center"/>
    </xf>
    <xf numFmtId="49" fontId="45" fillId="0" borderId="2" xfId="1" applyNumberFormat="1" applyFont="1" applyFill="1" applyBorder="1" applyAlignment="1">
      <alignment horizontal="center" vertical="center"/>
    </xf>
    <xf numFmtId="49" fontId="46" fillId="0"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0" fontId="47" fillId="0" borderId="0" xfId="0" applyFont="1"/>
    <xf numFmtId="0" fontId="48" fillId="0" borderId="0" xfId="0" applyFont="1"/>
    <xf numFmtId="0" fontId="25"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3" fontId="40" fillId="0" borderId="0" xfId="0" applyNumberFormat="1" applyFont="1" applyAlignment="1">
      <alignment horizontal="center"/>
    </xf>
    <xf numFmtId="3" fontId="49" fillId="0" borderId="0" xfId="0" applyNumberFormat="1" applyFont="1" applyAlignment="1">
      <alignment horizontal="left"/>
    </xf>
    <xf numFmtId="3" fontId="40" fillId="0" borderId="0" xfId="0" applyNumberFormat="1" applyFont="1" applyAlignment="1">
      <alignment horizontal="left"/>
    </xf>
    <xf numFmtId="3" fontId="52" fillId="0" borderId="0" xfId="0" applyNumberFormat="1" applyFont="1" applyAlignment="1">
      <alignment horizontal="center"/>
    </xf>
    <xf numFmtId="0" fontId="41" fillId="0" borderId="7" xfId="0" applyFont="1" applyBorder="1"/>
    <xf numFmtId="0" fontId="42" fillId="0" borderId="0" xfId="0" applyFont="1" applyAlignment="1">
      <alignment horizontal="left"/>
    </xf>
    <xf numFmtId="3" fontId="41" fillId="0" borderId="0" xfId="0" applyNumberFormat="1" applyFont="1" applyAlignment="1">
      <alignment horizontal="center"/>
    </xf>
    <xf numFmtId="0" fontId="41" fillId="0" borderId="8" xfId="0" applyFont="1" applyBorder="1"/>
    <xf numFmtId="3" fontId="53"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6"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4" fillId="0" borderId="0" xfId="0" applyNumberFormat="1" applyFont="1"/>
    <xf numFmtId="15" fontId="11" fillId="9" borderId="7" xfId="0" applyNumberFormat="1" applyFont="1" applyFill="1" applyBorder="1"/>
    <xf numFmtId="176" fontId="9" fillId="22" borderId="5" xfId="0" applyNumberFormat="1" applyFont="1" applyFill="1" applyBorder="1"/>
    <xf numFmtId="0" fontId="25"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1"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8" fillId="10" borderId="11" xfId="0" applyNumberFormat="1" applyFont="1" applyFill="1" applyBorder="1" applyAlignment="1">
      <alignment horizontal="center" vertical="center"/>
    </xf>
    <xf numFmtId="8" fontId="32"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6"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5" fillId="0" borderId="2" xfId="0" applyNumberFormat="1" applyFont="1" applyBorder="1" applyAlignment="1">
      <alignment horizontal="center" vertical="center"/>
    </xf>
    <xf numFmtId="8" fontId="56" fillId="0" borderId="2" xfId="6" applyNumberFormat="1" applyFont="1" applyFill="1" applyBorder="1" applyAlignment="1">
      <alignment horizontal="center" vertical="center"/>
    </xf>
    <xf numFmtId="8" fontId="57"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5" fillId="4" borderId="0" xfId="0" applyFont="1" applyFill="1"/>
    <xf numFmtId="0" fontId="25"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5"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5"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4" fillId="0" borderId="0" xfId="0" applyNumberFormat="1" applyFont="1"/>
    <xf numFmtId="186" fontId="14" fillId="0" borderId="0" xfId="0" applyNumberFormat="1" applyFont="1" applyAlignment="1">
      <alignment horizontal="center"/>
    </xf>
    <xf numFmtId="10" fontId="9" fillId="0" borderId="0" xfId="0" applyNumberFormat="1" applyFont="1" applyAlignment="1">
      <alignment horizontal="center"/>
    </xf>
    <xf numFmtId="0" fontId="25" fillId="0" borderId="5" xfId="0" applyFont="1" applyBorder="1" applyAlignment="1">
      <alignment horizontal="left" indent="1"/>
    </xf>
    <xf numFmtId="0" fontId="29" fillId="0" borderId="7" xfId="0" applyFont="1" applyBorder="1" applyAlignment="1">
      <alignment horizontal="left" vertical="center" wrapText="1" indent="1"/>
    </xf>
    <xf numFmtId="0" fontId="25"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8" fontId="24"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8" fontId="6" fillId="19" borderId="2" xfId="0" applyNumberFormat="1" applyFont="1" applyFill="1" applyBorder="1" applyAlignment="1">
      <alignment horizontal="center" vertical="center"/>
    </xf>
    <xf numFmtId="0" fontId="22"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0" fillId="7" borderId="0" xfId="0" quotePrefix="1" applyNumberFormat="1" applyFont="1" applyFill="1"/>
    <xf numFmtId="17" fontId="61" fillId="7" borderId="0" xfId="0" quotePrefix="1" applyNumberFormat="1" applyFont="1" applyFill="1"/>
    <xf numFmtId="0" fontId="61" fillId="7" borderId="0" xfId="0" applyFont="1" applyFill="1"/>
    <xf numFmtId="0" fontId="61" fillId="0" borderId="0" xfId="0" applyFont="1"/>
    <xf numFmtId="17" fontId="64" fillId="7" borderId="0" xfId="0" quotePrefix="1" applyNumberFormat="1" applyFont="1" applyFill="1"/>
    <xf numFmtId="0" fontId="65"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7" fontId="14" fillId="10" borderId="0" xfId="4" applyNumberFormat="1" applyFont="1" applyFill="1" applyAlignment="1">
      <alignment horizontal="center"/>
    </xf>
    <xf numFmtId="0" fontId="66" fillId="26" borderId="18" xfId="0" applyFont="1" applyFill="1" applyBorder="1" applyAlignment="1">
      <alignment horizontal="left" vertical="center" wrapText="1" indent="1" readingOrder="1"/>
    </xf>
    <xf numFmtId="0" fontId="67" fillId="27" borderId="18" xfId="0" applyFont="1" applyFill="1" applyBorder="1" applyAlignment="1">
      <alignment horizontal="left" vertical="center" wrapText="1" indent="1" readingOrder="1"/>
    </xf>
    <xf numFmtId="0" fontId="68" fillId="27" borderId="18" xfId="0" applyFont="1" applyFill="1" applyBorder="1" applyAlignment="1">
      <alignment horizontal="left" vertical="center" wrapText="1" indent="1" readingOrder="1"/>
    </xf>
    <xf numFmtId="0" fontId="67" fillId="28" borderId="18" xfId="0" applyFont="1" applyFill="1" applyBorder="1" applyAlignment="1">
      <alignment horizontal="left" vertical="center" wrapText="1" indent="1" readingOrder="1"/>
    </xf>
    <xf numFmtId="0" fontId="68" fillId="28" borderId="18" xfId="0" applyFont="1" applyFill="1" applyBorder="1" applyAlignment="1">
      <alignment horizontal="left" vertical="center" wrapText="1" indent="1" readingOrder="1"/>
    </xf>
    <xf numFmtId="188"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0" fillId="29" borderId="2" xfId="0" applyNumberFormat="1" applyFont="1" applyFill="1" applyBorder="1" applyAlignment="1">
      <alignment horizontal="left" vertical="center"/>
    </xf>
    <xf numFmtId="8" fontId="70" fillId="29" borderId="2" xfId="0" applyNumberFormat="1" applyFont="1" applyFill="1" applyBorder="1" applyAlignment="1">
      <alignment horizontal="center" vertical="center"/>
    </xf>
    <xf numFmtId="1" fontId="70" fillId="29" borderId="2" xfId="2" applyNumberFormat="1" applyFont="1" applyFill="1" applyBorder="1" applyAlignment="1">
      <alignment horizontal="center" vertical="center"/>
    </xf>
    <xf numFmtId="166" fontId="70" fillId="29" borderId="2" xfId="1" applyNumberFormat="1" applyFont="1" applyFill="1" applyBorder="1" applyAlignment="1">
      <alignment horizontal="center" vertical="center"/>
    </xf>
    <xf numFmtId="168" fontId="70" fillId="29" borderId="2" xfId="0" applyNumberFormat="1" applyFont="1" applyFill="1" applyBorder="1" applyAlignment="1">
      <alignment horizontal="center" vertical="center"/>
    </xf>
    <xf numFmtId="167" fontId="70"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32"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0" borderId="0" xfId="0" applyNumberFormat="1" applyFont="1" applyAlignment="1">
      <alignment horizontal="left" vertical="center" indent="2"/>
    </xf>
    <xf numFmtId="0" fontId="28" fillId="0" borderId="0" xfId="0" applyFont="1" applyAlignment="1">
      <alignment horizontal="center"/>
    </xf>
    <xf numFmtId="0" fontId="15" fillId="30" borderId="0" xfId="3" applyFont="1" applyFill="1" applyAlignment="1">
      <alignment vertical="center"/>
    </xf>
    <xf numFmtId="0" fontId="15" fillId="30" borderId="0" xfId="3" applyFont="1" applyFill="1" applyAlignment="1">
      <alignment vertical="center" wrapText="1"/>
    </xf>
    <xf numFmtId="169" fontId="15" fillId="30" borderId="0" xfId="3" applyNumberFormat="1" applyFont="1" applyFill="1" applyAlignment="1">
      <alignment horizontal="center" vertical="center" wrapText="1"/>
    </xf>
    <xf numFmtId="0" fontId="15" fillId="30" borderId="0" xfId="3" applyFont="1" applyFill="1" applyAlignment="1">
      <alignment horizontal="center" vertical="center" wrapText="1"/>
    </xf>
    <xf numFmtId="0" fontId="14" fillId="13" borderId="0" xfId="3" applyFont="1" applyFill="1"/>
    <xf numFmtId="14" fontId="14" fillId="13" borderId="0" xfId="3" applyNumberFormat="1" applyFont="1" applyFill="1"/>
    <xf numFmtId="169" fontId="14" fillId="13" borderId="0" xfId="3" applyNumberFormat="1" applyFont="1" applyFill="1" applyAlignment="1">
      <alignment horizontal="center"/>
    </xf>
    <xf numFmtId="8" fontId="14" fillId="13" borderId="0" xfId="4" applyNumberFormat="1" applyFont="1" applyFill="1" applyAlignment="1">
      <alignment horizontal="center"/>
    </xf>
    <xf numFmtId="6" fontId="14" fillId="13" borderId="0" xfId="4" applyNumberFormat="1" applyFont="1" applyFill="1" applyAlignment="1">
      <alignment horizontal="center"/>
    </xf>
    <xf numFmtId="0" fontId="14" fillId="13" borderId="0" xfId="3" applyFont="1" applyFill="1" applyAlignment="1">
      <alignment horizontal="center"/>
    </xf>
    <xf numFmtId="187" fontId="14" fillId="13" borderId="0" xfId="4" applyNumberFormat="1" applyFont="1" applyFill="1" applyAlignment="1">
      <alignment horizontal="center"/>
    </xf>
    <xf numFmtId="3" fontId="14" fillId="13" borderId="0" xfId="3" applyNumberFormat="1" applyFont="1" applyFill="1" applyAlignment="1">
      <alignment horizontal="center"/>
    </xf>
    <xf numFmtId="172" fontId="14" fillId="13" borderId="0" xfId="4" applyNumberFormat="1" applyFont="1" applyFill="1" applyAlignment="1">
      <alignment horizontal="center"/>
    </xf>
    <xf numFmtId="171" fontId="14" fillId="13" borderId="0" xfId="4" applyNumberFormat="1" applyFont="1" applyFill="1" applyAlignment="1">
      <alignment horizontal="center"/>
    </xf>
    <xf numFmtId="168" fontId="14" fillId="13" borderId="0" xfId="4" applyNumberFormat="1" applyFont="1" applyFill="1" applyAlignment="1">
      <alignment horizontal="center"/>
    </xf>
    <xf numFmtId="186" fontId="14" fillId="13" borderId="0" xfId="4" applyNumberFormat="1" applyFont="1" applyFill="1" applyAlignment="1">
      <alignment horizontal="center"/>
    </xf>
    <xf numFmtId="0" fontId="14" fillId="19" borderId="0" xfId="3" applyFont="1" applyFill="1"/>
    <xf numFmtId="14" fontId="14" fillId="19" borderId="0" xfId="3" applyNumberFormat="1" applyFont="1" applyFill="1"/>
    <xf numFmtId="169" fontId="14" fillId="19" borderId="0" xfId="3" applyNumberFormat="1" applyFont="1" applyFill="1" applyAlignment="1">
      <alignment horizontal="center"/>
    </xf>
    <xf numFmtId="8" fontId="14" fillId="19" borderId="0" xfId="4" applyNumberFormat="1" applyFont="1" applyFill="1" applyAlignment="1">
      <alignment horizontal="center"/>
    </xf>
    <xf numFmtId="6" fontId="14" fillId="19" borderId="0" xfId="4" applyNumberFormat="1" applyFont="1" applyFill="1" applyAlignment="1">
      <alignment horizontal="center"/>
    </xf>
    <xf numFmtId="0" fontId="14" fillId="19" borderId="0" xfId="3" applyFont="1" applyFill="1" applyAlignment="1">
      <alignment horizontal="center"/>
    </xf>
    <xf numFmtId="187" fontId="14" fillId="19" borderId="0" xfId="4" applyNumberFormat="1" applyFont="1" applyFill="1" applyAlignment="1">
      <alignment horizontal="center"/>
    </xf>
    <xf numFmtId="3" fontId="14" fillId="19" borderId="0" xfId="3" applyNumberFormat="1" applyFont="1" applyFill="1" applyAlignment="1">
      <alignment horizontal="center"/>
    </xf>
    <xf numFmtId="0" fontId="15" fillId="21" borderId="0" xfId="3" applyFont="1" applyFill="1" applyAlignment="1">
      <alignment vertical="center" wrapText="1"/>
    </xf>
    <xf numFmtId="169" fontId="15" fillId="21" borderId="0" xfId="3" applyNumberFormat="1" applyFont="1" applyFill="1" applyAlignment="1">
      <alignment horizontal="center" vertical="center" wrapText="1"/>
    </xf>
    <xf numFmtId="0" fontId="15" fillId="21" borderId="0" xfId="3" applyFont="1" applyFill="1" applyAlignment="1">
      <alignment horizontal="center" vertical="center" wrapText="1"/>
    </xf>
    <xf numFmtId="14" fontId="14" fillId="13" borderId="0" xfId="3" applyNumberFormat="1" applyFont="1" applyFill="1" applyAlignment="1">
      <alignment horizontal="center"/>
    </xf>
    <xf numFmtId="173" fontId="14" fillId="13" borderId="0" xfId="3" applyNumberFormat="1" applyFont="1" applyFill="1" applyAlignment="1">
      <alignment horizontal="center"/>
    </xf>
    <xf numFmtId="174" fontId="14" fillId="13" borderId="0" xfId="3" applyNumberFormat="1" applyFont="1" applyFill="1" applyAlignment="1">
      <alignment horizontal="center"/>
    </xf>
    <xf numFmtId="183" fontId="14" fillId="13" borderId="0" xfId="3" applyNumberFormat="1" applyFont="1" applyFill="1" applyAlignment="1">
      <alignment horizontal="center"/>
    </xf>
    <xf numFmtId="168" fontId="14" fillId="19" borderId="0" xfId="4" applyNumberFormat="1" applyFont="1" applyFill="1" applyAlignment="1">
      <alignment horizontal="center"/>
    </xf>
    <xf numFmtId="168" fontId="14"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2"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2"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5" fillId="9" borderId="0" xfId="0" applyFont="1" applyFill="1"/>
    <xf numFmtId="8" fontId="6" fillId="9" borderId="0" xfId="0" applyNumberFormat="1" applyFont="1" applyFill="1" applyAlignment="1">
      <alignment horizontal="left" vertical="center"/>
    </xf>
    <xf numFmtId="3" fontId="40" fillId="9" borderId="0" xfId="0" applyNumberFormat="1" applyFont="1" applyFill="1" applyAlignment="1">
      <alignment horizontal="center"/>
    </xf>
    <xf numFmtId="8" fontId="73" fillId="29" borderId="2" xfId="0" applyNumberFormat="1" applyFont="1" applyFill="1" applyBorder="1" applyAlignment="1">
      <alignment horizontal="left" vertical="center"/>
    </xf>
    <xf numFmtId="189" fontId="9" fillId="0" borderId="7" xfId="10" applyNumberFormat="1" applyFont="1" applyBorder="1" applyAlignment="1">
      <alignment horizontal="center" vertical="center"/>
    </xf>
    <xf numFmtId="0" fontId="11" fillId="32" borderId="0" xfId="0" applyFont="1" applyFill="1"/>
    <xf numFmtId="0" fontId="11" fillId="32" borderId="0" xfId="0" applyFont="1" applyFill="1" applyAlignment="1">
      <alignment horizontal="center"/>
    </xf>
    <xf numFmtId="8" fontId="55"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6"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5" fillId="0" borderId="0" xfId="0" applyFont="1" applyAlignment="1">
      <alignment horizontal="left" indent="1"/>
    </xf>
    <xf numFmtId="0" fontId="9" fillId="0" borderId="0" xfId="0" applyFont="1" applyAlignment="1">
      <alignment horizontal="left" indent="1"/>
    </xf>
    <xf numFmtId="190" fontId="9" fillId="0" borderId="0" xfId="0" applyNumberFormat="1" applyFont="1"/>
    <xf numFmtId="0" fontId="72" fillId="0" borderId="0" xfId="0" applyFont="1"/>
    <xf numFmtId="0" fontId="72" fillId="0" borderId="0" xfId="0" applyFont="1" applyAlignment="1">
      <alignment horizontal="center"/>
    </xf>
    <xf numFmtId="0" fontId="34" fillId="0" borderId="0" xfId="0" applyFont="1"/>
    <xf numFmtId="0" fontId="29" fillId="31" borderId="0" xfId="0" applyFont="1" applyFill="1"/>
    <xf numFmtId="0" fontId="9" fillId="31" borderId="0" xfId="0" applyFont="1" applyFill="1" applyAlignment="1">
      <alignment horizontal="center"/>
    </xf>
    <xf numFmtId="0" fontId="9" fillId="31" borderId="0" xfId="0" applyFont="1" applyFill="1"/>
    <xf numFmtId="0" fontId="25" fillId="31" borderId="0" xfId="0" applyFont="1" applyFill="1"/>
    <xf numFmtId="191" fontId="75" fillId="0" borderId="0" xfId="0" applyNumberFormat="1" applyFont="1" applyAlignment="1">
      <alignment horizontal="center" vertical="center"/>
    </xf>
    <xf numFmtId="0" fontId="28" fillId="0" borderId="0" xfId="0" applyFont="1" applyAlignment="1">
      <alignment horizontal="left"/>
    </xf>
    <xf numFmtId="0" fontId="72" fillId="29" borderId="0" xfId="0" applyFont="1" applyFill="1" applyAlignment="1">
      <alignment horizontal="center" vertical="center"/>
    </xf>
    <xf numFmtId="0" fontId="34" fillId="29" borderId="0" xfId="0" applyFont="1" applyFill="1" applyAlignment="1">
      <alignment horizontal="center" vertical="center"/>
    </xf>
    <xf numFmtId="0" fontId="9" fillId="0" borderId="0" xfId="0" applyFont="1" applyAlignment="1">
      <alignment vertical="center"/>
    </xf>
    <xf numFmtId="169" fontId="76" fillId="19" borderId="0" xfId="3" applyNumberFormat="1" applyFont="1" applyFill="1" applyAlignment="1">
      <alignment horizontal="center" vertical="center" wrapText="1"/>
    </xf>
    <xf numFmtId="0" fontId="9" fillId="12" borderId="0" xfId="0" applyFont="1" applyFill="1"/>
    <xf numFmtId="0" fontId="77" fillId="0" borderId="0" xfId="0" applyFont="1" applyAlignment="1">
      <alignment horizontal="center"/>
    </xf>
    <xf numFmtId="0" fontId="78" fillId="17" borderId="0" xfId="0" applyFont="1" applyFill="1"/>
    <xf numFmtId="0" fontId="78" fillId="0" borderId="0" xfId="0" applyFont="1"/>
    <xf numFmtId="0" fontId="77" fillId="29" borderId="0" xfId="0" applyFont="1" applyFill="1" applyAlignment="1">
      <alignment horizontal="center" vertical="center"/>
    </xf>
    <xf numFmtId="0" fontId="77" fillId="31" borderId="0" xfId="0" applyFont="1" applyFill="1" applyAlignment="1">
      <alignment horizontal="center"/>
    </xf>
    <xf numFmtId="0" fontId="77" fillId="0" borderId="3" xfId="0" applyFont="1" applyBorder="1" applyAlignment="1">
      <alignment horizontal="center"/>
    </xf>
    <xf numFmtId="0" fontId="77" fillId="0" borderId="0" xfId="0" applyFont="1" applyAlignment="1">
      <alignment horizontal="left"/>
    </xf>
    <xf numFmtId="0" fontId="79" fillId="0" borderId="4" xfId="0" applyFont="1" applyBorder="1" applyAlignment="1">
      <alignment horizontal="left"/>
    </xf>
    <xf numFmtId="0" fontId="77" fillId="0" borderId="3" xfId="0" applyFont="1" applyBorder="1" applyAlignment="1">
      <alignment horizontal="left"/>
    </xf>
    <xf numFmtId="0" fontId="77" fillId="0" borderId="0" xfId="0" applyFont="1"/>
    <xf numFmtId="0" fontId="79" fillId="0" borderId="4" xfId="0" applyFont="1" applyBorder="1"/>
    <xf numFmtId="0" fontId="80" fillId="0" borderId="0" xfId="0" applyFont="1" applyAlignment="1">
      <alignment horizontal="center"/>
    </xf>
    <xf numFmtId="15" fontId="11" fillId="9" borderId="8" xfId="0" applyNumberFormat="1" applyFont="1" applyFill="1" applyBorder="1" applyAlignment="1">
      <alignment horizontal="center"/>
    </xf>
    <xf numFmtId="0" fontId="30" fillId="0" borderId="0" xfId="14" applyFont="1" applyAlignment="1">
      <alignment vertical="top" wrapText="1"/>
    </xf>
    <xf numFmtId="0" fontId="82"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0" fillId="34" borderId="26" xfId="14" applyFont="1" applyFill="1" applyBorder="1" applyAlignment="1">
      <alignment vertical="top" wrapText="1"/>
    </xf>
    <xf numFmtId="0" fontId="30" fillId="34" borderId="24" xfId="14" applyFont="1" applyFill="1" applyBorder="1" applyAlignment="1">
      <alignment vertical="top" wrapText="1"/>
    </xf>
    <xf numFmtId="0" fontId="30" fillId="34" borderId="22" xfId="14" applyFont="1" applyFill="1" applyBorder="1" applyAlignment="1">
      <alignment vertical="top" wrapText="1"/>
    </xf>
    <xf numFmtId="0" fontId="82" fillId="35" borderId="0" xfId="14" applyFont="1" applyFill="1" applyAlignment="1">
      <alignment horizontal="left" vertical="top"/>
    </xf>
    <xf numFmtId="0" fontId="84" fillId="0" borderId="24" xfId="14" applyFont="1" applyBorder="1" applyAlignment="1">
      <alignment vertical="top" wrapText="1"/>
    </xf>
    <xf numFmtId="0" fontId="30" fillId="0" borderId="0" xfId="14" applyFont="1" applyAlignment="1">
      <alignment horizontal="left" vertical="top" wrapText="1"/>
    </xf>
    <xf numFmtId="4" fontId="30" fillId="0" borderId="0" xfId="14" applyNumberFormat="1" applyFont="1" applyAlignment="1">
      <alignment vertical="top" wrapText="1"/>
    </xf>
    <xf numFmtId="0" fontId="84" fillId="34" borderId="26" xfId="14" applyFont="1" applyFill="1" applyBorder="1" applyAlignment="1">
      <alignment vertical="top" wrapText="1"/>
    </xf>
    <xf numFmtId="0" fontId="10" fillId="34" borderId="25" xfId="14" applyFont="1" applyFill="1" applyBorder="1" applyAlignment="1">
      <alignment vertical="top" wrapText="1"/>
    </xf>
    <xf numFmtId="192"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192" fontId="10" fillId="34" borderId="23" xfId="14" applyNumberFormat="1" applyFont="1" applyFill="1" applyBorder="1" applyAlignment="1">
      <alignment vertical="top" wrapText="1"/>
    </xf>
    <xf numFmtId="10"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wrapText="1"/>
    </xf>
    <xf numFmtId="0" fontId="10" fillId="34" borderId="22" xfId="14" applyFont="1" applyFill="1" applyBorder="1" applyAlignment="1">
      <alignment vertical="top" wrapText="1"/>
    </xf>
    <xf numFmtId="0" fontId="10" fillId="34" borderId="21" xfId="14" applyFont="1" applyFill="1" applyBorder="1" applyAlignment="1">
      <alignment horizontal="right" vertical="top" wrapText="1"/>
    </xf>
    <xf numFmtId="0" fontId="84" fillId="33" borderId="26" xfId="14" applyFont="1" applyFill="1" applyBorder="1" applyAlignment="1">
      <alignment vertical="top" wrapText="1"/>
    </xf>
    <xf numFmtId="0" fontId="10" fillId="33" borderId="25" xfId="14" applyFont="1" applyFill="1" applyBorder="1" applyAlignment="1">
      <alignment vertical="top" wrapText="1"/>
    </xf>
    <xf numFmtId="0" fontId="10" fillId="33" borderId="24" xfId="14" applyFont="1" applyFill="1" applyBorder="1" applyAlignment="1">
      <alignment vertical="top" wrapText="1"/>
    </xf>
    <xf numFmtId="3" fontId="10" fillId="33" borderId="23" xfId="14" applyNumberFormat="1" applyFont="1" applyFill="1" applyBorder="1" applyAlignment="1">
      <alignment vertical="top" wrapText="1"/>
    </xf>
    <xf numFmtId="3" fontId="10" fillId="33" borderId="23" xfId="14" applyNumberFormat="1" applyFont="1" applyFill="1" applyBorder="1" applyAlignment="1">
      <alignment horizontal="right" vertical="top" wrapText="1"/>
    </xf>
    <xf numFmtId="0" fontId="10" fillId="33" borderId="23" xfId="14" applyFont="1" applyFill="1" applyBorder="1" applyAlignment="1">
      <alignment horizontal="right" vertical="top"/>
    </xf>
    <xf numFmtId="0" fontId="10" fillId="33" borderId="22" xfId="14" applyFont="1" applyFill="1" applyBorder="1" applyAlignment="1">
      <alignment vertical="top" wrapText="1"/>
    </xf>
    <xf numFmtId="0" fontId="10" fillId="33"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3" fontId="10" fillId="0" borderId="0" xfId="14" applyNumberFormat="1" applyFont="1" applyAlignment="1">
      <alignment vertical="top" wrapText="1"/>
    </xf>
    <xf numFmtId="0" fontId="11" fillId="6" borderId="7" xfId="0" applyFont="1" applyFill="1" applyBorder="1" applyAlignment="1">
      <alignment horizontal="left"/>
    </xf>
    <xf numFmtId="0" fontId="54" fillId="36" borderId="0" xfId="0" applyFont="1" applyFill="1"/>
    <xf numFmtId="0" fontId="60" fillId="36" borderId="0" xfId="0" applyFont="1" applyFill="1"/>
    <xf numFmtId="4" fontId="11" fillId="0" borderId="0" xfId="0" applyNumberFormat="1" applyFont="1"/>
    <xf numFmtId="4" fontId="9" fillId="12" borderId="0" xfId="0" applyNumberFormat="1" applyFont="1" applyFill="1" applyAlignment="1">
      <alignment horizontal="center"/>
    </xf>
    <xf numFmtId="4" fontId="17" fillId="0" borderId="0" xfId="0" applyNumberFormat="1" applyFont="1" applyAlignment="1">
      <alignment horizontal="right" vertical="center" wrapText="1"/>
    </xf>
    <xf numFmtId="4" fontId="17" fillId="0" borderId="0" xfId="0" applyNumberFormat="1" applyFont="1" applyAlignment="1">
      <alignment horizontal="center" vertical="center" wrapText="1"/>
    </xf>
    <xf numFmtId="0" fontId="85" fillId="0" borderId="0" xfId="0" applyFont="1"/>
    <xf numFmtId="0" fontId="85" fillId="0" borderId="0" xfId="0" applyFont="1" applyAlignment="1">
      <alignment horizontal="center"/>
    </xf>
    <xf numFmtId="194" fontId="85" fillId="0" borderId="0" xfId="0" applyNumberFormat="1" applyFont="1" applyAlignment="1">
      <alignment horizontal="center"/>
    </xf>
    <xf numFmtId="15" fontId="11" fillId="17" borderId="0" xfId="0" applyNumberFormat="1" applyFont="1" applyFill="1"/>
    <xf numFmtId="1" fontId="51" fillId="0" borderId="11" xfId="0" applyNumberFormat="1" applyFont="1" applyBorder="1" applyAlignment="1">
      <alignment horizontal="center"/>
    </xf>
    <xf numFmtId="168" fontId="51" fillId="0" borderId="11" xfId="0" applyNumberFormat="1" applyFont="1" applyBorder="1" applyAlignment="1">
      <alignment horizontal="center"/>
    </xf>
    <xf numFmtId="175" fontId="51" fillId="8" borderId="11" xfId="0" applyNumberFormat="1" applyFont="1" applyFill="1" applyBorder="1" applyAlignment="1">
      <alignment horizontal="center" vertical="center"/>
    </xf>
    <xf numFmtId="175" fontId="51" fillId="0" borderId="11" xfId="0" applyNumberFormat="1" applyFont="1" applyBorder="1" applyAlignment="1">
      <alignment horizontal="center" vertical="center"/>
    </xf>
    <xf numFmtId="0" fontId="54" fillId="0" borderId="0" xfId="0" applyFont="1"/>
    <xf numFmtId="0" fontId="60" fillId="0" borderId="0" xfId="0" applyFont="1"/>
    <xf numFmtId="0" fontId="22" fillId="0" borderId="0" xfId="0" applyFont="1"/>
    <xf numFmtId="0" fontId="22" fillId="0" borderId="0" xfId="0" applyFont="1" applyAlignment="1">
      <alignment horizontal="center"/>
    </xf>
    <xf numFmtId="195"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2" fillId="0" borderId="0" xfId="11" applyNumberFormat="1" applyFont="1" applyFill="1" applyBorder="1" applyAlignment="1">
      <alignment horizontal="center" vertical="center"/>
    </xf>
    <xf numFmtId="181" fontId="52"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6" borderId="2" xfId="0" applyNumberFormat="1" applyFont="1" applyFill="1" applyBorder="1" applyAlignment="1">
      <alignment horizontal="center" vertical="center" wrapText="1"/>
    </xf>
    <xf numFmtId="167" fontId="2" fillId="36"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2" fillId="0" borderId="2" xfId="0" applyNumberFormat="1" applyFont="1" applyBorder="1" applyAlignment="1">
      <alignment horizontal="left" vertical="center"/>
    </xf>
    <xf numFmtId="0" fontId="9" fillId="0" borderId="0" xfId="0" quotePrefix="1" applyFont="1" applyAlignment="1">
      <alignment horizontal="left"/>
    </xf>
    <xf numFmtId="43" fontId="25" fillId="0" borderId="8" xfId="0" applyNumberFormat="1" applyFont="1" applyBorder="1" applyAlignment="1">
      <alignment horizontal="center"/>
    </xf>
    <xf numFmtId="168" fontId="6" fillId="18" borderId="2" xfId="0" applyNumberFormat="1" applyFont="1" applyFill="1" applyBorder="1" applyAlignment="1">
      <alignment horizontal="center" vertical="center"/>
    </xf>
    <xf numFmtId="0" fontId="14" fillId="23" borderId="0" xfId="3" applyFont="1" applyFill="1"/>
    <xf numFmtId="14" fontId="14" fillId="23" borderId="0" xfId="3" applyNumberFormat="1" applyFont="1" applyFill="1"/>
    <xf numFmtId="169" fontId="14" fillId="23" borderId="0" xfId="3" applyNumberFormat="1" applyFont="1" applyFill="1" applyAlignment="1">
      <alignment horizontal="center"/>
    </xf>
    <xf numFmtId="8" fontId="14" fillId="23" borderId="0" xfId="4" applyNumberFormat="1" applyFont="1" applyFill="1" applyAlignment="1">
      <alignment horizontal="center"/>
    </xf>
    <xf numFmtId="6" fontId="14" fillId="23" borderId="0" xfId="4" applyNumberFormat="1" applyFont="1" applyFill="1" applyAlignment="1">
      <alignment horizontal="center"/>
    </xf>
    <xf numFmtId="0" fontId="14" fillId="23" borderId="0" xfId="3" applyFont="1" applyFill="1" applyAlignment="1">
      <alignment horizontal="center"/>
    </xf>
    <xf numFmtId="187" fontId="14" fillId="23" borderId="0" xfId="4" applyNumberFormat="1" applyFont="1" applyFill="1" applyAlignment="1">
      <alignment horizontal="center"/>
    </xf>
    <xf numFmtId="3" fontId="14" fillId="23" borderId="0" xfId="3" applyNumberFormat="1" applyFont="1" applyFill="1" applyAlignment="1">
      <alignment horizontal="center"/>
    </xf>
    <xf numFmtId="0" fontId="70" fillId="37" borderId="0" xfId="0" applyFont="1" applyFill="1" applyAlignment="1">
      <alignment horizontal="center"/>
    </xf>
    <xf numFmtId="0" fontId="2" fillId="37" borderId="0" xfId="0" applyFont="1" applyFill="1" applyAlignment="1">
      <alignment horizontal="left"/>
    </xf>
    <xf numFmtId="0" fontId="70" fillId="37" borderId="0" xfId="0" applyFont="1" applyFill="1"/>
    <xf numFmtId="188" fontId="7" fillId="0" borderId="2" xfId="1" applyNumberFormat="1" applyFont="1" applyBorder="1" applyAlignment="1">
      <alignment horizontal="center" vertical="center"/>
    </xf>
    <xf numFmtId="0" fontId="2" fillId="37" borderId="0" xfId="0" quotePrefix="1" applyFont="1" applyFill="1" applyAlignment="1">
      <alignment horizontal="left"/>
    </xf>
    <xf numFmtId="0" fontId="22" fillId="38" borderId="0" xfId="0" applyFont="1" applyFill="1" applyAlignment="1">
      <alignment horizontal="center"/>
    </xf>
    <xf numFmtId="0" fontId="22" fillId="38" borderId="0" xfId="0" applyFont="1" applyFill="1"/>
    <xf numFmtId="168" fontId="22" fillId="0" borderId="0" xfId="0" applyNumberFormat="1" applyFont="1" applyAlignment="1">
      <alignment horizontal="center"/>
    </xf>
    <xf numFmtId="0" fontId="70" fillId="0" borderId="0" xfId="0" applyFont="1"/>
    <xf numFmtId="167" fontId="2" fillId="0" borderId="0" xfId="0" applyNumberFormat="1" applyFont="1" applyAlignment="1">
      <alignment horizontal="center" vertical="center" wrapText="1"/>
    </xf>
    <xf numFmtId="4" fontId="9" fillId="0" borderId="4" xfId="0" applyNumberFormat="1" applyFont="1" applyBorder="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8" fontId="7" fillId="0" borderId="2" xfId="0" applyNumberFormat="1" applyFont="1" applyBorder="1" applyAlignment="1">
      <alignment horizontal="center" vertical="center"/>
    </xf>
    <xf numFmtId="196" fontId="22" fillId="0" borderId="0" xfId="0" applyNumberFormat="1" applyFont="1"/>
    <xf numFmtId="8" fontId="22" fillId="0" borderId="0" xfId="0" applyNumberFormat="1" applyFont="1"/>
    <xf numFmtId="8" fontId="9" fillId="0" borderId="0" xfId="0" applyNumberFormat="1" applyFont="1" applyAlignment="1">
      <alignment horizontal="center"/>
    </xf>
    <xf numFmtId="0" fontId="86" fillId="0" borderId="0" xfId="0" applyFont="1" applyAlignment="1">
      <alignment horizontal="center"/>
    </xf>
    <xf numFmtId="10" fontId="22" fillId="0" borderId="2" xfId="1" applyNumberFormat="1" applyFont="1" applyFill="1" applyBorder="1" applyAlignment="1">
      <alignment horizontal="center" vertical="center"/>
    </xf>
    <xf numFmtId="4" fontId="7" fillId="0" borderId="2" xfId="0" applyNumberFormat="1" applyFont="1" applyBorder="1" applyAlignment="1">
      <alignment horizontal="center" vertical="center"/>
    </xf>
    <xf numFmtId="8" fontId="14" fillId="0" borderId="0" xfId="0" applyNumberFormat="1" applyFont="1"/>
    <xf numFmtId="169" fontId="16" fillId="19" borderId="0" xfId="3" applyNumberFormat="1" applyFont="1" applyFill="1" applyAlignment="1">
      <alignment horizontal="center"/>
    </xf>
    <xf numFmtId="9" fontId="11" fillId="0" borderId="0" xfId="0" applyNumberFormat="1" applyFont="1"/>
    <xf numFmtId="3" fontId="22" fillId="0" borderId="0" xfId="0" applyNumberFormat="1" applyFont="1"/>
    <xf numFmtId="168" fontId="16" fillId="0" borderId="11" xfId="0" applyNumberFormat="1" applyFont="1" applyBorder="1" applyAlignment="1">
      <alignment horizontal="center"/>
    </xf>
    <xf numFmtId="8" fontId="9" fillId="0" borderId="0" xfId="0" applyNumberFormat="1" applyFont="1"/>
    <xf numFmtId="169" fontId="14" fillId="31" borderId="0" xfId="3" applyNumberFormat="1" applyFont="1" applyFill="1" applyAlignment="1">
      <alignment horizontal="center"/>
    </xf>
    <xf numFmtId="8" fontId="14" fillId="31" borderId="0" xfId="4" applyNumberFormat="1" applyFont="1" applyFill="1" applyAlignment="1">
      <alignment horizontal="center"/>
    </xf>
    <xf numFmtId="168" fontId="87" fillId="29" borderId="0" xfId="0" applyNumberFormat="1" applyFont="1" applyFill="1" applyAlignment="1">
      <alignment horizontal="center" vertical="center"/>
    </xf>
    <xf numFmtId="6" fontId="9" fillId="0" borderId="0" xfId="0" applyNumberFormat="1" applyFont="1" applyAlignment="1">
      <alignment horizontal="center"/>
    </xf>
    <xf numFmtId="193" fontId="30" fillId="0" borderId="0" xfId="14" applyNumberFormat="1" applyFont="1" applyAlignment="1">
      <alignment vertical="top" wrapText="1"/>
    </xf>
    <xf numFmtId="4" fontId="30" fillId="0" borderId="0" xfId="14" applyNumberFormat="1" applyFont="1" applyAlignment="1">
      <alignment horizontal="right" vertical="top" wrapText="1"/>
    </xf>
    <xf numFmtId="4" fontId="82" fillId="0" borderId="0" xfId="14" applyNumberFormat="1" applyFont="1"/>
    <xf numFmtId="0" fontId="11" fillId="0" borderId="0" xfId="0" applyFont="1" applyAlignment="1">
      <alignment horizontal="center" vertical="center"/>
    </xf>
    <xf numFmtId="0" fontId="42" fillId="0" borderId="0" xfId="0" applyFont="1" applyAlignment="1">
      <alignment horizontal="center"/>
    </xf>
    <xf numFmtId="8" fontId="73" fillId="29" borderId="2" xfId="0" applyNumberFormat="1" applyFont="1" applyFill="1" applyBorder="1" applyAlignment="1">
      <alignment horizontal="center" vertical="center"/>
    </xf>
    <xf numFmtId="0" fontId="42" fillId="0" borderId="4" xfId="0" applyFont="1" applyBorder="1" applyAlignment="1">
      <alignment horizontal="center"/>
    </xf>
    <xf numFmtId="0" fontId="25" fillId="9" borderId="0" xfId="0" applyFont="1" applyFill="1" applyAlignment="1">
      <alignment horizontal="center"/>
    </xf>
    <xf numFmtId="8" fontId="7" fillId="31" borderId="2" xfId="0" applyNumberFormat="1" applyFont="1" applyFill="1" applyBorder="1" applyAlignment="1">
      <alignment horizontal="left" vertical="center"/>
    </xf>
    <xf numFmtId="8" fontId="6" fillId="31" borderId="2" xfId="0" applyNumberFormat="1" applyFont="1" applyFill="1" applyBorder="1" applyAlignment="1">
      <alignment horizontal="center" vertical="center"/>
    </xf>
    <xf numFmtId="8" fontId="7" fillId="31" borderId="20" xfId="0" applyNumberFormat="1" applyFont="1" applyFill="1" applyBorder="1" applyAlignment="1">
      <alignment horizontal="center" vertical="center"/>
    </xf>
    <xf numFmtId="3" fontId="6" fillId="31" borderId="2" xfId="0" applyNumberFormat="1" applyFont="1" applyFill="1" applyBorder="1" applyAlignment="1">
      <alignment horizontal="center" vertical="center"/>
    </xf>
    <xf numFmtId="8" fontId="7" fillId="31" borderId="2" xfId="0" applyNumberFormat="1" applyFont="1" applyFill="1" applyBorder="1" applyAlignment="1">
      <alignment horizontal="center" vertical="center"/>
    </xf>
    <xf numFmtId="8" fontId="7" fillId="31" borderId="2" xfId="0" applyNumberFormat="1" applyFont="1" applyFill="1" applyBorder="1" applyAlignment="1">
      <alignment horizontal="left" vertical="center" indent="1"/>
    </xf>
    <xf numFmtId="15" fontId="11" fillId="17" borderId="13" xfId="0" applyNumberFormat="1" applyFont="1" applyFill="1" applyBorder="1" applyAlignment="1">
      <alignment horizontal="left"/>
    </xf>
    <xf numFmtId="0" fontId="14" fillId="39" borderId="0" xfId="3" applyFont="1" applyFill="1"/>
    <xf numFmtId="14" fontId="14" fillId="39" borderId="0" xfId="3" applyNumberFormat="1" applyFont="1" applyFill="1"/>
    <xf numFmtId="169" fontId="14" fillId="39" borderId="0" xfId="3" applyNumberFormat="1" applyFont="1" applyFill="1" applyAlignment="1">
      <alignment horizontal="center"/>
    </xf>
    <xf numFmtId="8" fontId="14" fillId="39" borderId="0" xfId="4" applyNumberFormat="1" applyFont="1" applyFill="1" applyAlignment="1">
      <alignment horizontal="center"/>
    </xf>
    <xf numFmtId="6" fontId="14" fillId="39" borderId="0" xfId="4" applyNumberFormat="1" applyFont="1" applyFill="1" applyAlignment="1">
      <alignment horizontal="center"/>
    </xf>
    <xf numFmtId="0" fontId="14" fillId="39" borderId="0" xfId="3" applyFont="1" applyFill="1" applyAlignment="1">
      <alignment horizontal="center"/>
    </xf>
    <xf numFmtId="187" fontId="14" fillId="39" borderId="0" xfId="4" applyNumberFormat="1" applyFont="1" applyFill="1" applyAlignment="1">
      <alignment horizontal="center"/>
    </xf>
    <xf numFmtId="3" fontId="14" fillId="39" borderId="0" xfId="3" applyNumberFormat="1" applyFont="1" applyFill="1" applyAlignment="1">
      <alignment horizontal="center"/>
    </xf>
    <xf numFmtId="0" fontId="14" fillId="39" borderId="0" xfId="0" applyFont="1" applyFill="1" applyAlignment="1">
      <alignment horizontal="center"/>
    </xf>
    <xf numFmtId="0" fontId="14" fillId="39" borderId="0" xfId="0" applyFont="1" applyFill="1"/>
    <xf numFmtId="186" fontId="14" fillId="39" borderId="0" xfId="0" applyNumberFormat="1" applyFont="1" applyFill="1" applyAlignment="1">
      <alignment horizontal="center"/>
    </xf>
    <xf numFmtId="169" fontId="16" fillId="13" borderId="0" xfId="3" applyNumberFormat="1" applyFont="1" applyFill="1" applyAlignment="1">
      <alignment horizontal="center"/>
    </xf>
    <xf numFmtId="8" fontId="16" fillId="13" borderId="0" xfId="4" applyNumberFormat="1" applyFont="1" applyFill="1" applyAlignment="1">
      <alignment horizontal="center"/>
    </xf>
    <xf numFmtId="6" fontId="16" fillId="13" borderId="0" xfId="4" applyNumberFormat="1" applyFont="1" applyFill="1" applyAlignment="1">
      <alignment horizontal="center"/>
    </xf>
    <xf numFmtId="0" fontId="16" fillId="13" borderId="0" xfId="3" applyFont="1" applyFill="1" applyAlignment="1">
      <alignment horizontal="center"/>
    </xf>
    <xf numFmtId="187" fontId="16" fillId="13" borderId="0" xfId="4" applyNumberFormat="1" applyFont="1" applyFill="1" applyAlignment="1">
      <alignment horizontal="center"/>
    </xf>
    <xf numFmtId="3" fontId="16" fillId="13" borderId="0" xfId="3" applyNumberFormat="1" applyFont="1" applyFill="1" applyAlignment="1">
      <alignment horizontal="center"/>
    </xf>
    <xf numFmtId="8" fontId="7" fillId="24" borderId="2" xfId="0" applyNumberFormat="1" applyFont="1" applyFill="1" applyBorder="1" applyAlignment="1">
      <alignment horizontal="left" vertical="center"/>
    </xf>
    <xf numFmtId="8" fontId="6" fillId="24" borderId="2" xfId="0" applyNumberFormat="1" applyFont="1" applyFill="1" applyBorder="1" applyAlignment="1">
      <alignment horizontal="center" vertical="center"/>
    </xf>
    <xf numFmtId="8" fontId="7" fillId="24" borderId="20" xfId="0" applyNumberFormat="1" applyFont="1" applyFill="1" applyBorder="1" applyAlignment="1">
      <alignment horizontal="center" vertical="center"/>
    </xf>
    <xf numFmtId="3" fontId="6" fillId="24" borderId="2" xfId="0" applyNumberFormat="1" applyFont="1" applyFill="1" applyBorder="1" applyAlignment="1">
      <alignment horizontal="center" vertical="center"/>
    </xf>
    <xf numFmtId="8" fontId="7" fillId="24" borderId="2" xfId="0" applyNumberFormat="1" applyFont="1" applyFill="1" applyBorder="1" applyAlignment="1">
      <alignment horizontal="center" vertical="center"/>
    </xf>
    <xf numFmtId="8" fontId="7" fillId="24" borderId="2" xfId="0" applyNumberFormat="1" applyFont="1" applyFill="1" applyBorder="1" applyAlignment="1">
      <alignment horizontal="left" vertical="center" indent="1"/>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43" fontId="25" fillId="0" borderId="10" xfId="0" applyNumberFormat="1" applyFont="1" applyBorder="1" applyAlignment="1">
      <alignment horizontal="center"/>
    </xf>
    <xf numFmtId="0" fontId="22" fillId="19" borderId="0" xfId="0" applyFont="1" applyFill="1" applyAlignment="1">
      <alignment horizontal="left" vertical="center" wrapText="1"/>
    </xf>
    <xf numFmtId="0" fontId="22" fillId="0" borderId="0" xfId="0" applyFont="1" applyAlignment="1">
      <alignment horizontal="left" vertical="center" wrapText="1"/>
    </xf>
    <xf numFmtId="0" fontId="30" fillId="0" borderId="0" xfId="14" applyFont="1" applyAlignment="1">
      <alignment vertical="top" wrapText="1"/>
    </xf>
    <xf numFmtId="0" fontId="82" fillId="0" borderId="0" xfId="14" applyFont="1"/>
    <xf numFmtId="0" fontId="10" fillId="34" borderId="28" xfId="14" applyFont="1" applyFill="1" applyBorder="1" applyAlignment="1">
      <alignment vertical="top" wrapText="1"/>
    </xf>
    <xf numFmtId="0" fontId="83" fillId="0" borderId="28" xfId="14" applyFont="1" applyBorder="1"/>
    <xf numFmtId="0" fontId="83" fillId="0" borderId="25" xfId="14" applyFont="1" applyBorder="1"/>
    <xf numFmtId="0" fontId="10" fillId="34" borderId="0" xfId="14" applyFont="1" applyFill="1" applyAlignment="1">
      <alignment horizontal="left" vertical="top" wrapText="1"/>
    </xf>
    <xf numFmtId="0" fontId="83" fillId="0" borderId="23" xfId="14" applyFont="1" applyBorder="1"/>
    <xf numFmtId="0" fontId="10" fillId="34" borderId="27" xfId="14" applyFont="1" applyFill="1" applyBorder="1" applyAlignment="1">
      <alignment vertical="top" wrapText="1"/>
    </xf>
    <xf numFmtId="0" fontId="83" fillId="0" borderId="27" xfId="14" applyFont="1" applyBorder="1"/>
    <xf numFmtId="0" fontId="83"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3">
    <dxf>
      <fill>
        <patternFill patternType="solid">
          <fgColor rgb="FFD9EAD3"/>
          <bgColor rgb="FFD9EAD3"/>
        </patternFill>
      </fill>
    </dxf>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8">
  <a r="1">
    <v t="i">0</v>
  </a>
  <a r="1">
    <v>16.72</v>
  </a>
  <a r="1">
    <v>184.24</v>
  </a>
  <a r="1">
    <v>32</v>
  </a>
  <a r="1">
    <v>1.1616</v>
  </a>
  <a r="1">
    <v>-99999901</v>
  </a>
  <a r="1">
    <v>1.3547</v>
  </a>
  <a r="1">
    <v>6.7196999999999996</v>
  </a>
</arrayData>
</file>

<file path=xl/richData/rdrichvalue.xml><?xml version="1.0" encoding="utf-8"?>
<rvData xmlns="http://schemas.microsoft.com/office/spreadsheetml/2017/richdata" count="16">
  <rv s="0">
    <fb>46265</fb>
    <v>0</v>
  </rv>
  <rv s="0">
    <fb>16.72</fb>
    <v>1</v>
  </rv>
  <rv s="0">
    <fb>32</fb>
    <v>1</v>
  </rv>
  <rv s="0">
    <fb>184.24</fb>
    <v>1</v>
  </rv>
  <rv s="1">
    <fb t="e">#N/A</fb>
    <v>6</v>
    <v>4</v>
  </rv>
  <rv s="0">
    <fb>1.3547</fb>
    <v>1</v>
  </rv>
  <rv s="0">
    <fb>1.3480000000000001</fb>
    <v>1</v>
  </rv>
  <rv s="0">
    <fb>6.7196999999999996</fb>
    <v>2</v>
  </rv>
  <rv s="0">
    <fb>1.1616</fb>
    <v>1</v>
  </rv>
  <rv s="2">
    <v>3</v>
    <v>ONT</v>
    <v>Daily</v>
    <v>46265</v>
    <v>46265</v>
    <v>0</v>
    <v>1</v>
    <v>639237312000000000,639239260398196415,0</v>
    <v>0</v>
    <v>bv2xh7</v>
    <v>XNYS:ONT</v>
    <v>1</v>
  </rv>
  <rv s="2">
    <v>3</v>
    <v>CBRS</v>
    <v>Daily</v>
    <v>46265</v>
    <v>46265</v>
    <v>0</v>
    <v>1</v>
    <v>639237312000000000,639239260399694347,0</v>
    <v>0</v>
    <v>d8rq9c</v>
    <v>XNAS:CBRS</v>
    <v>2</v>
  </rv>
  <rv s="2">
    <v>3</v>
    <v>VTVT</v>
    <v>Daily</v>
    <v>46265</v>
    <v>46265</v>
    <v>0</v>
    <v>1</v>
    <v>639237312000000000,639239260398572155,0</v>
    <v>0</v>
    <v>a25mcw</v>
    <v>XNAS:VTVT</v>
    <v>3</v>
  </rv>
  <rv s="2">
    <v>3</v>
    <v>EURUSD</v>
    <v>Daily</v>
    <v>46265</v>
    <v>46265</v>
    <v>0</v>
    <v>1</v>
    <v>639237312000000000,639239260398947396,0</v>
    <v>0</v>
    <v>av932w</v>
    <v>EURUSD</v>
    <v>4</v>
  </rv>
  <rv s="2">
    <v>3</v>
    <v>VRSSF</v>
    <v>Daily</v>
    <v>46265</v>
    <v>46265</v>
    <v>0</v>
    <v>1</v>
    <v>639237312000000000,639239260399321061,0</v>
    <v>0</v>
    <v>c71c3m</v>
    <v>OTCM:VRSSF</v>
    <v>5</v>
  </rv>
  <rv s="2">
    <v>3</v>
    <v>GBPUSD</v>
    <v>Daily</v>
    <v>46265</v>
    <v>46265</v>
    <v>0</v>
    <v>1</v>
    <v>639237312000000000,639239260400073925,0</v>
    <v>0</v>
    <v>avyjhw</v>
    <v>GBPUSD</v>
    <v>6</v>
  </rv>
  <rv s="2">
    <v>4</v>
    <v>USDCNY</v>
    <v>Daily</v>
    <v>46265</v>
    <v>46265</v>
    <v>0</v>
    <v>1</v>
    <v>639237312000000000,639239260400453130,0</v>
    <v>0</v>
    <v>avym77</v>
    <v>USDCNY</v>
    <v>7</v>
  </rv>
</rvData>
</file>

<file path=xl/richData/rdrichvaluestructure.xml><?xml version="1.0" encoding="utf-8"?>
<rvStructures xmlns="http://schemas.microsoft.com/office/spreadsheetml/2017/richdata" count="3">
  <s t="_formattednumber">
    <k n="_Format" t="spb"/>
  </s>
  <s t="_error">
    <k n="errorType" t="i"/>
    <k n="subType" t="i"/>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5">
    <spb s="0">
      <v>1</v>
    </spb>
    <spb s="0">
      <v>2</v>
    </spb>
    <spb s="0">
      <v>3</v>
    </spb>
    <spb s="1">
      <v>1</v>
      <v>2</v>
    </spb>
    <spb s="1">
      <v>1</v>
      <v>3</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0" formatCode="General"/>
    </x:dxf>
    <x:dxf>
      <x:numFmt numFmtId="19" formatCode="m/d/yyyy"/>
    </x:dxf>
  </dxfs>
  <richProperties>
    <rPr n="NumberFormat" t="s"/>
  </richProperties>
  <richStyles>
    <rSty dxfid="1"/>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sec.gov/Archives/edgar/data/1879001/000149315226014453/0001493152-26-014453-index.htm" TargetMode="External"/><Relationship Id="rId1" Type="http://schemas.openxmlformats.org/officeDocument/2006/relationships/hyperlink" Target="https://ir.vtvtherapeutics.com/static-files/2123593c-d51e-4c21-9cb5-4d84bdd79c80"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topLeftCell="A3" zoomScaleNormal="100" zoomScaleSheetLayoutView="115" workbookViewId="0">
      <selection activeCell="F16" sqref="F16"/>
    </sheetView>
  </sheetViews>
  <sheetFormatPr defaultColWidth="9.140625" defaultRowHeight="15" x14ac:dyDescent="0.25"/>
  <cols>
    <col min="1" max="1" width="9.140625" style="25"/>
    <col min="2" max="2" width="5.28515625" style="25" customWidth="1"/>
    <col min="3" max="3" width="17" style="26" customWidth="1"/>
    <col min="4" max="4" width="17.28515625" style="421"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0" t="s">
        <v>154</v>
      </c>
      <c r="C2" s="422"/>
      <c r="D2" s="200">
        <v>46265</v>
      </c>
      <c r="E2" s="345" t="str">
        <f>TEXT(D2,"dddddd")</f>
        <v>Monday</v>
      </c>
      <c r="H2" s="25"/>
      <c r="I2" s="25"/>
      <c r="J2" s="25"/>
      <c r="K2" s="25"/>
      <c r="L2" s="25"/>
      <c r="M2" s="124"/>
      <c r="N2" s="25"/>
      <c r="O2" s="25"/>
    </row>
    <row r="3" spans="2:15" s="44" customFormat="1" x14ac:dyDescent="0.25">
      <c r="C3" s="43"/>
      <c r="D3" s="423"/>
      <c r="E3" s="115"/>
      <c r="F3" s="345"/>
      <c r="H3" s="25"/>
      <c r="I3" s="25"/>
      <c r="J3" s="25"/>
      <c r="K3" s="25"/>
      <c r="L3" s="25"/>
      <c r="M3" s="25"/>
      <c r="N3" s="25"/>
      <c r="O3" s="25"/>
    </row>
    <row r="4" spans="2:15" s="418" customFormat="1" ht="27" customHeight="1" x14ac:dyDescent="0.25">
      <c r="B4" s="416"/>
      <c r="C4" s="416"/>
      <c r="D4" s="424"/>
      <c r="E4" s="416"/>
      <c r="F4" s="417"/>
      <c r="G4" s="417"/>
      <c r="H4" s="417" t="s">
        <v>160</v>
      </c>
      <c r="I4" s="417"/>
      <c r="J4" s="416"/>
      <c r="K4" s="416"/>
      <c r="L4" s="416"/>
      <c r="M4" s="416"/>
      <c r="N4" s="416"/>
    </row>
    <row r="5" spans="2:15" x14ac:dyDescent="0.25">
      <c r="B5" s="407"/>
      <c r="C5" s="408"/>
      <c r="E5" s="407"/>
      <c r="F5" s="407"/>
      <c r="G5" s="407"/>
      <c r="H5" s="407"/>
      <c r="I5" s="409"/>
      <c r="J5" s="407"/>
      <c r="K5" s="407"/>
      <c r="L5" s="407"/>
      <c r="M5" s="407"/>
      <c r="N5" s="407"/>
    </row>
    <row r="6" spans="2:15" ht="15.75" thickBot="1" x14ac:dyDescent="0.3">
      <c r="B6" s="410" t="s">
        <v>588</v>
      </c>
      <c r="C6" s="411"/>
      <c r="D6" s="425"/>
      <c r="E6" s="410"/>
      <c r="F6" s="412"/>
      <c r="G6" s="412"/>
      <c r="H6" s="412"/>
      <c r="I6" s="412"/>
      <c r="J6" s="412"/>
      <c r="K6" s="412"/>
      <c r="L6" s="412"/>
      <c r="M6" s="412"/>
      <c r="N6" s="413"/>
    </row>
    <row r="7" spans="2:15" x14ac:dyDescent="0.25">
      <c r="B7" s="117"/>
      <c r="C7" s="60"/>
      <c r="D7" s="426"/>
      <c r="E7" s="118"/>
      <c r="F7" s="118"/>
      <c r="G7" s="118"/>
      <c r="H7" s="118"/>
      <c r="I7" s="118"/>
      <c r="J7" s="118"/>
      <c r="K7" s="118"/>
      <c r="L7" s="118"/>
      <c r="M7" s="118"/>
      <c r="N7" s="62"/>
    </row>
    <row r="8" spans="2:15" ht="30" customHeight="1" x14ac:dyDescent="0.25">
      <c r="B8" s="66"/>
      <c r="E8" s="41" t="s">
        <v>159</v>
      </c>
      <c r="F8" s="41" t="s">
        <v>32</v>
      </c>
      <c r="G8" s="42" t="s">
        <v>2</v>
      </c>
      <c r="H8" s="42" t="s">
        <v>163</v>
      </c>
      <c r="I8" s="42" t="s">
        <v>33</v>
      </c>
      <c r="J8" s="42" t="s">
        <v>146</v>
      </c>
      <c r="K8" s="42" t="s">
        <v>162</v>
      </c>
      <c r="L8" s="42" t="s">
        <v>34</v>
      </c>
      <c r="M8" s="42" t="s">
        <v>90</v>
      </c>
      <c r="N8" s="67"/>
    </row>
    <row r="9" spans="2:15" x14ac:dyDescent="0.25">
      <c r="B9" s="66"/>
      <c r="E9" s="419" t="s">
        <v>81</v>
      </c>
      <c r="F9" s="419" t="s">
        <v>590</v>
      </c>
      <c r="G9" s="419" t="s">
        <v>590</v>
      </c>
      <c r="H9" s="419" t="s">
        <v>590</v>
      </c>
      <c r="I9" s="419" t="s">
        <v>590</v>
      </c>
      <c r="J9" s="419" t="s">
        <v>590</v>
      </c>
      <c r="K9" s="419" t="s">
        <v>590</v>
      </c>
      <c r="L9" s="419" t="s">
        <v>226</v>
      </c>
      <c r="M9" s="419" t="s">
        <v>226</v>
      </c>
      <c r="N9" s="67"/>
    </row>
    <row r="10" spans="2:15" x14ac:dyDescent="0.25">
      <c r="B10" s="66"/>
      <c r="D10" s="427"/>
      <c r="E10" s="26"/>
      <c r="N10" s="67"/>
    </row>
    <row r="11" spans="2:15" x14ac:dyDescent="0.25">
      <c r="B11" s="66"/>
      <c r="C11" s="25" t="s">
        <v>553</v>
      </c>
      <c r="D11" s="427" t="s">
        <v>243</v>
      </c>
      <c r="E11" s="122">
        <f>COUNTIF('1. Live'!$I$1:I110,$D11)</f>
        <v>19</v>
      </c>
      <c r="F11" s="111">
        <f ca="1">SUMIF('1. Live'!$I$1:$I$110,$D11,'1. Live'!O$1:O$110)</f>
        <v>988.60648930436639</v>
      </c>
      <c r="G11" s="111">
        <f ca="1">SUMIF('1. Live'!$I$1:$I$110,$D11,'1. Live'!P$1:P$110)</f>
        <v>988.35648930436639</v>
      </c>
      <c r="H11" s="111">
        <f ca="1">SUMIF('1. Live'!$I$1:$I$110,$D11,'1. Live'!Q$1:Q$110)</f>
        <v>0.25</v>
      </c>
      <c r="I11" s="111">
        <f ca="1">SUMIF('1. Live'!$I$1:$I$110,$D11,'1. Live'!R$1:R$110)</f>
        <v>85.304451139999998</v>
      </c>
      <c r="J11" s="111">
        <f ca="1">SUMIF('1. Live'!$I$1:$I$110,$D11,'1. Live'!S$1:S$110)</f>
        <v>2175.5554928843858</v>
      </c>
      <c r="K11" s="548">
        <f ca="1">SUMIF('1. Live'!$I$1:$I$110,$D11,'1. Live'!T$1:T$110)</f>
        <v>1272.5034547200189</v>
      </c>
      <c r="L11" s="126">
        <f ca="1">IFERROR((I11+J11)/G11,"")</f>
        <v>2.2874944096493399</v>
      </c>
      <c r="M11" s="112">
        <f ca="1">IFERROR(I11/G11,"")</f>
        <v>8.630939550975146E-2</v>
      </c>
      <c r="N11" s="67"/>
    </row>
    <row r="12" spans="2:15" x14ac:dyDescent="0.25">
      <c r="B12" s="66"/>
      <c r="D12" s="427"/>
      <c r="E12" s="26"/>
      <c r="N12" s="67"/>
    </row>
    <row r="13" spans="2:15" x14ac:dyDescent="0.25">
      <c r="B13" s="66"/>
      <c r="C13" s="25" t="s">
        <v>156</v>
      </c>
      <c r="D13" s="427" t="s">
        <v>244</v>
      </c>
      <c r="E13" s="479">
        <f>COUNTIF('1. Live'!$I$1:I110,$D13)</f>
        <v>0</v>
      </c>
      <c r="F13" s="480">
        <f>SUMIF('1. Live'!$I$1:$I$110,$D13,'1. Live'!O$1:O$110)</f>
        <v>0</v>
      </c>
      <c r="G13" s="480">
        <f>SUMIF('1. Live'!$I$1:$I$110,$D13,'1. Live'!P$1:P$110)</f>
        <v>0</v>
      </c>
      <c r="H13" s="480">
        <f>SUMIF('1. Live'!$I$1:$I$110,$D13,'1. Live'!Q$1:Q$110)</f>
        <v>0</v>
      </c>
      <c r="I13" s="480">
        <f>SUMIF('1. Live'!$I$1:$I$110,$D13,'1. Live'!R$1:R$110)</f>
        <v>0</v>
      </c>
      <c r="J13" s="480">
        <f>SUMIF('1. Live'!$I$1:$I$110,$D13,'1. Live'!S$1:S$110)</f>
        <v>0</v>
      </c>
      <c r="K13" s="480">
        <f>SUMIF('1. Live'!$I$1:$I$110,$D13,'1. Live'!T$1:T$110)</f>
        <v>0</v>
      </c>
      <c r="L13" s="481" t="str">
        <f>IFERROR((I13+J13)/G13,"")</f>
        <v/>
      </c>
      <c r="M13" s="482" t="str">
        <f>IFERROR(I13/G13,"")</f>
        <v/>
      </c>
      <c r="N13" s="67"/>
    </row>
    <row r="14" spans="2:15" x14ac:dyDescent="0.25">
      <c r="B14" s="66"/>
      <c r="D14" s="427"/>
      <c r="E14" s="123"/>
      <c r="N14" s="67"/>
    </row>
    <row r="15" spans="2:15" x14ac:dyDescent="0.25">
      <c r="B15" s="66"/>
      <c r="C15" s="25" t="s">
        <v>157</v>
      </c>
      <c r="D15" s="427" t="s">
        <v>245</v>
      </c>
      <c r="E15" s="122">
        <f>COUNTIF('1. Live'!$I$1:I110,$D15)</f>
        <v>4</v>
      </c>
      <c r="F15" s="111">
        <f>SUMIF('1. Live'!$I$1:$I$110,$D15,'1. Live'!O$1:O$110)</f>
        <v>130.17123551372117</v>
      </c>
      <c r="G15" s="111">
        <f ca="1">SUMIF('1. Live'!$I$1:$I$110,$D15,'1. Live'!P$1:P$110)</f>
        <v>118.8035623047451</v>
      </c>
      <c r="H15" s="111">
        <f ca="1">SUMIF('1. Live'!$I$1:$I$110,$D15,'1. Live'!Q$1:Q$110)</f>
        <v>11.367673208976067</v>
      </c>
      <c r="I15" s="111">
        <f>SUMIF('1. Live'!$I$1:$I$110,$D15,'1. Live'!R$1:R$110)</f>
        <v>14.653504937980799</v>
      </c>
      <c r="J15" s="111">
        <f>SUMIF('1. Live'!$I$1:$I$110,$D15,'1. Live'!S$1:S$110)</f>
        <v>150.49907022993688</v>
      </c>
      <c r="K15" s="111">
        <f ca="1">SUMIF('1. Live'!$I$1:$I$110,$D15,'1. Live'!T$1:T$110)</f>
        <v>46.349012863172554</v>
      </c>
      <c r="L15" s="126">
        <f ca="1">IFERROR((I15+J15)/G15,"")</f>
        <v>1.3901315075408422</v>
      </c>
      <c r="M15" s="112">
        <f ca="1">IFERROR(I15/G15,"")</f>
        <v>0.12334230265244771</v>
      </c>
      <c r="N15" s="67"/>
    </row>
    <row r="16" spans="2:15" x14ac:dyDescent="0.25">
      <c r="B16" s="66"/>
      <c r="D16" s="427"/>
      <c r="E16" s="26"/>
      <c r="N16" s="67"/>
    </row>
    <row r="17" spans="2:14" x14ac:dyDescent="0.25">
      <c r="B17" s="66"/>
      <c r="C17" s="25" t="s">
        <v>676</v>
      </c>
      <c r="D17" s="427" t="s">
        <v>679</v>
      </c>
      <c r="E17" s="122">
        <v>4</v>
      </c>
      <c r="F17" s="111">
        <f>'1. Live'!O52</f>
        <v>1881.4</v>
      </c>
      <c r="G17" s="111">
        <f>'1. Live'!P52</f>
        <v>705.75141800000006</v>
      </c>
      <c r="H17" s="111">
        <f>'1. Live'!Q52</f>
        <v>1175.648582</v>
      </c>
      <c r="I17" s="111">
        <f>'1. Live'!R52</f>
        <v>14.688852000000001</v>
      </c>
      <c r="J17" s="111">
        <f>'1. Live'!S52</f>
        <v>2216.6516179999999</v>
      </c>
      <c r="K17" s="548">
        <f>'1. Live'!T52</f>
        <v>1510.9001999999998</v>
      </c>
      <c r="L17" s="126">
        <f>IFERROR((I17+J17)/G17,"")</f>
        <v>3.1616521243744775</v>
      </c>
      <c r="M17" s="112">
        <f>IFERROR(I17/G17,"")</f>
        <v>2.0813067640198493E-2</v>
      </c>
      <c r="N17" s="67"/>
    </row>
    <row r="18" spans="2:14" x14ac:dyDescent="0.25">
      <c r="B18" s="66"/>
      <c r="D18" s="427"/>
      <c r="E18" s="26"/>
      <c r="N18" s="67"/>
    </row>
    <row r="19" spans="2:14" x14ac:dyDescent="0.25">
      <c r="B19" s="66"/>
      <c r="C19" s="25" t="s">
        <v>158</v>
      </c>
      <c r="D19" s="427"/>
      <c r="E19" s="122">
        <f t="shared" ref="E19" si="0">E11+E13+E15</f>
        <v>23</v>
      </c>
      <c r="F19" s="111">
        <f ca="1">F11+F13+F15+F17</f>
        <v>3000.1777248180879</v>
      </c>
      <c r="G19" s="111">
        <f t="shared" ref="G19:K19" ca="1" si="1">G11+G13+G15+G17</f>
        <v>1812.9114696091115</v>
      </c>
      <c r="H19" s="111">
        <f t="shared" ca="1" si="1"/>
        <v>1187.2662552089762</v>
      </c>
      <c r="I19" s="111">
        <f t="shared" ca="1" si="1"/>
        <v>114.64680807798079</v>
      </c>
      <c r="J19" s="111">
        <f t="shared" ca="1" si="1"/>
        <v>4542.706181114323</v>
      </c>
      <c r="K19" s="548">
        <f t="shared" ca="1" si="1"/>
        <v>2829.7526675831914</v>
      </c>
      <c r="L19" s="126">
        <f ca="1">IFERROR((I19+J19)/G19,"")</f>
        <v>2.5689908565675812</v>
      </c>
      <c r="M19" s="112">
        <f ca="1">IFERROR(I19/G19,"")</f>
        <v>6.3239054967587693E-2</v>
      </c>
      <c r="N19" s="67"/>
    </row>
    <row r="20" spans="2:14" s="28" customFormat="1" ht="15.75" thickBot="1" x14ac:dyDescent="0.3">
      <c r="B20" s="119"/>
      <c r="C20" s="120"/>
      <c r="D20" s="428"/>
      <c r="E20" s="120"/>
      <c r="F20" s="151"/>
      <c r="G20" s="120"/>
      <c r="H20" s="120"/>
      <c r="I20" s="120"/>
      <c r="J20" s="120"/>
      <c r="K20" s="120"/>
      <c r="L20" s="120"/>
      <c r="M20" s="120"/>
      <c r="N20" s="121"/>
    </row>
    <row r="21" spans="2:14" x14ac:dyDescent="0.25">
      <c r="D21" s="427"/>
    </row>
    <row r="22" spans="2:14" ht="15.75" thickBot="1" x14ac:dyDescent="0.3">
      <c r="B22" s="410" t="s">
        <v>589</v>
      </c>
      <c r="C22" s="411"/>
      <c r="D22" s="425"/>
      <c r="E22" s="410"/>
      <c r="F22" s="412"/>
      <c r="G22" s="412"/>
      <c r="H22" s="412"/>
      <c r="I22" s="412"/>
      <c r="J22" s="412"/>
      <c r="K22" s="412"/>
      <c r="L22" s="412"/>
      <c r="M22" s="412"/>
      <c r="N22" s="413"/>
    </row>
    <row r="23" spans="2:14" x14ac:dyDescent="0.25">
      <c r="B23" s="117"/>
      <c r="C23" s="60"/>
      <c r="D23" s="429"/>
      <c r="E23" s="118"/>
      <c r="F23" s="118"/>
      <c r="G23" s="118"/>
      <c r="H23" s="118"/>
      <c r="I23" s="118"/>
      <c r="J23" s="118"/>
      <c r="K23" s="118"/>
      <c r="L23" s="118"/>
      <c r="M23" s="118"/>
      <c r="N23" s="62"/>
    </row>
    <row r="24" spans="2:14" ht="30" customHeight="1" x14ac:dyDescent="0.25">
      <c r="B24" s="66"/>
      <c r="D24" s="427"/>
      <c r="E24" s="41" t="s">
        <v>159</v>
      </c>
      <c r="F24" s="41" t="s">
        <v>32</v>
      </c>
      <c r="G24" s="42" t="s">
        <v>2</v>
      </c>
      <c r="H24" s="42" t="s">
        <v>163</v>
      </c>
      <c r="I24" s="42" t="s">
        <v>33</v>
      </c>
      <c r="J24" s="42" t="s">
        <v>146</v>
      </c>
      <c r="K24" s="42" t="s">
        <v>162</v>
      </c>
      <c r="L24" s="42" t="s">
        <v>34</v>
      </c>
      <c r="M24" s="42" t="s">
        <v>90</v>
      </c>
      <c r="N24" s="67"/>
    </row>
    <row r="25" spans="2:14" x14ac:dyDescent="0.25">
      <c r="B25" s="66"/>
      <c r="D25" s="427"/>
      <c r="E25" s="419" t="s">
        <v>81</v>
      </c>
      <c r="F25" s="419" t="s">
        <v>590</v>
      </c>
      <c r="G25" s="419" t="s">
        <v>590</v>
      </c>
      <c r="H25" s="419" t="s">
        <v>590</v>
      </c>
      <c r="I25" s="419" t="s">
        <v>590</v>
      </c>
      <c r="J25" s="419" t="s">
        <v>590</v>
      </c>
      <c r="K25" s="419" t="s">
        <v>590</v>
      </c>
      <c r="L25" s="419" t="s">
        <v>226</v>
      </c>
      <c r="M25" s="419" t="s">
        <v>226</v>
      </c>
      <c r="N25" s="67"/>
    </row>
    <row r="26" spans="2:14" x14ac:dyDescent="0.25">
      <c r="B26" s="66"/>
      <c r="D26" s="427"/>
      <c r="E26" s="26"/>
      <c r="N26" s="67"/>
    </row>
    <row r="27" spans="2:14" x14ac:dyDescent="0.25">
      <c r="B27" s="66"/>
      <c r="C27" s="25" t="s">
        <v>553</v>
      </c>
      <c r="D27" s="427" t="s">
        <v>243</v>
      </c>
      <c r="E27" s="122">
        <f>COUNTIF('2. Exited'!$D$1:D41,$D27)</f>
        <v>8</v>
      </c>
      <c r="F27" s="111">
        <f ca="1">SUMIF('2. Exited'!$D$1:$D$41,$D27,'2. Exited'!K$1:K$41)</f>
        <v>1394.0315513984774</v>
      </c>
      <c r="G27" s="111">
        <f ca="1">SUMIF('2. Exited'!$D$1:$D$41,$D27,'2. Exited'!L$1:L$41)</f>
        <v>1394.0315513984774</v>
      </c>
      <c r="H27" s="111">
        <f ca="1">SUMIF('2. Exited'!$D$1:$D$41,$D27,'2. Exited'!M$1:M$41)</f>
        <v>0</v>
      </c>
      <c r="I27" s="111">
        <f ca="1">SUMIF('2. Exited'!$D$1:$D$41,$D27,'2. Exited'!N$1:N$41)</f>
        <v>1343.24219253</v>
      </c>
      <c r="J27" s="111">
        <f>SUMIF('2. Exited'!$D$1:$D$41,$D27,'2. Exited'!O$1:O$41)</f>
        <v>0</v>
      </c>
      <c r="K27" s="111">
        <f ca="1">SUMIF('2. Exited'!$D$1:$D$41,$D27,'2. Exited'!P$1:P$41)</f>
        <v>-50.789358868477436</v>
      </c>
      <c r="L27" s="126">
        <f ca="1">IFERROR((I27+J27)/G27,"")</f>
        <v>0.96356656431662102</v>
      </c>
      <c r="M27" s="112">
        <f ca="1">IFERROR(I27/G27,"")</f>
        <v>0.96356656431662102</v>
      </c>
      <c r="N27" s="67"/>
    </row>
    <row r="28" spans="2:14" x14ac:dyDescent="0.25">
      <c r="B28" s="66"/>
      <c r="D28" s="427"/>
      <c r="E28" s="26"/>
      <c r="N28" s="67"/>
    </row>
    <row r="29" spans="2:14" x14ac:dyDescent="0.25">
      <c r="B29" s="66"/>
      <c r="C29" s="25" t="s">
        <v>156</v>
      </c>
      <c r="D29" s="427" t="s">
        <v>244</v>
      </c>
      <c r="E29" s="122">
        <f>COUNTIF('2. Exited'!$D$1:D43,$D29)</f>
        <v>3</v>
      </c>
      <c r="F29" s="111">
        <f>SUMIF('2. Exited'!$D$1:$D$41,$D29,'2. Exited'!K$1:K$41)</f>
        <v>10.765746999999999</v>
      </c>
      <c r="G29" s="111">
        <f>SUMIF('2. Exited'!$D$1:$D$41,$D29,'2. Exited'!L$1:L$41)</f>
        <v>10.765746999999999</v>
      </c>
      <c r="H29" s="111">
        <f>SUMIF('2. Exited'!$D$1:$D$41,$D29,'2. Exited'!M$1:M$41)</f>
        <v>0</v>
      </c>
      <c r="I29" s="111">
        <f>SUMIF('2. Exited'!$D$1:$D$41,$D29,'2. Exited'!N$1:N$41)</f>
        <v>0.47078465000000003</v>
      </c>
      <c r="J29" s="111">
        <f>SUMIF('2. Exited'!$D$1:$D$41,$D29,'2. Exited'!O$1:O$41)</f>
        <v>0</v>
      </c>
      <c r="K29" s="111">
        <f>SUMIF('2. Exited'!$D$1:$D$41,$D29,'2. Exited'!P$1:P$41)</f>
        <v>-10.294962349999999</v>
      </c>
      <c r="L29" s="126">
        <f>IFERROR((I29+J29)/G29,"")</f>
        <v>4.372986379858268E-2</v>
      </c>
      <c r="M29" s="112">
        <f>IFERROR(I29/G29,"")</f>
        <v>4.372986379858268E-2</v>
      </c>
      <c r="N29" s="67"/>
    </row>
    <row r="30" spans="2:14" x14ac:dyDescent="0.25">
      <c r="B30" s="66"/>
      <c r="D30" s="427"/>
      <c r="E30" s="123"/>
      <c r="N30" s="67"/>
    </row>
    <row r="31" spans="2:14" x14ac:dyDescent="0.25">
      <c r="B31" s="66"/>
      <c r="C31" s="25" t="s">
        <v>157</v>
      </c>
      <c r="D31" s="427" t="s">
        <v>245</v>
      </c>
      <c r="E31" s="122">
        <f>COUNTIF('2. Exited'!$D$1:D45,$D31)</f>
        <v>1</v>
      </c>
      <c r="F31" s="111">
        <f>SUMIF('2. Exited'!$D$1:$D$41,$D31,'2. Exited'!K$1:K$41)</f>
        <v>50</v>
      </c>
      <c r="G31" s="111">
        <f ca="1">SUMIF('2. Exited'!$D$1:$D$41,$D31,'2. Exited'!L$1:L$41)</f>
        <v>24.959693000000001</v>
      </c>
      <c r="H31" s="111">
        <f>SUMIF('2. Exited'!$D$1:$D$41,$D31,'2. Exited'!M$1:M$41)</f>
        <v>0</v>
      </c>
      <c r="I31" s="111">
        <f>SUMIF('2. Exited'!$D$1:$D$41,$D31,'2. Exited'!N$1:N$41)</f>
        <v>25.403521350000002</v>
      </c>
      <c r="J31" s="111">
        <f>SUMIF('2. Exited'!$D$1:$D$41,$D31,'2. Exited'!O$1:O$41)</f>
        <v>0</v>
      </c>
      <c r="K31" s="111">
        <f ca="1">SUMIF('2. Exited'!$D$1:$D$41,$D31,'2. Exited'!P$1:P$41)</f>
        <v>0.44382835000000043</v>
      </c>
      <c r="L31" s="126">
        <f ca="1">IFERROR((I31+J31)/G31,"")</f>
        <v>1.0177818032457371</v>
      </c>
      <c r="M31" s="112">
        <f ca="1">IFERROR(I31/G31,"")</f>
        <v>1.0177818032457371</v>
      </c>
      <c r="N31" s="67"/>
    </row>
    <row r="32" spans="2:14" x14ac:dyDescent="0.25">
      <c r="B32" s="66"/>
      <c r="D32" s="427"/>
      <c r="E32" s="26"/>
      <c r="N32" s="67"/>
    </row>
    <row r="33" spans="2:14" x14ac:dyDescent="0.25">
      <c r="B33" s="66"/>
      <c r="C33" s="25" t="s">
        <v>158</v>
      </c>
      <c r="D33" s="430"/>
      <c r="E33" s="122">
        <f t="shared" ref="E33:K33" si="2">E27+E29+E31</f>
        <v>12</v>
      </c>
      <c r="F33" s="111">
        <f t="shared" ca="1" si="2"/>
        <v>1454.7972983984773</v>
      </c>
      <c r="G33" s="111">
        <f t="shared" ca="1" si="2"/>
        <v>1429.7569913984773</v>
      </c>
      <c r="H33" s="111">
        <f t="shared" ca="1" si="2"/>
        <v>0</v>
      </c>
      <c r="I33" s="111">
        <f t="shared" ca="1" si="2"/>
        <v>1369.1164985299999</v>
      </c>
      <c r="J33" s="111">
        <f t="shared" si="2"/>
        <v>0</v>
      </c>
      <c r="K33" s="111">
        <f t="shared" ca="1" si="2"/>
        <v>-60.640492868477438</v>
      </c>
      <c r="L33" s="126">
        <f ca="1">IFERROR((I33+J33)/G33,"")</f>
        <v>0.95758685340705096</v>
      </c>
      <c r="M33" s="112">
        <f ca="1">IFERROR(I33/G33,"")</f>
        <v>0.95758685340705096</v>
      </c>
      <c r="N33" s="67"/>
    </row>
    <row r="34" spans="2:14" ht="15.75" thickBot="1" x14ac:dyDescent="0.3">
      <c r="B34" s="119"/>
      <c r="C34" s="120"/>
      <c r="D34" s="431"/>
      <c r="E34" s="120"/>
      <c r="F34" s="151"/>
      <c r="G34" s="120"/>
      <c r="H34" s="120"/>
      <c r="I34" s="120"/>
      <c r="J34" s="120"/>
      <c r="K34" s="120"/>
      <c r="L34" s="120"/>
      <c r="M34" s="120"/>
      <c r="N34" s="121"/>
    </row>
    <row r="35" spans="2:14" s="124" customFormat="1" x14ac:dyDescent="0.25">
      <c r="C35" s="105"/>
      <c r="D35" s="432"/>
    </row>
    <row r="36" spans="2:14" x14ac:dyDescent="0.25">
      <c r="B36" s="415" t="s">
        <v>554</v>
      </c>
    </row>
    <row r="38" spans="2:14" x14ac:dyDescent="0.25">
      <c r="C38" s="25"/>
      <c r="E38" s="152" t="s">
        <v>550</v>
      </c>
      <c r="F38" s="152" t="b">
        <f ca="1">ROUND(F19,5)=ROUND('1. Live'!O54,5)</f>
        <v>1</v>
      </c>
      <c r="G38" s="152" t="b">
        <f ca="1">ROUND(G19,5)=ROUND('1. Live'!P54,5)</f>
        <v>1</v>
      </c>
      <c r="H38" s="152" t="b">
        <f ca="1">ROUND(H19,5)=ROUND('1. Live'!Q54,5)</f>
        <v>1</v>
      </c>
      <c r="I38" s="152" t="b">
        <f ca="1">ROUND(I19,5)=ROUND('1. Live'!R54,5)</f>
        <v>1</v>
      </c>
      <c r="J38" s="152" t="b">
        <f ca="1">ROUND(J19,5)=ROUND('1. Live'!S54,5)</f>
        <v>1</v>
      </c>
      <c r="K38" s="152" t="b">
        <f ca="1">ROUND(K19,5)=ROUND('1. Live'!T54,5)</f>
        <v>1</v>
      </c>
    </row>
    <row r="39" spans="2:14" x14ac:dyDescent="0.25">
      <c r="F39" s="152" t="b">
        <f ca="1">F33='2. Exited'!K36</f>
        <v>1</v>
      </c>
      <c r="G39" s="152" t="b">
        <f ca="1">G33='2. Exited'!L36</f>
        <v>1</v>
      </c>
      <c r="H39" s="152" t="b">
        <f ca="1">H33='2. Exited'!M36</f>
        <v>1</v>
      </c>
      <c r="I39" s="152" t="b">
        <f ca="1">I33='2. Exited'!N36</f>
        <v>1</v>
      </c>
      <c r="J39" s="152" t="b">
        <f>J33='2. Exited'!O36</f>
        <v>1</v>
      </c>
      <c r="K39" s="152" t="b">
        <f ca="1">K33='2. Exited'!P36</f>
        <v>1</v>
      </c>
    </row>
    <row r="40" spans="2:14" x14ac:dyDescent="0.25">
      <c r="F40" s="152" t="b">
        <v>1</v>
      </c>
      <c r="G40" s="152" t="b">
        <v>1</v>
      </c>
      <c r="H40" s="152" t="b">
        <v>1</v>
      </c>
      <c r="I40" s="152" t="b">
        <v>1</v>
      </c>
      <c r="J40" s="152" t="b">
        <v>1</v>
      </c>
      <c r="K40" s="152"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W62"/>
  <sheetViews>
    <sheetView showGridLines="0" tabSelected="1" view="pageBreakPreview" zoomScale="85" zoomScaleNormal="60" zoomScaleSheetLayoutView="85" workbookViewId="0">
      <pane xSplit="2" ySplit="6" topLeftCell="C33" activePane="bottomRight" state="frozen"/>
      <selection pane="topRight" activeCell="C1" sqref="C1"/>
      <selection pane="bottomLeft" activeCell="A7" sqref="A7"/>
      <selection pane="bottomRight" activeCell="S54" sqref="S54"/>
    </sheetView>
  </sheetViews>
  <sheetFormatPr defaultColWidth="9.140625" defaultRowHeight="15" outlineLevelCol="1" x14ac:dyDescent="0.25"/>
  <cols>
    <col min="1" max="2" width="5.42578125" style="25" customWidth="1"/>
    <col min="3" max="3" width="40.5703125" style="56" customWidth="1"/>
    <col min="4" max="5" width="17.5703125" style="97" hidden="1" customWidth="1" outlineLevel="1"/>
    <col min="6" max="6" width="20.140625" style="97" hidden="1" customWidth="1" outlineLevel="1"/>
    <col min="7" max="7" width="21.140625" style="97" hidden="1" customWidth="1" outlineLevel="1"/>
    <col min="8" max="8" width="17.5703125" style="97" hidden="1" customWidth="1" outlineLevel="1"/>
    <col min="9" max="9" width="18.7109375" style="56" hidden="1" customWidth="1" outlineLevel="1"/>
    <col min="10" max="10" width="17.140625" style="26" hidden="1" customWidth="1" outlineLevel="1"/>
    <col min="11" max="11" width="14.28515625" style="26" hidden="1" customWidth="1" outlineLevel="1"/>
    <col min="12" max="12" width="14.28515625" style="26" customWidth="1" collapsed="1"/>
    <col min="13" max="20" width="14.28515625" style="26" customWidth="1"/>
    <col min="21" max="21" width="14.28515625" style="80" customWidth="1"/>
    <col min="22" max="22" width="45.42578125" style="26" bestFit="1" customWidth="1"/>
    <col min="23" max="23" width="3" style="25" customWidth="1"/>
    <col min="24" max="24" width="6.28515625" style="25" customWidth="1"/>
    <col min="25" max="16384" width="9.140625" style="25"/>
  </cols>
  <sheetData>
    <row r="1" spans="2:23" ht="21.75" customHeight="1" x14ac:dyDescent="0.25">
      <c r="C1" s="130"/>
      <c r="D1" s="557"/>
      <c r="E1" s="557"/>
      <c r="F1" s="557"/>
      <c r="G1" s="557"/>
      <c r="H1" s="557"/>
      <c r="I1" s="130"/>
    </row>
    <row r="2" spans="2:23" ht="15.75" thickBot="1" x14ac:dyDescent="0.3">
      <c r="C2" s="147" t="s">
        <v>161</v>
      </c>
      <c r="K2" s="25"/>
      <c r="L2" s="25"/>
      <c r="M2" s="25"/>
      <c r="N2" s="25"/>
      <c r="O2" s="25"/>
      <c r="P2" s="25"/>
      <c r="Q2" s="25"/>
      <c r="R2" s="25"/>
      <c r="S2" s="25"/>
      <c r="T2" s="25"/>
      <c r="U2" s="25"/>
      <c r="V2" s="25"/>
    </row>
    <row r="3" spans="2:23" ht="21.75" customHeight="1" thickBot="1" x14ac:dyDescent="0.3">
      <c r="C3" s="568">
        <f>'D1'!D2</f>
        <v>46265</v>
      </c>
      <c r="D3" s="557"/>
      <c r="E3" s="557"/>
      <c r="F3" s="557"/>
      <c r="G3" s="557"/>
      <c r="H3" s="557"/>
      <c r="I3" s="130"/>
    </row>
    <row r="4" spans="2:23" x14ac:dyDescent="0.25">
      <c r="B4" s="58"/>
      <c r="C4" s="59"/>
      <c r="D4" s="98"/>
      <c r="E4" s="98"/>
      <c r="F4" s="98"/>
      <c r="G4" s="98"/>
      <c r="H4" s="98"/>
      <c r="I4" s="59"/>
      <c r="J4" s="60"/>
      <c r="K4" s="60"/>
      <c r="L4" s="60"/>
      <c r="M4" s="60"/>
      <c r="N4" s="60"/>
      <c r="O4" s="60"/>
      <c r="P4" s="60"/>
      <c r="Q4" s="60"/>
      <c r="R4" s="60"/>
      <c r="S4" s="60"/>
      <c r="T4" s="60"/>
      <c r="U4" s="131"/>
      <c r="V4" s="60"/>
      <c r="W4" s="62"/>
    </row>
    <row r="5" spans="2:23" s="176" customFormat="1" x14ac:dyDescent="0.25">
      <c r="B5" s="191"/>
      <c r="C5" s="192"/>
      <c r="D5" s="558"/>
      <c r="E5" s="558"/>
      <c r="F5" s="558"/>
      <c r="G5" s="558"/>
      <c r="H5" s="558"/>
      <c r="I5" s="192"/>
      <c r="J5" s="193">
        <v>2</v>
      </c>
      <c r="K5" s="193">
        <v>4</v>
      </c>
      <c r="L5" s="193">
        <v>5</v>
      </c>
      <c r="M5" s="193">
        <v>6</v>
      </c>
      <c r="N5" s="193">
        <v>7</v>
      </c>
      <c r="O5" s="193">
        <v>8</v>
      </c>
      <c r="P5" s="193">
        <v>9</v>
      </c>
      <c r="Q5" s="193">
        <v>10</v>
      </c>
      <c r="R5" s="193">
        <v>11</v>
      </c>
      <c r="S5" s="193">
        <v>12</v>
      </c>
      <c r="T5" s="193">
        <v>13</v>
      </c>
      <c r="U5" s="193">
        <v>14</v>
      </c>
      <c r="V5" s="193">
        <v>15</v>
      </c>
      <c r="W5" s="194"/>
    </row>
    <row r="6" spans="2:23" s="65" customFormat="1" ht="60" customHeight="1" x14ac:dyDescent="0.25">
      <c r="B6" s="63"/>
      <c r="C6" s="3" t="s">
        <v>50</v>
      </c>
      <c r="D6" s="1" t="s">
        <v>843</v>
      </c>
      <c r="E6" s="1" t="s">
        <v>844</v>
      </c>
      <c r="F6" s="1" t="s">
        <v>868</v>
      </c>
      <c r="G6" s="1" t="s">
        <v>845</v>
      </c>
      <c r="H6" s="1" t="s">
        <v>846</v>
      </c>
      <c r="I6" s="3" t="s">
        <v>144</v>
      </c>
      <c r="J6" s="1" t="s">
        <v>25</v>
      </c>
      <c r="K6" s="1" t="s">
        <v>31</v>
      </c>
      <c r="L6" s="1" t="s">
        <v>131</v>
      </c>
      <c r="M6" s="1" t="s">
        <v>36</v>
      </c>
      <c r="N6" s="1" t="s">
        <v>51</v>
      </c>
      <c r="O6" s="1" t="s">
        <v>32</v>
      </c>
      <c r="P6" s="1" t="s">
        <v>2</v>
      </c>
      <c r="Q6" s="1" t="s">
        <v>49</v>
      </c>
      <c r="R6" s="1" t="s">
        <v>33</v>
      </c>
      <c r="S6" s="1" t="s">
        <v>27</v>
      </c>
      <c r="T6" s="1" t="s">
        <v>162</v>
      </c>
      <c r="U6" s="1" t="s">
        <v>34</v>
      </c>
      <c r="V6" s="1" t="s">
        <v>365</v>
      </c>
      <c r="W6" s="64"/>
    </row>
    <row r="7" spans="2:23" x14ac:dyDescent="0.25">
      <c r="B7" s="66"/>
      <c r="C7" s="5"/>
      <c r="D7" s="143"/>
      <c r="E7" s="143"/>
      <c r="F7" s="143"/>
      <c r="G7" s="143"/>
      <c r="H7" s="143"/>
      <c r="I7" s="5"/>
      <c r="J7" s="8"/>
      <c r="K7" s="8"/>
      <c r="L7" s="8"/>
      <c r="M7" s="8" t="s">
        <v>81</v>
      </c>
      <c r="N7" s="8" t="s">
        <v>51</v>
      </c>
      <c r="O7" s="8" t="s">
        <v>225</v>
      </c>
      <c r="P7" s="8" t="s">
        <v>225</v>
      </c>
      <c r="Q7" s="8" t="s">
        <v>225</v>
      </c>
      <c r="R7" s="8" t="s">
        <v>225</v>
      </c>
      <c r="S7" s="8" t="s">
        <v>225</v>
      </c>
      <c r="T7" s="8" t="s">
        <v>225</v>
      </c>
      <c r="U7" s="12" t="s">
        <v>226</v>
      </c>
      <c r="V7" s="8"/>
      <c r="W7" s="67"/>
    </row>
    <row r="8" spans="2:23" x14ac:dyDescent="0.25">
      <c r="B8" s="66"/>
      <c r="C8" s="394" t="s">
        <v>520</v>
      </c>
      <c r="D8" s="559"/>
      <c r="E8" s="559"/>
      <c r="F8" s="559"/>
      <c r="G8" s="559"/>
      <c r="H8" s="559"/>
      <c r="I8" s="316"/>
      <c r="J8" s="317"/>
      <c r="K8" s="317"/>
      <c r="L8" s="317"/>
      <c r="M8" s="318"/>
      <c r="N8" s="319"/>
      <c r="O8" s="320"/>
      <c r="P8" s="320"/>
      <c r="Q8" s="320"/>
      <c r="R8" s="320"/>
      <c r="S8" s="320"/>
      <c r="T8" s="320"/>
      <c r="U8" s="321"/>
      <c r="V8" s="317"/>
      <c r="W8" s="67"/>
    </row>
    <row r="9" spans="2:23" ht="17.25" x14ac:dyDescent="0.25">
      <c r="B9" s="66"/>
      <c r="C9" s="4" t="s">
        <v>347</v>
      </c>
      <c r="D9" s="2" t="s">
        <v>60</v>
      </c>
      <c r="E9" s="2" t="s">
        <v>847</v>
      </c>
      <c r="F9" s="2" t="s">
        <v>165</v>
      </c>
      <c r="G9" s="2" t="s">
        <v>865</v>
      </c>
      <c r="H9" s="6" t="s">
        <v>66</v>
      </c>
      <c r="I9" s="32" t="s">
        <v>243</v>
      </c>
      <c r="J9" s="2" t="str">
        <f>VLOOKUP($C9,'A. All deals (a)'!$C$6:$Q$58,J$5,0)</f>
        <v>Unrealized</v>
      </c>
      <c r="K9" s="2" t="str">
        <f>VLOOKUP($C9,'A. All deals (a)'!$C$6:$Q$58,K$5,0)</f>
        <v>Mozn</v>
      </c>
      <c r="L9" s="6">
        <f>VLOOKUP($C9,'A. All deals (a)'!$C$6:$Q$58,L$5,0)</f>
        <v>2023</v>
      </c>
      <c r="M9" s="6" t="str">
        <f>VLOOKUP($C9,'A. All deals (a)'!$C$6:$Q$58,M$5,0)</f>
        <v>B Prefs</v>
      </c>
      <c r="N9" s="90">
        <f>VLOOKUP($C9,'A. All deals (a)'!$C$6:$Q$58,N$5,0)</f>
        <v>0.1163</v>
      </c>
      <c r="O9" s="17">
        <f ca="1">VLOOKUP($C9,'A. All deals (a)'!$C$6:$Q$58,O$5,0)</f>
        <v>6</v>
      </c>
      <c r="P9" s="17">
        <f ca="1">VLOOKUP($C9,'A. All deals (a)'!$C$6:$Q$58,P$5,0)</f>
        <v>6</v>
      </c>
      <c r="Q9" s="17">
        <f ca="1">VLOOKUP($C9,'A. All deals (a)'!$C$6:$Q$58,Q$5,0)</f>
        <v>0</v>
      </c>
      <c r="R9" s="17">
        <f ca="1">VLOOKUP($C9,'A. All deals (a)'!$C$6:$Q$58,R$5,0)</f>
        <v>0</v>
      </c>
      <c r="S9" s="17">
        <f>VLOOKUP($C9,'A. All deals (a)'!$C$6:$Q$58,S$5,0)</f>
        <v>7.1</v>
      </c>
      <c r="T9" s="17">
        <f ca="1">VLOOKUP($C9,'A. All deals (a)'!$C$6:$Q$58,T$5,0)</f>
        <v>1.0999999999999996</v>
      </c>
      <c r="U9" s="10">
        <f ca="1">VLOOKUP($C9,'A. All deals (a)'!$C$6:$Q$58,U$5,0)</f>
        <v>1.1833333333333333</v>
      </c>
      <c r="V9" s="2" t="s">
        <v>354</v>
      </c>
      <c r="W9" s="67"/>
    </row>
    <row r="10" spans="2:23" x14ac:dyDescent="0.25">
      <c r="B10" s="66"/>
      <c r="C10" s="4" t="s">
        <v>279</v>
      </c>
      <c r="D10" s="2" t="s">
        <v>62</v>
      </c>
      <c r="E10" s="2" t="s">
        <v>847</v>
      </c>
      <c r="F10" s="2" t="s">
        <v>165</v>
      </c>
      <c r="G10" s="2" t="s">
        <v>870</v>
      </c>
      <c r="H10" s="6" t="s">
        <v>65</v>
      </c>
      <c r="I10" s="32" t="s">
        <v>243</v>
      </c>
      <c r="J10" s="2" t="str">
        <f>VLOOKUP($C10,'A. All deals (a)'!$C$6:$Q$58,J$5,0)</f>
        <v>Unrealized</v>
      </c>
      <c r="K10" s="2" t="str">
        <f>VLOOKUP($C10,'A. All deals (a)'!$C$6:$Q$58,K$5,0)</f>
        <v>Mozn</v>
      </c>
      <c r="L10" s="6">
        <f>VLOOKUP($C10,'A. All deals (a)'!$C$6:$Q$58,L$5,0)</f>
        <v>2023</v>
      </c>
      <c r="M10" s="6" t="str">
        <f>VLOOKUP($C10,'A. All deals (a)'!$C$6:$Q$58,M$5,0)</f>
        <v>C Prefs</v>
      </c>
      <c r="N10" s="90">
        <f>VLOOKUP($C10,'A. All deals (a)'!$C$6:$Q$58,N$5,0)</f>
        <v>6.2660799818224002E-3</v>
      </c>
      <c r="O10" s="17">
        <f ca="1">VLOOKUP($C10,'A. All deals (a)'!$C$6:$Q$58,O$5,0)</f>
        <v>14.999998939999999</v>
      </c>
      <c r="P10" s="17">
        <f ca="1">VLOOKUP($C10,'A. All deals (a)'!$C$6:$Q$58,P$5,0)</f>
        <v>14.999998939999999</v>
      </c>
      <c r="Q10" s="17">
        <f ca="1">VLOOKUP($C10,'A. All deals (a)'!$C$6:$Q$58,Q$5,0)</f>
        <v>0</v>
      </c>
      <c r="R10" s="17">
        <f ca="1">VLOOKUP($C10,'A. All deals (a)'!$C$6:$Q$58,R$5,0)</f>
        <v>0</v>
      </c>
      <c r="S10" s="17">
        <f>VLOOKUP($C10,'A. All deals (a)'!$C$6:$Q$58,S$5,0)</f>
        <v>1.2</v>
      </c>
      <c r="T10" s="17">
        <f ca="1">VLOOKUP($C10,'A. All deals (a)'!$C$6:$Q$58,T$5,0)</f>
        <v>-13.79999894</v>
      </c>
      <c r="U10" s="10">
        <f ca="1">VLOOKUP($C10,'A. All deals (a)'!$C$6:$Q$58,U$5,0)</f>
        <v>8.0000005653333733E-2</v>
      </c>
      <c r="V10" s="2"/>
      <c r="W10" s="67"/>
    </row>
    <row r="11" spans="2:23" x14ac:dyDescent="0.25">
      <c r="B11" s="66"/>
      <c r="C11" s="4" t="s">
        <v>662</v>
      </c>
      <c r="D11" s="2" t="s">
        <v>60</v>
      </c>
      <c r="E11" s="2" t="s">
        <v>847</v>
      </c>
      <c r="F11" s="2" t="s">
        <v>165</v>
      </c>
      <c r="G11" s="2" t="s">
        <v>854</v>
      </c>
      <c r="H11" s="6" t="s">
        <v>65</v>
      </c>
      <c r="I11" s="32" t="s">
        <v>243</v>
      </c>
      <c r="J11" s="2" t="str">
        <f>VLOOKUP($C11,'A. All deals (a)'!$C$6:$Q$58,J$5,0)</f>
        <v>Unrealized</v>
      </c>
      <c r="K11" s="2" t="str">
        <f>VLOOKUP($C11,'A. All deals (a)'!$C$6:$Q$58,K$5,0)</f>
        <v>Mozn 4</v>
      </c>
      <c r="L11" s="6">
        <f>VLOOKUP($C11,'A. All deals (a)'!$C$6:$Q$58,L$5,0)</f>
        <v>2022</v>
      </c>
      <c r="M11" s="6" t="str">
        <f>VLOOKUP($C11,'A. All deals (a)'!$C$6:$Q$58,M$5,0)</f>
        <v>B Prefs</v>
      </c>
      <c r="N11" s="90">
        <f>VLOOKUP($C11,'A. All deals (a)'!$C$6:$Q$58,N$5,0)</f>
        <v>2.4809999999999999E-2</v>
      </c>
      <c r="O11" s="17">
        <f ca="1">VLOOKUP($C11,'A. All deals (a)'!$C$6:$Q$58,O$5,0)</f>
        <v>15</v>
      </c>
      <c r="P11" s="17">
        <f ca="1">VLOOKUP($C11,'A. All deals (a)'!$C$6:$Q$58,P$5,0)</f>
        <v>15</v>
      </c>
      <c r="Q11" s="17">
        <f ca="1">VLOOKUP($C11,'A. All deals (a)'!$C$6:$Q$58,Q$5,0)</f>
        <v>0</v>
      </c>
      <c r="R11" s="17">
        <f ca="1">VLOOKUP($C11,'A. All deals (a)'!$C$6:$Q$58,R$5,0)</f>
        <v>0</v>
      </c>
      <c r="S11" s="17">
        <f>VLOOKUP($C11,'A. All deals (a)'!$C$6:$Q$58,S$5,0)</f>
        <v>230.00750916000001</v>
      </c>
      <c r="T11" s="17">
        <f ca="1">VLOOKUP($C11,'A. All deals (a)'!$C$6:$Q$58,T$5,0)</f>
        <v>215.00750916000001</v>
      </c>
      <c r="U11" s="10">
        <f ca="1">VLOOKUP($C11,'A. All deals (a)'!$C$6:$Q$58,U$5,0)</f>
        <v>15.333833944</v>
      </c>
      <c r="V11" s="2"/>
      <c r="W11" s="67"/>
    </row>
    <row r="12" spans="2:23" x14ac:dyDescent="0.25">
      <c r="B12" s="66"/>
      <c r="C12" s="4" t="s">
        <v>201</v>
      </c>
      <c r="D12" s="2" t="s">
        <v>62</v>
      </c>
      <c r="E12" s="2" t="s">
        <v>848</v>
      </c>
      <c r="F12" s="2" t="s">
        <v>851</v>
      </c>
      <c r="G12" s="2" t="s">
        <v>857</v>
      </c>
      <c r="H12" s="6" t="s">
        <v>869</v>
      </c>
      <c r="I12" s="32" t="s">
        <v>243</v>
      </c>
      <c r="J12" s="2" t="str">
        <f>VLOOKUP($C12,'A. All deals (a)'!$C$6:$Q$58,J$5,0)</f>
        <v>Unrealized</v>
      </c>
      <c r="K12" s="2" t="str">
        <f>VLOOKUP($C12,'A. All deals (a)'!$C$6:$Q$58,K$5,0)</f>
        <v>Mozn</v>
      </c>
      <c r="L12" s="6">
        <f>VLOOKUP($C12,'A. All deals (a)'!$C$6:$Q$58,L$5,0)</f>
        <v>2022</v>
      </c>
      <c r="M12" s="6" t="str">
        <f>VLOOKUP($C12,'A. All deals (a)'!$C$6:$Q$58,M$5,0)</f>
        <v>A Prefs</v>
      </c>
      <c r="N12" s="90">
        <f>VLOOKUP($C12,'A. All deals (a)'!$C$6:$Q$58,N$5,0)</f>
        <v>0.12121516021886683</v>
      </c>
      <c r="O12" s="17">
        <f>VLOOKUP($C12,'A. All deals (a)'!$C$6:$Q$58,O$5,0)</f>
        <v>15</v>
      </c>
      <c r="P12" s="17">
        <f ca="1">VLOOKUP($C12,'A. All deals (a)'!$C$6:$Q$58,P$5,0)</f>
        <v>15</v>
      </c>
      <c r="Q12" s="17">
        <f ca="1">VLOOKUP($C12,'A. All deals (a)'!$C$6:$Q$58,Q$5,0)</f>
        <v>0</v>
      </c>
      <c r="R12" s="17">
        <f ca="1">VLOOKUP($C12,'A. All deals (a)'!$C$6:$Q$58,R$5,0)</f>
        <v>0</v>
      </c>
      <c r="S12" s="17">
        <f>VLOOKUP($C12,'A. All deals (a)'!$C$6:$Q$58,S$5,0)</f>
        <v>38.464730150000001</v>
      </c>
      <c r="T12" s="17">
        <f ca="1">VLOOKUP($C12,'A. All deals (a)'!$C$6:$Q$58,T$5,0)</f>
        <v>23.464730150000001</v>
      </c>
      <c r="U12" s="10">
        <f ca="1">VLOOKUP($C12,'A. All deals (a)'!$C$6:$Q$58,U$5,0)</f>
        <v>2.5643153433333334</v>
      </c>
      <c r="V12" s="2"/>
      <c r="W12" s="67"/>
    </row>
    <row r="13" spans="2:23" x14ac:dyDescent="0.25">
      <c r="B13" s="66"/>
      <c r="C13" s="4" t="s">
        <v>787</v>
      </c>
      <c r="D13" s="2" t="s">
        <v>62</v>
      </c>
      <c r="E13" s="2" t="s">
        <v>847</v>
      </c>
      <c r="F13" s="2" t="s">
        <v>165</v>
      </c>
      <c r="G13" s="2" t="s">
        <v>855</v>
      </c>
      <c r="H13" s="6" t="s">
        <v>171</v>
      </c>
      <c r="I13" s="32" t="s">
        <v>243</v>
      </c>
      <c r="J13" s="2" t="str">
        <f>VLOOKUP($C13,'A. All deals (a)'!$C$6:$Q$58,J$5,0)</f>
        <v>Unrealized</v>
      </c>
      <c r="K13" s="2" t="str">
        <f>VLOOKUP($C13,'A. All deals (a)'!$C$6:$Q$58,K$5,0)</f>
        <v>Mozn</v>
      </c>
      <c r="L13" s="6">
        <f>VLOOKUP($C13,'A. All deals (a)'!$C$6:$Q$58,L$5,0)</f>
        <v>2021</v>
      </c>
      <c r="M13" s="6" t="s">
        <v>839</v>
      </c>
      <c r="N13" s="542">
        <f>VLOOKUP($C13,'A. All deals (a)'!$C$6:$Q$58,N$5,0)</f>
        <v>6.5613278704654034E-3</v>
      </c>
      <c r="O13" s="17">
        <f ca="1">VLOOKUP($C13,'A. All deals (a)'!$C$6:$Q$58,O$5,0)</f>
        <v>39.999983359999995</v>
      </c>
      <c r="P13" s="17">
        <f ca="1">VLOOKUP($C13,'A. All deals (a)'!$C$6:$Q$58,P$5,0)</f>
        <v>39.999983359999995</v>
      </c>
      <c r="Q13" s="17">
        <f>VLOOKUP($C13,'A. All deals (a)'!$C$6:$Q$58,Q$5,0)</f>
        <v>0</v>
      </c>
      <c r="R13" s="17">
        <f ca="1">VLOOKUP($C13,'A. All deals (a)'!$C$6:$Q$58,R$5,0)</f>
        <v>0</v>
      </c>
      <c r="S13" s="17">
        <f>VLOOKUP($C13,'A. All deals (a)'!$C$6:$Q$58,S$5,0)</f>
        <v>265.62083464</v>
      </c>
      <c r="T13" s="17">
        <f ca="1">VLOOKUP($C13,'A. All deals (a)'!$C$6:$Q$58,T$5,0)</f>
        <v>225.62085128000001</v>
      </c>
      <c r="U13" s="10">
        <f ca="1">VLOOKUP($C13,'A. All deals (a)'!$C$6:$Q$58,U$5,0)</f>
        <v>6.6405236284578306</v>
      </c>
      <c r="V13" s="2"/>
      <c r="W13" s="67"/>
    </row>
    <row r="14" spans="2:23" x14ac:dyDescent="0.25">
      <c r="B14" s="66"/>
      <c r="C14" s="4" t="s">
        <v>41</v>
      </c>
      <c r="D14" s="2" t="s">
        <v>60</v>
      </c>
      <c r="E14" s="2" t="s">
        <v>847</v>
      </c>
      <c r="F14" s="2" t="s">
        <v>165</v>
      </c>
      <c r="G14" s="2" t="s">
        <v>864</v>
      </c>
      <c r="H14" s="6" t="s">
        <v>72</v>
      </c>
      <c r="I14" s="32" t="s">
        <v>243</v>
      </c>
      <c r="J14" s="2" t="str">
        <f>VLOOKUP($C14,'A. All deals (a)'!$C$6:$Q$58,J$5,0)</f>
        <v>Unrealized</v>
      </c>
      <c r="K14" s="2" t="str">
        <f>VLOOKUP($C14,'A. All deals (a)'!$C$6:$Q$58,K$5,0)</f>
        <v>Mozn</v>
      </c>
      <c r="L14" s="6">
        <f>VLOOKUP($C14,'A. All deals (a)'!$C$6:$Q$58,L$5,0)</f>
        <v>2021</v>
      </c>
      <c r="M14" s="6" t="str">
        <f>VLOOKUP($C14,'A. All deals (a)'!$C$6:$Q$58,M$5,0)</f>
        <v>A Pref Units</v>
      </c>
      <c r="N14" s="90">
        <f>VLOOKUP($C14,'A. All deals (a)'!$C$6:$Q$58,N$5,0)</f>
        <v>0.16016016016015999</v>
      </c>
      <c r="O14" s="17">
        <f ca="1">VLOOKUP($C14,'A. All deals (a)'!$C$6:$Q$58,O$5,0)</f>
        <v>8</v>
      </c>
      <c r="P14" s="17">
        <f ca="1">VLOOKUP($C14,'A. All deals (a)'!$C$6:$Q$58,P$5,0)</f>
        <v>8</v>
      </c>
      <c r="Q14" s="17">
        <f>VLOOKUP($C14,'A. All deals (a)'!$C$6:$Q$58,Q$5,0)</f>
        <v>0</v>
      </c>
      <c r="R14" s="17">
        <f ca="1">VLOOKUP($C14,'A. All deals (a)'!$C$6:$Q$58,R$5,0)</f>
        <v>0</v>
      </c>
      <c r="S14" s="17">
        <f>VLOOKUP($C14,'A. All deals (a)'!$C$6:$Q$58,S$5,0)</f>
        <v>6.5</v>
      </c>
      <c r="T14" s="17">
        <f ca="1">VLOOKUP($C14,'A. All deals (a)'!$C$6:$Q$58,T$5,0)</f>
        <v>-1.5</v>
      </c>
      <c r="U14" s="10">
        <f ca="1">VLOOKUP($C14,'A. All deals (a)'!$C$6:$Q$58,U$5,0)</f>
        <v>0.8125</v>
      </c>
      <c r="V14" s="2"/>
      <c r="W14" s="67"/>
    </row>
    <row r="15" spans="2:23" x14ac:dyDescent="0.25">
      <c r="B15" s="66"/>
      <c r="C15" s="4" t="s">
        <v>9</v>
      </c>
      <c r="D15" s="2" t="s">
        <v>62</v>
      </c>
      <c r="E15" s="2" t="s">
        <v>847</v>
      </c>
      <c r="F15" s="2" t="s">
        <v>285</v>
      </c>
      <c r="G15" s="2" t="s">
        <v>856</v>
      </c>
      <c r="H15" s="6" t="s">
        <v>866</v>
      </c>
      <c r="I15" s="32" t="s">
        <v>243</v>
      </c>
      <c r="J15" s="2" t="str">
        <f>VLOOKUP($C15,'A. All deals (a)'!$C$6:$Q$58,J$5,0)</f>
        <v>Unrealized</v>
      </c>
      <c r="K15" s="2" t="str">
        <f>VLOOKUP($C15,'A. All deals (a)'!$C$6:$Q$58,K$5,0)</f>
        <v>Mozn</v>
      </c>
      <c r="L15" s="6">
        <f>VLOOKUP($C15,'A. All deals (a)'!$C$6:$Q$58,L$5,0)</f>
        <v>2020</v>
      </c>
      <c r="M15" s="6" t="str">
        <f>VLOOKUP($C15,'A. All deals (a)'!$C$6:$Q$58,M$5,0)</f>
        <v>Registered Capital</v>
      </c>
      <c r="N15" s="90">
        <f>VLOOKUP($C15,'A. All deals (a)'!$C$6:$Q$58,N$5,0)</f>
        <v>0.14383199266284313</v>
      </c>
      <c r="O15" s="17">
        <f ca="1">VLOOKUP($C15,'A. All deals (a)'!$C$6:$Q$58,O$5,0)</f>
        <v>60</v>
      </c>
      <c r="P15" s="17">
        <f ca="1">VLOOKUP($C15,'A. All deals (a)'!$C$6:$Q$58,P$5,0)</f>
        <v>60</v>
      </c>
      <c r="Q15" s="17">
        <f>VLOOKUP($C15,'A. All deals (a)'!$C$6:$Q$58,Q$5,0)</f>
        <v>0</v>
      </c>
      <c r="R15" s="17">
        <f ca="1">VLOOKUP($C15,'A. All deals (a)'!$C$6:$Q$58,R$5,0)</f>
        <v>0</v>
      </c>
      <c r="S15" s="17">
        <f>VLOOKUP($C15,'A. All deals (a)'!$C$6:$Q$58,S$5,0)</f>
        <v>71.918846479725644</v>
      </c>
      <c r="T15" s="17">
        <f ca="1">VLOOKUP($C15,'A. All deals (a)'!$C$6:$Q$58,T$5,0)</f>
        <v>11.918846479725644</v>
      </c>
      <c r="U15" s="10">
        <f ca="1">VLOOKUP($C15,'A. All deals (a)'!$C$6:$Q$58,U$5,0)</f>
        <v>1.1986474413287607</v>
      </c>
      <c r="V15" s="2"/>
      <c r="W15" s="67"/>
    </row>
    <row r="16" spans="2:23" x14ac:dyDescent="0.25">
      <c r="B16" s="66"/>
      <c r="C16" s="4" t="s">
        <v>37</v>
      </c>
      <c r="D16" s="2" t="s">
        <v>60</v>
      </c>
      <c r="E16" s="2" t="s">
        <v>847</v>
      </c>
      <c r="F16" s="2" t="s">
        <v>165</v>
      </c>
      <c r="G16" s="2" t="s">
        <v>857</v>
      </c>
      <c r="H16" s="6" t="s">
        <v>65</v>
      </c>
      <c r="I16" s="32" t="s">
        <v>243</v>
      </c>
      <c r="J16" s="2" t="str">
        <f>VLOOKUP($C16,'A. All deals (a)'!$C$6:$Q$58,J$5,0)</f>
        <v>Unrealized</v>
      </c>
      <c r="K16" s="2" t="str">
        <f>VLOOKUP($C16,'A. All deals (a)'!$C$6:$Q$58,K$5,0)</f>
        <v>Mozn</v>
      </c>
      <c r="L16" s="6">
        <f>VLOOKUP($C16,'A. All deals (a)'!$C$6:$Q$58,L$5,0)</f>
        <v>2020</v>
      </c>
      <c r="M16" s="6" t="str">
        <f>VLOOKUP($C16,'A. All deals (a)'!$C$6:$Q$58,M$5,0)</f>
        <v>C Prefs</v>
      </c>
      <c r="N16" s="90">
        <f>VLOOKUP($C16,'A. All deals (a)'!$C$6:$Q$58,N$5,0)</f>
        <v>6.5000000000000002E-2</v>
      </c>
      <c r="O16" s="17">
        <f ca="1">VLOOKUP($C16,'A. All deals (a)'!$C$6:$Q$58,O$5,0)</f>
        <v>90</v>
      </c>
      <c r="P16" s="17">
        <f ca="1">VLOOKUP($C16,'A. All deals (a)'!$C$6:$Q$58,P$5,0)</f>
        <v>90</v>
      </c>
      <c r="Q16" s="17">
        <f>VLOOKUP($C16,'A. All deals (a)'!$C$6:$Q$58,Q$5,0)</f>
        <v>0</v>
      </c>
      <c r="R16" s="17">
        <f ca="1">VLOOKUP($C16,'A. All deals (a)'!$C$6:$Q$58,R$5,0)</f>
        <v>0</v>
      </c>
      <c r="S16" s="17">
        <f>VLOOKUP($C16,'A. All deals (a)'!$C$6:$Q$58,S$5,0)</f>
        <v>21.7</v>
      </c>
      <c r="T16" s="17">
        <f ca="1">VLOOKUP($C16,'A. All deals (a)'!$C$6:$Q$58,T$5,0)</f>
        <v>-68.3</v>
      </c>
      <c r="U16" s="10">
        <f ca="1">VLOOKUP($C16,'A. All deals (a)'!$C$6:$Q$58,U$5,0)</f>
        <v>0.24111111111111111</v>
      </c>
      <c r="V16" s="2"/>
      <c r="W16" s="67"/>
    </row>
    <row r="17" spans="2:23" x14ac:dyDescent="0.25">
      <c r="B17" s="66"/>
      <c r="C17" s="4" t="s">
        <v>84</v>
      </c>
      <c r="D17" s="2" t="s">
        <v>62</v>
      </c>
      <c r="E17" s="2" t="s">
        <v>847</v>
      </c>
      <c r="F17" s="2" t="s">
        <v>286</v>
      </c>
      <c r="G17" s="2" t="s">
        <v>858</v>
      </c>
      <c r="H17" s="6" t="s">
        <v>44</v>
      </c>
      <c r="I17" s="32" t="s">
        <v>243</v>
      </c>
      <c r="J17" s="2" t="str">
        <f>VLOOKUP($C17,'A. All deals (a)'!$C$6:$Q$58,J$5,0)</f>
        <v>Unrealized</v>
      </c>
      <c r="K17" s="2" t="str">
        <f>VLOOKUP($C17,'A. All deals (a)'!$C$6:$Q$58,K$5,0)</f>
        <v>Mozn</v>
      </c>
      <c r="L17" s="6">
        <f>VLOOKUP($C17,'A. All deals (a)'!$C$6:$Q$58,L$5,0)</f>
        <v>2020</v>
      </c>
      <c r="M17" s="6" t="str">
        <f>VLOOKUP($C17,'A. All deals (a)'!$C$6:$Q$58,M$5,0)</f>
        <v>Ordinary Shares</v>
      </c>
      <c r="N17" s="90">
        <f>VLOOKUP($C17,'A. All deals (a)'!$C$6:$Q$58,N$5,0)</f>
        <v>4.5562985202195316E-2</v>
      </c>
      <c r="O17" s="17">
        <f ca="1">VLOOKUP($C17,'A. All deals (a)'!$C$6:$Q$58,O$5,0)</f>
        <v>141.4702596743665</v>
      </c>
      <c r="P17" s="17">
        <f ca="1">VLOOKUP($C17,'A. All deals (a)'!$C$6:$Q$58,P$5,0)</f>
        <v>141.4702596743665</v>
      </c>
      <c r="Q17" s="17">
        <f>VLOOKUP($C17,'A. All deals (a)'!$C$6:$Q$58,Q$5,0)</f>
        <v>0</v>
      </c>
      <c r="R17" s="17">
        <f ca="1">VLOOKUP($C17,'A. All deals (a)'!$C$6:$Q$58,R$5,0)</f>
        <v>0</v>
      </c>
      <c r="S17" s="17">
        <f>VLOOKUP($C17,'A. All deals (a)'!$C$6:$Q$58,S$5,0)</f>
        <v>105.22733244336</v>
      </c>
      <c r="T17" s="17">
        <f ca="1">VLOOKUP($C17,'A. All deals (a)'!$C$6:$Q$58,T$5,0)</f>
        <v>-36.242927231006504</v>
      </c>
      <c r="U17" s="10">
        <f ca="1">VLOOKUP($C17,'A. All deals (a)'!$C$6:$Q$58,U$5,0)</f>
        <v>0.74381239340035299</v>
      </c>
      <c r="V17" s="2"/>
      <c r="W17" s="67"/>
    </row>
    <row r="18" spans="2:23" ht="17.25" x14ac:dyDescent="0.25">
      <c r="B18" s="66"/>
      <c r="C18" s="4" t="s">
        <v>38</v>
      </c>
      <c r="D18" s="2" t="s">
        <v>62</v>
      </c>
      <c r="E18" s="2" t="s">
        <v>847</v>
      </c>
      <c r="F18" s="2" t="s">
        <v>165</v>
      </c>
      <c r="G18" s="2" t="s">
        <v>859</v>
      </c>
      <c r="H18" s="6" t="s">
        <v>73</v>
      </c>
      <c r="I18" s="32" t="s">
        <v>243</v>
      </c>
      <c r="J18" s="2" t="str">
        <f>VLOOKUP($C18,'A. All deals (a)'!$C$6:$Q$58,J$5,0)</f>
        <v>Unrealized</v>
      </c>
      <c r="K18" s="2" t="str">
        <f>VLOOKUP($C18,'A. All deals (a)'!$C$6:$Q$58,K$5,0)</f>
        <v>Mozn</v>
      </c>
      <c r="L18" s="6">
        <f>VLOOKUP($C18,'A. All deals (a)'!$C$6:$Q$58,L$5,0)</f>
        <v>2019</v>
      </c>
      <c r="M18" s="6" t="str">
        <f>VLOOKUP($C18,'A. All deals (a)'!$C$6:$Q$58,M$5,0)</f>
        <v>B-1,2 Prefs</v>
      </c>
      <c r="N18" s="90">
        <f>VLOOKUP($C18,'A. All deals (a)'!$C$6:$Q$58,N$5,0)</f>
        <v>3.3399999999999999E-2</v>
      </c>
      <c r="O18" s="17">
        <f ca="1">VLOOKUP($C18,'A. All deals (a)'!$C$6:$Q$58,O$5,0)</f>
        <v>10</v>
      </c>
      <c r="P18" s="17">
        <f ca="1">VLOOKUP($C18,'A. All deals (a)'!$C$6:$Q$58,P$5,0)</f>
        <v>10</v>
      </c>
      <c r="Q18" s="17">
        <f>VLOOKUP($C18,'A. All deals (a)'!$C$6:$Q$58,Q$5,0)</f>
        <v>0</v>
      </c>
      <c r="R18" s="17">
        <f ca="1">VLOOKUP($C18,'A. All deals (a)'!$C$6:$Q$58,R$5,0)</f>
        <v>0</v>
      </c>
      <c r="S18" s="17">
        <f>VLOOKUP($C18,'A. All deals (a)'!$C$6:$Q$58,S$5,0)</f>
        <v>14.6</v>
      </c>
      <c r="T18" s="17">
        <f ca="1">VLOOKUP($C18,'A. All deals (a)'!$C$6:$Q$58,T$5,0)</f>
        <v>4.5999999999999996</v>
      </c>
      <c r="U18" s="10">
        <f ca="1">VLOOKUP($C18,'A. All deals (a)'!$C$6:$Q$58,U$5,0)</f>
        <v>1.46</v>
      </c>
      <c r="V18" s="2" t="s">
        <v>137</v>
      </c>
      <c r="W18" s="67"/>
    </row>
    <row r="19" spans="2:23" x14ac:dyDescent="0.25">
      <c r="B19" s="66"/>
      <c r="C19" s="5"/>
      <c r="D19" s="143"/>
      <c r="E19" s="143"/>
      <c r="F19" s="143"/>
      <c r="G19" s="143"/>
      <c r="H19" s="143"/>
      <c r="I19" s="13"/>
      <c r="J19" s="7"/>
      <c r="K19" s="7"/>
      <c r="L19" s="7"/>
      <c r="M19" s="14"/>
      <c r="N19" s="168"/>
      <c r="O19" s="24"/>
      <c r="P19" s="24"/>
      <c r="Q19" s="24"/>
      <c r="R19" s="24"/>
      <c r="S19" s="24"/>
      <c r="T19" s="24"/>
      <c r="U19" s="15"/>
      <c r="V19" s="178"/>
      <c r="W19" s="67"/>
    </row>
    <row r="20" spans="2:23" x14ac:dyDescent="0.25">
      <c r="B20" s="66"/>
      <c r="C20" s="9"/>
      <c r="D20" s="9"/>
      <c r="E20" s="9"/>
      <c r="F20" s="9"/>
      <c r="G20" s="9"/>
      <c r="H20" s="9"/>
      <c r="I20" s="9"/>
      <c r="J20" s="9"/>
      <c r="K20" s="9"/>
      <c r="L20" s="9"/>
      <c r="M20" s="9"/>
      <c r="N20" s="93"/>
      <c r="O20" s="18">
        <f ca="1">SUM(O9:O18)</f>
        <v>400.4702419743665</v>
      </c>
      <c r="P20" s="18">
        <f ca="1">SUM(P9:P18)</f>
        <v>400.4702419743665</v>
      </c>
      <c r="Q20" s="18">
        <f ca="1">SUM(Q9:Q18)</f>
        <v>0</v>
      </c>
      <c r="R20" s="18">
        <f ca="1">SUM(R9:R18)</f>
        <v>0</v>
      </c>
      <c r="S20" s="18">
        <f>SUM(S9:S18)</f>
        <v>762.33925287308568</v>
      </c>
      <c r="T20" s="18">
        <f ca="1">S20+R20-P20</f>
        <v>361.86901089871918</v>
      </c>
      <c r="U20" s="11">
        <f ca="1">(R20+S20)/P20</f>
        <v>1.903610238590167</v>
      </c>
      <c r="V20" s="9"/>
      <c r="W20" s="67"/>
    </row>
    <row r="21" spans="2:23" x14ac:dyDescent="0.25">
      <c r="B21" s="66"/>
      <c r="C21" s="143"/>
      <c r="D21" s="143"/>
      <c r="E21" s="143"/>
      <c r="F21" s="143"/>
      <c r="G21" s="143"/>
      <c r="H21" s="143"/>
      <c r="I21" s="143"/>
      <c r="J21" s="143"/>
      <c r="K21" s="143"/>
      <c r="L21" s="143"/>
      <c r="M21" s="143"/>
      <c r="N21" s="92"/>
      <c r="Q21" s="144"/>
      <c r="U21" s="145"/>
      <c r="V21" s="143"/>
      <c r="W21" s="67"/>
    </row>
    <row r="22" spans="2:23" x14ac:dyDescent="0.25">
      <c r="B22" s="66"/>
      <c r="C22" s="394" t="s">
        <v>521</v>
      </c>
      <c r="D22" s="559"/>
      <c r="E22" s="559"/>
      <c r="F22" s="559"/>
      <c r="G22" s="559"/>
      <c r="H22" s="559"/>
      <c r="I22" s="316"/>
      <c r="J22" s="317"/>
      <c r="K22" s="317"/>
      <c r="L22" s="317"/>
      <c r="M22" s="318"/>
      <c r="N22" s="319"/>
      <c r="O22" s="320"/>
      <c r="P22" s="320"/>
      <c r="Q22" s="320"/>
      <c r="R22" s="320"/>
      <c r="S22" s="320"/>
      <c r="T22" s="320"/>
      <c r="U22" s="321"/>
      <c r="V22" s="317"/>
      <c r="W22" s="67"/>
    </row>
    <row r="23" spans="2:23" ht="17.25" x14ac:dyDescent="0.25">
      <c r="B23" s="66"/>
      <c r="C23" s="4" t="s">
        <v>19</v>
      </c>
      <c r="D23" s="2" t="s">
        <v>60</v>
      </c>
      <c r="E23" s="2" t="s">
        <v>848</v>
      </c>
      <c r="F23" s="2" t="s">
        <v>314</v>
      </c>
      <c r="G23" s="2" t="s">
        <v>860</v>
      </c>
      <c r="H23" s="153"/>
      <c r="I23" s="32" t="s">
        <v>243</v>
      </c>
      <c r="J23" s="2" t="str">
        <f>VLOOKUP($C23,'A. All deals (a)'!$C$6:$Q$58,J$5,0)</f>
        <v>Partially Realized</v>
      </c>
      <c r="K23" s="2" t="str">
        <f>VLOOKUP($C23,'A. All deals (a)'!$C$6:$Q$58,K$5,0)</f>
        <v>G42 Investments</v>
      </c>
      <c r="L23" s="6">
        <f>VLOOKUP($C23,'A. All deals (a)'!$C$6:$Q$58,L$5,0)</f>
        <v>2022</v>
      </c>
      <c r="M23" s="6" t="str">
        <f>VLOOKUP($C23,'A. All deals (a)'!$C$6:$Q$58,M$5,0)</f>
        <v>Equity-TBC</v>
      </c>
      <c r="N23" s="90">
        <f>VLOOKUP($C23,'A. All deals (a)'!$C$6:$Q$58,N$5,0)</f>
        <v>6.5500000000000003E-2</v>
      </c>
      <c r="O23" s="537">
        <f ca="1">VLOOKUP($C23,'A. All deals (a)'!$C$6:$Q$58,O$5,0)</f>
        <v>300</v>
      </c>
      <c r="P23" s="17">
        <f ca="1">VLOOKUP($C23,'A. All deals (a)'!$C$6:$Q$58,P$5,0)</f>
        <v>300</v>
      </c>
      <c r="Q23" s="17">
        <f>VLOOKUP($C23,'A. All deals (a)'!$C$6:$Q$58,Q$5,0)</f>
        <v>0</v>
      </c>
      <c r="R23" s="537">
        <f ca="1">VLOOKUP($C23,'A. All deals (a)'!$C$6:$Q$58,R$5,0)</f>
        <v>84.804486139999995</v>
      </c>
      <c r="S23" s="537">
        <f>VLOOKUP($C23,'A. All deals (a)'!$C$6:$Q$58,S$5,0)</f>
        <v>497.53505670659996</v>
      </c>
      <c r="T23" s="537">
        <f ca="1">VLOOKUP($C23,'A. All deals (a)'!$C$6:$Q$58,T$5,0)</f>
        <v>282.3395428465999</v>
      </c>
      <c r="U23" s="10">
        <f ca="1">VLOOKUP($C23,'A. All deals (a)'!$C$6:$Q$58,U$5,0)</f>
        <v>1.9411318094886663</v>
      </c>
      <c r="V23" s="87" t="s">
        <v>138</v>
      </c>
      <c r="W23" s="67"/>
    </row>
    <row r="24" spans="2:23" ht="17.25" x14ac:dyDescent="0.25">
      <c r="B24" s="66"/>
      <c r="C24" s="4" t="s">
        <v>85</v>
      </c>
      <c r="D24" s="2" t="s">
        <v>62</v>
      </c>
      <c r="E24" s="2" t="s">
        <v>849</v>
      </c>
      <c r="F24" s="2" t="s">
        <v>165</v>
      </c>
      <c r="G24" s="2" t="s">
        <v>861</v>
      </c>
      <c r="H24" s="153"/>
      <c r="I24" s="32" t="s">
        <v>243</v>
      </c>
      <c r="J24" s="2" t="str">
        <f>VLOOKUP($C24,'A. All deals (a)'!$C$6:$Q$58,J$5,0)</f>
        <v>Unrealized</v>
      </c>
      <c r="K24" s="2" t="str">
        <f>VLOOKUP($C24,'A. All deals (a)'!$C$6:$Q$58,K$5,0)</f>
        <v>G42 Investments</v>
      </c>
      <c r="L24" s="6">
        <f>VLOOKUP($C24,'A. All deals (a)'!$C$6:$Q$58,L$5,0)</f>
        <v>2022</v>
      </c>
      <c r="M24" s="6" t="str">
        <f>VLOOKUP($C24,'A. All deals (a)'!$C$6:$Q$58,M$5,0)</f>
        <v>Ordinary Shares</v>
      </c>
      <c r="N24" s="90">
        <f>VLOOKUP($C24,'A. All deals (a)'!$C$6:$Q$58,N$5,0)</f>
        <v>2.0924424450802052E-2</v>
      </c>
      <c r="O24" s="17">
        <f ca="1">VLOOKUP($C24,'A. All deals (a)'!$C$6:$Q$58,O$5,0)</f>
        <v>24.53125</v>
      </c>
      <c r="P24" s="17">
        <f ca="1">VLOOKUP($C24,'A. All deals (a)'!$C$6:$Q$58,P$5,0)</f>
        <v>24.53125</v>
      </c>
      <c r="Q24" s="17">
        <f ca="1">VLOOKUP($C24,'A. All deals (a)'!$C$6:$Q$58,Q$5,0)</f>
        <v>0</v>
      </c>
      <c r="R24" s="17">
        <f ca="1">VLOOKUP($C24,'A. All deals (a)'!$C$6:$Q$58,R$5,0)</f>
        <v>0</v>
      </c>
      <c r="S24" s="17">
        <f>VLOOKUP($C24,'A. All deals (a)'!$C$6:$Q$58,S$5,0)</f>
        <v>8.3090239999999991</v>
      </c>
      <c r="T24" s="17">
        <f ca="1">VLOOKUP($C24,'A. All deals (a)'!$C$6:$Q$58,T$5,0)</f>
        <v>-16.222225999999999</v>
      </c>
      <c r="U24" s="10">
        <f ca="1">VLOOKUP($C24,'A. All deals (a)'!$C$6:$Q$58,U$5,0)</f>
        <v>0.33871180636942672</v>
      </c>
      <c r="V24" s="87" t="s">
        <v>152</v>
      </c>
      <c r="W24" s="67"/>
    </row>
    <row r="25" spans="2:23" x14ac:dyDescent="0.25">
      <c r="B25" s="66"/>
      <c r="C25" s="4" t="s">
        <v>1</v>
      </c>
      <c r="D25" s="2" t="s">
        <v>62</v>
      </c>
      <c r="E25" s="2" t="s">
        <v>847</v>
      </c>
      <c r="F25" s="2" t="s">
        <v>852</v>
      </c>
      <c r="G25" s="2" t="s">
        <v>862</v>
      </c>
      <c r="H25" s="153"/>
      <c r="I25" s="32" t="s">
        <v>245</v>
      </c>
      <c r="J25" s="2" t="str">
        <f>VLOOKUP($C25,'A. All deals (a)'!$C$6:$Q$58,J$5,0)</f>
        <v>Unrealized</v>
      </c>
      <c r="K25" s="2" t="str">
        <f>VLOOKUP($C25,'A. All deals (a)'!$C$6:$Q$58,K$5,0)</f>
        <v>G42 Investments</v>
      </c>
      <c r="L25" s="6">
        <f>VLOOKUP($C25,'A. All deals (a)'!$C$6:$Q$58,L$5,0)</f>
        <v>2020</v>
      </c>
      <c r="M25" s="6" t="str">
        <f>VLOOKUP($C25,'A. All deals (a)'!$C$6:$Q$58,M$5,0)</f>
        <v xml:space="preserve">LP </v>
      </c>
      <c r="N25" s="90" t="str">
        <f>VLOOKUP($C25,'A. All deals (a)'!$C$6:$Q$58,N$5,0)</f>
        <v>n/a</v>
      </c>
      <c r="O25" s="17">
        <f>VLOOKUP($C25,'A. All deals (a)'!$C$6:$Q$58,O$5,0)</f>
        <v>83.361610999999996</v>
      </c>
      <c r="P25" s="17">
        <f>VLOOKUP($C25,'A. All deals (a)'!$C$6:$Q$58,P$5,0)</f>
        <v>83.361610999999996</v>
      </c>
      <c r="Q25" s="17">
        <f>VLOOKUP($C25,'A. All deals (a)'!$C$6:$Q$58,Q$5,0)</f>
        <v>0</v>
      </c>
      <c r="R25" s="17">
        <f>VLOOKUP($C25,'A. All deals (a)'!$C$6:$Q$58,R$5,0)</f>
        <v>7.8755709999999999</v>
      </c>
      <c r="S25" s="17">
        <f>VLOOKUP($C25,'A. All deals (a)'!$C$6:$Q$58,S$5,0)</f>
        <v>72.566225000000003</v>
      </c>
      <c r="T25" s="17">
        <f>VLOOKUP($C25,'A. All deals (a)'!$C$6:$Q$58,T$5,0)</f>
        <v>-2.9198149999999998</v>
      </c>
      <c r="U25" s="10">
        <f>VLOOKUP($C25,'A. All deals (a)'!$C$6:$Q$58,U$5,0)</f>
        <v>0.96497410540686412</v>
      </c>
      <c r="V25" s="2"/>
      <c r="W25" s="67"/>
    </row>
    <row r="26" spans="2:23" x14ac:dyDescent="0.25">
      <c r="B26" s="66"/>
      <c r="C26" s="4" t="s">
        <v>113</v>
      </c>
      <c r="D26" s="2" t="s">
        <v>60</v>
      </c>
      <c r="E26" s="2" t="s">
        <v>847</v>
      </c>
      <c r="F26" s="2" t="s">
        <v>853</v>
      </c>
      <c r="G26" s="2" t="s">
        <v>862</v>
      </c>
      <c r="H26" s="153"/>
      <c r="I26" s="32" t="s">
        <v>245</v>
      </c>
      <c r="J26" s="2" t="str">
        <f>VLOOKUP($C26,'A. All deals (a)'!$C$6:$Q$58,J$5,0)</f>
        <v>Unrealized</v>
      </c>
      <c r="K26" s="2" t="str">
        <f>VLOOKUP($C26,'A. All deals (a)'!$C$6:$Q$58,K$5,0)</f>
        <v>G42 Investments</v>
      </c>
      <c r="L26" s="6">
        <f>VLOOKUP($C26,'A. All deals (a)'!$C$6:$Q$58,L$5,0)</f>
        <v>2020</v>
      </c>
      <c r="M26" s="6" t="str">
        <f>VLOOKUP($C26,'A. All deals (a)'!$C$6:$Q$58,M$5,0)</f>
        <v xml:space="preserve">LP </v>
      </c>
      <c r="N26" s="90" t="str">
        <f>VLOOKUP($C26,'A. All deals (a)'!$C$6:$Q$58,N$5,0)</f>
        <v>n/a</v>
      </c>
      <c r="O26" s="17">
        <f>VLOOKUP($C26,'A. All deals (a)'!$C$6:$Q$58,O$5,0)</f>
        <v>26.991242160780001</v>
      </c>
      <c r="P26" s="17">
        <f>VLOOKUP($C26,'A. All deals (a)'!$C$6:$Q$58,P$5,0)</f>
        <v>17.009681451803935</v>
      </c>
      <c r="Q26" s="17">
        <f>VLOOKUP($C26,'A. All deals (a)'!$C$6:$Q$58,Q$5,0)</f>
        <v>9.9815607089760654</v>
      </c>
      <c r="R26" s="17">
        <f>VLOOKUP($C26,'A. All deals (a)'!$C$6:$Q$58,R$5,0)</f>
        <v>6.7779339379807997</v>
      </c>
      <c r="S26" s="17">
        <f>VLOOKUP($C26,'A. All deals (a)'!$C$6:$Q$58,S$5,0)</f>
        <v>57.156181207085986</v>
      </c>
      <c r="T26" s="17">
        <f>VLOOKUP($C26,'A. All deals (a)'!$C$6:$Q$58,T$5,0)</f>
        <v>46.924433693262849</v>
      </c>
      <c r="U26" s="10">
        <f>VLOOKUP($C26,'A. All deals (a)'!$C$6:$Q$58,U$5,0)</f>
        <v>3.7586897395004626</v>
      </c>
      <c r="V26" s="2"/>
      <c r="W26" s="67"/>
    </row>
    <row r="27" spans="2:23" x14ac:dyDescent="0.25">
      <c r="B27" s="66"/>
      <c r="C27" s="4" t="s">
        <v>278</v>
      </c>
      <c r="D27" s="2" t="s">
        <v>60</v>
      </c>
      <c r="E27" s="2" t="s">
        <v>847</v>
      </c>
      <c r="F27" s="2" t="s">
        <v>853</v>
      </c>
      <c r="G27" s="2" t="s">
        <v>862</v>
      </c>
      <c r="H27" s="153"/>
      <c r="I27" s="32" t="s">
        <v>245</v>
      </c>
      <c r="J27" s="2" t="str">
        <f>VLOOKUP($C27,'A. All deals (a)'!$C$6:$Q$58,J$5,0)</f>
        <v>Unrealized</v>
      </c>
      <c r="K27" s="2" t="str">
        <f>VLOOKUP($C27,'A. All deals (a)'!$C$6:$Q$58,K$5,0)</f>
        <v>G42 Investments</v>
      </c>
      <c r="L27" s="6">
        <f>VLOOKUP($C27,'A. All deals (a)'!$C$6:$Q$58,L$5,0)</f>
        <v>2023</v>
      </c>
      <c r="M27" s="6" t="str">
        <f>VLOOKUP($C27,'A. All deals (a)'!$C$6:$Q$58,M$5,0)</f>
        <v xml:space="preserve">LP </v>
      </c>
      <c r="N27" s="90" t="str">
        <f>VLOOKUP($C27,'A. All deals (a)'!$C$6:$Q$58,N$5,0)</f>
        <v>n/a</v>
      </c>
      <c r="O27" s="17">
        <f>VLOOKUP($C27,'A. All deals (a)'!$C$6:$Q$58,O$5,0)</f>
        <v>2.7058823529411762</v>
      </c>
      <c r="P27" s="17">
        <f>VLOOKUP($C27,'A. All deals (a)'!$C$6:$Q$58,P$5,0)</f>
        <v>2.7058823529411762</v>
      </c>
      <c r="Q27" s="17">
        <f>VLOOKUP($C27,'A. All deals (a)'!$C$6:$Q$58,Q$5,0)</f>
        <v>0</v>
      </c>
      <c r="R27" s="17">
        <f>VLOOKUP($C27,'A. All deals (a)'!$C$6:$Q$58,R$5,0)</f>
        <v>0</v>
      </c>
      <c r="S27" s="17">
        <f>VLOOKUP($C27,'A. All deals (a)'!$C$6:$Q$58,S$5,0)</f>
        <v>6.7417610228508815</v>
      </c>
      <c r="T27" s="17">
        <f>VLOOKUP($C27,'A. All deals (a)'!$C$6:$Q$58,T$5,0)</f>
        <v>4.0358786699097049</v>
      </c>
      <c r="U27" s="10">
        <f>VLOOKUP($C27,'A. All deals (a)'!$C$6:$Q$58,U$5,0)</f>
        <v>2.4915203780101085</v>
      </c>
      <c r="V27" s="79"/>
      <c r="W27" s="67"/>
    </row>
    <row r="28" spans="2:23" ht="17.25" x14ac:dyDescent="0.25">
      <c r="B28" s="66"/>
      <c r="C28" s="4" t="s">
        <v>155</v>
      </c>
      <c r="D28" s="2" t="s">
        <v>62</v>
      </c>
      <c r="E28" s="2" t="s">
        <v>847</v>
      </c>
      <c r="F28" s="2" t="s">
        <v>165</v>
      </c>
      <c r="G28" s="2" t="s">
        <v>862</v>
      </c>
      <c r="H28" s="153"/>
      <c r="I28" s="32" t="s">
        <v>245</v>
      </c>
      <c r="J28" s="2" t="str">
        <f>VLOOKUP($C28,'A. All deals (a)'!$C$6:$Q$58,J$5,0)</f>
        <v>Unrealized</v>
      </c>
      <c r="K28" s="2" t="str">
        <f>VLOOKUP($C28,'A. All deals (a)'!$C$6:$Q$58,K$5,0)</f>
        <v>G42 Investments</v>
      </c>
      <c r="L28" s="6">
        <f>VLOOKUP($C28,'A. All deals (a)'!$C$6:$Q$58,L$5,0)</f>
        <v>2021</v>
      </c>
      <c r="M28" s="6" t="str">
        <f>VLOOKUP($C28,'A. All deals (a)'!$C$6:$Q$58,M$5,0)</f>
        <v xml:space="preserve">LP </v>
      </c>
      <c r="N28" s="90">
        <f>VLOOKUP($C28,'A. All deals (a)'!$C$6:$Q$58,N$5,0)</f>
        <v>0.33</v>
      </c>
      <c r="O28" s="17">
        <f>VLOOKUP($C28,'A. All deals (a)'!$C$6:$Q$58,O$5,0)</f>
        <v>17.112500000000001</v>
      </c>
      <c r="P28" s="17">
        <f ca="1">VLOOKUP($C28,'A. All deals (a)'!$C$6:$Q$58,P$5,0)</f>
        <v>15.7263875</v>
      </c>
      <c r="Q28" s="17">
        <f ca="1">VLOOKUP($C28,'A. All deals (a)'!$C$6:$Q$58,Q$5,0)</f>
        <v>1.3861125000000012</v>
      </c>
      <c r="R28" s="17">
        <f>VLOOKUP($C28,'A. All deals (a)'!$C$6:$Q$58,R$5,0)</f>
        <v>0</v>
      </c>
      <c r="S28" s="17">
        <f>VLOOKUP($C28,'A. All deals (a)'!$C$6:$Q$58,S$5,0)</f>
        <v>14.034903</v>
      </c>
      <c r="T28" s="17">
        <f ca="1">VLOOKUP($C28,'A. All deals (a)'!$C$6:$Q$58,T$5,0)</f>
        <v>-1.6914844999999996</v>
      </c>
      <c r="U28" s="10">
        <f ca="1">VLOOKUP($C28,'A. All deals (a)'!$C$6:$Q$58,U$5,0)</f>
        <v>0.89244290845561325</v>
      </c>
      <c r="V28" s="2" t="s">
        <v>355</v>
      </c>
      <c r="W28" s="67"/>
    </row>
    <row r="29" spans="2:23" x14ac:dyDescent="0.25">
      <c r="B29" s="66"/>
      <c r="C29" s="4"/>
      <c r="D29" s="153"/>
      <c r="E29" s="153"/>
      <c r="F29" s="153"/>
      <c r="G29" s="153"/>
      <c r="H29" s="153"/>
      <c r="I29" s="32"/>
      <c r="J29" s="2"/>
      <c r="K29" s="2"/>
      <c r="L29" s="2"/>
      <c r="M29" s="6"/>
      <c r="N29" s="90"/>
      <c r="O29" s="17"/>
      <c r="P29" s="17"/>
      <c r="Q29" s="17"/>
      <c r="R29" s="17"/>
      <c r="S29" s="17"/>
      <c r="T29" s="17"/>
      <c r="U29" s="10"/>
      <c r="V29" s="87"/>
      <c r="W29" s="67"/>
    </row>
    <row r="30" spans="2:23" s="70" customFormat="1" x14ac:dyDescent="0.25">
      <c r="B30" s="68"/>
      <c r="C30" s="9"/>
      <c r="D30" s="9"/>
      <c r="E30" s="9"/>
      <c r="F30" s="9"/>
      <c r="G30" s="9"/>
      <c r="H30" s="9"/>
      <c r="I30" s="9"/>
      <c r="J30" s="9"/>
      <c r="K30" s="9"/>
      <c r="L30" s="9"/>
      <c r="M30" s="9"/>
      <c r="N30" s="93"/>
      <c r="O30" s="18">
        <f ca="1">SUM(O23:O28)</f>
        <v>454.70248551372117</v>
      </c>
      <c r="P30" s="18">
        <f ca="1">SUM(P23:P28)</f>
        <v>443.33481230474507</v>
      </c>
      <c r="Q30" s="18">
        <f ca="1">SUM(Q23:Q28)</f>
        <v>11.367673208976067</v>
      </c>
      <c r="R30" s="18">
        <f ca="1">SUM(R23:R28)</f>
        <v>99.457991077980793</v>
      </c>
      <c r="S30" s="18">
        <f>SUM(S23:S28)</f>
        <v>656.34315093653686</v>
      </c>
      <c r="T30" s="18">
        <f ca="1">S30+R30-P30</f>
        <v>312.46632970977254</v>
      </c>
      <c r="U30" s="11">
        <f ca="1">(R30+S30)/P30</f>
        <v>1.704808918761348</v>
      </c>
      <c r="V30" s="9"/>
      <c r="W30" s="69"/>
    </row>
    <row r="31" spans="2:23" s="70" customFormat="1" x14ac:dyDescent="0.25">
      <c r="B31" s="68"/>
      <c r="C31" s="143"/>
      <c r="D31" s="143"/>
      <c r="E31" s="143"/>
      <c r="F31" s="143"/>
      <c r="G31" s="143"/>
      <c r="H31" s="143"/>
      <c r="I31" s="143"/>
      <c r="J31" s="143"/>
      <c r="K31" s="143"/>
      <c r="L31" s="143"/>
      <c r="M31" s="143"/>
      <c r="N31" s="92"/>
      <c r="O31" s="144"/>
      <c r="P31" s="144"/>
      <c r="Q31" s="144"/>
      <c r="R31" s="144"/>
      <c r="S31" s="144"/>
      <c r="T31" s="144"/>
      <c r="U31" s="145"/>
      <c r="V31" s="143"/>
      <c r="W31" s="69"/>
    </row>
    <row r="32" spans="2:23" s="70" customFormat="1" x14ac:dyDescent="0.25">
      <c r="B32" s="68"/>
      <c r="C32" s="394" t="s">
        <v>524</v>
      </c>
      <c r="D32" s="559"/>
      <c r="E32" s="559"/>
      <c r="F32" s="559"/>
      <c r="G32" s="559"/>
      <c r="H32" s="559"/>
      <c r="I32" s="316"/>
      <c r="J32" s="317"/>
      <c r="K32" s="317"/>
      <c r="L32" s="317"/>
      <c r="M32" s="318"/>
      <c r="N32" s="319"/>
      <c r="O32" s="320"/>
      <c r="P32" s="320"/>
      <c r="Q32" s="320"/>
      <c r="R32" s="320"/>
      <c r="S32" s="320"/>
      <c r="T32" s="320"/>
      <c r="U32" s="321"/>
      <c r="V32" s="317"/>
      <c r="W32" s="69"/>
    </row>
    <row r="33" spans="2:23" s="70" customFormat="1" x14ac:dyDescent="0.25">
      <c r="B33" s="68"/>
      <c r="C33" s="4" t="s">
        <v>518</v>
      </c>
      <c r="D33" s="2" t="s">
        <v>62</v>
      </c>
      <c r="E33" s="2" t="s">
        <v>850</v>
      </c>
      <c r="F33" s="2" t="s">
        <v>165</v>
      </c>
      <c r="G33" s="2" t="s">
        <v>861</v>
      </c>
      <c r="H33" s="153"/>
      <c r="I33" s="32" t="s">
        <v>243</v>
      </c>
      <c r="J33" s="2" t="str">
        <f>VLOOKUP($C33,'A. All deals (a)'!$C$6:$Q$58,J$5,0)</f>
        <v>Unrealized</v>
      </c>
      <c r="K33" s="2" t="str">
        <f>VLOOKUP($C33,'A. All deals (a)'!$C$6:$Q$58,K$5,0)</f>
        <v>G42 Capital</v>
      </c>
      <c r="L33" s="6">
        <f>VLOOKUP($C33,'A. All deals (a)'!$C$6:$Q$58,L$5,0)</f>
        <v>2024</v>
      </c>
      <c r="M33" s="6" t="str">
        <f>VLOOKUP($C33,'A. All deals (a)'!$C$6:$Q$58,M$5,0)</f>
        <v>D Prefs</v>
      </c>
      <c r="N33" s="90">
        <f>VLOOKUP($C33,'A. All deals (a)'!$C$6:$Q$58,N$5,0)</f>
        <v>6.3899999999999998E-2</v>
      </c>
      <c r="O33" s="17">
        <f ca="1">VLOOKUP($C33,'A. All deals (a)'!$C$6:$Q$58,O$5,0)</f>
        <v>40</v>
      </c>
      <c r="P33" s="17">
        <f ca="1">VLOOKUP($C33,'A. All deals (a)'!$C$6:$Q$58,P$5,0)</f>
        <v>40</v>
      </c>
      <c r="Q33" s="17">
        <f ca="1">VLOOKUP($C33,'A. All deals (a)'!$C$6:$Q$58,Q$5,0)</f>
        <v>0</v>
      </c>
      <c r="R33" s="17">
        <f ca="1">VLOOKUP($C33,'A. All deals (a)'!$C$6:$Q$58,R$5,0)</f>
        <v>0</v>
      </c>
      <c r="S33" s="17">
        <f>VLOOKUP($C33,'A. All deals (a)'!$C$6:$Q$58,S$5,0)</f>
        <v>40.947393714699999</v>
      </c>
      <c r="T33" s="17">
        <f ca="1">VLOOKUP($C33,'A. All deals (a)'!$C$6:$Q$58,T$5,0)</f>
        <v>0.94739371469999867</v>
      </c>
      <c r="U33" s="10">
        <f ca="1">VLOOKUP($C33,'A. All deals (a)'!$C$6:$Q$58,U$5,0)</f>
        <v>1.0236848428675001</v>
      </c>
      <c r="V33" s="87" t="s">
        <v>672</v>
      </c>
      <c r="W33" s="69"/>
    </row>
    <row r="34" spans="2:23" s="70" customFormat="1" x14ac:dyDescent="0.25">
      <c r="B34" s="68"/>
      <c r="C34" s="4" t="s">
        <v>569</v>
      </c>
      <c r="D34" s="2" t="s">
        <v>62</v>
      </c>
      <c r="E34" s="2" t="s">
        <v>850</v>
      </c>
      <c r="F34" s="2" t="s">
        <v>571</v>
      </c>
      <c r="G34" s="2" t="s">
        <v>857</v>
      </c>
      <c r="H34" s="153"/>
      <c r="I34" s="32" t="s">
        <v>243</v>
      </c>
      <c r="J34" s="2" t="str">
        <f>VLOOKUP($C34,'A. All deals (a)'!$C$6:$Q$58,J$5,0)</f>
        <v>Unrealized</v>
      </c>
      <c r="K34" s="2" t="str">
        <f>VLOOKUP($C34,'A. All deals (a)'!$C$6:$Q$58,K$5,0)</f>
        <v>G42 Capital</v>
      </c>
      <c r="L34" s="6">
        <f>VLOOKUP($C34,'A. All deals (a)'!$C$6:$Q$58,L$5,0)</f>
        <v>2024</v>
      </c>
      <c r="M34" s="6" t="s">
        <v>44</v>
      </c>
      <c r="N34" s="90">
        <f>VLOOKUP($C34,'A. All deals (a)'!$C$6:$Q$58,N$5,0)</f>
        <v>3.597242680734123E-2</v>
      </c>
      <c r="O34" s="17">
        <f>VLOOKUP($C34,'A. All deals (a)'!$C$6:$Q$58,O$5,0)</f>
        <v>10</v>
      </c>
      <c r="P34" s="17">
        <f ca="1">VLOOKUP($C34,'A. All deals (a)'!$C$6:$Q$58,P$5,0)</f>
        <v>10</v>
      </c>
      <c r="Q34" s="17">
        <f ca="1">VLOOKUP($C34,'A. All deals (a)'!$C$6:$Q$58,Q$5,0)</f>
        <v>0</v>
      </c>
      <c r="R34" s="17">
        <f ca="1">VLOOKUP($C34,'A. All deals (a)'!$C$6:$Q$58,R$5,0)</f>
        <v>0</v>
      </c>
      <c r="S34" s="17">
        <f>VLOOKUP($C34,'A. All deals (a)'!$C$6:$Q$58,S$5,0)</f>
        <v>0</v>
      </c>
      <c r="T34" s="17">
        <f ca="1">VLOOKUP($C34,'A. All deals (a)'!$C$6:$Q$58,T$5,0)</f>
        <v>-10</v>
      </c>
      <c r="U34" s="10">
        <f ca="1">VLOOKUP($C34,'A. All deals (a)'!$C$6:$Q$58,U$5,0)</f>
        <v>0</v>
      </c>
      <c r="V34" s="87" t="str">
        <f>"EPTH9 "&amp; VLOOKUP($C34,'A. All deals (a)'!$C$6:$Q$58,V$5,0)</f>
        <v>EPTH9 Revenue linked RSUs</v>
      </c>
      <c r="W34" s="69"/>
    </row>
    <row r="35" spans="2:23" s="70" customFormat="1" x14ac:dyDescent="0.25">
      <c r="B35" s="68"/>
      <c r="C35" s="4" t="s">
        <v>641</v>
      </c>
      <c r="D35" s="2" t="s">
        <v>62</v>
      </c>
      <c r="E35" s="2" t="s">
        <v>368</v>
      </c>
      <c r="F35" s="2" t="s">
        <v>165</v>
      </c>
      <c r="G35" s="2" t="s">
        <v>857</v>
      </c>
      <c r="H35" s="153"/>
      <c r="I35" s="32" t="s">
        <v>243</v>
      </c>
      <c r="J35" s="2" t="str">
        <f>VLOOKUP($C35,'A. All deals (a)'!$C$6:$Q$58,J$5,0)</f>
        <v>Unrealized</v>
      </c>
      <c r="K35" s="2" t="str">
        <f>VLOOKUP($C35,'A. All deals (a)'!$C$6:$Q$58,K$5,0)</f>
        <v>G42 Capital</v>
      </c>
      <c r="L35" s="6">
        <f>VLOOKUP($C35,'A. All deals (a)'!$C$6:$Q$58,L$5,0)</f>
        <v>2024</v>
      </c>
      <c r="M35" s="6" t="str">
        <f>VLOOKUP($C35,'A. All deals (a)'!$C$6:$Q$58,M$5,0)</f>
        <v>SAR</v>
      </c>
      <c r="N35" s="90" t="str">
        <f>VLOOKUP($C35,'A. All deals (a)'!$C$6:$Q$58,N$5,0)</f>
        <v>NA</v>
      </c>
      <c r="O35" s="17">
        <f>VLOOKUP($C35,'A. All deals (a)'!$C$6:$Q$58,O$5,0)</f>
        <v>100</v>
      </c>
      <c r="P35" s="17">
        <f ca="1">VLOOKUP($C35,'A. All deals (a)'!$C$6:$Q$58,P$5,0)</f>
        <v>100</v>
      </c>
      <c r="Q35" s="17">
        <f ca="1">VLOOKUP($C35,'A. All deals (a)'!$C$6:$Q$58,Q$5,0)</f>
        <v>0</v>
      </c>
      <c r="R35" s="17">
        <f ca="1">VLOOKUP($C35,'A. All deals (a)'!$C$6:$Q$58,R$5,0)</f>
        <v>0.49996499999999999</v>
      </c>
      <c r="S35" s="17">
        <f>VLOOKUP($C35,'A. All deals (a)'!$C$6:$Q$58,S$5,0)</f>
        <v>100</v>
      </c>
      <c r="T35" s="17">
        <f ca="1">VLOOKUP($C35,'A. All deals (a)'!$C$6:$Q$58,T$5,0)</f>
        <v>0.4999650000000031</v>
      </c>
      <c r="U35" s="10">
        <f ca="1">VLOOKUP($C35,'A. All deals (a)'!$C$6:$Q$58,U$5,0)</f>
        <v>1.00499965</v>
      </c>
      <c r="V35" s="507" t="str">
        <f>"EPTH10 "&amp; VLOOKUP($C35,'A. All deals (a)'!$C$6:$Q$58,V$5,0)</f>
        <v>EPTH10 Upside if Tokens sold &gt; $2.5 per token</v>
      </c>
      <c r="W35" s="69"/>
    </row>
    <row r="36" spans="2:23" s="70" customFormat="1" x14ac:dyDescent="0.25">
      <c r="B36" s="68"/>
      <c r="C36" s="4" t="s">
        <v>671</v>
      </c>
      <c r="D36" s="2" t="s">
        <v>62</v>
      </c>
      <c r="E36" s="2" t="s">
        <v>847</v>
      </c>
      <c r="F36" s="2" t="s">
        <v>165</v>
      </c>
      <c r="G36" s="2" t="s">
        <v>863</v>
      </c>
      <c r="H36" s="153"/>
      <c r="I36" s="32" t="s">
        <v>243</v>
      </c>
      <c r="J36" s="2" t="str">
        <f>VLOOKUP($C36,'A. All deals (a)'!$C$6:$Q$58,J$5,0)</f>
        <v>Unrealized</v>
      </c>
      <c r="K36" s="2" t="str">
        <f>VLOOKUP($C36,'A. All deals (a)'!$C$6:$Q$58,K$5,0)</f>
        <v>G42 Capital</v>
      </c>
      <c r="L36" s="6">
        <f>VLOOKUP($C36,'A. All deals (a)'!$C$6:$Q$58,L$5,0)</f>
        <v>2025</v>
      </c>
      <c r="M36" s="6" t="str">
        <f>VLOOKUP($C36,'A. All deals (a)'!$C$6:$Q$58,M$5,0)</f>
        <v>Series A</v>
      </c>
      <c r="N36" s="90">
        <f>VLOOKUP($C36,'A. All deals (a)'!$C$6:$Q$58,N$5,0)</f>
        <v>3.021655524837405E-2</v>
      </c>
      <c r="O36" s="17">
        <f ca="1">VLOOKUP($C36,'A. All deals (a)'!$C$6:$Q$58,O$5,0)</f>
        <v>60.819862919999998</v>
      </c>
      <c r="P36" s="17">
        <f ca="1">VLOOKUP($C36,'A. All deals (a)'!$C$6:$Q$58,P$5,0)</f>
        <v>60.819862919999998</v>
      </c>
      <c r="Q36" s="17">
        <f>VLOOKUP($C36,'A. All deals (a)'!$C$6:$Q$58,Q$5,0)</f>
        <v>0</v>
      </c>
      <c r="R36" s="17">
        <f>VLOOKUP($C36,'A. All deals (a)'!$C$6:$Q$58,R$5,0)</f>
        <v>0</v>
      </c>
      <c r="S36" s="17">
        <f>VLOOKUP($C36,'A. All deals (a)'!$C$6:$Q$58,S$5,0)</f>
        <v>66.599183749999995</v>
      </c>
      <c r="T36" s="17">
        <f ca="1">VLOOKUP($C36,'A. All deals (a)'!$C$6:$Q$58,T$5,0)</f>
        <v>5.7793208299999961</v>
      </c>
      <c r="U36" s="10">
        <f ca="1">VLOOKUP($C36,'A. All deals (a)'!$C$6:$Q$58,U$5,0)</f>
        <v>1.095023575400061</v>
      </c>
      <c r="V36" s="87" t="s">
        <v>831</v>
      </c>
      <c r="W36" s="69"/>
    </row>
    <row r="37" spans="2:23" s="70" customFormat="1" x14ac:dyDescent="0.25">
      <c r="B37" s="68"/>
      <c r="C37" s="4" t="s">
        <v>715</v>
      </c>
      <c r="D37" s="2" t="s">
        <v>62</v>
      </c>
      <c r="E37" s="2" t="s">
        <v>847</v>
      </c>
      <c r="F37" s="2" t="s">
        <v>165</v>
      </c>
      <c r="G37" s="2" t="s">
        <v>861</v>
      </c>
      <c r="H37" s="153"/>
      <c r="I37" s="32" t="s">
        <v>243</v>
      </c>
      <c r="J37" s="2" t="str">
        <f>VLOOKUP($C37,'A. All deals (a)'!$C$6:$Q$58,J$5,0)</f>
        <v>Unrealized</v>
      </c>
      <c r="K37" s="2" t="str">
        <f>VLOOKUP($C37,'A. All deals (a)'!$C$6:$Q$58,K$5,0)</f>
        <v>G42 Capital</v>
      </c>
      <c r="L37" s="6">
        <f>VLOOKUP($C37,'A. All deals (a)'!$C$6:$Q$58,L$5,0)</f>
        <v>2025</v>
      </c>
      <c r="M37" s="6" t="str">
        <f>VLOOKUP($C37,'A. All deals (a)'!$C$6:$Q$58,M$5,0)</f>
        <v>Series E</v>
      </c>
      <c r="N37" s="90">
        <f>VLOOKUP($C37,'A. All deals (a)'!$C$6:$Q$58,N$5,0)</f>
        <v>5.1805228281426186E-3</v>
      </c>
      <c r="O37" s="17">
        <f ca="1">VLOOKUP($C37,'A. All deals (a)'!$C$6:$Q$58,O$5,0)</f>
        <v>49.999999500000001</v>
      </c>
      <c r="P37" s="17">
        <f ca="1">VLOOKUP($C37,'A. All deals (a)'!$C$6:$Q$58,P$5,0)</f>
        <v>49.999999500000001</v>
      </c>
      <c r="Q37" s="17">
        <f>VLOOKUP($C37,'A. All deals (a)'!$C$6:$Q$58,Q$5,0)</f>
        <v>0</v>
      </c>
      <c r="R37" s="17">
        <f>VLOOKUP($C37,'A. All deals (a)'!$C$6:$Q$58,R$5,0)</f>
        <v>0</v>
      </c>
      <c r="S37" s="17">
        <f>VLOOKUP($C37,'A. All deals (a)'!$C$6:$Q$58,S$5,0)</f>
        <v>50</v>
      </c>
      <c r="T37" s="17">
        <f ca="1">VLOOKUP($C37,'A. All deals (a)'!$C$6:$Q$58,T$5,0)</f>
        <v>4.9999999873762135E-7</v>
      </c>
      <c r="U37" s="10">
        <f ca="1">VLOOKUP($C37,'A. All deals (a)'!$C$6:$Q$58,U$5,0)</f>
        <v>1.0000000100000002</v>
      </c>
      <c r="V37" s="87" t="s">
        <v>717</v>
      </c>
      <c r="W37" s="69"/>
    </row>
    <row r="38" spans="2:23" x14ac:dyDescent="0.25">
      <c r="B38" s="66"/>
      <c r="C38" s="4" t="s">
        <v>788</v>
      </c>
      <c r="D38" s="2" t="s">
        <v>62</v>
      </c>
      <c r="E38" s="2" t="s">
        <v>847</v>
      </c>
      <c r="F38" s="2" t="s">
        <v>165</v>
      </c>
      <c r="G38" s="2" t="s">
        <v>855</v>
      </c>
      <c r="H38" s="153"/>
      <c r="I38" s="32" t="s">
        <v>243</v>
      </c>
      <c r="J38" s="2" t="str">
        <f>VLOOKUP($C38,'A. All deals (a)'!$C$6:$Q$58,J$5,0)</f>
        <v>Unrealized</v>
      </c>
      <c r="K38" s="2" t="str">
        <f>VLOOKUP($C38,'A. All deals (a)'!$C$6:$Q$58,K$5,0)</f>
        <v>G42 Capital</v>
      </c>
      <c r="L38" s="6">
        <f>VLOOKUP($C38,'A. All deals (a)'!$C$6:$Q$58,L$5,0)</f>
        <v>2026</v>
      </c>
      <c r="M38" s="6" t="s">
        <v>839</v>
      </c>
      <c r="N38" s="542">
        <f>VLOOKUP($C38,'A. All deals (a)'!$C$6:$Q$58,N$5,0)</f>
        <v>1.599014394766313E-2</v>
      </c>
      <c r="O38" s="17">
        <f ca="1">VLOOKUP($C38,'A. All deals (a)'!$C$6:$Q$58,O$5,0)</f>
        <v>3.5134910000000005E-2</v>
      </c>
      <c r="P38" s="17">
        <f ca="1">VLOOKUP($C38,'A. All deals (a)'!$C$6:$Q$58,P$5,0)</f>
        <v>3.5134910000000005E-2</v>
      </c>
      <c r="Q38" s="17">
        <f>VLOOKUP($C38,'A. All deals (a)'!$C$6:$Q$58,Q$5,0)</f>
        <v>0</v>
      </c>
      <c r="R38" s="17">
        <f ca="1">VLOOKUP($C38,'A. All deals (a)'!$C$6:$Q$58,R$5,0)</f>
        <v>0</v>
      </c>
      <c r="S38" s="17">
        <f>VLOOKUP($C38,'A. All deals (a)'!$C$6:$Q$58,S$5,0)</f>
        <v>647.32558184000004</v>
      </c>
      <c r="T38" s="17">
        <f ca="1">VLOOKUP($C38,'A. All deals (a)'!$C$6:$Q$58,T$5,0)</f>
        <v>647.29044693000003</v>
      </c>
      <c r="U38" s="10" t="str">
        <f ca="1">IF(VLOOKUP($C38,'A. All deals (a)'!$C$6:$Q$58,U$5,0)&gt;10,"&gt;10x",VLOOKUP($C38,'A. All deals (a)'!$C$6:$Q$58,U$5,0))</f>
        <v>&gt;10x</v>
      </c>
      <c r="V38" s="87" t="s">
        <v>827</v>
      </c>
      <c r="W38" s="67"/>
    </row>
    <row r="39" spans="2:23" x14ac:dyDescent="0.25">
      <c r="B39" s="66"/>
      <c r="C39" s="5"/>
      <c r="D39" s="143"/>
      <c r="E39" s="143"/>
      <c r="F39" s="143"/>
      <c r="G39" s="143"/>
      <c r="H39" s="143"/>
      <c r="I39" s="13"/>
      <c r="J39" s="7"/>
      <c r="K39" s="7"/>
      <c r="L39" s="14"/>
      <c r="M39" s="14"/>
      <c r="N39" s="168"/>
      <c r="O39" s="24"/>
      <c r="P39" s="24"/>
      <c r="Q39" s="24"/>
      <c r="R39" s="24"/>
      <c r="S39" s="24"/>
      <c r="T39" s="24"/>
      <c r="U39" s="15"/>
      <c r="V39" s="178"/>
      <c r="W39" s="67"/>
    </row>
    <row r="40" spans="2:23" s="70" customFormat="1" x14ac:dyDescent="0.25">
      <c r="B40" s="68"/>
      <c r="C40" s="9"/>
      <c r="D40" s="9"/>
      <c r="E40" s="9"/>
      <c r="F40" s="9"/>
      <c r="G40" s="9"/>
      <c r="H40" s="9"/>
      <c r="I40" s="9"/>
      <c r="J40" s="9"/>
      <c r="K40" s="9"/>
      <c r="L40" s="9"/>
      <c r="M40" s="9"/>
      <c r="N40" s="93"/>
      <c r="O40" s="18">
        <f t="shared" ref="O40:T40" ca="1" si="0">SUM(O33:O38)</f>
        <v>260.85499733</v>
      </c>
      <c r="P40" s="18">
        <f t="shared" ca="1" si="0"/>
        <v>260.85499733</v>
      </c>
      <c r="Q40" s="18">
        <f t="shared" ca="1" si="0"/>
        <v>0</v>
      </c>
      <c r="R40" s="18">
        <f t="shared" ca="1" si="0"/>
        <v>0.49996499999999999</v>
      </c>
      <c r="S40" s="18">
        <f t="shared" si="0"/>
        <v>904.87215930470006</v>
      </c>
      <c r="T40" s="18">
        <f t="shared" ca="1" si="0"/>
        <v>644.51712697469998</v>
      </c>
      <c r="U40" s="11">
        <f ca="1">(R40+S40)/P40</f>
        <v>3.4707869642970279</v>
      </c>
      <c r="V40" s="9"/>
      <c r="W40" s="69"/>
    </row>
    <row r="41" spans="2:23" s="70" customFormat="1" x14ac:dyDescent="0.25">
      <c r="B41" s="68"/>
      <c r="C41" s="143"/>
      <c r="D41" s="143"/>
      <c r="E41" s="143"/>
      <c r="F41" s="143"/>
      <c r="G41" s="143"/>
      <c r="H41" s="143"/>
      <c r="I41" s="143"/>
      <c r="J41" s="143"/>
      <c r="K41" s="143"/>
      <c r="L41" s="143"/>
      <c r="M41" s="143"/>
      <c r="N41" s="92"/>
      <c r="O41" s="144"/>
      <c r="P41" s="144"/>
      <c r="Q41" s="144"/>
      <c r="R41" s="144"/>
      <c r="S41" s="144"/>
      <c r="T41" s="144"/>
      <c r="U41" s="145"/>
      <c r="V41" s="143"/>
      <c r="W41" s="69"/>
    </row>
    <row r="42" spans="2:23" s="70" customFormat="1" x14ac:dyDescent="0.25">
      <c r="B42" s="68"/>
      <c r="C42" s="394" t="s">
        <v>525</v>
      </c>
      <c r="D42" s="559"/>
      <c r="E42" s="559"/>
      <c r="F42" s="559"/>
      <c r="G42" s="559"/>
      <c r="H42" s="559"/>
      <c r="I42" s="316"/>
      <c r="J42" s="317"/>
      <c r="K42" s="317"/>
      <c r="L42" s="317"/>
      <c r="M42" s="318"/>
      <c r="N42" s="319"/>
      <c r="O42" s="320"/>
      <c r="P42" s="320"/>
      <c r="Q42" s="320"/>
      <c r="R42" s="320"/>
      <c r="S42" s="320"/>
      <c r="T42" s="320"/>
      <c r="U42" s="321"/>
      <c r="V42" s="317"/>
      <c r="W42" s="69"/>
    </row>
    <row r="43" spans="2:23" ht="17.25" x14ac:dyDescent="0.25">
      <c r="B43" s="66"/>
      <c r="C43" s="4" t="s">
        <v>378</v>
      </c>
      <c r="D43" s="153" t="s">
        <v>62</v>
      </c>
      <c r="E43" s="2" t="s">
        <v>847</v>
      </c>
      <c r="F43" s="2" t="s">
        <v>383</v>
      </c>
      <c r="G43" s="2" t="s">
        <v>857</v>
      </c>
      <c r="H43" s="153"/>
      <c r="I43" s="32" t="s">
        <v>243</v>
      </c>
      <c r="J43" s="2" t="str">
        <f>VLOOKUP($C43,'A. All deals (a)'!$C$6:$Q$58,J$5,0)</f>
        <v>Unrealized</v>
      </c>
      <c r="K43" s="2" t="str">
        <f>VLOOKUP($C43,'A. All deals (a)'!$C$6:$Q$58,K$5,0)</f>
        <v>Core42 5</v>
      </c>
      <c r="L43" s="6">
        <f>VLOOKUP($C43,'A. All deals (a)'!$C$6:$Q$58,L$5,0)</f>
        <v>2024</v>
      </c>
      <c r="M43" s="6" t="str">
        <f>VLOOKUP($C43,'A. All deals (a)'!$C$6:$Q$58,M$5,0)</f>
        <v>Preferred Shares</v>
      </c>
      <c r="N43" s="90">
        <f>VLOOKUP($C43,'A. All deals (a)'!$C$6:$Q$58,N$5,0)</f>
        <v>0.23</v>
      </c>
      <c r="O43" s="17">
        <f ca="1">VLOOKUP($C43,'A. All deals (a)'!$C$6:$Q$58,O$5,0)</f>
        <v>2.75</v>
      </c>
      <c r="P43" s="17">
        <f ca="1">VLOOKUP($C43,'A. All deals (a)'!$C$6:$Q$58,P$5,0)</f>
        <v>2.5</v>
      </c>
      <c r="Q43" s="17">
        <f ca="1">VLOOKUP($C43,'A. All deals (a)'!$C$6:$Q$58,Q$5,0)</f>
        <v>0.25</v>
      </c>
      <c r="R43" s="17">
        <f ca="1">VLOOKUP($C43,'A. All deals (a)'!$C$6:$Q$58,R$5,0)</f>
        <v>0</v>
      </c>
      <c r="S43" s="17">
        <f ca="1">VLOOKUP($C43,'A. All deals (a)'!$C$6:$Q$58,S$5,0)</f>
        <v>2.5</v>
      </c>
      <c r="T43" s="17">
        <f ca="1">VLOOKUP($C43,'A. All deals (a)'!$C$6:$Q$58,T$5,0)</f>
        <v>0</v>
      </c>
      <c r="U43" s="10">
        <f ca="1">VLOOKUP($C43,'A. All deals (a)'!$C$6:$Q$58,U$5,0)</f>
        <v>1</v>
      </c>
      <c r="V43" s="2" t="s">
        <v>452</v>
      </c>
      <c r="W43" s="67"/>
    </row>
    <row r="44" spans="2:23" x14ac:dyDescent="0.25">
      <c r="B44" s="66"/>
      <c r="C44" s="5"/>
      <c r="D44" s="143"/>
      <c r="E44" s="143"/>
      <c r="F44" s="143"/>
      <c r="G44" s="143"/>
      <c r="H44" s="143"/>
      <c r="I44" s="13"/>
      <c r="J44" s="7"/>
      <c r="K44" s="7"/>
      <c r="L44" s="14"/>
      <c r="M44" s="14"/>
      <c r="N44" s="168"/>
      <c r="O44" s="24"/>
      <c r="P44" s="24"/>
      <c r="Q44" s="24"/>
      <c r="R44" s="24"/>
      <c r="S44" s="24"/>
      <c r="T44" s="24"/>
      <c r="U44" s="15"/>
      <c r="V44" s="7"/>
      <c r="W44" s="67"/>
    </row>
    <row r="45" spans="2:23" s="70" customFormat="1" x14ac:dyDescent="0.25">
      <c r="B45" s="68"/>
      <c r="C45" s="9"/>
      <c r="D45" s="9"/>
      <c r="E45" s="9"/>
      <c r="F45" s="9"/>
      <c r="G45" s="9"/>
      <c r="H45" s="9"/>
      <c r="I45" s="9"/>
      <c r="J45" s="9"/>
      <c r="K45" s="9"/>
      <c r="L45" s="9"/>
      <c r="M45" s="9"/>
      <c r="N45" s="93"/>
      <c r="O45" s="18">
        <f t="shared" ref="O45:T45" ca="1" si="1">SUM(O43)</f>
        <v>2.75</v>
      </c>
      <c r="P45" s="18">
        <f t="shared" ca="1" si="1"/>
        <v>2.5</v>
      </c>
      <c r="Q45" s="18">
        <f ca="1">SUM(Q43)</f>
        <v>0.25</v>
      </c>
      <c r="R45" s="18">
        <f t="shared" ca="1" si="1"/>
        <v>0</v>
      </c>
      <c r="S45" s="18">
        <f t="shared" ca="1" si="1"/>
        <v>2.5</v>
      </c>
      <c r="T45" s="18">
        <f t="shared" ca="1" si="1"/>
        <v>0</v>
      </c>
      <c r="U45" s="11">
        <f ca="1">(R45+S45)/P45</f>
        <v>1</v>
      </c>
      <c r="V45" s="9"/>
      <c r="W45" s="69"/>
    </row>
    <row r="46" spans="2:23" s="70" customFormat="1" x14ac:dyDescent="0.25">
      <c r="B46" s="68"/>
      <c r="C46" s="143"/>
      <c r="D46" s="143"/>
      <c r="E46" s="143"/>
      <c r="F46" s="143"/>
      <c r="G46" s="143"/>
      <c r="H46" s="143"/>
      <c r="I46" s="143"/>
      <c r="J46" s="143"/>
      <c r="K46" s="143"/>
      <c r="L46" s="143"/>
      <c r="M46" s="143"/>
      <c r="N46" s="92"/>
      <c r="O46" s="144"/>
      <c r="P46" s="144"/>
      <c r="Q46" s="144"/>
      <c r="R46" s="144"/>
      <c r="S46" s="144"/>
      <c r="T46" s="144"/>
      <c r="U46" s="145"/>
      <c r="V46" s="143"/>
      <c r="W46" s="69"/>
    </row>
    <row r="47" spans="2:23" s="70" customFormat="1" x14ac:dyDescent="0.25">
      <c r="B47" s="68"/>
      <c r="C47" s="394" t="s">
        <v>737</v>
      </c>
      <c r="D47" s="559"/>
      <c r="E47" s="559"/>
      <c r="F47" s="559"/>
      <c r="G47" s="559"/>
      <c r="H47" s="559"/>
      <c r="I47" s="316"/>
      <c r="J47" s="317"/>
      <c r="K47" s="317"/>
      <c r="L47" s="317"/>
      <c r="M47" s="318"/>
      <c r="N47" s="319"/>
      <c r="O47" s="320"/>
      <c r="P47" s="320"/>
      <c r="Q47" s="320"/>
      <c r="R47" s="320"/>
      <c r="S47" s="320"/>
      <c r="T47" s="320"/>
      <c r="U47" s="321"/>
      <c r="V47" s="317"/>
      <c r="W47" s="69"/>
    </row>
    <row r="48" spans="2:23" s="70" customFormat="1" x14ac:dyDescent="0.25">
      <c r="B48" s="68"/>
      <c r="C48" s="4" t="s">
        <v>880</v>
      </c>
      <c r="D48" s="153" t="s">
        <v>867</v>
      </c>
      <c r="E48" s="2" t="s">
        <v>847</v>
      </c>
      <c r="F48" s="2" t="s">
        <v>383</v>
      </c>
      <c r="G48" s="2" t="s">
        <v>862</v>
      </c>
      <c r="H48" s="153"/>
      <c r="I48" s="32" t="s">
        <v>677</v>
      </c>
      <c r="J48" s="2" t="str">
        <f>VLOOKUP($C48,'A. All deals (a)'!$C$6:$Q$58,J$5,0)</f>
        <v>Unrealized</v>
      </c>
      <c r="K48" s="2" t="str">
        <f>VLOOKUP($C48,'A. All deals (a)'!$C$6:$Q$58,K$5,0)</f>
        <v>G42 Holding</v>
      </c>
      <c r="L48" s="6">
        <f>VLOOKUP($C48,'A. All deals (a)'!$C$6:$Q$58,L$5,0)</f>
        <v>2024</v>
      </c>
      <c r="M48" s="6" t="str">
        <f>VLOOKUP($C48,'A. All deals (a)'!$C$6:$Q$58,M$5,0)</f>
        <v>LP</v>
      </c>
      <c r="N48" s="90">
        <f>VLOOKUP($C48,'A. All deals (a)'!$C$6:$Q$58,N$5,0)</f>
        <v>3.125E-2</v>
      </c>
      <c r="O48" s="17">
        <f>VLOOKUP($C48,'A. All deals (a)'!$C$6:$Q$58,O$5,0)</f>
        <v>1559.7980400000001</v>
      </c>
      <c r="P48" s="17">
        <f>VLOOKUP($C48,'A. All deals (a)'!$C$6:$Q$58,P$5,0)</f>
        <v>386.49987300000009</v>
      </c>
      <c r="Q48" s="17">
        <f>VLOOKUP($C48,'A. All deals (a)'!$C$6:$Q$58,Q$5,0)</f>
        <v>1173.2981669999999</v>
      </c>
      <c r="R48" s="17">
        <f>VLOOKUP($C48,'A. All deals (a)'!$C$6:$Q$58,R$5,0)</f>
        <v>14.688852000000001</v>
      </c>
      <c r="S48" s="17">
        <f>VLOOKUP($C48,'A. All deals (a)'!$C$6:$Q$58,S$5,0)</f>
        <v>1011.278287</v>
      </c>
      <c r="T48" s="17">
        <f>VLOOKUP($C48,'A. All deals (a)'!$C$6:$Q$58,T$5,0)</f>
        <v>624.77841399999988</v>
      </c>
      <c r="U48" s="10">
        <f>VLOOKUP($C48,'A. All deals (a)'!$C$6:$Q$58,U$5,0)</f>
        <v>2.6545083470182664</v>
      </c>
      <c r="V48" s="87"/>
      <c r="W48" s="69"/>
    </row>
    <row r="49" spans="2:23" s="70" customFormat="1" x14ac:dyDescent="0.25">
      <c r="B49" s="68"/>
      <c r="C49" s="4" t="s">
        <v>709</v>
      </c>
      <c r="D49" s="153" t="s">
        <v>867</v>
      </c>
      <c r="E49" s="2" t="s">
        <v>847</v>
      </c>
      <c r="F49" s="2" t="s">
        <v>383</v>
      </c>
      <c r="G49" s="2" t="s">
        <v>862</v>
      </c>
      <c r="H49" s="153"/>
      <c r="I49" s="32" t="s">
        <v>710</v>
      </c>
      <c r="J49" s="2" t="str">
        <f>VLOOKUP($C49,'A. All deals (a)'!$C$6:$Q$58,J$5,0)</f>
        <v>Unrealized</v>
      </c>
      <c r="K49" s="2" t="str">
        <f>VLOOKUP($C49,'A. All deals (a)'!$C$6:$Q$58,K$5,0)</f>
        <v>G42 Holding</v>
      </c>
      <c r="L49" s="6">
        <f>VLOOKUP($C49,'A. All deals (a)'!$C$6:$Q$58,L$5,0)</f>
        <v>2024</v>
      </c>
      <c r="M49" s="6" t="str">
        <f>VLOOKUP($C49,'A. All deals (a)'!$C$6:$Q$58,M$5,0)</f>
        <v>LP</v>
      </c>
      <c r="N49" s="90">
        <f>VLOOKUP($C49,'A. All deals (a)'!$C$6:$Q$58,N$5,0)</f>
        <v>0.5</v>
      </c>
      <c r="O49" s="17">
        <f>VLOOKUP($C49,'A. All deals (a)'!$C$6:$Q$58,O$5,0)</f>
        <v>296.60196000000002</v>
      </c>
      <c r="P49" s="17">
        <f>VLOOKUP($C49,'A. All deals (a)'!$C$6:$Q$58,P$5,0)</f>
        <v>294.25154500000002</v>
      </c>
      <c r="Q49" s="17">
        <f>VLOOKUP($C49,'A. All deals (a)'!$C$6:$Q$58,Q$5,0)</f>
        <v>2.3504149999999999</v>
      </c>
      <c r="R49" s="17">
        <f>VLOOKUP($C49,'A. All deals (a)'!$C$6:$Q$58,R$5,0)</f>
        <v>0</v>
      </c>
      <c r="S49" s="17">
        <f>VLOOKUP($C49,'A. All deals (a)'!$C$6:$Q$58,S$5,0)</f>
        <v>1180.373331</v>
      </c>
      <c r="T49" s="17">
        <f>VLOOKUP($C49,'A. All deals (a)'!$C$6:$Q$58,T$5,0)</f>
        <v>886.12178599999993</v>
      </c>
      <c r="U49" s="10">
        <f>VLOOKUP($C49,'A. All deals (a)'!$C$6:$Q$58,U$5,0)</f>
        <v>4.0114431038926233</v>
      </c>
      <c r="V49" s="87"/>
      <c r="W49" s="69"/>
    </row>
    <row r="50" spans="2:23" s="70" customFormat="1" x14ac:dyDescent="0.25">
      <c r="B50" s="68"/>
      <c r="C50" s="4" t="s">
        <v>667</v>
      </c>
      <c r="D50" s="153" t="s">
        <v>867</v>
      </c>
      <c r="E50" s="2" t="s">
        <v>847</v>
      </c>
      <c r="F50" s="2" t="s">
        <v>383</v>
      </c>
      <c r="G50" s="2" t="s">
        <v>862</v>
      </c>
      <c r="H50" s="153"/>
      <c r="I50" s="32" t="s">
        <v>678</v>
      </c>
      <c r="J50" s="2" t="str">
        <f>VLOOKUP($C50,'A. All deals (a)'!$C$6:$Q$58,J$5,0)</f>
        <v>Unrealized</v>
      </c>
      <c r="K50" s="2" t="str">
        <f>VLOOKUP($C50,'A. All deals (a)'!$C$6:$Q$58,K$5,0)</f>
        <v>G42 Holding</v>
      </c>
      <c r="L50" s="6">
        <f>VLOOKUP($C50,'A. All deals (a)'!$C$6:$Q$58,L$5,0)</f>
        <v>2024</v>
      </c>
      <c r="M50" s="6" t="str">
        <f>VLOOKUP($C50,'A. All deals (a)'!$C$6:$Q$58,M$5,0)</f>
        <v>Equity</v>
      </c>
      <c r="N50" s="90">
        <f>VLOOKUP($C50,'A. All deals (a)'!$C$6:$Q$58,N$5,0)</f>
        <v>0</v>
      </c>
      <c r="O50" s="17">
        <f>VLOOKUP($C50,'A. All deals (a)'!$C$6:$Q$58,O$5,0)</f>
        <v>25</v>
      </c>
      <c r="P50" s="17">
        <f>VLOOKUP($C50,'A. All deals (a)'!$C$6:$Q$58,P$5,0)</f>
        <v>25</v>
      </c>
      <c r="Q50" s="17">
        <f>VLOOKUP($C50,'A. All deals (a)'!$C$6:$Q$58,Q$5,0)</f>
        <v>0</v>
      </c>
      <c r="R50" s="17">
        <f>VLOOKUP($C50,'A. All deals (a)'!$C$6:$Q$58,R$5,0)</f>
        <v>0</v>
      </c>
      <c r="S50" s="17">
        <f>VLOOKUP($C50,'A. All deals (a)'!$C$6:$Q$58,S$5,0)</f>
        <v>25</v>
      </c>
      <c r="T50" s="17">
        <f>VLOOKUP($C50,'A. All deals (a)'!$C$6:$Q$58,T$5,0)</f>
        <v>0</v>
      </c>
      <c r="U50" s="10">
        <f>VLOOKUP($C50,'A. All deals (a)'!$C$6:$Q$58,U$5,0)</f>
        <v>1</v>
      </c>
      <c r="V50" s="87"/>
      <c r="W50" s="69"/>
    </row>
    <row r="51" spans="2:23" s="70" customFormat="1" x14ac:dyDescent="0.25">
      <c r="B51" s="68"/>
      <c r="C51" s="5"/>
      <c r="D51" s="143"/>
      <c r="E51" s="143"/>
      <c r="F51" s="143"/>
      <c r="G51" s="143"/>
      <c r="H51" s="143"/>
      <c r="I51" s="13"/>
      <c r="J51" s="7"/>
      <c r="K51" s="7"/>
      <c r="L51" s="7"/>
      <c r="M51" s="14"/>
      <c r="N51" s="168"/>
      <c r="O51" s="24"/>
      <c r="P51" s="24"/>
      <c r="Q51" s="24"/>
      <c r="R51" s="24"/>
      <c r="S51" s="24"/>
      <c r="T51" s="24"/>
      <c r="U51" s="15"/>
      <c r="V51" s="178"/>
      <c r="W51" s="69"/>
    </row>
    <row r="52" spans="2:23" s="70" customFormat="1" x14ac:dyDescent="0.25">
      <c r="B52" s="68"/>
      <c r="C52" s="9"/>
      <c r="D52" s="9"/>
      <c r="E52" s="9"/>
      <c r="F52" s="9"/>
      <c r="G52" s="9"/>
      <c r="H52" s="9"/>
      <c r="I52" s="9"/>
      <c r="J52" s="9"/>
      <c r="K52" s="9"/>
      <c r="L52" s="9"/>
      <c r="M52" s="9"/>
      <c r="N52" s="93"/>
      <c r="O52" s="18">
        <f t="shared" ref="O52:T52" si="2">SUM(O48:O50)</f>
        <v>1881.4</v>
      </c>
      <c r="P52" s="18">
        <f t="shared" si="2"/>
        <v>705.75141800000006</v>
      </c>
      <c r="Q52" s="18">
        <f t="shared" si="2"/>
        <v>1175.648582</v>
      </c>
      <c r="R52" s="18">
        <f t="shared" si="2"/>
        <v>14.688852000000001</v>
      </c>
      <c r="S52" s="18">
        <f t="shared" si="2"/>
        <v>2216.6516179999999</v>
      </c>
      <c r="T52" s="18">
        <f t="shared" si="2"/>
        <v>1510.9001999999998</v>
      </c>
      <c r="U52" s="11">
        <f>(R52+S52)/P52</f>
        <v>3.1616521243744775</v>
      </c>
      <c r="V52" s="9"/>
      <c r="W52" s="69"/>
    </row>
    <row r="53" spans="2:23" s="70" customFormat="1" x14ac:dyDescent="0.25">
      <c r="B53" s="68"/>
      <c r="C53" s="143"/>
      <c r="D53" s="143"/>
      <c r="E53" s="143"/>
      <c r="F53" s="143"/>
      <c r="G53" s="143"/>
      <c r="H53" s="143"/>
      <c r="I53" s="143"/>
      <c r="J53" s="143"/>
      <c r="K53" s="143"/>
      <c r="L53" s="143"/>
      <c r="M53" s="143"/>
      <c r="N53" s="92"/>
      <c r="O53" s="144"/>
      <c r="P53" s="144"/>
      <c r="Q53" s="144"/>
      <c r="R53" s="144"/>
      <c r="S53" s="144"/>
      <c r="T53" s="144"/>
      <c r="U53" s="145"/>
      <c r="V53" s="143"/>
      <c r="W53" s="69"/>
    </row>
    <row r="54" spans="2:23" s="70" customFormat="1" x14ac:dyDescent="0.25">
      <c r="B54" s="68"/>
      <c r="C54" s="333"/>
      <c r="D54" s="334"/>
      <c r="E54" s="334"/>
      <c r="F54" s="334"/>
      <c r="G54" s="334"/>
      <c r="H54" s="334"/>
      <c r="I54" s="333"/>
      <c r="J54" s="334"/>
      <c r="K54" s="334"/>
      <c r="L54" s="334"/>
      <c r="M54" s="334"/>
      <c r="N54" s="388"/>
      <c r="O54" s="389">
        <f t="shared" ref="O54:T54" ca="1" si="3">O20+O30+O40+O45+O52</f>
        <v>3000.1777248180879</v>
      </c>
      <c r="P54" s="389">
        <f t="shared" ca="1" si="3"/>
        <v>1812.9114696091117</v>
      </c>
      <c r="Q54" s="389">
        <f t="shared" ca="1" si="3"/>
        <v>1187.2662552089762</v>
      </c>
      <c r="R54" s="389">
        <f t="shared" ca="1" si="3"/>
        <v>114.64680807798079</v>
      </c>
      <c r="S54" s="389">
        <f t="shared" ca="1" si="3"/>
        <v>4542.7061811143221</v>
      </c>
      <c r="T54" s="552">
        <f t="shared" ca="1" si="3"/>
        <v>2829.7526675831914</v>
      </c>
      <c r="U54" s="390">
        <f ca="1">(R54+S54)/P54</f>
        <v>2.5689908565675803</v>
      </c>
      <c r="V54" s="334"/>
      <c r="W54" s="69"/>
    </row>
    <row r="55" spans="2:23" s="176" customFormat="1" ht="15.75" thickBot="1" x14ac:dyDescent="0.3">
      <c r="B55" s="169"/>
      <c r="C55" s="170"/>
      <c r="D55" s="560"/>
      <c r="E55" s="560"/>
      <c r="F55" s="560"/>
      <c r="G55" s="560"/>
      <c r="H55" s="560"/>
      <c r="I55" s="170"/>
      <c r="J55" s="171"/>
      <c r="K55" s="171"/>
      <c r="L55" s="171"/>
      <c r="M55" s="171"/>
      <c r="N55" s="172"/>
      <c r="O55" s="173"/>
      <c r="P55" s="173"/>
      <c r="Q55" s="173"/>
      <c r="R55" s="173"/>
      <c r="S55" s="173"/>
      <c r="T55" s="173"/>
      <c r="U55" s="174"/>
      <c r="V55" s="171"/>
      <c r="W55" s="175"/>
    </row>
    <row r="56" spans="2:23" x14ac:dyDescent="0.25">
      <c r="N56" s="76"/>
    </row>
    <row r="57" spans="2:23" x14ac:dyDescent="0.25">
      <c r="M57" s="195"/>
      <c r="N57" s="190"/>
      <c r="O57" s="414"/>
      <c r="P57" s="414"/>
      <c r="Q57" s="414"/>
      <c r="R57" s="414"/>
      <c r="S57" s="414"/>
      <c r="T57" s="414"/>
    </row>
    <row r="58" spans="2:23" x14ac:dyDescent="0.25">
      <c r="B58" s="124"/>
      <c r="C58" s="124" t="s">
        <v>587</v>
      </c>
      <c r="D58" s="105"/>
      <c r="E58" s="105"/>
      <c r="F58" s="105"/>
      <c r="G58" s="105"/>
      <c r="H58" s="105"/>
      <c r="I58" s="5"/>
      <c r="J58" s="7"/>
      <c r="K58" s="7"/>
      <c r="L58" s="7"/>
      <c r="M58" s="196"/>
      <c r="N58" s="108"/>
      <c r="O58" s="414"/>
      <c r="P58" s="414"/>
      <c r="Q58" s="414"/>
      <c r="R58" s="414"/>
      <c r="S58" s="414"/>
      <c r="T58" s="414"/>
      <c r="U58" s="15"/>
      <c r="V58" s="7"/>
    </row>
    <row r="59" spans="2:23" x14ac:dyDescent="0.25">
      <c r="B59" s="124"/>
      <c r="C59" s="391" t="s">
        <v>541</v>
      </c>
      <c r="D59" s="561"/>
      <c r="E59" s="561"/>
      <c r="F59" s="561"/>
      <c r="G59" s="561"/>
      <c r="H59" s="561"/>
      <c r="I59" s="392"/>
      <c r="J59" s="393"/>
      <c r="K59" s="187"/>
      <c r="L59" s="187"/>
      <c r="M59" s="187"/>
      <c r="N59" s="187"/>
      <c r="O59" s="414"/>
      <c r="P59" s="414"/>
      <c r="Q59" s="414"/>
      <c r="R59" s="414"/>
      <c r="S59" s="414"/>
      <c r="T59" s="414"/>
      <c r="U59" s="187"/>
    </row>
    <row r="60" spans="2:23" s="26" customFormat="1" x14ac:dyDescent="0.25">
      <c r="B60" s="25"/>
      <c r="C60" s="13"/>
      <c r="D60" s="7"/>
      <c r="E60" s="7"/>
      <c r="F60" s="7"/>
      <c r="G60" s="7"/>
      <c r="H60" s="7"/>
      <c r="I60" s="13"/>
      <c r="P60" s="212"/>
      <c r="W60" s="25"/>
    </row>
    <row r="61" spans="2:23" s="26" customFormat="1" x14ac:dyDescent="0.25">
      <c r="B61" s="25"/>
      <c r="C61" s="57"/>
      <c r="I61" s="57"/>
      <c r="J61" s="187"/>
      <c r="K61" s="187"/>
      <c r="L61" s="188"/>
      <c r="M61" s="187"/>
      <c r="N61" s="187"/>
      <c r="O61" s="187"/>
      <c r="P61" s="187"/>
      <c r="Q61" s="187"/>
      <c r="R61" s="187"/>
      <c r="S61" s="187"/>
      <c r="U61" s="187"/>
      <c r="W61" s="25"/>
    </row>
    <row r="62" spans="2:23" s="26" customFormat="1" x14ac:dyDescent="0.25">
      <c r="B62" s="25"/>
      <c r="C62" s="57"/>
      <c r="I62" s="57"/>
      <c r="S62" s="80"/>
      <c r="T62" s="80"/>
      <c r="W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3" max="1048575" man="1"/>
  </colBreaks>
  <ignoredErrors>
    <ignoredError sqref="T30 T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68" zoomScaleNormal="90" zoomScaleSheetLayoutView="85" workbookViewId="0">
      <selection activeCell="C23" sqref="C23:O23"/>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0"/>
      <c r="D1" s="130"/>
    </row>
    <row r="2" spans="2:20" ht="15.75" thickBot="1" x14ac:dyDescent="0.3">
      <c r="C2" s="147" t="s">
        <v>161</v>
      </c>
      <c r="D2" s="148">
        <f>'D1'!D2</f>
        <v>46265</v>
      </c>
      <c r="F2" s="25"/>
      <c r="G2" s="25"/>
      <c r="H2" s="25"/>
      <c r="I2" s="25"/>
      <c r="J2" s="25"/>
      <c r="K2" s="25"/>
      <c r="L2" s="25"/>
      <c r="M2" s="25"/>
      <c r="N2" s="25"/>
      <c r="O2" s="25"/>
      <c r="P2" s="25"/>
      <c r="Q2" s="25"/>
      <c r="R2" s="25"/>
      <c r="S2" s="25"/>
    </row>
    <row r="3" spans="2:20" ht="21.75" customHeight="1" thickBot="1" x14ac:dyDescent="0.3">
      <c r="C3" s="130" t="s">
        <v>586</v>
      </c>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1"/>
      <c r="C5" s="192"/>
      <c r="D5" s="192"/>
      <c r="E5" s="193">
        <v>2</v>
      </c>
      <c r="F5" s="193"/>
      <c r="G5" s="193">
        <v>4</v>
      </c>
      <c r="H5" s="193">
        <v>5</v>
      </c>
      <c r="I5" s="193">
        <v>6</v>
      </c>
      <c r="J5" s="193">
        <v>7</v>
      </c>
      <c r="K5" s="193">
        <v>8</v>
      </c>
      <c r="L5" s="193">
        <v>9</v>
      </c>
      <c r="M5" s="193">
        <v>10</v>
      </c>
      <c r="N5" s="193">
        <v>11</v>
      </c>
      <c r="O5" s="193">
        <v>12</v>
      </c>
      <c r="P5" s="193">
        <v>13</v>
      </c>
      <c r="Q5" s="193"/>
      <c r="R5" s="193">
        <v>14</v>
      </c>
      <c r="S5" s="193">
        <v>15</v>
      </c>
      <c r="T5" s="194"/>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337</v>
      </c>
      <c r="R6" s="1" t="s">
        <v>34</v>
      </c>
      <c r="S6" s="1" t="s">
        <v>365</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394" t="s">
        <v>520</v>
      </c>
      <c r="D8" s="316"/>
      <c r="E8" s="317"/>
      <c r="F8" s="317"/>
      <c r="G8" s="317"/>
      <c r="H8" s="317"/>
      <c r="I8" s="318"/>
      <c r="J8" s="319"/>
      <c r="K8" s="320"/>
      <c r="L8" s="320"/>
      <c r="M8" s="320"/>
      <c r="N8" s="320"/>
      <c r="O8" s="320"/>
      <c r="P8" s="320"/>
      <c r="Q8" s="320"/>
      <c r="R8" s="321"/>
      <c r="S8" s="317"/>
      <c r="T8" s="67"/>
    </row>
    <row r="9" spans="2:20" x14ac:dyDescent="0.25">
      <c r="B9" s="66"/>
      <c r="C9" s="379" t="s">
        <v>338</v>
      </c>
      <c r="D9" s="380" t="s">
        <v>243</v>
      </c>
      <c r="E9" s="381" t="str">
        <f>VLOOKUP($C9,'A. All deals (a)'!$C$6:$Q$58,E$5,0)</f>
        <v>Unrealized</v>
      </c>
      <c r="F9" s="381"/>
      <c r="G9" s="381" t="str">
        <f>VLOOKUP($C9,'A. All deals (a)'!$C$6:$Q$58,G$5,0)</f>
        <v>Mozn</v>
      </c>
      <c r="H9" s="382">
        <f>VLOOKUP($C9,'A. All deals (a)'!$C$6:$Q$58,H$5,0)</f>
        <v>2023</v>
      </c>
      <c r="I9" s="382" t="str">
        <f>VLOOKUP($C9,'A. All deals (a)'!$C$6:$Q$58,I$5,0)</f>
        <v>Tokens</v>
      </c>
      <c r="J9" s="383" t="str">
        <f>VLOOKUP($C9,'A. All deals (a)'!$C$6:$Q$58,J$5,0)</f>
        <v>NA</v>
      </c>
      <c r="K9" s="384">
        <f ca="1">VLOOKUP($C9,'A. All deals (a)'!$C$6:$Q$58,K$5,0)</f>
        <v>6.875E-3</v>
      </c>
      <c r="L9" s="384">
        <f ca="1">VLOOKUP($C9,'A. All deals (a)'!$C$6:$Q$58,L$5,0)</f>
        <v>6.875E-3</v>
      </c>
      <c r="M9" s="384">
        <f ca="1">VLOOKUP($C9,'A. All deals (a)'!$C$6:$Q$58,M$5,0)</f>
        <v>0</v>
      </c>
      <c r="N9" s="384">
        <f ca="1">VLOOKUP($C9,'A. All deals (a)'!$C$6:$Q$58,N$5,0)</f>
        <v>100</v>
      </c>
      <c r="O9" s="384">
        <f>VLOOKUP($C9,'A. All deals (a)'!$C$6:$Q$58,O$5,0)</f>
        <v>0</v>
      </c>
      <c r="P9" s="384">
        <f ca="1">VLOOKUP($C9,'A. All deals (a)'!$C$6:$Q$58,P$5,0)</f>
        <v>99.993125000000006</v>
      </c>
      <c r="Q9" s="384" t="s">
        <v>118</v>
      </c>
      <c r="R9" s="385" t="str">
        <f>VLOOKUP($C9,'A. All deals (a)'!$C$6:$Q$58,R$5,0)</f>
        <v>NM</v>
      </c>
      <c r="S9" s="381" t="s">
        <v>655</v>
      </c>
      <c r="T9" s="67"/>
    </row>
    <row r="10" spans="2:20" x14ac:dyDescent="0.25">
      <c r="B10" s="66"/>
      <c r="C10" s="379" t="s">
        <v>68</v>
      </c>
      <c r="D10" s="380" t="s">
        <v>243</v>
      </c>
      <c r="E10" s="381" t="str">
        <f>VLOOKUP($C10,'A. All deals (a)'!$C$6:$Q$58,E$5,0)</f>
        <v>Realized</v>
      </c>
      <c r="F10" s="381"/>
      <c r="G10" s="381" t="str">
        <f>VLOOKUP($C10,'A. All deals (a)'!$C$6:$Q$58,G$5,0)</f>
        <v>Mozn 2</v>
      </c>
      <c r="H10" s="382">
        <f>VLOOKUP($C10,'A. All deals (a)'!$C$6:$Q$58,H$5,0)</f>
        <v>2022</v>
      </c>
      <c r="I10" s="382" t="str">
        <f>VLOOKUP($C10,'A. All deals (a)'!$C$6:$Q$58,I$5,0)</f>
        <v>Equity-TBC</v>
      </c>
      <c r="J10" s="383" t="str">
        <f>VLOOKUP($C10,'A. All deals (a)'!$C$6:$Q$58,J$5,0)</f>
        <v>NA</v>
      </c>
      <c r="K10" s="384">
        <f ca="1">VLOOKUP($C10,'A. All deals (a)'!$C$6:$Q$58,K$5,0)</f>
        <v>493.50095619999996</v>
      </c>
      <c r="L10" s="384">
        <f ca="1">VLOOKUP($C10,'A. All deals (a)'!$C$6:$Q$58,L$5,0)</f>
        <v>493.50095619999996</v>
      </c>
      <c r="M10" s="384">
        <f>VLOOKUP($C10,'A. All deals (a)'!$C$6:$Q$58,M$5,0)</f>
        <v>0</v>
      </c>
      <c r="N10" s="384">
        <f ca="1">VLOOKUP($C10,'A. All deals (a)'!$C$6:$Q$58,N$5,0)</f>
        <v>403</v>
      </c>
      <c r="O10" s="384">
        <f>VLOOKUP($C10,'A. All deals (a)'!$C$6:$Q$58,O$5,0)</f>
        <v>0</v>
      </c>
      <c r="P10" s="384">
        <f ca="1">VLOOKUP($C10,'A. All deals (a)'!$C$6:$Q$58,P$5,0)</f>
        <v>-90.500956199999962</v>
      </c>
      <c r="Q10" s="384">
        <v>-64.391000000000005</v>
      </c>
      <c r="R10" s="385">
        <f ca="1">VLOOKUP($C10,'A. All deals (a)'!$C$6:$Q$58,R$5,0)</f>
        <v>0.81661442584252486</v>
      </c>
      <c r="S10" s="381" t="s">
        <v>523</v>
      </c>
      <c r="T10" s="67"/>
    </row>
    <row r="11" spans="2:20" x14ac:dyDescent="0.25">
      <c r="B11" s="66"/>
      <c r="C11" s="379" t="s">
        <v>203</v>
      </c>
      <c r="D11" s="380" t="s">
        <v>244</v>
      </c>
      <c r="E11" s="381" t="str">
        <f>VLOOKUP($C11,'A. All deals (a)'!$C$6:$Q$58,E$5,0)</f>
        <v>Written-off</v>
      </c>
      <c r="F11" s="381"/>
      <c r="G11" s="381" t="str">
        <f>VLOOKUP($C11,'A. All deals (a)'!$C$6:$Q$58,G$5,0)</f>
        <v>Mozn</v>
      </c>
      <c r="H11" s="382">
        <f>VLOOKUP($C11,'A. All deals (a)'!$C$6:$Q$58,H$5,0)</f>
        <v>2021</v>
      </c>
      <c r="I11" s="382" t="str">
        <f>VLOOKUP($C11,'A. All deals (a)'!$C$6:$Q$58,I$5,0)</f>
        <v xml:space="preserve">Loan </v>
      </c>
      <c r="J11" s="383" t="str">
        <f>VLOOKUP($C11,'A. All deals (a)'!$C$6:$Q$58,J$5,0)</f>
        <v>n/a</v>
      </c>
      <c r="K11" s="384">
        <f>VLOOKUP($C11,'A. All deals (a)'!$C$6:$Q$58,K$5,0)</f>
        <v>2.3539819999999998</v>
      </c>
      <c r="L11" s="384">
        <f>VLOOKUP($C11,'A. All deals (a)'!$C$6:$Q$58,L$5,0)</f>
        <v>2.3539819999999998</v>
      </c>
      <c r="M11" s="384">
        <f>VLOOKUP($C11,'A. All deals (a)'!$C$6:$Q$58,M$5,0)</f>
        <v>0</v>
      </c>
      <c r="N11" s="384">
        <f>VLOOKUP($C11,'A. All deals (a)'!$C$6:$Q$58,N$5,0)</f>
        <v>0</v>
      </c>
      <c r="O11" s="384">
        <f>VLOOKUP($C11,'A. All deals (a)'!$C$6:$Q$58,O$5,0)</f>
        <v>0</v>
      </c>
      <c r="P11" s="384">
        <f>VLOOKUP($C11,'A. All deals (a)'!$C$6:$Q$58,P$5,0)</f>
        <v>-2.3539819999999998</v>
      </c>
      <c r="Q11" s="384">
        <v>0</v>
      </c>
      <c r="R11" s="385">
        <f>VLOOKUP($C11,'A. All deals (a)'!$C$6:$Q$58,R$5,0)</f>
        <v>0</v>
      </c>
      <c r="S11" s="381" t="s">
        <v>361</v>
      </c>
      <c r="T11" s="67"/>
    </row>
    <row r="12" spans="2:20" x14ac:dyDescent="0.25">
      <c r="B12" s="66"/>
      <c r="C12" s="379" t="s">
        <v>195</v>
      </c>
      <c r="D12" s="380" t="s">
        <v>244</v>
      </c>
      <c r="E12" s="381" t="str">
        <f>VLOOKUP($C12,'A. All deals (a)'!$C$6:$Q$58,E$5,0)</f>
        <v>Realized</v>
      </c>
      <c r="F12" s="381"/>
      <c r="G12" s="381" t="str">
        <f>VLOOKUP($C12,'A. All deals (a)'!$C$6:$Q$58,G$5,0)</f>
        <v>Mozn</v>
      </c>
      <c r="H12" s="382">
        <f>VLOOKUP($C12,'A. All deals (a)'!$C$6:$Q$58,H$5,0)</f>
        <v>2021</v>
      </c>
      <c r="I12" s="382" t="str">
        <f>VLOOKUP($C12,'A. All deals (a)'!$C$6:$Q$58,I$5,0)</f>
        <v xml:space="preserve">Loan </v>
      </c>
      <c r="J12" s="383" t="str">
        <f>VLOOKUP($C12,'A. All deals (a)'!$C$6:$Q$58,J$5,0)</f>
        <v>n/a</v>
      </c>
      <c r="K12" s="384">
        <f>VLOOKUP($C12,'A. All deals (a)'!$C$6:$Q$58,K$5,0)</f>
        <v>0.41176499999999999</v>
      </c>
      <c r="L12" s="384">
        <f>VLOOKUP($C12,'A. All deals (a)'!$C$6:$Q$58,L$5,0)</f>
        <v>0.41176499999999999</v>
      </c>
      <c r="M12" s="384">
        <f>VLOOKUP($C12,'A. All deals (a)'!$C$6:$Q$58,M$5,0)</f>
        <v>0</v>
      </c>
      <c r="N12" s="384">
        <f>VLOOKUP($C12,'A. All deals (a)'!$C$6:$Q$58,N$5,0)</f>
        <v>0.47078465000000003</v>
      </c>
      <c r="O12" s="384">
        <f>VLOOKUP($C12,'A. All deals (a)'!$C$6:$Q$58,O$5,0)</f>
        <v>0</v>
      </c>
      <c r="P12" s="384">
        <f>VLOOKUP($C12,'A. All deals (a)'!$C$6:$Q$58,P$5,0)</f>
        <v>5.9019650000000035E-2</v>
      </c>
      <c r="Q12" s="384">
        <v>5.9019650000000035E-2</v>
      </c>
      <c r="R12" s="385">
        <f>VLOOKUP($C12,'A. All deals (a)'!$C$6:$Q$58,R$5,0)</f>
        <v>1.1433333333333333</v>
      </c>
      <c r="S12" s="381" t="s">
        <v>523</v>
      </c>
      <c r="T12" s="67"/>
    </row>
    <row r="13" spans="2:20" x14ac:dyDescent="0.25">
      <c r="B13" s="66"/>
      <c r="C13" s="379" t="s">
        <v>18</v>
      </c>
      <c r="D13" s="380" t="s">
        <v>243</v>
      </c>
      <c r="E13" s="381" t="str">
        <f>VLOOKUP($C13,'A. All deals (a)'!$C$6:$Q$58,E$5,0)</f>
        <v>Realized</v>
      </c>
      <c r="F13" s="381"/>
      <c r="G13" s="381" t="str">
        <f>VLOOKUP($C13,'A. All deals (a)'!$C$6:$Q$58,G$5,0)</f>
        <v>Mozn 1</v>
      </c>
      <c r="H13" s="382">
        <f>VLOOKUP($C13,'A. All deals (a)'!$C$6:$Q$58,H$5,0)</f>
        <v>2021</v>
      </c>
      <c r="I13" s="382" t="str">
        <f>VLOOKUP($C13,'A. All deals (a)'!$C$6:$Q$58,I$5,0)</f>
        <v>A (Ordinary Shares)</v>
      </c>
      <c r="J13" s="383">
        <f>VLOOKUP($C13,'A. All deals (a)'!$C$6:$Q$58,J$5,0)</f>
        <v>0.03</v>
      </c>
      <c r="K13" s="384">
        <f ca="1">VLOOKUP($C13,'A. All deals (a)'!$C$6:$Q$58,K$5,0)</f>
        <v>20</v>
      </c>
      <c r="L13" s="384">
        <f ca="1">VLOOKUP($C13,'A. All deals (a)'!$C$6:$Q$58,L$5,0)</f>
        <v>20</v>
      </c>
      <c r="M13" s="384">
        <f>VLOOKUP($C13,'A. All deals (a)'!$C$6:$Q$58,M$5,0)</f>
        <v>0</v>
      </c>
      <c r="N13" s="384">
        <f ca="1">VLOOKUP($C13,'A. All deals (a)'!$C$6:$Q$58,N$5,0)</f>
        <v>24.5</v>
      </c>
      <c r="O13" s="384">
        <f>VLOOKUP($C13,'A. All deals (a)'!$C$6:$Q$58,O$5,0)</f>
        <v>0</v>
      </c>
      <c r="P13" s="384">
        <f ca="1">VLOOKUP($C13,'A. All deals (a)'!$C$6:$Q$58,P$5,0)</f>
        <v>4.5</v>
      </c>
      <c r="Q13" s="384">
        <v>0</v>
      </c>
      <c r="R13" s="385">
        <f ca="1">VLOOKUP($C13,'A. All deals (a)'!$C$6:$Q$58,R$5,0)</f>
        <v>1.2250000000000001</v>
      </c>
      <c r="S13" s="381" t="s">
        <v>523</v>
      </c>
      <c r="T13" s="67"/>
    </row>
    <row r="14" spans="2:20" x14ac:dyDescent="0.25">
      <c r="B14" s="66"/>
      <c r="C14" s="379" t="s">
        <v>42</v>
      </c>
      <c r="D14" s="380" t="s">
        <v>243</v>
      </c>
      <c r="E14" s="381" t="str">
        <f>VLOOKUP($C14,'A. All deals (a)'!$C$6:$Q$58,E$5,0)</f>
        <v>Realized</v>
      </c>
      <c r="F14" s="381"/>
      <c r="G14" s="381" t="str">
        <f>VLOOKUP($C14,'A. All deals (a)'!$C$6:$Q$58,G$5,0)</f>
        <v>Mozn</v>
      </c>
      <c r="H14" s="382">
        <f>VLOOKUP($C14,'A. All deals (a)'!$C$6:$Q$58,H$5,0)</f>
        <v>2021</v>
      </c>
      <c r="I14" s="382" t="str">
        <f>VLOOKUP($C14,'A. All deals (a)'!$C$6:$Q$58,I$5,0)</f>
        <v xml:space="preserve">B Prefs </v>
      </c>
      <c r="J14" s="383" t="str">
        <f>VLOOKUP($C14,'A. All deals (a)'!$C$6:$Q$58,J$5,0)</f>
        <v>NA</v>
      </c>
      <c r="K14" s="384">
        <f ca="1">VLOOKUP($C14,'A. All deals (a)'!$C$6:$Q$58,K$5,0)</f>
        <v>5.0237201984774336</v>
      </c>
      <c r="L14" s="384">
        <f ca="1">VLOOKUP($C14,'A. All deals (a)'!$C$6:$Q$58,L$5,0)</f>
        <v>5.0237201984774336</v>
      </c>
      <c r="M14" s="384">
        <f>VLOOKUP($C14,'A. All deals (a)'!$C$6:$Q$58,M$5,0)</f>
        <v>0</v>
      </c>
      <c r="N14" s="384">
        <f ca="1">VLOOKUP($C14,'A. All deals (a)'!$C$6:$Q$58,N$5,0)</f>
        <v>7.9421925299999989</v>
      </c>
      <c r="O14" s="384">
        <f>VLOOKUP($C14,'A. All deals (a)'!$C$6:$Q$58,O$5,0)</f>
        <v>0</v>
      </c>
      <c r="P14" s="384">
        <f ca="1">VLOOKUP($C14,'A. All deals (a)'!$C$6:$Q$58,P$5,0)</f>
        <v>2.9184723315225654</v>
      </c>
      <c r="Q14" s="384">
        <v>1.6721788054421767</v>
      </c>
      <c r="R14" s="385">
        <f ca="1">VLOOKUP($C14,'A. All deals (a)'!$C$6:$Q$58,R$5,0)</f>
        <v>1.5809384711368046</v>
      </c>
      <c r="S14" s="381" t="s">
        <v>523</v>
      </c>
      <c r="T14" s="67"/>
    </row>
    <row r="15" spans="2:20" x14ac:dyDescent="0.25">
      <c r="B15" s="66"/>
      <c r="C15" s="379" t="s">
        <v>39</v>
      </c>
      <c r="D15" s="380" t="s">
        <v>243</v>
      </c>
      <c r="E15" s="381" t="str">
        <f>VLOOKUP($C15,'A. All deals (a)'!$C$6:$Q$58,E$5,0)</f>
        <v>Realized</v>
      </c>
      <c r="F15" s="381"/>
      <c r="G15" s="381" t="str">
        <f>VLOOKUP($C15,'A. All deals (a)'!$C$6:$Q$58,G$5,0)</f>
        <v>Mozn</v>
      </c>
      <c r="H15" s="382">
        <f>VLOOKUP($C15,'A. All deals (a)'!$C$6:$Q$58,H$5,0)</f>
        <v>2020</v>
      </c>
      <c r="I15" s="382" t="str">
        <f>VLOOKUP($C15,'A. All deals (a)'!$C$6:$Q$58,I$5,0)</f>
        <v>Convertible Note</v>
      </c>
      <c r="J15" s="383" t="str">
        <f>VLOOKUP($C15,'A. All deals (a)'!$C$6:$Q$58,J$5,0)</f>
        <v>NA</v>
      </c>
      <c r="K15" s="384">
        <f ca="1">VLOOKUP($C15,'A. All deals (a)'!$C$6:$Q$58,K$5,0)</f>
        <v>2.5</v>
      </c>
      <c r="L15" s="384">
        <f ca="1">VLOOKUP($C15,'A. All deals (a)'!$C$6:$Q$58,L$5,0)</f>
        <v>2.5</v>
      </c>
      <c r="M15" s="384">
        <f>VLOOKUP($C15,'A. All deals (a)'!$C$6:$Q$58,M$5,0)</f>
        <v>0</v>
      </c>
      <c r="N15" s="384">
        <f ca="1">VLOOKUP($C15,'A. All deals (a)'!$C$6:$Q$58,N$5,0)</f>
        <v>5</v>
      </c>
      <c r="O15" s="384">
        <f>VLOOKUP($C15,'A. All deals (a)'!$C$6:$Q$58,O$5,0)</f>
        <v>0</v>
      </c>
      <c r="P15" s="384">
        <f ca="1">VLOOKUP($C15,'A. All deals (a)'!$C$6:$Q$58,P$5,0)</f>
        <v>2.5</v>
      </c>
      <c r="Q15" s="384">
        <v>2.5</v>
      </c>
      <c r="R15" s="385">
        <f ca="1">VLOOKUP($C15,'A. All deals (a)'!$C$6:$Q$58,R$5,0)</f>
        <v>2</v>
      </c>
      <c r="S15" s="381" t="s">
        <v>523</v>
      </c>
      <c r="T15" s="67"/>
    </row>
    <row r="16" spans="2:20" x14ac:dyDescent="0.25">
      <c r="B16" s="66"/>
      <c r="C16" s="379" t="s">
        <v>0</v>
      </c>
      <c r="D16" s="380" t="s">
        <v>243</v>
      </c>
      <c r="E16" s="381" t="str">
        <f>VLOOKUP($C16,'A. All deals (a)'!$C$6:$Q$58,E$5,0)</f>
        <v>Written-off</v>
      </c>
      <c r="F16" s="381"/>
      <c r="G16" s="381" t="str">
        <f>VLOOKUP($C16,'A. All deals (a)'!$C$6:$Q$58,G$5,0)</f>
        <v>Mozn</v>
      </c>
      <c r="H16" s="382">
        <f>VLOOKUP($C16,'A. All deals (a)'!$C$6:$Q$58,H$5,0)</f>
        <v>2019</v>
      </c>
      <c r="I16" s="382" t="str">
        <f>VLOOKUP($C16,'A. All deals (a)'!$C$6:$Q$58,I$5,0)</f>
        <v>B Prefs</v>
      </c>
      <c r="J16" s="383">
        <f>VLOOKUP($C16,'A. All deals (a)'!$C$6:$Q$58,J$5,0)</f>
        <v>0.14000000235296001</v>
      </c>
      <c r="K16" s="384">
        <f ca="1">VLOOKUP($C16,'A. All deals (a)'!$C$6:$Q$58,K$5,0)</f>
        <v>8</v>
      </c>
      <c r="L16" s="384">
        <f ca="1">VLOOKUP($C16,'A. All deals (a)'!$C$6:$Q$58,L$5,0)</f>
        <v>8</v>
      </c>
      <c r="M16" s="384">
        <f>VLOOKUP($C16,'A. All deals (a)'!$C$6:$Q$58,M$5,0)</f>
        <v>0</v>
      </c>
      <c r="N16" s="384">
        <f ca="1">VLOOKUP($C16,'A. All deals (a)'!$C$6:$Q$58,N$5,0)</f>
        <v>0</v>
      </c>
      <c r="O16" s="384">
        <f>VLOOKUP($C16,'A. All deals (a)'!$C$6:$Q$58,O$5,0)</f>
        <v>0</v>
      </c>
      <c r="P16" s="384">
        <f ca="1">VLOOKUP($C16,'A. All deals (a)'!$C$6:$Q$58,P$5,0)</f>
        <v>-8</v>
      </c>
      <c r="Q16" s="384">
        <v>-8</v>
      </c>
      <c r="R16" s="385">
        <f ca="1">VLOOKUP($C16,'A. All deals (a)'!$C$6:$Q$58,R$5,0)</f>
        <v>0</v>
      </c>
      <c r="S16" s="381" t="s">
        <v>361</v>
      </c>
      <c r="T16" s="67"/>
    </row>
    <row r="17" spans="2:20" x14ac:dyDescent="0.25">
      <c r="B17" s="66"/>
      <c r="C17" s="379" t="s">
        <v>47</v>
      </c>
      <c r="D17" s="380" t="s">
        <v>244</v>
      </c>
      <c r="E17" s="381" t="str">
        <f>VLOOKUP($C17,'A. All deals (a)'!$C$6:$Q$58,E$5,0)</f>
        <v>Written-off</v>
      </c>
      <c r="F17" s="381"/>
      <c r="G17" s="381" t="str">
        <f>VLOOKUP($C17,'A. All deals (a)'!$C$6:$Q$58,G$5,0)</f>
        <v>Mozn</v>
      </c>
      <c r="H17" s="382">
        <f>VLOOKUP($C17,'A. All deals (a)'!$C$6:$Q$58,H$5,0)</f>
        <v>2019</v>
      </c>
      <c r="I17" s="382" t="str">
        <f>VLOOKUP($C17,'A. All deals (a)'!$C$6:$Q$58,I$5,0)</f>
        <v>Promissory Note</v>
      </c>
      <c r="J17" s="383" t="str">
        <f>VLOOKUP($C17,'A. All deals (a)'!$C$6:$Q$58,J$5,0)</f>
        <v>n/a</v>
      </c>
      <c r="K17" s="384">
        <f>VLOOKUP($C17,'A. All deals (a)'!$C$6:$Q$58,K$5,0)</f>
        <v>8</v>
      </c>
      <c r="L17" s="384">
        <f>VLOOKUP($C17,'A. All deals (a)'!$C$6:$Q$58,L$5,0)</f>
        <v>8</v>
      </c>
      <c r="M17" s="384">
        <f>VLOOKUP($C17,'A. All deals (a)'!$C$6:$Q$58,M$5,0)</f>
        <v>0</v>
      </c>
      <c r="N17" s="384">
        <f>VLOOKUP($C17,'A. All deals (a)'!$C$6:$Q$58,N$5,0)</f>
        <v>0</v>
      </c>
      <c r="O17" s="384">
        <f>VLOOKUP($C17,'A. All deals (a)'!$C$6:$Q$58,O$5,0)</f>
        <v>0</v>
      </c>
      <c r="P17" s="384">
        <f>VLOOKUP($C17,'A. All deals (a)'!$C$6:$Q$58,P$5,0)</f>
        <v>-8</v>
      </c>
      <c r="Q17" s="384">
        <v>-8</v>
      </c>
      <c r="R17" s="385">
        <f>VLOOKUP($C17,'A. All deals (a)'!$C$6:$Q$58,R$5,0)</f>
        <v>0</v>
      </c>
      <c r="S17" s="381" t="str">
        <f>VLOOKUP($C17,'A. All deals (a)'!$C$6:$Q$58,S$5,0)</f>
        <v>In Default</v>
      </c>
      <c r="T17" s="67"/>
    </row>
    <row r="18" spans="2:20" x14ac:dyDescent="0.25">
      <c r="B18" s="66"/>
      <c r="C18" s="379" t="s">
        <v>46</v>
      </c>
      <c r="D18" s="380" t="s">
        <v>243</v>
      </c>
      <c r="E18" s="381" t="str">
        <f>VLOOKUP($C18,'A. All deals (a)'!$C$6:$Q$58,E$5,0)</f>
        <v>Written-off</v>
      </c>
      <c r="F18" s="381"/>
      <c r="G18" s="381" t="str">
        <f>VLOOKUP($C18,'A. All deals (a)'!$C$6:$Q$58,G$5,0)</f>
        <v>Mozn</v>
      </c>
      <c r="H18" s="382">
        <f>VLOOKUP($C18,'A. All deals (a)'!$C$6:$Q$58,H$5,0)</f>
        <v>2019</v>
      </c>
      <c r="I18" s="382" t="str">
        <f>VLOOKUP($C18,'A. All deals (a)'!$C$6:$Q$58,I$5,0)</f>
        <v>C+ Prefs</v>
      </c>
      <c r="J18" s="383">
        <f>VLOOKUP($C18,'A. All deals (a)'!$C$6:$Q$58,J$5,0)</f>
        <v>5.6999998161926343E-2</v>
      </c>
      <c r="K18" s="384">
        <f ca="1">VLOOKUP($C18,'A. All deals (a)'!$C$6:$Q$58,K$5,0)</f>
        <v>65</v>
      </c>
      <c r="L18" s="384">
        <f ca="1">VLOOKUP($C18,'A. All deals (a)'!$C$6:$Q$58,L$5,0)</f>
        <v>65</v>
      </c>
      <c r="M18" s="384">
        <f>VLOOKUP($C18,'A. All deals (a)'!$C$6:$Q$58,M$5,0)</f>
        <v>0</v>
      </c>
      <c r="N18" s="384">
        <f ca="1">VLOOKUP($C18,'A. All deals (a)'!$C$6:$Q$58,N$5,0)</f>
        <v>0</v>
      </c>
      <c r="O18" s="384">
        <f>VLOOKUP($C18,'A. All deals (a)'!$C$6:$Q$58,O$5,0)</f>
        <v>0</v>
      </c>
      <c r="P18" s="384">
        <f ca="1">VLOOKUP($C18,'A. All deals (a)'!$C$6:$Q$58,P$5,0)</f>
        <v>-65</v>
      </c>
      <c r="Q18" s="384">
        <v>-65</v>
      </c>
      <c r="R18" s="385">
        <f ca="1">VLOOKUP($C18,'A. All deals (a)'!$C$6:$Q$58,R$5,0)</f>
        <v>0</v>
      </c>
      <c r="S18" s="381" t="str">
        <f>VLOOKUP($C18,'A. All deals (a)'!$C$6:$Q$58,S$5,0)</f>
        <v>In Liquidation</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3"/>
      <c r="D21" s="143"/>
      <c r="E21" s="143"/>
      <c r="F21" s="143"/>
      <c r="G21" s="143"/>
      <c r="H21" s="143"/>
      <c r="I21" s="143"/>
      <c r="J21" s="92"/>
      <c r="K21" s="144"/>
      <c r="L21" s="144"/>
      <c r="M21" s="144"/>
      <c r="N21" s="144"/>
      <c r="O21" s="144"/>
      <c r="P21" s="144"/>
      <c r="Q21" s="144"/>
      <c r="R21" s="145"/>
      <c r="S21" s="143"/>
      <c r="T21" s="67"/>
    </row>
    <row r="22" spans="2:20" x14ac:dyDescent="0.25">
      <c r="B22" s="66"/>
      <c r="C22" s="394" t="s">
        <v>521</v>
      </c>
      <c r="D22" s="316"/>
      <c r="E22" s="317"/>
      <c r="F22" s="317"/>
      <c r="G22" s="317"/>
      <c r="H22" s="317"/>
      <c r="I22" s="318"/>
      <c r="J22" s="319"/>
      <c r="K22" s="320"/>
      <c r="L22" s="320"/>
      <c r="M22" s="320"/>
      <c r="N22" s="320"/>
      <c r="O22" s="320"/>
      <c r="P22" s="320"/>
      <c r="Q22" s="320"/>
      <c r="R22" s="321"/>
      <c r="S22" s="317"/>
      <c r="T22" s="67"/>
    </row>
    <row r="23" spans="2:20" x14ac:dyDescent="0.25">
      <c r="B23" s="66"/>
      <c r="C23" s="379" t="s">
        <v>35</v>
      </c>
      <c r="D23" s="380" t="s">
        <v>243</v>
      </c>
      <c r="E23" s="381" t="str">
        <f>VLOOKUP($C23,'A. All deals (a)'!$C$6:$Q$58,E$5,0)</f>
        <v>Realized</v>
      </c>
      <c r="F23" s="381"/>
      <c r="G23" s="381" t="str">
        <f>VLOOKUP($C23,'A. All deals (a)'!$C$6:$Q$58,G$5,0)</f>
        <v>G42 3</v>
      </c>
      <c r="H23" s="382">
        <f>VLOOKUP($C23,'A. All deals (a)'!$C$6:$Q$58,H$5,0)</f>
        <v>2022</v>
      </c>
      <c r="I23" s="382" t="str">
        <f>VLOOKUP($C23,'A. All deals (a)'!$C$6:$Q$58,I$5,0)</f>
        <v>Equity-TBC</v>
      </c>
      <c r="J23" s="383" t="str">
        <f>VLOOKUP($C23,'A. All deals (a)'!$C$6:$Q$58,J$5,0)</f>
        <v>NA</v>
      </c>
      <c r="K23" s="384">
        <f ca="1">VLOOKUP($C23,'A. All deals (a)'!$C$6:$Q$58,K$5,0)</f>
        <v>800</v>
      </c>
      <c r="L23" s="384">
        <f ca="1">VLOOKUP($C23,'A. All deals (a)'!$C$6:$Q$58,L$5,0)</f>
        <v>800</v>
      </c>
      <c r="M23" s="384">
        <f ca="1">VLOOKUP($C23,'A. All deals (a)'!$C$6:$Q$58,M$5,0)</f>
        <v>0</v>
      </c>
      <c r="N23" s="384">
        <f ca="1">VLOOKUP($C23,'A. All deals (a)'!$C$6:$Q$58,N$5,0)</f>
        <v>802.8</v>
      </c>
      <c r="O23" s="384">
        <f>VLOOKUP($C23,'A. All deals (a)'!$C$6:$Q$58,O$5,0)</f>
        <v>0</v>
      </c>
      <c r="P23" s="384">
        <f ca="1">VLOOKUP($C23,'A. All deals (a)'!$C$6:$Q$58,P$5,0)</f>
        <v>2.7999999999999545</v>
      </c>
      <c r="Q23" s="384">
        <v>54.67</v>
      </c>
      <c r="R23" s="385">
        <f ca="1">VLOOKUP($C23,'A. All deals (a)'!$C$6:$Q$58,R$5,0)</f>
        <v>1.0034999999999998</v>
      </c>
      <c r="S23" s="386"/>
      <c r="T23" s="67"/>
    </row>
    <row r="24" spans="2:20" x14ac:dyDescent="0.25">
      <c r="B24" s="66"/>
      <c r="C24" s="379" t="s">
        <v>12</v>
      </c>
      <c r="D24" s="380" t="s">
        <v>245</v>
      </c>
      <c r="E24" s="381" t="str">
        <f>VLOOKUP($C24,'A. All deals (a)'!$C$6:$Q$58,E$5,0)</f>
        <v>Realized</v>
      </c>
      <c r="F24" s="381"/>
      <c r="G24" s="381" t="str">
        <f>VLOOKUP($C24,'A. All deals (a)'!$C$6:$Q$58,G$5,0)</f>
        <v>G42 Investments</v>
      </c>
      <c r="H24" s="382">
        <f>VLOOKUP($C24,'A. All deals (a)'!$C$6:$Q$58,H$5,0)</f>
        <v>2020</v>
      </c>
      <c r="I24" s="382" t="str">
        <f>VLOOKUP($C24,'A. All deals (a)'!$C$6:$Q$58,I$5,0)</f>
        <v xml:space="preserve">LP </v>
      </c>
      <c r="J24" s="383" t="str">
        <f>VLOOKUP($C24,'A. All deals (a)'!$C$6:$Q$58,J$5,0)</f>
        <v>n/a</v>
      </c>
      <c r="K24" s="384">
        <f>VLOOKUP($C24,'A. All deals (a)'!$C$6:$Q$58,K$5,0)</f>
        <v>50</v>
      </c>
      <c r="L24" s="384">
        <f ca="1">VLOOKUP($C24,'A. All deals (a)'!$C$6:$Q$58,L$5,0)</f>
        <v>24.959693000000001</v>
      </c>
      <c r="M24" s="384">
        <f>VLOOKUP($C24,'A. All deals (a)'!$C$6:$Q$58,M$5,0)</f>
        <v>0</v>
      </c>
      <c r="N24" s="384">
        <f>VLOOKUP($C24,'A. All deals (a)'!$C$6:$Q$58,N$5,0)</f>
        <v>25.403521350000002</v>
      </c>
      <c r="O24" s="384">
        <f>VLOOKUP($C24,'A. All deals (a)'!$C$6:$Q$58,O$5,0)</f>
        <v>0</v>
      </c>
      <c r="P24" s="384">
        <f ca="1">VLOOKUP($C24,'A. All deals (a)'!$C$6:$Q$58,P$5,0)</f>
        <v>0.44382835000000043</v>
      </c>
      <c r="Q24" s="384">
        <v>-1.2649999999999999</v>
      </c>
      <c r="R24" s="385">
        <f ca="1">VLOOKUP($C24,'A. All deals (a)'!$C$6:$Q$58,R$5,0)</f>
        <v>1.0177818032457371</v>
      </c>
      <c r="S24" s="387"/>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3"/>
      <c r="D27" s="143"/>
      <c r="E27" s="143"/>
      <c r="F27" s="143"/>
      <c r="G27" s="143"/>
      <c r="H27" s="143"/>
      <c r="I27" s="143"/>
      <c r="J27" s="92"/>
      <c r="K27" s="144"/>
      <c r="L27" s="144"/>
      <c r="M27" s="144"/>
      <c r="N27" s="144"/>
      <c r="O27" s="144"/>
      <c r="P27" s="144"/>
      <c r="Q27" s="144"/>
      <c r="R27" s="145"/>
      <c r="S27" s="143"/>
      <c r="T27" s="69"/>
    </row>
    <row r="28" spans="2:20" s="70" customFormat="1" x14ac:dyDescent="0.25">
      <c r="B28" s="68"/>
      <c r="C28" s="394" t="s">
        <v>524</v>
      </c>
      <c r="D28" s="316"/>
      <c r="E28" s="317"/>
      <c r="F28" s="317"/>
      <c r="G28" s="317"/>
      <c r="H28" s="317"/>
      <c r="I28" s="318"/>
      <c r="J28" s="319"/>
      <c r="K28" s="320"/>
      <c r="L28" s="320"/>
      <c r="M28" s="320"/>
      <c r="N28" s="320"/>
      <c r="O28" s="320"/>
      <c r="P28" s="320"/>
      <c r="Q28" s="320"/>
      <c r="R28" s="321"/>
      <c r="S28" s="317"/>
      <c r="T28" s="69"/>
    </row>
    <row r="29" spans="2:20" x14ac:dyDescent="0.25">
      <c r="B29" s="66"/>
      <c r="C29" s="5"/>
      <c r="D29" s="13"/>
      <c r="E29" s="7"/>
      <c r="F29" s="7"/>
      <c r="G29" s="7"/>
      <c r="H29" s="7"/>
      <c r="I29" s="14"/>
      <c r="J29" s="168"/>
      <c r="K29" s="24"/>
      <c r="L29" s="24"/>
      <c r="M29" s="24"/>
      <c r="N29" s="24"/>
      <c r="O29" s="24"/>
      <c r="P29" s="24"/>
      <c r="Q29" s="24"/>
      <c r="R29" s="15"/>
      <c r="S29" s="178"/>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394" t="s">
        <v>525</v>
      </c>
      <c r="D32" s="316"/>
      <c r="E32" s="317"/>
      <c r="F32" s="317"/>
      <c r="G32" s="317"/>
      <c r="H32" s="317"/>
      <c r="I32" s="318"/>
      <c r="J32" s="319"/>
      <c r="K32" s="320"/>
      <c r="L32" s="320"/>
      <c r="M32" s="320"/>
      <c r="N32" s="320"/>
      <c r="O32" s="320"/>
      <c r="P32" s="320"/>
      <c r="Q32" s="320"/>
      <c r="R32" s="321"/>
      <c r="S32" s="317"/>
      <c r="T32" s="69"/>
    </row>
    <row r="33" spans="2:20" x14ac:dyDescent="0.25">
      <c r="B33" s="66"/>
      <c r="C33" s="5"/>
      <c r="D33" s="13"/>
      <c r="E33" s="7"/>
      <c r="F33" s="7"/>
      <c r="G33" s="7"/>
      <c r="H33" s="14"/>
      <c r="I33" s="14"/>
      <c r="J33" s="168"/>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3"/>
      <c r="D35" s="143"/>
      <c r="E35" s="143"/>
      <c r="F35" s="143"/>
      <c r="G35" s="143"/>
      <c r="H35" s="143"/>
      <c r="I35" s="143"/>
      <c r="J35" s="92"/>
      <c r="K35" s="144"/>
      <c r="L35" s="144"/>
      <c r="M35" s="144"/>
      <c r="N35" s="144"/>
      <c r="O35" s="144"/>
      <c r="P35" s="144"/>
      <c r="Q35" s="144"/>
      <c r="R35" s="145"/>
      <c r="S35" s="143"/>
      <c r="T35" s="69"/>
    </row>
    <row r="36" spans="2:20" s="70" customFormat="1" x14ac:dyDescent="0.25">
      <c r="B36" s="68"/>
      <c r="C36" s="333"/>
      <c r="D36" s="333"/>
      <c r="E36" s="334"/>
      <c r="F36" s="334"/>
      <c r="G36" s="334"/>
      <c r="H36" s="334"/>
      <c r="I36" s="334"/>
      <c r="J36" s="388"/>
      <c r="K36" s="389">
        <f t="shared" ref="K36:Q36" ca="1" si="2">K20+K26+K30+K34</f>
        <v>1454.7972983984773</v>
      </c>
      <c r="L36" s="389">
        <f t="shared" ca="1" si="2"/>
        <v>1429.7569913984776</v>
      </c>
      <c r="M36" s="389">
        <f t="shared" ca="1" si="2"/>
        <v>0</v>
      </c>
      <c r="N36" s="389">
        <f t="shared" ca="1" si="2"/>
        <v>1369.1164985299999</v>
      </c>
      <c r="O36" s="389">
        <f t="shared" si="2"/>
        <v>0</v>
      </c>
      <c r="P36" s="389">
        <f t="shared" ca="1" si="2"/>
        <v>-60.640492868477438</v>
      </c>
      <c r="Q36" s="389">
        <f t="shared" si="2"/>
        <v>-87.754801544557836</v>
      </c>
      <c r="R36" s="390">
        <f ca="1">(N36+O36)/L36</f>
        <v>0.95758685340705085</v>
      </c>
      <c r="S36" s="334"/>
      <c r="T36" s="69"/>
    </row>
    <row r="37" spans="2:20" s="176" customFormat="1" ht="15.75" thickBot="1" x14ac:dyDescent="0.3">
      <c r="B37" s="169"/>
      <c r="C37" s="170"/>
      <c r="D37" s="170"/>
      <c r="E37" s="171"/>
      <c r="F37" s="171"/>
      <c r="G37" s="171"/>
      <c r="H37" s="171"/>
      <c r="I37" s="171"/>
      <c r="J37" s="172"/>
      <c r="K37" s="173"/>
      <c r="L37" s="173"/>
      <c r="M37" s="173"/>
      <c r="N37" s="173"/>
      <c r="O37" s="173"/>
      <c r="P37" s="173"/>
      <c r="Q37" s="173"/>
      <c r="R37" s="174"/>
      <c r="S37" s="171"/>
      <c r="T37" s="175"/>
    </row>
    <row r="38" spans="2:20" x14ac:dyDescent="0.25">
      <c r="J38" s="76"/>
    </row>
    <row r="39" spans="2:20" x14ac:dyDescent="0.25">
      <c r="I39" s="195"/>
      <c r="J39" s="190"/>
      <c r="K39" s="190"/>
      <c r="L39" s="190"/>
      <c r="M39" s="219"/>
      <c r="N39" s="190"/>
      <c r="O39" s="190"/>
      <c r="P39" s="190"/>
      <c r="Q39" s="190"/>
    </row>
    <row r="40" spans="2:20" x14ac:dyDescent="0.25">
      <c r="B40" s="124"/>
      <c r="C40" s="124" t="s">
        <v>587</v>
      </c>
      <c r="D40" s="5"/>
      <c r="E40" s="7"/>
      <c r="F40" s="7"/>
      <c r="G40" s="7"/>
      <c r="H40" s="7"/>
      <c r="I40" s="196"/>
      <c r="J40" s="108"/>
      <c r="K40" s="197"/>
      <c r="L40" s="25"/>
      <c r="M40" s="25"/>
      <c r="N40" s="197"/>
      <c r="O40" s="197"/>
      <c r="P40" s="197"/>
      <c r="Q40" s="197"/>
      <c r="R40" s="15"/>
      <c r="S40" s="7"/>
    </row>
    <row r="41" spans="2:20" x14ac:dyDescent="0.25">
      <c r="B41" s="124"/>
      <c r="C41" s="391" t="s">
        <v>541</v>
      </c>
      <c r="D41" s="392"/>
      <c r="E41" s="393"/>
      <c r="F41" s="187"/>
      <c r="G41" s="187"/>
      <c r="H41" s="187"/>
      <c r="I41" s="187"/>
      <c r="J41" s="187"/>
      <c r="K41" s="187"/>
      <c r="L41" s="212"/>
      <c r="M41" s="187"/>
      <c r="N41" s="187"/>
      <c r="O41" s="187"/>
      <c r="P41" s="212"/>
      <c r="Q41" s="187"/>
      <c r="R41" s="187"/>
    </row>
    <row r="42" spans="2:20" s="26" customFormat="1" x14ac:dyDescent="0.25">
      <c r="B42" s="25"/>
      <c r="C42" s="13"/>
      <c r="D42" s="13"/>
      <c r="L42" s="212"/>
      <c r="T42" s="25"/>
    </row>
    <row r="43" spans="2:20" s="26" customFormat="1" x14ac:dyDescent="0.25">
      <c r="B43" s="25"/>
      <c r="C43" s="57"/>
      <c r="D43" s="57"/>
      <c r="E43" s="187"/>
      <c r="F43" s="187"/>
      <c r="G43" s="187"/>
      <c r="H43" s="188"/>
      <c r="I43" s="187"/>
      <c r="J43" s="187"/>
      <c r="K43" s="187"/>
      <c r="L43" s="187"/>
      <c r="M43" s="187"/>
      <c r="N43" s="187"/>
      <c r="O43" s="187"/>
      <c r="Q43" s="187"/>
      <c r="R43" s="187"/>
      <c r="T43" s="25"/>
    </row>
    <row r="44" spans="2:20" s="26" customFormat="1" x14ac:dyDescent="0.25">
      <c r="B44" s="25"/>
      <c r="C44" s="13"/>
      <c r="D44" s="13"/>
      <c r="E44" s="187"/>
      <c r="F44" s="187"/>
      <c r="G44" s="187"/>
      <c r="H44" s="189"/>
      <c r="L44" s="212"/>
      <c r="R44" s="187"/>
      <c r="T44" s="25"/>
    </row>
    <row r="45" spans="2:20" s="26" customFormat="1" x14ac:dyDescent="0.25">
      <c r="B45" s="25"/>
      <c r="C45" s="13"/>
      <c r="D45" s="13"/>
      <c r="E45" s="187"/>
      <c r="F45" s="187"/>
      <c r="G45" s="187"/>
      <c r="H45" s="187"/>
      <c r="I45" s="187"/>
      <c r="J45" s="187"/>
      <c r="K45" s="187"/>
      <c r="L45" s="187"/>
      <c r="M45" s="187"/>
      <c r="N45" s="187"/>
      <c r="O45" s="187"/>
      <c r="Q45" s="187"/>
      <c r="R45" s="187"/>
      <c r="T45" s="25"/>
    </row>
    <row r="46" spans="2:20" s="26" customFormat="1" x14ac:dyDescent="0.25">
      <c r="B46" s="25"/>
      <c r="C46" s="56"/>
      <c r="D46" s="56"/>
      <c r="H46" s="132"/>
      <c r="J46" s="57"/>
      <c r="R46" s="80"/>
      <c r="T46" s="25"/>
    </row>
    <row r="47" spans="2:20" s="26" customFormat="1" x14ac:dyDescent="0.25">
      <c r="B47" s="25"/>
      <c r="C47" s="56"/>
      <c r="D47" s="56"/>
      <c r="H47" s="132"/>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3"/>
  <sheetViews>
    <sheetView showGridLines="0" topLeftCell="A29" zoomScaleNormal="100" workbookViewId="0">
      <selection activeCell="G50" sqref="G50"/>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46" t="s">
        <v>251</v>
      </c>
      <c r="C2" s="347"/>
      <c r="D2" s="348"/>
      <c r="E2" s="349"/>
      <c r="F2" s="349"/>
      <c r="G2" s="349"/>
      <c r="H2" s="349"/>
      <c r="I2" s="349"/>
      <c r="J2" s="349"/>
      <c r="K2" s="349"/>
    </row>
    <row r="3" spans="2:15" s="43" customFormat="1" ht="36" customHeight="1" x14ac:dyDescent="0.2">
      <c r="B3" s="370" t="s">
        <v>4</v>
      </c>
      <c r="C3" s="370" t="s">
        <v>5</v>
      </c>
      <c r="D3" s="371" t="s">
        <v>6</v>
      </c>
      <c r="E3" s="372" t="s">
        <v>87</v>
      </c>
      <c r="F3" s="372" t="s">
        <v>125</v>
      </c>
      <c r="G3" s="372" t="s">
        <v>55</v>
      </c>
      <c r="H3" s="372" t="s">
        <v>340</v>
      </c>
      <c r="I3" s="372" t="s">
        <v>339</v>
      </c>
      <c r="J3" s="372" t="s">
        <v>128</v>
      </c>
      <c r="K3" s="372" t="s">
        <v>21</v>
      </c>
      <c r="N3" s="44"/>
      <c r="O3" s="44"/>
    </row>
    <row r="4" spans="2:15" ht="12.75" customHeight="1" x14ac:dyDescent="0.2">
      <c r="B4" s="350" t="str">
        <f>VLOOKUP(C4,'A. All deals (a)'!$C$9:$F$49,4,0)</f>
        <v>Mozn</v>
      </c>
      <c r="C4" s="351" t="s">
        <v>46</v>
      </c>
      <c r="D4" s="352">
        <v>43470</v>
      </c>
      <c r="E4" s="353">
        <f t="shared" ref="E4:E27" si="0">-I4*10^-6</f>
        <v>-30</v>
      </c>
      <c r="F4" s="354"/>
      <c r="G4" s="355" t="s">
        <v>10</v>
      </c>
      <c r="H4" s="354">
        <v>30000000</v>
      </c>
      <c r="I4" s="356">
        <f t="shared" ref="I4:I14" si="1">H4</f>
        <v>30000000</v>
      </c>
      <c r="J4" s="357">
        <v>6100312</v>
      </c>
      <c r="K4" s="355"/>
      <c r="L4" s="53"/>
    </row>
    <row r="5" spans="2:15" ht="12.75" customHeight="1" x14ac:dyDescent="0.2">
      <c r="B5" s="350" t="str">
        <f>VLOOKUP(C5,'A. All deals (a)'!$C$9:$F$49,4,0)</f>
        <v>Mozn</v>
      </c>
      <c r="C5" s="351" t="s">
        <v>46</v>
      </c>
      <c r="D5" s="352">
        <v>43724</v>
      </c>
      <c r="E5" s="353">
        <f t="shared" si="0"/>
        <v>-20</v>
      </c>
      <c r="F5" s="354"/>
      <c r="G5" s="355" t="s">
        <v>10</v>
      </c>
      <c r="H5" s="354">
        <v>20000000</v>
      </c>
      <c r="I5" s="356">
        <f t="shared" si="1"/>
        <v>20000000</v>
      </c>
      <c r="J5" s="357">
        <v>4204767.4285714282</v>
      </c>
      <c r="K5" s="355"/>
      <c r="L5" s="53"/>
    </row>
    <row r="6" spans="2:15" ht="12.75" customHeight="1" x14ac:dyDescent="0.2">
      <c r="B6" s="350" t="str">
        <f>VLOOKUP(C6,'A. All deals (a)'!$C$9:$F$49,4,0)</f>
        <v>Mozn</v>
      </c>
      <c r="C6" s="351" t="s">
        <v>46</v>
      </c>
      <c r="D6" s="352">
        <v>43724</v>
      </c>
      <c r="E6" s="353">
        <f t="shared" si="0"/>
        <v>-15</v>
      </c>
      <c r="F6" s="354"/>
      <c r="G6" s="355" t="s">
        <v>10</v>
      </c>
      <c r="H6" s="354">
        <v>15000000</v>
      </c>
      <c r="I6" s="356">
        <f t="shared" si="1"/>
        <v>15000000</v>
      </c>
      <c r="J6" s="357">
        <v>3153575.5714285714</v>
      </c>
      <c r="K6" s="355"/>
      <c r="L6" s="53"/>
    </row>
    <row r="7" spans="2:15" ht="12.75" customHeight="1" x14ac:dyDescent="0.2">
      <c r="B7" s="362" t="str">
        <f>VLOOKUP(C7,'A. All deals (a)'!$C$9:$F$49,4,0)</f>
        <v>Mozn</v>
      </c>
      <c r="C7" s="363" t="s">
        <v>0</v>
      </c>
      <c r="D7" s="364">
        <v>43563</v>
      </c>
      <c r="E7" s="365">
        <f t="shared" si="0"/>
        <v>-8</v>
      </c>
      <c r="F7" s="366"/>
      <c r="G7" s="367" t="s">
        <v>10</v>
      </c>
      <c r="H7" s="366">
        <v>8000000</v>
      </c>
      <c r="I7" s="368">
        <f t="shared" si="1"/>
        <v>8000000</v>
      </c>
      <c r="J7" s="369">
        <v>21419829</v>
      </c>
      <c r="K7" s="367"/>
      <c r="L7" s="53"/>
    </row>
    <row r="8" spans="2:15" ht="12.75" customHeight="1" x14ac:dyDescent="0.2">
      <c r="B8" s="350" t="str">
        <f>VLOOKUP(C8,'A. All deals (a)'!$C$9:$F$49,4,0)</f>
        <v>Mozn</v>
      </c>
      <c r="C8" s="351" t="s">
        <v>38</v>
      </c>
      <c r="D8" s="352">
        <v>43570</v>
      </c>
      <c r="E8" s="353">
        <f t="shared" si="0"/>
        <v>-4.9999980900000001</v>
      </c>
      <c r="F8" s="354"/>
      <c r="G8" s="355" t="s">
        <v>10</v>
      </c>
      <c r="H8" s="354">
        <v>4999998.09</v>
      </c>
      <c r="I8" s="356">
        <f t="shared" si="1"/>
        <v>4999998.09</v>
      </c>
      <c r="J8" s="357">
        <v>2625467</v>
      </c>
      <c r="K8" s="355"/>
      <c r="L8" s="53"/>
    </row>
    <row r="9" spans="2:15" ht="12.75" customHeight="1" x14ac:dyDescent="0.2">
      <c r="B9" s="350" t="str">
        <f>VLOOKUP(C9,'A. All deals (a)'!$C$9:$F$49,4,0)</f>
        <v>Mozn</v>
      </c>
      <c r="C9" s="351" t="s">
        <v>38</v>
      </c>
      <c r="D9" s="352">
        <v>43915</v>
      </c>
      <c r="E9" s="353">
        <f t="shared" si="0"/>
        <v>-5.0000019099999999</v>
      </c>
      <c r="F9" s="354"/>
      <c r="G9" s="355" t="s">
        <v>10</v>
      </c>
      <c r="H9" s="354">
        <f>10000000-H8</f>
        <v>5000001.91</v>
      </c>
      <c r="I9" s="356">
        <f t="shared" si="1"/>
        <v>5000001.91</v>
      </c>
      <c r="J9" s="357">
        <v>2580015</v>
      </c>
      <c r="K9" s="355"/>
      <c r="L9" s="53"/>
    </row>
    <row r="10" spans="2:15" ht="12.75" customHeight="1" x14ac:dyDescent="0.2">
      <c r="B10" s="362" t="str">
        <f>VLOOKUP(C10,'A. All deals (a)'!$C$9:$F$49,4,0)</f>
        <v>Mozn</v>
      </c>
      <c r="C10" s="363" t="s">
        <v>39</v>
      </c>
      <c r="D10" s="364">
        <v>43870</v>
      </c>
      <c r="E10" s="365">
        <f t="shared" si="0"/>
        <v>-2.5</v>
      </c>
      <c r="F10" s="366"/>
      <c r="G10" s="367" t="s">
        <v>10</v>
      </c>
      <c r="H10" s="366">
        <v>2500000</v>
      </c>
      <c r="I10" s="368">
        <f t="shared" si="1"/>
        <v>2500000</v>
      </c>
      <c r="J10" s="369" t="s">
        <v>69</v>
      </c>
      <c r="K10" s="367"/>
      <c r="L10" s="53"/>
    </row>
    <row r="11" spans="2:15" ht="12.75" customHeight="1" x14ac:dyDescent="0.2">
      <c r="B11" s="350" t="str">
        <f>VLOOKUP(C11,'A. All deals (a)'!$C$9:$F$49,4,0)</f>
        <v>Mozn</v>
      </c>
      <c r="C11" s="351" t="s">
        <v>37</v>
      </c>
      <c r="D11" s="352">
        <v>43879</v>
      </c>
      <c r="E11" s="353">
        <f t="shared" si="0"/>
        <v>-20</v>
      </c>
      <c r="F11" s="354"/>
      <c r="G11" s="355" t="s">
        <v>10</v>
      </c>
      <c r="H11" s="354">
        <v>20000000</v>
      </c>
      <c r="I11" s="356">
        <f t="shared" si="1"/>
        <v>20000000</v>
      </c>
      <c r="J11" s="357">
        <v>4084038</v>
      </c>
      <c r="K11" s="355"/>
      <c r="L11" s="53"/>
    </row>
    <row r="12" spans="2:15" ht="12.75" customHeight="1" x14ac:dyDescent="0.2">
      <c r="B12" s="350" t="str">
        <f>VLOOKUP(C12,'A. All deals (a)'!$C$9:$F$49,4,0)</f>
        <v>Mozn</v>
      </c>
      <c r="C12" s="351" t="s">
        <v>37</v>
      </c>
      <c r="D12" s="352">
        <v>43921</v>
      </c>
      <c r="E12" s="353">
        <f t="shared" si="0"/>
        <v>-30</v>
      </c>
      <c r="F12" s="354"/>
      <c r="G12" s="355" t="s">
        <v>10</v>
      </c>
      <c r="H12" s="354">
        <v>30000000</v>
      </c>
      <c r="I12" s="356">
        <f t="shared" si="1"/>
        <v>30000000</v>
      </c>
      <c r="J12" s="357">
        <v>5822642</v>
      </c>
      <c r="K12" s="355"/>
      <c r="L12" s="53"/>
    </row>
    <row r="13" spans="2:15" ht="12.75" customHeight="1" x14ac:dyDescent="0.2">
      <c r="B13" s="350" t="str">
        <f>VLOOKUP(C13,'A. All deals (a)'!$C$9:$F$49,4,0)</f>
        <v>Mozn</v>
      </c>
      <c r="C13" s="351" t="s">
        <v>37</v>
      </c>
      <c r="D13" s="352">
        <v>43989</v>
      </c>
      <c r="E13" s="353">
        <f t="shared" si="0"/>
        <v>-30</v>
      </c>
      <c r="F13" s="354"/>
      <c r="G13" s="355" t="s">
        <v>10</v>
      </c>
      <c r="H13" s="354">
        <v>30000000</v>
      </c>
      <c r="I13" s="356">
        <f t="shared" si="1"/>
        <v>30000000</v>
      </c>
      <c r="J13" s="357">
        <v>5822642</v>
      </c>
      <c r="K13" s="355"/>
      <c r="L13" s="53"/>
    </row>
    <row r="14" spans="2:15" ht="12.75" customHeight="1" x14ac:dyDescent="0.2">
      <c r="B14" s="350" t="str">
        <f>VLOOKUP(C14,'A. All deals (a)'!$C$9:$F$49,4,0)</f>
        <v>Mozn</v>
      </c>
      <c r="C14" s="351" t="s">
        <v>37</v>
      </c>
      <c r="D14" s="352">
        <v>44103</v>
      </c>
      <c r="E14" s="353">
        <f t="shared" si="0"/>
        <v>-10</v>
      </c>
      <c r="F14" s="354"/>
      <c r="G14" s="355" t="s">
        <v>10</v>
      </c>
      <c r="H14" s="354">
        <v>10000000</v>
      </c>
      <c r="I14" s="356">
        <f t="shared" si="1"/>
        <v>10000000</v>
      </c>
      <c r="J14" s="357">
        <v>1940880</v>
      </c>
      <c r="K14" s="355"/>
      <c r="L14" s="53"/>
    </row>
    <row r="15" spans="2:15" ht="12.75" customHeight="1" x14ac:dyDescent="0.2">
      <c r="B15" s="362" t="str">
        <f>VLOOKUP(C15,'A. All deals (a)'!$C$9:$F$49,4,0)</f>
        <v>Mozn</v>
      </c>
      <c r="C15" s="363" t="s">
        <v>84</v>
      </c>
      <c r="D15" s="364">
        <v>43968</v>
      </c>
      <c r="E15" s="365">
        <f t="shared" si="0"/>
        <v>-50</v>
      </c>
      <c r="F15" s="366"/>
      <c r="G15" s="367" t="s">
        <v>10</v>
      </c>
      <c r="H15" s="366">
        <v>50000000</v>
      </c>
      <c r="I15" s="368">
        <v>50000000</v>
      </c>
      <c r="J15" s="369">
        <v>15277680</v>
      </c>
      <c r="K15" s="367"/>
      <c r="L15" s="53"/>
    </row>
    <row r="16" spans="2:15" ht="12.75" customHeight="1" x14ac:dyDescent="0.2">
      <c r="B16" s="362" t="str">
        <f>VLOOKUP(C16,'A. All deals (a)'!$C$9:$F$49,4,0)</f>
        <v>Mozn</v>
      </c>
      <c r="C16" s="363" t="s">
        <v>84</v>
      </c>
      <c r="D16" s="364">
        <v>44006</v>
      </c>
      <c r="E16" s="365">
        <f t="shared" si="0"/>
        <v>-27.268350856443721</v>
      </c>
      <c r="F16" s="366"/>
      <c r="G16" s="367" t="s">
        <v>20</v>
      </c>
      <c r="H16" s="366">
        <v>21029625</v>
      </c>
      <c r="I16" s="368">
        <v>27268350.856443722</v>
      </c>
      <c r="J16" s="369">
        <v>9000000</v>
      </c>
      <c r="K16" s="367"/>
      <c r="L16" s="53"/>
    </row>
    <row r="17" spans="2:13" ht="12.75" customHeight="1" x14ac:dyDescent="0.2">
      <c r="B17" s="362" t="str">
        <f>VLOOKUP(C17,'A. All deals (a)'!$C$9:$F$49,4,0)</f>
        <v>Mozn</v>
      </c>
      <c r="C17" s="363" t="s">
        <v>84</v>
      </c>
      <c r="D17" s="364">
        <v>43837</v>
      </c>
      <c r="E17" s="365">
        <f t="shared" si="0"/>
        <v>-18.109441299619355</v>
      </c>
      <c r="F17" s="366"/>
      <c r="G17" s="367" t="s">
        <v>20</v>
      </c>
      <c r="H17" s="366">
        <v>14386480</v>
      </c>
      <c r="I17" s="368">
        <v>18109441.299619358</v>
      </c>
      <c r="J17" s="369">
        <v>6362180</v>
      </c>
      <c r="K17" s="367"/>
      <c r="L17" s="53"/>
    </row>
    <row r="18" spans="2:13" ht="12.75" customHeight="1" x14ac:dyDescent="0.2">
      <c r="B18" s="362" t="str">
        <f>VLOOKUP(C18,'A. All deals (a)'!$C$9:$F$49,4,0)</f>
        <v>Mozn</v>
      </c>
      <c r="C18" s="363" t="s">
        <v>84</v>
      </c>
      <c r="D18" s="364">
        <v>43990</v>
      </c>
      <c r="E18" s="365">
        <f t="shared" si="0"/>
        <v>-34.851687094159864</v>
      </c>
      <c r="F18" s="366"/>
      <c r="G18" s="367" t="s">
        <v>20</v>
      </c>
      <c r="H18" s="366">
        <v>26085572.879999999</v>
      </c>
      <c r="I18" s="368">
        <v>34851687.094159864</v>
      </c>
      <c r="J18" s="369">
        <v>11381140</v>
      </c>
      <c r="K18" s="367"/>
      <c r="L18" s="53"/>
    </row>
    <row r="19" spans="2:13" ht="12.75" customHeight="1" x14ac:dyDescent="0.2">
      <c r="B19" s="362" t="str">
        <f>VLOOKUP(C19,'A. All deals (a)'!$C$9:$F$49,4,0)</f>
        <v>Mozn</v>
      </c>
      <c r="C19" s="363" t="s">
        <v>84</v>
      </c>
      <c r="D19" s="364">
        <v>44315</v>
      </c>
      <c r="E19" s="365">
        <f t="shared" si="0"/>
        <v>-11.240780424143557</v>
      </c>
      <c r="F19" s="366"/>
      <c r="G19" s="367" t="s">
        <v>20</v>
      </c>
      <c r="H19" s="366">
        <v>8074920</v>
      </c>
      <c r="I19" s="368">
        <v>11240780.424143557</v>
      </c>
      <c r="J19" s="369">
        <v>2307120</v>
      </c>
      <c r="K19" s="367"/>
      <c r="L19" s="53"/>
    </row>
    <row r="20" spans="2:13" ht="12.75" customHeight="1" x14ac:dyDescent="0.2">
      <c r="B20" s="350" t="str">
        <f>VLOOKUP(C20,'A. All deals (a)'!$C$9:$F$49,4,0)</f>
        <v>Mozn</v>
      </c>
      <c r="C20" s="351" t="s">
        <v>9</v>
      </c>
      <c r="D20" s="550">
        <v>44166</v>
      </c>
      <c r="E20" s="551">
        <f t="shared" si="0"/>
        <v>-60</v>
      </c>
      <c r="F20" s="354"/>
      <c r="G20" s="355" t="s">
        <v>10</v>
      </c>
      <c r="H20" s="354">
        <v>60000000</v>
      </c>
      <c r="I20" s="356">
        <f>H20</f>
        <v>60000000</v>
      </c>
      <c r="J20" s="357">
        <v>3565017.22</v>
      </c>
      <c r="K20" s="355"/>
      <c r="L20" s="53"/>
    </row>
    <row r="21" spans="2:13" ht="12.75" customHeight="1" x14ac:dyDescent="0.2">
      <c r="B21" s="362" t="str">
        <f>VLOOKUP(C21,'A. All deals (a)'!$C$9:$F$49,4,0)</f>
        <v>Mozn 1</v>
      </c>
      <c r="C21" s="363" t="s">
        <v>18</v>
      </c>
      <c r="D21" s="364">
        <v>44363</v>
      </c>
      <c r="E21" s="365">
        <f t="shared" si="0"/>
        <v>-20</v>
      </c>
      <c r="F21" s="366"/>
      <c r="G21" s="367" t="s">
        <v>10</v>
      </c>
      <c r="H21" s="366">
        <v>20000000</v>
      </c>
      <c r="I21" s="368">
        <f>H21</f>
        <v>20000000</v>
      </c>
      <c r="J21" s="369">
        <v>7959497</v>
      </c>
      <c r="K21" s="367"/>
      <c r="L21" s="53"/>
    </row>
    <row r="22" spans="2:13" ht="12.75" customHeight="1" x14ac:dyDescent="0.2">
      <c r="B22" s="350" t="str">
        <f>VLOOKUP(C22,'A. All deals (a)'!$C$9:$F$49,4,0)</f>
        <v>Mozn</v>
      </c>
      <c r="C22" s="351" t="s">
        <v>787</v>
      </c>
      <c r="D22" s="352">
        <v>44488</v>
      </c>
      <c r="E22" s="353">
        <f t="shared" si="0"/>
        <v>-39.999983359999995</v>
      </c>
      <c r="F22" s="354"/>
      <c r="G22" s="355" t="s">
        <v>10</v>
      </c>
      <c r="H22" s="354">
        <v>39999983.359999999</v>
      </c>
      <c r="I22" s="356">
        <f>H22</f>
        <v>39999983.359999999</v>
      </c>
      <c r="J22" s="357">
        <v>1441711</v>
      </c>
      <c r="K22" s="355"/>
      <c r="L22" s="53"/>
    </row>
    <row r="23" spans="2:13" ht="12.75" customHeight="1" x14ac:dyDescent="0.2">
      <c r="B23" s="362" t="str">
        <f>VLOOKUP(C23,'A. All deals (a)'!$C$9:$F$49,4,0)</f>
        <v>Mozn</v>
      </c>
      <c r="C23" s="363" t="s">
        <v>41</v>
      </c>
      <c r="D23" s="364">
        <v>44494</v>
      </c>
      <c r="E23" s="365">
        <f t="shared" si="0"/>
        <v>-3</v>
      </c>
      <c r="F23" s="366"/>
      <c r="G23" s="367" t="s">
        <v>10</v>
      </c>
      <c r="H23" s="366">
        <v>3000000</v>
      </c>
      <c r="I23" s="368">
        <f>H23</f>
        <v>3000000</v>
      </c>
      <c r="J23" s="369">
        <v>3000000</v>
      </c>
      <c r="K23" s="367"/>
      <c r="L23" s="53"/>
    </row>
    <row r="24" spans="2:13" ht="12.75" customHeight="1" x14ac:dyDescent="0.2">
      <c r="B24" s="350" t="str">
        <f>VLOOKUP(C24,'A. All deals (a)'!$C$9:$F$49,4,0)</f>
        <v>Mozn</v>
      </c>
      <c r="C24" s="351" t="s">
        <v>42</v>
      </c>
      <c r="D24" s="352">
        <v>44550</v>
      </c>
      <c r="E24" s="353">
        <f t="shared" si="0"/>
        <v>-5.0237201984774336</v>
      </c>
      <c r="F24" s="354"/>
      <c r="G24" s="355" t="s">
        <v>20</v>
      </c>
      <c r="H24" s="358">
        <v>3679995.54</v>
      </c>
      <c r="I24" s="356">
        <v>5023720.198477434</v>
      </c>
      <c r="J24" s="357">
        <v>33267</v>
      </c>
      <c r="K24" s="355"/>
      <c r="L24" s="53"/>
    </row>
    <row r="25" spans="2:13" ht="12.75" customHeight="1" x14ac:dyDescent="0.2">
      <c r="B25" s="362" t="str">
        <f>VLOOKUP(C25,'A. All deals (a)'!$C$9:$F$49,4,0)</f>
        <v>Mozn 2</v>
      </c>
      <c r="C25" s="363" t="s">
        <v>68</v>
      </c>
      <c r="D25" s="364">
        <v>44574</v>
      </c>
      <c r="E25" s="365">
        <f t="shared" si="0"/>
        <v>-493.50095619999996</v>
      </c>
      <c r="F25" s="366"/>
      <c r="G25" s="367" t="s">
        <v>10</v>
      </c>
      <c r="H25" s="366">
        <v>893500956.20000005</v>
      </c>
      <c r="I25" s="368">
        <v>493500956.19999999</v>
      </c>
      <c r="J25" s="369"/>
      <c r="K25" s="367"/>
      <c r="L25" s="53"/>
    </row>
    <row r="26" spans="2:13" ht="12.75" customHeight="1" x14ac:dyDescent="0.2">
      <c r="B26" s="350" t="str">
        <f>VLOOKUP(C26,'A. All deals (a)'!$C$9:$F$49,4,0)</f>
        <v>G42 Investments</v>
      </c>
      <c r="C26" s="351" t="s">
        <v>19</v>
      </c>
      <c r="D26" s="352">
        <v>44643</v>
      </c>
      <c r="E26" s="353">
        <f t="shared" si="0"/>
        <v>-200</v>
      </c>
      <c r="F26" s="354"/>
      <c r="G26" s="355" t="s">
        <v>10</v>
      </c>
      <c r="H26" s="354">
        <v>200000000</v>
      </c>
      <c r="I26" s="356">
        <f>H26</f>
        <v>200000000</v>
      </c>
      <c r="J26" s="357"/>
      <c r="K26" s="355"/>
      <c r="L26" s="53"/>
    </row>
    <row r="27" spans="2:13" ht="12.75" customHeight="1" x14ac:dyDescent="0.2">
      <c r="B27" s="350" t="str">
        <f>VLOOKUP(C27,'A. All deals (a)'!$C$9:$F$49,4,0)</f>
        <v>G42 Investments</v>
      </c>
      <c r="C27" s="351" t="s">
        <v>19</v>
      </c>
      <c r="D27" s="352">
        <v>44680</v>
      </c>
      <c r="E27" s="353">
        <f t="shared" si="0"/>
        <v>-100</v>
      </c>
      <c r="F27" s="354"/>
      <c r="G27" s="355" t="s">
        <v>10</v>
      </c>
      <c r="H27" s="354">
        <v>100000000</v>
      </c>
      <c r="I27" s="356">
        <f>H27</f>
        <v>100000000</v>
      </c>
      <c r="J27" s="357"/>
      <c r="K27" s="355"/>
      <c r="L27" s="53"/>
    </row>
    <row r="28" spans="2:13" ht="12.75" customHeight="1" x14ac:dyDescent="0.2">
      <c r="B28" s="362" t="str">
        <f>VLOOKUP(C28,'A. All deals (a)'!$C$9:$F$49,4,0)</f>
        <v>Mozn</v>
      </c>
      <c r="C28" s="363" t="s">
        <v>39</v>
      </c>
      <c r="D28" s="364">
        <v>44691</v>
      </c>
      <c r="E28" s="365"/>
      <c r="F28" s="366">
        <v>5</v>
      </c>
      <c r="G28" s="367" t="s">
        <v>10</v>
      </c>
      <c r="H28" s="366"/>
      <c r="I28" s="368"/>
      <c r="J28" s="369"/>
      <c r="K28" s="367"/>
      <c r="L28" s="53"/>
    </row>
    <row r="29" spans="2:13" ht="12.75" customHeight="1" x14ac:dyDescent="0.2">
      <c r="B29" s="350" t="str">
        <f>VLOOKUP(C29,'A. All deals (a)'!$C$9:$F$49,4,0)</f>
        <v>G42 Investments</v>
      </c>
      <c r="C29" s="351" t="s">
        <v>85</v>
      </c>
      <c r="D29" s="580">
        <v>44712</v>
      </c>
      <c r="E29" s="581">
        <f>-I29*10^-6</f>
        <v>-12.5</v>
      </c>
      <c r="F29" s="582"/>
      <c r="G29" s="583" t="s">
        <v>10</v>
      </c>
      <c r="H29" s="582">
        <v>12500000</v>
      </c>
      <c r="I29" s="584">
        <f t="shared" ref="I29:I35" si="2">H29</f>
        <v>12500000</v>
      </c>
      <c r="J29" s="585">
        <f>'%'!D22</f>
        <v>259657</v>
      </c>
      <c r="K29" s="583"/>
      <c r="L29" s="53"/>
    </row>
    <row r="30" spans="2:13" ht="12.75" customHeight="1" x14ac:dyDescent="0.2">
      <c r="B30" s="362" t="str">
        <f>VLOOKUP(C30,'A. All deals (a)'!$C$9:$F$49,4,0)</f>
        <v>G42 3</v>
      </c>
      <c r="C30" s="363" t="s">
        <v>35</v>
      </c>
      <c r="D30" s="364">
        <v>44769</v>
      </c>
      <c r="E30" s="365">
        <f t="shared" ref="E30:E38" si="3">-I30*10^-6</f>
        <v>-600</v>
      </c>
      <c r="F30" s="366"/>
      <c r="G30" s="367" t="s">
        <v>10</v>
      </c>
      <c r="H30" s="366">
        <v>600000000</v>
      </c>
      <c r="I30" s="368">
        <f t="shared" si="2"/>
        <v>600000000</v>
      </c>
      <c r="J30" s="369"/>
      <c r="K30" s="367"/>
      <c r="L30" s="53"/>
      <c r="M30" s="43"/>
    </row>
    <row r="31" spans="2:13" ht="12.75" customHeight="1" x14ac:dyDescent="0.2">
      <c r="B31" s="362" t="str">
        <f>VLOOKUP(C31,'A. All deals (a)'!$C$9:$F$49,4,0)</f>
        <v>G42 3</v>
      </c>
      <c r="C31" s="363" t="s">
        <v>35</v>
      </c>
      <c r="D31" s="364">
        <v>44849</v>
      </c>
      <c r="E31" s="365">
        <f t="shared" si="3"/>
        <v>-200</v>
      </c>
      <c r="F31" s="366"/>
      <c r="G31" s="367" t="s">
        <v>10</v>
      </c>
      <c r="H31" s="366">
        <v>200000000</v>
      </c>
      <c r="I31" s="368">
        <f t="shared" si="2"/>
        <v>200000000</v>
      </c>
      <c r="J31" s="369"/>
      <c r="K31" s="367"/>
      <c r="L31" s="53"/>
    </row>
    <row r="32" spans="2:13" s="578" customFormat="1" ht="12.75" customHeight="1" x14ac:dyDescent="0.2">
      <c r="B32" s="569" t="str">
        <f>VLOOKUP(C32,'A. All deals (a)'!$C$9:$F$49,4,0)</f>
        <v>Mozn</v>
      </c>
      <c r="C32" s="570" t="s">
        <v>201</v>
      </c>
      <c r="D32" s="571">
        <v>44861</v>
      </c>
      <c r="E32" s="572">
        <f t="shared" si="3"/>
        <v>-4.75</v>
      </c>
      <c r="F32" s="573"/>
      <c r="G32" s="574" t="s">
        <v>10</v>
      </c>
      <c r="H32" s="573">
        <v>4750000</v>
      </c>
      <c r="I32" s="575">
        <f t="shared" si="2"/>
        <v>4750000</v>
      </c>
      <c r="J32" s="576"/>
      <c r="K32" s="574"/>
      <c r="L32" s="577"/>
    </row>
    <row r="33" spans="2:13" ht="12.75" customHeight="1" x14ac:dyDescent="0.2">
      <c r="B33" s="362" t="str">
        <f>VLOOKUP(C33,'A. All deals (a)'!$C$9:$F$49,4,0)</f>
        <v>Mozn 4</v>
      </c>
      <c r="C33" s="363" t="s">
        <v>662</v>
      </c>
      <c r="D33" s="364">
        <v>44892</v>
      </c>
      <c r="E33" s="365">
        <f t="shared" si="3"/>
        <v>-15</v>
      </c>
      <c r="F33" s="366"/>
      <c r="G33" s="367" t="s">
        <v>10</v>
      </c>
      <c r="H33" s="366">
        <v>15000000</v>
      </c>
      <c r="I33" s="368">
        <f t="shared" si="2"/>
        <v>15000000</v>
      </c>
      <c r="J33" s="369"/>
      <c r="K33" s="367"/>
      <c r="L33" s="53"/>
      <c r="M33" s="43"/>
    </row>
    <row r="34" spans="2:13" ht="12.75" customHeight="1" x14ac:dyDescent="0.2">
      <c r="B34" s="350" t="str">
        <f>VLOOKUP(C34,'A. All deals (a)'!$C$9:$F$49,4,0)</f>
        <v>G42 Investments</v>
      </c>
      <c r="C34" s="351" t="s">
        <v>85</v>
      </c>
      <c r="D34" s="580">
        <v>44985</v>
      </c>
      <c r="E34" s="581">
        <f t="shared" si="3"/>
        <v>-12.03125</v>
      </c>
      <c r="F34" s="582"/>
      <c r="G34" s="583" t="s">
        <v>10</v>
      </c>
      <c r="H34" s="582">
        <v>12031250</v>
      </c>
      <c r="I34" s="584">
        <f t="shared" si="2"/>
        <v>12031250</v>
      </c>
      <c r="J34" s="585">
        <v>10386274</v>
      </c>
      <c r="K34" s="355"/>
      <c r="L34" s="53"/>
    </row>
    <row r="35" spans="2:13" ht="12.75" customHeight="1" x14ac:dyDescent="0.2">
      <c r="B35" s="362" t="str">
        <f>VLOOKUP(C35,'A. All deals (a)'!$C$9:$F$49,4,0)</f>
        <v>Mozn</v>
      </c>
      <c r="C35" s="363" t="s">
        <v>279</v>
      </c>
      <c r="D35" s="364">
        <v>45075</v>
      </c>
      <c r="E35" s="365">
        <f t="shared" si="3"/>
        <v>-14.999998939999999</v>
      </c>
      <c r="F35" s="366"/>
      <c r="G35" s="367" t="s">
        <v>10</v>
      </c>
      <c r="H35" s="366">
        <v>14999998.939999999</v>
      </c>
      <c r="I35" s="368">
        <f t="shared" si="2"/>
        <v>14999998.939999999</v>
      </c>
      <c r="J35" s="369"/>
      <c r="K35" s="367"/>
      <c r="L35" s="53"/>
    </row>
    <row r="36" spans="2:13" ht="12.75" customHeight="1" x14ac:dyDescent="0.2">
      <c r="B36" s="350" t="str">
        <f>VLOOKUP(C36,'A. All deals (a)'!$C$9:$F$49,4,0)</f>
        <v>Mozn</v>
      </c>
      <c r="C36" s="351" t="s">
        <v>338</v>
      </c>
      <c r="D36" s="352">
        <v>45075</v>
      </c>
      <c r="E36" s="353">
        <f t="shared" si="3"/>
        <v>-5.875E-3</v>
      </c>
      <c r="F36" s="354"/>
      <c r="G36" s="355" t="s">
        <v>10</v>
      </c>
      <c r="H36" s="354"/>
      <c r="I36" s="356">
        <v>5875</v>
      </c>
      <c r="J36" s="357"/>
      <c r="K36" s="355"/>
      <c r="L36" s="53"/>
    </row>
    <row r="37" spans="2:13" ht="12.75" customHeight="1" x14ac:dyDescent="0.2">
      <c r="B37" s="350" t="str">
        <f>VLOOKUP(C37,'A. All deals (a)'!$C$9:$F$49,4,0)</f>
        <v>Mozn</v>
      </c>
      <c r="C37" s="351" t="s">
        <v>338</v>
      </c>
      <c r="D37" s="352">
        <v>45114</v>
      </c>
      <c r="E37" s="353">
        <f t="shared" si="3"/>
        <v>-1E-3</v>
      </c>
      <c r="F37" s="354"/>
      <c r="G37" s="355" t="s">
        <v>10</v>
      </c>
      <c r="H37" s="354"/>
      <c r="I37" s="356">
        <v>1000</v>
      </c>
      <c r="J37" s="357"/>
      <c r="K37" s="355"/>
      <c r="L37" s="53"/>
    </row>
    <row r="38" spans="2:13" s="578" customFormat="1" ht="12.75" customHeight="1" x14ac:dyDescent="0.2">
      <c r="B38" s="569" t="str">
        <f>VLOOKUP(C38,'A. All deals (a)'!$C$9:$F$49,4,0)</f>
        <v>Mozn</v>
      </c>
      <c r="C38" s="570" t="s">
        <v>201</v>
      </c>
      <c r="D38" s="571">
        <v>45121</v>
      </c>
      <c r="E38" s="572">
        <f t="shared" si="3"/>
        <v>-2.75</v>
      </c>
      <c r="F38" s="573"/>
      <c r="G38" s="574" t="s">
        <v>10</v>
      </c>
      <c r="H38" s="573"/>
      <c r="I38" s="575">
        <v>2750000</v>
      </c>
      <c r="J38" s="576"/>
      <c r="K38" s="574"/>
      <c r="L38" s="577"/>
    </row>
    <row r="39" spans="2:13" ht="12.75" customHeight="1" x14ac:dyDescent="0.2">
      <c r="B39" s="350" t="str">
        <f>VLOOKUP(C39,'A. All deals (a)'!$C$9:$F$49,4,0)</f>
        <v>Mozn</v>
      </c>
      <c r="C39" s="351" t="s">
        <v>42</v>
      </c>
      <c r="D39" s="352">
        <v>45138</v>
      </c>
      <c r="E39" s="353"/>
      <c r="F39" s="354">
        <f>I39*10^-6</f>
        <v>7.8207760999999989</v>
      </c>
      <c r="G39" s="355" t="s">
        <v>10</v>
      </c>
      <c r="H39" s="359">
        <v>6090345.2199999997</v>
      </c>
      <c r="I39" s="356">
        <v>7820776.0999999996</v>
      </c>
      <c r="J39" s="357"/>
      <c r="K39" s="355"/>
      <c r="L39" s="278"/>
    </row>
    <row r="40" spans="2:13" ht="12.75" customHeight="1" x14ac:dyDescent="0.2">
      <c r="B40" s="362" t="str">
        <f>VLOOKUP(C40,'A. All deals (a)'!$C$9:$F$49,4,0)</f>
        <v>Mozn 1</v>
      </c>
      <c r="C40" s="363" t="s">
        <v>18</v>
      </c>
      <c r="D40" s="364">
        <v>45149</v>
      </c>
      <c r="E40" s="365"/>
      <c r="F40" s="366">
        <v>24.5</v>
      </c>
      <c r="G40" s="367" t="s">
        <v>10</v>
      </c>
      <c r="H40" s="366"/>
      <c r="I40" s="368">
        <v>24500000</v>
      </c>
      <c r="J40" s="369">
        <v>7959497</v>
      </c>
      <c r="K40" s="367"/>
      <c r="L40" s="278"/>
    </row>
    <row r="41" spans="2:13" ht="12.75" customHeight="1" x14ac:dyDescent="0.2">
      <c r="B41" s="350" t="str">
        <f>VLOOKUP(C41,'A. All deals (a)'!$C$9:$F$49,4,0)</f>
        <v>Mozn</v>
      </c>
      <c r="C41" s="351" t="s">
        <v>41</v>
      </c>
      <c r="D41" s="352">
        <v>45167</v>
      </c>
      <c r="E41" s="353">
        <f t="shared" ref="E41" si="4">-I41*10^-6</f>
        <v>-5</v>
      </c>
      <c r="F41" s="354"/>
      <c r="G41" s="355" t="s">
        <v>10</v>
      </c>
      <c r="H41" s="354"/>
      <c r="I41" s="356">
        <v>5000000</v>
      </c>
      <c r="J41" s="357">
        <v>5000000</v>
      </c>
      <c r="K41" s="355"/>
      <c r="L41" s="278"/>
    </row>
    <row r="42" spans="2:13" ht="12.75" customHeight="1" x14ac:dyDescent="0.2">
      <c r="B42" s="362" t="str">
        <f>VLOOKUP(C42,'A. All deals (a)'!$C$9:$F$49,4,0)</f>
        <v>Mozn</v>
      </c>
      <c r="C42" s="363" t="s">
        <v>347</v>
      </c>
      <c r="D42" s="364">
        <v>45167</v>
      </c>
      <c r="E42" s="365">
        <v>-6</v>
      </c>
      <c r="F42" s="366"/>
      <c r="G42" s="367" t="s">
        <v>10</v>
      </c>
      <c r="H42" s="366"/>
      <c r="I42" s="368">
        <v>6000000</v>
      </c>
      <c r="J42" s="369">
        <f>I42/1.34</f>
        <v>4477611.940298507</v>
      </c>
      <c r="K42" s="367"/>
      <c r="L42" s="278"/>
    </row>
    <row r="43" spans="2:13" ht="12.75" customHeight="1" x14ac:dyDescent="0.2">
      <c r="B43" s="350" t="str">
        <f>VLOOKUP(C43,'A. All deals (a)'!$C$9:$F$49,4,0)</f>
        <v>G42 3</v>
      </c>
      <c r="C43" s="351" t="s">
        <v>35</v>
      </c>
      <c r="D43" s="352">
        <v>45224</v>
      </c>
      <c r="E43" s="353"/>
      <c r="F43" s="360">
        <v>2.8</v>
      </c>
      <c r="G43" s="355" t="s">
        <v>10</v>
      </c>
      <c r="H43" s="354"/>
      <c r="I43" s="356"/>
      <c r="J43" s="357"/>
      <c r="K43" s="355"/>
      <c r="L43" s="278"/>
    </row>
    <row r="44" spans="2:13" ht="12.75" customHeight="1" x14ac:dyDescent="0.2">
      <c r="B44" s="362" t="str">
        <f>VLOOKUP(C44,'A. All deals (a)'!$C$9:$F$49,4,0)</f>
        <v>G42 3</v>
      </c>
      <c r="C44" s="363" t="s">
        <v>35</v>
      </c>
      <c r="D44" s="364">
        <v>45224</v>
      </c>
      <c r="E44" s="365"/>
      <c r="F44" s="366">
        <v>800</v>
      </c>
      <c r="G44" s="367" t="s">
        <v>10</v>
      </c>
      <c r="H44" s="366"/>
      <c r="I44" s="368"/>
      <c r="J44" s="369"/>
      <c r="K44" s="367"/>
      <c r="L44" s="278"/>
    </row>
    <row r="45" spans="2:13" ht="12.75" customHeight="1" x14ac:dyDescent="0.2">
      <c r="B45" s="350" t="str">
        <f>VLOOKUP(C45,'A. All deals (a)'!$C$9:$F$49,4,0)</f>
        <v>Mozn 2</v>
      </c>
      <c r="C45" s="351" t="s">
        <v>68</v>
      </c>
      <c r="D45" s="352">
        <v>45224</v>
      </c>
      <c r="E45" s="353"/>
      <c r="F45" s="360">
        <v>403</v>
      </c>
      <c r="G45" s="355" t="s">
        <v>10</v>
      </c>
      <c r="H45" s="354"/>
      <c r="I45" s="356"/>
      <c r="J45" s="357"/>
      <c r="K45" s="355"/>
      <c r="L45" s="278"/>
    </row>
    <row r="46" spans="2:13" ht="12.75" customHeight="1" x14ac:dyDescent="0.2">
      <c r="B46" s="362" t="str">
        <f>VLOOKUP(C46,'A. All deals (a)'!$C$9:$F$49,4,0)</f>
        <v>Mozn</v>
      </c>
      <c r="C46" s="363" t="s">
        <v>42</v>
      </c>
      <c r="D46" s="364">
        <v>45224</v>
      </c>
      <c r="E46" s="365"/>
      <c r="F46" s="366">
        <v>0.12141643000000001</v>
      </c>
      <c r="G46" s="367" t="s">
        <v>10</v>
      </c>
      <c r="H46" s="366"/>
      <c r="I46" s="368"/>
      <c r="J46" s="369"/>
      <c r="K46" s="367"/>
      <c r="L46" s="278"/>
    </row>
    <row r="47" spans="2:13" s="578" customFormat="1" ht="12.75" customHeight="1" x14ac:dyDescent="0.2">
      <c r="B47" s="569" t="str">
        <f>VLOOKUP(C47,'A. All deals (a)'!$C$9:$F$49,4,0)</f>
        <v>Mozn</v>
      </c>
      <c r="C47" s="570" t="s">
        <v>201</v>
      </c>
      <c r="D47" s="571">
        <v>45295</v>
      </c>
      <c r="E47" s="572">
        <f t="shared" ref="E47:E48" si="5">-I47*10^-6</f>
        <v>-4</v>
      </c>
      <c r="F47" s="573"/>
      <c r="G47" s="574" t="s">
        <v>10</v>
      </c>
      <c r="H47" s="573">
        <v>4000000</v>
      </c>
      <c r="I47" s="575">
        <f t="shared" ref="I47" si="6">H47</f>
        <v>4000000</v>
      </c>
      <c r="J47" s="576"/>
      <c r="K47" s="574"/>
      <c r="L47" s="579"/>
    </row>
    <row r="48" spans="2:13" ht="12.75" customHeight="1" x14ac:dyDescent="0.2">
      <c r="B48" s="362" t="str">
        <f>VLOOKUP(C48,'A. All deals (a)'!$C$9:$F$49,4,0)</f>
        <v>Core42 5</v>
      </c>
      <c r="C48" s="363" t="s">
        <v>378</v>
      </c>
      <c r="D48" s="364">
        <v>45322</v>
      </c>
      <c r="E48" s="365">
        <f t="shared" si="5"/>
        <v>-2.5</v>
      </c>
      <c r="F48" s="366"/>
      <c r="G48" s="367" t="s">
        <v>10</v>
      </c>
      <c r="H48" s="366">
        <f>I48</f>
        <v>2500000</v>
      </c>
      <c r="I48" s="368">
        <v>2500000</v>
      </c>
      <c r="J48" s="369"/>
      <c r="K48" s="367"/>
      <c r="L48" s="278"/>
    </row>
    <row r="49" spans="2:14" ht="12.75" customHeight="1" x14ac:dyDescent="0.2">
      <c r="B49" s="511" t="str">
        <f>VLOOKUP(C49,'A. All deals (a)'!$C$9:$F$49,4,0)</f>
        <v>G42 Capital</v>
      </c>
      <c r="C49" s="512" t="s">
        <v>518</v>
      </c>
      <c r="D49" s="513">
        <v>45349</v>
      </c>
      <c r="E49" s="514">
        <f t="shared" ref="E49" si="7">-I49*10^-6</f>
        <v>-20</v>
      </c>
      <c r="F49" s="515"/>
      <c r="G49" s="516" t="s">
        <v>10</v>
      </c>
      <c r="H49" s="515"/>
      <c r="I49" s="517">
        <v>20000000</v>
      </c>
      <c r="J49" s="518"/>
      <c r="K49" s="516"/>
      <c r="L49" s="278"/>
    </row>
    <row r="50" spans="2:14" ht="12.75" customHeight="1" x14ac:dyDescent="0.2">
      <c r="B50" s="362" t="s">
        <v>519</v>
      </c>
      <c r="C50" s="363" t="s">
        <v>569</v>
      </c>
      <c r="D50" s="364">
        <v>45463</v>
      </c>
      <c r="E50" s="365">
        <v>-10</v>
      </c>
      <c r="F50" s="366"/>
      <c r="G50" s="367" t="s">
        <v>10</v>
      </c>
      <c r="H50" s="366"/>
      <c r="I50" s="368">
        <v>10000000</v>
      </c>
      <c r="J50" s="369"/>
      <c r="K50" s="367"/>
      <c r="L50" s="278"/>
    </row>
    <row r="51" spans="2:14" ht="12.75" customHeight="1" x14ac:dyDescent="0.2">
      <c r="B51" s="511" t="str">
        <f>VLOOKUP(C51,'A. All deals (a)'!$C$9:$F$49,4,0)</f>
        <v>G42 Capital</v>
      </c>
      <c r="C51" s="512" t="s">
        <v>518</v>
      </c>
      <c r="D51" s="513">
        <v>45596</v>
      </c>
      <c r="E51" s="514">
        <f t="shared" ref="E51:E58" si="8">-I51*10^-6</f>
        <v>-20</v>
      </c>
      <c r="F51" s="515"/>
      <c r="G51" s="516" t="s">
        <v>10</v>
      </c>
      <c r="H51" s="515"/>
      <c r="I51" s="517">
        <v>20000000</v>
      </c>
      <c r="J51" s="518"/>
      <c r="K51" s="516"/>
      <c r="L51" s="278"/>
    </row>
    <row r="52" spans="2:14" ht="12.75" customHeight="1" x14ac:dyDescent="0.2">
      <c r="B52" s="362" t="s">
        <v>8</v>
      </c>
      <c r="C52" s="363" t="s">
        <v>338</v>
      </c>
      <c r="D52" s="364">
        <v>45610</v>
      </c>
      <c r="E52" s="365"/>
      <c r="F52" s="366">
        <v>100</v>
      </c>
      <c r="G52" s="367" t="s">
        <v>10</v>
      </c>
      <c r="H52" s="366"/>
      <c r="I52" s="368">
        <v>100000000</v>
      </c>
      <c r="J52" s="369"/>
      <c r="K52" s="367"/>
      <c r="L52" s="278"/>
    </row>
    <row r="53" spans="2:14" ht="12.75" customHeight="1" x14ac:dyDescent="0.2">
      <c r="B53" s="350" t="s">
        <v>519</v>
      </c>
      <c r="C53" s="351" t="s">
        <v>641</v>
      </c>
      <c r="D53" s="352">
        <v>45611</v>
      </c>
      <c r="E53" s="353">
        <v>-100</v>
      </c>
      <c r="F53" s="354"/>
      <c r="G53" s="355" t="s">
        <v>10</v>
      </c>
      <c r="H53" s="354"/>
      <c r="I53" s="356">
        <v>100000000</v>
      </c>
      <c r="J53" s="357"/>
      <c r="K53" s="355"/>
      <c r="L53" s="278"/>
    </row>
    <row r="54" spans="2:14" s="578" customFormat="1" ht="12.75" customHeight="1" x14ac:dyDescent="0.2">
      <c r="B54" s="569" t="s">
        <v>8</v>
      </c>
      <c r="C54" s="570" t="s">
        <v>201</v>
      </c>
      <c r="D54" s="571">
        <v>45617</v>
      </c>
      <c r="E54" s="572">
        <f t="shared" si="8"/>
        <v>-3.5</v>
      </c>
      <c r="F54" s="573"/>
      <c r="G54" s="574" t="s">
        <v>10</v>
      </c>
      <c r="H54" s="573">
        <v>3500000</v>
      </c>
      <c r="I54" s="575">
        <f>H54</f>
        <v>3500000</v>
      </c>
      <c r="J54" s="576"/>
      <c r="K54" s="574"/>
      <c r="L54" s="579"/>
    </row>
    <row r="55" spans="2:14" ht="12.75" customHeight="1" x14ac:dyDescent="0.2">
      <c r="B55" s="350" t="s">
        <v>519</v>
      </c>
      <c r="C55" s="351" t="s">
        <v>641</v>
      </c>
      <c r="D55" s="352">
        <v>45645</v>
      </c>
      <c r="E55" s="353"/>
      <c r="F55" s="360">
        <v>0.49996499999999999</v>
      </c>
      <c r="G55" s="355" t="s">
        <v>10</v>
      </c>
      <c r="H55" s="354">
        <v>499965</v>
      </c>
      <c r="I55" s="354">
        <v>499965</v>
      </c>
      <c r="J55" s="357"/>
      <c r="K55" s="355"/>
      <c r="L55" s="278"/>
    </row>
    <row r="56" spans="2:14" ht="12.75" customHeight="1" x14ac:dyDescent="0.2">
      <c r="B56" s="362" t="s">
        <v>519</v>
      </c>
      <c r="C56" s="363" t="s">
        <v>671</v>
      </c>
      <c r="D56" s="364">
        <v>45737</v>
      </c>
      <c r="E56" s="365">
        <f t="shared" si="8"/>
        <v>-19.999882399999997</v>
      </c>
      <c r="F56" s="366"/>
      <c r="G56" s="367" t="s">
        <v>10</v>
      </c>
      <c r="H56" s="366"/>
      <c r="I56" s="368">
        <v>19999882.399999999</v>
      </c>
      <c r="J56" s="369"/>
      <c r="K56" s="367"/>
      <c r="L56" s="278"/>
    </row>
    <row r="57" spans="2:14" ht="12.75" customHeight="1" x14ac:dyDescent="0.2">
      <c r="B57" s="350" t="s">
        <v>11</v>
      </c>
      <c r="C57" s="351" t="s">
        <v>19</v>
      </c>
      <c r="D57" s="352">
        <v>45769</v>
      </c>
      <c r="E57" s="353"/>
      <c r="F57" s="360">
        <f>I57/1000000</f>
        <v>84.804486139999995</v>
      </c>
      <c r="G57" s="355" t="s">
        <v>10</v>
      </c>
      <c r="H57" s="354"/>
      <c r="I57" s="354">
        <v>84804486.140000001</v>
      </c>
      <c r="J57" s="357"/>
      <c r="K57" s="355"/>
      <c r="L57" s="278"/>
    </row>
    <row r="58" spans="2:14" ht="12.75" customHeight="1" x14ac:dyDescent="0.2">
      <c r="B58" s="362" t="s">
        <v>519</v>
      </c>
      <c r="C58" s="363" t="s">
        <v>715</v>
      </c>
      <c r="D58" s="545">
        <v>45812</v>
      </c>
      <c r="E58" s="365">
        <f t="shared" si="8"/>
        <v>-49.999999500000001</v>
      </c>
      <c r="F58" s="366"/>
      <c r="G58" s="367" t="s">
        <v>10</v>
      </c>
      <c r="H58" s="366"/>
      <c r="I58" s="368">
        <v>49999999.5</v>
      </c>
      <c r="J58" s="369"/>
      <c r="K58" s="367"/>
      <c r="L58" s="278"/>
    </row>
    <row r="59" spans="2:14" ht="12.75" customHeight="1" x14ac:dyDescent="0.2">
      <c r="B59" s="350" t="s">
        <v>519</v>
      </c>
      <c r="C59" s="351" t="s">
        <v>788</v>
      </c>
      <c r="D59" s="352">
        <v>46027</v>
      </c>
      <c r="E59" s="353">
        <f>-I59/1000000</f>
        <v>-1.857516E-2</v>
      </c>
      <c r="F59" s="360"/>
      <c r="G59" s="355" t="s">
        <v>10</v>
      </c>
      <c r="H59" s="354"/>
      <c r="I59" s="354">
        <v>18575.16</v>
      </c>
      <c r="J59" s="357"/>
      <c r="K59" s="355"/>
      <c r="L59" s="278"/>
    </row>
    <row r="60" spans="2:14" ht="12.75" customHeight="1" x14ac:dyDescent="0.2">
      <c r="B60" s="362" t="s">
        <v>519</v>
      </c>
      <c r="C60" s="363" t="s">
        <v>671</v>
      </c>
      <c r="D60" s="364">
        <v>46063</v>
      </c>
      <c r="E60" s="365">
        <f>-I60/1000000</f>
        <v>-40.819980520000001</v>
      </c>
      <c r="F60" s="366"/>
      <c r="G60" s="367" t="s">
        <v>10</v>
      </c>
      <c r="H60" s="366"/>
      <c r="I60" s="368">
        <v>40819980.520000003</v>
      </c>
      <c r="J60" s="369"/>
      <c r="K60" s="367"/>
      <c r="L60" s="278"/>
      <c r="M60" s="544"/>
      <c r="N60" s="544"/>
    </row>
    <row r="61" spans="2:14" ht="12.75" customHeight="1" x14ac:dyDescent="0.2">
      <c r="B61" s="350" t="s">
        <v>519</v>
      </c>
      <c r="C61" s="351" t="s">
        <v>788</v>
      </c>
      <c r="D61" s="352">
        <v>46129</v>
      </c>
      <c r="E61" s="365">
        <f>-I61/1000000</f>
        <v>-1.6559750000000002E-2</v>
      </c>
      <c r="F61" s="360"/>
      <c r="G61" s="355" t="s">
        <v>10</v>
      </c>
      <c r="H61" s="354"/>
      <c r="I61" s="368">
        <v>16559.75</v>
      </c>
      <c r="J61" s="357"/>
      <c r="K61" s="355"/>
      <c r="L61" s="278"/>
    </row>
    <row r="62" spans="2:14" ht="12.75" customHeight="1" x14ac:dyDescent="0.2">
      <c r="B62" s="45"/>
      <c r="C62" s="46"/>
      <c r="D62" s="47"/>
      <c r="E62" s="49"/>
      <c r="F62" s="49"/>
      <c r="G62" s="48"/>
      <c r="H62" s="78"/>
      <c r="I62" s="308"/>
      <c r="J62" s="50"/>
      <c r="K62" s="50"/>
      <c r="L62" s="278"/>
    </row>
    <row r="63" spans="2:14" x14ac:dyDescent="0.2">
      <c r="D63" s="473"/>
      <c r="H63" s="474"/>
      <c r="I63" s="277"/>
    </row>
    <row r="64" spans="2:14" s="43" customFormat="1" x14ac:dyDescent="0.2">
      <c r="B64" s="346" t="s">
        <v>126</v>
      </c>
      <c r="C64" s="347"/>
      <c r="D64" s="348"/>
      <c r="E64" s="349"/>
      <c r="F64" s="349"/>
      <c r="G64" s="349"/>
      <c r="H64" s="349"/>
      <c r="I64" s="349"/>
      <c r="J64" s="349"/>
      <c r="K64" s="349"/>
    </row>
    <row r="65" spans="2:11" ht="12.75" customHeight="1" x14ac:dyDescent="0.2">
      <c r="B65" s="350" t="s">
        <v>8</v>
      </c>
      <c r="C65" s="351" t="s">
        <v>47</v>
      </c>
      <c r="D65" s="352">
        <v>43635</v>
      </c>
      <c r="E65" s="353">
        <v>-8</v>
      </c>
      <c r="F65" s="354"/>
      <c r="G65" s="355" t="s">
        <v>10</v>
      </c>
      <c r="H65" s="354">
        <v>8000000</v>
      </c>
      <c r="I65" s="361">
        <f>H65</f>
        <v>8000000</v>
      </c>
      <c r="J65" s="357"/>
      <c r="K65" s="355"/>
    </row>
    <row r="66" spans="2:11" ht="12.75" customHeight="1" x14ac:dyDescent="0.2">
      <c r="B66" s="362" t="s">
        <v>8</v>
      </c>
      <c r="C66" s="363" t="s">
        <v>203</v>
      </c>
      <c r="D66" s="364">
        <v>44293</v>
      </c>
      <c r="E66" s="365">
        <v>-2.3539819999999998</v>
      </c>
      <c r="F66" s="366"/>
      <c r="G66" s="367" t="s">
        <v>10</v>
      </c>
      <c r="H66" s="366">
        <f>-E66*10^6</f>
        <v>2353982</v>
      </c>
      <c r="I66" s="368">
        <f>H66</f>
        <v>2353982</v>
      </c>
      <c r="J66" s="369"/>
      <c r="K66" s="367"/>
    </row>
    <row r="67" spans="2:11" ht="12.75" customHeight="1" x14ac:dyDescent="0.2">
      <c r="B67" s="350" t="s">
        <v>8</v>
      </c>
      <c r="C67" s="351" t="s">
        <v>195</v>
      </c>
      <c r="D67" s="352">
        <v>44384</v>
      </c>
      <c r="E67" s="353">
        <f>-I67*10^-6</f>
        <v>-0.41176499999999999</v>
      </c>
      <c r="F67" s="354"/>
      <c r="G67" s="355" t="s">
        <v>10</v>
      </c>
      <c r="H67" s="354">
        <v>2500000</v>
      </c>
      <c r="I67" s="361">
        <v>411765</v>
      </c>
      <c r="J67" s="357"/>
      <c r="K67" s="355"/>
    </row>
    <row r="68" spans="2:11" x14ac:dyDescent="0.2">
      <c r="B68" s="362" t="s">
        <v>8</v>
      </c>
      <c r="C68" s="363" t="s">
        <v>195</v>
      </c>
      <c r="D68" s="364">
        <v>44902</v>
      </c>
      <c r="E68" s="365"/>
      <c r="F68" s="366">
        <f>(411765+59019.65)*10^-6</f>
        <v>0.47078465000000003</v>
      </c>
      <c r="G68" s="367" t="s">
        <v>10</v>
      </c>
      <c r="H68" s="366">
        <f>F68*10^6</f>
        <v>470784.65</v>
      </c>
      <c r="I68" s="368">
        <v>470784.65</v>
      </c>
      <c r="J68" s="369"/>
      <c r="K68" s="367"/>
    </row>
    <row r="69" spans="2:11" x14ac:dyDescent="0.2">
      <c r="D69" s="203"/>
      <c r="I69" s="277"/>
      <c r="J69" s="52"/>
    </row>
    <row r="70" spans="2:11" x14ac:dyDescent="0.2">
      <c r="I70" s="277"/>
      <c r="J70" s="52"/>
    </row>
    <row r="71" spans="2:11" x14ac:dyDescent="0.2">
      <c r="I71" s="277"/>
    </row>
    <row r="72" spans="2:11" x14ac:dyDescent="0.2">
      <c r="I72" s="277"/>
    </row>
    <row r="73" spans="2:11" x14ac:dyDescent="0.2">
      <c r="I73" s="277"/>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I102"/>
  <sheetViews>
    <sheetView topLeftCell="A44" zoomScaleNormal="100" workbookViewId="0">
      <selection activeCell="F60" sqref="F60"/>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0" width="14.5703125" style="25" customWidth="1"/>
    <col min="11" max="11" width="15.85546875" style="25" customWidth="1"/>
    <col min="12" max="12" width="23.140625" style="25" customWidth="1"/>
    <col min="13" max="16384" width="9.140625" style="25"/>
  </cols>
  <sheetData>
    <row r="2" spans="2:9" x14ac:dyDescent="0.25">
      <c r="B2" s="346" t="s">
        <v>542</v>
      </c>
      <c r="C2" s="347"/>
      <c r="D2" s="348"/>
      <c r="E2" s="349"/>
      <c r="F2" s="349"/>
      <c r="G2" s="349"/>
      <c r="H2" s="349"/>
      <c r="I2" s="349"/>
    </row>
    <row r="3" spans="2:9" s="39" customFormat="1" ht="33.75" customHeight="1" x14ac:dyDescent="0.2">
      <c r="B3" s="372" t="s">
        <v>110</v>
      </c>
      <c r="C3" s="372" t="s">
        <v>5</v>
      </c>
      <c r="D3" s="372" t="s">
        <v>6</v>
      </c>
      <c r="E3" s="372" t="s">
        <v>150</v>
      </c>
      <c r="F3" s="372" t="s">
        <v>151</v>
      </c>
      <c r="G3" s="372" t="s">
        <v>22</v>
      </c>
      <c r="H3" s="372" t="s">
        <v>145</v>
      </c>
      <c r="I3" s="372" t="s">
        <v>7</v>
      </c>
    </row>
    <row r="4" spans="2:9" s="40" customFormat="1" ht="15.75" customHeight="1" x14ac:dyDescent="0.2">
      <c r="B4" s="355" t="s">
        <v>11</v>
      </c>
      <c r="C4" s="350" t="s">
        <v>12</v>
      </c>
      <c r="D4" s="352">
        <v>44153</v>
      </c>
      <c r="E4" s="360">
        <f>H4</f>
        <v>-10.5</v>
      </c>
      <c r="F4" s="360"/>
      <c r="G4" s="355" t="s">
        <v>10</v>
      </c>
      <c r="H4" s="360">
        <v>-10.5</v>
      </c>
      <c r="I4" s="355" t="s">
        <v>13</v>
      </c>
    </row>
    <row r="5" spans="2:9" s="40" customFormat="1" ht="15.75" customHeight="1" x14ac:dyDescent="0.2">
      <c r="B5" s="355" t="s">
        <v>11</v>
      </c>
      <c r="C5" s="350" t="s">
        <v>12</v>
      </c>
      <c r="D5" s="352">
        <v>44238</v>
      </c>
      <c r="E5" s="360">
        <f>H5</f>
        <v>4.2140269999999997</v>
      </c>
      <c r="F5" s="360"/>
      <c r="G5" s="373" t="s">
        <v>10</v>
      </c>
      <c r="H5" s="360">
        <v>4.2140269999999997</v>
      </c>
      <c r="I5" s="355" t="s">
        <v>14</v>
      </c>
    </row>
    <row r="6" spans="2:9" s="40" customFormat="1" ht="15.75" customHeight="1" x14ac:dyDescent="0.2">
      <c r="B6" s="355" t="s">
        <v>11</v>
      </c>
      <c r="C6" s="350" t="s">
        <v>12</v>
      </c>
      <c r="D6" s="352">
        <v>44238</v>
      </c>
      <c r="E6" s="360"/>
      <c r="F6" s="360">
        <f>H6</f>
        <v>5.0448349999999996E-2</v>
      </c>
      <c r="G6" s="373" t="s">
        <v>10</v>
      </c>
      <c r="H6" s="360">
        <v>5.0448349999999996E-2</v>
      </c>
      <c r="I6" s="355" t="s">
        <v>17</v>
      </c>
    </row>
    <row r="7" spans="2:9" s="40" customFormat="1" ht="15.75" customHeight="1" x14ac:dyDescent="0.2">
      <c r="B7" s="355" t="s">
        <v>11</v>
      </c>
      <c r="C7" s="350" t="s">
        <v>12</v>
      </c>
      <c r="D7" s="352">
        <v>44285</v>
      </c>
      <c r="E7" s="360">
        <f>H7</f>
        <v>-6.4337459999999993</v>
      </c>
      <c r="F7" s="360"/>
      <c r="G7" s="373" t="s">
        <v>10</v>
      </c>
      <c r="H7" s="360">
        <v>-6.4337459999999993</v>
      </c>
      <c r="I7" s="355" t="s">
        <v>15</v>
      </c>
    </row>
    <row r="8" spans="2:9" s="40" customFormat="1" ht="15.75" customHeight="1" x14ac:dyDescent="0.2">
      <c r="B8" s="355" t="s">
        <v>11</v>
      </c>
      <c r="C8" s="350" t="s">
        <v>12</v>
      </c>
      <c r="D8" s="352">
        <v>44269</v>
      </c>
      <c r="E8" s="360">
        <f>H8</f>
        <v>1.1352073899999999</v>
      </c>
      <c r="F8" s="360"/>
      <c r="G8" s="373" t="s">
        <v>10</v>
      </c>
      <c r="H8" s="360">
        <v>1.1352073899999999</v>
      </c>
      <c r="I8" s="355" t="s">
        <v>16</v>
      </c>
    </row>
    <row r="9" spans="2:9" s="40" customFormat="1" ht="15.75" customHeight="1" x14ac:dyDescent="0.2">
      <c r="B9" s="355" t="s">
        <v>11</v>
      </c>
      <c r="C9" s="350" t="s">
        <v>12</v>
      </c>
      <c r="D9" s="352">
        <v>44269</v>
      </c>
      <c r="E9" s="360"/>
      <c r="F9" s="360">
        <f>H9</f>
        <v>2.5899999999999999E-2</v>
      </c>
      <c r="G9" s="355" t="s">
        <v>10</v>
      </c>
      <c r="H9" s="360">
        <v>2.5899999999999999E-2</v>
      </c>
      <c r="I9" s="355" t="s">
        <v>17</v>
      </c>
    </row>
    <row r="10" spans="2:9" s="40" customFormat="1" ht="15.75" customHeight="1" x14ac:dyDescent="0.2">
      <c r="B10" s="355" t="s">
        <v>11</v>
      </c>
      <c r="C10" s="350" t="s">
        <v>12</v>
      </c>
      <c r="D10" s="352">
        <v>44483</v>
      </c>
      <c r="E10" s="360">
        <f>H10</f>
        <v>-7.5671379999999999</v>
      </c>
      <c r="F10" s="360"/>
      <c r="G10" s="355" t="s">
        <v>10</v>
      </c>
      <c r="H10" s="360">
        <v>-7.5671379999999999</v>
      </c>
      <c r="I10" s="355" t="s">
        <v>98</v>
      </c>
    </row>
    <row r="11" spans="2:9" s="40" customFormat="1" ht="15.75" customHeight="1" x14ac:dyDescent="0.2">
      <c r="B11" s="355" t="s">
        <v>11</v>
      </c>
      <c r="C11" s="350" t="s">
        <v>12</v>
      </c>
      <c r="D11" s="352">
        <v>44554</v>
      </c>
      <c r="E11" s="360">
        <f>H11</f>
        <v>-7.3850159999999994</v>
      </c>
      <c r="F11" s="360"/>
      <c r="G11" s="355" t="s">
        <v>10</v>
      </c>
      <c r="H11" s="360">
        <v>-7.3850159999999994</v>
      </c>
      <c r="I11" s="355" t="s">
        <v>99</v>
      </c>
    </row>
    <row r="12" spans="2:9" s="40" customFormat="1" ht="15.75" customHeight="1" x14ac:dyDescent="0.2">
      <c r="B12" s="355" t="s">
        <v>11</v>
      </c>
      <c r="C12" s="350" t="s">
        <v>12</v>
      </c>
      <c r="D12" s="352">
        <v>44554</v>
      </c>
      <c r="E12" s="360">
        <f>H12</f>
        <v>4.0733456099999996</v>
      </c>
      <c r="F12" s="360"/>
      <c r="G12" s="355" t="s">
        <v>10</v>
      </c>
      <c r="H12" s="360">
        <v>4.0733456099999996</v>
      </c>
      <c r="I12" s="355" t="s">
        <v>16</v>
      </c>
    </row>
    <row r="13" spans="2:9" s="40" customFormat="1" ht="15.75" customHeight="1" x14ac:dyDescent="0.2">
      <c r="B13" s="355" t="s">
        <v>11</v>
      </c>
      <c r="C13" s="350" t="s">
        <v>12</v>
      </c>
      <c r="D13" s="352">
        <v>44554</v>
      </c>
      <c r="E13" s="360"/>
      <c r="F13" s="360">
        <f>H13</f>
        <v>0.13969399999999998</v>
      </c>
      <c r="G13" s="355" t="s">
        <v>10</v>
      </c>
      <c r="H13" s="360">
        <v>0.13969399999999998</v>
      </c>
      <c r="I13" s="355" t="s">
        <v>17</v>
      </c>
    </row>
    <row r="14" spans="2:9" s="40" customFormat="1" ht="15.75" customHeight="1" x14ac:dyDescent="0.2">
      <c r="B14" s="355" t="s">
        <v>11</v>
      </c>
      <c r="C14" s="350" t="s">
        <v>12</v>
      </c>
      <c r="D14" s="352">
        <v>44703</v>
      </c>
      <c r="E14" s="360">
        <f>H14</f>
        <v>5.6730739999999997</v>
      </c>
      <c r="F14" s="360"/>
      <c r="G14" s="355" t="s">
        <v>10</v>
      </c>
      <c r="H14" s="360">
        <v>5.6730739999999997</v>
      </c>
      <c r="I14" s="355" t="s">
        <v>16</v>
      </c>
    </row>
    <row r="15" spans="2:9" s="40" customFormat="1" ht="15.75" customHeight="1" x14ac:dyDescent="0.2">
      <c r="B15" s="355" t="s">
        <v>11</v>
      </c>
      <c r="C15" s="350" t="s">
        <v>12</v>
      </c>
      <c r="D15" s="352">
        <v>44703</v>
      </c>
      <c r="E15" s="360"/>
      <c r="F15" s="360">
        <f>H15</f>
        <v>0.22778599999999999</v>
      </c>
      <c r="G15" s="355" t="s">
        <v>10</v>
      </c>
      <c r="H15" s="360">
        <v>0.22778599999999999</v>
      </c>
      <c r="I15" s="355" t="s">
        <v>17</v>
      </c>
    </row>
    <row r="16" spans="2:9" s="40" customFormat="1" ht="15.75" customHeight="1" x14ac:dyDescent="0.2">
      <c r="B16" s="355" t="s">
        <v>11</v>
      </c>
      <c r="C16" s="350" t="s">
        <v>12</v>
      </c>
      <c r="D16" s="352">
        <v>44776</v>
      </c>
      <c r="E16" s="360">
        <f>H16</f>
        <v>-3.235493</v>
      </c>
      <c r="F16" s="360"/>
      <c r="G16" s="355" t="s">
        <v>10</v>
      </c>
      <c r="H16" s="360">
        <v>-3.235493</v>
      </c>
      <c r="I16" s="355" t="s">
        <v>101</v>
      </c>
    </row>
    <row r="17" spans="2:9" s="40" customFormat="1" ht="15.75" customHeight="1" x14ac:dyDescent="0.2">
      <c r="B17" s="355" t="s">
        <v>11</v>
      </c>
      <c r="C17" s="350" t="s">
        <v>12</v>
      </c>
      <c r="D17" s="352">
        <v>44960</v>
      </c>
      <c r="E17" s="360">
        <f>H17</f>
        <v>-2.6315279999999999</v>
      </c>
      <c r="F17" s="360"/>
      <c r="G17" s="355" t="s">
        <v>10</v>
      </c>
      <c r="H17" s="360">
        <v>-2.6315279999999999</v>
      </c>
      <c r="I17" s="355" t="s">
        <v>103</v>
      </c>
    </row>
    <row r="18" spans="2:9" s="40" customFormat="1" ht="15.75" customHeight="1" x14ac:dyDescent="0.2">
      <c r="B18" s="355" t="s">
        <v>11</v>
      </c>
      <c r="C18" s="350" t="s">
        <v>12</v>
      </c>
      <c r="D18" s="352">
        <v>45085</v>
      </c>
      <c r="E18" s="360">
        <f>H18</f>
        <v>1.9125570000000001</v>
      </c>
      <c r="F18" s="360"/>
      <c r="G18" s="355" t="s">
        <v>10</v>
      </c>
      <c r="H18" s="360">
        <v>1.9125570000000001</v>
      </c>
      <c r="I18" s="355" t="s">
        <v>16</v>
      </c>
    </row>
    <row r="19" spans="2:9" s="40" customFormat="1" ht="15.75" customHeight="1" x14ac:dyDescent="0.2">
      <c r="B19" s="355" t="s">
        <v>11</v>
      </c>
      <c r="C19" s="350" t="s">
        <v>12</v>
      </c>
      <c r="D19" s="352">
        <v>45166</v>
      </c>
      <c r="E19" s="360">
        <v>-1.7991220000000001</v>
      </c>
      <c r="F19" s="360"/>
      <c r="G19" s="355" t="s">
        <v>10</v>
      </c>
      <c r="H19" s="360">
        <v>-1.7991220000000001</v>
      </c>
      <c r="I19" s="355" t="s">
        <v>359</v>
      </c>
    </row>
    <row r="20" spans="2:9" s="40" customFormat="1" ht="15.75" customHeight="1" x14ac:dyDescent="0.2">
      <c r="B20" s="355" t="s">
        <v>11</v>
      </c>
      <c r="C20" s="350" t="s">
        <v>12</v>
      </c>
      <c r="D20" s="352">
        <v>45218</v>
      </c>
      <c r="E20" s="360">
        <v>-2.415861</v>
      </c>
      <c r="F20" s="360"/>
      <c r="G20" s="355" t="s">
        <v>10</v>
      </c>
      <c r="H20" s="360">
        <v>-2.415861</v>
      </c>
      <c r="I20" s="355" t="s">
        <v>360</v>
      </c>
    </row>
    <row r="21" spans="2:9" s="40" customFormat="1" ht="15.75" customHeight="1" x14ac:dyDescent="0.2">
      <c r="B21" s="355" t="s">
        <v>11</v>
      </c>
      <c r="C21" s="350" t="s">
        <v>12</v>
      </c>
      <c r="D21" s="352">
        <v>45323</v>
      </c>
      <c r="E21" s="360"/>
      <c r="F21" s="360">
        <f>24.959693</f>
        <v>24.959693000000001</v>
      </c>
      <c r="G21" s="355" t="s">
        <v>10</v>
      </c>
      <c r="H21" s="360">
        <f>F21</f>
        <v>24.959693000000001</v>
      </c>
      <c r="I21" s="355" t="s">
        <v>534</v>
      </c>
    </row>
    <row r="22" spans="2:9" s="40" customFormat="1" ht="15.75" customHeight="1" x14ac:dyDescent="0.2">
      <c r="B22" s="367" t="s">
        <v>11</v>
      </c>
      <c r="C22" s="362" t="s">
        <v>1</v>
      </c>
      <c r="D22" s="364">
        <v>43665</v>
      </c>
      <c r="E22" s="377">
        <f t="shared" ref="E22:E29" si="0">H22</f>
        <v>-3</v>
      </c>
      <c r="F22" s="377"/>
      <c r="G22" s="367" t="s">
        <v>10</v>
      </c>
      <c r="H22" s="377">
        <v>-3</v>
      </c>
      <c r="I22" s="367" t="s">
        <v>13</v>
      </c>
    </row>
    <row r="23" spans="2:9" s="40" customFormat="1" ht="15.75" customHeight="1" x14ac:dyDescent="0.2">
      <c r="B23" s="367" t="s">
        <v>11</v>
      </c>
      <c r="C23" s="362" t="s">
        <v>1</v>
      </c>
      <c r="D23" s="364">
        <v>43983</v>
      </c>
      <c r="E23" s="377">
        <f t="shared" si="0"/>
        <v>-4.4849999999999994</v>
      </c>
      <c r="F23" s="377"/>
      <c r="G23" s="367" t="s">
        <v>10</v>
      </c>
      <c r="H23" s="377">
        <v>-4.4849999999999994</v>
      </c>
      <c r="I23" s="367" t="s">
        <v>15</v>
      </c>
    </row>
    <row r="24" spans="2:9" s="40" customFormat="1" ht="15.75" customHeight="1" x14ac:dyDescent="0.2">
      <c r="B24" s="367" t="s">
        <v>11</v>
      </c>
      <c r="C24" s="362" t="s">
        <v>1</v>
      </c>
      <c r="D24" s="364">
        <v>43879</v>
      </c>
      <c r="E24" s="377">
        <f t="shared" si="0"/>
        <v>-9.5097500000000004</v>
      </c>
      <c r="F24" s="377"/>
      <c r="G24" s="367" t="s">
        <v>10</v>
      </c>
      <c r="H24" s="377">
        <v>-9.5097500000000004</v>
      </c>
      <c r="I24" s="367" t="s">
        <v>98</v>
      </c>
    </row>
    <row r="25" spans="2:9" s="40" customFormat="1" ht="15.75" customHeight="1" x14ac:dyDescent="0.2">
      <c r="B25" s="367" t="s">
        <v>11</v>
      </c>
      <c r="C25" s="362" t="s">
        <v>1</v>
      </c>
      <c r="D25" s="364">
        <v>43934</v>
      </c>
      <c r="E25" s="377">
        <f t="shared" si="0"/>
        <v>-41.3</v>
      </c>
      <c r="F25" s="377"/>
      <c r="G25" s="367" t="s">
        <v>10</v>
      </c>
      <c r="H25" s="377">
        <v>-41.3</v>
      </c>
      <c r="I25" s="367" t="s">
        <v>99</v>
      </c>
    </row>
    <row r="26" spans="2:9" s="40" customFormat="1" ht="15.75" customHeight="1" x14ac:dyDescent="0.2">
      <c r="B26" s="367" t="s">
        <v>11</v>
      </c>
      <c r="C26" s="362" t="s">
        <v>1</v>
      </c>
      <c r="D26" s="364">
        <v>44151</v>
      </c>
      <c r="E26" s="377">
        <f t="shared" si="0"/>
        <v>9.9499999999999993</v>
      </c>
      <c r="F26" s="377"/>
      <c r="G26" s="367" t="s">
        <v>10</v>
      </c>
      <c r="H26" s="377">
        <v>9.9499999999999993</v>
      </c>
      <c r="I26" s="367" t="s">
        <v>100</v>
      </c>
    </row>
    <row r="27" spans="2:9" s="40" customFormat="1" ht="15.75" customHeight="1" x14ac:dyDescent="0.2">
      <c r="B27" s="367" t="s">
        <v>11</v>
      </c>
      <c r="C27" s="362" t="s">
        <v>1</v>
      </c>
      <c r="D27" s="364">
        <v>44151</v>
      </c>
      <c r="E27" s="377">
        <f t="shared" si="0"/>
        <v>-10.455</v>
      </c>
      <c r="F27" s="377"/>
      <c r="G27" s="367" t="s">
        <v>10</v>
      </c>
      <c r="H27" s="377">
        <v>-10.455</v>
      </c>
      <c r="I27" s="367" t="s">
        <v>101</v>
      </c>
    </row>
    <row r="28" spans="2:9" s="40" customFormat="1" ht="15.75" customHeight="1" x14ac:dyDescent="0.2">
      <c r="B28" s="367" t="s">
        <v>11</v>
      </c>
      <c r="C28" s="362" t="s">
        <v>1</v>
      </c>
      <c r="D28" s="364">
        <v>44196</v>
      </c>
      <c r="E28" s="377">
        <f t="shared" si="0"/>
        <v>4.9749999999999996</v>
      </c>
      <c r="F28" s="377"/>
      <c r="G28" s="367" t="s">
        <v>10</v>
      </c>
      <c r="H28" s="377">
        <v>4.9749999999999996</v>
      </c>
      <c r="I28" s="367" t="s">
        <v>102</v>
      </c>
    </row>
    <row r="29" spans="2:9" s="40" customFormat="1" ht="15.75" customHeight="1" x14ac:dyDescent="0.2">
      <c r="B29" s="367" t="s">
        <v>11</v>
      </c>
      <c r="C29" s="362" t="s">
        <v>1</v>
      </c>
      <c r="D29" s="364">
        <v>44196</v>
      </c>
      <c r="E29" s="377">
        <f t="shared" si="0"/>
        <v>-3.4522930000000001</v>
      </c>
      <c r="F29" s="377"/>
      <c r="G29" s="367" t="s">
        <v>10</v>
      </c>
      <c r="H29" s="377">
        <v>-3.4522930000000001</v>
      </c>
      <c r="I29" s="367" t="s">
        <v>103</v>
      </c>
    </row>
    <row r="30" spans="2:9" s="40" customFormat="1" ht="15.75" customHeight="1" x14ac:dyDescent="0.2">
      <c r="B30" s="367" t="s">
        <v>11</v>
      </c>
      <c r="C30" s="362" t="s">
        <v>1</v>
      </c>
      <c r="D30" s="364">
        <v>44196</v>
      </c>
      <c r="E30" s="377"/>
      <c r="F30" s="377">
        <f>H30</f>
        <v>0.58290199999999992</v>
      </c>
      <c r="G30" s="367" t="s">
        <v>10</v>
      </c>
      <c r="H30" s="377">
        <v>0.58290199999999992</v>
      </c>
      <c r="I30" s="367" t="s">
        <v>104</v>
      </c>
    </row>
    <row r="31" spans="2:9" s="40" customFormat="1" ht="15.75" customHeight="1" x14ac:dyDescent="0.2">
      <c r="B31" s="367" t="s">
        <v>11</v>
      </c>
      <c r="C31" s="362" t="s">
        <v>1</v>
      </c>
      <c r="D31" s="364">
        <v>44370</v>
      </c>
      <c r="E31" s="377">
        <f>H31</f>
        <v>-5.97</v>
      </c>
      <c r="F31" s="377"/>
      <c r="G31" s="367" t="s">
        <v>10</v>
      </c>
      <c r="H31" s="377">
        <v>-5.97</v>
      </c>
      <c r="I31" s="367" t="s">
        <v>105</v>
      </c>
    </row>
    <row r="32" spans="2:9" s="40" customFormat="1" ht="15.75" customHeight="1" x14ac:dyDescent="0.2">
      <c r="B32" s="367" t="s">
        <v>11</v>
      </c>
      <c r="C32" s="362" t="s">
        <v>1</v>
      </c>
      <c r="D32" s="364">
        <v>44400</v>
      </c>
      <c r="E32" s="377">
        <f>H32</f>
        <v>-0.75</v>
      </c>
      <c r="F32" s="377"/>
      <c r="G32" s="367" t="s">
        <v>10</v>
      </c>
      <c r="H32" s="377">
        <v>-0.75</v>
      </c>
      <c r="I32" s="367" t="s">
        <v>106</v>
      </c>
    </row>
    <row r="33" spans="2:9" s="40" customFormat="1" ht="15.75" customHeight="1" x14ac:dyDescent="0.2">
      <c r="B33" s="367" t="s">
        <v>11</v>
      </c>
      <c r="C33" s="362" t="s">
        <v>1</v>
      </c>
      <c r="D33" s="364">
        <v>44400</v>
      </c>
      <c r="E33" s="377"/>
      <c r="F33" s="377">
        <f>H33</f>
        <v>0.44505899999999998</v>
      </c>
      <c r="G33" s="367" t="s">
        <v>10</v>
      </c>
      <c r="H33" s="377">
        <v>0.44505899999999998</v>
      </c>
      <c r="I33" s="367" t="s">
        <v>107</v>
      </c>
    </row>
    <row r="34" spans="2:9" s="40" customFormat="1" ht="15.75" customHeight="1" x14ac:dyDescent="0.2">
      <c r="B34" s="367" t="s">
        <v>11</v>
      </c>
      <c r="C34" s="362" t="s">
        <v>1</v>
      </c>
      <c r="D34" s="364">
        <v>44554</v>
      </c>
      <c r="E34" s="377">
        <f>H34</f>
        <v>1.7823899999999999</v>
      </c>
      <c r="F34" s="377"/>
      <c r="G34" s="367" t="s">
        <v>10</v>
      </c>
      <c r="H34" s="377">
        <v>1.7823899999999999</v>
      </c>
      <c r="I34" s="367" t="s">
        <v>108</v>
      </c>
    </row>
    <row r="35" spans="2:9" s="40" customFormat="1" ht="15.75" customHeight="1" x14ac:dyDescent="0.2">
      <c r="B35" s="367" t="s">
        <v>11</v>
      </c>
      <c r="C35" s="362" t="s">
        <v>1</v>
      </c>
      <c r="D35" s="364">
        <v>44676</v>
      </c>
      <c r="E35" s="377">
        <f>H35</f>
        <v>-21</v>
      </c>
      <c r="F35" s="377"/>
      <c r="G35" s="367" t="s">
        <v>10</v>
      </c>
      <c r="H35" s="377">
        <v>-21</v>
      </c>
      <c r="I35" s="367" t="s">
        <v>109</v>
      </c>
    </row>
    <row r="36" spans="2:9" s="40" customFormat="1" ht="15.75" customHeight="1" x14ac:dyDescent="0.2">
      <c r="B36" s="367" t="s">
        <v>11</v>
      </c>
      <c r="C36" s="362" t="s">
        <v>1</v>
      </c>
      <c r="D36" s="364">
        <v>45243</v>
      </c>
      <c r="E36" s="377"/>
      <c r="F36" s="377">
        <f>H36</f>
        <v>6.7879100000000001</v>
      </c>
      <c r="G36" s="367" t="s">
        <v>10</v>
      </c>
      <c r="H36" s="377">
        <v>6.7879100000000001</v>
      </c>
      <c r="I36" s="367" t="s">
        <v>367</v>
      </c>
    </row>
    <row r="37" spans="2:9" s="40" customFormat="1" ht="15.75" customHeight="1" x14ac:dyDescent="0.2">
      <c r="B37" s="367" t="s">
        <v>11</v>
      </c>
      <c r="C37" s="362" t="s">
        <v>1</v>
      </c>
      <c r="D37" s="364">
        <v>45470</v>
      </c>
      <c r="E37" s="377">
        <f>H37</f>
        <v>-5.5696999999999997E-2</v>
      </c>
      <c r="F37" s="377"/>
      <c r="G37" s="367" t="s">
        <v>10</v>
      </c>
      <c r="H37" s="377">
        <f>-55697*10^-6</f>
        <v>-5.5696999999999997E-2</v>
      </c>
      <c r="I37" s="367" t="s">
        <v>574</v>
      </c>
    </row>
    <row r="38" spans="2:9" s="40" customFormat="1" ht="15.75" customHeight="1" x14ac:dyDescent="0.2">
      <c r="B38" s="367" t="s">
        <v>11</v>
      </c>
      <c r="C38" s="362" t="s">
        <v>1</v>
      </c>
      <c r="D38" s="364">
        <v>45611</v>
      </c>
      <c r="E38" s="377">
        <f>H38</f>
        <v>-3.1560999999999999E-2</v>
      </c>
      <c r="F38" s="377"/>
      <c r="G38" s="367" t="s">
        <v>10</v>
      </c>
      <c r="H38" s="377">
        <f>-31561*10^-6</f>
        <v>-3.1560999999999999E-2</v>
      </c>
      <c r="I38" s="367" t="s">
        <v>637</v>
      </c>
    </row>
    <row r="39" spans="2:9" s="40" customFormat="1" ht="15.75" customHeight="1" x14ac:dyDescent="0.2">
      <c r="B39" s="355" t="s">
        <v>11</v>
      </c>
      <c r="C39" s="350" t="s">
        <v>113</v>
      </c>
      <c r="D39" s="352">
        <v>44087</v>
      </c>
      <c r="E39" s="360">
        <f>H39*1.1</f>
        <v>-20.917552997000001</v>
      </c>
      <c r="F39" s="374"/>
      <c r="G39" s="355" t="s">
        <v>127</v>
      </c>
      <c r="H39" s="375">
        <v>-19.015957270000001</v>
      </c>
      <c r="I39" s="355" t="s">
        <v>129</v>
      </c>
    </row>
    <row r="40" spans="2:9" s="40" customFormat="1" ht="15.75" customHeight="1" x14ac:dyDescent="0.2">
      <c r="B40" s="355" t="s">
        <v>11</v>
      </c>
      <c r="C40" s="350" t="s">
        <v>113</v>
      </c>
      <c r="D40" s="352">
        <v>44287</v>
      </c>
      <c r="E40" s="360">
        <v>-0.21103182000000001</v>
      </c>
      <c r="F40" s="374"/>
      <c r="G40" s="360" t="s">
        <v>127</v>
      </c>
      <c r="H40" s="375">
        <v>-0.21103182000000001</v>
      </c>
      <c r="I40" s="355" t="s">
        <v>130</v>
      </c>
    </row>
    <row r="41" spans="2:9" s="40" customFormat="1" ht="15.75" customHeight="1" x14ac:dyDescent="0.2">
      <c r="B41" s="355" t="s">
        <v>11</v>
      </c>
      <c r="C41" s="350" t="s">
        <v>113</v>
      </c>
      <c r="D41" s="352">
        <v>44442</v>
      </c>
      <c r="E41" s="360">
        <f>1.18*H41</f>
        <v>-0.23965473139999999</v>
      </c>
      <c r="F41" s="374"/>
      <c r="G41" s="360" t="s">
        <v>127</v>
      </c>
      <c r="H41" s="375">
        <f>-203097.23*10^-6</f>
        <v>-0.20309722999999999</v>
      </c>
      <c r="I41" s="355" t="s">
        <v>147</v>
      </c>
    </row>
    <row r="42" spans="2:9" s="40" customFormat="1" ht="15.75" customHeight="1" x14ac:dyDescent="0.2">
      <c r="B42" s="355" t="s">
        <v>11</v>
      </c>
      <c r="C42" s="350" t="s">
        <v>113</v>
      </c>
      <c r="D42" s="352">
        <v>44623</v>
      </c>
      <c r="E42" s="360">
        <f>1.11*H42</f>
        <v>-0.25893584940000003</v>
      </c>
      <c r="F42" s="374"/>
      <c r="G42" s="360" t="s">
        <v>127</v>
      </c>
      <c r="H42" s="375">
        <f>-233275.54*10^-6</f>
        <v>-0.23327554</v>
      </c>
      <c r="I42" s="355" t="s">
        <v>148</v>
      </c>
    </row>
    <row r="43" spans="2:9" s="40" customFormat="1" ht="15.75" customHeight="1" x14ac:dyDescent="0.2">
      <c r="B43" s="355" t="s">
        <v>11</v>
      </c>
      <c r="C43" s="350" t="s">
        <v>113</v>
      </c>
      <c r="D43" s="352">
        <v>44784</v>
      </c>
      <c r="E43" s="353">
        <f>1.03*H43</f>
        <v>1.5224656599999999E-2</v>
      </c>
      <c r="F43" s="374"/>
      <c r="G43" s="360" t="s">
        <v>127</v>
      </c>
      <c r="H43" s="376">
        <f>14781.22*10^-6</f>
        <v>1.4781219999999999E-2</v>
      </c>
      <c r="I43" s="355" t="s">
        <v>149</v>
      </c>
    </row>
    <row r="44" spans="2:9" s="40" customFormat="1" ht="15.75" customHeight="1" x14ac:dyDescent="0.2">
      <c r="B44" s="355" t="s">
        <v>11</v>
      </c>
      <c r="C44" s="350" t="s">
        <v>113</v>
      </c>
      <c r="D44" s="352">
        <v>44956</v>
      </c>
      <c r="E44" s="360">
        <f>9741387*10^-6*1.08341</f>
        <v>10.553916089669999</v>
      </c>
      <c r="F44" s="360"/>
      <c r="G44" s="360" t="s">
        <v>127</v>
      </c>
      <c r="H44" s="375">
        <f>9741387*10^-6</f>
        <v>9.7413869999999996</v>
      </c>
      <c r="I44" s="355" t="s">
        <v>149</v>
      </c>
    </row>
    <row r="45" spans="2:9" s="40" customFormat="1" ht="15.75" customHeight="1" x14ac:dyDescent="0.2">
      <c r="B45" s="355" t="s">
        <v>11</v>
      </c>
      <c r="C45" s="350" t="s">
        <v>113</v>
      </c>
      <c r="D45" s="352">
        <v>44956</v>
      </c>
      <c r="E45" s="360"/>
      <c r="F45" s="360">
        <f>2728214.02*10^-6*1.08341</f>
        <v>2.9557743514081998</v>
      </c>
      <c r="G45" s="360" t="s">
        <v>127</v>
      </c>
      <c r="H45" s="375">
        <v>2.7282140199999994</v>
      </c>
      <c r="I45" s="355" t="s">
        <v>256</v>
      </c>
    </row>
    <row r="46" spans="2:9" s="40" customFormat="1" ht="15.75" customHeight="1" x14ac:dyDescent="0.2">
      <c r="B46" s="355" t="s">
        <v>11</v>
      </c>
      <c r="C46" s="350" t="s">
        <v>113</v>
      </c>
      <c r="D46" s="352">
        <v>45170</v>
      </c>
      <c r="E46" s="360">
        <v>-0.22532724156300002</v>
      </c>
      <c r="F46" s="360"/>
      <c r="G46" s="360" t="s">
        <v>127</v>
      </c>
      <c r="H46" s="360">
        <v>-0.22532724156300002</v>
      </c>
      <c r="I46" s="355" t="s">
        <v>466</v>
      </c>
    </row>
    <row r="47" spans="2:9" s="40" customFormat="1" ht="15.75" customHeight="1" x14ac:dyDescent="0.2">
      <c r="B47" s="355" t="s">
        <v>11</v>
      </c>
      <c r="C47" s="350" t="s">
        <v>113</v>
      </c>
      <c r="D47" s="352">
        <v>45260</v>
      </c>
      <c r="E47" s="360">
        <v>-0.28531251529200002</v>
      </c>
      <c r="F47" s="360"/>
      <c r="G47" s="360" t="s">
        <v>127</v>
      </c>
      <c r="H47" s="360">
        <v>-0.28531251529200002</v>
      </c>
      <c r="I47" s="355" t="s">
        <v>465</v>
      </c>
    </row>
    <row r="48" spans="2:9" s="40" customFormat="1" ht="15.75" customHeight="1" x14ac:dyDescent="0.2">
      <c r="B48" s="355" t="s">
        <v>11</v>
      </c>
      <c r="C48" s="350" t="s">
        <v>113</v>
      </c>
      <c r="D48" s="352">
        <v>45321</v>
      </c>
      <c r="E48" s="360">
        <v>-2.4198785200000001</v>
      </c>
      <c r="F48" s="360"/>
      <c r="G48" s="360" t="s">
        <v>127</v>
      </c>
      <c r="H48" s="360">
        <v>-2.4198785200000001</v>
      </c>
      <c r="I48" s="355" t="s">
        <v>384</v>
      </c>
    </row>
    <row r="49" spans="2:9" s="40" customFormat="1" ht="15.75" customHeight="1" x14ac:dyDescent="0.2">
      <c r="B49" s="355" t="s">
        <v>11</v>
      </c>
      <c r="C49" s="350" t="s">
        <v>113</v>
      </c>
      <c r="D49" s="352">
        <v>45372</v>
      </c>
      <c r="E49" s="360">
        <v>-0.21649573657739998</v>
      </c>
      <c r="F49" s="360"/>
      <c r="G49" s="360" t="s">
        <v>127</v>
      </c>
      <c r="H49" s="360">
        <v>-0.21649573657739998</v>
      </c>
      <c r="I49" s="355" t="s">
        <v>545</v>
      </c>
    </row>
    <row r="50" spans="2:9" s="40" customFormat="1" ht="15.75" customHeight="1" x14ac:dyDescent="0.2">
      <c r="B50" s="355" t="s">
        <v>11</v>
      </c>
      <c r="C50" s="350" t="s">
        <v>113</v>
      </c>
      <c r="D50" s="352">
        <v>45454</v>
      </c>
      <c r="E50" s="360"/>
      <c r="F50" s="360">
        <f>H50*1.0743</f>
        <v>0.46369472675700002</v>
      </c>
      <c r="G50" s="360" t="s">
        <v>127</v>
      </c>
      <c r="H50" s="375">
        <f>431624.99*10^-6</f>
        <v>0.43162498999999999</v>
      </c>
      <c r="I50" s="355" t="s">
        <v>581</v>
      </c>
    </row>
    <row r="51" spans="2:9" s="40" customFormat="1" ht="15.75" customHeight="1" x14ac:dyDescent="0.2">
      <c r="B51" s="355" t="s">
        <v>11</v>
      </c>
      <c r="C51" s="350" t="s">
        <v>113</v>
      </c>
      <c r="D51" s="352">
        <v>45505</v>
      </c>
      <c r="E51" s="360">
        <f>H51*1.0883</f>
        <v>-1.717390356678</v>
      </c>
      <c r="F51" s="360"/>
      <c r="G51" s="360" t="s">
        <v>127</v>
      </c>
      <c r="H51" s="375">
        <f>-1578048.66*10^-6</f>
        <v>-1.5780486599999999</v>
      </c>
      <c r="I51" s="355" t="s">
        <v>582</v>
      </c>
    </row>
    <row r="52" spans="2:9" s="40" customFormat="1" ht="15.75" customHeight="1" x14ac:dyDescent="0.2">
      <c r="B52" s="355" t="s">
        <v>11</v>
      </c>
      <c r="C52" s="350" t="s">
        <v>113</v>
      </c>
      <c r="D52" s="352">
        <v>45604</v>
      </c>
      <c r="E52" s="360">
        <f>H52*1.07205</f>
        <v>-1.8749406423509998</v>
      </c>
      <c r="F52" s="360"/>
      <c r="G52" s="360" t="s">
        <v>127</v>
      </c>
      <c r="H52" s="375">
        <f>-1748930.22*10^-6</f>
        <v>-1.7489302199999999</v>
      </c>
      <c r="I52" s="355" t="s">
        <v>638</v>
      </c>
    </row>
    <row r="53" spans="2:9" s="40" customFormat="1" ht="15.75" customHeight="1" x14ac:dyDescent="0.2">
      <c r="B53" s="355" t="s">
        <v>11</v>
      </c>
      <c r="C53" s="350" t="s">
        <v>113</v>
      </c>
      <c r="D53" s="352">
        <v>45692</v>
      </c>
      <c r="E53" s="360">
        <f>(H53-0.34559)*1.08</f>
        <v>2.1803051663999997</v>
      </c>
      <c r="F53" s="360">
        <f>0.34559*1.08</f>
        <v>0.37323720000000005</v>
      </c>
      <c r="G53" s="360" t="s">
        <v>127</v>
      </c>
      <c r="H53" s="375">
        <v>2.3643910799999999</v>
      </c>
      <c r="I53" s="355" t="s">
        <v>687</v>
      </c>
    </row>
    <row r="54" spans="2:9" s="40" customFormat="1" ht="15.75" customHeight="1" x14ac:dyDescent="0.2">
      <c r="B54" s="355" t="s">
        <v>11</v>
      </c>
      <c r="C54" s="350" t="s">
        <v>113</v>
      </c>
      <c r="D54" s="352">
        <v>45736</v>
      </c>
      <c r="E54" s="360">
        <f>H54*1.08579</f>
        <v>-0.77167877068800006</v>
      </c>
      <c r="F54" s="360"/>
      <c r="G54" s="360" t="s">
        <v>127</v>
      </c>
      <c r="H54" s="375">
        <v>-0.71070719999999998</v>
      </c>
      <c r="I54" s="355" t="s">
        <v>703</v>
      </c>
    </row>
    <row r="55" spans="2:9" s="40" customFormat="1" ht="15.75" customHeight="1" x14ac:dyDescent="0.2">
      <c r="B55" s="355" t="s">
        <v>11</v>
      </c>
      <c r="C55" s="350" t="s">
        <v>113</v>
      </c>
      <c r="D55" s="352">
        <v>45834</v>
      </c>
      <c r="E55" s="360">
        <f>H55*1.16999</f>
        <v>-2.7197917009184001</v>
      </c>
      <c r="F55" s="360"/>
      <c r="G55" s="360" t="s">
        <v>127</v>
      </c>
      <c r="H55" s="375">
        <f>-'8. NewSpace'!R18*10^-6</f>
        <v>-2.3246281600000001</v>
      </c>
      <c r="I55" s="355" t="s">
        <v>731</v>
      </c>
    </row>
    <row r="56" spans="2:9" s="40" customFormat="1" ht="15.75" customHeight="1" x14ac:dyDescent="0.2">
      <c r="B56" s="355" t="s">
        <v>11</v>
      </c>
      <c r="C56" s="350" t="s">
        <v>113</v>
      </c>
      <c r="D56" s="352">
        <v>45874</v>
      </c>
      <c r="E56" s="360">
        <f>-H56*1.16999</f>
        <v>5.1370022494225998</v>
      </c>
      <c r="F56" s="360"/>
      <c r="G56" s="360" t="s">
        <v>127</v>
      </c>
      <c r="H56" s="375">
        <f>('8. NewSpace'!S15+'8. NewSpace'!S16)*10^-6</f>
        <v>-4.3906377399999998</v>
      </c>
      <c r="I56" s="355" t="s">
        <v>741</v>
      </c>
    </row>
    <row r="57" spans="2:9" s="40" customFormat="1" ht="15.75" customHeight="1" x14ac:dyDescent="0.2">
      <c r="B57" s="355" t="s">
        <v>11</v>
      </c>
      <c r="C57" s="350" t="s">
        <v>113</v>
      </c>
      <c r="D57" s="352">
        <v>45874</v>
      </c>
      <c r="E57" s="360"/>
      <c r="F57" s="360">
        <v>0.91406649269910001</v>
      </c>
      <c r="G57" s="360" t="s">
        <v>127</v>
      </c>
      <c r="H57" s="375">
        <f>'8. NewSpace'!S17*10^-6</f>
        <v>-0.78126008999999996</v>
      </c>
      <c r="I57" s="355" t="s">
        <v>742</v>
      </c>
    </row>
    <row r="58" spans="2:9" s="40" customFormat="1" ht="15.75" customHeight="1" x14ac:dyDescent="0.2">
      <c r="B58" s="355" t="s">
        <v>11</v>
      </c>
      <c r="C58" s="350" t="s">
        <v>113</v>
      </c>
      <c r="D58" s="352">
        <v>45874</v>
      </c>
      <c r="E58" s="360">
        <f>-H58*1.16999</f>
        <v>-2.1903083038562001</v>
      </c>
      <c r="F58" s="360"/>
      <c r="G58" s="360" t="s">
        <v>127</v>
      </c>
      <c r="H58" s="375">
        <f>'8. NewSpace'!S18*10^-6</f>
        <v>1.8720743799999999</v>
      </c>
      <c r="I58" s="355" t="s">
        <v>743</v>
      </c>
    </row>
    <row r="59" spans="2:9" s="40" customFormat="1" ht="15.75" customHeight="1" x14ac:dyDescent="0.2">
      <c r="B59" s="355" t="s">
        <v>11</v>
      </c>
      <c r="C59" s="350" t="s">
        <v>113</v>
      </c>
      <c r="D59" s="352">
        <v>46021</v>
      </c>
      <c r="E59" s="360">
        <f>-H59*1.16999</f>
        <v>-0.73970041682732146</v>
      </c>
      <c r="F59" s="360"/>
      <c r="G59" s="360" t="s">
        <v>127</v>
      </c>
      <c r="H59" s="375">
        <f>'8. NewSpace'!U18*10^-6</f>
        <v>0.63222798214285714</v>
      </c>
      <c r="I59" s="355" t="s">
        <v>779</v>
      </c>
    </row>
    <row r="60" spans="2:9" s="40" customFormat="1" ht="15.75" customHeight="1" x14ac:dyDescent="0.2">
      <c r="B60" s="355" t="s">
        <v>11</v>
      </c>
      <c r="C60" s="350" t="s">
        <v>113</v>
      </c>
      <c r="D60" s="352">
        <v>46021</v>
      </c>
      <c r="E60" s="360">
        <f>-H60*1.16999</f>
        <v>2.0711611671164998</v>
      </c>
      <c r="F60" s="360">
        <f>E60</f>
        <v>2.0711611671164998</v>
      </c>
      <c r="G60" s="360" t="s">
        <v>127</v>
      </c>
      <c r="H60" s="375">
        <f>'8. NewSpace'!U20*10^-6</f>
        <v>-1.7702383499999996</v>
      </c>
      <c r="I60" s="355" t="s">
        <v>780</v>
      </c>
    </row>
    <row r="61" spans="2:9" s="40" customFormat="1" ht="15.75" customHeight="1" x14ac:dyDescent="0.2">
      <c r="B61" s="355" t="s">
        <v>11</v>
      </c>
      <c r="C61" s="350" t="s">
        <v>113</v>
      </c>
      <c r="D61" s="352">
        <v>46146</v>
      </c>
      <c r="E61" s="360">
        <f>-H61*1.16999</f>
        <v>0</v>
      </c>
      <c r="F61" s="360"/>
      <c r="G61" s="360" t="s">
        <v>127</v>
      </c>
      <c r="H61" s="375">
        <f>'8. NewSpace'!U21*10^-6</f>
        <v>0</v>
      </c>
      <c r="I61" s="355" t="s">
        <v>780</v>
      </c>
    </row>
    <row r="62" spans="2:9" s="40" customFormat="1" ht="15.75" customHeight="1" x14ac:dyDescent="0.2">
      <c r="B62" s="355"/>
      <c r="C62" s="350"/>
      <c r="D62" s="352"/>
      <c r="E62" s="360"/>
      <c r="F62" s="360"/>
      <c r="G62" s="360"/>
      <c r="H62" s="375"/>
      <c r="I62" s="355"/>
    </row>
    <row r="63" spans="2:9" s="40" customFormat="1" ht="15.75" customHeight="1" x14ac:dyDescent="0.2">
      <c r="B63" s="355" t="s">
        <v>11</v>
      </c>
      <c r="C63" s="350" t="s">
        <v>278</v>
      </c>
      <c r="D63" s="352">
        <v>44087</v>
      </c>
      <c r="E63" s="360">
        <f>-'A. All deals (a)'!K46</f>
        <v>-2.7058823529411762</v>
      </c>
      <c r="F63" s="374"/>
      <c r="G63" s="355" t="s">
        <v>127</v>
      </c>
      <c r="H63" s="375">
        <v>-2.125</v>
      </c>
      <c r="I63" s="355" t="s">
        <v>129</v>
      </c>
    </row>
    <row r="64" spans="2:9" s="40" customFormat="1" ht="15.75" customHeight="1" x14ac:dyDescent="0.2">
      <c r="B64" s="355" t="s">
        <v>11</v>
      </c>
      <c r="C64" s="350" t="s">
        <v>278</v>
      </c>
      <c r="D64" s="352">
        <v>46021</v>
      </c>
      <c r="E64" s="360">
        <f>H64*1.18</f>
        <v>0.20678021459999998</v>
      </c>
      <c r="F64" s="360">
        <f>E64</f>
        <v>0.20678021459999998</v>
      </c>
      <c r="G64" s="355" t="s">
        <v>127</v>
      </c>
      <c r="H64" s="375">
        <f>175237.47*10^-6</f>
        <v>0.17523747000000001</v>
      </c>
      <c r="I64" s="355" t="s">
        <v>793</v>
      </c>
    </row>
    <row r="65" spans="2:9" s="40" customFormat="1" ht="15.75" customHeight="1" x14ac:dyDescent="0.2">
      <c r="B65" s="367" t="s">
        <v>11</v>
      </c>
      <c r="C65" s="362" t="s">
        <v>155</v>
      </c>
      <c r="D65" s="364">
        <v>44540</v>
      </c>
      <c r="E65" s="377">
        <f t="shared" ref="E65:E70" si="1">H65</f>
        <v>-2.8053124999999999</v>
      </c>
      <c r="F65" s="377"/>
      <c r="G65" s="367" t="s">
        <v>10</v>
      </c>
      <c r="H65" s="378">
        <v>-2.8053124999999999</v>
      </c>
      <c r="I65" s="367" t="s">
        <v>13</v>
      </c>
    </row>
    <row r="66" spans="2:9" s="40" customFormat="1" ht="15.75" customHeight="1" x14ac:dyDescent="0.2">
      <c r="B66" s="367" t="s">
        <v>11</v>
      </c>
      <c r="C66" s="362" t="s">
        <v>155</v>
      </c>
      <c r="D66" s="364">
        <v>44602</v>
      </c>
      <c r="E66" s="377">
        <f t="shared" si="1"/>
        <v>-3.4074999999999998</v>
      </c>
      <c r="F66" s="377"/>
      <c r="G66" s="367" t="s">
        <v>10</v>
      </c>
      <c r="H66" s="378">
        <v>-3.4074999999999998</v>
      </c>
      <c r="I66" s="367" t="s">
        <v>112</v>
      </c>
    </row>
    <row r="67" spans="2:9" s="40" customFormat="1" ht="15.75" customHeight="1" x14ac:dyDescent="0.2">
      <c r="B67" s="367" t="s">
        <v>11</v>
      </c>
      <c r="C67" s="362" t="s">
        <v>155</v>
      </c>
      <c r="D67" s="364">
        <v>44683</v>
      </c>
      <c r="E67" s="377">
        <f t="shared" si="1"/>
        <v>-1.0257749999999999</v>
      </c>
      <c r="F67" s="377"/>
      <c r="G67" s="367" t="s">
        <v>10</v>
      </c>
      <c r="H67" s="378">
        <v>-1.0257749999999999</v>
      </c>
      <c r="I67" s="367" t="s">
        <v>200</v>
      </c>
    </row>
    <row r="68" spans="2:9" s="40" customFormat="1" ht="15.75" customHeight="1" x14ac:dyDescent="0.2">
      <c r="B68" s="367" t="s">
        <v>11</v>
      </c>
      <c r="C68" s="362" t="s">
        <v>155</v>
      </c>
      <c r="D68" s="364">
        <v>44707</v>
      </c>
      <c r="E68" s="377">
        <f t="shared" si="1"/>
        <v>-3.3882749999999997</v>
      </c>
      <c r="F68" s="377"/>
      <c r="G68" s="367" t="s">
        <v>10</v>
      </c>
      <c r="H68" s="378">
        <v>-3.3882749999999997</v>
      </c>
      <c r="I68" s="367" t="s">
        <v>111</v>
      </c>
    </row>
    <row r="69" spans="2:9" x14ac:dyDescent="0.25">
      <c r="B69" s="367" t="s">
        <v>11</v>
      </c>
      <c r="C69" s="362" t="s">
        <v>155</v>
      </c>
      <c r="D69" s="364">
        <v>44875</v>
      </c>
      <c r="E69" s="377">
        <f t="shared" si="1"/>
        <v>-3.3882749999999997</v>
      </c>
      <c r="F69" s="377"/>
      <c r="G69" s="367" t="s">
        <v>10</v>
      </c>
      <c r="H69" s="378">
        <v>-3.3882749999999997</v>
      </c>
      <c r="I69" s="367" t="s">
        <v>99</v>
      </c>
    </row>
    <row r="70" spans="2:9" x14ac:dyDescent="0.25">
      <c r="B70" s="367" t="s">
        <v>11</v>
      </c>
      <c r="C70" s="362" t="s">
        <v>155</v>
      </c>
      <c r="D70" s="364">
        <v>45760</v>
      </c>
      <c r="E70" s="377">
        <f t="shared" si="1"/>
        <v>-1.7112499999999999</v>
      </c>
      <c r="F70" s="377"/>
      <c r="G70" s="367" t="s">
        <v>10</v>
      </c>
      <c r="H70" s="378">
        <v>-1.7112499999999999</v>
      </c>
      <c r="I70" s="367" t="s">
        <v>101</v>
      </c>
    </row>
    <row r="71" spans="2:9" x14ac:dyDescent="0.25">
      <c r="B71" s="367"/>
      <c r="C71" s="362"/>
      <c r="D71" s="364"/>
      <c r="E71" s="377"/>
      <c r="F71" s="377"/>
      <c r="G71" s="367"/>
      <c r="H71" s="378"/>
      <c r="I71" s="367"/>
    </row>
    <row r="72" spans="2:9" s="40" customFormat="1" ht="15.75" customHeight="1" x14ac:dyDescent="0.2">
      <c r="B72" s="355" t="s">
        <v>708</v>
      </c>
      <c r="C72" s="350" t="s">
        <v>704</v>
      </c>
      <c r="D72" s="352">
        <v>45547</v>
      </c>
      <c r="E72" s="360">
        <v>-25</v>
      </c>
      <c r="F72" s="360"/>
      <c r="G72" s="355" t="s">
        <v>10</v>
      </c>
      <c r="H72" s="360">
        <f>E72+F72</f>
        <v>-25</v>
      </c>
      <c r="I72" s="355" t="s">
        <v>705</v>
      </c>
    </row>
    <row r="73" spans="2:9" s="40" customFormat="1" ht="15.75" customHeight="1" x14ac:dyDescent="0.2">
      <c r="B73" s="355"/>
      <c r="C73" s="350"/>
      <c r="D73" s="352"/>
      <c r="E73" s="360"/>
      <c r="F73" s="360"/>
      <c r="G73" s="355"/>
      <c r="H73" s="360"/>
      <c r="I73" s="355"/>
    </row>
    <row r="74" spans="2:9" s="40" customFormat="1" ht="15.75" customHeight="1" x14ac:dyDescent="0.2">
      <c r="B74" s="355" t="s">
        <v>708</v>
      </c>
      <c r="C74" s="350" t="s">
        <v>670</v>
      </c>
      <c r="D74" s="352">
        <v>45652</v>
      </c>
      <c r="E74" s="360">
        <v>-116.09728586424242</v>
      </c>
      <c r="F74" s="360"/>
      <c r="G74" s="360" t="s">
        <v>10</v>
      </c>
      <c r="H74" s="360">
        <f t="shared" ref="H74:H83" si="2">E74+F74</f>
        <v>-116.09728586424242</v>
      </c>
      <c r="I74" s="360" t="s">
        <v>736</v>
      </c>
    </row>
    <row r="75" spans="2:9" s="40" customFormat="1" ht="15.75" customHeight="1" x14ac:dyDescent="0.2">
      <c r="B75" s="355" t="s">
        <v>708</v>
      </c>
      <c r="C75" s="350" t="s">
        <v>670</v>
      </c>
      <c r="D75" s="352">
        <v>45726</v>
      </c>
      <c r="E75" s="360">
        <v>-78.304695407676775</v>
      </c>
      <c r="F75" s="360"/>
      <c r="G75" s="360" t="s">
        <v>10</v>
      </c>
      <c r="H75" s="360">
        <f t="shared" si="2"/>
        <v>-78.304695407676775</v>
      </c>
      <c r="I75" s="360" t="s">
        <v>736</v>
      </c>
    </row>
    <row r="76" spans="2:9" s="40" customFormat="1" ht="15.75" customHeight="1" x14ac:dyDescent="0.2">
      <c r="B76" s="355" t="s">
        <v>708</v>
      </c>
      <c r="C76" s="350" t="s">
        <v>670</v>
      </c>
      <c r="D76" s="352">
        <v>45770</v>
      </c>
      <c r="E76" s="360">
        <v>-2.0539744395959594</v>
      </c>
      <c r="F76" s="360"/>
      <c r="G76" s="360" t="s">
        <v>10</v>
      </c>
      <c r="H76" s="360">
        <f t="shared" si="2"/>
        <v>-2.0539744395959594</v>
      </c>
      <c r="I76" s="360" t="s">
        <v>736</v>
      </c>
    </row>
    <row r="77" spans="2:9" s="40" customFormat="1" ht="15.75" customHeight="1" x14ac:dyDescent="0.2">
      <c r="B77" s="355" t="s">
        <v>708</v>
      </c>
      <c r="C77" s="350" t="s">
        <v>670</v>
      </c>
      <c r="D77" s="352">
        <v>45853</v>
      </c>
      <c r="E77" s="360">
        <v>57.05915234651517</v>
      </c>
      <c r="F77" s="360"/>
      <c r="G77" s="360" t="s">
        <v>10</v>
      </c>
      <c r="H77" s="360">
        <f t="shared" si="2"/>
        <v>57.05915234651517</v>
      </c>
      <c r="I77" s="360" t="s">
        <v>149</v>
      </c>
    </row>
    <row r="78" spans="2:9" s="40" customFormat="1" ht="15.75" customHeight="1" x14ac:dyDescent="0.2">
      <c r="B78" s="355" t="s">
        <v>708</v>
      </c>
      <c r="C78" s="350" t="s">
        <v>670</v>
      </c>
      <c r="D78" s="352">
        <v>45861</v>
      </c>
      <c r="E78" s="360">
        <v>-3.076632E-2</v>
      </c>
      <c r="F78" s="360"/>
      <c r="G78" s="360" t="s">
        <v>10</v>
      </c>
      <c r="H78" s="360">
        <f t="shared" si="2"/>
        <v>-3.076632E-2</v>
      </c>
      <c r="I78" s="360" t="s">
        <v>736</v>
      </c>
    </row>
    <row r="79" spans="2:9" s="40" customFormat="1" ht="15.75" customHeight="1" x14ac:dyDescent="0.2">
      <c r="B79" s="355" t="s">
        <v>708</v>
      </c>
      <c r="C79" s="350" t="s">
        <v>670</v>
      </c>
      <c r="D79" s="352">
        <v>45902</v>
      </c>
      <c r="E79" s="360">
        <v>-46.00208655312499</v>
      </c>
      <c r="F79" s="360"/>
      <c r="G79" s="360" t="s">
        <v>10</v>
      </c>
      <c r="H79" s="360">
        <f t="shared" si="2"/>
        <v>-46.00208655312499</v>
      </c>
      <c r="I79" s="360" t="s">
        <v>736</v>
      </c>
    </row>
    <row r="80" spans="2:9" s="40" customFormat="1" ht="15.75" customHeight="1" x14ac:dyDescent="0.2">
      <c r="B80" s="355" t="s">
        <v>708</v>
      </c>
      <c r="C80" s="350" t="s">
        <v>670</v>
      </c>
      <c r="D80" s="352">
        <v>46006</v>
      </c>
      <c r="E80" s="360">
        <v>-0.01</v>
      </c>
      <c r="F80" s="360"/>
      <c r="G80" s="360" t="s">
        <v>10</v>
      </c>
      <c r="H80" s="360">
        <f t="shared" si="2"/>
        <v>-0.01</v>
      </c>
      <c r="I80" s="360" t="s">
        <v>736</v>
      </c>
    </row>
    <row r="81" spans="2:9" s="40" customFormat="1" ht="15.75" customHeight="1" x14ac:dyDescent="0.2">
      <c r="B81" s="355" t="s">
        <v>708</v>
      </c>
      <c r="C81" s="350" t="s">
        <v>670</v>
      </c>
      <c r="D81" s="352">
        <v>46077</v>
      </c>
      <c r="E81" s="360">
        <f>-85727395.84 *10^-6</f>
        <v>-85.72739584</v>
      </c>
      <c r="F81" s="360"/>
      <c r="G81" s="360" t="s">
        <v>10</v>
      </c>
      <c r="H81" s="360">
        <f t="shared" si="2"/>
        <v>-85.72739584</v>
      </c>
      <c r="I81" s="360" t="s">
        <v>736</v>
      </c>
    </row>
    <row r="82" spans="2:9" s="40" customFormat="1" ht="15.75" customHeight="1" x14ac:dyDescent="0.2">
      <c r="B82" s="355" t="s">
        <v>708</v>
      </c>
      <c r="C82" s="350" t="s">
        <v>670</v>
      </c>
      <c r="D82" s="352">
        <v>46092</v>
      </c>
      <c r="E82" s="360">
        <v>14.68885249</v>
      </c>
      <c r="F82" s="360"/>
      <c r="G82" s="360" t="s">
        <v>10</v>
      </c>
      <c r="H82" s="360">
        <f t="shared" si="2"/>
        <v>14.68885249</v>
      </c>
      <c r="I82" s="360" t="s">
        <v>153</v>
      </c>
    </row>
    <row r="83" spans="2:9" s="40" customFormat="1" ht="15.75" customHeight="1" x14ac:dyDescent="0.2">
      <c r="B83" s="355" t="s">
        <v>708</v>
      </c>
      <c r="C83" s="350" t="s">
        <v>670</v>
      </c>
      <c r="D83" s="352">
        <v>46094</v>
      </c>
      <c r="E83" s="360">
        <v>-70.445873469999995</v>
      </c>
      <c r="F83" s="360"/>
      <c r="G83" s="360" t="s">
        <v>10</v>
      </c>
      <c r="H83" s="360">
        <f t="shared" si="2"/>
        <v>-70.445873469999995</v>
      </c>
      <c r="I83" s="360" t="s">
        <v>736</v>
      </c>
    </row>
    <row r="84" spans="2:9" s="40" customFormat="1" ht="15.75" customHeight="1" x14ac:dyDescent="0.2">
      <c r="B84" s="355" t="s">
        <v>708</v>
      </c>
      <c r="C84" s="350" t="s">
        <v>670</v>
      </c>
      <c r="D84" s="352">
        <v>46149</v>
      </c>
      <c r="E84" s="360">
        <v>-38.408358790000001</v>
      </c>
      <c r="F84" s="360"/>
      <c r="G84" s="360" t="s">
        <v>10</v>
      </c>
      <c r="H84" s="360">
        <f t="shared" ref="H84:H86" si="3">E84+F84</f>
        <v>-38.408358790000001</v>
      </c>
      <c r="I84" s="360" t="s">
        <v>736</v>
      </c>
    </row>
    <row r="85" spans="2:9" s="40" customFormat="1" ht="15.75" customHeight="1" x14ac:dyDescent="0.2">
      <c r="B85" s="355" t="s">
        <v>708</v>
      </c>
      <c r="C85" s="350" t="s">
        <v>670</v>
      </c>
      <c r="D85" s="352">
        <v>46160</v>
      </c>
      <c r="E85" s="360">
        <f>-3440.72*10^-6</f>
        <v>-3.4407199999999995E-3</v>
      </c>
      <c r="F85" s="360"/>
      <c r="G85" s="360" t="s">
        <v>10</v>
      </c>
      <c r="H85" s="360">
        <f t="shared" si="3"/>
        <v>-3.4407199999999995E-3</v>
      </c>
      <c r="I85" s="360" t="s">
        <v>736</v>
      </c>
    </row>
    <row r="86" spans="2:9" s="40" customFormat="1" ht="15.75" customHeight="1" x14ac:dyDescent="0.2">
      <c r="B86" s="355" t="s">
        <v>708</v>
      </c>
      <c r="C86" s="350" t="s">
        <v>670</v>
      </c>
      <c r="D86" s="352">
        <v>46159</v>
      </c>
      <c r="E86" s="360">
        <v>19.305945430000001</v>
      </c>
      <c r="F86" s="360"/>
      <c r="G86" s="360" t="s">
        <v>10</v>
      </c>
      <c r="H86" s="360">
        <f t="shared" si="3"/>
        <v>19.305945430000001</v>
      </c>
      <c r="I86" s="360" t="s">
        <v>149</v>
      </c>
    </row>
    <row r="87" spans="2:9" s="40" customFormat="1" ht="15.75" customHeight="1" x14ac:dyDescent="0.2">
      <c r="B87" s="355"/>
      <c r="C87" s="350"/>
      <c r="D87" s="352"/>
      <c r="E87" s="360"/>
      <c r="F87" s="360"/>
      <c r="G87" s="360"/>
      <c r="H87" s="360"/>
      <c r="I87" s="360"/>
    </row>
    <row r="88" spans="2:9" s="40" customFormat="1" ht="15.75" customHeight="1" x14ac:dyDescent="0.2">
      <c r="B88" s="355" t="s">
        <v>708</v>
      </c>
      <c r="C88" s="350" t="s">
        <v>706</v>
      </c>
      <c r="D88" s="352">
        <v>45454</v>
      </c>
      <c r="E88" s="360">
        <v>-4.4402119999999998</v>
      </c>
      <c r="F88" s="360"/>
      <c r="G88" s="355" t="s">
        <v>10</v>
      </c>
      <c r="H88" s="360">
        <f t="shared" ref="H88:H96" si="4">E88+F88</f>
        <v>-4.4402119999999998</v>
      </c>
      <c r="I88" s="360" t="s">
        <v>736</v>
      </c>
    </row>
    <row r="89" spans="2:9" s="40" customFormat="1" ht="15.75" customHeight="1" x14ac:dyDescent="0.2">
      <c r="B89" s="355" t="s">
        <v>708</v>
      </c>
      <c r="C89" s="350" t="s">
        <v>706</v>
      </c>
      <c r="D89" s="352">
        <v>45468</v>
      </c>
      <c r="E89" s="360">
        <v>-0.85670199999999996</v>
      </c>
      <c r="F89" s="360"/>
      <c r="G89" s="355" t="s">
        <v>10</v>
      </c>
      <c r="H89" s="360">
        <f t="shared" si="4"/>
        <v>-0.85670199999999996</v>
      </c>
      <c r="I89" s="360" t="s">
        <v>736</v>
      </c>
    </row>
    <row r="90" spans="2:9" s="40" customFormat="1" ht="15.75" customHeight="1" x14ac:dyDescent="0.2">
      <c r="B90" s="355" t="s">
        <v>708</v>
      </c>
      <c r="C90" s="350" t="s">
        <v>706</v>
      </c>
      <c r="D90" s="352">
        <v>45562</v>
      </c>
      <c r="E90" s="360">
        <v>-1.7660180000000001</v>
      </c>
      <c r="F90" s="360"/>
      <c r="G90" s="355" t="s">
        <v>10</v>
      </c>
      <c r="H90" s="360">
        <f t="shared" si="4"/>
        <v>-1.7660180000000001</v>
      </c>
      <c r="I90" s="360" t="s">
        <v>736</v>
      </c>
    </row>
    <row r="91" spans="2:9" s="40" customFormat="1" ht="15.75" customHeight="1" x14ac:dyDescent="0.2">
      <c r="B91" s="355" t="s">
        <v>708</v>
      </c>
      <c r="C91" s="350" t="s">
        <v>706</v>
      </c>
      <c r="D91" s="352">
        <v>45581</v>
      </c>
      <c r="E91" s="360">
        <v>-0.12598200000000001</v>
      </c>
      <c r="F91" s="360"/>
      <c r="G91" s="355" t="s">
        <v>10</v>
      </c>
      <c r="H91" s="360">
        <f t="shared" si="4"/>
        <v>-0.12598200000000001</v>
      </c>
      <c r="I91" s="360" t="s">
        <v>736</v>
      </c>
    </row>
    <row r="92" spans="2:9" s="40" customFormat="1" ht="15.75" customHeight="1" x14ac:dyDescent="0.2">
      <c r="B92" s="355" t="s">
        <v>708</v>
      </c>
      <c r="C92" s="350" t="s">
        <v>706</v>
      </c>
      <c r="D92" s="352">
        <v>45645</v>
      </c>
      <c r="E92" s="360">
        <v>-3.257177</v>
      </c>
      <c r="F92" s="360"/>
      <c r="G92" s="355" t="s">
        <v>10</v>
      </c>
      <c r="H92" s="360">
        <f t="shared" si="4"/>
        <v>-3.257177</v>
      </c>
      <c r="I92" s="360" t="s">
        <v>736</v>
      </c>
    </row>
    <row r="93" spans="2:9" s="40" customFormat="1" ht="15.75" customHeight="1" x14ac:dyDescent="0.2">
      <c r="B93" s="355" t="s">
        <v>708</v>
      </c>
      <c r="C93" s="350" t="s">
        <v>706</v>
      </c>
      <c r="D93" s="352">
        <v>45726</v>
      </c>
      <c r="E93" s="360">
        <v>-8.2013269999999991</v>
      </c>
      <c r="F93" s="360"/>
      <c r="G93" s="355" t="s">
        <v>10</v>
      </c>
      <c r="H93" s="360">
        <f t="shared" si="4"/>
        <v>-8.2013269999999991</v>
      </c>
      <c r="I93" s="360" t="s">
        <v>736</v>
      </c>
    </row>
    <row r="94" spans="2:9" s="40" customFormat="1" ht="15.75" customHeight="1" x14ac:dyDescent="0.2">
      <c r="B94" s="355" t="s">
        <v>708</v>
      </c>
      <c r="C94" s="350" t="s">
        <v>767</v>
      </c>
      <c r="D94" s="352">
        <v>45841</v>
      </c>
      <c r="E94" s="360">
        <v>-4.3143661430334586</v>
      </c>
      <c r="F94" s="360"/>
      <c r="G94" s="360" t="s">
        <v>10</v>
      </c>
      <c r="H94" s="360">
        <f t="shared" si="4"/>
        <v>-4.3143661430334586</v>
      </c>
      <c r="I94" s="360" t="s">
        <v>736</v>
      </c>
    </row>
    <row r="95" spans="2:9" s="40" customFormat="1" ht="15.75" customHeight="1" x14ac:dyDescent="0.2">
      <c r="B95" s="355" t="s">
        <v>708</v>
      </c>
      <c r="C95" s="350" t="s">
        <v>767</v>
      </c>
      <c r="D95" s="352">
        <v>45861</v>
      </c>
      <c r="E95" s="360">
        <v>-1.8373084599999998</v>
      </c>
      <c r="F95" s="360"/>
      <c r="G95" s="360" t="s">
        <v>10</v>
      </c>
      <c r="H95" s="360">
        <f t="shared" si="4"/>
        <v>-1.8373084599999998</v>
      </c>
      <c r="I95" s="360" t="s">
        <v>736</v>
      </c>
    </row>
    <row r="96" spans="2:9" s="40" customFormat="1" ht="15.75" customHeight="1" x14ac:dyDescent="0.2">
      <c r="B96" s="355" t="s">
        <v>708</v>
      </c>
      <c r="C96" s="350" t="s">
        <v>767</v>
      </c>
      <c r="D96" s="352">
        <v>45919</v>
      </c>
      <c r="E96" s="360">
        <v>-2.8736578253124998</v>
      </c>
      <c r="F96" s="360"/>
      <c r="G96" s="360" t="s">
        <v>10</v>
      </c>
      <c r="H96" s="360">
        <f t="shared" si="4"/>
        <v>-2.8736578253124998</v>
      </c>
      <c r="I96" s="360" t="s">
        <v>736</v>
      </c>
    </row>
    <row r="97" spans="2:9" s="40" customFormat="1" ht="15.75" customHeight="1" x14ac:dyDescent="0.2">
      <c r="B97" s="355"/>
      <c r="C97" s="350"/>
      <c r="D97" s="352"/>
      <c r="E97" s="360"/>
      <c r="F97" s="360"/>
      <c r="G97" s="355"/>
      <c r="H97" s="360"/>
      <c r="I97" s="355"/>
    </row>
    <row r="98" spans="2:9" s="40" customFormat="1" ht="15.75" customHeight="1" x14ac:dyDescent="0.2">
      <c r="B98" s="355" t="s">
        <v>708</v>
      </c>
      <c r="C98" s="350" t="s">
        <v>707</v>
      </c>
      <c r="D98" s="352">
        <v>45565</v>
      </c>
      <c r="E98" s="360">
        <v>-250</v>
      </c>
      <c r="F98" s="360"/>
      <c r="G98" s="360" t="s">
        <v>10</v>
      </c>
      <c r="H98" s="360">
        <f t="shared" ref="H98:H101" si="5">E98+F98</f>
        <v>-250</v>
      </c>
      <c r="I98" s="360" t="s">
        <v>736</v>
      </c>
    </row>
    <row r="99" spans="2:9" s="40" customFormat="1" ht="15.75" customHeight="1" x14ac:dyDescent="0.2">
      <c r="B99" s="355" t="s">
        <v>708</v>
      </c>
      <c r="C99" s="350" t="s">
        <v>707</v>
      </c>
      <c r="D99" s="352">
        <v>45618</v>
      </c>
      <c r="E99" s="360">
        <v>-249.99999759999997</v>
      </c>
      <c r="F99" s="360"/>
      <c r="G99" s="360" t="s">
        <v>10</v>
      </c>
      <c r="H99" s="360">
        <f t="shared" si="5"/>
        <v>-249.99999759999997</v>
      </c>
      <c r="I99" s="360" t="s">
        <v>736</v>
      </c>
    </row>
    <row r="100" spans="2:9" s="40" customFormat="1" ht="15.75" customHeight="1" x14ac:dyDescent="0.2">
      <c r="B100" s="355" t="s">
        <v>708</v>
      </c>
      <c r="C100" s="350" t="s">
        <v>707</v>
      </c>
      <c r="D100" s="352">
        <v>45652</v>
      </c>
      <c r="E100" s="360">
        <v>249.99999880000001</v>
      </c>
      <c r="F100" s="360"/>
      <c r="G100" s="360" t="s">
        <v>10</v>
      </c>
      <c r="H100" s="360">
        <f t="shared" si="5"/>
        <v>249.99999880000001</v>
      </c>
      <c r="I100" s="360" t="s">
        <v>149</v>
      </c>
    </row>
    <row r="101" spans="2:9" s="40" customFormat="1" ht="15.75" customHeight="1" x14ac:dyDescent="0.2">
      <c r="B101" s="355" t="s">
        <v>708</v>
      </c>
      <c r="C101" s="350" t="s">
        <v>707</v>
      </c>
      <c r="D101" s="352">
        <v>45726</v>
      </c>
      <c r="E101" s="360">
        <v>-62.499559974999997</v>
      </c>
      <c r="F101" s="360"/>
      <c r="G101" s="360" t="s">
        <v>10</v>
      </c>
      <c r="H101" s="360">
        <f t="shared" si="5"/>
        <v>-62.499559974999997</v>
      </c>
      <c r="I101" s="360" t="s">
        <v>736</v>
      </c>
    </row>
    <row r="102" spans="2:9" x14ac:dyDescent="0.25">
      <c r="B102" s="25"/>
      <c r="C102"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8"/>
  <sheetViews>
    <sheetView showGridLines="0" topLeftCell="A9" zoomScale="80" zoomScaleNormal="80" workbookViewId="0">
      <selection activeCell="E49" sqref="E49"/>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41"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5" t="s">
        <v>56</v>
      </c>
      <c r="C2" s="156">
        <f>'A. All deals (a)'!D2</f>
        <v>46265</v>
      </c>
      <c r="D2" s="156" t="str">
        <f>TEXT(C2,"ddd")</f>
        <v>Mon</v>
      </c>
      <c r="E2" s="157"/>
      <c r="F2" s="157"/>
      <c r="G2" s="157"/>
      <c r="H2" s="337"/>
    </row>
    <row r="3" spans="2:21" x14ac:dyDescent="0.25">
      <c r="B3" s="201"/>
      <c r="C3" s="201"/>
      <c r="D3" s="201"/>
      <c r="E3" s="201"/>
      <c r="F3" s="201"/>
      <c r="G3" s="201"/>
      <c r="H3" s="338"/>
    </row>
    <row r="4" spans="2:21" x14ac:dyDescent="0.25">
      <c r="B4" s="3"/>
      <c r="C4" s="3"/>
      <c r="D4" s="3"/>
      <c r="E4" s="1"/>
      <c r="F4" s="1"/>
      <c r="G4" s="1"/>
      <c r="H4" s="339"/>
    </row>
    <row r="5" spans="2:21" x14ac:dyDescent="0.25">
      <c r="B5" s="225" t="s">
        <v>82</v>
      </c>
      <c r="C5" s="222" t="s">
        <v>31</v>
      </c>
      <c r="D5" s="222" t="s">
        <v>36</v>
      </c>
      <c r="E5" s="222" t="s">
        <v>27</v>
      </c>
      <c r="F5" s="222" t="s">
        <v>83</v>
      </c>
      <c r="G5" s="222"/>
      <c r="H5" s="340" t="s">
        <v>21</v>
      </c>
    </row>
    <row r="6" spans="2:21" x14ac:dyDescent="0.25">
      <c r="B6" s="221"/>
      <c r="C6" s="127"/>
      <c r="D6" s="222"/>
      <c r="E6" s="328" t="s">
        <v>80</v>
      </c>
      <c r="F6" s="224" t="s">
        <v>81</v>
      </c>
      <c r="G6" s="224" t="s">
        <v>10</v>
      </c>
      <c r="H6" s="340"/>
      <c r="M6" s="487"/>
    </row>
    <row r="7" spans="2:21" x14ac:dyDescent="0.25">
      <c r="B7" s="221"/>
      <c r="C7" s="127"/>
      <c r="D7" s="222"/>
      <c r="E7" s="223" t="str">
        <f>"NAV | "&amp; TEXT(C2,"dd")&amp;" "&amp;TEXT(C2,"mmm")&amp;" "&amp;TEXT(C2,"yyyy")</f>
        <v>NAV | 31 Aug 2026</v>
      </c>
      <c r="F7" s="223"/>
      <c r="G7" s="223" t="str">
        <f>"PPS |" &amp; TEXT(C2,"dd")&amp;" "&amp;TEXT(C2,"mmm")&amp;" "&amp;TEXT(C2,"yyyy")</f>
        <v>PPS |31 Aug 2026</v>
      </c>
      <c r="H7" s="340"/>
      <c r="M7" s="487"/>
    </row>
    <row r="8" spans="2:21" x14ac:dyDescent="0.25">
      <c r="M8" s="487"/>
    </row>
    <row r="9" spans="2:21" ht="15.75" thickBot="1" x14ac:dyDescent="0.3">
      <c r="B9" s="315" t="s">
        <v>28</v>
      </c>
      <c r="C9" s="315"/>
      <c r="D9" s="315"/>
      <c r="E9" s="333"/>
      <c r="F9" s="315"/>
      <c r="G9" s="315"/>
      <c r="H9" s="315"/>
    </row>
    <row r="10" spans="2:21" x14ac:dyDescent="0.25">
      <c r="B10" s="322" t="str">
        <f>'A. All deals (a)'!C9</f>
        <v>Jollychic Holding Limited</v>
      </c>
      <c r="C10" s="323" t="str">
        <f>'A. All deals (a)'!F9</f>
        <v>Mozn</v>
      </c>
      <c r="D10" s="323" t="str">
        <f>'A. All deals (a)'!H9</f>
        <v>C+ Prefs</v>
      </c>
      <c r="E10" s="325">
        <f>F10*G10*10^-6</f>
        <v>0</v>
      </c>
      <c r="F10" s="335">
        <f>VLOOKUP(B10,'%'!$C$6:$I$43,2,0)</f>
        <v>13458655</v>
      </c>
      <c r="G10" s="324"/>
      <c r="H10" s="342" t="s">
        <v>768</v>
      </c>
    </row>
    <row r="11" spans="2:21" x14ac:dyDescent="0.25">
      <c r="B11" s="322" t="str">
        <f>'A. All deals (a)'!C10</f>
        <v>Mena Mobile Inc</v>
      </c>
      <c r="C11" s="323" t="str">
        <f>'A. All deals (a)'!F10</f>
        <v>Mozn</v>
      </c>
      <c r="D11" s="323" t="str">
        <f>'A. All deals (a)'!H10</f>
        <v>B Prefs</v>
      </c>
      <c r="E11" s="326">
        <v>0</v>
      </c>
      <c r="F11" s="335">
        <f>VLOOKUP(B11,'%'!$C$6:$I$43,2,0)</f>
        <v>21419829</v>
      </c>
      <c r="G11" s="324"/>
      <c r="H11" s="342" t="s">
        <v>275</v>
      </c>
      <c r="K11" s="508" t="s">
        <v>744</v>
      </c>
      <c r="L11" s="508"/>
    </row>
    <row r="12" spans="2:21" x14ac:dyDescent="0.25">
      <c r="B12" s="322" t="str">
        <f>'A. All deals (a)'!C12</f>
        <v xml:space="preserve">Esyasoft Holding </v>
      </c>
      <c r="C12" s="323" t="str">
        <f>'A. All deals (a)'!F12</f>
        <v>Mozn</v>
      </c>
      <c r="D12" s="323" t="str">
        <f>'A. All deals (a)'!H12</f>
        <v>Convertible Note</v>
      </c>
      <c r="E12" s="326">
        <v>0</v>
      </c>
      <c r="F12" s="335" t="str">
        <f>VLOOKUP(B12,'%'!$C$6:$I$43,2,0)</f>
        <v>n/a</v>
      </c>
      <c r="G12" s="324"/>
      <c r="H12" s="342" t="s">
        <v>246</v>
      </c>
    </row>
    <row r="13" spans="2:21" x14ac:dyDescent="0.25">
      <c r="B13" s="322" t="str">
        <f>'A. All deals (a)'!C16</f>
        <v>Jysan Technologies</v>
      </c>
      <c r="C13" s="323" t="str">
        <f>'A. All deals (a)'!F16</f>
        <v>Mozn 1</v>
      </c>
      <c r="D13" s="323" t="str">
        <f>'A. All deals (a)'!H16</f>
        <v>A (Ordinary Shares)</v>
      </c>
      <c r="E13" s="326">
        <v>0</v>
      </c>
      <c r="F13" s="335">
        <f>VLOOKUP(B13,'%'!$C$6:$I$43,2,0)</f>
        <v>7959497</v>
      </c>
      <c r="G13" s="324">
        <f>E13*10^6/F13</f>
        <v>0</v>
      </c>
      <c r="H13" s="342" t="s">
        <v>351</v>
      </c>
    </row>
    <row r="14" spans="2:21" ht="15.75" thickBot="1" x14ac:dyDescent="0.3">
      <c r="B14" s="322" t="str">
        <f>'A. All deals (a)'!C19</f>
        <v>Instadeep Limited</v>
      </c>
      <c r="C14" s="323" t="str">
        <f>'A. All deals (a)'!F19</f>
        <v>Mozn</v>
      </c>
      <c r="D14" s="323" t="str">
        <f>'A. All deals (a)'!H19</f>
        <v xml:space="preserve">B Prefs </v>
      </c>
      <c r="E14" s="326">
        <f>-'CF (Equity, Debt)'!E24*G14</f>
        <v>0</v>
      </c>
      <c r="F14" s="335">
        <f>VLOOKUP(B14,'%'!$C$6:$I$43,2,0)</f>
        <v>33267</v>
      </c>
      <c r="G14" s="324">
        <v>0</v>
      </c>
      <c r="H14" s="342" t="s">
        <v>346</v>
      </c>
    </row>
    <row r="15" spans="2:21" x14ac:dyDescent="0.25">
      <c r="B15" s="322" t="str">
        <f>'A. All deals (a)'!C20</f>
        <v>X-fusion</v>
      </c>
      <c r="C15" s="323" t="str">
        <f>'A. All deals (a)'!F20</f>
        <v>Mozn 2</v>
      </c>
      <c r="D15" s="323" t="str">
        <f>'A. All deals (a)'!H20</f>
        <v>Equity-TBC</v>
      </c>
      <c r="E15" s="326">
        <v>0</v>
      </c>
      <c r="F15" s="335" t="str">
        <f>VLOOKUP(B15,'%'!$C$6:$I$43,2,0)</f>
        <v>n/a</v>
      </c>
      <c r="G15" s="324"/>
      <c r="H15" s="342" t="s">
        <v>459</v>
      </c>
      <c r="J15" s="205"/>
      <c r="K15" s="488" t="str">
        <f>TEXT(K16,"ddd")</f>
        <v>Mon</v>
      </c>
      <c r="L15" s="488"/>
      <c r="M15" s="206"/>
      <c r="S15" s="285" t="s">
        <v>214</v>
      </c>
      <c r="T15" s="489"/>
      <c r="U15" s="490"/>
    </row>
    <row r="16" spans="2:21" x14ac:dyDescent="0.25">
      <c r="B16" s="322" t="str">
        <f>'A. All deals (a)'!C23</f>
        <v>Honor Device Co Ltd</v>
      </c>
      <c r="C16" s="323" t="str">
        <f>'A. All deals (a)'!F23</f>
        <v>G42 3</v>
      </c>
      <c r="D16" s="323" t="str">
        <f>'A. All deals (a)'!H23</f>
        <v>Equity-TBC</v>
      </c>
      <c r="E16" s="326">
        <v>0</v>
      </c>
      <c r="F16" s="335">
        <f>VLOOKUP(B16,'%'!$C$6:$I$43,2,0)</f>
        <v>606850777.73599994</v>
      </c>
      <c r="G16" s="324"/>
      <c r="H16" s="342" t="s">
        <v>461</v>
      </c>
      <c r="J16" s="204" t="s">
        <v>255</v>
      </c>
      <c r="K16" s="592">
        <f>C2</f>
        <v>46265</v>
      </c>
      <c r="L16" s="592"/>
      <c r="M16" s="433" t="s">
        <v>247</v>
      </c>
      <c r="S16" s="215" t="s">
        <v>205</v>
      </c>
      <c r="T16" s="491">
        <v>7500000000</v>
      </c>
      <c r="U16" s="492"/>
    </row>
    <row r="17" spans="2:21" x14ac:dyDescent="0.25">
      <c r="B17" s="322" t="str">
        <f>'A. All deals (a)'!C27</f>
        <v>WLD Tokens</v>
      </c>
      <c r="C17" s="323" t="str">
        <f>'A. All deals (a)'!F27</f>
        <v>Mozn</v>
      </c>
      <c r="D17" s="323" t="str">
        <f>'A. All deals (a)'!H27</f>
        <v>Tokens</v>
      </c>
      <c r="E17" s="326">
        <f>F17*G17*10^-6</f>
        <v>0</v>
      </c>
      <c r="F17" s="335">
        <v>0</v>
      </c>
      <c r="G17" s="324">
        <f>K17</f>
        <v>0</v>
      </c>
      <c r="H17" s="342" t="s">
        <v>595</v>
      </c>
      <c r="J17" s="66"/>
      <c r="M17" s="184"/>
      <c r="S17" s="215" t="s">
        <v>206</v>
      </c>
      <c r="T17" s="493">
        <v>0.14383199999999999</v>
      </c>
      <c r="U17" s="492"/>
    </row>
    <row r="18" spans="2:21" x14ac:dyDescent="0.25">
      <c r="B18" s="586" t="str">
        <f>'A. All deals (a)'!C14</f>
        <v>ONT plc</v>
      </c>
      <c r="C18" s="587" t="str">
        <f>'A. All deals (a)'!F14</f>
        <v>Mozn</v>
      </c>
      <c r="D18" s="587" t="str">
        <f>'A. All deals (a)'!H14</f>
        <v>Ordinary Shares</v>
      </c>
      <c r="E18" s="588">
        <f>F18*G18*10^-6</f>
        <v>105.22733244336</v>
      </c>
      <c r="F18" s="589">
        <f>VLOOKUP(B18,'%'!$C$6:$I$43,2,0)</f>
        <v>44328120</v>
      </c>
      <c r="G18" s="590">
        <f>M18*M22/100</f>
        <v>2.373828</v>
      </c>
      <c r="H18" s="591" t="s">
        <v>170</v>
      </c>
      <c r="J18" s="186" t="s">
        <v>727</v>
      </c>
      <c r="K18" s="593" cm="1" vm="1">
        <f t="array" aca="1" ref="K18:L18" ca="1">_xlfn.STOCKHISTORY(J18,$K$16,$K$16,0,0)</f>
        <v>46265</v>
      </c>
      <c r="L18" s="594" vm="2">
        <f ca="1"/>
        <v>16.72</v>
      </c>
      <c r="M18" s="509">
        <v>176.1</v>
      </c>
      <c r="S18" s="215" t="s">
        <v>207</v>
      </c>
      <c r="T18" s="491">
        <v>1078740000</v>
      </c>
      <c r="U18" s="492"/>
    </row>
    <row r="19" spans="2:21" x14ac:dyDescent="0.25">
      <c r="B19" s="586" t="str">
        <f>'A. All deals (a)'!C22</f>
        <v>vTv Therapeutics Inc.</v>
      </c>
      <c r="C19" s="587" t="str">
        <f>'A. All deals (a)'!F22</f>
        <v>G42 Investments</v>
      </c>
      <c r="D19" s="587" t="str">
        <f>'A. All deals (a)'!H22</f>
        <v>Ordinary Shares</v>
      </c>
      <c r="E19" s="588">
        <f>(F19*G19)*10^-6</f>
        <v>8.3090239999999991</v>
      </c>
      <c r="F19" s="589">
        <f>VLOOKUP(B19,'%'!$C$6:$I$43,2,0)</f>
        <v>259657</v>
      </c>
      <c r="G19" s="590">
        <f>M19</f>
        <v>32</v>
      </c>
      <c r="H19" s="591" t="s">
        <v>170</v>
      </c>
      <c r="J19" s="66" t="s">
        <v>728</v>
      </c>
      <c r="K19" s="593" cm="1" vm="1">
        <f t="array" aca="1" ref="K19:L19" ca="1">_xlfn.STOCKHISTORY(J19,$K$16,$K$16,0,0)</f>
        <v>46265</v>
      </c>
      <c r="L19" s="212" vm="3">
        <f ca="1"/>
        <v>32</v>
      </c>
      <c r="M19" s="509">
        <v>32</v>
      </c>
      <c r="S19" s="215" t="s">
        <v>208</v>
      </c>
      <c r="T19" s="494">
        <v>0</v>
      </c>
      <c r="U19" s="492"/>
    </row>
    <row r="20" spans="2:21" x14ac:dyDescent="0.25">
      <c r="B20" s="586" t="str">
        <f>'A. All deals (a)'!C31</f>
        <v>Verses AI Inc</v>
      </c>
      <c r="C20" s="587" t="str">
        <f>'A. All deals (a)'!F31</f>
        <v>G42 Capital</v>
      </c>
      <c r="D20" s="587" t="str">
        <f>'A. All deals (a)'!H31</f>
        <v>Ordinary Shares</v>
      </c>
      <c r="E20" s="588">
        <f>(F20*G20)*10^-6</f>
        <v>0</v>
      </c>
      <c r="F20" s="589">
        <f>VLOOKUP(B20,'%'!$C$6:$I$43,2,0)</f>
        <v>514623.44444444444</v>
      </c>
      <c r="G20" s="590">
        <f>M21</f>
        <v>0</v>
      </c>
      <c r="H20" s="591" t="s">
        <v>170</v>
      </c>
      <c r="J20" s="66" t="s">
        <v>841</v>
      </c>
      <c r="K20" s="593" cm="1" vm="1">
        <f t="array" aca="1" ref="K20:L20" ca="1">_xlfn.STOCKHISTORY(J20,$K$16,$K$16,0,0)</f>
        <v>46265</v>
      </c>
      <c r="L20" s="212" vm="4">
        <f ca="1"/>
        <v>184.24</v>
      </c>
      <c r="M20" s="509">
        <v>184.24</v>
      </c>
      <c r="S20" s="215" t="s">
        <v>209</v>
      </c>
      <c r="T20" s="494">
        <v>0</v>
      </c>
      <c r="U20" s="492"/>
    </row>
    <row r="21" spans="2:21" x14ac:dyDescent="0.25">
      <c r="B21" s="586" t="str">
        <f>'A. All deals (a)'!C17</f>
        <v>Cerebras Systems Inc (1)</v>
      </c>
      <c r="C21" s="587" t="str">
        <f>'A. All deals (a)'!F17</f>
        <v>Mozn</v>
      </c>
      <c r="D21" s="587" t="str">
        <f>'A. All deals (a)'!H17</f>
        <v>F Prefs</v>
      </c>
      <c r="E21" s="588">
        <f>F21*G21*10^-6</f>
        <v>265.62083464</v>
      </c>
      <c r="F21" s="589">
        <f>VLOOKUP(B21,'%'!$C$6:$I$43,2,0)</f>
        <v>1441711</v>
      </c>
      <c r="G21" s="590">
        <f>M20</f>
        <v>184.24</v>
      </c>
      <c r="H21" s="591" t="s">
        <v>170</v>
      </c>
      <c r="J21" s="66" t="s">
        <v>726</v>
      </c>
      <c r="K21" s="593" cm="1" vm="1">
        <f t="array" aca="1" ref="K21:L21" ca="1">_xlfn.STOCKHISTORY(J21,$K$16,$K$16,0,0)</f>
        <v>46265</v>
      </c>
      <c r="L21" s="212" t="e" vm="5">
        <f ca="1"/>
        <v>#N/A</v>
      </c>
      <c r="M21" s="509">
        <v>0</v>
      </c>
      <c r="S21" s="215" t="s">
        <v>210</v>
      </c>
      <c r="T21" s="491">
        <f>T18*(1-T19)*(1-T20)</f>
        <v>1078740000</v>
      </c>
      <c r="U21" s="495"/>
    </row>
    <row r="22" spans="2:21" x14ac:dyDescent="0.25">
      <c r="B22" s="586" t="str">
        <f>'A. All deals (a)'!C35</f>
        <v>Cerebras Systems Inc (2)</v>
      </c>
      <c r="C22" s="587" t="s">
        <v>519</v>
      </c>
      <c r="D22" s="587" t="str">
        <f>'A. All deals (a)'!H29</f>
        <v>Preferred Shares</v>
      </c>
      <c r="E22" s="588">
        <f>F22*G22*10^-6</f>
        <v>647.32558184000004</v>
      </c>
      <c r="F22" s="589">
        <f>1857516+1655975</f>
        <v>3513491</v>
      </c>
      <c r="G22" s="590">
        <f>M20</f>
        <v>184.24</v>
      </c>
      <c r="H22" s="591" t="s">
        <v>170</v>
      </c>
      <c r="J22" s="186" t="s">
        <v>729</v>
      </c>
      <c r="K22" s="593" cm="1" vm="1">
        <f t="array" aca="1" ref="K22:L22" ca="1">_xlfn.STOCKHISTORY(J22,$K$16,$K$16,0,0)</f>
        <v>46265</v>
      </c>
      <c r="L22" s="212" vm="6">
        <f ca="1"/>
        <v>1.3547</v>
      </c>
      <c r="M22" s="184" vm="7">
        <v>1.3480000000000001</v>
      </c>
      <c r="S22" s="215" t="s">
        <v>254</v>
      </c>
      <c r="T22" s="496" vm="1">
        <f ca="1">K23</f>
        <v>46265</v>
      </c>
      <c r="U22" s="495"/>
    </row>
    <row r="23" spans="2:21" x14ac:dyDescent="0.25">
      <c r="B23" s="562" t="str">
        <f>'A. All deals (a)'!C11</f>
        <v>Flyr Inc</v>
      </c>
      <c r="C23" s="563" t="str">
        <f>'A. All deals (a)'!F11</f>
        <v>Mozn</v>
      </c>
      <c r="D23" s="563" t="str">
        <f>'A. All deals (a)'!H11</f>
        <v>B-1,2 Prefs</v>
      </c>
      <c r="E23" s="564">
        <v>14.6</v>
      </c>
      <c r="F23" s="565">
        <f>VLOOKUP(B23,'%'!$C$6:$I$43,2,0)</f>
        <v>5205482</v>
      </c>
      <c r="G23" s="566"/>
      <c r="H23" s="567" t="s">
        <v>639</v>
      </c>
      <c r="J23" s="66" t="s">
        <v>730</v>
      </c>
      <c r="K23" s="593" cm="1" vm="1">
        <f t="array" aca="1" ref="K23:L23" ca="1">_xlfn.STOCKHISTORY(J23,$K$16,$K$16,0,0)</f>
        <v>46265</v>
      </c>
      <c r="L23" s="212" vm="8">
        <f ca="1"/>
        <v>6.7196999999999996</v>
      </c>
      <c r="M23" s="509">
        <v>6.7237</v>
      </c>
      <c r="S23" s="215" t="s">
        <v>211</v>
      </c>
      <c r="T23" s="497">
        <f ca="1">T21/T22</f>
        <v>23316.545985085919</v>
      </c>
      <c r="U23" s="492"/>
    </row>
    <row r="24" spans="2:21" ht="15.75" thickBot="1" x14ac:dyDescent="0.3">
      <c r="B24" s="562" t="str">
        <f>'A. All deals (a)'!C13</f>
        <v>Beyond Limits</v>
      </c>
      <c r="C24" s="563" t="str">
        <f>'A. All deals (a)'!F13</f>
        <v>Mozn</v>
      </c>
      <c r="D24" s="563" t="str">
        <f>'A. All deals (a)'!H13</f>
        <v>C Prefs</v>
      </c>
      <c r="E24" s="564">
        <v>21.7</v>
      </c>
      <c r="F24" s="565">
        <f>VLOOKUP(B24,'%'!$C$6:$I$43,2,0)</f>
        <v>17670202</v>
      </c>
      <c r="G24" s="566">
        <f>5.152 * 50%</f>
        <v>2.5760000000000001</v>
      </c>
      <c r="H24" s="567" t="s">
        <v>829</v>
      </c>
      <c r="J24" s="71" t="s">
        <v>463</v>
      </c>
      <c r="K24" s="530" cm="1" vm="1">
        <f t="array" aca="1" ref="K24:L24" ca="1">_xlfn.STOCKHISTORY(J24,$K$16,$K$16,0,0)</f>
        <v>46265</v>
      </c>
      <c r="L24" s="529" vm="9">
        <f ca="1"/>
        <v>1.1616</v>
      </c>
      <c r="M24" s="595">
        <v>1.1616899999999999</v>
      </c>
      <c r="S24" s="215" t="s">
        <v>212</v>
      </c>
      <c r="T24" s="491">
        <v>60000000</v>
      </c>
      <c r="U24" s="492"/>
    </row>
    <row r="25" spans="2:21" x14ac:dyDescent="0.25">
      <c r="B25" s="4" t="str">
        <f>'A. All deals (a)'!C15</f>
        <v>Heygears</v>
      </c>
      <c r="C25" s="2" t="str">
        <f>'A. All deals (a)'!F15</f>
        <v>Mozn</v>
      </c>
      <c r="D25" s="2" t="str">
        <f>'A. All deals (a)'!H15</f>
        <v>Registered Capital</v>
      </c>
      <c r="E25" s="327">
        <f>F25*G25*10^-6</f>
        <v>71.918846479725644</v>
      </c>
      <c r="F25" s="336">
        <f>'CF (Equity, Debt)'!J20</f>
        <v>3565017.22</v>
      </c>
      <c r="G25" s="153">
        <f>141.2/$K$44</f>
        <v>20.173492031470648</v>
      </c>
      <c r="H25" s="343" t="s">
        <v>816</v>
      </c>
      <c r="S25" s="215"/>
      <c r="T25" s="491"/>
      <c r="U25" s="492"/>
    </row>
    <row r="26" spans="2:21" ht="15.75" thickBot="1" x14ac:dyDescent="0.3">
      <c r="B26" s="562" t="str">
        <f>'A. All deals (a)'!C18</f>
        <v>Endless Studios LLC</v>
      </c>
      <c r="C26" s="563" t="str">
        <f>'A. All deals (a)'!F18</f>
        <v>Mozn</v>
      </c>
      <c r="D26" s="563" t="str">
        <f>'A. All deals (a)'!H18</f>
        <v>A Pref Units</v>
      </c>
      <c r="E26" s="564">
        <v>6.5</v>
      </c>
      <c r="F26" s="565">
        <f>VLOOKUP(B26,'%'!$C$6:$I$43,2,0)</f>
        <v>8000000</v>
      </c>
      <c r="G26" s="566"/>
      <c r="H26" s="567" t="s">
        <v>828</v>
      </c>
      <c r="S26" s="216"/>
      <c r="T26" s="498"/>
      <c r="U26" s="199"/>
    </row>
    <row r="27" spans="2:21" x14ac:dyDescent="0.25">
      <c r="B27" s="562" t="str">
        <f>'A. All deals (a)'!C28</f>
        <v>E-line Ventures LLC</v>
      </c>
      <c r="C27" s="563" t="str">
        <f>'A. All deals (a)'!F28</f>
        <v>Mozn</v>
      </c>
      <c r="D27" s="563" t="str">
        <f>'A. All deals (a)'!H28</f>
        <v>B Prefs</v>
      </c>
      <c r="E27" s="564">
        <v>7.1</v>
      </c>
      <c r="F27" s="565">
        <f>VLOOKUP(B27,'%'!$C$6:$I$43,2,0)</f>
        <v>4477612</v>
      </c>
      <c r="G27" s="566"/>
      <c r="H27" s="567" t="s">
        <v>828</v>
      </c>
      <c r="J27" s="285" t="s">
        <v>252</v>
      </c>
      <c r="K27" s="489"/>
      <c r="L27" s="489"/>
      <c r="M27" s="490"/>
    </row>
    <row r="28" spans="2:21" x14ac:dyDescent="0.25">
      <c r="B28" s="562" t="str">
        <f>'A. All deals (a)'!C21</f>
        <v>DriveNets</v>
      </c>
      <c r="C28" s="563" t="str">
        <f>'A. All deals (a)'!F21</f>
        <v>G42 Investments</v>
      </c>
      <c r="D28" s="563" t="str">
        <f>'A. All deals (a)'!H21</f>
        <v>Equity-TBC</v>
      </c>
      <c r="E28" s="564">
        <f>F28*G28*10^-6</f>
        <v>497.53505670659996</v>
      </c>
      <c r="F28" s="565">
        <f>VLOOKUP(B28,'%'!$C$6:$I$43,2,0)</f>
        <v>68926902</v>
      </c>
      <c r="G28" s="566">
        <v>7.2183000000000002</v>
      </c>
      <c r="H28" s="567" t="s">
        <v>830</v>
      </c>
      <c r="J28" s="66"/>
      <c r="M28" s="184"/>
    </row>
    <row r="29" spans="2:21" x14ac:dyDescent="0.25">
      <c r="B29" s="4" t="str">
        <f>'A. All deals (a)'!C24</f>
        <v>Applied AI Corporation Limited</v>
      </c>
      <c r="C29" s="2" t="str">
        <f>'A. All deals (a)'!F24</f>
        <v>Mozn</v>
      </c>
      <c r="D29" s="2" t="str">
        <f>'A. All deals (a)'!H24</f>
        <v>A Prefs</v>
      </c>
      <c r="E29" s="327">
        <v>38.464730150000001</v>
      </c>
      <c r="F29" s="336">
        <f>VLOOKUP(B29,'%'!$C$6:$I$43,2,0)</f>
        <v>211519</v>
      </c>
      <c r="G29" s="153"/>
      <c r="H29" s="343" t="s">
        <v>769</v>
      </c>
      <c r="J29" s="395">
        <f ca="1">SUM(E10:E36)</f>
        <v>2175.5554928843853</v>
      </c>
      <c r="K29" s="499" t="b">
        <f ca="1">J29='A. All deals (a)'!N36</f>
        <v>1</v>
      </c>
      <c r="L29" s="499"/>
      <c r="M29" s="503"/>
    </row>
    <row r="30" spans="2:21" x14ac:dyDescent="0.25">
      <c r="B30" s="562" t="str">
        <f>'A. All deals (a)'!C25</f>
        <v>eSpace</v>
      </c>
      <c r="C30" s="563" t="str">
        <f>'A. All deals (a)'!F25</f>
        <v>Mozn 4</v>
      </c>
      <c r="D30" s="563" t="str">
        <f>'A. All deals (a)'!H25</f>
        <v>B Prefs</v>
      </c>
      <c r="E30" s="564">
        <f>F30*G30*10^-6</f>
        <v>230.00750916000001</v>
      </c>
      <c r="F30" s="565">
        <f>VLOOKUP(B30,'%'!$C$6:$I$43,2,0)</f>
        <v>417846</v>
      </c>
      <c r="G30" s="566">
        <v>550.46</v>
      </c>
      <c r="H30" s="567" t="s">
        <v>544</v>
      </c>
      <c r="J30" s="395">
        <f>SUM(E41:E43)</f>
        <v>0</v>
      </c>
      <c r="K30" s="500" t="b">
        <f>J30='A. All deals (a)'!N42</f>
        <v>1</v>
      </c>
      <c r="L30" s="500"/>
      <c r="M30" s="492"/>
    </row>
    <row r="31" spans="2:21" x14ac:dyDescent="0.25">
      <c r="B31" s="4" t="str">
        <f>'A. All deals (a)'!C26</f>
        <v>Tools for Humanity Corporation</v>
      </c>
      <c r="C31" s="2" t="str">
        <f>'A. All deals (a)'!F26</f>
        <v>Mozn</v>
      </c>
      <c r="D31" s="2" t="str">
        <f>'A. All deals (a)'!H26</f>
        <v>C Prefs</v>
      </c>
      <c r="E31" s="327">
        <v>1.2</v>
      </c>
      <c r="F31" s="336">
        <f>VLOOKUP(B31,'%'!$C$6:$I$43,2,0)</f>
        <v>65413</v>
      </c>
      <c r="G31" s="153"/>
      <c r="H31" s="343" t="s">
        <v>828</v>
      </c>
      <c r="J31" s="395">
        <f>SUM(E46:E50)</f>
        <v>150.49907022993688</v>
      </c>
      <c r="K31" s="499" t="b">
        <f>J31='A. All deals (a)'!N50</f>
        <v>1</v>
      </c>
      <c r="L31" s="499"/>
      <c r="M31" s="492"/>
    </row>
    <row r="32" spans="2:21" ht="15.75" thickBot="1" x14ac:dyDescent="0.3">
      <c r="B32" s="4" t="str">
        <f>'A. All deals (a)'!C29</f>
        <v>School Hack (AIREV Holding Limited)</v>
      </c>
      <c r="C32" s="2" t="str">
        <f>'A. All deals (a)'!F29</f>
        <v>Core42 5</v>
      </c>
      <c r="D32" s="2" t="str">
        <f>'A. All deals (a)'!H29</f>
        <v>Preferred Shares</v>
      </c>
      <c r="E32" s="327">
        <f ca="1">MAX('A. All deals (a)'!K29,F32*G32*10^-6)</f>
        <v>2.5</v>
      </c>
      <c r="F32" s="336">
        <f>VLOOKUP(B32,'%'!$C$6:$I$43,2,0)</f>
        <v>434782.60869565216</v>
      </c>
      <c r="G32" s="153"/>
      <c r="H32" s="343" t="s">
        <v>454</v>
      </c>
      <c r="J32" s="216"/>
      <c r="K32" s="501"/>
      <c r="L32" s="501"/>
      <c r="M32" s="502"/>
    </row>
    <row r="33" spans="2:19" x14ac:dyDescent="0.25">
      <c r="B33" s="4" t="str">
        <f>'A. All deals (a)'!C30</f>
        <v>Life Biosciences LLC</v>
      </c>
      <c r="C33" s="2" t="str">
        <f>'A. All deals (a)'!F30</f>
        <v>G42 Capital</v>
      </c>
      <c r="D33" s="2" t="str">
        <f>'A. All deals (a)'!H30</f>
        <v>D Prefs</v>
      </c>
      <c r="E33" s="327">
        <f>(F33*G33*10^-6)</f>
        <v>40.947393714699999</v>
      </c>
      <c r="F33" s="336">
        <f>VLOOKUP(B33,'%'!$C$6:$I$43,2,0)</f>
        <v>14178755</v>
      </c>
      <c r="G33" s="153">
        <v>2.88794</v>
      </c>
      <c r="H33" s="343" t="s">
        <v>454</v>
      </c>
      <c r="J33" s="28"/>
    </row>
    <row r="34" spans="2:19" x14ac:dyDescent="0.25">
      <c r="B34" s="4" t="str">
        <f>'A. All deals (a)'!C32</f>
        <v>Inveniam Ltd</v>
      </c>
      <c r="C34" s="2" t="s">
        <v>519</v>
      </c>
      <c r="D34" s="2" t="str">
        <f>'A. All deals (a)'!H31</f>
        <v>Ordinary Shares</v>
      </c>
      <c r="E34" s="327">
        <v>100</v>
      </c>
      <c r="F34" s="336" t="str">
        <f>VLOOKUP(B34,'%'!$C$6:$I$43,2,0)</f>
        <v>NA</v>
      </c>
      <c r="G34" s="153"/>
      <c r="H34" s="343" t="s">
        <v>454</v>
      </c>
      <c r="J34" s="287"/>
      <c r="K34" s="287"/>
      <c r="L34" s="212"/>
    </row>
    <row r="35" spans="2:19" x14ac:dyDescent="0.25">
      <c r="B35" s="4" t="str">
        <f>'A. All deals (a)'!C33</f>
        <v>Liquid AI</v>
      </c>
      <c r="C35" s="2" t="s">
        <v>519</v>
      </c>
      <c r="D35" s="2" t="s">
        <v>349</v>
      </c>
      <c r="E35" s="327">
        <f>F35*G35*10^-6</f>
        <v>66.599183749999995</v>
      </c>
      <c r="F35" s="336">
        <f>'%'!D33</f>
        <v>549725</v>
      </c>
      <c r="G35" s="153">
        <v>121.15</v>
      </c>
      <c r="H35" s="343" t="s">
        <v>454</v>
      </c>
      <c r="J35" s="540"/>
      <c r="K35" s="540"/>
      <c r="L35" s="540"/>
    </row>
    <row r="36" spans="2:19" x14ac:dyDescent="0.25">
      <c r="B36" s="4" t="str">
        <f>'A. All deals (a)'!C34</f>
        <v>Neuralink</v>
      </c>
      <c r="C36" s="2" t="s">
        <v>519</v>
      </c>
      <c r="D36" s="2" t="s">
        <v>716</v>
      </c>
      <c r="E36" s="327">
        <f>50</f>
        <v>50</v>
      </c>
      <c r="F36" s="336" t="s">
        <v>118</v>
      </c>
      <c r="G36" s="153"/>
      <c r="H36" s="343" t="s">
        <v>454</v>
      </c>
      <c r="J36" s="540"/>
      <c r="K36" s="540"/>
      <c r="L36" s="540"/>
    </row>
    <row r="37" spans="2:19" x14ac:dyDescent="0.25">
      <c r="K37" s="540"/>
    </row>
    <row r="38" spans="2:19" x14ac:dyDescent="0.25">
      <c r="J38" s="549"/>
    </row>
    <row r="40" spans="2:19" ht="15.75" thickBot="1" x14ac:dyDescent="0.3">
      <c r="B40" s="315" t="s">
        <v>29</v>
      </c>
      <c r="C40" s="315"/>
      <c r="D40" s="315"/>
      <c r="E40" s="315"/>
      <c r="F40" s="315"/>
      <c r="G40" s="315"/>
      <c r="H40" s="315"/>
      <c r="J40" s="25" t="s">
        <v>9</v>
      </c>
    </row>
    <row r="41" spans="2:19" x14ac:dyDescent="0.25">
      <c r="B41" s="322" t="s">
        <v>47</v>
      </c>
      <c r="C41" s="323" t="s">
        <v>8</v>
      </c>
      <c r="D41" s="323" t="s">
        <v>120</v>
      </c>
      <c r="E41" s="325">
        <f>'A. All deals (a)'!N39</f>
        <v>0</v>
      </c>
      <c r="F41" s="329"/>
      <c r="G41" s="324"/>
      <c r="H41" s="342" t="s">
        <v>124</v>
      </c>
      <c r="J41" s="25" t="s">
        <v>812</v>
      </c>
      <c r="K41" s="212">
        <v>141.19999999999999</v>
      </c>
    </row>
    <row r="42" spans="2:19" x14ac:dyDescent="0.25">
      <c r="B42" s="322" t="s">
        <v>203</v>
      </c>
      <c r="C42" s="323" t="s">
        <v>8</v>
      </c>
      <c r="D42" s="323" t="s">
        <v>121</v>
      </c>
      <c r="E42" s="326">
        <v>0</v>
      </c>
      <c r="F42" s="329"/>
      <c r="G42" s="324"/>
      <c r="H42" s="342" t="s">
        <v>458</v>
      </c>
      <c r="J42" s="25" t="s">
        <v>813</v>
      </c>
      <c r="K42" s="212">
        <v>24.785</v>
      </c>
    </row>
    <row r="43" spans="2:19" ht="15.75" thickBot="1" x14ac:dyDescent="0.3">
      <c r="B43" s="322" t="s">
        <v>195</v>
      </c>
      <c r="C43" s="323" t="s">
        <v>8</v>
      </c>
      <c r="D43" s="323" t="s">
        <v>121</v>
      </c>
      <c r="E43" s="331">
        <v>0</v>
      </c>
      <c r="F43" s="329"/>
      <c r="G43" s="324"/>
      <c r="H43" s="342" t="s">
        <v>462</v>
      </c>
      <c r="J43" s="25" t="s">
        <v>814</v>
      </c>
      <c r="K43" s="212">
        <f>K41*K42/1000</f>
        <v>3.4996419999999997</v>
      </c>
    </row>
    <row r="44" spans="2:19" x14ac:dyDescent="0.25">
      <c r="B44" s="143"/>
      <c r="C44" s="143"/>
      <c r="D44" s="143"/>
      <c r="E44" s="143"/>
      <c r="F44" s="143"/>
      <c r="G44" s="143"/>
      <c r="H44" s="344"/>
      <c r="J44" s="25" t="s">
        <v>815</v>
      </c>
      <c r="K44" s="212">
        <f>K43/0.5</f>
        <v>6.9992839999999994</v>
      </c>
    </row>
    <row r="45" spans="2:19" ht="15.75" thickBot="1" x14ac:dyDescent="0.3">
      <c r="B45" s="315" t="s">
        <v>30</v>
      </c>
      <c r="C45" s="315"/>
      <c r="D45" s="315"/>
      <c r="E45" s="315"/>
      <c r="F45" s="315"/>
      <c r="G45" s="315"/>
      <c r="H45" s="315"/>
    </row>
    <row r="46" spans="2:19" x14ac:dyDescent="0.25">
      <c r="B46" s="4" t="s">
        <v>113</v>
      </c>
      <c r="C46" s="2" t="s">
        <v>11</v>
      </c>
      <c r="D46" s="2" t="s">
        <v>52</v>
      </c>
      <c r="E46" s="332">
        <f>'8. NewSpace'!R38*10^-6*M24</f>
        <v>57.156181207085986</v>
      </c>
      <c r="F46" s="330"/>
      <c r="G46" s="153"/>
      <c r="H46" s="343" t="s">
        <v>877</v>
      </c>
      <c r="J46" s="406"/>
      <c r="O46" s="475"/>
      <c r="P46" s="477"/>
      <c r="Q46" s="476"/>
      <c r="R46" s="476"/>
      <c r="S46" s="476"/>
    </row>
    <row r="47" spans="2:19" x14ac:dyDescent="0.25">
      <c r="B47" s="4" t="s">
        <v>278</v>
      </c>
      <c r="C47" s="2" t="s">
        <v>11</v>
      </c>
      <c r="D47" s="2" t="s">
        <v>58</v>
      </c>
      <c r="E47" s="327">
        <f>'1. Live'!O27/'1. Live'!O26*E46+0.871*M24</f>
        <v>6.7417610228508815</v>
      </c>
      <c r="F47" s="330"/>
      <c r="G47" s="153"/>
      <c r="H47" s="343" t="s">
        <v>878</v>
      </c>
    </row>
    <row r="48" spans="2:19" x14ac:dyDescent="0.25">
      <c r="B48" s="4" t="s">
        <v>1</v>
      </c>
      <c r="C48" s="2" t="s">
        <v>11</v>
      </c>
      <c r="D48" s="2" t="s">
        <v>52</v>
      </c>
      <c r="E48" s="327">
        <v>72.566225000000003</v>
      </c>
      <c r="F48" s="330"/>
      <c r="G48" s="153"/>
      <c r="H48" s="343" t="s">
        <v>877</v>
      </c>
    </row>
    <row r="49" spans="2:8" ht="15.75" thickBot="1" x14ac:dyDescent="0.3">
      <c r="B49" s="4" t="s">
        <v>155</v>
      </c>
      <c r="C49" s="2" t="s">
        <v>11</v>
      </c>
      <c r="D49" s="2" t="s">
        <v>52</v>
      </c>
      <c r="E49" s="220">
        <v>14.034903</v>
      </c>
      <c r="F49" s="330"/>
      <c r="G49" s="153"/>
      <c r="H49" s="343" t="s">
        <v>877</v>
      </c>
    </row>
    <row r="50" spans="2:8" x14ac:dyDescent="0.25">
      <c r="B50" s="322" t="s">
        <v>12</v>
      </c>
      <c r="C50" s="323" t="s">
        <v>11</v>
      </c>
      <c r="D50" s="323" t="s">
        <v>52</v>
      </c>
      <c r="E50" s="326">
        <v>0</v>
      </c>
      <c r="F50" s="329"/>
      <c r="G50" s="324"/>
      <c r="H50" s="342" t="s">
        <v>26</v>
      </c>
    </row>
    <row r="51" spans="2:8" ht="15.75" thickBot="1" x14ac:dyDescent="0.3">
      <c r="B51" s="315"/>
      <c r="C51" s="315"/>
      <c r="D51" s="315"/>
      <c r="E51" s="315"/>
      <c r="F51" s="315"/>
      <c r="G51" s="315"/>
      <c r="H51" s="315"/>
    </row>
    <row r="52" spans="2:8" x14ac:dyDescent="0.25">
      <c r="B52" s="4" t="s">
        <v>670</v>
      </c>
      <c r="C52" s="2"/>
      <c r="D52" s="2"/>
      <c r="E52" s="332">
        <f>MGX!H41</f>
        <v>644.14725737000003</v>
      </c>
      <c r="F52" s="330"/>
      <c r="G52" s="153"/>
      <c r="H52" s="343" t="s">
        <v>817</v>
      </c>
    </row>
    <row r="53" spans="2:8" x14ac:dyDescent="0.25">
      <c r="B53" s="4" t="s">
        <v>709</v>
      </c>
      <c r="C53" s="2"/>
      <c r="D53" s="2"/>
      <c r="E53" s="327">
        <f>MGX!H35</f>
        <v>741.85678600000006</v>
      </c>
      <c r="F53" s="330"/>
      <c r="G53" s="153"/>
      <c r="H53" s="343" t="s">
        <v>817</v>
      </c>
    </row>
    <row r="54" spans="2:8" ht="15.75" thickBot="1" x14ac:dyDescent="0.3">
      <c r="B54" s="4" t="s">
        <v>667</v>
      </c>
      <c r="C54" s="2" t="s">
        <v>708</v>
      </c>
      <c r="D54" s="2" t="s">
        <v>271</v>
      </c>
      <c r="E54" s="220">
        <f>MGX!H36</f>
        <v>25</v>
      </c>
      <c r="F54" s="330"/>
      <c r="G54" s="153"/>
      <c r="H54" s="343" t="s">
        <v>817</v>
      </c>
    </row>
    <row r="56" spans="2:8" x14ac:dyDescent="0.25">
      <c r="B56" s="28" t="s">
        <v>86</v>
      </c>
    </row>
    <row r="57" spans="2:8" x14ac:dyDescent="0.25">
      <c r="B57" s="25" t="s">
        <v>535</v>
      </c>
    </row>
    <row r="58" spans="2:8" x14ac:dyDescent="0.25">
      <c r="E58" s="553"/>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P57"/>
  <sheetViews>
    <sheetView showGridLines="0" topLeftCell="A2" zoomScale="80" zoomScaleNormal="80" workbookViewId="0">
      <selection activeCell="F14" sqref="F14"/>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5" customWidth="1"/>
    <col min="8" max="9" width="27.85546875" style="105" customWidth="1"/>
    <col min="10" max="11" width="9.140625" style="25"/>
    <col min="12" max="12" width="13.85546875" style="25" bestFit="1" customWidth="1"/>
    <col min="13" max="13" width="12" style="25" bestFit="1" customWidth="1"/>
    <col min="14" max="16384" width="9.140625" style="25"/>
  </cols>
  <sheetData>
    <row r="1" spans="1:13" x14ac:dyDescent="0.25">
      <c r="B1" s="124"/>
      <c r="C1" s="56"/>
      <c r="D1" s="97"/>
      <c r="E1" s="97"/>
      <c r="F1" s="56"/>
    </row>
    <row r="2" spans="1:13" ht="43.5" customHeight="1" thickBot="1" x14ac:dyDescent="0.5">
      <c r="B2" s="124"/>
      <c r="C2" s="128" t="s">
        <v>164</v>
      </c>
      <c r="D2" s="129"/>
      <c r="E2" s="25"/>
      <c r="F2" s="26"/>
      <c r="G2" s="26"/>
      <c r="H2" s="26"/>
      <c r="I2" s="26"/>
      <c r="J2" s="26"/>
      <c r="K2" s="26"/>
    </row>
    <row r="3" spans="1:13" s="44" customFormat="1" ht="15.75" thickBot="1" x14ac:dyDescent="0.3">
      <c r="B3" s="114"/>
      <c r="C3" s="110" t="s">
        <v>161</v>
      </c>
      <c r="D3" s="113">
        <f>'A. All deals (a)'!D2</f>
        <v>46265</v>
      </c>
      <c r="E3" s="25"/>
      <c r="F3" s="25"/>
      <c r="G3" s="25"/>
      <c r="H3" s="25"/>
      <c r="I3" s="25"/>
      <c r="J3" s="25"/>
      <c r="K3" s="25"/>
      <c r="L3" s="25"/>
      <c r="M3" s="25"/>
    </row>
    <row r="4" spans="1:13" ht="15.75" thickBot="1" x14ac:dyDescent="0.3">
      <c r="B4" s="124"/>
      <c r="C4" s="56"/>
      <c r="D4" s="97"/>
      <c r="E4" s="97"/>
      <c r="F4" s="56"/>
    </row>
    <row r="5" spans="1:13" x14ac:dyDescent="0.25">
      <c r="B5" s="280"/>
      <c r="C5" s="59"/>
      <c r="D5" s="98"/>
      <c r="E5" s="98" t="s">
        <v>797</v>
      </c>
      <c r="F5" s="59" t="s">
        <v>797</v>
      </c>
      <c r="G5" s="106"/>
      <c r="H5" s="106"/>
      <c r="I5" s="106"/>
      <c r="J5" s="62"/>
    </row>
    <row r="6" spans="1:13" ht="39" customHeight="1" x14ac:dyDescent="0.25">
      <c r="A6" s="65"/>
      <c r="B6" s="281"/>
      <c r="C6" s="1" t="s">
        <v>50</v>
      </c>
      <c r="D6" s="1" t="s">
        <v>348</v>
      </c>
      <c r="E6" s="1" t="s">
        <v>54</v>
      </c>
      <c r="F6" s="1" t="s">
        <v>288</v>
      </c>
      <c r="G6" s="1" t="s">
        <v>318</v>
      </c>
      <c r="H6" s="1" t="s">
        <v>319</v>
      </c>
      <c r="I6" s="1" t="s">
        <v>312</v>
      </c>
      <c r="J6" s="64"/>
      <c r="K6" s="65"/>
    </row>
    <row r="7" spans="1:13" x14ac:dyDescent="0.25">
      <c r="B7" s="282"/>
      <c r="C7" s="81"/>
      <c r="D7" s="99"/>
      <c r="E7" s="99"/>
      <c r="F7" s="81"/>
      <c r="G7" s="81"/>
      <c r="H7" s="226"/>
      <c r="I7" s="226"/>
      <c r="J7" s="67"/>
    </row>
    <row r="8" spans="1:13" x14ac:dyDescent="0.25">
      <c r="B8" s="282"/>
      <c r="C8" s="227" t="s">
        <v>28</v>
      </c>
      <c r="D8" s="228"/>
      <c r="E8" s="228"/>
      <c r="F8" s="227"/>
      <c r="G8" s="229"/>
      <c r="H8" s="230"/>
      <c r="I8" s="230"/>
      <c r="J8" s="67"/>
    </row>
    <row r="9" spans="1:13" x14ac:dyDescent="0.25">
      <c r="B9" s="282" t="s">
        <v>361</v>
      </c>
      <c r="C9" s="4" t="str">
        <f>'A. All deals (a)'!C9</f>
        <v>Jollychic Holding Limited</v>
      </c>
      <c r="D9" s="101">
        <v>13458655</v>
      </c>
      <c r="E9" s="101">
        <v>236116762</v>
      </c>
      <c r="F9" s="55">
        <f>D9/E9</f>
        <v>5.6999998161926343E-2</v>
      </c>
      <c r="G9" s="107" t="s">
        <v>141</v>
      </c>
      <c r="H9" s="107" t="s">
        <v>308</v>
      </c>
      <c r="I9" s="107" t="s">
        <v>308</v>
      </c>
      <c r="J9" s="67"/>
    </row>
    <row r="10" spans="1:13" x14ac:dyDescent="0.25">
      <c r="B10" s="282" t="s">
        <v>361</v>
      </c>
      <c r="C10" s="4" t="str">
        <f>'A. All deals (a)'!C10</f>
        <v>Mena Mobile Inc</v>
      </c>
      <c r="D10" s="101">
        <v>21419829</v>
      </c>
      <c r="E10" s="101">
        <v>152998776</v>
      </c>
      <c r="F10" s="55">
        <f>D10/E10</f>
        <v>0.14000000235296001</v>
      </c>
      <c r="G10" s="107" t="s">
        <v>141</v>
      </c>
      <c r="H10" s="107" t="s">
        <v>308</v>
      </c>
      <c r="I10" s="107" t="s">
        <v>308</v>
      </c>
      <c r="J10" s="67"/>
    </row>
    <row r="11" spans="1:13" x14ac:dyDescent="0.25">
      <c r="B11" s="282"/>
      <c r="C11" s="4" t="str">
        <f>'A. All deals (a)'!C11</f>
        <v>Flyr Inc</v>
      </c>
      <c r="D11" s="101">
        <v>5205482</v>
      </c>
      <c r="E11" s="101">
        <f>D11/F11</f>
        <v>155852754.49101797</v>
      </c>
      <c r="F11" s="217">
        <v>3.3399999999999999E-2</v>
      </c>
      <c r="G11" s="107" t="s">
        <v>798</v>
      </c>
      <c r="H11" s="107" t="s">
        <v>309</v>
      </c>
      <c r="I11" s="107" t="s">
        <v>165</v>
      </c>
      <c r="J11" s="67"/>
    </row>
    <row r="12" spans="1:13" x14ac:dyDescent="0.25">
      <c r="B12" s="282" t="s">
        <v>26</v>
      </c>
      <c r="C12" s="4" t="str">
        <f>'A. All deals (a)'!C12</f>
        <v xml:space="preserve">Esyasoft Holding </v>
      </c>
      <c r="D12" s="101" t="s">
        <v>118</v>
      </c>
      <c r="E12" s="101" t="s">
        <v>118</v>
      </c>
      <c r="F12" s="101" t="s">
        <v>456</v>
      </c>
      <c r="G12" s="107" t="s">
        <v>294</v>
      </c>
      <c r="H12" s="107" t="s">
        <v>311</v>
      </c>
      <c r="I12" s="107" t="s">
        <v>310</v>
      </c>
      <c r="J12" s="67"/>
    </row>
    <row r="13" spans="1:13" x14ac:dyDescent="0.25">
      <c r="B13" s="282"/>
      <c r="C13" s="4" t="str">
        <f>'A. All deals (a)'!C13</f>
        <v>Beyond Limits</v>
      </c>
      <c r="D13" s="101">
        <v>17670202</v>
      </c>
      <c r="E13" s="101">
        <f>D13/F13</f>
        <v>271849261.53846151</v>
      </c>
      <c r="F13" s="55">
        <v>6.5000000000000002E-2</v>
      </c>
      <c r="G13" s="107" t="s">
        <v>798</v>
      </c>
      <c r="H13" s="107" t="s">
        <v>309</v>
      </c>
      <c r="I13" s="107" t="s">
        <v>165</v>
      </c>
      <c r="J13" s="67"/>
    </row>
    <row r="14" spans="1:13" x14ac:dyDescent="0.25">
      <c r="B14" s="282"/>
      <c r="C14" s="4" t="str">
        <f>'A. All deals (a)'!C14</f>
        <v>ONT plc</v>
      </c>
      <c r="D14" s="101">
        <v>44328120</v>
      </c>
      <c r="E14" s="101">
        <v>972897623</v>
      </c>
      <c r="F14" s="217">
        <f>D14/E14</f>
        <v>4.5562985202195316E-2</v>
      </c>
      <c r="G14" s="107" t="s">
        <v>799</v>
      </c>
      <c r="H14" s="107" t="s">
        <v>286</v>
      </c>
      <c r="I14" s="107" t="s">
        <v>286</v>
      </c>
      <c r="J14" s="67"/>
    </row>
    <row r="15" spans="1:13" x14ac:dyDescent="0.25">
      <c r="B15" s="282"/>
      <c r="C15" s="4" t="str">
        <f>'A. All deals (a)'!C15</f>
        <v>Heygears</v>
      </c>
      <c r="D15" s="101">
        <v>3565017.22</v>
      </c>
      <c r="E15" s="101">
        <v>24785982.27</v>
      </c>
      <c r="F15" s="55">
        <f>D15/E15</f>
        <v>0.14383199266284313</v>
      </c>
      <c r="G15" s="107" t="s">
        <v>800</v>
      </c>
      <c r="H15" s="107" t="s">
        <v>285</v>
      </c>
      <c r="I15" s="107" t="s">
        <v>313</v>
      </c>
      <c r="J15" s="67"/>
    </row>
    <row r="16" spans="1:13" x14ac:dyDescent="0.25">
      <c r="B16" s="282" t="s">
        <v>26</v>
      </c>
      <c r="C16" s="4" t="str">
        <f>'A. All deals (a)'!C16</f>
        <v>Jysan Technologies</v>
      </c>
      <c r="D16" s="101">
        <v>7959497</v>
      </c>
      <c r="E16" s="101">
        <v>265316566.66666669</v>
      </c>
      <c r="F16" s="55">
        <v>0.03</v>
      </c>
      <c r="G16" s="107" t="s">
        <v>294</v>
      </c>
      <c r="H16" s="107" t="s">
        <v>286</v>
      </c>
      <c r="I16" s="107" t="s">
        <v>286</v>
      </c>
      <c r="J16" s="67"/>
    </row>
    <row r="17" spans="2:12" x14ac:dyDescent="0.25">
      <c r="B17" s="272"/>
      <c r="C17" s="4" t="str">
        <f>'A. All deals (a)'!C17</f>
        <v>Cerebras Systems Inc (1)</v>
      </c>
      <c r="D17" s="101">
        <v>1441711</v>
      </c>
      <c r="E17" s="101">
        <v>219728541</v>
      </c>
      <c r="F17" s="314">
        <f>D17/E17</f>
        <v>6.5613278704654034E-3</v>
      </c>
      <c r="G17" s="107" t="s">
        <v>789</v>
      </c>
      <c r="H17" s="107" t="s">
        <v>309</v>
      </c>
      <c r="I17" s="107" t="s">
        <v>165</v>
      </c>
      <c r="J17" s="67"/>
    </row>
    <row r="18" spans="2:12" x14ac:dyDescent="0.25">
      <c r="B18" s="272"/>
      <c r="C18" s="4" t="str">
        <f>'A. All deals (a)'!C18</f>
        <v>Endless Studios LLC</v>
      </c>
      <c r="D18" s="101">
        <v>8000000</v>
      </c>
      <c r="E18" s="101">
        <f>D18/F18</f>
        <v>49950000.000000052</v>
      </c>
      <c r="F18" s="217">
        <v>0.16016016016015999</v>
      </c>
      <c r="G18" s="107" t="s">
        <v>798</v>
      </c>
      <c r="H18" s="107" t="s">
        <v>309</v>
      </c>
      <c r="I18" s="107" t="s">
        <v>165</v>
      </c>
      <c r="J18" s="67"/>
    </row>
    <row r="19" spans="2:12" x14ac:dyDescent="0.25">
      <c r="B19" s="282" t="s">
        <v>26</v>
      </c>
      <c r="C19" s="4" t="str">
        <f>'A. All deals (a)'!C19</f>
        <v>Instadeep Limited</v>
      </c>
      <c r="D19" s="101">
        <v>33267</v>
      </c>
      <c r="E19" s="101">
        <v>2895450</v>
      </c>
      <c r="F19" s="55" t="s">
        <v>456</v>
      </c>
      <c r="G19" s="107" t="s">
        <v>294</v>
      </c>
      <c r="H19" s="107" t="s">
        <v>286</v>
      </c>
      <c r="I19" s="107" t="s">
        <v>286</v>
      </c>
      <c r="J19" s="67"/>
      <c r="L19" s="202"/>
    </row>
    <row r="20" spans="2:12" x14ac:dyDescent="0.25">
      <c r="B20" s="282" t="s">
        <v>26</v>
      </c>
      <c r="C20" s="4" t="str">
        <f>'A. All deals (a)'!C20</f>
        <v>X-fusion</v>
      </c>
      <c r="D20" s="101" t="s">
        <v>118</v>
      </c>
      <c r="E20" s="101" t="s">
        <v>118</v>
      </c>
      <c r="F20" s="55" t="s">
        <v>456</v>
      </c>
      <c r="G20" s="107" t="s">
        <v>294</v>
      </c>
      <c r="H20" s="107" t="s">
        <v>285</v>
      </c>
      <c r="I20" s="107" t="s">
        <v>313</v>
      </c>
      <c r="J20" s="67"/>
    </row>
    <row r="21" spans="2:12" x14ac:dyDescent="0.25">
      <c r="B21" s="272"/>
      <c r="C21" s="4" t="str">
        <f>'A. All deals (a)'!C21</f>
        <v>DriveNets</v>
      </c>
      <c r="D21" s="101">
        <f>24403771+44523131</f>
        <v>68926902</v>
      </c>
      <c r="E21" s="101">
        <v>1075045859.1111109</v>
      </c>
      <c r="F21" s="217">
        <v>6.5500000000000003E-2</v>
      </c>
      <c r="G21" s="107" t="s">
        <v>798</v>
      </c>
      <c r="H21" s="107" t="s">
        <v>315</v>
      </c>
      <c r="I21" s="107" t="s">
        <v>314</v>
      </c>
      <c r="J21" s="67"/>
    </row>
    <row r="22" spans="2:12" x14ac:dyDescent="0.25">
      <c r="B22" s="272"/>
      <c r="C22" s="4" t="str">
        <f>'A. All deals (a)'!C22</f>
        <v>vTv Therapeutics Inc.</v>
      </c>
      <c r="D22" s="543">
        <f>ROUNDUP(10386274/40,0)</f>
        <v>259657</v>
      </c>
      <c r="E22" s="101">
        <v>12409278</v>
      </c>
      <c r="F22" s="217">
        <f>D22/E22</f>
        <v>2.0924424450802052E-2</v>
      </c>
      <c r="G22" s="107" t="s">
        <v>801</v>
      </c>
      <c r="H22" s="107" t="s">
        <v>309</v>
      </c>
      <c r="I22" s="107" t="s">
        <v>165</v>
      </c>
      <c r="J22" s="67"/>
    </row>
    <row r="23" spans="2:12" x14ac:dyDescent="0.25">
      <c r="B23" s="282" t="s">
        <v>26</v>
      </c>
      <c r="C23" s="4" t="str">
        <f>'A. All deals (a)'!C23</f>
        <v>Honor Device Co Ltd</v>
      </c>
      <c r="D23" s="101">
        <f>1517126944.34*0.8/2</f>
        <v>606850777.73599994</v>
      </c>
      <c r="E23" s="101">
        <v>32238947567.490002</v>
      </c>
      <c r="F23" s="55" t="s">
        <v>456</v>
      </c>
      <c r="G23" s="107" t="s">
        <v>294</v>
      </c>
      <c r="H23" s="107" t="s">
        <v>285</v>
      </c>
      <c r="I23" s="107" t="s">
        <v>313</v>
      </c>
      <c r="J23" s="67"/>
    </row>
    <row r="24" spans="2:12" x14ac:dyDescent="0.25">
      <c r="B24" s="272"/>
      <c r="C24" s="4" t="str">
        <f>'A. All deals (a)'!C24</f>
        <v>Applied AI Corporation Limited</v>
      </c>
      <c r="D24" s="101">
        <f>44133+39500+54863+73023</f>
        <v>211519</v>
      </c>
      <c r="E24" s="101">
        <v>1744988</v>
      </c>
      <c r="F24" s="217">
        <f>D24/E24</f>
        <v>0.12121516021886683</v>
      </c>
      <c r="G24" s="107" t="s">
        <v>287</v>
      </c>
      <c r="H24" s="107" t="s">
        <v>316</v>
      </c>
      <c r="I24" s="107" t="s">
        <v>317</v>
      </c>
      <c r="J24" s="67"/>
    </row>
    <row r="25" spans="2:12" x14ac:dyDescent="0.25">
      <c r="B25" s="272"/>
      <c r="C25" s="4" t="str">
        <f>'A. All deals (a)'!C25</f>
        <v>eSpace</v>
      </c>
      <c r="D25" s="101">
        <v>417846</v>
      </c>
      <c r="E25" s="101">
        <f>D25/F25</f>
        <v>16841837.968561064</v>
      </c>
      <c r="F25" s="217">
        <v>2.4809999999999999E-2</v>
      </c>
      <c r="G25" s="107" t="s">
        <v>798</v>
      </c>
      <c r="H25" s="107" t="s">
        <v>309</v>
      </c>
      <c r="I25" s="107" t="s">
        <v>165</v>
      </c>
      <c r="J25" s="67"/>
    </row>
    <row r="26" spans="2:12" x14ac:dyDescent="0.25">
      <c r="B26" s="272"/>
      <c r="C26" s="4" t="str">
        <f>'A. All deals (a)'!C26</f>
        <v>Tools for Humanity Corporation</v>
      </c>
      <c r="D26" s="101">
        <v>65413</v>
      </c>
      <c r="E26" s="101">
        <v>10439222</v>
      </c>
      <c r="F26" s="314">
        <f>D26/E26</f>
        <v>6.2660799818224002E-3</v>
      </c>
      <c r="G26" s="107" t="s">
        <v>798</v>
      </c>
      <c r="H26" s="107" t="s">
        <v>309</v>
      </c>
      <c r="I26" s="107" t="s">
        <v>165</v>
      </c>
      <c r="J26" s="67"/>
    </row>
    <row r="27" spans="2:12" x14ac:dyDescent="0.25">
      <c r="B27" s="272"/>
      <c r="C27" s="4" t="str">
        <f>'A. All deals (a)'!C27</f>
        <v>WLD Tokens</v>
      </c>
      <c r="D27" s="101">
        <v>62500000</v>
      </c>
      <c r="E27" s="101">
        <v>10000000000</v>
      </c>
      <c r="F27" s="217" t="s">
        <v>456</v>
      </c>
      <c r="G27" s="107" t="s">
        <v>294</v>
      </c>
      <c r="H27" s="107" t="s">
        <v>342</v>
      </c>
      <c r="I27" s="107" t="s">
        <v>308</v>
      </c>
      <c r="J27" s="67"/>
    </row>
    <row r="28" spans="2:12" x14ac:dyDescent="0.25">
      <c r="B28" s="272"/>
      <c r="C28" s="4" t="str">
        <f>'A. All deals (a)'!C28</f>
        <v>E-line Ventures LLC</v>
      </c>
      <c r="D28" s="101">
        <v>4477612</v>
      </c>
      <c r="E28" s="101">
        <f>D28/F28</f>
        <v>38500533.104041271</v>
      </c>
      <c r="F28" s="217">
        <v>0.1163</v>
      </c>
      <c r="G28" s="107" t="s">
        <v>798</v>
      </c>
      <c r="H28" s="107" t="s">
        <v>350</v>
      </c>
      <c r="I28" s="107" t="s">
        <v>350</v>
      </c>
      <c r="J28" s="67"/>
    </row>
    <row r="29" spans="2:12" x14ac:dyDescent="0.25">
      <c r="B29" s="272"/>
      <c r="C29" s="4" t="str">
        <f>'A. All deals (a)'!C29</f>
        <v>School Hack (AIREV Holding Limited)</v>
      </c>
      <c r="D29" s="101">
        <f>E29/F29</f>
        <v>434782.60869565216</v>
      </c>
      <c r="E29" s="101">
        <v>100000</v>
      </c>
      <c r="F29" s="217">
        <v>0.23</v>
      </c>
      <c r="G29" s="107" t="s">
        <v>382</v>
      </c>
      <c r="H29" s="107" t="s">
        <v>316</v>
      </c>
      <c r="I29" s="107" t="s">
        <v>383</v>
      </c>
      <c r="J29" s="67"/>
    </row>
    <row r="30" spans="2:12" x14ac:dyDescent="0.25">
      <c r="B30" s="272"/>
      <c r="C30" s="4" t="str">
        <f>'A. All deals (a)'!C30</f>
        <v>Life Biosciences LLC</v>
      </c>
      <c r="D30" s="101">
        <v>14178755</v>
      </c>
      <c r="E30" s="101">
        <v>194237760</v>
      </c>
      <c r="F30" s="55">
        <v>6.3899999999999998E-2</v>
      </c>
      <c r="G30" s="107" t="s">
        <v>798</v>
      </c>
      <c r="H30" s="107" t="s">
        <v>309</v>
      </c>
      <c r="I30" s="107" t="s">
        <v>165</v>
      </c>
      <c r="J30" s="67"/>
    </row>
    <row r="31" spans="2:12" x14ac:dyDescent="0.25">
      <c r="B31" s="272"/>
      <c r="C31" s="4" t="str">
        <f>'A. All deals (a)'!C31</f>
        <v>Verses AI Inc</v>
      </c>
      <c r="D31" s="101">
        <f>13894833*1/9*1/3</f>
        <v>514623.44444444444</v>
      </c>
      <c r="E31" s="101">
        <v>14306053</v>
      </c>
      <c r="F31" s="55">
        <f t="shared" ref="F31" si="0">D31/E31</f>
        <v>3.597242680734123E-2</v>
      </c>
      <c r="G31" s="107" t="s">
        <v>802</v>
      </c>
      <c r="H31" s="107" t="s">
        <v>573</v>
      </c>
      <c r="I31" s="107" t="s">
        <v>571</v>
      </c>
      <c r="J31" s="67"/>
    </row>
    <row r="32" spans="2:12" x14ac:dyDescent="0.25">
      <c r="B32" s="272"/>
      <c r="C32" s="4" t="str">
        <f>'A. All deals (a)'!C32</f>
        <v>Inveniam Ltd</v>
      </c>
      <c r="D32" s="55" t="s">
        <v>456</v>
      </c>
      <c r="E32" s="101">
        <f>13481499/0.2</f>
        <v>67407495</v>
      </c>
      <c r="F32" s="55" t="s">
        <v>456</v>
      </c>
      <c r="G32" s="107" t="s">
        <v>651</v>
      </c>
      <c r="H32" s="107" t="s">
        <v>652</v>
      </c>
      <c r="I32" s="107" t="s">
        <v>653</v>
      </c>
      <c r="J32" s="67"/>
    </row>
    <row r="33" spans="1:16" x14ac:dyDescent="0.25">
      <c r="B33" s="272"/>
      <c r="C33" s="4" t="str">
        <f>'A. All deals (a)'!C33</f>
        <v>Liquid AI</v>
      </c>
      <c r="D33" s="101">
        <f>165082+384643</f>
        <v>549725</v>
      </c>
      <c r="E33" s="101">
        <f>17808198.4897519+384643</f>
        <v>18192841.489751901</v>
      </c>
      <c r="F33" s="217">
        <f>D33/E33</f>
        <v>3.021655524837405E-2</v>
      </c>
      <c r="G33" s="107" t="s">
        <v>803</v>
      </c>
      <c r="H33" s="107" t="s">
        <v>309</v>
      </c>
      <c r="I33" s="107" t="s">
        <v>165</v>
      </c>
      <c r="J33" s="67"/>
    </row>
    <row r="34" spans="1:16" x14ac:dyDescent="0.25">
      <c r="B34" s="272"/>
      <c r="C34" s="4" t="str">
        <f>'A. All deals (a)'!C34</f>
        <v>Neuralink</v>
      </c>
      <c r="D34" s="101">
        <v>990099</v>
      </c>
      <c r="E34" s="101">
        <v>191119513</v>
      </c>
      <c r="F34" s="217">
        <f>D34/E34</f>
        <v>5.1805228281426186E-3</v>
      </c>
      <c r="G34" s="107" t="s">
        <v>142</v>
      </c>
      <c r="H34" s="107" t="s">
        <v>832</v>
      </c>
      <c r="I34" s="107" t="s">
        <v>165</v>
      </c>
      <c r="J34" s="67"/>
      <c r="M34" s="202"/>
      <c r="N34" s="202"/>
      <c r="O34" s="202"/>
      <c r="P34" s="546"/>
    </row>
    <row r="35" spans="1:16" x14ac:dyDescent="0.25">
      <c r="B35" s="272"/>
      <c r="C35" s="4" t="str">
        <f>'A. All deals (a)'!C35</f>
        <v>Cerebras Systems Inc (2)</v>
      </c>
      <c r="D35" s="101">
        <v>3513491</v>
      </c>
      <c r="E35" s="101">
        <f>E17</f>
        <v>219728541</v>
      </c>
      <c r="F35" s="217">
        <f>D35/E35</f>
        <v>1.599014394766313E-2</v>
      </c>
      <c r="G35" s="107" t="s">
        <v>789</v>
      </c>
      <c r="H35" s="107" t="s">
        <v>309</v>
      </c>
      <c r="I35" s="107" t="s">
        <v>165</v>
      </c>
      <c r="J35" s="67"/>
    </row>
    <row r="36" spans="1:16" x14ac:dyDescent="0.25">
      <c r="A36" s="70"/>
      <c r="B36" s="283"/>
      <c r="C36" s="233"/>
      <c r="D36" s="234"/>
      <c r="E36" s="234"/>
      <c r="F36" s="235"/>
      <c r="G36" s="236"/>
      <c r="H36" s="236"/>
      <c r="I36" s="236"/>
      <c r="J36" s="69"/>
      <c r="K36" s="70"/>
    </row>
    <row r="37" spans="1:16" x14ac:dyDescent="0.25">
      <c r="B37" s="272"/>
      <c r="C37" s="5"/>
      <c r="D37" s="27"/>
      <c r="E37" s="27"/>
      <c r="F37" s="102"/>
      <c r="G37" s="108"/>
      <c r="H37" s="108"/>
      <c r="I37" s="108"/>
      <c r="J37" s="67"/>
    </row>
    <row r="38" spans="1:16" x14ac:dyDescent="0.25">
      <c r="B38" s="272"/>
      <c r="C38" s="227" t="s">
        <v>30</v>
      </c>
      <c r="D38" s="231" t="s">
        <v>320</v>
      </c>
      <c r="E38" s="231" t="s">
        <v>321</v>
      </c>
      <c r="F38" s="232"/>
      <c r="G38" s="230"/>
      <c r="H38" s="230"/>
      <c r="I38" s="230"/>
      <c r="J38" s="67"/>
    </row>
    <row r="39" spans="1:16" x14ac:dyDescent="0.25">
      <c r="B39" s="272"/>
      <c r="C39" s="4" t="s">
        <v>113</v>
      </c>
      <c r="D39" s="101">
        <v>23234462</v>
      </c>
      <c r="E39" s="101">
        <v>130300000</v>
      </c>
      <c r="F39" s="55">
        <f t="shared" ref="F39:F40" si="1">D39/E39</f>
        <v>0.17831513430544896</v>
      </c>
      <c r="G39" s="107" t="s">
        <v>333</v>
      </c>
      <c r="H39" s="107" t="s">
        <v>325</v>
      </c>
      <c r="I39" s="107" t="s">
        <v>325</v>
      </c>
      <c r="J39" s="67"/>
    </row>
    <row r="40" spans="1:16" x14ac:dyDescent="0.25">
      <c r="B40" s="272"/>
      <c r="C40" s="4" t="s">
        <v>278</v>
      </c>
      <c r="D40" s="101">
        <f>-'CF (Funds)'!H63*10^6</f>
        <v>2125000</v>
      </c>
      <c r="E40" s="101">
        <f>E39</f>
        <v>130300000</v>
      </c>
      <c r="F40" s="55">
        <f t="shared" si="1"/>
        <v>1.6308518802762854E-2</v>
      </c>
      <c r="G40" s="107"/>
      <c r="H40" s="107" t="s">
        <v>325</v>
      </c>
      <c r="I40" s="107" t="s">
        <v>325</v>
      </c>
      <c r="J40" s="67"/>
      <c r="L40" s="202"/>
      <c r="M40" s="202"/>
    </row>
    <row r="41" spans="1:16" x14ac:dyDescent="0.25">
      <c r="B41" s="272"/>
      <c r="C41" s="4" t="s">
        <v>1</v>
      </c>
      <c r="D41" s="101">
        <v>300000000</v>
      </c>
      <c r="E41" s="101">
        <v>301507538</v>
      </c>
      <c r="F41" s="55">
        <f>D41/E41</f>
        <v>0.99499999897183333</v>
      </c>
      <c r="G41" s="107" t="s">
        <v>324</v>
      </c>
      <c r="H41" s="107" t="s">
        <v>308</v>
      </c>
      <c r="I41" s="107" t="s">
        <v>308</v>
      </c>
      <c r="J41" s="67"/>
      <c r="L41" s="267"/>
      <c r="M41" s="267"/>
    </row>
    <row r="42" spans="1:16" x14ac:dyDescent="0.25">
      <c r="B42" s="282" t="s">
        <v>26</v>
      </c>
      <c r="C42" s="4" t="s">
        <v>12</v>
      </c>
      <c r="D42" s="101">
        <v>50000000</v>
      </c>
      <c r="E42" s="101">
        <v>496717172</v>
      </c>
      <c r="F42" s="55">
        <f>D42/E42</f>
        <v>0.10066090487405174</v>
      </c>
      <c r="G42" s="107" t="s">
        <v>352</v>
      </c>
      <c r="H42" s="107" t="s">
        <v>308</v>
      </c>
      <c r="I42" s="107" t="s">
        <v>308</v>
      </c>
      <c r="J42" s="67"/>
      <c r="L42" s="202"/>
      <c r="M42" s="202"/>
      <c r="N42" s="125"/>
    </row>
    <row r="43" spans="1:16" x14ac:dyDescent="0.25">
      <c r="B43" s="272"/>
      <c r="C43" s="4" t="s">
        <v>155</v>
      </c>
      <c r="D43" s="101">
        <v>17112500</v>
      </c>
      <c r="E43" s="101">
        <v>51337500</v>
      </c>
      <c r="F43" s="55">
        <f>D43/E43</f>
        <v>0.33333333333333331</v>
      </c>
      <c r="G43" s="107" t="s">
        <v>322</v>
      </c>
      <c r="H43" s="107" t="s">
        <v>323</v>
      </c>
      <c r="I43" s="107" t="s">
        <v>165</v>
      </c>
      <c r="J43" s="67"/>
    </row>
    <row r="44" spans="1:16" x14ac:dyDescent="0.25">
      <c r="B44" s="272"/>
      <c r="C44" s="4" t="s">
        <v>670</v>
      </c>
      <c r="D44" s="101">
        <v>1200000000</v>
      </c>
      <c r="E44" s="101">
        <v>38400000000</v>
      </c>
      <c r="F44" s="217">
        <f>D44/E44</f>
        <v>3.125E-2</v>
      </c>
      <c r="G44" s="107"/>
      <c r="H44" s="107"/>
      <c r="I44" s="107"/>
      <c r="J44" s="67"/>
    </row>
    <row r="45" spans="1:16" x14ac:dyDescent="0.25">
      <c r="B45" s="272"/>
      <c r="C45" s="5"/>
      <c r="D45" s="27"/>
      <c r="E45" s="27"/>
      <c r="F45" s="102"/>
      <c r="G45" s="108"/>
      <c r="H45" s="108"/>
      <c r="I45" s="108"/>
      <c r="J45" s="67"/>
    </row>
    <row r="46" spans="1:16" ht="15.75" thickBot="1" x14ac:dyDescent="0.3">
      <c r="B46" s="284"/>
      <c r="C46" s="72"/>
      <c r="D46" s="100"/>
      <c r="E46" s="100"/>
      <c r="F46" s="72"/>
      <c r="G46" s="109"/>
      <c r="H46" s="109"/>
      <c r="I46" s="109"/>
      <c r="J46" s="75"/>
    </row>
    <row r="47" spans="1:16" x14ac:dyDescent="0.25">
      <c r="C47" s="56"/>
      <c r="D47" s="97"/>
      <c r="E47" s="97"/>
      <c r="F47" s="56"/>
    </row>
    <row r="49" spans="3:10" x14ac:dyDescent="0.25">
      <c r="E49" s="287"/>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4" spans="3:10" x14ac:dyDescent="0.25">
      <c r="F54" s="26"/>
      <c r="G54" s="26"/>
      <c r="H54" s="26"/>
      <c r="I54" s="26"/>
      <c r="J54" s="26"/>
    </row>
    <row r="57" spans="3:10" x14ac:dyDescent="0.25">
      <c r="C57" s="124"/>
    </row>
  </sheetData>
  <hyperlinks>
    <hyperlink ref="G22" r:id="rId1" display="link" xr:uid="{F2077B3F-4430-4CB6-A278-FE259334C2C3}"/>
    <hyperlink ref="G31" r:id="rId2" xr:uid="{356A61FE-9A9E-48CA-9506-3001289FE0EE}"/>
  </hyperlinks>
  <pageMargins left="0.7" right="0.7" top="0.75" bottom="0.75" header="0.3" footer="0.3"/>
  <pageSetup paperSize="9" orientation="portrait" verticalDpi="0" r:id="rId3"/>
  <headerFooter>
    <oddHeader>&amp;L&amp;"Calibri"&amp;7&amp;KFF0000  &amp;1#_x000D_</oddHeader>
    <oddFooter xml:space="preserve">&amp;L_x000D_&amp;1#&amp;"Calibri"&amp;7&amp;KFF0000 RESTRICTED </oddFooter>
  </headerFooter>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135</v>
      </c>
      <c r="E3" s="3" t="s">
        <v>78</v>
      </c>
      <c r="F3" s="1" t="s">
        <v>88</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557</v>
      </c>
      <c r="E6" s="33" t="s">
        <v>92</v>
      </c>
      <c r="F6" s="179"/>
      <c r="G6" s="179" t="s">
        <v>79</v>
      </c>
      <c r="H6" s="38"/>
      <c r="I6" s="67"/>
    </row>
    <row r="7" spans="2:9" x14ac:dyDescent="0.25">
      <c r="B7" s="66"/>
      <c r="C7" s="4" t="s">
        <v>38</v>
      </c>
      <c r="D7" s="29" t="s">
        <v>96</v>
      </c>
      <c r="E7" s="33" t="s">
        <v>368</v>
      </c>
      <c r="F7" s="179"/>
      <c r="G7" s="179"/>
      <c r="H7" s="38" t="s">
        <v>556</v>
      </c>
      <c r="I7" s="67"/>
    </row>
    <row r="8" spans="2:9" x14ac:dyDescent="0.25">
      <c r="B8" s="66"/>
      <c r="C8" s="4" t="s">
        <v>39</v>
      </c>
      <c r="D8" s="29" t="s">
        <v>132</v>
      </c>
      <c r="E8" s="33" t="s">
        <v>118</v>
      </c>
      <c r="F8" s="179" t="s">
        <v>115</v>
      </c>
      <c r="G8" s="179" t="s">
        <v>26</v>
      </c>
      <c r="H8" s="29" t="s">
        <v>119</v>
      </c>
      <c r="I8" s="67"/>
    </row>
    <row r="9" spans="2:9" x14ac:dyDescent="0.25">
      <c r="B9" s="66"/>
      <c r="C9" s="4" t="s">
        <v>46</v>
      </c>
      <c r="D9" s="29" t="s">
        <v>557</v>
      </c>
      <c r="E9" s="33" t="s">
        <v>257</v>
      </c>
      <c r="F9" s="179" t="s">
        <v>114</v>
      </c>
      <c r="G9" s="179" t="s">
        <v>79</v>
      </c>
      <c r="H9" s="29"/>
      <c r="I9" s="67"/>
    </row>
    <row r="10" spans="2:9" x14ac:dyDescent="0.25">
      <c r="B10" s="66"/>
      <c r="C10" s="4" t="s">
        <v>37</v>
      </c>
      <c r="D10" s="29" t="s">
        <v>557</v>
      </c>
      <c r="E10" s="33" t="s">
        <v>368</v>
      </c>
      <c r="F10" s="179" t="s">
        <v>116</v>
      </c>
      <c r="G10" s="179"/>
      <c r="H10" s="38"/>
      <c r="I10" s="67"/>
    </row>
    <row r="11" spans="2:9" x14ac:dyDescent="0.25">
      <c r="B11" s="66"/>
      <c r="C11" s="4" t="s">
        <v>84</v>
      </c>
      <c r="D11" s="29" t="s">
        <v>557</v>
      </c>
      <c r="E11" s="33" t="s">
        <v>91</v>
      </c>
      <c r="F11" s="179"/>
      <c r="G11" s="179"/>
      <c r="H11" s="38"/>
      <c r="I11" s="67"/>
    </row>
    <row r="12" spans="2:9" x14ac:dyDescent="0.25">
      <c r="B12" s="66"/>
      <c r="C12" s="4" t="s">
        <v>9</v>
      </c>
      <c r="D12" s="29" t="s">
        <v>558</v>
      </c>
      <c r="E12" s="33" t="s">
        <v>61</v>
      </c>
      <c r="F12" s="179"/>
      <c r="G12" s="179" t="s">
        <v>470</v>
      </c>
      <c r="H12" s="38" t="s">
        <v>364</v>
      </c>
      <c r="I12" s="67"/>
    </row>
    <row r="13" spans="2:9" x14ac:dyDescent="0.25">
      <c r="B13" s="66"/>
      <c r="C13" s="4" t="s">
        <v>18</v>
      </c>
      <c r="D13" s="29" t="s">
        <v>557</v>
      </c>
      <c r="E13" s="33" t="s">
        <v>94</v>
      </c>
      <c r="F13" s="179"/>
      <c r="G13" s="179" t="s">
        <v>26</v>
      </c>
      <c r="H13" s="38" t="s">
        <v>26</v>
      </c>
      <c r="I13" s="67"/>
    </row>
    <row r="14" spans="2:9" x14ac:dyDescent="0.25">
      <c r="B14" s="66"/>
      <c r="C14" s="4" t="s">
        <v>40</v>
      </c>
      <c r="D14" s="29" t="s">
        <v>96</v>
      </c>
      <c r="E14" s="33" t="s">
        <v>93</v>
      </c>
      <c r="F14" s="179" t="s">
        <v>117</v>
      </c>
      <c r="G14" s="179"/>
      <c r="H14" s="38"/>
      <c r="I14" s="67"/>
    </row>
    <row r="15" spans="2:9" x14ac:dyDescent="0.25">
      <c r="B15" s="66"/>
      <c r="C15" s="4" t="s">
        <v>41</v>
      </c>
      <c r="D15" s="29" t="s">
        <v>560</v>
      </c>
      <c r="E15" s="33" t="s">
        <v>368</v>
      </c>
      <c r="F15" s="179"/>
      <c r="G15" s="179"/>
      <c r="H15" s="38"/>
      <c r="I15" s="67"/>
    </row>
    <row r="16" spans="2:9" x14ac:dyDescent="0.25">
      <c r="B16" s="66"/>
      <c r="C16" s="4" t="s">
        <v>42</v>
      </c>
      <c r="D16" s="29" t="s">
        <v>96</v>
      </c>
      <c r="E16" s="33"/>
      <c r="F16" s="179"/>
      <c r="G16" s="179" t="s">
        <v>26</v>
      </c>
      <c r="H16" s="38" t="s">
        <v>26</v>
      </c>
      <c r="I16" s="67"/>
    </row>
    <row r="17" spans="2:9" x14ac:dyDescent="0.25">
      <c r="B17" s="66"/>
      <c r="C17" s="4" t="s">
        <v>68</v>
      </c>
      <c r="D17" s="29" t="s">
        <v>132</v>
      </c>
      <c r="E17" s="33" t="s">
        <v>118</v>
      </c>
      <c r="F17" s="180"/>
      <c r="G17" s="179" t="s">
        <v>26</v>
      </c>
      <c r="H17" s="38"/>
      <c r="I17" s="67"/>
    </row>
    <row r="18" spans="2:9" x14ac:dyDescent="0.25">
      <c r="B18" s="66"/>
      <c r="C18" s="4" t="s">
        <v>19</v>
      </c>
      <c r="D18" s="29" t="s">
        <v>96</v>
      </c>
      <c r="E18" s="33" t="s">
        <v>95</v>
      </c>
      <c r="F18" s="180"/>
      <c r="G18" s="180"/>
      <c r="H18" s="38"/>
      <c r="I18" s="67"/>
    </row>
    <row r="19" spans="2:9" x14ac:dyDescent="0.25">
      <c r="B19" s="66"/>
      <c r="C19" s="4" t="s">
        <v>85</v>
      </c>
      <c r="D19" s="29" t="s">
        <v>559</v>
      </c>
      <c r="E19" s="33" t="s">
        <v>220</v>
      </c>
      <c r="F19" s="180"/>
      <c r="G19" s="180"/>
      <c r="H19" s="38"/>
      <c r="I19" s="67"/>
    </row>
    <row r="20" spans="2:9" x14ac:dyDescent="0.25">
      <c r="B20" s="66"/>
      <c r="C20" s="4" t="s">
        <v>35</v>
      </c>
      <c r="D20" s="29" t="s">
        <v>132</v>
      </c>
      <c r="E20" s="33" t="s">
        <v>118</v>
      </c>
      <c r="F20" s="179" t="s">
        <v>219</v>
      </c>
      <c r="G20" s="179" t="s">
        <v>26</v>
      </c>
      <c r="H20" s="38"/>
      <c r="I20" s="67"/>
    </row>
    <row r="21" spans="2:9" x14ac:dyDescent="0.25">
      <c r="B21" s="66"/>
      <c r="C21" s="4" t="s">
        <v>201</v>
      </c>
      <c r="D21" s="29" t="s">
        <v>132</v>
      </c>
      <c r="E21" s="33" t="s">
        <v>118</v>
      </c>
      <c r="F21" s="179"/>
      <c r="G21" s="179"/>
      <c r="H21" s="38"/>
      <c r="I21" s="67"/>
    </row>
    <row r="22" spans="2:9" x14ac:dyDescent="0.25">
      <c r="B22" s="66"/>
      <c r="C22" s="4" t="s">
        <v>227</v>
      </c>
      <c r="D22" s="29" t="s">
        <v>132</v>
      </c>
      <c r="E22" s="33" t="s">
        <v>118</v>
      </c>
      <c r="F22" s="179"/>
      <c r="G22" s="179"/>
      <c r="H22" s="38"/>
      <c r="I22" s="67"/>
    </row>
    <row r="23" spans="2:9" x14ac:dyDescent="0.25">
      <c r="B23" s="66"/>
      <c r="C23" s="4" t="s">
        <v>279</v>
      </c>
      <c r="D23" s="29" t="s">
        <v>132</v>
      </c>
      <c r="E23" s="33" t="s">
        <v>118</v>
      </c>
      <c r="F23" s="179"/>
      <c r="G23" s="179"/>
      <c r="H23" s="38"/>
      <c r="I23" s="67"/>
    </row>
    <row r="24" spans="2:9" x14ac:dyDescent="0.25">
      <c r="B24" s="66"/>
      <c r="C24" s="4" t="s">
        <v>347</v>
      </c>
      <c r="D24" s="29"/>
      <c r="E24" s="33"/>
      <c r="F24" s="179"/>
      <c r="G24" s="179"/>
      <c r="H24" s="38"/>
      <c r="I24" s="67"/>
    </row>
    <row r="25" spans="2:9" x14ac:dyDescent="0.25">
      <c r="B25" s="66"/>
      <c r="C25" s="5" t="s">
        <v>378</v>
      </c>
      <c r="D25" s="273" t="s">
        <v>558</v>
      </c>
      <c r="E25" s="33" t="s">
        <v>118</v>
      </c>
      <c r="F25" s="274"/>
      <c r="G25" s="274"/>
      <c r="H25" s="275"/>
      <c r="I25" s="67"/>
    </row>
    <row r="26" spans="2:9" s="70" customFormat="1" x14ac:dyDescent="0.25">
      <c r="B26" s="68"/>
      <c r="C26" s="9"/>
      <c r="D26" s="30"/>
      <c r="E26" s="34"/>
      <c r="F26" s="181"/>
      <c r="G26" s="181"/>
      <c r="H26" s="134"/>
      <c r="I26" s="69"/>
    </row>
    <row r="27" spans="2:9" x14ac:dyDescent="0.25">
      <c r="B27" s="66"/>
      <c r="C27" s="5"/>
      <c r="D27" s="22"/>
      <c r="E27" s="35"/>
      <c r="F27" s="22"/>
      <c r="G27" s="22"/>
      <c r="H27" s="135"/>
      <c r="I27" s="67"/>
    </row>
    <row r="28" spans="2:9" x14ac:dyDescent="0.25">
      <c r="B28" s="66"/>
      <c r="C28" s="16" t="s">
        <v>29</v>
      </c>
      <c r="D28" s="20"/>
      <c r="E28" s="36"/>
      <c r="F28" s="20"/>
      <c r="G28" s="20"/>
      <c r="H28" s="136"/>
      <c r="I28" s="67"/>
    </row>
    <row r="29" spans="2:9" x14ac:dyDescent="0.25">
      <c r="B29" s="66"/>
      <c r="C29" s="4" t="s">
        <v>47</v>
      </c>
      <c r="D29" s="20" t="s">
        <v>132</v>
      </c>
      <c r="E29" s="36"/>
      <c r="F29" s="20"/>
      <c r="G29" s="20"/>
      <c r="H29" s="136"/>
      <c r="I29" s="67"/>
    </row>
    <row r="30" spans="2:9" x14ac:dyDescent="0.25">
      <c r="B30" s="66"/>
      <c r="C30" s="4" t="s">
        <v>0</v>
      </c>
      <c r="D30" s="29" t="s">
        <v>557</v>
      </c>
      <c r="E30" s="33" t="s">
        <v>92</v>
      </c>
      <c r="F30" s="29"/>
      <c r="G30" s="179" t="s">
        <v>79</v>
      </c>
      <c r="H30" s="38"/>
      <c r="I30" s="67"/>
    </row>
    <row r="31" spans="2:9" x14ac:dyDescent="0.25">
      <c r="B31" s="66"/>
      <c r="C31" s="4" t="s">
        <v>39</v>
      </c>
      <c r="D31" s="29" t="s">
        <v>132</v>
      </c>
      <c r="E31" s="33"/>
      <c r="F31" s="29"/>
      <c r="G31" s="29"/>
      <c r="H31" s="38"/>
      <c r="I31" s="67"/>
    </row>
    <row r="32" spans="2:9" s="70" customFormat="1" x14ac:dyDescent="0.25">
      <c r="B32" s="68"/>
      <c r="C32" s="9"/>
      <c r="D32" s="21"/>
      <c r="E32" s="37"/>
      <c r="F32" s="21"/>
      <c r="G32" s="21"/>
      <c r="H32" s="137"/>
      <c r="I32" s="69"/>
    </row>
    <row r="33" spans="2:9" x14ac:dyDescent="0.25">
      <c r="B33" s="66"/>
      <c r="C33" s="5"/>
      <c r="D33" s="22"/>
      <c r="E33" s="35"/>
      <c r="F33" s="22"/>
      <c r="G33" s="22"/>
      <c r="H33" s="135"/>
      <c r="I33" s="67"/>
    </row>
    <row r="34" spans="2:9" x14ac:dyDescent="0.25">
      <c r="B34" s="66"/>
      <c r="C34" s="16" t="s">
        <v>30</v>
      </c>
      <c r="D34" s="20"/>
      <c r="E34" s="54"/>
      <c r="F34" s="55"/>
      <c r="G34" s="55"/>
      <c r="H34" s="138"/>
      <c r="I34" s="67"/>
    </row>
    <row r="35" spans="2:9" x14ac:dyDescent="0.25">
      <c r="B35" s="66"/>
      <c r="C35" s="4" t="s">
        <v>113</v>
      </c>
      <c r="D35" s="20" t="s">
        <v>557</v>
      </c>
      <c r="E35" s="36" t="s">
        <v>368</v>
      </c>
      <c r="F35" s="20"/>
      <c r="G35" s="20"/>
      <c r="H35" s="136"/>
      <c r="I35" s="67"/>
    </row>
    <row r="36" spans="2:9" x14ac:dyDescent="0.25">
      <c r="B36" s="66"/>
      <c r="C36" s="4" t="s">
        <v>278</v>
      </c>
      <c r="D36" s="20" t="s">
        <v>132</v>
      </c>
      <c r="E36" s="36"/>
      <c r="F36" s="20"/>
      <c r="G36" s="20"/>
      <c r="H36" s="136"/>
      <c r="I36" s="67"/>
    </row>
    <row r="37" spans="2:9" x14ac:dyDescent="0.25">
      <c r="B37" s="66"/>
      <c r="C37" s="4" t="s">
        <v>1</v>
      </c>
      <c r="D37" s="20" t="s">
        <v>132</v>
      </c>
      <c r="E37" s="36"/>
      <c r="F37" s="20"/>
      <c r="G37" s="20"/>
      <c r="H37" s="136"/>
      <c r="I37" s="67"/>
    </row>
    <row r="38" spans="2:9" x14ac:dyDescent="0.25">
      <c r="B38" s="66"/>
      <c r="C38" s="4" t="s">
        <v>12</v>
      </c>
      <c r="D38" s="20" t="s">
        <v>132</v>
      </c>
      <c r="E38" s="36"/>
      <c r="F38" s="20"/>
      <c r="G38" s="179" t="s">
        <v>26</v>
      </c>
      <c r="H38" s="136"/>
      <c r="I38" s="67"/>
    </row>
    <row r="39" spans="2:9" x14ac:dyDescent="0.25">
      <c r="B39" s="66"/>
      <c r="C39" s="4" t="s">
        <v>155</v>
      </c>
      <c r="D39" s="20" t="s">
        <v>228</v>
      </c>
      <c r="E39" s="36" t="s">
        <v>229</v>
      </c>
      <c r="F39" s="20"/>
      <c r="G39" s="20"/>
      <c r="H39" s="133" t="s">
        <v>133</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123</v>
      </c>
    </row>
    <row r="44" spans="2:9" x14ac:dyDescent="0.25">
      <c r="C44" s="56" t="s">
        <v>335</v>
      </c>
    </row>
    <row r="45" spans="2:9" x14ac:dyDescent="0.25">
      <c r="C45" s="56" t="s">
        <v>336</v>
      </c>
    </row>
    <row r="46" spans="2:9" x14ac:dyDescent="0.25">
      <c r="B46" s="116"/>
      <c r="C46" s="56" t="s">
        <v>136</v>
      </c>
    </row>
    <row r="47" spans="2:9" x14ac:dyDescent="0.25">
      <c r="B47" s="182">
        <v>1</v>
      </c>
      <c r="C47" s="56" t="s">
        <v>215</v>
      </c>
      <c r="D47" s="57"/>
    </row>
    <row r="48" spans="2:9" x14ac:dyDescent="0.25">
      <c r="B48" s="182">
        <v>2</v>
      </c>
      <c r="C48" s="57" t="s">
        <v>216</v>
      </c>
      <c r="D48" s="57"/>
      <c r="E48" s="25"/>
      <c r="F48" s="25"/>
      <c r="G48" s="25"/>
      <c r="H48" s="25"/>
    </row>
    <row r="49" spans="2:8" x14ac:dyDescent="0.25">
      <c r="B49" s="182">
        <v>3</v>
      </c>
      <c r="C49" s="56" t="s">
        <v>217</v>
      </c>
      <c r="D49" s="57"/>
      <c r="E49" s="25"/>
      <c r="F49" s="25"/>
      <c r="G49" s="25"/>
      <c r="H49" s="25"/>
    </row>
    <row r="50" spans="2:8" x14ac:dyDescent="0.25">
      <c r="B50" s="182">
        <v>4</v>
      </c>
      <c r="C50" s="56" t="s">
        <v>218</v>
      </c>
      <c r="D50" s="57"/>
      <c r="E50" s="25"/>
      <c r="F50" s="25"/>
      <c r="G50" s="25"/>
      <c r="H50" s="25"/>
    </row>
    <row r="51" spans="2:8" x14ac:dyDescent="0.25">
      <c r="B51" s="182">
        <v>5</v>
      </c>
      <c r="C51" s="56" t="s">
        <v>221</v>
      </c>
      <c r="D51" s="57"/>
      <c r="E51" s="25"/>
      <c r="F51" s="25"/>
      <c r="G51" s="25"/>
      <c r="H51" s="25"/>
    </row>
    <row r="52" spans="2:8" x14ac:dyDescent="0.25">
      <c r="B52" s="182"/>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8"/>
  <sheetViews>
    <sheetView showGridLines="0" zoomScale="70" zoomScaleNormal="70" zoomScaleSheetLayoutView="70" workbookViewId="0">
      <selection activeCell="O55" sqref="O55"/>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0"/>
    </row>
    <row r="2" spans="2:18" ht="15.75" thickBot="1" x14ac:dyDescent="0.3">
      <c r="C2" s="147" t="s">
        <v>161</v>
      </c>
      <c r="D2" s="148">
        <f>'D1'!D2</f>
        <v>46265</v>
      </c>
      <c r="E2" s="478"/>
      <c r="F2" s="25"/>
      <c r="G2" s="25"/>
      <c r="H2" s="25"/>
      <c r="I2" s="25"/>
      <c r="J2" s="25"/>
      <c r="K2" s="25"/>
      <c r="L2" s="25"/>
      <c r="M2" s="25"/>
      <c r="N2" s="25"/>
      <c r="O2" s="25"/>
      <c r="P2" s="25"/>
      <c r="Q2" s="25"/>
    </row>
    <row r="3" spans="2:18" ht="21.75" customHeight="1" thickBot="1" x14ac:dyDescent="0.3">
      <c r="C3" s="130"/>
    </row>
    <row r="4" spans="2:18" x14ac:dyDescent="0.25">
      <c r="B4" s="58"/>
      <c r="C4" s="59"/>
      <c r="D4" s="60"/>
      <c r="E4" s="60"/>
      <c r="F4" s="60"/>
      <c r="G4" s="60"/>
      <c r="H4" s="60"/>
      <c r="I4" s="60"/>
      <c r="J4" s="60"/>
      <c r="K4" s="60"/>
      <c r="L4" s="60"/>
      <c r="M4" s="60"/>
      <c r="N4" s="60"/>
      <c r="O4" s="60"/>
      <c r="P4" s="131"/>
      <c r="Q4" s="60"/>
      <c r="R4" s="198"/>
    </row>
    <row r="5" spans="2:18" x14ac:dyDescent="0.25">
      <c r="B5" s="66"/>
      <c r="R5" s="185"/>
    </row>
    <row r="6" spans="2:18" s="65" customFormat="1" ht="60" customHeight="1" x14ac:dyDescent="0.25">
      <c r="B6" s="63"/>
      <c r="C6" s="3" t="s">
        <v>50</v>
      </c>
      <c r="D6" s="1" t="s">
        <v>25</v>
      </c>
      <c r="E6" s="1"/>
      <c r="F6" s="1" t="s">
        <v>528</v>
      </c>
      <c r="G6" s="1" t="s">
        <v>131</v>
      </c>
      <c r="H6" s="1" t="s">
        <v>36</v>
      </c>
      <c r="I6" s="1" t="s">
        <v>51</v>
      </c>
      <c r="J6" s="1" t="s">
        <v>32</v>
      </c>
      <c r="K6" s="1" t="s">
        <v>2</v>
      </c>
      <c r="L6" s="1" t="s">
        <v>49</v>
      </c>
      <c r="M6" s="1" t="s">
        <v>33</v>
      </c>
      <c r="N6" s="1" t="s">
        <v>27</v>
      </c>
      <c r="O6" s="1" t="s">
        <v>162</v>
      </c>
      <c r="P6" s="1" t="s">
        <v>34</v>
      </c>
      <c r="Q6" s="1" t="s">
        <v>551</v>
      </c>
      <c r="R6" s="209"/>
    </row>
    <row r="7" spans="2:18" x14ac:dyDescent="0.25">
      <c r="B7" s="66"/>
      <c r="C7" s="5"/>
      <c r="D7" s="8"/>
      <c r="E7" s="8"/>
      <c r="F7" s="8"/>
      <c r="G7" s="8" t="s">
        <v>81</v>
      </c>
      <c r="H7" s="8"/>
      <c r="I7" s="8" t="s">
        <v>51</v>
      </c>
      <c r="J7" s="8" t="s">
        <v>225</v>
      </c>
      <c r="K7" s="8" t="s">
        <v>225</v>
      </c>
      <c r="L7" s="8" t="s">
        <v>225</v>
      </c>
      <c r="M7" s="8" t="s">
        <v>225</v>
      </c>
      <c r="N7" s="8" t="s">
        <v>225</v>
      </c>
      <c r="O7" s="8" t="s">
        <v>225</v>
      </c>
      <c r="P7" s="12" t="s">
        <v>226</v>
      </c>
      <c r="Q7" s="8"/>
      <c r="R7" s="185"/>
    </row>
    <row r="8" spans="2:18" x14ac:dyDescent="0.25">
      <c r="B8" s="66"/>
      <c r="C8" s="394" t="s">
        <v>552</v>
      </c>
      <c r="D8" s="317"/>
      <c r="E8" s="317"/>
      <c r="F8" s="317"/>
      <c r="G8" s="317"/>
      <c r="H8" s="317"/>
      <c r="I8" s="317"/>
      <c r="J8" s="317"/>
      <c r="K8" s="317"/>
      <c r="L8" s="317"/>
      <c r="M8" s="317"/>
      <c r="N8" s="317"/>
      <c r="O8" s="317"/>
      <c r="P8" s="317"/>
      <c r="Q8" s="317"/>
      <c r="R8" s="185"/>
    </row>
    <row r="9" spans="2:18" x14ac:dyDescent="0.25">
      <c r="B9" s="66"/>
      <c r="C9" s="4" t="s">
        <v>46</v>
      </c>
      <c r="D9" s="2" t="s">
        <v>362</v>
      </c>
      <c r="E9" s="2"/>
      <c r="F9" s="2" t="s">
        <v>8</v>
      </c>
      <c r="G9" s="6">
        <v>2019</v>
      </c>
      <c r="H9" s="2" t="s">
        <v>71</v>
      </c>
      <c r="I9" s="90">
        <f>'%'!F9</f>
        <v>5.6999998161926343E-2</v>
      </c>
      <c r="J9" s="17">
        <f t="shared" ref="J9:J23" ca="1" si="0">K9</f>
        <v>65</v>
      </c>
      <c r="K9" s="17">
        <f ca="1">-SUMIF('CF (Equity, Debt)'!$C$3:$K$63,'A. All deals (a)'!C9,'CF (Equity, Debt)'!$E$3:$E$63)</f>
        <v>65</v>
      </c>
      <c r="L9" s="17">
        <v>0</v>
      </c>
      <c r="M9" s="17">
        <f ca="1">SUMIF('CF (Equity, Debt)'!$C$3:$K$63,'A. All deals (a)'!C9,'CF (Equity, Debt)'!$F$3:$F$63)</f>
        <v>0</v>
      </c>
      <c r="N9" s="17">
        <f>VLOOKUP(C9,NAV!$B$4:$E$50,4,0)</f>
        <v>0</v>
      </c>
      <c r="O9" s="17">
        <f ca="1">N9+M9-K9</f>
        <v>-65</v>
      </c>
      <c r="P9" s="10">
        <f t="shared" ref="P9:P21" ca="1" si="1">(M9+N9)/K9</f>
        <v>0</v>
      </c>
      <c r="Q9" s="87" t="s">
        <v>79</v>
      </c>
      <c r="R9" s="185"/>
    </row>
    <row r="10" spans="2:18" x14ac:dyDescent="0.25">
      <c r="B10" s="66"/>
      <c r="C10" s="4" t="s">
        <v>0</v>
      </c>
      <c r="D10" s="2" t="s">
        <v>362</v>
      </c>
      <c r="E10" s="2"/>
      <c r="F10" s="2" t="s">
        <v>8</v>
      </c>
      <c r="G10" s="6">
        <v>2019</v>
      </c>
      <c r="H10" s="2" t="s">
        <v>66</v>
      </c>
      <c r="I10" s="90">
        <f>'%'!F10</f>
        <v>0.14000000235296001</v>
      </c>
      <c r="J10" s="17">
        <f t="shared" ca="1" si="0"/>
        <v>8</v>
      </c>
      <c r="K10" s="17">
        <f ca="1">-SUMIF('CF (Equity, Debt)'!$C$3:$K$63,'A. All deals (a)'!C10,'CF (Equity, Debt)'!$E$3:$E$63)</f>
        <v>8</v>
      </c>
      <c r="L10" s="17">
        <v>0</v>
      </c>
      <c r="M10" s="17">
        <f ca="1">SUMIF('CF (Equity, Debt)'!$C$3:$K$63,'A. All deals (a)'!C10,'CF (Equity, Debt)'!$F$3:$F$63)</f>
        <v>0</v>
      </c>
      <c r="N10" s="17">
        <f>VLOOKUP(C10,NAV!$B$4:$E$50,4,0)</f>
        <v>0</v>
      </c>
      <c r="O10" s="17">
        <f t="shared" ref="O10:O29" ca="1" si="2">N10+M10-K10</f>
        <v>-8</v>
      </c>
      <c r="P10" s="10">
        <f t="shared" ca="1" si="1"/>
        <v>0</v>
      </c>
      <c r="Q10" s="87" t="s">
        <v>79</v>
      </c>
      <c r="R10" s="185"/>
    </row>
    <row r="11" spans="2:18" ht="17.25" x14ac:dyDescent="0.25">
      <c r="B11" s="66"/>
      <c r="C11" s="4" t="s">
        <v>38</v>
      </c>
      <c r="D11" s="2" t="s">
        <v>76</v>
      </c>
      <c r="E11" s="2"/>
      <c r="F11" s="2" t="s">
        <v>8</v>
      </c>
      <c r="G11" s="6">
        <v>2019</v>
      </c>
      <c r="H11" s="2" t="s">
        <v>73</v>
      </c>
      <c r="I11" s="90">
        <f>'%'!F11</f>
        <v>3.3399999999999999E-2</v>
      </c>
      <c r="J11" s="17">
        <f t="shared" ca="1" si="0"/>
        <v>10</v>
      </c>
      <c r="K11" s="17">
        <f ca="1">-SUMIF('CF (Equity, Debt)'!$C$3:$K$63,'A. All deals (a)'!C11,'CF (Equity, Debt)'!$E$3:$E$63)</f>
        <v>10</v>
      </c>
      <c r="L11" s="17">
        <v>0</v>
      </c>
      <c r="M11" s="17">
        <f ca="1">SUMIF('CF (Equity, Debt)'!$C$3:$K$63,'A. All deals (a)'!C11,'CF (Equity, Debt)'!$F$3:$F$63)</f>
        <v>0</v>
      </c>
      <c r="N11" s="17">
        <f>VLOOKUP(C11,NAV!$B$4:$E$50,4,0)</f>
        <v>14.6</v>
      </c>
      <c r="O11" s="17">
        <f t="shared" ca="1" si="2"/>
        <v>4.5999999999999996</v>
      </c>
      <c r="P11" s="10">
        <f t="shared" ca="1" si="1"/>
        <v>1.46</v>
      </c>
      <c r="Q11" s="87" t="s">
        <v>467</v>
      </c>
      <c r="R11" s="185"/>
    </row>
    <row r="12" spans="2:18" x14ac:dyDescent="0.25">
      <c r="B12" s="66"/>
      <c r="C12" s="4" t="s">
        <v>39</v>
      </c>
      <c r="D12" s="2" t="s">
        <v>77</v>
      </c>
      <c r="E12" s="2"/>
      <c r="F12" s="2" t="s">
        <v>8</v>
      </c>
      <c r="G12" s="6">
        <v>2020</v>
      </c>
      <c r="H12" s="2" t="s">
        <v>43</v>
      </c>
      <c r="I12" s="90" t="str">
        <f>'%'!F12</f>
        <v>NA</v>
      </c>
      <c r="J12" s="17">
        <f t="shared" ca="1" si="0"/>
        <v>2.5</v>
      </c>
      <c r="K12" s="17">
        <f ca="1">-SUMIF('CF (Equity, Debt)'!$C$3:$K$63,'A. All deals (a)'!C12,'CF (Equity, Debt)'!$E$3:$E$63)</f>
        <v>2.5</v>
      </c>
      <c r="L12" s="17">
        <v>0</v>
      </c>
      <c r="M12" s="17">
        <f ca="1">SUMIF('CF (Equity, Debt)'!$C$3:$K$63,'A. All deals (a)'!C12,'CF (Equity, Debt)'!$F$3:$F$63)</f>
        <v>5</v>
      </c>
      <c r="N12" s="17">
        <f>VLOOKUP(C12,NAV!$B$4:$E$50,4,0)</f>
        <v>0</v>
      </c>
      <c r="O12" s="17">
        <f t="shared" ca="1" si="2"/>
        <v>2.5</v>
      </c>
      <c r="P12" s="10">
        <f t="shared" ca="1" si="1"/>
        <v>2</v>
      </c>
      <c r="Q12" s="87"/>
      <c r="R12" s="185"/>
    </row>
    <row r="13" spans="2:18" x14ac:dyDescent="0.25">
      <c r="B13" s="66"/>
      <c r="C13" s="4" t="s">
        <v>37</v>
      </c>
      <c r="D13" s="2" t="s">
        <v>76</v>
      </c>
      <c r="E13" s="2"/>
      <c r="F13" s="2" t="s">
        <v>8</v>
      </c>
      <c r="G13" s="6">
        <v>2020</v>
      </c>
      <c r="H13" s="2" t="s">
        <v>65</v>
      </c>
      <c r="I13" s="90">
        <f>'%'!F13</f>
        <v>6.5000000000000002E-2</v>
      </c>
      <c r="J13" s="17">
        <f t="shared" ca="1" si="0"/>
        <v>90</v>
      </c>
      <c r="K13" s="17">
        <f ca="1">-SUMIF('CF (Equity, Debt)'!$C$3:$K$63,'A. All deals (a)'!C13,'CF (Equity, Debt)'!$E$3:$E$63)</f>
        <v>90</v>
      </c>
      <c r="L13" s="17">
        <v>0</v>
      </c>
      <c r="M13" s="17">
        <f ca="1">SUMIF('CF (Equity, Debt)'!$C$3:$K$63,'A. All deals (a)'!C13,'CF (Equity, Debt)'!$F$3:$F$63)</f>
        <v>0</v>
      </c>
      <c r="N13" s="17">
        <f>VLOOKUP(C13,NAV!$B$4:$E$50,4,0)</f>
        <v>21.7</v>
      </c>
      <c r="O13" s="17">
        <f t="shared" ca="1" si="2"/>
        <v>-68.3</v>
      </c>
      <c r="P13" s="10">
        <f t="shared" ca="1" si="1"/>
        <v>0.24111111111111111</v>
      </c>
      <c r="Q13" s="87"/>
      <c r="R13" s="185"/>
    </row>
    <row r="14" spans="2:18" x14ac:dyDescent="0.25">
      <c r="B14" s="66"/>
      <c r="C14" s="4" t="s">
        <v>84</v>
      </c>
      <c r="D14" s="2" t="s">
        <v>76</v>
      </c>
      <c r="E14" s="2"/>
      <c r="F14" s="2" t="s">
        <v>8</v>
      </c>
      <c r="G14" s="6">
        <v>2020</v>
      </c>
      <c r="H14" s="2" t="s">
        <v>44</v>
      </c>
      <c r="I14" s="90">
        <f>'%'!F14</f>
        <v>4.5562985202195316E-2</v>
      </c>
      <c r="J14" s="17">
        <f t="shared" ca="1" si="0"/>
        <v>141.4702596743665</v>
      </c>
      <c r="K14" s="17">
        <f ca="1">-SUMIF('CF (Equity, Debt)'!$C$3:$K$63,'A. All deals (a)'!C14,'CF (Equity, Debt)'!$E$3:$E$63)</f>
        <v>141.4702596743665</v>
      </c>
      <c r="L14" s="17">
        <v>0</v>
      </c>
      <c r="M14" s="17">
        <f ca="1">SUMIF('CF (Equity, Debt)'!$C$3:$K$63,'A. All deals (a)'!C14,'CF (Equity, Debt)'!$F$3:$F$63)</f>
        <v>0</v>
      </c>
      <c r="N14" s="17">
        <f>VLOOKUP(C14,NAV!$B$4:$E$50,4,0)</f>
        <v>105.22733244336</v>
      </c>
      <c r="O14" s="17">
        <f t="shared" ca="1" si="2"/>
        <v>-36.242927231006504</v>
      </c>
      <c r="P14" s="10">
        <f t="shared" ca="1" si="1"/>
        <v>0.74381239340035299</v>
      </c>
      <c r="Q14" s="87"/>
      <c r="R14" s="185"/>
    </row>
    <row r="15" spans="2:18" x14ac:dyDescent="0.25">
      <c r="B15" s="66"/>
      <c r="C15" s="4" t="s">
        <v>9</v>
      </c>
      <c r="D15" s="2" t="s">
        <v>76</v>
      </c>
      <c r="E15" s="2"/>
      <c r="F15" s="2" t="s">
        <v>8</v>
      </c>
      <c r="G15" s="6">
        <v>2020</v>
      </c>
      <c r="H15" s="2" t="s">
        <v>70</v>
      </c>
      <c r="I15" s="90">
        <f>'%'!F15</f>
        <v>0.14383199266284313</v>
      </c>
      <c r="J15" s="17">
        <f t="shared" ca="1" si="0"/>
        <v>60</v>
      </c>
      <c r="K15" s="17">
        <f ca="1">-SUMIF('CF (Equity, Debt)'!$C$3:$K$63,'A. All deals (a)'!C15,'CF (Equity, Debt)'!$E$3:$E$63)</f>
        <v>60</v>
      </c>
      <c r="L15" s="17">
        <v>0</v>
      </c>
      <c r="M15" s="17">
        <f ca="1">SUMIF('CF (Equity, Debt)'!$C$3:$K$63,'A. All deals (a)'!C15,'CF (Equity, Debt)'!$F$3:$F$63)</f>
        <v>0</v>
      </c>
      <c r="N15" s="17">
        <f>VLOOKUP(C15,NAV!$B$4:$E$50,4,0)</f>
        <v>71.918846479725644</v>
      </c>
      <c r="O15" s="17">
        <f t="shared" ca="1" si="2"/>
        <v>11.918846479725644</v>
      </c>
      <c r="P15" s="10">
        <f t="shared" ca="1" si="1"/>
        <v>1.1986474413287607</v>
      </c>
      <c r="Q15" s="87"/>
      <c r="R15" s="185"/>
    </row>
    <row r="16" spans="2:18" ht="17.25" x14ac:dyDescent="0.25">
      <c r="B16" s="66"/>
      <c r="C16" s="4" t="s">
        <v>18</v>
      </c>
      <c r="D16" s="2" t="s">
        <v>77</v>
      </c>
      <c r="E16" s="2"/>
      <c r="F16" s="2" t="s">
        <v>230</v>
      </c>
      <c r="G16" s="6">
        <v>2021</v>
      </c>
      <c r="H16" s="2" t="s">
        <v>48</v>
      </c>
      <c r="I16" s="90">
        <f>'%'!F16</f>
        <v>0.03</v>
      </c>
      <c r="J16" s="17">
        <f t="shared" ca="1" si="0"/>
        <v>20</v>
      </c>
      <c r="K16" s="17">
        <f ca="1">-SUMIF('CF (Equity, Debt)'!$C$3:$K$63,'A. All deals (a)'!C16,'CF (Equity, Debt)'!$E$3:$E$63)</f>
        <v>20</v>
      </c>
      <c r="L16" s="17">
        <v>0</v>
      </c>
      <c r="M16" s="17">
        <f ca="1">SUMIF('CF (Equity, Debt)'!$C$3:$K$63,'A. All deals (a)'!C16,'CF (Equity, Debt)'!$F$3:$F$63)</f>
        <v>24.5</v>
      </c>
      <c r="N16" s="17">
        <f>VLOOKUP(C16,NAV!$B$4:$E$50,4,0)</f>
        <v>0</v>
      </c>
      <c r="O16" s="17">
        <f t="shared" ca="1" si="2"/>
        <v>4.5</v>
      </c>
      <c r="P16" s="10">
        <f t="shared" ca="1" si="1"/>
        <v>1.2250000000000001</v>
      </c>
      <c r="Q16" s="87"/>
      <c r="R16" s="185"/>
    </row>
    <row r="17" spans="2:18" ht="17.25" x14ac:dyDescent="0.25">
      <c r="B17" s="66"/>
      <c r="C17" s="4" t="s">
        <v>787</v>
      </c>
      <c r="D17" s="2" t="s">
        <v>76</v>
      </c>
      <c r="E17" s="2"/>
      <c r="F17" s="2" t="s">
        <v>8</v>
      </c>
      <c r="G17" s="6">
        <v>2021</v>
      </c>
      <c r="H17" s="2" t="s">
        <v>67</v>
      </c>
      <c r="I17" s="90">
        <f>'%'!F17</f>
        <v>6.5613278704654034E-3</v>
      </c>
      <c r="J17" s="17">
        <f t="shared" ca="1" si="0"/>
        <v>39.999983359999995</v>
      </c>
      <c r="K17" s="17">
        <f ca="1">-SUMIF('CF (Equity, Debt)'!$C$3:$K$63,'A. All deals (a)'!C17,'CF (Equity, Debt)'!$E$3:$E$63)</f>
        <v>39.999983359999995</v>
      </c>
      <c r="L17" s="17">
        <v>0</v>
      </c>
      <c r="M17" s="17">
        <f ca="1">SUMIF('CF (Equity, Debt)'!$C$3:$K$63,'A. All deals (a)'!C17,'CF (Equity, Debt)'!$F$3:$F$63)</f>
        <v>0</v>
      </c>
      <c r="N17" s="17">
        <f>VLOOKUP(C17,NAV!$B$4:$E$50,4,0)</f>
        <v>265.62083464</v>
      </c>
      <c r="O17" s="17">
        <f t="shared" ca="1" si="2"/>
        <v>225.62085128000001</v>
      </c>
      <c r="P17" s="10">
        <f t="shared" ca="1" si="1"/>
        <v>6.6405236284578306</v>
      </c>
      <c r="Q17" s="87" t="s">
        <v>778</v>
      </c>
      <c r="R17" s="185"/>
    </row>
    <row r="18" spans="2:18" x14ac:dyDescent="0.25">
      <c r="B18" s="66"/>
      <c r="C18" s="4" t="s">
        <v>41</v>
      </c>
      <c r="D18" s="2" t="s">
        <v>76</v>
      </c>
      <c r="E18" s="2"/>
      <c r="F18" s="2" t="s">
        <v>8</v>
      </c>
      <c r="G18" s="6">
        <v>2021</v>
      </c>
      <c r="H18" s="2" t="s">
        <v>72</v>
      </c>
      <c r="I18" s="90">
        <f>'%'!F18</f>
        <v>0.16016016016015999</v>
      </c>
      <c r="J18" s="17">
        <f t="shared" ca="1" si="0"/>
        <v>8</v>
      </c>
      <c r="K18" s="17">
        <f ca="1">-SUMIF('CF (Equity, Debt)'!$C$3:$K$63,'A. All deals (a)'!C18,'CF (Equity, Debt)'!$E$3:$E$63)</f>
        <v>8</v>
      </c>
      <c r="L18" s="17">
        <v>0</v>
      </c>
      <c r="M18" s="17">
        <f ca="1">SUMIF('CF (Equity, Debt)'!$C$3:$K$63,'A. All deals (a)'!C18,'CF (Equity, Debt)'!$F$3:$F$63)</f>
        <v>0</v>
      </c>
      <c r="N18" s="17">
        <f>VLOOKUP(C18,NAV!$B$4:$E$50,4,0)</f>
        <v>6.5</v>
      </c>
      <c r="O18" s="17">
        <f t="shared" ca="1" si="2"/>
        <v>-1.5</v>
      </c>
      <c r="P18" s="10">
        <f t="shared" ca="1" si="1"/>
        <v>0.8125</v>
      </c>
      <c r="Q18" s="87"/>
      <c r="R18" s="185"/>
    </row>
    <row r="19" spans="2:18" x14ac:dyDescent="0.25">
      <c r="B19" s="66"/>
      <c r="C19" s="4" t="s">
        <v>42</v>
      </c>
      <c r="D19" s="2" t="s">
        <v>77</v>
      </c>
      <c r="E19" s="2"/>
      <c r="F19" s="2" t="s">
        <v>8</v>
      </c>
      <c r="G19" s="6">
        <v>2021</v>
      </c>
      <c r="H19" s="2" t="s">
        <v>74</v>
      </c>
      <c r="I19" s="90" t="str">
        <f>'%'!F19</f>
        <v>NA</v>
      </c>
      <c r="J19" s="17">
        <f t="shared" ca="1" si="0"/>
        <v>5.0237201984774336</v>
      </c>
      <c r="K19" s="17">
        <f ca="1">-SUMIF('CF (Equity, Debt)'!$C$3:$K$63,'A. All deals (a)'!C19,'CF (Equity, Debt)'!$E$3:$E$63)</f>
        <v>5.0237201984774336</v>
      </c>
      <c r="L19" s="17">
        <v>0</v>
      </c>
      <c r="M19" s="17">
        <f ca="1">SUMIF('CF (Equity, Debt)'!$C$3:$K$63,'A. All deals (a)'!C19,'CF (Equity, Debt)'!$F$3:$F$63)</f>
        <v>7.9421925299999989</v>
      </c>
      <c r="N19" s="17">
        <f>VLOOKUP(C19,NAV!$B$4:$E$50,4,0)</f>
        <v>0</v>
      </c>
      <c r="O19" s="17">
        <f t="shared" ca="1" si="2"/>
        <v>2.9184723315225654</v>
      </c>
      <c r="P19" s="10">
        <f t="shared" ca="1" si="1"/>
        <v>1.5809384711368046</v>
      </c>
      <c r="Q19" s="87"/>
      <c r="R19" s="185"/>
    </row>
    <row r="20" spans="2:18" ht="17.25" x14ac:dyDescent="0.25">
      <c r="B20" s="66"/>
      <c r="C20" s="4" t="s">
        <v>68</v>
      </c>
      <c r="D20" s="2" t="s">
        <v>77</v>
      </c>
      <c r="E20" s="2"/>
      <c r="F20" s="2" t="s">
        <v>231</v>
      </c>
      <c r="G20" s="6">
        <v>2022</v>
      </c>
      <c r="H20" s="2" t="s">
        <v>75</v>
      </c>
      <c r="I20" s="90" t="str">
        <f>'%'!F20</f>
        <v>NA</v>
      </c>
      <c r="J20" s="17">
        <f t="shared" ca="1" si="0"/>
        <v>493.50095619999996</v>
      </c>
      <c r="K20" s="17">
        <f ca="1">-SUMIF('CF (Equity, Debt)'!$C$3:$K$63,'A. All deals (a)'!C20,'CF (Equity, Debt)'!$E$3:$E$63)</f>
        <v>493.50095619999996</v>
      </c>
      <c r="L20" s="17">
        <v>0</v>
      </c>
      <c r="M20" s="17">
        <f ca="1">SUMIF('CF (Equity, Debt)'!$C$3:$K$63,'A. All deals (a)'!C20,'CF (Equity, Debt)'!$F$3:$F$63)</f>
        <v>403</v>
      </c>
      <c r="N20" s="17">
        <f>VLOOKUP(C20,NAV!$B$4:$E$50,4,0)</f>
        <v>0</v>
      </c>
      <c r="O20" s="17">
        <f t="shared" ca="1" si="2"/>
        <v>-90.500956199999962</v>
      </c>
      <c r="P20" s="10">
        <f t="shared" ca="1" si="1"/>
        <v>0.81661442584252486</v>
      </c>
      <c r="Q20" s="87"/>
      <c r="R20" s="185"/>
    </row>
    <row r="21" spans="2:18" ht="17.25" x14ac:dyDescent="0.25">
      <c r="B21" s="66"/>
      <c r="C21" s="4" t="s">
        <v>19</v>
      </c>
      <c r="D21" s="2" t="s">
        <v>714</v>
      </c>
      <c r="E21" s="2"/>
      <c r="F21" s="2" t="s">
        <v>526</v>
      </c>
      <c r="G21" s="6">
        <v>2022</v>
      </c>
      <c r="H21" s="2" t="s">
        <v>75</v>
      </c>
      <c r="I21" s="90">
        <f>'%'!F21</f>
        <v>6.5500000000000003E-2</v>
      </c>
      <c r="J21" s="17">
        <f t="shared" ca="1" si="0"/>
        <v>300</v>
      </c>
      <c r="K21" s="17">
        <f ca="1">-SUMIF('CF (Equity, Debt)'!$C$3:$K$63,'A. All deals (a)'!C21,'CF (Equity, Debt)'!$E$3:$E$63)</f>
        <v>300</v>
      </c>
      <c r="L21" s="17">
        <f>0</f>
        <v>0</v>
      </c>
      <c r="M21" s="17">
        <f ca="1">SUMIF('CF (Equity, Debt)'!$C$3:$K$63,'A. All deals (a)'!C21,'CF (Equity, Debt)'!$F$3:$F$63)</f>
        <v>84.804486139999995</v>
      </c>
      <c r="N21" s="17">
        <f>VLOOKUP(C21,NAV!$B$4:$E$50,4,0)</f>
        <v>497.53505670659996</v>
      </c>
      <c r="O21" s="17">
        <f t="shared" ca="1" si="2"/>
        <v>282.3395428465999</v>
      </c>
      <c r="P21" s="10">
        <f t="shared" ca="1" si="1"/>
        <v>1.9411318094886663</v>
      </c>
      <c r="Q21" s="87" t="s">
        <v>138</v>
      </c>
      <c r="R21" s="185"/>
    </row>
    <row r="22" spans="2:18" ht="17.25" x14ac:dyDescent="0.25">
      <c r="B22" s="66"/>
      <c r="C22" s="4" t="s">
        <v>85</v>
      </c>
      <c r="D22" s="2" t="s">
        <v>76</v>
      </c>
      <c r="E22" s="2"/>
      <c r="F22" s="2" t="s">
        <v>526</v>
      </c>
      <c r="G22" s="6">
        <v>2022</v>
      </c>
      <c r="H22" s="2" t="s">
        <v>44</v>
      </c>
      <c r="I22" s="90">
        <f>'%'!F22</f>
        <v>2.0924424450802052E-2</v>
      </c>
      <c r="J22" s="17">
        <f t="shared" ca="1" si="0"/>
        <v>24.53125</v>
      </c>
      <c r="K22" s="17">
        <f ca="1">-SUMIF('CF (Equity, Debt)'!$C$3:$K$63,'A. All deals (a)'!C22,'CF (Equity, Debt)'!$E$3:$E$63)</f>
        <v>24.53125</v>
      </c>
      <c r="L22" s="17">
        <f t="shared" ref="L22:L29" ca="1" si="3">J22-K22</f>
        <v>0</v>
      </c>
      <c r="M22" s="17">
        <f ca="1">SUMIF('CF (Equity, Debt)'!$C$3:$K$63,'A. All deals (a)'!C22,'CF (Equity, Debt)'!$F$3:$F$63)</f>
        <v>0</v>
      </c>
      <c r="N22" s="17">
        <f>VLOOKUP(C22,NAV!$B$4:$E$50,4,0)</f>
        <v>8.3090239999999991</v>
      </c>
      <c r="O22" s="17">
        <f t="shared" ca="1" si="2"/>
        <v>-16.222225999999999</v>
      </c>
      <c r="P22" s="10">
        <f ca="1">(M22+N22)/K22</f>
        <v>0.33871180636942672</v>
      </c>
      <c r="Q22" s="87" t="s">
        <v>152</v>
      </c>
      <c r="R22" s="185"/>
    </row>
    <row r="23" spans="2:18" ht="17.25" x14ac:dyDescent="0.25">
      <c r="B23" s="66"/>
      <c r="C23" s="4" t="s">
        <v>35</v>
      </c>
      <c r="D23" s="2" t="s">
        <v>77</v>
      </c>
      <c r="E23" s="2"/>
      <c r="F23" s="2" t="s">
        <v>232</v>
      </c>
      <c r="G23" s="6">
        <v>2022</v>
      </c>
      <c r="H23" s="2" t="s">
        <v>75</v>
      </c>
      <c r="I23" s="90" t="str">
        <f>'%'!F23</f>
        <v>NA</v>
      </c>
      <c r="J23" s="17">
        <f t="shared" ca="1" si="0"/>
        <v>800</v>
      </c>
      <c r="K23" s="17">
        <f ca="1">-SUMIF('CF (Equity, Debt)'!$C$3:$K$63,'A. All deals (a)'!C23,'CF (Equity, Debt)'!$E$3:$E$63)</f>
        <v>800</v>
      </c>
      <c r="L23" s="17">
        <f t="shared" ca="1" si="3"/>
        <v>0</v>
      </c>
      <c r="M23" s="17">
        <f ca="1">SUMIF('CF (Equity, Debt)'!$C$3:$K$63,'A. All deals (a)'!C23,'CF (Equity, Debt)'!$F$3:$F$63)</f>
        <v>802.8</v>
      </c>
      <c r="N23" s="17">
        <f>VLOOKUP(C23,NAV!$B$4:$E$50,4,0)</f>
        <v>0</v>
      </c>
      <c r="O23" s="17">
        <f t="shared" ca="1" si="2"/>
        <v>2.7999999999999545</v>
      </c>
      <c r="P23" s="10">
        <f t="shared" ref="P23" ca="1" si="4">(M23+N23)/K23</f>
        <v>1.0034999999999998</v>
      </c>
      <c r="Q23" s="87"/>
      <c r="R23" s="185"/>
    </row>
    <row r="24" spans="2:18" x14ac:dyDescent="0.25">
      <c r="B24" s="66"/>
      <c r="C24" s="4" t="s">
        <v>201</v>
      </c>
      <c r="D24" s="2" t="s">
        <v>76</v>
      </c>
      <c r="E24" s="2"/>
      <c r="F24" s="2" t="s">
        <v>8</v>
      </c>
      <c r="G24" s="6">
        <v>2022</v>
      </c>
      <c r="H24" s="2" t="s">
        <v>738</v>
      </c>
      <c r="I24" s="90">
        <f>'%'!F24</f>
        <v>0.12121516021886683</v>
      </c>
      <c r="J24" s="17">
        <v>15</v>
      </c>
      <c r="K24" s="17">
        <f ca="1">-SUMIF('CF (Equity, Debt)'!$C$3:$K$63,'A. All deals (a)'!C24,'CF (Equity, Debt)'!$E$3:$E$63)</f>
        <v>15</v>
      </c>
      <c r="L24" s="17">
        <f t="shared" ca="1" si="3"/>
        <v>0</v>
      </c>
      <c r="M24" s="17">
        <f ca="1">SUMIF('CF (Equity, Debt)'!$C$3:$K$63,'A. All deals (a)'!C24,'CF (Equity, Debt)'!$F$3:$F$63)</f>
        <v>0</v>
      </c>
      <c r="N24" s="17">
        <f>VLOOKUP(C24,NAV!$B$4:$E$50,4,0)</f>
        <v>38.464730150000001</v>
      </c>
      <c r="O24" s="17">
        <f t="shared" ca="1" si="2"/>
        <v>23.464730150000001</v>
      </c>
      <c r="P24" s="10">
        <f t="shared" ref="P24:P36" ca="1" si="5">(M24+N24)/K24</f>
        <v>2.5643153433333334</v>
      </c>
      <c r="Q24" s="87"/>
      <c r="R24" s="185"/>
    </row>
    <row r="25" spans="2:18" ht="17.25" x14ac:dyDescent="0.25">
      <c r="B25" s="66"/>
      <c r="C25" s="4" t="s">
        <v>662</v>
      </c>
      <c r="D25" s="2" t="s">
        <v>76</v>
      </c>
      <c r="E25" s="2"/>
      <c r="F25" s="2" t="s">
        <v>242</v>
      </c>
      <c r="G25" s="6">
        <v>2022</v>
      </c>
      <c r="H25" s="2" t="s">
        <v>66</v>
      </c>
      <c r="I25" s="90">
        <f>'%'!F25</f>
        <v>2.4809999999999999E-2</v>
      </c>
      <c r="J25" s="17">
        <f t="shared" ref="J25:J27" ca="1" si="6">K25</f>
        <v>15</v>
      </c>
      <c r="K25" s="17">
        <f ca="1">-SUMIF('CF (Equity, Debt)'!$C$3:$K$63,'A. All deals (a)'!C25,'CF (Equity, Debt)'!$E$3:$E$63)</f>
        <v>15</v>
      </c>
      <c r="L25" s="17">
        <f t="shared" ca="1" si="3"/>
        <v>0</v>
      </c>
      <c r="M25" s="17">
        <f ca="1">SUMIF('CF (Equity, Debt)'!$C$3:$K$63,'A. All deals (a)'!C25,'CF (Equity, Debt)'!$F$3:$F$63)</f>
        <v>0</v>
      </c>
      <c r="N25" s="17">
        <f>VLOOKUP(C25,NAV!$B$4:$E$50,4,0)</f>
        <v>230.00750916000001</v>
      </c>
      <c r="O25" s="17">
        <f t="shared" ca="1" si="2"/>
        <v>215.00750916000001</v>
      </c>
      <c r="P25" s="10">
        <f t="shared" ca="1" si="5"/>
        <v>15.333833944</v>
      </c>
      <c r="Q25" s="87"/>
      <c r="R25" s="185"/>
    </row>
    <row r="26" spans="2:18" x14ac:dyDescent="0.25">
      <c r="B26" s="66"/>
      <c r="C26" s="4" t="s">
        <v>279</v>
      </c>
      <c r="D26" s="2" t="s">
        <v>76</v>
      </c>
      <c r="E26" s="2"/>
      <c r="F26" s="2" t="s">
        <v>8</v>
      </c>
      <c r="G26" s="6">
        <v>2023</v>
      </c>
      <c r="H26" s="2" t="s">
        <v>65</v>
      </c>
      <c r="I26" s="90">
        <f>'%'!F26</f>
        <v>6.2660799818224002E-3</v>
      </c>
      <c r="J26" s="17">
        <f t="shared" ca="1" si="6"/>
        <v>14.999998939999999</v>
      </c>
      <c r="K26" s="17">
        <f ca="1">-SUMIF('CF (Equity, Debt)'!$C$3:$K$63,'A. All deals (a)'!C26,'CF (Equity, Debt)'!$E$3:$E$63)</f>
        <v>14.999998939999999</v>
      </c>
      <c r="L26" s="17">
        <f t="shared" ca="1" si="3"/>
        <v>0</v>
      </c>
      <c r="M26" s="17">
        <f ca="1">SUMIF('CF (Equity, Debt)'!$C$3:$K$63,'A. All deals (a)'!C26,'CF (Equity, Debt)'!$F$3:$F$63)</f>
        <v>0</v>
      </c>
      <c r="N26" s="17">
        <f>VLOOKUP(C26,NAV!$B$4:$E$50,4,0)</f>
        <v>1.2</v>
      </c>
      <c r="O26" s="17">
        <f t="shared" ca="1" si="2"/>
        <v>-13.79999894</v>
      </c>
      <c r="P26" s="10">
        <f t="shared" ca="1" si="5"/>
        <v>8.0000005653333733E-2</v>
      </c>
      <c r="Q26" s="87"/>
      <c r="R26" s="185"/>
    </row>
    <row r="27" spans="2:18" ht="17.25" x14ac:dyDescent="0.25">
      <c r="B27" s="66"/>
      <c r="C27" s="4" t="s">
        <v>338</v>
      </c>
      <c r="D27" s="2" t="s">
        <v>76</v>
      </c>
      <c r="E27" s="2"/>
      <c r="F27" s="2" t="s">
        <v>8</v>
      </c>
      <c r="G27" s="6">
        <v>2023</v>
      </c>
      <c r="H27" s="2" t="s">
        <v>341</v>
      </c>
      <c r="I27" s="90" t="str">
        <f>'%'!F27</f>
        <v>NA</v>
      </c>
      <c r="J27" s="17">
        <f t="shared" ca="1" si="6"/>
        <v>6.875E-3</v>
      </c>
      <c r="K27" s="17">
        <f ca="1">-SUMIF('CF (Equity, Debt)'!$C$3:$K$63,'A. All deals (a)'!C27,'CF (Equity, Debt)'!$E$3:$E$63)</f>
        <v>6.875E-3</v>
      </c>
      <c r="L27" s="17">
        <f t="shared" ca="1" si="3"/>
        <v>0</v>
      </c>
      <c r="M27" s="17">
        <f ca="1">SUMIF('CF (Equity, Debt)'!$C$3:$K$63,'A. All deals (a)'!C27,'CF (Equity, Debt)'!$F$3:$F$63)</f>
        <v>100</v>
      </c>
      <c r="N27" s="17">
        <f>VLOOKUP(C27,NAV!$B$4:$E$50,4,0)</f>
        <v>0</v>
      </c>
      <c r="O27" s="17">
        <f t="shared" ca="1" si="2"/>
        <v>99.993125000000006</v>
      </c>
      <c r="P27" s="10" t="s">
        <v>282</v>
      </c>
      <c r="Q27" s="87" t="s">
        <v>468</v>
      </c>
      <c r="R27" s="185"/>
    </row>
    <row r="28" spans="2:18" ht="17.25" x14ac:dyDescent="0.25">
      <c r="B28" s="66"/>
      <c r="C28" s="4" t="s">
        <v>347</v>
      </c>
      <c r="D28" s="2" t="s">
        <v>76</v>
      </c>
      <c r="E28" s="2"/>
      <c r="F28" s="2" t="s">
        <v>8</v>
      </c>
      <c r="G28" s="6">
        <v>2023</v>
      </c>
      <c r="H28" s="2" t="s">
        <v>66</v>
      </c>
      <c r="I28" s="90">
        <f>'%'!F28</f>
        <v>0.1163</v>
      </c>
      <c r="J28" s="17">
        <f ca="1">K28</f>
        <v>6</v>
      </c>
      <c r="K28" s="17">
        <f ca="1">-SUMIF('CF (Equity, Debt)'!$C$3:$K$63,'A. All deals (a)'!C28,'CF (Equity, Debt)'!$E$3:$E$63)</f>
        <v>6</v>
      </c>
      <c r="L28" s="17">
        <f t="shared" ca="1" si="3"/>
        <v>0</v>
      </c>
      <c r="M28" s="17">
        <f ca="1">SUMIF('CF (Equity, Debt)'!$C$3:$K$63,'A. All deals (a)'!C28,'CF (Equity, Debt)'!$F$3:$F$63)</f>
        <v>0</v>
      </c>
      <c r="N28" s="17">
        <f>VLOOKUP(C28,NAV!$B$4:$E$50,4,0)</f>
        <v>7.1</v>
      </c>
      <c r="O28" s="17">
        <f t="shared" ca="1" si="2"/>
        <v>1.0999999999999996</v>
      </c>
      <c r="P28" s="10">
        <f t="shared" ca="1" si="5"/>
        <v>1.1833333333333333</v>
      </c>
      <c r="Q28" s="87" t="s">
        <v>354</v>
      </c>
      <c r="R28" s="185"/>
    </row>
    <row r="29" spans="2:18" ht="17.25" x14ac:dyDescent="0.25">
      <c r="B29" s="66"/>
      <c r="C29" s="4" t="s">
        <v>378</v>
      </c>
      <c r="D29" s="2" t="s">
        <v>76</v>
      </c>
      <c r="E29" s="2"/>
      <c r="F29" s="2" t="s">
        <v>522</v>
      </c>
      <c r="G29" s="6">
        <v>2024</v>
      </c>
      <c r="H29" s="2" t="s">
        <v>381</v>
      </c>
      <c r="I29" s="90">
        <f>'%'!F29</f>
        <v>0.23</v>
      </c>
      <c r="J29" s="17">
        <f ca="1">K29+0.25</f>
        <v>2.75</v>
      </c>
      <c r="K29" s="17">
        <f ca="1">-SUMIF('CF (Equity, Debt)'!$C$3:$K$63,'A. All deals (a)'!C29,'CF (Equity, Debt)'!$E$3:$E$63)</f>
        <v>2.5</v>
      </c>
      <c r="L29" s="17">
        <f t="shared" ca="1" si="3"/>
        <v>0.25</v>
      </c>
      <c r="M29" s="17">
        <f ca="1">SUMIF('CF (Equity, Debt)'!$C$3:$K$63,'A. All deals (a)'!C29,'CF (Equity, Debt)'!$F$3:$F$63)</f>
        <v>0</v>
      </c>
      <c r="N29" s="17">
        <f ca="1">VLOOKUP(C29,NAV!$B$4:$E$50,4,0)</f>
        <v>2.5</v>
      </c>
      <c r="O29" s="17">
        <f t="shared" ca="1" si="2"/>
        <v>0</v>
      </c>
      <c r="P29" s="10">
        <f t="shared" ca="1" si="5"/>
        <v>1</v>
      </c>
      <c r="Q29" s="87" t="s">
        <v>452</v>
      </c>
      <c r="R29" s="185"/>
    </row>
    <row r="30" spans="2:18" x14ac:dyDescent="0.25">
      <c r="B30" s="66"/>
      <c r="C30" s="4" t="s">
        <v>518</v>
      </c>
      <c r="D30" s="2" t="s">
        <v>76</v>
      </c>
      <c r="E30" s="2"/>
      <c r="F30" s="2" t="s">
        <v>519</v>
      </c>
      <c r="G30" s="6">
        <v>2024</v>
      </c>
      <c r="H30" s="2" t="s">
        <v>632</v>
      </c>
      <c r="I30" s="90">
        <f>'%'!F30</f>
        <v>6.3899999999999998E-2</v>
      </c>
      <c r="J30" s="17">
        <f t="shared" ref="J30" ca="1" si="7">K30</f>
        <v>40</v>
      </c>
      <c r="K30" s="17">
        <f ca="1">-SUMIF('CF (Equity, Debt)'!$C$3:$K$63,'A. All deals (a)'!C30,'CF (Equity, Debt)'!$E$3:$E$63)</f>
        <v>40</v>
      </c>
      <c r="L30" s="17">
        <f t="shared" ref="L30:L31" ca="1" si="8">J30-K30</f>
        <v>0</v>
      </c>
      <c r="M30" s="17">
        <f ca="1">SUMIF('CF (Equity, Debt)'!$C$3:$K$63,'A. All deals (a)'!C30,'CF (Equity, Debt)'!$F$3:$F$63)</f>
        <v>0</v>
      </c>
      <c r="N30" s="17">
        <f>VLOOKUP(C30,NAV!$B$4:$E$50,4,0)</f>
        <v>40.947393714699999</v>
      </c>
      <c r="O30" s="17">
        <f t="shared" ref="O30:O33" ca="1" si="9">N30+M30-K30</f>
        <v>0.94739371469999867</v>
      </c>
      <c r="P30" s="10">
        <f t="shared" ca="1" si="5"/>
        <v>1.0236848428675001</v>
      </c>
      <c r="Q30" s="87"/>
      <c r="R30" s="185"/>
    </row>
    <row r="31" spans="2:18" x14ac:dyDescent="0.25">
      <c r="B31" s="66"/>
      <c r="C31" s="4" t="s">
        <v>569</v>
      </c>
      <c r="D31" s="2" t="s">
        <v>76</v>
      </c>
      <c r="E31" s="2"/>
      <c r="F31" s="2" t="s">
        <v>519</v>
      </c>
      <c r="G31" s="6">
        <v>2024</v>
      </c>
      <c r="H31" s="2" t="s">
        <v>44</v>
      </c>
      <c r="I31" s="90">
        <f>'%'!F31</f>
        <v>3.597242680734123E-2</v>
      </c>
      <c r="J31" s="17">
        <v>10</v>
      </c>
      <c r="K31" s="17">
        <f ca="1">-SUMIF('CF (Equity, Debt)'!$C$3:$K$63,'A. All deals (a)'!C31,'CF (Equity, Debt)'!$E$3:$E$63)</f>
        <v>10</v>
      </c>
      <c r="L31" s="17">
        <f t="shared" ca="1" si="8"/>
        <v>0</v>
      </c>
      <c r="M31" s="17">
        <f ca="1">SUMIF('CF (Equity, Debt)'!$C$3:$K$63,'A. All deals (a)'!C31,'CF (Equity, Debt)'!$F$3:$F$63)</f>
        <v>0</v>
      </c>
      <c r="N31" s="17">
        <f>VLOOKUP(C31,NAV!$B$4:$E$50,4,0)</f>
        <v>0</v>
      </c>
      <c r="O31" s="17">
        <f t="shared" ca="1" si="9"/>
        <v>-10</v>
      </c>
      <c r="P31" s="10">
        <f t="shared" ca="1" si="5"/>
        <v>0</v>
      </c>
      <c r="Q31" s="87" t="s">
        <v>575</v>
      </c>
      <c r="R31" s="185"/>
    </row>
    <row r="32" spans="2:18" x14ac:dyDescent="0.25">
      <c r="B32" s="66"/>
      <c r="C32" s="4" t="s">
        <v>641</v>
      </c>
      <c r="D32" s="2" t="s">
        <v>76</v>
      </c>
      <c r="E32" s="2"/>
      <c r="F32" s="2" t="s">
        <v>519</v>
      </c>
      <c r="G32" s="6">
        <v>2024</v>
      </c>
      <c r="H32" s="2" t="s">
        <v>642</v>
      </c>
      <c r="I32" s="90" t="str">
        <f>'%'!F32</f>
        <v>NA</v>
      </c>
      <c r="J32" s="17">
        <v>100</v>
      </c>
      <c r="K32" s="17">
        <f ca="1">-SUMIF('CF (Equity, Debt)'!$C$3:$K$63,'A. All deals (a)'!C32,'CF (Equity, Debt)'!$E$3:$E$63)</f>
        <v>100</v>
      </c>
      <c r="L32" s="17">
        <f t="shared" ref="L32" ca="1" si="10">J32-K32</f>
        <v>0</v>
      </c>
      <c r="M32" s="17">
        <f ca="1">SUMIF('CF (Equity, Debt)'!$C$3:$K$63,'A. All deals (a)'!C32,'CF (Equity, Debt)'!$F$3:$F$63)</f>
        <v>0.49996499999999999</v>
      </c>
      <c r="N32" s="17">
        <f>VLOOKUP(C32,NAV!$B$4:$E$50,4,0)</f>
        <v>100</v>
      </c>
      <c r="O32" s="17">
        <f t="shared" ref="O32" ca="1" si="11">N32+M32-K32</f>
        <v>0.4999650000000031</v>
      </c>
      <c r="P32" s="10">
        <f t="shared" ref="P32:P33" ca="1" si="12">(M32+N32)/K32</f>
        <v>1.00499965</v>
      </c>
      <c r="Q32" s="87" t="s">
        <v>697</v>
      </c>
      <c r="R32" s="185"/>
    </row>
    <row r="33" spans="2:18" x14ac:dyDescent="0.25">
      <c r="B33" s="66"/>
      <c r="C33" s="4" t="s">
        <v>671</v>
      </c>
      <c r="D33" s="2" t="s">
        <v>76</v>
      </c>
      <c r="E33" s="2"/>
      <c r="F33" s="2" t="s">
        <v>519</v>
      </c>
      <c r="G33" s="6">
        <v>2025</v>
      </c>
      <c r="H33" s="2" t="s">
        <v>349</v>
      </c>
      <c r="I33" s="90">
        <f>'%'!F33</f>
        <v>3.021655524837405E-2</v>
      </c>
      <c r="J33" s="17">
        <f ca="1">K33+L33</f>
        <v>60.819862919999998</v>
      </c>
      <c r="K33" s="17">
        <f ca="1">-SUMIF('CF (Equity, Debt)'!$C$3:$K$63,'A. All deals (a)'!C33,'CF (Equity, Debt)'!$E$3:$E$63)</f>
        <v>60.819862919999998</v>
      </c>
      <c r="L33" s="17">
        <v>0</v>
      </c>
      <c r="M33" s="17">
        <v>0</v>
      </c>
      <c r="N33" s="17">
        <f>VLOOKUP(C33,NAV!$B$4:$E$50,4,0)</f>
        <v>66.599183749999995</v>
      </c>
      <c r="O33" s="17">
        <f t="shared" ca="1" si="9"/>
        <v>5.7793208299999961</v>
      </c>
      <c r="P33" s="10">
        <f t="shared" ca="1" si="12"/>
        <v>1.095023575400061</v>
      </c>
      <c r="Q33" s="87"/>
      <c r="R33" s="185"/>
    </row>
    <row r="34" spans="2:18" x14ac:dyDescent="0.25">
      <c r="B34" s="66"/>
      <c r="C34" s="4" t="s">
        <v>715</v>
      </c>
      <c r="D34" s="2" t="s">
        <v>76</v>
      </c>
      <c r="E34" s="2"/>
      <c r="F34" s="2" t="s">
        <v>519</v>
      </c>
      <c r="G34" s="6">
        <v>2025</v>
      </c>
      <c r="H34" s="2" t="s">
        <v>716</v>
      </c>
      <c r="I34" s="90">
        <f>'%'!F34</f>
        <v>5.1805228281426186E-3</v>
      </c>
      <c r="J34" s="17">
        <f ca="1">K34</f>
        <v>49.999999500000001</v>
      </c>
      <c r="K34" s="17">
        <f ca="1">-SUMIF('CF (Equity, Debt)'!$C$3:$K$63,'A. All deals (a)'!C34,'CF (Equity, Debt)'!$E$3:$E$63)</f>
        <v>49.999999500000001</v>
      </c>
      <c r="L34" s="17">
        <v>0</v>
      </c>
      <c r="M34" s="17">
        <v>0</v>
      </c>
      <c r="N34" s="17">
        <v>50</v>
      </c>
      <c r="O34" s="17">
        <f t="shared" ref="O34:O35" ca="1" si="13">N34+M34-K34</f>
        <v>4.9999999873762135E-7</v>
      </c>
      <c r="P34" s="10">
        <f t="shared" ref="P34:P35" ca="1" si="14">(M34+N34)/K34</f>
        <v>1.0000000100000002</v>
      </c>
      <c r="Q34" s="87"/>
      <c r="R34" s="185"/>
    </row>
    <row r="35" spans="2:18" ht="17.25" x14ac:dyDescent="0.25">
      <c r="B35" s="66"/>
      <c r="C35" s="4" t="s">
        <v>788</v>
      </c>
      <c r="D35" s="2" t="s">
        <v>76</v>
      </c>
      <c r="E35" s="2"/>
      <c r="F35" s="2" t="s">
        <v>519</v>
      </c>
      <c r="G35" s="6">
        <v>2026</v>
      </c>
      <c r="H35" s="2" t="s">
        <v>786</v>
      </c>
      <c r="I35" s="90">
        <f>'%'!F35</f>
        <v>1.599014394766313E-2</v>
      </c>
      <c r="J35" s="2">
        <f t="shared" ref="J35" ca="1" si="15">K35</f>
        <v>3.5134910000000005E-2</v>
      </c>
      <c r="K35" s="2">
        <f ca="1">-SUMIF('CF (Equity, Debt)'!$C$3:$K$63,'A. All deals (a)'!C35,'CF (Equity, Debt)'!$E$3:$E$63)</f>
        <v>3.5134910000000005E-2</v>
      </c>
      <c r="L35" s="17">
        <v>0</v>
      </c>
      <c r="M35" s="17">
        <f ca="1">SUMIF('CF (Equity, Debt)'!$C$3:$K$63,'A. All deals (a)'!C35,'CF (Equity, Debt)'!$F$3:$F$63)</f>
        <v>0</v>
      </c>
      <c r="N35" s="17">
        <f>VLOOKUP(C35,NAV!$B$4:$E$50,4,0)</f>
        <v>647.32558184000004</v>
      </c>
      <c r="O35" s="17">
        <f t="shared" ca="1" si="13"/>
        <v>647.29044693000003</v>
      </c>
      <c r="P35" s="10">
        <f t="shared" ca="1" si="14"/>
        <v>18424</v>
      </c>
      <c r="Q35" s="87" t="s">
        <v>778</v>
      </c>
      <c r="R35" s="185"/>
    </row>
    <row r="36" spans="2:18" s="70" customFormat="1" x14ac:dyDescent="0.25">
      <c r="B36" s="68"/>
      <c r="C36" s="83"/>
      <c r="D36" s="83"/>
      <c r="E36" s="83"/>
      <c r="F36" s="83"/>
      <c r="G36" s="83"/>
      <c r="H36" s="83"/>
      <c r="I36" s="84"/>
      <c r="J36" s="85">
        <f t="shared" ref="J36:M36" ca="1" si="16">SUM(J9:J35)</f>
        <v>2382.6380407028437</v>
      </c>
      <c r="K36" s="85">
        <f t="shared" ca="1" si="16"/>
        <v>2382.3880407028437</v>
      </c>
      <c r="L36" s="85">
        <f t="shared" ca="1" si="16"/>
        <v>0.25</v>
      </c>
      <c r="M36" s="85">
        <f t="shared" ca="1" si="16"/>
        <v>1428.5466436699999</v>
      </c>
      <c r="N36" s="83">
        <f ca="1">SUM(N9:N35)</f>
        <v>2175.5554928843858</v>
      </c>
      <c r="O36" s="85">
        <f t="shared" ref="O36" ca="1" si="17">SUM(O9:O35)</f>
        <v>1221.7140958515415</v>
      </c>
      <c r="P36" s="86">
        <f t="shared" ca="1" si="5"/>
        <v>1.5128107071470676</v>
      </c>
      <c r="Q36" s="88"/>
      <c r="R36" s="210"/>
    </row>
    <row r="37" spans="2:18" x14ac:dyDescent="0.25">
      <c r="B37" s="66"/>
      <c r="C37" s="5"/>
      <c r="D37" s="8"/>
      <c r="E37" s="8"/>
      <c r="F37" s="8"/>
      <c r="G37" s="8"/>
      <c r="H37" s="8"/>
      <c r="I37" s="22"/>
      <c r="J37" s="19"/>
      <c r="K37" s="19"/>
      <c r="L37" s="19"/>
      <c r="M37" s="19"/>
      <c r="N37" s="19"/>
      <c r="O37" s="19"/>
      <c r="P37" s="12"/>
      <c r="Q37" s="89"/>
      <c r="R37" s="185"/>
    </row>
    <row r="38" spans="2:18" x14ac:dyDescent="0.25">
      <c r="B38" s="66"/>
      <c r="C38" s="394" t="s">
        <v>29</v>
      </c>
      <c r="D38" s="317"/>
      <c r="E38" s="317"/>
      <c r="F38" s="317"/>
      <c r="G38" s="318"/>
      <c r="H38" s="317"/>
      <c r="I38" s="319"/>
      <c r="J38" s="320"/>
      <c r="K38" s="320"/>
      <c r="L38" s="320"/>
      <c r="M38" s="320"/>
      <c r="N38" s="320"/>
      <c r="O38" s="320"/>
      <c r="P38" s="321"/>
      <c r="Q38" s="317"/>
      <c r="R38" s="185"/>
    </row>
    <row r="39" spans="2:18" x14ac:dyDescent="0.25">
      <c r="B39" s="66"/>
      <c r="C39" s="4" t="s">
        <v>47</v>
      </c>
      <c r="D39" s="2" t="s">
        <v>362</v>
      </c>
      <c r="E39" s="2"/>
      <c r="F39" s="2" t="s">
        <v>8</v>
      </c>
      <c r="G39" s="6">
        <v>2019</v>
      </c>
      <c r="H39" s="2" t="s">
        <v>120</v>
      </c>
      <c r="I39" s="90" t="s">
        <v>118</v>
      </c>
      <c r="J39" s="17">
        <v>8</v>
      </c>
      <c r="K39" s="17">
        <v>8</v>
      </c>
      <c r="L39" s="17">
        <v>0</v>
      </c>
      <c r="M39" s="17">
        <v>0</v>
      </c>
      <c r="N39" s="17">
        <v>0</v>
      </c>
      <c r="O39" s="17">
        <f t="shared" ref="O39:O41" si="18">N39+M39-K39</f>
        <v>-8</v>
      </c>
      <c r="P39" s="10">
        <f>(M39+N39)/K39</f>
        <v>0</v>
      </c>
      <c r="Q39" s="87" t="s">
        <v>363</v>
      </c>
      <c r="R39" s="185"/>
    </row>
    <row r="40" spans="2:18" x14ac:dyDescent="0.25">
      <c r="B40" s="66"/>
      <c r="C40" s="4" t="s">
        <v>203</v>
      </c>
      <c r="D40" s="2" t="s">
        <v>362</v>
      </c>
      <c r="E40" s="2"/>
      <c r="F40" s="2" t="s">
        <v>8</v>
      </c>
      <c r="G40" s="6">
        <v>2021</v>
      </c>
      <c r="H40" s="2" t="s">
        <v>122</v>
      </c>
      <c r="I40" s="90" t="s">
        <v>118</v>
      </c>
      <c r="J40" s="17">
        <v>2.3539819999999998</v>
      </c>
      <c r="K40" s="17">
        <f>J40</f>
        <v>2.3539819999999998</v>
      </c>
      <c r="L40" s="17">
        <v>0</v>
      </c>
      <c r="M40" s="17">
        <v>0</v>
      </c>
      <c r="N40" s="17">
        <f>VLOOKUP(C40,NAV!$B$4:$E$50,4,0)</f>
        <v>0</v>
      </c>
      <c r="O40" s="17">
        <f t="shared" si="18"/>
        <v>-2.3539819999999998</v>
      </c>
      <c r="P40" s="10">
        <f>(M40+N40)/K40</f>
        <v>0</v>
      </c>
      <c r="Q40" s="87" t="s">
        <v>79</v>
      </c>
      <c r="R40" s="185"/>
    </row>
    <row r="41" spans="2:18" x14ac:dyDescent="0.25">
      <c r="B41" s="66"/>
      <c r="C41" s="4" t="s">
        <v>195</v>
      </c>
      <c r="D41" s="2" t="s">
        <v>77</v>
      </c>
      <c r="E41" s="2"/>
      <c r="F41" s="2" t="s">
        <v>8</v>
      </c>
      <c r="G41" s="6">
        <v>2021</v>
      </c>
      <c r="H41" s="2" t="s">
        <v>122</v>
      </c>
      <c r="I41" s="90" t="s">
        <v>118</v>
      </c>
      <c r="J41" s="17">
        <v>0.41176499999999999</v>
      </c>
      <c r="K41" s="17">
        <v>0.41176499999999999</v>
      </c>
      <c r="L41" s="17">
        <v>0</v>
      </c>
      <c r="M41" s="17">
        <f>'CF (Equity, Debt)'!F68</f>
        <v>0.47078465000000003</v>
      </c>
      <c r="N41" s="17">
        <v>0</v>
      </c>
      <c r="O41" s="17">
        <f t="shared" si="18"/>
        <v>5.9019650000000035E-2</v>
      </c>
      <c r="P41" s="10">
        <f>(M41+N41)/K41</f>
        <v>1.1433333333333333</v>
      </c>
      <c r="Q41" s="87"/>
      <c r="R41" s="185"/>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9">(M42+N42)/K42</f>
        <v>4.3729863798582673E-2</v>
      </c>
      <c r="Q42" s="88"/>
      <c r="R42" s="210"/>
    </row>
    <row r="43" spans="2:18" x14ac:dyDescent="0.25">
      <c r="B43" s="66"/>
      <c r="C43" s="5"/>
      <c r="D43" s="8"/>
      <c r="E43" s="8"/>
      <c r="F43" s="8"/>
      <c r="G43" s="8"/>
      <c r="H43" s="8"/>
      <c r="I43" s="92"/>
      <c r="J43" s="19"/>
      <c r="K43" s="19"/>
      <c r="L43" s="19"/>
      <c r="M43" s="19"/>
      <c r="N43" s="19"/>
      <c r="O43" s="19"/>
      <c r="P43" s="12"/>
      <c r="Q43" s="8"/>
      <c r="R43" s="185"/>
    </row>
    <row r="44" spans="2:18" x14ac:dyDescent="0.25">
      <c r="B44" s="66"/>
      <c r="C44" s="394" t="s">
        <v>30</v>
      </c>
      <c r="D44" s="317"/>
      <c r="E44" s="317"/>
      <c r="F44" s="317"/>
      <c r="G44" s="318"/>
      <c r="H44" s="317"/>
      <c r="I44" s="319"/>
      <c r="J44" s="320"/>
      <c r="K44" s="320"/>
      <c r="L44" s="320"/>
      <c r="M44" s="320"/>
      <c r="N44" s="320"/>
      <c r="O44" s="320"/>
      <c r="P44" s="321"/>
      <c r="Q44" s="317"/>
      <c r="R44" s="185"/>
    </row>
    <row r="45" spans="2:18" x14ac:dyDescent="0.25">
      <c r="B45" s="66"/>
      <c r="C45" s="4" t="s">
        <v>113</v>
      </c>
      <c r="D45" s="2" t="s">
        <v>76</v>
      </c>
      <c r="E45" s="2"/>
      <c r="F45" s="2" t="s">
        <v>526</v>
      </c>
      <c r="G45" s="6">
        <v>2020</v>
      </c>
      <c r="H45" s="2" t="s">
        <v>52</v>
      </c>
      <c r="I45" s="90" t="s">
        <v>118</v>
      </c>
      <c r="J45" s="17">
        <f>K45+L45</f>
        <v>26.991242160780001</v>
      </c>
      <c r="K45" s="17">
        <f>'8. NewSpace'!O35*'8. NewSpace'!L48/1000000</f>
        <v>17.009681451803935</v>
      </c>
      <c r="L45" s="17">
        <f>'8. NewSpace'!O36*'8. NewSpace'!L48/1000000</f>
        <v>9.9815607089760654</v>
      </c>
      <c r="M45" s="17">
        <f>SUM('CF (Funds)'!F39:F63)</f>
        <v>6.7779339379807997</v>
      </c>
      <c r="N45" s="17">
        <f>VLOOKUP(C45,NAV!$B$4:$E$50,4,0)</f>
        <v>57.156181207085986</v>
      </c>
      <c r="O45" s="17">
        <f t="shared" ref="O45:O49" si="20">N45+M45-K45</f>
        <v>46.924433693262849</v>
      </c>
      <c r="P45" s="10">
        <f>(M45+N45)/K45</f>
        <v>3.7586897395004626</v>
      </c>
      <c r="Q45" s="2"/>
      <c r="R45" s="185"/>
    </row>
    <row r="46" spans="2:18" x14ac:dyDescent="0.25">
      <c r="B46" s="66"/>
      <c r="C46" s="4" t="s">
        <v>278</v>
      </c>
      <c r="D46" s="2" t="s">
        <v>76</v>
      </c>
      <c r="E46" s="2"/>
      <c r="F46" s="2" t="s">
        <v>526</v>
      </c>
      <c r="G46" s="6">
        <v>2023</v>
      </c>
      <c r="H46" s="2" t="s">
        <v>52</v>
      </c>
      <c r="I46" s="90" t="s">
        <v>118</v>
      </c>
      <c r="J46" s="17">
        <f>2.3/0.85</f>
        <v>2.7058823529411762</v>
      </c>
      <c r="K46" s="17">
        <v>2.7058823529411762</v>
      </c>
      <c r="L46" s="17">
        <v>0</v>
      </c>
      <c r="M46" s="17">
        <v>0</v>
      </c>
      <c r="N46" s="17">
        <f>VLOOKUP(C46,NAV!$B$4:$E$50,4,0)</f>
        <v>6.7417610228508815</v>
      </c>
      <c r="O46" s="17">
        <f t="shared" si="20"/>
        <v>4.0358786699097049</v>
      </c>
      <c r="P46" s="10">
        <f>(M46+N46)/K46</f>
        <v>2.4915203780101085</v>
      </c>
      <c r="Q46" s="79"/>
      <c r="R46" s="185"/>
    </row>
    <row r="47" spans="2:18" x14ac:dyDescent="0.25">
      <c r="B47" s="66"/>
      <c r="C47" s="4" t="s">
        <v>1</v>
      </c>
      <c r="D47" s="2" t="s">
        <v>76</v>
      </c>
      <c r="E47" s="2"/>
      <c r="F47" s="2" t="s">
        <v>526</v>
      </c>
      <c r="G47" s="6">
        <v>2020</v>
      </c>
      <c r="H47" s="2" t="s">
        <v>52</v>
      </c>
      <c r="I47" s="90" t="s">
        <v>118</v>
      </c>
      <c r="J47" s="17">
        <f>K47+L47</f>
        <v>83.361610999999996</v>
      </c>
      <c r="K47" s="2">
        <v>83.361610999999996</v>
      </c>
      <c r="L47" s="17">
        <v>0</v>
      </c>
      <c r="M47" s="17">
        <v>7.8755709999999999</v>
      </c>
      <c r="N47" s="17">
        <f>NAV!E48</f>
        <v>72.566225000000003</v>
      </c>
      <c r="O47" s="17">
        <f t="shared" si="20"/>
        <v>-2.9198149999999998</v>
      </c>
      <c r="P47" s="10">
        <f>(M47+N47)/K47</f>
        <v>0.96497410540686412</v>
      </c>
      <c r="Q47" s="2"/>
      <c r="R47" s="185"/>
    </row>
    <row r="48" spans="2:18" x14ac:dyDescent="0.25">
      <c r="B48" s="66"/>
      <c r="C48" s="4" t="s">
        <v>12</v>
      </c>
      <c r="D48" s="2" t="s">
        <v>77</v>
      </c>
      <c r="E48" s="2"/>
      <c r="F48" s="2" t="s">
        <v>526</v>
      </c>
      <c r="G48" s="6">
        <v>2020</v>
      </c>
      <c r="H48" s="2" t="s">
        <v>52</v>
      </c>
      <c r="I48" s="90" t="s">
        <v>118</v>
      </c>
      <c r="J48" s="17">
        <v>50</v>
      </c>
      <c r="K48" s="17">
        <f ca="1">-SUMIF('CF (Funds)'!$C$4:$E$1989,C48,'CF (Funds)'!$E$4:$E$1989)</f>
        <v>24.959693000000001</v>
      </c>
      <c r="L48" s="17">
        <v>0</v>
      </c>
      <c r="M48" s="17">
        <f>SUM('CF (Funds)'!F4:F21)</f>
        <v>25.403521350000002</v>
      </c>
      <c r="N48" s="17">
        <f>VLOOKUP(C48,NAV!$B$4:$E$50,4,0)</f>
        <v>0</v>
      </c>
      <c r="O48" s="17">
        <f ca="1">N48+M48-K48</f>
        <v>0.44382835000000043</v>
      </c>
      <c r="P48" s="10">
        <f ca="1">(M48+N48)/K48</f>
        <v>1.0177818032457371</v>
      </c>
      <c r="Q48" s="79"/>
      <c r="R48" s="185"/>
    </row>
    <row r="49" spans="2:18" ht="17.25" x14ac:dyDescent="0.25">
      <c r="B49" s="66"/>
      <c r="C49" s="4" t="s">
        <v>155</v>
      </c>
      <c r="D49" s="2" t="s">
        <v>76</v>
      </c>
      <c r="E49" s="2"/>
      <c r="F49" s="2" t="s">
        <v>526</v>
      </c>
      <c r="G49" s="6">
        <v>2021</v>
      </c>
      <c r="H49" s="2" t="s">
        <v>52</v>
      </c>
      <c r="I49" s="90">
        <v>0.33</v>
      </c>
      <c r="J49" s="17">
        <v>17.112500000000001</v>
      </c>
      <c r="K49" s="17">
        <f ca="1">-SUMIF('CF (Funds)'!$C$4:$E$1989,C49,'CF (Funds)'!$E$4:$E$1989)</f>
        <v>15.7263875</v>
      </c>
      <c r="L49" s="17">
        <f ca="1">J49-K49</f>
        <v>1.3861125000000012</v>
      </c>
      <c r="M49" s="17">
        <v>0</v>
      </c>
      <c r="N49" s="17">
        <f>VLOOKUP(C49,NAV!$B$4:$E$50,4,0)</f>
        <v>14.034903</v>
      </c>
      <c r="O49" s="17">
        <f t="shared" ca="1" si="20"/>
        <v>-1.6914844999999996</v>
      </c>
      <c r="P49" s="10">
        <f ca="1">(M49+N49)/K49</f>
        <v>0.89244290845561325</v>
      </c>
      <c r="Q49" s="2" t="s">
        <v>355</v>
      </c>
      <c r="R49" s="185"/>
    </row>
    <row r="50" spans="2:18" s="70" customFormat="1" x14ac:dyDescent="0.25">
      <c r="B50" s="68"/>
      <c r="C50" s="9"/>
      <c r="D50" s="9"/>
      <c r="E50" s="9"/>
      <c r="F50" s="9"/>
      <c r="G50" s="9"/>
      <c r="H50" s="9"/>
      <c r="I50" s="93"/>
      <c r="J50" s="18">
        <f>SUM(J45:J49)</f>
        <v>180.17123551372117</v>
      </c>
      <c r="K50" s="18">
        <f ca="1">SUM(K45:K49)</f>
        <v>143.76325530474509</v>
      </c>
      <c r="L50" s="18">
        <f ca="1">SUM(L45:L49)</f>
        <v>11.367673208976067</v>
      </c>
      <c r="M50" s="18">
        <f>SUM(M45:M49)</f>
        <v>40.057026287980804</v>
      </c>
      <c r="N50" s="9">
        <f>SUM(N45:N49)</f>
        <v>150.49907022993688</v>
      </c>
      <c r="O50" s="18">
        <f ca="1">N50+M50-K50</f>
        <v>46.792841213172608</v>
      </c>
      <c r="P50" s="11">
        <f t="shared" ref="P50:P58" ca="1" si="21">(M50+N50)/K50</f>
        <v>1.3254854038605521</v>
      </c>
      <c r="Q50" s="9"/>
      <c r="R50" s="210"/>
    </row>
    <row r="51" spans="2:18" s="70" customFormat="1" x14ac:dyDescent="0.25">
      <c r="B51" s="68"/>
      <c r="C51" s="143"/>
      <c r="D51" s="143"/>
      <c r="E51" s="143"/>
      <c r="F51" s="143"/>
      <c r="G51" s="143"/>
      <c r="H51" s="143"/>
      <c r="I51" s="92"/>
      <c r="J51" s="144"/>
      <c r="K51" s="144"/>
      <c r="L51" s="144"/>
      <c r="M51" s="144"/>
      <c r="N51" s="144"/>
      <c r="O51" s="144"/>
      <c r="P51" s="145"/>
      <c r="Q51" s="143"/>
      <c r="R51" s="210"/>
    </row>
    <row r="52" spans="2:18" s="70" customFormat="1" x14ac:dyDescent="0.25">
      <c r="B52" s="68"/>
      <c r="C52" s="394" t="s">
        <v>669</v>
      </c>
      <c r="D52" s="317"/>
      <c r="E52" s="317"/>
      <c r="F52" s="317"/>
      <c r="G52" s="318"/>
      <c r="H52" s="317"/>
      <c r="I52" s="319"/>
      <c r="J52" s="320"/>
      <c r="K52" s="320"/>
      <c r="L52" s="320"/>
      <c r="M52" s="320"/>
      <c r="N52" s="320"/>
      <c r="O52" s="320"/>
      <c r="P52" s="321"/>
      <c r="Q52" s="317"/>
      <c r="R52" s="210"/>
    </row>
    <row r="53" spans="2:18" s="70" customFormat="1" x14ac:dyDescent="0.25">
      <c r="B53" s="68"/>
      <c r="C53" s="4" t="s">
        <v>880</v>
      </c>
      <c r="D53" s="2" t="s">
        <v>76</v>
      </c>
      <c r="E53" s="2"/>
      <c r="F53" s="2" t="s">
        <v>668</v>
      </c>
      <c r="G53" s="6">
        <v>2024</v>
      </c>
      <c r="H53" s="2" t="s">
        <v>271</v>
      </c>
      <c r="I53" s="90">
        <f>'%'!F44</f>
        <v>3.125E-2</v>
      </c>
      <c r="J53" s="17">
        <f>MGX!D47+MGX!D48</f>
        <v>1559.7980400000001</v>
      </c>
      <c r="K53" s="17">
        <f>MGX!E47+MGX!E48</f>
        <v>386.49987300000009</v>
      </c>
      <c r="L53" s="17">
        <f>MGX!F47+MGX!F48</f>
        <v>1173.2981669999999</v>
      </c>
      <c r="M53" s="17">
        <f>MGX!G47+MGX!G48</f>
        <v>14.688852000000001</v>
      </c>
      <c r="N53" s="17">
        <f>MGX!H47+MGX!H48</f>
        <v>1011.278287</v>
      </c>
      <c r="O53" s="17">
        <f>MGX!I47+MGX!I48</f>
        <v>624.77841399999988</v>
      </c>
      <c r="P53" s="10">
        <f t="shared" ref="P53" si="22">(M53+N53)/K53</f>
        <v>2.6545083470182664</v>
      </c>
      <c r="Q53" s="2"/>
      <c r="R53" s="210"/>
    </row>
    <row r="54" spans="2:18" s="70" customFormat="1" x14ac:dyDescent="0.25">
      <c r="B54" s="68"/>
      <c r="C54" s="4" t="s">
        <v>709</v>
      </c>
      <c r="D54" s="2" t="s">
        <v>76</v>
      </c>
      <c r="E54" s="2"/>
      <c r="F54" s="2" t="s">
        <v>668</v>
      </c>
      <c r="G54" s="6">
        <v>2024</v>
      </c>
      <c r="H54" s="2" t="s">
        <v>271</v>
      </c>
      <c r="I54" s="90">
        <v>0.5</v>
      </c>
      <c r="J54" s="17">
        <f>MGX!D49</f>
        <v>296.60196000000002</v>
      </c>
      <c r="K54" s="17">
        <f>MGX!E49</f>
        <v>294.25154500000002</v>
      </c>
      <c r="L54" s="17">
        <f>MGX!F49</f>
        <v>2.3504149999999999</v>
      </c>
      <c r="M54" s="17">
        <f>MGX!G49</f>
        <v>0</v>
      </c>
      <c r="N54" s="17">
        <f>MGX!H49</f>
        <v>1180.373331</v>
      </c>
      <c r="O54" s="17">
        <f>MGX!I49</f>
        <v>886.12178599999993</v>
      </c>
      <c r="P54" s="10">
        <f t="shared" ref="P54:P55" si="23">(M54+N54)/K54</f>
        <v>4.0114431038926233</v>
      </c>
      <c r="Q54" s="79"/>
      <c r="R54" s="210"/>
    </row>
    <row r="55" spans="2:18" s="70" customFormat="1" x14ac:dyDescent="0.25">
      <c r="B55" s="68"/>
      <c r="C55" s="4" t="s">
        <v>667</v>
      </c>
      <c r="D55" s="2" t="s">
        <v>76</v>
      </c>
      <c r="E55" s="2"/>
      <c r="F55" s="2" t="s">
        <v>668</v>
      </c>
      <c r="G55" s="6">
        <v>2024</v>
      </c>
      <c r="H55" s="2" t="s">
        <v>143</v>
      </c>
      <c r="I55" s="90"/>
      <c r="J55" s="17">
        <f>MGX!D50</f>
        <v>25</v>
      </c>
      <c r="K55" s="17">
        <f>MGX!E50</f>
        <v>25</v>
      </c>
      <c r="L55" s="17">
        <f>MGX!F50</f>
        <v>0</v>
      </c>
      <c r="M55" s="17">
        <f>MGX!G50</f>
        <v>0</v>
      </c>
      <c r="N55" s="17">
        <f>MGX!H50</f>
        <v>25</v>
      </c>
      <c r="O55" s="17">
        <f>MGX!I50</f>
        <v>0</v>
      </c>
      <c r="P55" s="10">
        <f t="shared" si="23"/>
        <v>1</v>
      </c>
      <c r="Q55" s="2"/>
      <c r="R55" s="210"/>
    </row>
    <row r="56" spans="2:18" s="70" customFormat="1" x14ac:dyDescent="0.25">
      <c r="B56" s="68"/>
      <c r="C56" s="9"/>
      <c r="D56" s="9"/>
      <c r="E56" s="9"/>
      <c r="F56" s="9"/>
      <c r="G56" s="9"/>
      <c r="H56" s="9"/>
      <c r="I56" s="93"/>
      <c r="J56" s="18">
        <f t="shared" ref="J56:O56" si="24">SUM(J53:J55)</f>
        <v>1881.4</v>
      </c>
      <c r="K56" s="18">
        <f t="shared" si="24"/>
        <v>705.75141800000006</v>
      </c>
      <c r="L56" s="18">
        <f t="shared" si="24"/>
        <v>1175.648582</v>
      </c>
      <c r="M56" s="18">
        <f t="shared" si="24"/>
        <v>14.688852000000001</v>
      </c>
      <c r="N56" s="18">
        <f t="shared" si="24"/>
        <v>2216.6516179999999</v>
      </c>
      <c r="O56" s="18">
        <f t="shared" si="24"/>
        <v>1510.9001999999998</v>
      </c>
      <c r="P56" s="11">
        <f t="shared" si="21"/>
        <v>3.1616521243744775</v>
      </c>
      <c r="Q56" s="9"/>
      <c r="R56" s="210"/>
    </row>
    <row r="57" spans="2:18" s="70" customFormat="1" x14ac:dyDescent="0.25">
      <c r="B57" s="68"/>
      <c r="C57" s="143"/>
      <c r="D57" s="143"/>
      <c r="E57" s="143"/>
      <c r="F57" s="143"/>
      <c r="G57" s="143"/>
      <c r="H57" s="143"/>
      <c r="I57" s="92"/>
      <c r="J57" s="144"/>
      <c r="K57" s="144"/>
      <c r="L57" s="144"/>
      <c r="M57" s="144"/>
      <c r="N57" s="144"/>
      <c r="O57" s="144"/>
      <c r="P57" s="145"/>
      <c r="Q57" s="143"/>
      <c r="R57" s="210"/>
    </row>
    <row r="58" spans="2:18" s="70" customFormat="1" x14ac:dyDescent="0.25">
      <c r="B58" s="68"/>
      <c r="C58" s="146" t="s">
        <v>54</v>
      </c>
      <c r="D58" s="139"/>
      <c r="E58" s="139"/>
      <c r="F58" s="139"/>
      <c r="G58" s="139"/>
      <c r="H58" s="139"/>
      <c r="I58" s="140"/>
      <c r="J58" s="141">
        <f t="shared" ref="J58:O58" ca="1" si="25">J36+J42+J50+J56</f>
        <v>4454.9750232165643</v>
      </c>
      <c r="K58" s="141">
        <f t="shared" ca="1" si="25"/>
        <v>3242.668461007589</v>
      </c>
      <c r="L58" s="141">
        <f t="shared" ca="1" si="25"/>
        <v>1187.2662552089762</v>
      </c>
      <c r="M58" s="141">
        <f t="shared" ca="1" si="25"/>
        <v>1483.7633066079807</v>
      </c>
      <c r="N58" s="141">
        <f t="shared" ca="1" si="25"/>
        <v>4542.706181114323</v>
      </c>
      <c r="O58" s="141">
        <f t="shared" ca="1" si="25"/>
        <v>2769.1121747147135</v>
      </c>
      <c r="P58" s="142">
        <f t="shared" ca="1" si="21"/>
        <v>1.8584907955251486</v>
      </c>
      <c r="Q58" s="139"/>
      <c r="R58" s="210"/>
    </row>
    <row r="59" spans="2:18" s="176" customFormat="1" ht="15.75" thickBot="1" x14ac:dyDescent="0.3">
      <c r="B59" s="169"/>
      <c r="C59" s="170"/>
      <c r="D59" s="171"/>
      <c r="E59" s="171"/>
      <c r="F59" s="171"/>
      <c r="G59" s="171"/>
      <c r="H59" s="171"/>
      <c r="I59" s="172"/>
      <c r="J59" s="173"/>
      <c r="K59" s="173"/>
      <c r="L59" s="173"/>
      <c r="M59" s="173"/>
      <c r="N59" s="173"/>
      <c r="O59" s="173"/>
      <c r="P59" s="174"/>
      <c r="Q59" s="171"/>
      <c r="R59" s="211"/>
    </row>
    <row r="60" spans="2:18" x14ac:dyDescent="0.25">
      <c r="I60" s="76"/>
    </row>
    <row r="61" spans="2:18" x14ac:dyDescent="0.25">
      <c r="C61" s="149" t="s">
        <v>139</v>
      </c>
      <c r="D61" s="94"/>
      <c r="E61" s="94"/>
      <c r="F61" s="96"/>
      <c r="G61" s="96"/>
      <c r="H61" s="96"/>
      <c r="I61" s="96"/>
      <c r="J61" s="96"/>
      <c r="K61" s="96"/>
      <c r="L61" s="96"/>
      <c r="M61" s="96"/>
      <c r="N61" s="96"/>
      <c r="O61" s="96"/>
      <c r="P61" s="96"/>
      <c r="Q61" s="96"/>
    </row>
    <row r="62" spans="2:18" x14ac:dyDescent="0.25">
      <c r="C62" s="57" t="s">
        <v>166</v>
      </c>
      <c r="G62" s="105"/>
      <c r="K62" s="150"/>
      <c r="N62" s="80"/>
      <c r="O62" s="80"/>
      <c r="Q62" s="80"/>
    </row>
    <row r="63" spans="2:18" x14ac:dyDescent="0.25">
      <c r="C63" s="56" t="s">
        <v>167</v>
      </c>
      <c r="N63" s="80"/>
      <c r="O63" s="80"/>
      <c r="Q63" s="80"/>
    </row>
    <row r="64" spans="2:18" x14ac:dyDescent="0.25">
      <c r="C64" s="56" t="s">
        <v>169</v>
      </c>
      <c r="N64" s="80"/>
      <c r="O64" s="80"/>
      <c r="Q64" s="80"/>
    </row>
    <row r="65" spans="3:19" x14ac:dyDescent="0.25">
      <c r="C65" s="56" t="s">
        <v>353</v>
      </c>
      <c r="N65" s="80"/>
      <c r="O65" s="80"/>
      <c r="Q65" s="80"/>
    </row>
    <row r="66" spans="3:19" x14ac:dyDescent="0.25">
      <c r="C66" s="56" t="s">
        <v>357</v>
      </c>
      <c r="N66" s="80"/>
      <c r="O66" s="80"/>
      <c r="Q66" s="80"/>
    </row>
    <row r="67" spans="3:19" x14ac:dyDescent="0.25">
      <c r="C67" s="57" t="s">
        <v>356</v>
      </c>
      <c r="N67" s="80"/>
      <c r="O67" s="80"/>
      <c r="Q67" s="80"/>
    </row>
    <row r="68" spans="3:19" x14ac:dyDescent="0.25">
      <c r="C68" s="57" t="s">
        <v>453</v>
      </c>
      <c r="N68" s="80"/>
      <c r="O68" s="80"/>
      <c r="Q68" s="80"/>
    </row>
    <row r="69" spans="3:19" x14ac:dyDescent="0.25">
      <c r="C69" s="57" t="s">
        <v>654</v>
      </c>
      <c r="N69" s="80"/>
      <c r="O69" s="80"/>
      <c r="Q69" s="80"/>
    </row>
    <row r="70" spans="3:19" x14ac:dyDescent="0.25">
      <c r="C70" s="56" t="s">
        <v>795</v>
      </c>
      <c r="N70" s="80"/>
      <c r="O70" s="80"/>
      <c r="Q70" s="80"/>
    </row>
    <row r="71" spans="3:19" x14ac:dyDescent="0.25">
      <c r="C71" s="57" t="s">
        <v>241</v>
      </c>
      <c r="N71" s="80"/>
      <c r="O71" s="80"/>
      <c r="Q71" s="80"/>
      <c r="R71" s="212"/>
      <c r="S71" s="202"/>
    </row>
    <row r="72" spans="3:19" x14ac:dyDescent="0.25">
      <c r="C72" s="57"/>
      <c r="N72" s="80"/>
      <c r="O72" s="80"/>
      <c r="Q72" s="80"/>
      <c r="R72" s="212"/>
      <c r="S72" s="202"/>
    </row>
    <row r="73" spans="3:19" x14ac:dyDescent="0.25">
      <c r="C73" s="149" t="s">
        <v>533</v>
      </c>
      <c r="D73" s="94"/>
      <c r="E73" s="94"/>
      <c r="F73" s="96"/>
      <c r="G73" s="96"/>
      <c r="H73" s="96"/>
      <c r="I73" s="95"/>
      <c r="J73" s="96"/>
      <c r="K73" s="96"/>
      <c r="L73" s="96"/>
      <c r="M73" s="96"/>
      <c r="N73" s="96"/>
      <c r="O73" s="96"/>
      <c r="P73" s="96"/>
      <c r="Q73" s="96"/>
      <c r="R73" s="212"/>
      <c r="S73" s="202"/>
    </row>
    <row r="74" spans="3:19" x14ac:dyDescent="0.25">
      <c r="C74" s="57" t="s">
        <v>239</v>
      </c>
      <c r="N74" s="80"/>
      <c r="O74" s="80"/>
      <c r="Q74" s="80"/>
      <c r="R74" s="212"/>
      <c r="S74" s="202"/>
    </row>
    <row r="75" spans="3:19" x14ac:dyDescent="0.25">
      <c r="C75" s="177" t="s">
        <v>240</v>
      </c>
      <c r="N75" s="80"/>
      <c r="O75" s="80"/>
      <c r="Q75" s="80"/>
    </row>
    <row r="76" spans="3:19" x14ac:dyDescent="0.25">
      <c r="C76" s="26"/>
      <c r="N76" s="80"/>
      <c r="O76" s="80"/>
      <c r="Q76" s="80"/>
    </row>
    <row r="77" spans="3:19" x14ac:dyDescent="0.25">
      <c r="C77" s="149" t="s">
        <v>529</v>
      </c>
      <c r="D77" s="94"/>
      <c r="E77" s="94"/>
      <c r="F77" s="96"/>
      <c r="G77" s="96"/>
      <c r="H77" s="96"/>
      <c r="I77" s="95"/>
      <c r="J77" s="96"/>
      <c r="K77" s="96"/>
      <c r="L77" s="96"/>
      <c r="M77" s="96"/>
      <c r="N77" s="96"/>
      <c r="O77" s="96"/>
      <c r="P77" s="96"/>
      <c r="Q77" s="96"/>
    </row>
    <row r="78" spans="3:19" x14ac:dyDescent="0.25">
      <c r="C78" s="13" t="s">
        <v>530</v>
      </c>
      <c r="N78" s="80"/>
      <c r="O78" s="80"/>
      <c r="Q78" s="80"/>
    </row>
    <row r="79" spans="3:19" x14ac:dyDescent="0.25">
      <c r="C79" s="13" t="s">
        <v>531</v>
      </c>
      <c r="N79" s="80"/>
      <c r="O79" s="80"/>
      <c r="Q79" s="80"/>
    </row>
    <row r="80" spans="3:19" x14ac:dyDescent="0.25">
      <c r="C80" s="13" t="s">
        <v>234</v>
      </c>
      <c r="N80" s="80"/>
      <c r="O80" s="80"/>
      <c r="Q80" s="80"/>
    </row>
    <row r="81" spans="3:17" x14ac:dyDescent="0.25">
      <c r="C81" s="13" t="s">
        <v>532</v>
      </c>
      <c r="N81" s="80"/>
      <c r="O81" s="80"/>
      <c r="Q81" s="80"/>
    </row>
    <row r="82" spans="3:17" x14ac:dyDescent="0.25">
      <c r="C82" s="13"/>
      <c r="N82" s="80"/>
      <c r="O82" s="80"/>
      <c r="Q82" s="80"/>
    </row>
    <row r="83" spans="3:17" x14ac:dyDescent="0.25">
      <c r="C83" s="57" t="s">
        <v>235</v>
      </c>
      <c r="N83" s="80"/>
      <c r="O83" s="80"/>
      <c r="Q83" s="80"/>
    </row>
    <row r="84" spans="3:17" x14ac:dyDescent="0.25">
      <c r="C84" s="13" t="s">
        <v>236</v>
      </c>
      <c r="N84" s="80"/>
      <c r="O84" s="80"/>
      <c r="Q84" s="80"/>
    </row>
    <row r="85" spans="3:17" x14ac:dyDescent="0.25">
      <c r="C85" s="57" t="s">
        <v>237</v>
      </c>
      <c r="N85" s="80"/>
      <c r="O85" s="80"/>
      <c r="Q85" s="80"/>
    </row>
    <row r="86" spans="3:17" x14ac:dyDescent="0.25">
      <c r="C86" s="57" t="s">
        <v>238</v>
      </c>
      <c r="P86" s="26"/>
    </row>
    <row r="87" spans="3:17" x14ac:dyDescent="0.25">
      <c r="C87" s="57" t="s">
        <v>527</v>
      </c>
      <c r="P87" s="26"/>
    </row>
    <row r="88" spans="3:17" x14ac:dyDescent="0.25">
      <c r="C88" s="25"/>
      <c r="P88" s="26"/>
    </row>
    <row r="89" spans="3:17" x14ac:dyDescent="0.25">
      <c r="C89" s="149" t="s">
        <v>140</v>
      </c>
      <c r="D89" s="94"/>
      <c r="E89" s="94"/>
      <c r="F89" s="96"/>
      <c r="G89" s="96"/>
      <c r="H89" s="96"/>
      <c r="I89" s="95"/>
      <c r="J89" s="96"/>
      <c r="K89" s="96"/>
      <c r="L89" s="96"/>
      <c r="M89" s="96"/>
      <c r="N89" s="96"/>
      <c r="O89" s="96"/>
      <c r="P89" s="96"/>
      <c r="Q89" s="96"/>
    </row>
    <row r="90" spans="3:17" x14ac:dyDescent="0.25">
      <c r="C90" s="13" t="s">
        <v>202</v>
      </c>
      <c r="P90" s="26"/>
    </row>
    <row r="91" spans="3:17" x14ac:dyDescent="0.25">
      <c r="C91" s="13" t="s">
        <v>134</v>
      </c>
      <c r="P91" s="26"/>
    </row>
    <row r="92" spans="3:17" x14ac:dyDescent="0.25">
      <c r="C92" s="57" t="s">
        <v>168</v>
      </c>
      <c r="I92" s="57"/>
    </row>
    <row r="93" spans="3:17" x14ac:dyDescent="0.25">
      <c r="H93" s="132"/>
      <c r="I93" s="57"/>
    </row>
    <row r="94" spans="3:17" x14ac:dyDescent="0.25">
      <c r="H94" s="57"/>
      <c r="I94" s="57"/>
    </row>
    <row r="95" spans="3:17" x14ac:dyDescent="0.25">
      <c r="C95" s="57"/>
      <c r="H95" s="57"/>
      <c r="I95" s="57"/>
    </row>
    <row r="96" spans="3:17" x14ac:dyDescent="0.25">
      <c r="C96" s="26"/>
      <c r="H96" s="57"/>
      <c r="I96" s="57"/>
    </row>
    <row r="97" spans="3:6" x14ac:dyDescent="0.25">
      <c r="C97" s="26"/>
    </row>
    <row r="98" spans="3:6" x14ac:dyDescent="0.25">
      <c r="F98"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58"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0"/>
    </row>
    <row r="2" spans="2:20" ht="15.75" thickBot="1" x14ac:dyDescent="0.3">
      <c r="C2" s="147" t="s">
        <v>161</v>
      </c>
      <c r="D2" s="148">
        <f>'A. All deals (a)'!D2</f>
        <v>46265</v>
      </c>
      <c r="E2" s="25"/>
      <c r="F2" s="25"/>
      <c r="G2" s="25"/>
      <c r="H2" s="25"/>
      <c r="I2" s="25"/>
      <c r="J2" s="25"/>
      <c r="K2" s="25"/>
      <c r="L2" s="25"/>
      <c r="M2" s="25"/>
      <c r="N2" s="25"/>
      <c r="O2" s="25"/>
      <c r="P2" s="25"/>
      <c r="Q2" s="25"/>
    </row>
    <row r="3" spans="2:20" ht="15.75" thickBot="1" x14ac:dyDescent="0.3">
      <c r="C3" s="130"/>
      <c r="P3" s="124" t="s">
        <v>295</v>
      </c>
    </row>
    <row r="4" spans="2:20" x14ac:dyDescent="0.25">
      <c r="B4" s="58"/>
      <c r="C4" s="59"/>
      <c r="D4" s="60"/>
      <c r="E4" s="60"/>
      <c r="F4" s="60"/>
      <c r="G4" s="60"/>
      <c r="H4" s="60"/>
      <c r="I4" s="60"/>
      <c r="J4" s="60"/>
      <c r="K4" s="161"/>
      <c r="L4" s="161"/>
      <c r="M4" s="161"/>
      <c r="N4" s="161"/>
      <c r="O4" s="161"/>
      <c r="P4" s="161"/>
      <c r="Q4" s="161"/>
      <c r="R4" s="62"/>
    </row>
    <row r="5" spans="2:20" x14ac:dyDescent="0.25">
      <c r="B5" s="66"/>
      <c r="R5" s="67"/>
    </row>
    <row r="6" spans="2:20" s="65" customFormat="1" ht="30" x14ac:dyDescent="0.25">
      <c r="B6" s="63"/>
      <c r="C6" s="3" t="s">
        <v>50</v>
      </c>
      <c r="D6" s="1" t="s">
        <v>25</v>
      </c>
      <c r="E6" s="1" t="s">
        <v>59</v>
      </c>
      <c r="F6" s="1" t="s">
        <v>31</v>
      </c>
      <c r="G6" s="1" t="s">
        <v>369</v>
      </c>
      <c r="H6" s="1" t="s">
        <v>377</v>
      </c>
      <c r="I6" s="1" t="s">
        <v>448</v>
      </c>
      <c r="J6" s="1" t="s">
        <v>36</v>
      </c>
      <c r="K6" s="1" t="s">
        <v>172</v>
      </c>
      <c r="L6" s="1" t="s">
        <v>289</v>
      </c>
      <c r="M6" s="1" t="s">
        <v>290</v>
      </c>
      <c r="N6" s="1" t="s">
        <v>284</v>
      </c>
      <c r="O6" s="1" t="s">
        <v>51</v>
      </c>
      <c r="P6" s="1" t="s">
        <v>296</v>
      </c>
      <c r="Q6" s="237" t="s">
        <v>184</v>
      </c>
      <c r="R6" s="64"/>
    </row>
    <row r="7" spans="2:20" x14ac:dyDescent="0.25">
      <c r="B7" s="66"/>
      <c r="C7" s="5"/>
      <c r="D7" s="8"/>
      <c r="E7" s="8"/>
      <c r="F7" s="8"/>
      <c r="G7" s="8"/>
      <c r="H7" s="8"/>
      <c r="I7" s="8"/>
      <c r="J7" s="8"/>
      <c r="K7" s="8"/>
      <c r="L7" s="8"/>
      <c r="M7" s="8"/>
      <c r="N7" s="8"/>
      <c r="O7" s="8"/>
      <c r="P7" s="8"/>
      <c r="Q7" s="158"/>
      <c r="R7" s="67"/>
    </row>
    <row r="8" spans="2:20" x14ac:dyDescent="0.25">
      <c r="B8" s="66"/>
      <c r="C8" s="394" t="s">
        <v>28</v>
      </c>
      <c r="D8" s="316"/>
      <c r="E8" s="317"/>
      <c r="F8" s="317"/>
      <c r="G8" s="317"/>
      <c r="H8" s="317"/>
      <c r="I8" s="318"/>
      <c r="J8" s="319"/>
      <c r="K8" s="320"/>
      <c r="L8" s="320"/>
      <c r="M8" s="320"/>
      <c r="N8" s="320"/>
      <c r="O8" s="320"/>
      <c r="P8" s="320"/>
      <c r="Q8" s="319"/>
      <c r="R8" s="67"/>
      <c r="T8" s="317"/>
    </row>
    <row r="9" spans="2:20" ht="17.25" x14ac:dyDescent="0.25">
      <c r="B9" s="66"/>
      <c r="C9" s="4" t="s">
        <v>46</v>
      </c>
      <c r="D9" s="2" t="s">
        <v>362</v>
      </c>
      <c r="E9" s="2" t="s">
        <v>61</v>
      </c>
      <c r="F9" s="2" t="s">
        <v>8</v>
      </c>
      <c r="G9" s="291" t="s">
        <v>370</v>
      </c>
      <c r="H9" s="2" t="s">
        <v>402</v>
      </c>
      <c r="I9" s="291" t="s">
        <v>403</v>
      </c>
      <c r="J9" s="2" t="s">
        <v>71</v>
      </c>
      <c r="K9" s="2"/>
      <c r="L9" s="239" t="s">
        <v>248</v>
      </c>
      <c r="M9" s="239" t="s">
        <v>248</v>
      </c>
      <c r="N9" s="238" t="s">
        <v>308</v>
      </c>
      <c r="O9" s="241">
        <v>5.6999998161926343E-2</v>
      </c>
      <c r="P9" s="2"/>
      <c r="Q9" s="159">
        <v>1</v>
      </c>
      <c r="R9" s="67"/>
    </row>
    <row r="10" spans="2:20" ht="17.25" x14ac:dyDescent="0.25">
      <c r="B10" s="66"/>
      <c r="C10" s="4" t="s">
        <v>0</v>
      </c>
      <c r="D10" s="2" t="s">
        <v>76</v>
      </c>
      <c r="E10" s="2" t="s">
        <v>61</v>
      </c>
      <c r="F10" s="2" t="s">
        <v>8</v>
      </c>
      <c r="G10" s="291" t="s">
        <v>370</v>
      </c>
      <c r="H10" s="2" t="s">
        <v>402</v>
      </c>
      <c r="I10" s="291" t="s">
        <v>403</v>
      </c>
      <c r="J10" s="2" t="s">
        <v>66</v>
      </c>
      <c r="K10" s="2"/>
      <c r="L10" s="239" t="s">
        <v>248</v>
      </c>
      <c r="M10" s="239" t="s">
        <v>248</v>
      </c>
      <c r="N10" s="238" t="s">
        <v>308</v>
      </c>
      <c r="O10" s="241">
        <v>0.14000000235296001</v>
      </c>
      <c r="P10" s="2"/>
      <c r="Q10" s="159">
        <v>2</v>
      </c>
      <c r="R10" s="67"/>
    </row>
    <row r="11" spans="2:20" ht="17.25" x14ac:dyDescent="0.25">
      <c r="B11" s="66"/>
      <c r="C11" s="4" t="s">
        <v>38</v>
      </c>
      <c r="D11" s="2" t="s">
        <v>76</v>
      </c>
      <c r="E11" s="2" t="s">
        <v>60</v>
      </c>
      <c r="F11" s="2" t="s">
        <v>8</v>
      </c>
      <c r="G11" s="291" t="s">
        <v>370</v>
      </c>
      <c r="H11" s="2" t="s">
        <v>402</v>
      </c>
      <c r="I11" s="291" t="s">
        <v>403</v>
      </c>
      <c r="J11" s="2" t="s">
        <v>73</v>
      </c>
      <c r="K11" s="2"/>
      <c r="L11" s="239" t="s">
        <v>248</v>
      </c>
      <c r="M11" s="239" t="s">
        <v>248</v>
      </c>
      <c r="N11" s="238" t="s">
        <v>309</v>
      </c>
      <c r="O11" s="241">
        <v>8.5025484621212399E-2</v>
      </c>
      <c r="P11" s="2" t="s">
        <v>297</v>
      </c>
      <c r="Q11" s="159">
        <v>3</v>
      </c>
      <c r="R11" s="67"/>
    </row>
    <row r="12" spans="2:20" ht="17.25" x14ac:dyDescent="0.25">
      <c r="B12" s="66"/>
      <c r="C12" s="4" t="s">
        <v>39</v>
      </c>
      <c r="D12" s="2" t="s">
        <v>77</v>
      </c>
      <c r="E12" s="2" t="s">
        <v>60</v>
      </c>
      <c r="F12" s="2" t="s">
        <v>8</v>
      </c>
      <c r="G12" s="291" t="s">
        <v>370</v>
      </c>
      <c r="H12" s="2" t="s">
        <v>402</v>
      </c>
      <c r="I12" s="291" t="s">
        <v>403</v>
      </c>
      <c r="J12" s="2" t="s">
        <v>43</v>
      </c>
      <c r="K12" s="2"/>
      <c r="L12" s="239" t="s">
        <v>248</v>
      </c>
      <c r="M12" s="2" t="s">
        <v>118</v>
      </c>
      <c r="N12" s="238" t="s">
        <v>311</v>
      </c>
      <c r="O12" s="241" t="s">
        <v>118</v>
      </c>
      <c r="P12" s="2"/>
      <c r="Q12" s="159">
        <v>4</v>
      </c>
      <c r="R12" s="67"/>
    </row>
    <row r="13" spans="2:20" ht="17.25" x14ac:dyDescent="0.25">
      <c r="B13" s="66"/>
      <c r="C13" s="4" t="s">
        <v>37</v>
      </c>
      <c r="D13" s="2" t="s">
        <v>76</v>
      </c>
      <c r="E13" s="2" t="s">
        <v>62</v>
      </c>
      <c r="F13" s="2" t="s">
        <v>8</v>
      </c>
      <c r="G13" s="291" t="s">
        <v>370</v>
      </c>
      <c r="H13" s="2" t="s">
        <v>402</v>
      </c>
      <c r="I13" s="291" t="s">
        <v>403</v>
      </c>
      <c r="J13" s="2" t="s">
        <v>65</v>
      </c>
      <c r="K13" s="2"/>
      <c r="L13" s="239" t="s">
        <v>248</v>
      </c>
      <c r="M13" s="239" t="s">
        <v>248</v>
      </c>
      <c r="N13" s="238" t="s">
        <v>309</v>
      </c>
      <c r="O13" s="241">
        <v>9.7965107245756355E-2</v>
      </c>
      <c r="P13" s="2"/>
      <c r="Q13" s="159">
        <v>5</v>
      </c>
      <c r="R13" s="67"/>
    </row>
    <row r="14" spans="2:20" ht="17.25" x14ac:dyDescent="0.25">
      <c r="B14" s="66"/>
      <c r="C14" s="4" t="s">
        <v>84</v>
      </c>
      <c r="D14" s="2" t="s">
        <v>76</v>
      </c>
      <c r="E14" s="2" t="s">
        <v>62</v>
      </c>
      <c r="F14" s="2" t="s">
        <v>8</v>
      </c>
      <c r="G14" s="79" t="s">
        <v>370</v>
      </c>
      <c r="H14" s="297" t="s">
        <v>447</v>
      </c>
      <c r="I14" s="297" t="s">
        <v>403</v>
      </c>
      <c r="J14" s="2" t="s">
        <v>44</v>
      </c>
      <c r="K14" s="2" t="s">
        <v>171</v>
      </c>
      <c r="L14" s="239" t="s">
        <v>248</v>
      </c>
      <c r="M14" s="239" t="s">
        <v>248</v>
      </c>
      <c r="N14" s="238" t="s">
        <v>286</v>
      </c>
      <c r="O14" s="241">
        <v>5.1651565402323088E-2</v>
      </c>
      <c r="P14" s="2"/>
      <c r="Q14" s="159">
        <v>6</v>
      </c>
      <c r="R14" s="67"/>
    </row>
    <row r="15" spans="2:20" ht="17.25" x14ac:dyDescent="0.25">
      <c r="B15" s="66"/>
      <c r="C15" s="4" t="s">
        <v>9</v>
      </c>
      <c r="D15" s="2" t="s">
        <v>76</v>
      </c>
      <c r="E15" s="2" t="s">
        <v>61</v>
      </c>
      <c r="F15" s="2" t="s">
        <v>8</v>
      </c>
      <c r="G15" s="291" t="s">
        <v>370</v>
      </c>
      <c r="H15" s="2" t="s">
        <v>402</v>
      </c>
      <c r="I15" s="291" t="s">
        <v>403</v>
      </c>
      <c r="J15" s="2" t="s">
        <v>70</v>
      </c>
      <c r="K15" s="2"/>
      <c r="L15" s="239" t="s">
        <v>248</v>
      </c>
      <c r="M15" s="239" t="s">
        <v>248</v>
      </c>
      <c r="N15" s="238" t="s">
        <v>285</v>
      </c>
      <c r="O15" s="241">
        <v>0.14380000000000001</v>
      </c>
      <c r="P15" s="2"/>
      <c r="Q15" s="159">
        <v>7</v>
      </c>
      <c r="R15" s="67"/>
    </row>
    <row r="16" spans="2:20" ht="17.25" x14ac:dyDescent="0.25">
      <c r="B16" s="66"/>
      <c r="C16" s="4" t="s">
        <v>18</v>
      </c>
      <c r="D16" s="2" t="s">
        <v>77</v>
      </c>
      <c r="E16" s="2" t="s">
        <v>60</v>
      </c>
      <c r="F16" s="2" t="s">
        <v>304</v>
      </c>
      <c r="G16" s="291" t="s">
        <v>371</v>
      </c>
      <c r="H16" s="2" t="s">
        <v>77</v>
      </c>
      <c r="I16" s="2" t="s">
        <v>77</v>
      </c>
      <c r="J16" s="2" t="s">
        <v>48</v>
      </c>
      <c r="K16" s="2"/>
      <c r="L16" s="239" t="s">
        <v>248</v>
      </c>
      <c r="M16" s="2" t="s">
        <v>118</v>
      </c>
      <c r="N16" s="238" t="s">
        <v>286</v>
      </c>
      <c r="O16" s="241">
        <v>0.03</v>
      </c>
      <c r="P16" s="2"/>
      <c r="Q16" s="159">
        <v>8</v>
      </c>
      <c r="R16" s="67"/>
    </row>
    <row r="17" spans="2:20" ht="17.25" x14ac:dyDescent="0.25">
      <c r="B17" s="66"/>
      <c r="C17" s="4" t="s">
        <v>40</v>
      </c>
      <c r="D17" s="2" t="s">
        <v>76</v>
      </c>
      <c r="E17" s="2" t="s">
        <v>64</v>
      </c>
      <c r="F17" s="2" t="s">
        <v>8</v>
      </c>
      <c r="G17" s="291" t="s">
        <v>370</v>
      </c>
      <c r="H17" s="2" t="s">
        <v>402</v>
      </c>
      <c r="I17" s="291" t="s">
        <v>403</v>
      </c>
      <c r="J17" s="2" t="s">
        <v>67</v>
      </c>
      <c r="K17" s="2"/>
      <c r="L17" s="239" t="s">
        <v>248</v>
      </c>
      <c r="M17" s="239" t="s">
        <v>248</v>
      </c>
      <c r="N17" s="238" t="s">
        <v>309</v>
      </c>
      <c r="O17" s="241">
        <v>9.117206771726628E-3</v>
      </c>
      <c r="P17" s="2"/>
      <c r="Q17" s="159">
        <v>9</v>
      </c>
      <c r="R17" s="67"/>
    </row>
    <row r="18" spans="2:20" ht="17.25" x14ac:dyDescent="0.25">
      <c r="B18" s="66"/>
      <c r="C18" s="4" t="s">
        <v>41</v>
      </c>
      <c r="D18" s="2" t="s">
        <v>76</v>
      </c>
      <c r="E18" s="2" t="s">
        <v>60</v>
      </c>
      <c r="F18" s="2" t="s">
        <v>8</v>
      </c>
      <c r="G18" s="291" t="s">
        <v>370</v>
      </c>
      <c r="H18" s="2" t="s">
        <v>402</v>
      </c>
      <c r="I18" s="293" t="s">
        <v>539</v>
      </c>
      <c r="J18" s="2" t="s">
        <v>72</v>
      </c>
      <c r="K18" s="2"/>
      <c r="L18" s="239" t="s">
        <v>248</v>
      </c>
      <c r="M18" s="239" t="s">
        <v>248</v>
      </c>
      <c r="N18" s="238" t="s">
        <v>309</v>
      </c>
      <c r="O18" s="241">
        <v>0.16080402010050251</v>
      </c>
      <c r="P18" s="2"/>
      <c r="Q18" s="159">
        <v>10</v>
      </c>
      <c r="R18" s="67"/>
    </row>
    <row r="19" spans="2:20" ht="17.25" x14ac:dyDescent="0.25">
      <c r="B19" s="66"/>
      <c r="C19" s="4" t="s">
        <v>42</v>
      </c>
      <c r="D19" s="2" t="s">
        <v>77</v>
      </c>
      <c r="E19" s="2" t="s">
        <v>64</v>
      </c>
      <c r="F19" s="2" t="s">
        <v>8</v>
      </c>
      <c r="G19" s="291" t="s">
        <v>370</v>
      </c>
      <c r="H19" s="2" t="s">
        <v>402</v>
      </c>
      <c r="I19" s="291" t="s">
        <v>403</v>
      </c>
      <c r="J19" s="2" t="s">
        <v>74</v>
      </c>
      <c r="K19" s="2"/>
      <c r="L19" s="239" t="s">
        <v>248</v>
      </c>
      <c r="M19" s="239" t="s">
        <v>248</v>
      </c>
      <c r="N19" s="238" t="s">
        <v>286</v>
      </c>
      <c r="O19" s="241">
        <v>1.1489405791845828E-2</v>
      </c>
      <c r="P19" s="2"/>
      <c r="Q19" s="159">
        <v>11</v>
      </c>
      <c r="R19" s="67"/>
    </row>
    <row r="20" spans="2:20" ht="17.25" x14ac:dyDescent="0.25">
      <c r="B20" s="66"/>
      <c r="C20" s="4" t="s">
        <v>68</v>
      </c>
      <c r="D20" s="2" t="s">
        <v>77</v>
      </c>
      <c r="E20" s="2" t="s">
        <v>61</v>
      </c>
      <c r="F20" s="2" t="s">
        <v>305</v>
      </c>
      <c r="G20" s="2" t="s">
        <v>372</v>
      </c>
      <c r="H20" s="2" t="s">
        <v>404</v>
      </c>
      <c r="I20" s="2" t="s">
        <v>405</v>
      </c>
      <c r="J20" s="2" t="s">
        <v>75</v>
      </c>
      <c r="K20" s="2"/>
      <c r="L20" s="239" t="s">
        <v>248</v>
      </c>
      <c r="M20" s="239" t="s">
        <v>248</v>
      </c>
      <c r="N20" s="238" t="s">
        <v>285</v>
      </c>
      <c r="O20" s="241">
        <v>5.1000000000000004E-2</v>
      </c>
      <c r="P20" s="2"/>
      <c r="Q20" s="159">
        <v>12</v>
      </c>
      <c r="R20" s="67"/>
    </row>
    <row r="21" spans="2:20" ht="17.25" x14ac:dyDescent="0.25">
      <c r="B21" s="66"/>
      <c r="C21" s="4" t="s">
        <v>19</v>
      </c>
      <c r="D21" s="2" t="s">
        <v>76</v>
      </c>
      <c r="E21" s="2" t="s">
        <v>63</v>
      </c>
      <c r="F21" s="2" t="s">
        <v>11</v>
      </c>
      <c r="G21" s="291" t="s">
        <v>376</v>
      </c>
      <c r="H21" s="2" t="s">
        <v>404</v>
      </c>
      <c r="I21" s="291" t="s">
        <v>406</v>
      </c>
      <c r="J21" s="2" t="s">
        <v>75</v>
      </c>
      <c r="K21" s="2"/>
      <c r="L21" s="239" t="s">
        <v>248</v>
      </c>
      <c r="M21" s="239" t="s">
        <v>248</v>
      </c>
      <c r="N21" s="238" t="s">
        <v>315</v>
      </c>
      <c r="O21" s="241">
        <v>0.11141913554582343</v>
      </c>
      <c r="P21" s="2" t="s">
        <v>298</v>
      </c>
      <c r="Q21" s="159">
        <v>13</v>
      </c>
      <c r="R21" s="67"/>
    </row>
    <row r="22" spans="2:20" ht="17.25" x14ac:dyDescent="0.25">
      <c r="B22" s="66"/>
      <c r="C22" s="4" t="s">
        <v>85</v>
      </c>
      <c r="D22" s="2" t="s">
        <v>76</v>
      </c>
      <c r="E22" s="2" t="s">
        <v>62</v>
      </c>
      <c r="F22" s="2" t="s">
        <v>11</v>
      </c>
      <c r="G22" s="291" t="s">
        <v>374</v>
      </c>
      <c r="H22" s="2" t="s">
        <v>402</v>
      </c>
      <c r="I22" s="293" t="s">
        <v>539</v>
      </c>
      <c r="J22" s="2" t="s">
        <v>44</v>
      </c>
      <c r="K22" s="2" t="s">
        <v>171</v>
      </c>
      <c r="L22" s="239" t="s">
        <v>248</v>
      </c>
      <c r="M22" s="239" t="s">
        <v>248</v>
      </c>
      <c r="N22" s="238" t="s">
        <v>309</v>
      </c>
      <c r="O22" s="241">
        <v>2.2129090603182095E-3</v>
      </c>
      <c r="P22" s="2" t="s">
        <v>299</v>
      </c>
      <c r="Q22" s="159">
        <v>14</v>
      </c>
      <c r="R22" s="67"/>
    </row>
    <row r="23" spans="2:20" ht="17.25" x14ac:dyDescent="0.25">
      <c r="B23" s="66"/>
      <c r="C23" s="4" t="s">
        <v>35</v>
      </c>
      <c r="D23" s="2" t="s">
        <v>77</v>
      </c>
      <c r="E23" s="2" t="s">
        <v>61</v>
      </c>
      <c r="F23" s="2" t="s">
        <v>306</v>
      </c>
      <c r="G23" s="2" t="s">
        <v>373</v>
      </c>
      <c r="H23" s="2" t="s">
        <v>405</v>
      </c>
      <c r="I23" s="2" t="s">
        <v>405</v>
      </c>
      <c r="J23" s="2" t="s">
        <v>75</v>
      </c>
      <c r="K23" s="2"/>
      <c r="L23" s="239" t="s">
        <v>248</v>
      </c>
      <c r="M23" s="239" t="s">
        <v>248</v>
      </c>
      <c r="N23" s="238" t="s">
        <v>285</v>
      </c>
      <c r="O23" s="241">
        <v>1.8823528000000003E-2</v>
      </c>
      <c r="P23" s="2"/>
      <c r="Q23" s="159">
        <v>15</v>
      </c>
      <c r="R23" s="67"/>
    </row>
    <row r="24" spans="2:20" ht="17.25" x14ac:dyDescent="0.25">
      <c r="B24" s="66"/>
      <c r="C24" s="4" t="s">
        <v>201</v>
      </c>
      <c r="D24" s="2" t="s">
        <v>76</v>
      </c>
      <c r="E24" s="2" t="s">
        <v>62</v>
      </c>
      <c r="F24" s="2" t="s">
        <v>8</v>
      </c>
      <c r="G24" s="291" t="s">
        <v>370</v>
      </c>
      <c r="H24" s="2" t="s">
        <v>402</v>
      </c>
      <c r="I24" s="293" t="s">
        <v>539</v>
      </c>
      <c r="J24" s="2" t="s">
        <v>43</v>
      </c>
      <c r="K24" s="2"/>
      <c r="L24" s="239" t="s">
        <v>248</v>
      </c>
      <c r="M24" s="239" t="s">
        <v>248</v>
      </c>
      <c r="N24" s="238" t="s">
        <v>316</v>
      </c>
      <c r="O24" s="241" t="s">
        <v>118</v>
      </c>
      <c r="P24" s="2"/>
      <c r="Q24" s="159">
        <v>16</v>
      </c>
      <c r="R24" s="67"/>
    </row>
    <row r="25" spans="2:20" ht="17.25" x14ac:dyDescent="0.25">
      <c r="B25" s="66"/>
      <c r="C25" s="4" t="s">
        <v>227</v>
      </c>
      <c r="D25" s="2" t="s">
        <v>76</v>
      </c>
      <c r="E25" s="2" t="s">
        <v>63</v>
      </c>
      <c r="F25" s="2" t="s">
        <v>307</v>
      </c>
      <c r="G25" s="2" t="s">
        <v>407</v>
      </c>
      <c r="H25" s="2" t="s">
        <v>404</v>
      </c>
      <c r="I25" s="291" t="s">
        <v>408</v>
      </c>
      <c r="J25" s="2" t="s">
        <v>66</v>
      </c>
      <c r="K25" s="2"/>
      <c r="L25" s="239" t="s">
        <v>248</v>
      </c>
      <c r="M25" s="239" t="s">
        <v>248</v>
      </c>
      <c r="N25" s="238" t="s">
        <v>309</v>
      </c>
      <c r="O25" s="241">
        <v>2.7864956399278339E-2</v>
      </c>
      <c r="P25" s="2"/>
      <c r="Q25" s="159">
        <v>17</v>
      </c>
      <c r="R25" s="67"/>
    </row>
    <row r="26" spans="2:20" ht="17.25" x14ac:dyDescent="0.25">
      <c r="B26" s="66"/>
      <c r="C26" s="4" t="s">
        <v>279</v>
      </c>
      <c r="D26" s="2" t="s">
        <v>76</v>
      </c>
      <c r="E26" s="2" t="s">
        <v>62</v>
      </c>
      <c r="F26" s="2" t="s">
        <v>8</v>
      </c>
      <c r="G26" s="291" t="s">
        <v>370</v>
      </c>
      <c r="H26" s="2" t="s">
        <v>402</v>
      </c>
      <c r="I26" s="293" t="s">
        <v>539</v>
      </c>
      <c r="J26" s="2" t="s">
        <v>65</v>
      </c>
      <c r="K26" s="2"/>
      <c r="L26" s="239" t="s">
        <v>248</v>
      </c>
      <c r="M26" s="239" t="s">
        <v>248</v>
      </c>
      <c r="N26" s="238" t="s">
        <v>309</v>
      </c>
      <c r="O26" s="241">
        <v>6.2621982517370271E-3</v>
      </c>
      <c r="P26" s="2"/>
      <c r="Q26" s="159">
        <v>24</v>
      </c>
      <c r="R26" s="67"/>
    </row>
    <row r="27" spans="2:20" ht="17.25" x14ac:dyDescent="0.25">
      <c r="B27" s="66"/>
      <c r="C27" s="4" t="s">
        <v>338</v>
      </c>
      <c r="D27" s="2" t="s">
        <v>76</v>
      </c>
      <c r="E27" s="2" t="s">
        <v>62</v>
      </c>
      <c r="F27" s="2" t="s">
        <v>8</v>
      </c>
      <c r="G27" s="291" t="s">
        <v>370</v>
      </c>
      <c r="H27" s="2" t="s">
        <v>402</v>
      </c>
      <c r="I27" s="293" t="s">
        <v>539</v>
      </c>
      <c r="J27" s="2" t="s">
        <v>341</v>
      </c>
      <c r="K27" s="2"/>
      <c r="L27" s="239" t="s">
        <v>248</v>
      </c>
      <c r="M27" s="239" t="s">
        <v>343</v>
      </c>
      <c r="N27" s="238" t="s">
        <v>342</v>
      </c>
      <c r="O27" s="241">
        <v>6.2500000000000003E-3</v>
      </c>
      <c r="P27" s="2"/>
      <c r="Q27" s="159">
        <v>25</v>
      </c>
      <c r="R27" s="67"/>
      <c r="T27" s="25" t="s">
        <v>381</v>
      </c>
    </row>
    <row r="28" spans="2:20" ht="17.25" x14ac:dyDescent="0.25">
      <c r="B28" s="66"/>
      <c r="C28" s="4" t="s">
        <v>347</v>
      </c>
      <c r="D28" s="2" t="s">
        <v>76</v>
      </c>
      <c r="E28" s="2" t="s">
        <v>60</v>
      </c>
      <c r="F28" s="2" t="s">
        <v>8</v>
      </c>
      <c r="G28" s="291" t="s">
        <v>370</v>
      </c>
      <c r="H28" s="2" t="s">
        <v>402</v>
      </c>
      <c r="I28" s="293" t="s">
        <v>539</v>
      </c>
      <c r="J28" s="2" t="s">
        <v>66</v>
      </c>
      <c r="K28" s="2"/>
      <c r="L28" s="239" t="s">
        <v>248</v>
      </c>
      <c r="M28" s="239" t="s">
        <v>248</v>
      </c>
      <c r="N28" s="238" t="s">
        <v>457</v>
      </c>
      <c r="O28" s="241">
        <f>'%'!F28</f>
        <v>0.1163</v>
      </c>
      <c r="P28" s="2"/>
      <c r="Q28" s="159">
        <v>26</v>
      </c>
      <c r="R28" s="67"/>
      <c r="T28" s="25" t="s">
        <v>66</v>
      </c>
    </row>
    <row r="29" spans="2:20" ht="17.25" x14ac:dyDescent="0.25">
      <c r="B29" s="66"/>
      <c r="C29" s="4" t="s">
        <v>378</v>
      </c>
      <c r="D29" s="2" t="s">
        <v>76</v>
      </c>
      <c r="E29" s="2" t="s">
        <v>379</v>
      </c>
      <c r="F29" s="2" t="s">
        <v>380</v>
      </c>
      <c r="G29" s="291" t="s">
        <v>455</v>
      </c>
      <c r="H29" s="2" t="s">
        <v>402</v>
      </c>
      <c r="I29" s="293" t="s">
        <v>539</v>
      </c>
      <c r="J29" s="2" t="s">
        <v>381</v>
      </c>
      <c r="K29" s="2"/>
      <c r="L29" s="239" t="s">
        <v>248</v>
      </c>
      <c r="M29" s="239" t="s">
        <v>456</v>
      </c>
      <c r="N29" s="238" t="s">
        <v>316</v>
      </c>
      <c r="O29" s="241">
        <v>0.25</v>
      </c>
      <c r="P29" s="2"/>
      <c r="Q29" s="159">
        <v>27</v>
      </c>
      <c r="R29" s="67"/>
    </row>
    <row r="30" spans="2:20" ht="17.25" x14ac:dyDescent="0.25">
      <c r="B30" s="66"/>
      <c r="C30" s="4" t="s">
        <v>518</v>
      </c>
      <c r="D30" s="2" t="s">
        <v>76</v>
      </c>
      <c r="E30" s="2" t="s">
        <v>62</v>
      </c>
      <c r="F30" s="2" t="str">
        <f>'A. All deals (a)'!F30</f>
        <v>G42 Capital</v>
      </c>
      <c r="G30" s="291" t="s">
        <v>540</v>
      </c>
      <c r="H30" s="2" t="s">
        <v>402</v>
      </c>
      <c r="I30" s="293" t="s">
        <v>539</v>
      </c>
      <c r="J30" s="2" t="s">
        <v>43</v>
      </c>
      <c r="K30" s="2"/>
      <c r="L30" s="239" t="s">
        <v>248</v>
      </c>
      <c r="M30" s="239" t="s">
        <v>248</v>
      </c>
      <c r="N30" s="238" t="s">
        <v>309</v>
      </c>
      <c r="O30" s="241" t="s">
        <v>118</v>
      </c>
      <c r="P30" s="2"/>
      <c r="Q30" s="159">
        <v>28</v>
      </c>
      <c r="R30" s="67"/>
    </row>
    <row r="31" spans="2:20" ht="17.25" x14ac:dyDescent="0.25">
      <c r="B31" s="66"/>
      <c r="C31" s="4" t="s">
        <v>569</v>
      </c>
      <c r="D31" s="2" t="s">
        <v>76</v>
      </c>
      <c r="E31" s="2" t="s">
        <v>62</v>
      </c>
      <c r="F31" s="2" t="str">
        <f>'A. All deals (a)'!F31</f>
        <v>G42 Capital</v>
      </c>
      <c r="G31" s="291" t="s">
        <v>596</v>
      </c>
      <c r="H31" s="2" t="s">
        <v>402</v>
      </c>
      <c r="I31" s="293" t="s">
        <v>539</v>
      </c>
      <c r="J31" s="2" t="s">
        <v>570</v>
      </c>
      <c r="K31" s="2"/>
      <c r="L31" s="239" t="s">
        <v>248</v>
      </c>
      <c r="M31" s="239" t="s">
        <v>248</v>
      </c>
      <c r="N31" s="238" t="s">
        <v>572</v>
      </c>
      <c r="O31" s="241" t="s">
        <v>118</v>
      </c>
      <c r="P31" s="2"/>
      <c r="Q31" s="159"/>
      <c r="R31" s="67"/>
    </row>
    <row r="32" spans="2:20" ht="17.25" x14ac:dyDescent="0.25">
      <c r="B32" s="66"/>
      <c r="C32" s="4" t="s">
        <v>635</v>
      </c>
      <c r="D32" s="2" t="s">
        <v>76</v>
      </c>
      <c r="E32" s="2" t="s">
        <v>62</v>
      </c>
      <c r="F32" s="2" t="str">
        <f>'A. All deals (a)'!F34</f>
        <v>G42 Capital</v>
      </c>
      <c r="G32" s="291" t="s">
        <v>640</v>
      </c>
      <c r="H32" s="2" t="s">
        <v>402</v>
      </c>
      <c r="I32" s="293" t="s">
        <v>539</v>
      </c>
      <c r="J32" s="2" t="s">
        <v>642</v>
      </c>
      <c r="K32" s="2"/>
      <c r="L32" s="239" t="s">
        <v>660</v>
      </c>
      <c r="M32" s="239" t="s">
        <v>248</v>
      </c>
      <c r="N32" s="238" t="s">
        <v>652</v>
      </c>
      <c r="O32" s="241" t="s">
        <v>659</v>
      </c>
      <c r="P32" s="2"/>
      <c r="Q32" s="159"/>
      <c r="R32" s="67"/>
    </row>
    <row r="33" spans="2:20" x14ac:dyDescent="0.25">
      <c r="B33" s="66"/>
      <c r="C33" s="5"/>
      <c r="D33" s="7"/>
      <c r="E33" s="7"/>
      <c r="F33" s="7"/>
      <c r="G33" s="400"/>
      <c r="H33" s="7"/>
      <c r="I33" s="401"/>
      <c r="J33" s="7"/>
      <c r="K33" s="7"/>
      <c r="L33" s="402"/>
      <c r="M33" s="402"/>
      <c r="N33" s="398"/>
      <c r="O33" s="399"/>
      <c r="P33" s="7"/>
      <c r="Q33" s="158"/>
      <c r="R33" s="67"/>
    </row>
    <row r="34" spans="2:20" s="70" customFormat="1" x14ac:dyDescent="0.25">
      <c r="B34" s="68"/>
      <c r="C34" s="83"/>
      <c r="D34" s="83"/>
      <c r="E34" s="83"/>
      <c r="F34" s="83"/>
      <c r="G34" s="83"/>
      <c r="H34" s="83"/>
      <c r="I34" s="83"/>
      <c r="J34" s="83"/>
      <c r="K34" s="83"/>
      <c r="L34" s="240"/>
      <c r="M34" s="240"/>
      <c r="N34" s="240"/>
      <c r="O34" s="242"/>
      <c r="P34" s="83"/>
      <c r="Q34" s="160"/>
      <c r="R34" s="69"/>
    </row>
    <row r="35" spans="2:20" x14ac:dyDescent="0.25">
      <c r="B35" s="66"/>
      <c r="C35" s="5"/>
      <c r="D35" s="8"/>
      <c r="E35" s="8"/>
      <c r="F35" s="8"/>
      <c r="G35" s="8"/>
      <c r="H35" s="8"/>
      <c r="I35" s="8"/>
      <c r="J35" s="8"/>
      <c r="K35" s="8"/>
      <c r="L35" s="8"/>
      <c r="M35" s="8"/>
      <c r="N35" s="8"/>
      <c r="O35" s="243"/>
      <c r="P35" s="8"/>
      <c r="Q35" s="158"/>
      <c r="R35" s="67"/>
    </row>
    <row r="36" spans="2:20" x14ac:dyDescent="0.25">
      <c r="B36" s="66"/>
      <c r="C36" s="394" t="s">
        <v>29</v>
      </c>
      <c r="D36" s="316"/>
      <c r="E36" s="317"/>
      <c r="F36" s="317"/>
      <c r="G36" s="317"/>
      <c r="H36" s="317"/>
      <c r="I36" s="318"/>
      <c r="J36" s="319"/>
      <c r="K36" s="320"/>
      <c r="L36" s="320"/>
      <c r="M36" s="320"/>
      <c r="N36" s="320"/>
      <c r="O36" s="320"/>
      <c r="P36" s="320"/>
      <c r="Q36" s="319"/>
      <c r="R36" s="67"/>
      <c r="T36" s="317"/>
    </row>
    <row r="37" spans="2:20" ht="17.25" x14ac:dyDescent="0.25">
      <c r="B37" s="66"/>
      <c r="C37" s="4" t="s">
        <v>47</v>
      </c>
      <c r="D37" s="2" t="s">
        <v>124</v>
      </c>
      <c r="E37" s="2"/>
      <c r="F37" s="2" t="s">
        <v>8</v>
      </c>
      <c r="G37" s="291" t="s">
        <v>374</v>
      </c>
      <c r="H37" s="2" t="s">
        <v>402</v>
      </c>
      <c r="I37" s="291" t="s">
        <v>446</v>
      </c>
      <c r="J37" s="2" t="s">
        <v>120</v>
      </c>
      <c r="K37" s="2"/>
      <c r="L37" s="2" t="s">
        <v>118</v>
      </c>
      <c r="M37" s="2" t="s">
        <v>118</v>
      </c>
      <c r="N37" s="2" t="s">
        <v>118</v>
      </c>
      <c r="O37" s="241"/>
      <c r="P37" s="2"/>
      <c r="Q37" s="159">
        <v>16</v>
      </c>
      <c r="R37" s="67"/>
    </row>
    <row r="38" spans="2:20" ht="17.25" x14ac:dyDescent="0.25">
      <c r="B38" s="66"/>
      <c r="C38" s="4" t="s">
        <v>203</v>
      </c>
      <c r="D38" s="2" t="s">
        <v>124</v>
      </c>
      <c r="E38" s="2" t="s">
        <v>61</v>
      </c>
      <c r="F38" s="2" t="s">
        <v>8</v>
      </c>
      <c r="G38" s="291" t="s">
        <v>370</v>
      </c>
      <c r="H38" s="2" t="s">
        <v>402</v>
      </c>
      <c r="I38" s="291" t="s">
        <v>446</v>
      </c>
      <c r="J38" s="2" t="s">
        <v>122</v>
      </c>
      <c r="K38" s="2"/>
      <c r="L38" s="239" t="s">
        <v>248</v>
      </c>
      <c r="M38" s="239" t="s">
        <v>248</v>
      </c>
      <c r="N38" s="2" t="str">
        <f>N10</f>
        <v>Cayman Islands</v>
      </c>
      <c r="O38" s="241"/>
      <c r="P38" s="2"/>
      <c r="Q38" s="159">
        <v>17</v>
      </c>
      <c r="R38" s="67"/>
    </row>
    <row r="39" spans="2:20" ht="17.25" x14ac:dyDescent="0.25">
      <c r="B39" s="66"/>
      <c r="C39" s="4" t="s">
        <v>195</v>
      </c>
      <c r="D39" s="2" t="s">
        <v>76</v>
      </c>
      <c r="E39" s="2" t="s">
        <v>60</v>
      </c>
      <c r="F39" s="2" t="s">
        <v>8</v>
      </c>
      <c r="G39" s="291" t="s">
        <v>370</v>
      </c>
      <c r="H39" s="2" t="s">
        <v>402</v>
      </c>
      <c r="I39" s="291" t="s">
        <v>446</v>
      </c>
      <c r="J39" s="2" t="s">
        <v>122</v>
      </c>
      <c r="K39" s="2"/>
      <c r="L39" s="239" t="s">
        <v>248</v>
      </c>
      <c r="M39" s="2" t="s">
        <v>118</v>
      </c>
      <c r="N39" s="2" t="str">
        <f>N12</f>
        <v xml:space="preserve">DIFC </v>
      </c>
      <c r="O39" s="241"/>
      <c r="P39" s="2"/>
      <c r="Q39" s="159">
        <v>18</v>
      </c>
      <c r="R39" s="67"/>
    </row>
    <row r="40" spans="2:20" s="70" customFormat="1" x14ac:dyDescent="0.25">
      <c r="B40" s="68"/>
      <c r="C40" s="83"/>
      <c r="D40" s="83"/>
      <c r="E40" s="83"/>
      <c r="F40" s="83"/>
      <c r="G40" s="83"/>
      <c r="H40" s="83"/>
      <c r="I40" s="83"/>
      <c r="J40" s="83"/>
      <c r="K40" s="83"/>
      <c r="L40" s="83"/>
      <c r="M40" s="83"/>
      <c r="N40" s="83"/>
      <c r="O40" s="242"/>
      <c r="P40" s="83"/>
      <c r="Q40" s="160"/>
      <c r="R40" s="69"/>
    </row>
    <row r="41" spans="2:20" x14ac:dyDescent="0.25">
      <c r="B41" s="66"/>
      <c r="C41" s="5"/>
      <c r="D41" s="8"/>
      <c r="E41" s="8"/>
      <c r="F41" s="8"/>
      <c r="G41" s="8"/>
      <c r="H41" s="8"/>
      <c r="I41" s="8"/>
      <c r="J41" s="8"/>
      <c r="K41" s="8"/>
      <c r="L41" s="8"/>
      <c r="M41" s="8"/>
      <c r="N41" s="8"/>
      <c r="O41" s="243"/>
      <c r="P41" s="8"/>
      <c r="Q41" s="158"/>
      <c r="R41" s="67"/>
    </row>
    <row r="42" spans="2:20" x14ac:dyDescent="0.25">
      <c r="B42" s="66"/>
      <c r="C42" s="394" t="s">
        <v>30</v>
      </c>
      <c r="D42" s="316"/>
      <c r="E42" s="317"/>
      <c r="F42" s="317"/>
      <c r="G42" s="317"/>
      <c r="H42" s="317"/>
      <c r="I42" s="318"/>
      <c r="J42" s="319"/>
      <c r="K42" s="320"/>
      <c r="L42" s="320"/>
      <c r="M42" s="320"/>
      <c r="N42" s="320"/>
      <c r="O42" s="320"/>
      <c r="P42" s="320"/>
      <c r="Q42" s="319"/>
      <c r="R42" s="67"/>
      <c r="T42" s="317"/>
    </row>
    <row r="43" spans="2:20" ht="17.25" x14ac:dyDescent="0.25">
      <c r="B43" s="66"/>
      <c r="C43" s="4" t="s">
        <v>113</v>
      </c>
      <c r="D43" s="2" t="s">
        <v>76</v>
      </c>
      <c r="E43" s="2" t="s">
        <v>60</v>
      </c>
      <c r="F43" s="2" t="s">
        <v>11</v>
      </c>
      <c r="G43" s="291" t="s">
        <v>374</v>
      </c>
      <c r="H43" s="2" t="s">
        <v>402</v>
      </c>
      <c r="I43" s="291" t="s">
        <v>403</v>
      </c>
      <c r="J43" s="2" t="s">
        <v>52</v>
      </c>
      <c r="K43" s="2"/>
      <c r="L43" s="239" t="s">
        <v>248</v>
      </c>
      <c r="M43" s="239" t="s">
        <v>248</v>
      </c>
      <c r="N43" s="241" t="s">
        <v>325</v>
      </c>
      <c r="O43" s="244">
        <v>0.22044081593927894</v>
      </c>
      <c r="P43" s="2"/>
      <c r="Q43" s="159">
        <v>19</v>
      </c>
      <c r="R43" s="67"/>
    </row>
    <row r="44" spans="2:20" ht="17.25" x14ac:dyDescent="0.25">
      <c r="B44" s="66"/>
      <c r="C44" s="4" t="s">
        <v>278</v>
      </c>
      <c r="D44" s="2" t="s">
        <v>76</v>
      </c>
      <c r="E44" s="2" t="s">
        <v>60</v>
      </c>
      <c r="F44" s="2" t="s">
        <v>11</v>
      </c>
      <c r="G44" s="291" t="s">
        <v>374</v>
      </c>
      <c r="H44" s="2" t="s">
        <v>402</v>
      </c>
      <c r="I44" s="291" t="s">
        <v>403</v>
      </c>
      <c r="J44" s="2" t="s">
        <v>58</v>
      </c>
      <c r="K44" s="2"/>
      <c r="L44" s="239" t="s">
        <v>248</v>
      </c>
      <c r="M44" s="239" t="s">
        <v>248</v>
      </c>
      <c r="N44" s="241" t="s">
        <v>325</v>
      </c>
      <c r="O44" s="244">
        <v>2.0161290322580645E-2</v>
      </c>
      <c r="P44" s="2"/>
      <c r="Q44" s="159">
        <v>20</v>
      </c>
      <c r="R44" s="67"/>
    </row>
    <row r="45" spans="2:20" x14ac:dyDescent="0.25">
      <c r="B45" s="66"/>
      <c r="C45" s="4" t="s">
        <v>1</v>
      </c>
      <c r="D45" s="2" t="s">
        <v>76</v>
      </c>
      <c r="E45" s="2" t="s">
        <v>61</v>
      </c>
      <c r="F45" s="2" t="s">
        <v>11</v>
      </c>
      <c r="G45" s="291" t="s">
        <v>375</v>
      </c>
      <c r="H45" s="2" t="s">
        <v>404</v>
      </c>
      <c r="I45" s="291" t="s">
        <v>405</v>
      </c>
      <c r="J45" s="2" t="s">
        <v>52</v>
      </c>
      <c r="K45" s="2"/>
      <c r="L45" s="2" t="s">
        <v>118</v>
      </c>
      <c r="M45" s="239" t="s">
        <v>248</v>
      </c>
      <c r="N45" s="241" t="s">
        <v>308</v>
      </c>
      <c r="O45" s="241">
        <v>0.99499999897183333</v>
      </c>
      <c r="P45" s="2"/>
      <c r="Q45" s="159">
        <v>21</v>
      </c>
      <c r="R45" s="67"/>
    </row>
    <row r="46" spans="2:20" ht="17.25" x14ac:dyDescent="0.25">
      <c r="B46" s="66"/>
      <c r="C46" s="4" t="s">
        <v>12</v>
      </c>
      <c r="D46" s="2" t="s">
        <v>76</v>
      </c>
      <c r="E46" s="2" t="s">
        <v>61</v>
      </c>
      <c r="F46" s="2" t="s">
        <v>11</v>
      </c>
      <c r="G46" s="291" t="s">
        <v>374</v>
      </c>
      <c r="H46" s="2" t="s">
        <v>402</v>
      </c>
      <c r="I46" s="291" t="s">
        <v>403</v>
      </c>
      <c r="J46" s="2" t="s">
        <v>52</v>
      </c>
      <c r="K46" s="2"/>
      <c r="L46" s="239" t="s">
        <v>248</v>
      </c>
      <c r="M46" s="239" t="s">
        <v>248</v>
      </c>
      <c r="N46" s="241" t="s">
        <v>308</v>
      </c>
      <c r="O46" s="241">
        <v>0.10066090487405174</v>
      </c>
      <c r="P46" s="2"/>
      <c r="Q46" s="159">
        <v>22</v>
      </c>
      <c r="R46" s="67"/>
    </row>
    <row r="47" spans="2:20" ht="17.25" x14ac:dyDescent="0.25">
      <c r="B47" s="66"/>
      <c r="C47" s="4" t="s">
        <v>155</v>
      </c>
      <c r="D47" s="2" t="s">
        <v>76</v>
      </c>
      <c r="E47" s="2" t="s">
        <v>62</v>
      </c>
      <c r="F47" s="2" t="s">
        <v>11</v>
      </c>
      <c r="G47" s="291" t="s">
        <v>374</v>
      </c>
      <c r="H47" s="2" t="s">
        <v>402</v>
      </c>
      <c r="I47" s="291" t="s">
        <v>403</v>
      </c>
      <c r="J47" s="2" t="s">
        <v>52</v>
      </c>
      <c r="K47" s="2"/>
      <c r="L47" s="239" t="s">
        <v>248</v>
      </c>
      <c r="M47" s="239" t="s">
        <v>248</v>
      </c>
      <c r="N47" s="241" t="s">
        <v>323</v>
      </c>
      <c r="O47" s="241">
        <v>0.33333333333333331</v>
      </c>
      <c r="P47" s="2" t="s">
        <v>280</v>
      </c>
      <c r="Q47" s="159">
        <v>23</v>
      </c>
      <c r="R47" s="67"/>
    </row>
    <row r="48" spans="2:20" s="70" customFormat="1" x14ac:dyDescent="0.25">
      <c r="B48" s="68"/>
      <c r="C48" s="83"/>
      <c r="D48" s="83"/>
      <c r="E48" s="83"/>
      <c r="F48" s="83"/>
      <c r="G48" s="83"/>
      <c r="H48" s="83"/>
      <c r="I48" s="83"/>
      <c r="J48" s="83"/>
      <c r="K48" s="83"/>
      <c r="L48" s="83"/>
      <c r="M48" s="83"/>
      <c r="N48" s="83"/>
      <c r="O48" s="242"/>
      <c r="P48" s="83"/>
      <c r="Q48" s="160"/>
      <c r="R48" s="69"/>
    </row>
    <row r="49" spans="2:18" ht="15.75" thickBot="1" x14ac:dyDescent="0.3">
      <c r="B49" s="71"/>
      <c r="C49" s="72"/>
      <c r="D49" s="104"/>
      <c r="E49" s="104"/>
      <c r="F49" s="104"/>
      <c r="G49" s="104"/>
      <c r="H49" s="104"/>
      <c r="I49" s="104"/>
      <c r="J49" s="104"/>
      <c r="K49" s="104"/>
      <c r="L49" s="104"/>
      <c r="M49" s="104"/>
      <c r="N49" s="104"/>
      <c r="O49" s="104"/>
      <c r="P49" s="104"/>
      <c r="Q49" s="104"/>
      <c r="R49" s="75"/>
    </row>
    <row r="51" spans="2:18" x14ac:dyDescent="0.25">
      <c r="B51" s="167" t="s">
        <v>140</v>
      </c>
      <c r="C51" s="25"/>
      <c r="D51" s="7"/>
      <c r="E51" s="7"/>
      <c r="F51" s="7"/>
      <c r="G51" s="7"/>
      <c r="H51" s="7"/>
      <c r="I51" s="7"/>
      <c r="J51" s="7"/>
      <c r="K51" s="7"/>
      <c r="L51" s="7"/>
      <c r="M51" s="7"/>
      <c r="N51" s="7"/>
      <c r="O51" s="7"/>
      <c r="P51" s="7"/>
      <c r="Q51" s="7"/>
    </row>
    <row r="52" spans="2:18" x14ac:dyDescent="0.25">
      <c r="B52" s="166">
        <v>0</v>
      </c>
      <c r="C52" s="165" t="s">
        <v>536</v>
      </c>
      <c r="D52" s="596" t="s">
        <v>409</v>
      </c>
      <c r="E52" s="596"/>
      <c r="F52" s="596"/>
      <c r="G52" s="596"/>
      <c r="H52" s="596"/>
      <c r="I52" s="596"/>
      <c r="J52" s="596"/>
      <c r="K52" s="596"/>
      <c r="L52" s="596"/>
      <c r="M52" s="596"/>
      <c r="N52" s="596"/>
      <c r="O52" s="596"/>
      <c r="P52" s="596"/>
      <c r="Q52" s="596"/>
      <c r="R52" s="596"/>
    </row>
    <row r="53" spans="2:18" x14ac:dyDescent="0.25">
      <c r="B53" s="162">
        <v>1</v>
      </c>
      <c r="C53" s="163" t="s">
        <v>181</v>
      </c>
      <c r="D53" s="597" t="s">
        <v>189</v>
      </c>
      <c r="E53" s="597"/>
      <c r="F53" s="597"/>
      <c r="G53" s="597"/>
      <c r="H53" s="597"/>
      <c r="I53" s="597"/>
      <c r="J53" s="597"/>
      <c r="K53" s="597"/>
      <c r="L53" s="597"/>
      <c r="M53" s="597"/>
      <c r="N53" s="597"/>
      <c r="O53" s="597"/>
      <c r="P53" s="597"/>
      <c r="Q53" s="597"/>
      <c r="R53" s="597"/>
    </row>
    <row r="54" spans="2:18" x14ac:dyDescent="0.25">
      <c r="B54" s="166">
        <v>2</v>
      </c>
      <c r="C54" s="165" t="s">
        <v>57</v>
      </c>
      <c r="D54" s="596" t="s">
        <v>327</v>
      </c>
      <c r="E54" s="596"/>
      <c r="F54" s="596"/>
      <c r="G54" s="596"/>
      <c r="H54" s="596"/>
      <c r="I54" s="596"/>
      <c r="J54" s="596"/>
      <c r="K54" s="596"/>
      <c r="L54" s="596"/>
      <c r="M54" s="596"/>
      <c r="N54" s="596"/>
      <c r="O54" s="596"/>
      <c r="P54" s="596"/>
      <c r="Q54" s="596"/>
      <c r="R54" s="596"/>
    </row>
    <row r="55" spans="2:18" s="26" customFormat="1" x14ac:dyDescent="0.25">
      <c r="B55" s="162">
        <v>3</v>
      </c>
      <c r="C55" s="130" t="s">
        <v>183</v>
      </c>
      <c r="D55" s="597" t="s">
        <v>188</v>
      </c>
      <c r="E55" s="597"/>
      <c r="F55" s="597"/>
      <c r="G55" s="597"/>
      <c r="H55" s="597"/>
      <c r="I55" s="597"/>
      <c r="J55" s="597"/>
      <c r="K55" s="597"/>
      <c r="L55" s="597"/>
      <c r="M55" s="597"/>
      <c r="N55" s="597"/>
      <c r="O55" s="597"/>
      <c r="P55" s="597"/>
      <c r="Q55" s="597"/>
      <c r="R55" s="597"/>
    </row>
    <row r="56" spans="2:18" x14ac:dyDescent="0.25">
      <c r="B56" s="166">
        <v>4</v>
      </c>
      <c r="C56" s="165" t="s">
        <v>182</v>
      </c>
      <c r="D56" s="596" t="s">
        <v>26</v>
      </c>
      <c r="E56" s="596"/>
      <c r="F56" s="596"/>
      <c r="G56" s="596"/>
      <c r="H56" s="596"/>
      <c r="I56" s="596"/>
      <c r="J56" s="596"/>
      <c r="K56" s="596"/>
      <c r="L56" s="596"/>
      <c r="M56" s="596"/>
      <c r="N56" s="596"/>
      <c r="O56" s="596"/>
      <c r="P56" s="596"/>
      <c r="Q56" s="596"/>
      <c r="R56" s="596"/>
    </row>
    <row r="57" spans="2:18" x14ac:dyDescent="0.25">
      <c r="B57" s="162">
        <v>5</v>
      </c>
      <c r="C57" s="130" t="s">
        <v>37</v>
      </c>
      <c r="D57" s="597" t="s">
        <v>192</v>
      </c>
      <c r="E57" s="597"/>
      <c r="F57" s="597"/>
      <c r="G57" s="597"/>
      <c r="H57" s="597"/>
      <c r="I57" s="597"/>
      <c r="J57" s="597"/>
      <c r="K57" s="597"/>
      <c r="L57" s="597"/>
      <c r="M57" s="597"/>
      <c r="N57" s="597"/>
      <c r="O57" s="597"/>
      <c r="P57" s="597"/>
      <c r="Q57" s="597"/>
      <c r="R57" s="597"/>
    </row>
    <row r="58" spans="2:18" x14ac:dyDescent="0.25">
      <c r="B58" s="166">
        <v>6</v>
      </c>
      <c r="C58" s="165" t="s">
        <v>84</v>
      </c>
      <c r="D58" s="596" t="s">
        <v>291</v>
      </c>
      <c r="E58" s="596"/>
      <c r="F58" s="596"/>
      <c r="G58" s="596"/>
      <c r="H58" s="596"/>
      <c r="I58" s="596"/>
      <c r="J58" s="596"/>
      <c r="K58" s="596"/>
      <c r="L58" s="596"/>
      <c r="M58" s="596"/>
      <c r="N58" s="596"/>
      <c r="O58" s="596"/>
      <c r="P58" s="596"/>
      <c r="Q58" s="596"/>
      <c r="R58" s="596"/>
    </row>
    <row r="59" spans="2:18" x14ac:dyDescent="0.25">
      <c r="B59" s="162">
        <v>7</v>
      </c>
      <c r="C59" s="130" t="s">
        <v>9</v>
      </c>
      <c r="D59" s="597" t="s">
        <v>190</v>
      </c>
      <c r="E59" s="597"/>
      <c r="F59" s="597"/>
      <c r="G59" s="597"/>
      <c r="H59" s="597"/>
      <c r="I59" s="597"/>
      <c r="J59" s="597"/>
      <c r="K59" s="597"/>
      <c r="L59" s="597"/>
      <c r="M59" s="597"/>
      <c r="N59" s="597"/>
      <c r="O59" s="597"/>
      <c r="P59" s="597"/>
      <c r="Q59" s="597"/>
      <c r="R59" s="597"/>
    </row>
    <row r="60" spans="2:18" x14ac:dyDescent="0.25">
      <c r="B60" s="166">
        <v>8</v>
      </c>
      <c r="C60" s="165" t="s">
        <v>18</v>
      </c>
      <c r="D60" s="596" t="s">
        <v>187</v>
      </c>
      <c r="E60" s="596"/>
      <c r="F60" s="596"/>
      <c r="G60" s="596"/>
      <c r="H60" s="596"/>
      <c r="I60" s="596"/>
      <c r="J60" s="596"/>
      <c r="K60" s="596"/>
      <c r="L60" s="596"/>
      <c r="M60" s="596"/>
      <c r="N60" s="596"/>
      <c r="O60" s="596"/>
      <c r="P60" s="596"/>
      <c r="Q60" s="596"/>
      <c r="R60" s="596"/>
    </row>
    <row r="61" spans="2:18" x14ac:dyDescent="0.25">
      <c r="B61" s="162">
        <v>9</v>
      </c>
      <c r="C61" s="130" t="s">
        <v>40</v>
      </c>
      <c r="D61" s="597" t="s">
        <v>193</v>
      </c>
      <c r="E61" s="597"/>
      <c r="F61" s="597"/>
      <c r="G61" s="597"/>
      <c r="H61" s="597"/>
      <c r="I61" s="597"/>
      <c r="J61" s="597"/>
      <c r="K61" s="597"/>
      <c r="L61" s="597"/>
      <c r="M61" s="597"/>
      <c r="N61" s="597"/>
      <c r="O61" s="597"/>
      <c r="P61" s="597"/>
      <c r="Q61" s="597"/>
      <c r="R61" s="597"/>
    </row>
    <row r="62" spans="2:18" x14ac:dyDescent="0.25">
      <c r="B62" s="166">
        <v>10</v>
      </c>
      <c r="C62" s="165" t="s">
        <v>41</v>
      </c>
      <c r="D62" s="596"/>
      <c r="E62" s="596"/>
      <c r="F62" s="596"/>
      <c r="G62" s="596"/>
      <c r="H62" s="596"/>
      <c r="I62" s="596"/>
      <c r="J62" s="596"/>
      <c r="K62" s="596"/>
      <c r="L62" s="596"/>
      <c r="M62" s="596"/>
      <c r="N62" s="596"/>
      <c r="O62" s="596"/>
      <c r="P62" s="596"/>
      <c r="Q62" s="596"/>
      <c r="R62" s="596"/>
    </row>
    <row r="63" spans="2:18" x14ac:dyDescent="0.25">
      <c r="B63" s="162">
        <v>11</v>
      </c>
      <c r="C63" s="130" t="s">
        <v>42</v>
      </c>
      <c r="D63" s="597" t="s">
        <v>344</v>
      </c>
      <c r="E63" s="597"/>
      <c r="F63" s="597"/>
      <c r="G63" s="597"/>
      <c r="H63" s="597"/>
      <c r="I63" s="597"/>
      <c r="J63" s="597"/>
      <c r="K63" s="597"/>
      <c r="L63" s="597"/>
      <c r="M63" s="597"/>
      <c r="N63" s="597"/>
      <c r="O63" s="597"/>
      <c r="P63" s="597"/>
      <c r="Q63" s="597"/>
      <c r="R63" s="597"/>
    </row>
    <row r="64" spans="2:18" x14ac:dyDescent="0.25">
      <c r="B64" s="166">
        <v>12</v>
      </c>
      <c r="C64" s="165" t="s">
        <v>68</v>
      </c>
      <c r="D64" s="596" t="s">
        <v>186</v>
      </c>
      <c r="E64" s="596"/>
      <c r="F64" s="596"/>
      <c r="G64" s="596"/>
      <c r="H64" s="596"/>
      <c r="I64" s="596"/>
      <c r="J64" s="596"/>
      <c r="K64" s="596"/>
      <c r="L64" s="596"/>
      <c r="M64" s="596"/>
      <c r="N64" s="596"/>
      <c r="O64" s="596"/>
      <c r="P64" s="596"/>
      <c r="Q64" s="596"/>
      <c r="R64" s="596"/>
    </row>
    <row r="65" spans="2:18" x14ac:dyDescent="0.25">
      <c r="B65" s="162">
        <v>13</v>
      </c>
      <c r="C65" s="130" t="s">
        <v>179</v>
      </c>
      <c r="D65" s="597" t="s">
        <v>191</v>
      </c>
      <c r="E65" s="597"/>
      <c r="F65" s="597"/>
      <c r="G65" s="597"/>
      <c r="H65" s="597"/>
      <c r="I65" s="597"/>
      <c r="J65" s="597"/>
      <c r="K65" s="597"/>
      <c r="L65" s="597"/>
      <c r="M65" s="597"/>
      <c r="N65" s="597"/>
      <c r="O65" s="597"/>
      <c r="P65" s="597"/>
      <c r="Q65" s="597"/>
      <c r="R65" s="597"/>
    </row>
    <row r="66" spans="2:18" x14ac:dyDescent="0.25">
      <c r="B66" s="166">
        <v>14</v>
      </c>
      <c r="C66" s="164" t="s">
        <v>173</v>
      </c>
      <c r="D66" s="596" t="s">
        <v>328</v>
      </c>
      <c r="E66" s="596"/>
      <c r="F66" s="596"/>
      <c r="G66" s="596"/>
      <c r="H66" s="596"/>
      <c r="I66" s="596"/>
      <c r="J66" s="596"/>
      <c r="K66" s="596"/>
      <c r="L66" s="596"/>
      <c r="M66" s="596"/>
      <c r="N66" s="596"/>
      <c r="O66" s="596"/>
      <c r="P66" s="596"/>
      <c r="Q66" s="596"/>
      <c r="R66" s="596"/>
    </row>
    <row r="67" spans="2:18" x14ac:dyDescent="0.25">
      <c r="B67" s="162">
        <v>15</v>
      </c>
      <c r="C67" s="130" t="s">
        <v>180</v>
      </c>
      <c r="D67" s="597" t="s">
        <v>250</v>
      </c>
      <c r="E67" s="597"/>
      <c r="F67" s="597"/>
      <c r="G67" s="597"/>
      <c r="H67" s="597"/>
      <c r="I67" s="597"/>
      <c r="J67" s="597"/>
      <c r="K67" s="597"/>
      <c r="L67" s="597"/>
      <c r="M67" s="597"/>
      <c r="N67" s="597"/>
      <c r="O67" s="597"/>
      <c r="P67" s="597"/>
      <c r="Q67" s="597"/>
      <c r="R67" s="597"/>
    </row>
    <row r="68" spans="2:18" x14ac:dyDescent="0.25">
      <c r="B68" s="166">
        <v>16</v>
      </c>
      <c r="C68" s="165" t="s">
        <v>185</v>
      </c>
      <c r="D68" s="596" t="s">
        <v>197</v>
      </c>
      <c r="E68" s="596"/>
      <c r="F68" s="596"/>
      <c r="G68" s="596"/>
      <c r="H68" s="596"/>
      <c r="I68" s="596"/>
      <c r="J68" s="596"/>
      <c r="K68" s="596"/>
      <c r="L68" s="596"/>
      <c r="M68" s="596"/>
      <c r="N68" s="596"/>
      <c r="O68" s="596"/>
      <c r="P68" s="596"/>
      <c r="Q68" s="596"/>
      <c r="R68" s="596"/>
    </row>
    <row r="69" spans="2:18" x14ac:dyDescent="0.25">
      <c r="B69" s="162">
        <v>17</v>
      </c>
      <c r="C69" s="130" t="s">
        <v>194</v>
      </c>
      <c r="D69" s="597" t="s">
        <v>458</v>
      </c>
      <c r="E69" s="597"/>
      <c r="F69" s="597"/>
      <c r="G69" s="597"/>
      <c r="H69" s="597"/>
      <c r="I69" s="597"/>
      <c r="J69" s="597"/>
      <c r="K69" s="597"/>
      <c r="L69" s="597"/>
      <c r="M69" s="597"/>
      <c r="N69" s="597"/>
      <c r="O69" s="597"/>
      <c r="P69" s="597"/>
      <c r="Q69" s="597"/>
      <c r="R69" s="597"/>
    </row>
    <row r="70" spans="2:18" x14ac:dyDescent="0.25">
      <c r="B70" s="166">
        <v>18</v>
      </c>
      <c r="C70" s="165" t="s">
        <v>195</v>
      </c>
      <c r="D70" s="596" t="s">
        <v>198</v>
      </c>
      <c r="E70" s="596"/>
      <c r="F70" s="596"/>
      <c r="G70" s="596"/>
      <c r="H70" s="596"/>
      <c r="I70" s="596"/>
      <c r="J70" s="596"/>
      <c r="K70" s="596"/>
      <c r="L70" s="596"/>
      <c r="M70" s="596"/>
      <c r="N70" s="596"/>
      <c r="O70" s="596"/>
      <c r="P70" s="596"/>
      <c r="Q70" s="596"/>
      <c r="R70" s="596"/>
    </row>
    <row r="71" spans="2:18" x14ac:dyDescent="0.25">
      <c r="B71" s="162">
        <v>19</v>
      </c>
      <c r="C71" s="130" t="s">
        <v>113</v>
      </c>
      <c r="D71" s="597" t="s">
        <v>331</v>
      </c>
      <c r="E71" s="597"/>
      <c r="F71" s="597"/>
      <c r="G71" s="597"/>
      <c r="H71" s="597"/>
      <c r="I71" s="597"/>
      <c r="J71" s="597"/>
      <c r="K71" s="597"/>
      <c r="L71" s="597"/>
      <c r="M71" s="597"/>
      <c r="N71" s="597"/>
      <c r="O71" s="597"/>
      <c r="P71" s="597"/>
      <c r="Q71" s="597"/>
      <c r="R71" s="597"/>
    </row>
    <row r="72" spans="2:18" x14ac:dyDescent="0.25">
      <c r="B72" s="166">
        <v>20</v>
      </c>
      <c r="C72" s="165" t="s">
        <v>97</v>
      </c>
      <c r="D72" s="596" t="s">
        <v>196</v>
      </c>
      <c r="E72" s="596"/>
      <c r="F72" s="596"/>
      <c r="G72" s="596"/>
      <c r="H72" s="596"/>
      <c r="I72" s="596"/>
      <c r="J72" s="596"/>
      <c r="K72" s="596"/>
      <c r="L72" s="596"/>
      <c r="M72" s="596"/>
      <c r="N72" s="596"/>
      <c r="O72" s="596"/>
      <c r="P72" s="596"/>
      <c r="Q72" s="596"/>
      <c r="R72" s="596"/>
    </row>
    <row r="73" spans="2:18" x14ac:dyDescent="0.25">
      <c r="B73" s="162">
        <v>21</v>
      </c>
      <c r="C73" s="130" t="s">
        <v>174</v>
      </c>
      <c r="D73" s="597" t="s">
        <v>175</v>
      </c>
      <c r="E73" s="597"/>
      <c r="F73" s="597"/>
      <c r="G73" s="597"/>
      <c r="H73" s="597"/>
      <c r="I73" s="597"/>
      <c r="J73" s="597"/>
      <c r="K73" s="597"/>
      <c r="L73" s="597"/>
      <c r="M73" s="597"/>
      <c r="N73" s="597"/>
      <c r="O73" s="597"/>
      <c r="P73" s="597"/>
      <c r="Q73" s="597"/>
      <c r="R73" s="597"/>
    </row>
    <row r="74" spans="2:18" x14ac:dyDescent="0.25">
      <c r="B74" s="166">
        <v>22</v>
      </c>
      <c r="C74" s="165" t="s">
        <v>176</v>
      </c>
      <c r="D74" s="596" t="s">
        <v>177</v>
      </c>
      <c r="E74" s="596"/>
      <c r="F74" s="596"/>
      <c r="G74" s="596"/>
      <c r="H74" s="596"/>
      <c r="I74" s="596"/>
      <c r="J74" s="596"/>
      <c r="K74" s="596"/>
      <c r="L74" s="596"/>
      <c r="M74" s="596"/>
      <c r="N74" s="596"/>
      <c r="O74" s="596"/>
      <c r="P74" s="596"/>
      <c r="Q74" s="596"/>
      <c r="R74" s="596"/>
    </row>
    <row r="75" spans="2:18" x14ac:dyDescent="0.25">
      <c r="B75" s="162">
        <v>23</v>
      </c>
      <c r="C75" s="130" t="s">
        <v>178</v>
      </c>
      <c r="D75" s="597"/>
      <c r="E75" s="597"/>
      <c r="F75" s="597"/>
      <c r="G75" s="597"/>
      <c r="H75" s="597"/>
      <c r="I75" s="597"/>
      <c r="J75" s="597"/>
      <c r="K75" s="597"/>
      <c r="L75" s="597"/>
      <c r="M75" s="597"/>
      <c r="N75" s="597"/>
      <c r="O75" s="597"/>
      <c r="P75" s="597"/>
      <c r="Q75" s="597"/>
      <c r="R75" s="597"/>
    </row>
    <row r="76" spans="2:18" x14ac:dyDescent="0.25">
      <c r="B76" s="166">
        <v>24</v>
      </c>
      <c r="C76" s="165" t="s">
        <v>279</v>
      </c>
      <c r="D76" s="596" t="s">
        <v>326</v>
      </c>
      <c r="E76" s="596"/>
      <c r="F76" s="596"/>
      <c r="G76" s="596"/>
      <c r="H76" s="596"/>
      <c r="I76" s="596"/>
      <c r="J76" s="596"/>
      <c r="K76" s="596"/>
      <c r="L76" s="596"/>
      <c r="M76" s="596"/>
      <c r="N76" s="596"/>
      <c r="O76" s="596"/>
      <c r="P76" s="596"/>
      <c r="Q76" s="596"/>
      <c r="R76" s="596"/>
    </row>
    <row r="77" spans="2:18" x14ac:dyDescent="0.25">
      <c r="B77" s="162">
        <v>25</v>
      </c>
      <c r="C77" s="130" t="s">
        <v>338</v>
      </c>
      <c r="D77" s="597" t="s">
        <v>345</v>
      </c>
      <c r="E77" s="597"/>
      <c r="F77" s="597"/>
      <c r="G77" s="597"/>
      <c r="H77" s="597"/>
      <c r="I77" s="597"/>
      <c r="J77" s="597"/>
      <c r="K77" s="597"/>
      <c r="L77" s="597"/>
      <c r="M77" s="597"/>
      <c r="N77" s="597"/>
      <c r="O77" s="597"/>
      <c r="P77" s="597"/>
      <c r="Q77" s="597"/>
      <c r="R77" s="597"/>
    </row>
    <row r="78" spans="2:18" x14ac:dyDescent="0.25">
      <c r="B78" s="166">
        <v>26</v>
      </c>
      <c r="C78" s="165" t="s">
        <v>347</v>
      </c>
      <c r="D78" s="292"/>
      <c r="E78" s="292"/>
      <c r="F78" s="292"/>
      <c r="G78" s="292"/>
      <c r="H78" s="292"/>
      <c r="I78" s="292"/>
      <c r="J78" s="292"/>
      <c r="K78" s="292"/>
      <c r="L78" s="292"/>
      <c r="M78" s="292"/>
      <c r="N78" s="292"/>
      <c r="O78" s="292"/>
      <c r="P78" s="292"/>
      <c r="Q78" s="292"/>
      <c r="R78" s="292"/>
    </row>
    <row r="79" spans="2:18" x14ac:dyDescent="0.25">
      <c r="B79" s="162">
        <v>27</v>
      </c>
      <c r="C79" s="130" t="s">
        <v>378</v>
      </c>
      <c r="D79" s="597" t="s">
        <v>538</v>
      </c>
      <c r="E79" s="597"/>
      <c r="F79" s="597"/>
      <c r="G79" s="597"/>
      <c r="H79" s="597"/>
      <c r="I79" s="597"/>
      <c r="J79" s="597"/>
      <c r="K79" s="597"/>
      <c r="L79" s="597"/>
      <c r="M79" s="597"/>
      <c r="N79" s="597"/>
      <c r="O79" s="597"/>
      <c r="P79" s="597"/>
      <c r="Q79" s="597"/>
      <c r="R79" s="597"/>
    </row>
    <row r="80" spans="2:18" x14ac:dyDescent="0.25">
      <c r="B80" s="166">
        <v>28</v>
      </c>
      <c r="C80" s="165" t="s">
        <v>518</v>
      </c>
      <c r="D80" s="596" t="s">
        <v>537</v>
      </c>
      <c r="E80" s="596"/>
      <c r="F80" s="596"/>
      <c r="G80" s="596"/>
      <c r="H80" s="596"/>
      <c r="I80" s="596"/>
      <c r="J80" s="596"/>
      <c r="K80" s="596"/>
      <c r="L80" s="596"/>
      <c r="M80" s="596"/>
      <c r="N80" s="596"/>
      <c r="O80" s="596"/>
      <c r="P80" s="596"/>
      <c r="Q80" s="596"/>
      <c r="R80" s="596"/>
    </row>
    <row r="81" spans="2:22" x14ac:dyDescent="0.25">
      <c r="B81" s="132"/>
    </row>
    <row r="82" spans="2:22" x14ac:dyDescent="0.25">
      <c r="C82" s="149" t="s">
        <v>139</v>
      </c>
      <c r="D82" s="94"/>
      <c r="E82" s="95"/>
      <c r="F82" s="96"/>
      <c r="G82" s="96"/>
      <c r="H82" s="96"/>
      <c r="I82" s="96"/>
      <c r="J82" s="96"/>
      <c r="K82" s="96"/>
      <c r="L82" s="96"/>
      <c r="M82" s="96"/>
      <c r="N82" s="96"/>
      <c r="O82" s="96"/>
      <c r="P82" s="96"/>
      <c r="Q82" s="96"/>
      <c r="R82" s="96"/>
      <c r="S82" s="15"/>
      <c r="T82" s="23"/>
      <c r="U82" s="7"/>
      <c r="V82" s="26"/>
    </row>
    <row r="83" spans="2:22" x14ac:dyDescent="0.25">
      <c r="C83" s="57" t="s">
        <v>166</v>
      </c>
      <c r="N83" s="150"/>
      <c r="Q83" s="80"/>
      <c r="R83" s="80"/>
      <c r="S83" s="26"/>
      <c r="T83" s="26"/>
      <c r="U83" s="26"/>
      <c r="V83" s="26"/>
    </row>
    <row r="84" spans="2:22" x14ac:dyDescent="0.25">
      <c r="C84" s="56" t="s">
        <v>167</v>
      </c>
      <c r="Q84" s="80"/>
      <c r="R84" s="80"/>
      <c r="S84" s="26"/>
      <c r="T84" s="26"/>
      <c r="U84" s="26"/>
      <c r="V84" s="26"/>
    </row>
    <row r="85" spans="2:22" x14ac:dyDescent="0.25">
      <c r="C85" s="56" t="s">
        <v>169</v>
      </c>
      <c r="Q85" s="80"/>
      <c r="R85" s="80"/>
      <c r="S85" s="26"/>
      <c r="T85" s="218"/>
      <c r="U85" s="218"/>
      <c r="V85" s="26"/>
    </row>
    <row r="86" spans="2:22" x14ac:dyDescent="0.25">
      <c r="C86" s="56" t="s">
        <v>283</v>
      </c>
      <c r="Q86" s="80"/>
      <c r="R86" s="80"/>
      <c r="S86" s="26"/>
      <c r="T86" s="218"/>
      <c r="U86" s="26"/>
      <c r="V86" s="26"/>
    </row>
    <row r="87" spans="2:22" x14ac:dyDescent="0.25">
      <c r="C87" s="57" t="s">
        <v>281</v>
      </c>
      <c r="Q87" s="80"/>
      <c r="R87" s="80"/>
      <c r="S87" s="26"/>
      <c r="T87" s="26"/>
      <c r="U87" s="26"/>
      <c r="V87" s="26"/>
    </row>
    <row r="89" spans="2:22" x14ac:dyDescent="0.25">
      <c r="C89" s="149" t="s">
        <v>329</v>
      </c>
      <c r="D89" s="94"/>
      <c r="E89" s="95"/>
      <c r="F89" s="96"/>
      <c r="G89" s="96"/>
      <c r="H89" s="96"/>
      <c r="I89" s="96"/>
      <c r="J89" s="96"/>
      <c r="K89" s="96"/>
      <c r="L89" s="95"/>
      <c r="M89" s="96"/>
      <c r="N89" s="96"/>
      <c r="O89" s="96"/>
      <c r="P89" s="96"/>
      <c r="Q89" s="96"/>
      <c r="R89" s="96"/>
      <c r="S89" s="26"/>
      <c r="T89" s="26"/>
      <c r="U89" s="26"/>
      <c r="V89" s="26"/>
    </row>
    <row r="90" spans="2:22" x14ac:dyDescent="0.25">
      <c r="C90" s="13" t="s">
        <v>233</v>
      </c>
      <c r="Q90" s="80"/>
      <c r="R90" s="80"/>
      <c r="S90" s="26"/>
      <c r="T90" s="26"/>
      <c r="U90" s="26"/>
      <c r="V90" s="26"/>
    </row>
    <row r="91" spans="2:22" x14ac:dyDescent="0.25">
      <c r="C91" s="13" t="s">
        <v>234</v>
      </c>
      <c r="Q91" s="80"/>
      <c r="R91" s="80"/>
      <c r="S91" s="26"/>
      <c r="T91" s="26"/>
      <c r="U91" s="26"/>
      <c r="V91" s="26"/>
    </row>
    <row r="92" spans="2:22" x14ac:dyDescent="0.25">
      <c r="C92" s="56" t="s">
        <v>330</v>
      </c>
      <c r="Q92" s="80"/>
      <c r="R92" s="80"/>
      <c r="S92" s="26"/>
      <c r="T92" s="26"/>
      <c r="U92" s="26"/>
      <c r="V92" s="26"/>
    </row>
    <row r="93" spans="2:22" x14ac:dyDescent="0.25">
      <c r="C93" s="57" t="s">
        <v>303</v>
      </c>
      <c r="Q93" s="80"/>
      <c r="R93" s="80"/>
      <c r="S93" s="26"/>
      <c r="T93" s="26"/>
      <c r="U93" s="26"/>
      <c r="V93" s="26"/>
    </row>
    <row r="94" spans="2:22" x14ac:dyDescent="0.25">
      <c r="C94" s="57" t="s">
        <v>300</v>
      </c>
      <c r="Q94" s="80"/>
      <c r="R94" s="80"/>
      <c r="S94" s="26"/>
      <c r="T94" s="26"/>
      <c r="U94" s="26"/>
      <c r="V94" s="26"/>
    </row>
    <row r="95" spans="2:22" x14ac:dyDescent="0.25">
      <c r="C95" s="57" t="s">
        <v>302</v>
      </c>
      <c r="R95" s="26"/>
      <c r="S95" s="26"/>
      <c r="T95" s="26"/>
      <c r="U95" s="26"/>
      <c r="V95" s="26"/>
    </row>
    <row r="96" spans="2:22" x14ac:dyDescent="0.25">
      <c r="C96" s="57" t="s">
        <v>301</v>
      </c>
    </row>
    <row r="99" spans="3:18" x14ac:dyDescent="0.25">
      <c r="C99" s="296" t="s">
        <v>445</v>
      </c>
      <c r="D99" s="295"/>
      <c r="E99" s="295"/>
      <c r="F99" s="295"/>
      <c r="G99" s="295"/>
      <c r="H99" s="295"/>
      <c r="I99" s="295"/>
      <c r="J99" s="295"/>
      <c r="K99" s="295"/>
      <c r="L99" s="295"/>
      <c r="M99" s="295"/>
      <c r="N99" s="295"/>
      <c r="O99" s="295"/>
      <c r="P99" s="295"/>
      <c r="Q99" s="295"/>
      <c r="R99" s="294"/>
    </row>
    <row r="100" spans="3:18" x14ac:dyDescent="0.25">
      <c r="C100" s="57" t="s">
        <v>444</v>
      </c>
    </row>
    <row r="101" spans="3:18" x14ac:dyDescent="0.25">
      <c r="C101" s="57" t="s">
        <v>443</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R1841"/>
  <sheetViews>
    <sheetView workbookViewId="0">
      <pane ySplit="7" topLeftCell="A1401" activePane="bottomLeft" state="frozen"/>
      <selection activeCell="F8" sqref="F8"/>
      <selection pane="bottomLeft" activeCell="D1431" sqref="D1431"/>
    </sheetView>
  </sheetViews>
  <sheetFormatPr defaultColWidth="12.5703125" defaultRowHeight="15" customHeight="1" x14ac:dyDescent="0.2"/>
  <cols>
    <col min="1" max="1" width="32.5703125" style="435" customWidth="1"/>
    <col min="2" max="2" width="15.85546875" style="435" customWidth="1"/>
    <col min="3" max="3" width="4.42578125" style="435" customWidth="1"/>
    <col min="4" max="4" width="11.85546875" style="435" customWidth="1"/>
    <col min="5" max="5" width="11.5703125" style="435" hidden="1" customWidth="1"/>
    <col min="6" max="6" width="13.42578125" style="435" customWidth="1"/>
    <col min="7" max="7" width="14.28515625" style="435" customWidth="1"/>
    <col min="8" max="8" width="13.42578125" style="435" hidden="1" customWidth="1"/>
    <col min="9" max="9" width="12.5703125" style="435"/>
    <col min="10" max="10" width="104.42578125" style="435" customWidth="1"/>
    <col min="11" max="16384" width="12.5703125" style="435"/>
  </cols>
  <sheetData>
    <row r="1" spans="1:17" ht="15.75" customHeight="1" x14ac:dyDescent="0.2">
      <c r="A1" s="598" t="s">
        <v>628</v>
      </c>
      <c r="B1" s="599"/>
      <c r="C1" s="599"/>
      <c r="D1" s="599"/>
      <c r="E1" s="599"/>
      <c r="F1" s="599"/>
      <c r="G1" s="436"/>
      <c r="H1" s="436"/>
      <c r="I1" s="436"/>
      <c r="J1" s="437"/>
    </row>
    <row r="2" spans="1:17" ht="15.75" customHeight="1" x14ac:dyDescent="0.2">
      <c r="A2" s="434"/>
      <c r="B2" s="437"/>
      <c r="C2" s="437"/>
      <c r="D2" s="437"/>
      <c r="E2" s="436"/>
      <c r="F2" s="436"/>
      <c r="G2" s="436"/>
      <c r="H2" s="436"/>
      <c r="I2" s="436"/>
      <c r="J2" s="437"/>
    </row>
    <row r="3" spans="1:17" ht="15.75" customHeight="1" x14ac:dyDescent="0.2">
      <c r="A3" s="438" t="s">
        <v>627</v>
      </c>
      <c r="B3" s="600" t="s">
        <v>520</v>
      </c>
      <c r="C3" s="601"/>
      <c r="D3" s="601"/>
      <c r="E3" s="601"/>
      <c r="F3" s="602"/>
      <c r="G3" s="436"/>
      <c r="H3" s="436"/>
      <c r="I3" s="436"/>
      <c r="J3" s="437"/>
    </row>
    <row r="4" spans="1:17" ht="15.75" customHeight="1" x14ac:dyDescent="0.2">
      <c r="A4" s="439" t="s">
        <v>626</v>
      </c>
      <c r="B4" s="603" t="s">
        <v>625</v>
      </c>
      <c r="C4" s="599"/>
      <c r="D4" s="599"/>
      <c r="E4" s="599"/>
      <c r="F4" s="604"/>
      <c r="G4" s="436"/>
      <c r="H4" s="436"/>
      <c r="I4" s="436"/>
      <c r="J4" s="437"/>
    </row>
    <row r="5" spans="1:17" ht="15.75" customHeight="1" x14ac:dyDescent="0.2">
      <c r="A5" s="440" t="s">
        <v>624</v>
      </c>
      <c r="B5" s="605" t="s">
        <v>520</v>
      </c>
      <c r="C5" s="606"/>
      <c r="D5" s="606"/>
      <c r="E5" s="606"/>
      <c r="F5" s="607"/>
      <c r="G5" s="436"/>
      <c r="H5" s="436"/>
      <c r="I5" s="436"/>
      <c r="J5" s="437"/>
    </row>
    <row r="6" spans="1:17" ht="15.75" customHeight="1" x14ac:dyDescent="0.2">
      <c r="A6" s="441"/>
      <c r="B6" s="437"/>
      <c r="C6" s="437"/>
      <c r="D6" s="437"/>
      <c r="E6" s="436"/>
      <c r="F6" s="436"/>
      <c r="G6" s="436"/>
      <c r="H6" s="436"/>
      <c r="I6" s="436"/>
      <c r="J6" s="437"/>
    </row>
    <row r="7" spans="1:17" ht="15.75" customHeight="1" x14ac:dyDescent="0.2">
      <c r="A7" s="442"/>
      <c r="B7" s="437"/>
      <c r="C7" s="437"/>
      <c r="D7" s="443" t="s">
        <v>394</v>
      </c>
      <c r="E7" s="444" t="s">
        <v>623</v>
      </c>
      <c r="F7" s="444" t="s">
        <v>622</v>
      </c>
      <c r="G7" s="444" t="s">
        <v>621</v>
      </c>
      <c r="H7" s="444" t="s">
        <v>620</v>
      </c>
      <c r="I7" s="444" t="s">
        <v>619</v>
      </c>
      <c r="J7" s="437"/>
      <c r="N7" s="443" t="s">
        <v>394</v>
      </c>
      <c r="O7" s="444" t="s">
        <v>623</v>
      </c>
      <c r="P7" s="444" t="s">
        <v>622</v>
      </c>
      <c r="Q7" s="444" t="s">
        <v>619</v>
      </c>
    </row>
    <row r="8" spans="1:17" ht="15.75" customHeight="1" x14ac:dyDescent="0.2">
      <c r="A8" s="445" t="s">
        <v>618</v>
      </c>
      <c r="B8" s="446"/>
      <c r="C8" s="437"/>
      <c r="D8" s="467">
        <v>45497</v>
      </c>
      <c r="E8" s="436" t="s">
        <v>603</v>
      </c>
      <c r="F8" s="436">
        <v>46205.919999999998</v>
      </c>
      <c r="G8" s="448">
        <v>46205.919999999998</v>
      </c>
      <c r="H8" s="436">
        <v>46205.919999999998</v>
      </c>
      <c r="I8" s="449">
        <v>0</v>
      </c>
      <c r="J8" s="437"/>
      <c r="N8" s="467">
        <v>45504</v>
      </c>
      <c r="O8" s="436" t="s">
        <v>603</v>
      </c>
      <c r="P8" s="436">
        <v>369647.35999999999</v>
      </c>
      <c r="Q8" s="449">
        <v>369647.35999999999</v>
      </c>
    </row>
    <row r="9" spans="1:17" ht="15.75" customHeight="1" x14ac:dyDescent="0.2">
      <c r="A9" s="450" t="s">
        <v>617</v>
      </c>
      <c r="B9" s="451">
        <v>62500000</v>
      </c>
      <c r="C9" s="437"/>
      <c r="D9" s="467">
        <v>45498</v>
      </c>
      <c r="E9" s="436" t="s">
        <v>602</v>
      </c>
      <c r="F9" s="436">
        <v>92411.839999999997</v>
      </c>
      <c r="G9" s="448">
        <v>46205.919999999998</v>
      </c>
      <c r="H9" s="436">
        <v>0</v>
      </c>
      <c r="I9" s="449">
        <v>0</v>
      </c>
      <c r="J9" s="437"/>
      <c r="N9" s="467">
        <v>45518</v>
      </c>
      <c r="O9" s="436" t="s">
        <v>603</v>
      </c>
      <c r="P9" s="436">
        <v>1016530.24</v>
      </c>
      <c r="Q9" s="449">
        <v>646882.88</v>
      </c>
    </row>
    <row r="10" spans="1:17" ht="15.75" customHeight="1" x14ac:dyDescent="0.2">
      <c r="A10" s="450" t="s">
        <v>616</v>
      </c>
      <c r="B10" s="452">
        <v>45131</v>
      </c>
      <c r="C10" s="437"/>
      <c r="D10" s="467">
        <v>45499</v>
      </c>
      <c r="E10" s="436" t="s">
        <v>601</v>
      </c>
      <c r="F10" s="436">
        <v>138617.76</v>
      </c>
      <c r="G10" s="448">
        <v>46205.920000000013</v>
      </c>
      <c r="H10" s="436">
        <v>0</v>
      </c>
      <c r="I10" s="449">
        <v>0</v>
      </c>
      <c r="J10" s="437"/>
      <c r="N10" s="467">
        <v>45532</v>
      </c>
      <c r="O10" s="436" t="s">
        <v>603</v>
      </c>
      <c r="P10" s="436">
        <v>1663413.12</v>
      </c>
      <c r="Q10" s="449">
        <v>646882.88000000012</v>
      </c>
    </row>
    <row r="11" spans="1:17" ht="15.75" customHeight="1" x14ac:dyDescent="0.2">
      <c r="A11" s="450" t="s">
        <v>615</v>
      </c>
      <c r="B11" s="451">
        <v>62500000</v>
      </c>
      <c r="C11" s="437"/>
      <c r="D11" s="467">
        <v>45500</v>
      </c>
      <c r="E11" s="436" t="s">
        <v>600</v>
      </c>
      <c r="F11" s="436">
        <v>184823.67999999999</v>
      </c>
      <c r="G11" s="448">
        <v>46205.919999999984</v>
      </c>
      <c r="H11" s="436">
        <v>0</v>
      </c>
      <c r="I11" s="449">
        <v>0</v>
      </c>
      <c r="J11" s="437"/>
      <c r="N11" s="467">
        <v>45546</v>
      </c>
      <c r="O11" s="436" t="s">
        <v>603</v>
      </c>
      <c r="P11" s="436">
        <v>2310296</v>
      </c>
      <c r="Q11" s="449">
        <v>646882.87999999989</v>
      </c>
    </row>
    <row r="12" spans="1:17" ht="15.75" customHeight="1" x14ac:dyDescent="0.2">
      <c r="A12" s="450" t="s">
        <v>614</v>
      </c>
      <c r="B12" s="453">
        <v>1</v>
      </c>
      <c r="C12" s="437"/>
      <c r="D12" s="467">
        <v>45501</v>
      </c>
      <c r="E12" s="436" t="s">
        <v>599</v>
      </c>
      <c r="F12" s="436">
        <v>231029.6</v>
      </c>
      <c r="G12" s="448">
        <v>46205.920000000013</v>
      </c>
      <c r="H12" s="436">
        <v>0</v>
      </c>
      <c r="I12" s="449">
        <v>0</v>
      </c>
      <c r="J12" s="437"/>
      <c r="N12" s="467">
        <v>45560</v>
      </c>
      <c r="O12" s="436" t="s">
        <v>603</v>
      </c>
      <c r="P12" s="436">
        <v>2957178.8799999999</v>
      </c>
      <c r="Q12" s="449">
        <v>646882.87999999989</v>
      </c>
    </row>
    <row r="13" spans="1:17" ht="15.75" customHeight="1" x14ac:dyDescent="0.2">
      <c r="A13" s="450" t="s">
        <v>613</v>
      </c>
      <c r="B13" s="454" t="s">
        <v>612</v>
      </c>
      <c r="C13" s="437"/>
      <c r="D13" s="467">
        <v>45502</v>
      </c>
      <c r="E13" s="436" t="s">
        <v>598</v>
      </c>
      <c r="F13" s="436">
        <v>277235.52</v>
      </c>
      <c r="G13" s="448">
        <v>46205.920000000013</v>
      </c>
      <c r="H13" s="436">
        <v>0</v>
      </c>
      <c r="I13" s="449">
        <v>0</v>
      </c>
      <c r="J13" s="437"/>
      <c r="N13" s="467">
        <v>45574</v>
      </c>
      <c r="O13" s="436" t="s">
        <v>603</v>
      </c>
      <c r="P13" s="436">
        <v>3604061.77</v>
      </c>
      <c r="Q13" s="449">
        <v>646882.89000000013</v>
      </c>
    </row>
    <row r="14" spans="1:17" ht="15.75" customHeight="1" x14ac:dyDescent="0.2">
      <c r="A14" s="455" t="s">
        <v>611</v>
      </c>
      <c r="B14" s="456" t="s">
        <v>610</v>
      </c>
      <c r="C14" s="437"/>
      <c r="D14" s="467">
        <v>45503</v>
      </c>
      <c r="E14" s="436" t="s">
        <v>597</v>
      </c>
      <c r="F14" s="436">
        <v>323441.44</v>
      </c>
      <c r="G14" s="448">
        <v>46205.919999999984</v>
      </c>
      <c r="H14" s="436">
        <v>0</v>
      </c>
      <c r="I14" s="449">
        <v>0</v>
      </c>
      <c r="J14" s="437"/>
      <c r="N14" s="467">
        <v>45588</v>
      </c>
      <c r="O14" s="436" t="s">
        <v>603</v>
      </c>
      <c r="P14" s="436">
        <v>4250944.6500000004</v>
      </c>
      <c r="Q14" s="449">
        <v>646882.88000000035</v>
      </c>
    </row>
    <row r="15" spans="1:17" ht="15.75" customHeight="1" x14ac:dyDescent="0.2">
      <c r="A15" s="442"/>
      <c r="B15" s="437"/>
      <c r="C15" s="437"/>
      <c r="D15" s="467">
        <v>45504</v>
      </c>
      <c r="E15" s="436" t="s">
        <v>603</v>
      </c>
      <c r="F15" s="436">
        <v>369647.35999999999</v>
      </c>
      <c r="G15" s="448">
        <v>46205.919999999984</v>
      </c>
      <c r="H15" s="436">
        <v>323441.44</v>
      </c>
      <c r="I15" s="449">
        <v>369647.35999999999</v>
      </c>
      <c r="J15" s="437"/>
      <c r="N15" s="467">
        <v>45602</v>
      </c>
      <c r="O15" s="436" t="s">
        <v>603</v>
      </c>
      <c r="P15" s="436">
        <v>4897827.53</v>
      </c>
      <c r="Q15" s="449">
        <v>646882.87999999989</v>
      </c>
    </row>
    <row r="16" spans="1:17" ht="15.75" customHeight="1" x14ac:dyDescent="0.2">
      <c r="A16" s="437"/>
      <c r="B16" s="437"/>
      <c r="C16" s="437"/>
      <c r="D16" s="467">
        <v>45505</v>
      </c>
      <c r="E16" s="436" t="s">
        <v>602</v>
      </c>
      <c r="F16" s="436">
        <v>415853.28</v>
      </c>
      <c r="G16" s="448">
        <v>46205.920000000042</v>
      </c>
      <c r="H16" s="436">
        <v>0</v>
      </c>
      <c r="I16" s="449">
        <v>0</v>
      </c>
      <c r="J16" s="437"/>
      <c r="N16" s="467">
        <v>45616</v>
      </c>
      <c r="O16" s="436" t="s">
        <v>603</v>
      </c>
      <c r="P16" s="436">
        <v>5544710.4100000001</v>
      </c>
      <c r="Q16" s="449">
        <v>646882.87999999989</v>
      </c>
    </row>
    <row r="17" spans="1:17" ht="15.75" customHeight="1" x14ac:dyDescent="0.2">
      <c r="A17" s="457" t="s">
        <v>609</v>
      </c>
      <c r="B17" s="458"/>
      <c r="C17" s="437"/>
      <c r="D17" s="467">
        <v>45506</v>
      </c>
      <c r="E17" s="436" t="s">
        <v>601</v>
      </c>
      <c r="F17" s="436">
        <v>462059.2</v>
      </c>
      <c r="G17" s="448">
        <v>46205.919999999984</v>
      </c>
      <c r="H17" s="436">
        <v>0</v>
      </c>
      <c r="I17" s="449">
        <v>0</v>
      </c>
      <c r="J17" s="437"/>
      <c r="N17" s="467">
        <v>45630</v>
      </c>
      <c r="O17" s="436" t="s">
        <v>603</v>
      </c>
      <c r="P17" s="436">
        <v>6191593.29</v>
      </c>
      <c r="Q17" s="449">
        <v>646882.87999999989</v>
      </c>
    </row>
    <row r="18" spans="1:17" ht="15.75" customHeight="1" x14ac:dyDescent="0.2">
      <c r="A18" s="459" t="s">
        <v>608</v>
      </c>
      <c r="B18" s="460">
        <v>730</v>
      </c>
      <c r="C18" s="437"/>
      <c r="D18" s="467">
        <v>45507</v>
      </c>
      <c r="E18" s="436" t="s">
        <v>600</v>
      </c>
      <c r="F18" s="436">
        <v>508265.12</v>
      </c>
      <c r="G18" s="448">
        <v>46205.919999999984</v>
      </c>
      <c r="H18" s="436">
        <v>0</v>
      </c>
      <c r="I18" s="449">
        <v>0</v>
      </c>
      <c r="J18" s="437"/>
      <c r="N18" s="467">
        <v>45644</v>
      </c>
      <c r="O18" s="436" t="s">
        <v>603</v>
      </c>
      <c r="P18" s="436">
        <v>6838476.1699999999</v>
      </c>
      <c r="Q18" s="449">
        <v>646882.87999999989</v>
      </c>
    </row>
    <row r="19" spans="1:17" ht="15.75" customHeight="1" x14ac:dyDescent="0.2">
      <c r="A19" s="459" t="s">
        <v>607</v>
      </c>
      <c r="B19" s="460">
        <v>1461</v>
      </c>
      <c r="C19" s="437"/>
      <c r="D19" s="467">
        <v>45508</v>
      </c>
      <c r="E19" s="436" t="s">
        <v>599</v>
      </c>
      <c r="F19" s="436">
        <v>554471.04</v>
      </c>
      <c r="G19" s="448">
        <v>46205.920000000042</v>
      </c>
      <c r="H19" s="436">
        <v>0</v>
      </c>
      <c r="I19" s="449">
        <v>0</v>
      </c>
      <c r="J19" s="437"/>
      <c r="N19" s="467">
        <v>45658</v>
      </c>
      <c r="O19" s="436" t="s">
        <v>603</v>
      </c>
      <c r="P19" s="436">
        <v>7485359.0599999996</v>
      </c>
      <c r="Q19" s="449">
        <v>646882.88999999966</v>
      </c>
    </row>
    <row r="20" spans="1:17" ht="15.75" customHeight="1" x14ac:dyDescent="0.2">
      <c r="A20" s="459" t="s">
        <v>606</v>
      </c>
      <c r="B20" s="461" t="s">
        <v>605</v>
      </c>
      <c r="C20" s="437"/>
      <c r="D20" s="467">
        <v>45509</v>
      </c>
      <c r="E20" s="436" t="s">
        <v>598</v>
      </c>
      <c r="F20" s="436">
        <v>600676.96</v>
      </c>
      <c r="G20" s="448">
        <v>46205.919999999925</v>
      </c>
      <c r="H20" s="436">
        <v>0</v>
      </c>
      <c r="I20" s="449">
        <v>0</v>
      </c>
      <c r="J20" s="437"/>
      <c r="N20" s="467">
        <v>45672</v>
      </c>
      <c r="O20" s="436" t="s">
        <v>603</v>
      </c>
      <c r="P20" s="436">
        <v>8132241.9400000004</v>
      </c>
      <c r="Q20" s="449">
        <v>646882.88000000082</v>
      </c>
    </row>
    <row r="21" spans="1:17" ht="15.75" customHeight="1" x14ac:dyDescent="0.2">
      <c r="A21" s="459" t="s">
        <v>604</v>
      </c>
      <c r="B21" s="462" t="s">
        <v>603</v>
      </c>
      <c r="C21" s="437"/>
      <c r="D21" s="467">
        <v>45510</v>
      </c>
      <c r="E21" s="436" t="s">
        <v>597</v>
      </c>
      <c r="F21" s="436">
        <v>646882.88</v>
      </c>
      <c r="G21" s="448">
        <v>46205.920000000042</v>
      </c>
      <c r="H21" s="436">
        <v>0</v>
      </c>
      <c r="I21" s="449">
        <v>0</v>
      </c>
      <c r="J21" s="437"/>
      <c r="N21" s="467">
        <v>45686</v>
      </c>
      <c r="O21" s="436" t="s">
        <v>603</v>
      </c>
      <c r="P21" s="436">
        <v>8779124.8200000003</v>
      </c>
      <c r="Q21" s="449">
        <v>646882.87999999989</v>
      </c>
    </row>
    <row r="22" spans="1:17" ht="15.75" customHeight="1" x14ac:dyDescent="0.2">
      <c r="A22" s="463"/>
      <c r="B22" s="464"/>
      <c r="C22" s="437"/>
      <c r="D22" s="467">
        <v>45511</v>
      </c>
      <c r="E22" s="436" t="s">
        <v>603</v>
      </c>
      <c r="F22" s="436">
        <v>693088.8</v>
      </c>
      <c r="G22" s="448">
        <v>46205.920000000042</v>
      </c>
      <c r="H22" s="436">
        <v>323441.44000000006</v>
      </c>
      <c r="I22" s="449">
        <v>0</v>
      </c>
      <c r="J22" s="437"/>
      <c r="N22" s="467">
        <v>45700</v>
      </c>
      <c r="O22" s="436" t="s">
        <v>603</v>
      </c>
      <c r="P22" s="436">
        <v>9426007.6999999993</v>
      </c>
      <c r="Q22" s="449">
        <v>646882.87999999896</v>
      </c>
    </row>
    <row r="23" spans="1:17" ht="15.75" customHeight="1" x14ac:dyDescent="0.2">
      <c r="A23" s="437"/>
      <c r="B23" s="437"/>
      <c r="C23" s="437"/>
      <c r="D23" s="467">
        <v>45512</v>
      </c>
      <c r="E23" s="436" t="s">
        <v>602</v>
      </c>
      <c r="F23" s="436">
        <v>739294.71999999997</v>
      </c>
      <c r="G23" s="448">
        <v>46205.919999999925</v>
      </c>
      <c r="H23" s="436">
        <v>0</v>
      </c>
      <c r="I23" s="449">
        <v>0</v>
      </c>
      <c r="J23" s="437"/>
      <c r="N23" s="467">
        <v>45714</v>
      </c>
      <c r="O23" s="436" t="s">
        <v>603</v>
      </c>
      <c r="P23" s="436">
        <v>10072890.58</v>
      </c>
      <c r="Q23" s="449">
        <v>646882.88000000082</v>
      </c>
    </row>
    <row r="24" spans="1:17" ht="15.75" customHeight="1" x14ac:dyDescent="0.2">
      <c r="A24" s="447"/>
      <c r="B24" s="447"/>
      <c r="C24" s="437"/>
      <c r="D24" s="467">
        <v>45513</v>
      </c>
      <c r="E24" s="436" t="s">
        <v>601</v>
      </c>
      <c r="F24" s="436">
        <v>785500.64</v>
      </c>
      <c r="G24" s="448">
        <v>46205.920000000042</v>
      </c>
      <c r="H24" s="436">
        <v>0</v>
      </c>
      <c r="I24" s="449">
        <v>0</v>
      </c>
      <c r="J24" s="437"/>
      <c r="N24" s="467">
        <v>45728</v>
      </c>
      <c r="O24" s="436" t="s">
        <v>603</v>
      </c>
      <c r="P24" s="436">
        <v>10719773.470000001</v>
      </c>
      <c r="Q24" s="449">
        <v>646882.8900000006</v>
      </c>
    </row>
    <row r="25" spans="1:17" ht="15.75" customHeight="1" x14ac:dyDescent="0.2">
      <c r="A25" s="447"/>
      <c r="B25" s="447"/>
      <c r="C25" s="437"/>
      <c r="D25" s="467">
        <v>45514</v>
      </c>
      <c r="E25" s="436" t="s">
        <v>600</v>
      </c>
      <c r="F25" s="436">
        <v>831706.56</v>
      </c>
      <c r="G25" s="448">
        <v>46205.920000000042</v>
      </c>
      <c r="H25" s="436">
        <v>0</v>
      </c>
      <c r="I25" s="449">
        <v>0</v>
      </c>
      <c r="J25" s="437"/>
      <c r="N25" s="467">
        <v>45742</v>
      </c>
      <c r="O25" s="436" t="s">
        <v>603</v>
      </c>
      <c r="P25" s="436">
        <v>11366656.35</v>
      </c>
      <c r="Q25" s="449">
        <v>646882.87999999896</v>
      </c>
    </row>
    <row r="26" spans="1:17" ht="15.75" customHeight="1" x14ac:dyDescent="0.2">
      <c r="A26" s="447"/>
      <c r="B26" s="447"/>
      <c r="C26" s="437"/>
      <c r="D26" s="467">
        <v>45515</v>
      </c>
      <c r="E26" s="436" t="s">
        <v>599</v>
      </c>
      <c r="F26" s="436">
        <v>877912.48</v>
      </c>
      <c r="G26" s="448">
        <v>46205.919999999925</v>
      </c>
      <c r="H26" s="436">
        <v>0</v>
      </c>
      <c r="I26" s="449">
        <v>0</v>
      </c>
      <c r="J26" s="437"/>
      <c r="N26" s="467">
        <v>45756</v>
      </c>
      <c r="O26" s="436" t="s">
        <v>603</v>
      </c>
      <c r="P26" s="436">
        <v>12013539.23</v>
      </c>
      <c r="Q26" s="449">
        <v>646882.88000000082</v>
      </c>
    </row>
    <row r="27" spans="1:17" ht="15.75" customHeight="1" x14ac:dyDescent="0.2">
      <c r="A27" s="447"/>
      <c r="B27" s="447"/>
      <c r="C27" s="437"/>
      <c r="D27" s="467">
        <v>45516</v>
      </c>
      <c r="E27" s="436" t="s">
        <v>598</v>
      </c>
      <c r="F27" s="436">
        <v>924118.4</v>
      </c>
      <c r="G27" s="448">
        <v>46205.920000000042</v>
      </c>
      <c r="H27" s="436">
        <v>0</v>
      </c>
      <c r="I27" s="449">
        <v>0</v>
      </c>
      <c r="J27" s="437"/>
      <c r="N27" s="467">
        <v>45770</v>
      </c>
      <c r="O27" s="436" t="s">
        <v>603</v>
      </c>
      <c r="P27" s="436">
        <v>12660422.109999999</v>
      </c>
      <c r="Q27" s="449">
        <v>646882.87999999896</v>
      </c>
    </row>
    <row r="28" spans="1:17" ht="15.75" customHeight="1" x14ac:dyDescent="0.2">
      <c r="A28" s="447"/>
      <c r="B28" s="447"/>
      <c r="C28" s="437"/>
      <c r="D28" s="467">
        <v>45517</v>
      </c>
      <c r="E28" s="436" t="s">
        <v>597</v>
      </c>
      <c r="F28" s="436">
        <v>970324.32</v>
      </c>
      <c r="G28" s="448">
        <v>46205.919999999925</v>
      </c>
      <c r="H28" s="436">
        <v>0</v>
      </c>
      <c r="I28" s="449">
        <v>0</v>
      </c>
      <c r="J28" s="437"/>
      <c r="N28" s="467">
        <v>45784</v>
      </c>
      <c r="O28" s="436" t="s">
        <v>603</v>
      </c>
      <c r="P28" s="436">
        <v>13307304.99</v>
      </c>
      <c r="Q28" s="449">
        <v>646882.88000000082</v>
      </c>
    </row>
    <row r="29" spans="1:17" ht="15.75" customHeight="1" x14ac:dyDescent="0.2">
      <c r="A29" s="447"/>
      <c r="B29" s="447"/>
      <c r="C29" s="437"/>
      <c r="D29" s="467">
        <v>45518</v>
      </c>
      <c r="E29" s="436" t="s">
        <v>603</v>
      </c>
      <c r="F29" s="436">
        <v>1016530.24</v>
      </c>
      <c r="G29" s="448">
        <v>46205.920000000042</v>
      </c>
      <c r="H29" s="436">
        <v>323441.43999999994</v>
      </c>
      <c r="I29" s="449">
        <v>646882.88</v>
      </c>
      <c r="J29" s="437"/>
      <c r="N29" s="467">
        <v>45798</v>
      </c>
      <c r="O29" s="436" t="s">
        <v>603</v>
      </c>
      <c r="P29" s="436">
        <v>13954187.880000001</v>
      </c>
      <c r="Q29" s="449">
        <v>646882.8900000006</v>
      </c>
    </row>
    <row r="30" spans="1:17" ht="15.75" customHeight="1" x14ac:dyDescent="0.2">
      <c r="A30" s="447"/>
      <c r="B30" s="447"/>
      <c r="C30" s="437"/>
      <c r="D30" s="467">
        <v>45519</v>
      </c>
      <c r="E30" s="436" t="s">
        <v>602</v>
      </c>
      <c r="F30" s="436">
        <v>1062736.1599999999</v>
      </c>
      <c r="G30" s="448">
        <v>46205.919999999925</v>
      </c>
      <c r="H30" s="436">
        <v>0</v>
      </c>
      <c r="I30" s="449">
        <v>0</v>
      </c>
      <c r="J30" s="437"/>
      <c r="N30" s="554">
        <v>45812</v>
      </c>
      <c r="O30" s="444" t="s">
        <v>603</v>
      </c>
      <c r="P30" s="444">
        <v>14601070.76</v>
      </c>
      <c r="Q30" s="555">
        <v>646882.87999999896</v>
      </c>
    </row>
    <row r="31" spans="1:17" ht="15.75" customHeight="1" x14ac:dyDescent="0.2">
      <c r="A31" s="447"/>
      <c r="B31" s="447"/>
      <c r="C31" s="437"/>
      <c r="D31" s="467">
        <v>45520</v>
      </c>
      <c r="E31" s="436" t="s">
        <v>601</v>
      </c>
      <c r="F31" s="436">
        <v>1108942.08</v>
      </c>
      <c r="G31" s="448">
        <v>46205.920000000158</v>
      </c>
      <c r="H31" s="436">
        <v>0</v>
      </c>
      <c r="I31" s="449">
        <v>0</v>
      </c>
      <c r="J31" s="437"/>
      <c r="N31" s="467">
        <v>45826</v>
      </c>
      <c r="O31" s="436" t="s">
        <v>603</v>
      </c>
      <c r="P31" s="436">
        <v>15247953.640000001</v>
      </c>
      <c r="Q31" s="449">
        <v>646882.88000000082</v>
      </c>
    </row>
    <row r="32" spans="1:17" ht="15.75" customHeight="1" x14ac:dyDescent="0.2">
      <c r="A32" s="447"/>
      <c r="B32" s="447"/>
      <c r="C32" s="437"/>
      <c r="D32" s="467">
        <v>45521</v>
      </c>
      <c r="E32" s="436" t="s">
        <v>600</v>
      </c>
      <c r="F32" s="436">
        <v>1155148</v>
      </c>
      <c r="G32" s="448">
        <v>46205.919999999925</v>
      </c>
      <c r="H32" s="436">
        <v>0</v>
      </c>
      <c r="I32" s="449">
        <v>0</v>
      </c>
      <c r="J32" s="437"/>
      <c r="N32" s="554">
        <v>45840</v>
      </c>
      <c r="O32" s="444" t="s">
        <v>603</v>
      </c>
      <c r="P32" s="444">
        <v>15894836.52</v>
      </c>
      <c r="Q32" s="555">
        <v>646882.87999999896</v>
      </c>
    </row>
    <row r="33" spans="1:17" ht="15.75" customHeight="1" x14ac:dyDescent="0.2">
      <c r="A33" s="447"/>
      <c r="B33" s="447"/>
      <c r="C33" s="437"/>
      <c r="D33" s="467">
        <v>45522</v>
      </c>
      <c r="E33" s="436" t="s">
        <v>599</v>
      </c>
      <c r="F33" s="436">
        <v>1201353.92</v>
      </c>
      <c r="G33" s="448">
        <v>46205.919999999925</v>
      </c>
      <c r="H33" s="436">
        <v>0</v>
      </c>
      <c r="I33" s="449">
        <v>0</v>
      </c>
      <c r="J33" s="437"/>
      <c r="N33" s="467">
        <v>45854</v>
      </c>
      <c r="O33" s="436" t="s">
        <v>603</v>
      </c>
      <c r="P33" s="436">
        <v>16541719.4</v>
      </c>
      <c r="Q33" s="449">
        <v>646882.88000000082</v>
      </c>
    </row>
    <row r="34" spans="1:17" ht="15.75" customHeight="1" x14ac:dyDescent="0.2">
      <c r="A34" s="447"/>
      <c r="B34" s="447"/>
      <c r="C34" s="437"/>
      <c r="D34" s="467">
        <v>45523</v>
      </c>
      <c r="E34" s="436" t="s">
        <v>598</v>
      </c>
      <c r="F34" s="436">
        <v>1247559.8400000001</v>
      </c>
      <c r="G34" s="448">
        <v>46205.920000000158</v>
      </c>
      <c r="H34" s="436">
        <v>0</v>
      </c>
      <c r="I34" s="449">
        <v>0</v>
      </c>
      <c r="J34" s="437"/>
      <c r="N34" s="467">
        <v>45868</v>
      </c>
      <c r="O34" s="436" t="s">
        <v>603</v>
      </c>
      <c r="P34" s="436">
        <v>17188602.280000001</v>
      </c>
      <c r="Q34" s="449">
        <v>646882.88000000082</v>
      </c>
    </row>
    <row r="35" spans="1:17" ht="15.75" customHeight="1" x14ac:dyDescent="0.2">
      <c r="A35" s="447"/>
      <c r="B35" s="447"/>
      <c r="C35" s="437"/>
      <c r="D35" s="467">
        <v>45524</v>
      </c>
      <c r="E35" s="436" t="s">
        <v>597</v>
      </c>
      <c r="F35" s="436">
        <v>1293765.76</v>
      </c>
      <c r="G35" s="448">
        <v>46205.919999999925</v>
      </c>
      <c r="H35" s="436">
        <v>0</v>
      </c>
      <c r="I35" s="449">
        <v>0</v>
      </c>
      <c r="J35" s="437"/>
      <c r="N35" s="467">
        <v>45882</v>
      </c>
      <c r="O35" s="436" t="s">
        <v>603</v>
      </c>
      <c r="P35" s="436">
        <v>17835485.170000002</v>
      </c>
      <c r="Q35" s="449">
        <v>646882.8900000006</v>
      </c>
    </row>
    <row r="36" spans="1:17" ht="15.75" customHeight="1" x14ac:dyDescent="0.2">
      <c r="A36" s="447"/>
      <c r="B36" s="447"/>
      <c r="C36" s="437"/>
      <c r="D36" s="467">
        <v>45525</v>
      </c>
      <c r="E36" s="436" t="s">
        <v>603</v>
      </c>
      <c r="F36" s="436">
        <v>1339971.68</v>
      </c>
      <c r="G36" s="448">
        <v>46205.919999999925</v>
      </c>
      <c r="H36" s="436">
        <v>323441.43999999994</v>
      </c>
      <c r="I36" s="449">
        <v>0</v>
      </c>
      <c r="J36" s="437"/>
      <c r="N36" s="467">
        <v>45896</v>
      </c>
      <c r="O36" s="436" t="s">
        <v>603</v>
      </c>
      <c r="P36" s="436">
        <v>18482368.050000001</v>
      </c>
      <c r="Q36" s="449">
        <v>646882.87999999896</v>
      </c>
    </row>
    <row r="37" spans="1:17" ht="15.75" customHeight="1" x14ac:dyDescent="0.2">
      <c r="A37" s="447"/>
      <c r="B37" s="447"/>
      <c r="C37" s="437"/>
      <c r="D37" s="467">
        <v>45526</v>
      </c>
      <c r="E37" s="436" t="s">
        <v>602</v>
      </c>
      <c r="F37" s="436">
        <v>1386177.6</v>
      </c>
      <c r="G37" s="448">
        <v>46205.920000000158</v>
      </c>
      <c r="H37" s="436">
        <v>0</v>
      </c>
      <c r="I37" s="449">
        <v>0</v>
      </c>
      <c r="J37" s="437"/>
      <c r="N37" s="467">
        <v>45910</v>
      </c>
      <c r="O37" s="436" t="s">
        <v>603</v>
      </c>
      <c r="P37" s="436">
        <v>19129250.93</v>
      </c>
      <c r="Q37" s="449">
        <v>646882.87999999896</v>
      </c>
    </row>
    <row r="38" spans="1:17" ht="15.75" customHeight="1" x14ac:dyDescent="0.2">
      <c r="A38" s="447"/>
      <c r="B38" s="447"/>
      <c r="C38" s="437"/>
      <c r="D38" s="467">
        <v>45527</v>
      </c>
      <c r="E38" s="436" t="s">
        <v>601</v>
      </c>
      <c r="F38" s="436">
        <v>1432383.52</v>
      </c>
      <c r="G38" s="448">
        <v>46205.919999999925</v>
      </c>
      <c r="H38" s="436">
        <v>0</v>
      </c>
      <c r="I38" s="449">
        <v>0</v>
      </c>
      <c r="J38" s="437"/>
      <c r="N38" s="467">
        <v>45924</v>
      </c>
      <c r="O38" s="436" t="s">
        <v>603</v>
      </c>
      <c r="P38" s="436">
        <v>19776133.809999999</v>
      </c>
      <c r="Q38" s="449">
        <v>646882.87999999896</v>
      </c>
    </row>
    <row r="39" spans="1:17" ht="15.75" customHeight="1" x14ac:dyDescent="0.2">
      <c r="A39" s="447"/>
      <c r="B39" s="447"/>
      <c r="C39" s="437"/>
      <c r="D39" s="467">
        <v>45528</v>
      </c>
      <c r="E39" s="436" t="s">
        <v>600</v>
      </c>
      <c r="F39" s="436">
        <v>1478589.4399999999</v>
      </c>
      <c r="G39" s="448">
        <v>46205.919999999925</v>
      </c>
      <c r="H39" s="436">
        <v>0</v>
      </c>
      <c r="I39" s="449">
        <v>0</v>
      </c>
      <c r="J39" s="437"/>
      <c r="N39" s="467">
        <v>45938</v>
      </c>
      <c r="O39" s="436" t="s">
        <v>603</v>
      </c>
      <c r="P39" s="436">
        <v>20423016.690000001</v>
      </c>
      <c r="Q39" s="449">
        <v>646882.88000000268</v>
      </c>
    </row>
    <row r="40" spans="1:17" ht="15.75" customHeight="1" x14ac:dyDescent="0.2">
      <c r="A40" s="447"/>
      <c r="B40" s="447"/>
      <c r="C40" s="437"/>
      <c r="D40" s="467">
        <v>45529</v>
      </c>
      <c r="E40" s="436" t="s">
        <v>599</v>
      </c>
      <c r="F40" s="436">
        <v>1524795.36</v>
      </c>
      <c r="G40" s="448">
        <v>46205.920000000158</v>
      </c>
      <c r="H40" s="436">
        <v>0</v>
      </c>
      <c r="I40" s="449">
        <v>0</v>
      </c>
      <c r="J40" s="437"/>
      <c r="N40" s="467">
        <v>45952</v>
      </c>
      <c r="O40" s="436" t="s">
        <v>603</v>
      </c>
      <c r="P40" s="436">
        <v>21069899.579999998</v>
      </c>
      <c r="Q40" s="449">
        <v>646882.88999999687</v>
      </c>
    </row>
    <row r="41" spans="1:17" ht="15.75" customHeight="1" x14ac:dyDescent="0.2">
      <c r="A41" s="447"/>
      <c r="B41" s="447"/>
      <c r="C41" s="434"/>
      <c r="D41" s="467">
        <v>45530</v>
      </c>
      <c r="E41" s="436" t="s">
        <v>598</v>
      </c>
      <c r="F41" s="436">
        <v>1571001.28</v>
      </c>
      <c r="G41" s="448">
        <v>46205.919999999925</v>
      </c>
      <c r="H41" s="436">
        <v>0</v>
      </c>
      <c r="I41" s="449">
        <v>0</v>
      </c>
      <c r="J41" s="437"/>
      <c r="N41" s="467">
        <v>45966</v>
      </c>
      <c r="O41" s="436" t="s">
        <v>603</v>
      </c>
      <c r="P41" s="436">
        <v>21716782.460000001</v>
      </c>
      <c r="Q41" s="449">
        <v>646882.88000000268</v>
      </c>
    </row>
    <row r="42" spans="1:17" ht="15.75" customHeight="1" x14ac:dyDescent="0.2">
      <c r="A42" s="447"/>
      <c r="B42" s="447"/>
      <c r="C42" s="465"/>
      <c r="D42" s="467">
        <v>45531</v>
      </c>
      <c r="E42" s="436" t="s">
        <v>597</v>
      </c>
      <c r="F42" s="436">
        <v>1617207.2</v>
      </c>
      <c r="G42" s="448">
        <v>46205.919999999925</v>
      </c>
      <c r="H42" s="436">
        <v>0</v>
      </c>
      <c r="I42" s="449">
        <v>0</v>
      </c>
      <c r="J42" s="437"/>
      <c r="N42" s="467">
        <v>45980</v>
      </c>
      <c r="O42" s="436" t="s">
        <v>603</v>
      </c>
      <c r="P42" s="436">
        <v>22363665.34</v>
      </c>
      <c r="Q42" s="449">
        <v>646882.87999999896</v>
      </c>
    </row>
    <row r="43" spans="1:17" ht="15.75" customHeight="1" x14ac:dyDescent="0.2">
      <c r="A43" s="447"/>
      <c r="B43" s="447"/>
      <c r="C43" s="465"/>
      <c r="D43" s="467">
        <v>45532</v>
      </c>
      <c r="E43" s="436" t="s">
        <v>603</v>
      </c>
      <c r="F43" s="436">
        <v>1663413.12</v>
      </c>
      <c r="G43" s="448">
        <v>46205.920000000158</v>
      </c>
      <c r="H43" s="436">
        <v>323441.44000000018</v>
      </c>
      <c r="I43" s="449">
        <v>646882.88000000012</v>
      </c>
      <c r="J43" s="437"/>
      <c r="N43" s="467">
        <v>45994</v>
      </c>
      <c r="O43" s="436" t="s">
        <v>603</v>
      </c>
      <c r="P43" s="436">
        <v>23010548.219999999</v>
      </c>
      <c r="Q43" s="449">
        <v>646882.87999999896</v>
      </c>
    </row>
    <row r="44" spans="1:17" ht="15.75" customHeight="1" x14ac:dyDescent="0.2">
      <c r="A44" s="447"/>
      <c r="B44" s="447"/>
      <c r="C44" s="465"/>
      <c r="D44" s="467">
        <v>45533</v>
      </c>
      <c r="E44" s="436" t="s">
        <v>602</v>
      </c>
      <c r="F44" s="436">
        <v>1709619.04</v>
      </c>
      <c r="G44" s="448">
        <v>46205.919999999925</v>
      </c>
      <c r="H44" s="436">
        <v>0</v>
      </c>
      <c r="I44" s="449">
        <v>0</v>
      </c>
      <c r="J44" s="437"/>
      <c r="N44" s="467">
        <v>46008</v>
      </c>
      <c r="O44" s="436" t="s">
        <v>603</v>
      </c>
      <c r="P44" s="436">
        <v>23657431.100000001</v>
      </c>
      <c r="Q44" s="449">
        <v>646882.88000000268</v>
      </c>
    </row>
    <row r="45" spans="1:17" ht="15.75" customHeight="1" x14ac:dyDescent="0.2">
      <c r="A45" s="447"/>
      <c r="B45" s="447"/>
      <c r="C45" s="465"/>
      <c r="D45" s="467">
        <v>45534</v>
      </c>
      <c r="E45" s="436" t="s">
        <v>601</v>
      </c>
      <c r="F45" s="436">
        <v>1755824.96</v>
      </c>
      <c r="G45" s="448">
        <v>46205.919999999925</v>
      </c>
      <c r="H45" s="436">
        <v>0</v>
      </c>
      <c r="I45" s="449">
        <v>0</v>
      </c>
      <c r="J45" s="437"/>
      <c r="N45" s="467">
        <v>46022</v>
      </c>
      <c r="O45" s="436" t="s">
        <v>603</v>
      </c>
      <c r="P45" s="436">
        <v>24304313.989999998</v>
      </c>
      <c r="Q45" s="449">
        <v>646882.88999999687</v>
      </c>
    </row>
    <row r="46" spans="1:17" ht="15.75" customHeight="1" x14ac:dyDescent="0.2">
      <c r="A46" s="447"/>
      <c r="B46" s="447"/>
      <c r="C46" s="465"/>
      <c r="D46" s="467">
        <v>45535</v>
      </c>
      <c r="E46" s="436" t="s">
        <v>600</v>
      </c>
      <c r="F46" s="436">
        <v>1802030.88</v>
      </c>
      <c r="G46" s="448">
        <v>46205.919999999925</v>
      </c>
      <c r="H46" s="436">
        <v>0</v>
      </c>
      <c r="I46" s="449">
        <v>0</v>
      </c>
      <c r="J46" s="437"/>
      <c r="N46" s="467">
        <v>46036</v>
      </c>
      <c r="O46" s="436" t="s">
        <v>603</v>
      </c>
      <c r="P46" s="436">
        <v>24951196.870000001</v>
      </c>
      <c r="Q46" s="449">
        <v>646882.88000000268</v>
      </c>
    </row>
    <row r="47" spans="1:17" ht="15.75" customHeight="1" x14ac:dyDescent="0.2">
      <c r="A47" s="447"/>
      <c r="B47" s="447"/>
      <c r="C47" s="465"/>
      <c r="D47" s="467">
        <v>45536</v>
      </c>
      <c r="E47" s="436" t="s">
        <v>599</v>
      </c>
      <c r="F47" s="436">
        <v>1848236.8</v>
      </c>
      <c r="G47" s="448">
        <v>46205.920000000158</v>
      </c>
      <c r="H47" s="436">
        <v>0</v>
      </c>
      <c r="I47" s="449">
        <v>0</v>
      </c>
      <c r="J47" s="437"/>
      <c r="N47" s="467">
        <v>46050</v>
      </c>
      <c r="O47" s="436" t="s">
        <v>603</v>
      </c>
      <c r="P47" s="436">
        <v>25598079.75</v>
      </c>
      <c r="Q47" s="449">
        <v>646882.87999999896</v>
      </c>
    </row>
    <row r="48" spans="1:17" ht="15.75" customHeight="1" x14ac:dyDescent="0.2">
      <c r="A48" s="437"/>
      <c r="B48" s="437"/>
      <c r="C48" s="465"/>
      <c r="D48" s="467">
        <v>45537</v>
      </c>
      <c r="E48" s="436" t="s">
        <v>598</v>
      </c>
      <c r="F48" s="436">
        <v>1894442.72</v>
      </c>
      <c r="G48" s="448">
        <v>46205.919999999925</v>
      </c>
      <c r="H48" s="436">
        <v>0</v>
      </c>
      <c r="I48" s="449">
        <v>0</v>
      </c>
      <c r="J48" s="437"/>
      <c r="N48" s="467">
        <v>46064</v>
      </c>
      <c r="O48" s="436" t="s">
        <v>603</v>
      </c>
      <c r="P48" s="436">
        <v>26244962.629999999</v>
      </c>
      <c r="Q48" s="449">
        <v>646882.87999999896</v>
      </c>
    </row>
    <row r="49" spans="1:18" ht="15.75" customHeight="1" x14ac:dyDescent="0.2">
      <c r="A49" s="437"/>
      <c r="B49" s="437"/>
      <c r="C49" s="465"/>
      <c r="D49" s="467">
        <v>45538</v>
      </c>
      <c r="E49" s="436" t="s">
        <v>597</v>
      </c>
      <c r="F49" s="436">
        <v>1940648.64</v>
      </c>
      <c r="G49" s="448">
        <v>46205.919999999925</v>
      </c>
      <c r="H49" s="436">
        <v>0</v>
      </c>
      <c r="I49" s="449">
        <v>0</v>
      </c>
      <c r="J49" s="437"/>
      <c r="N49" s="467">
        <v>46078</v>
      </c>
      <c r="O49" s="436" t="s">
        <v>603</v>
      </c>
      <c r="P49" s="436">
        <v>26891845.510000002</v>
      </c>
      <c r="Q49" s="449">
        <v>646882.88000000268</v>
      </c>
    </row>
    <row r="50" spans="1:18" ht="15.75" customHeight="1" x14ac:dyDescent="0.2">
      <c r="A50" s="437"/>
      <c r="B50" s="437"/>
      <c r="C50" s="465"/>
      <c r="D50" s="467">
        <v>45539</v>
      </c>
      <c r="E50" s="436" t="s">
        <v>603</v>
      </c>
      <c r="F50" s="436">
        <v>1986854.56</v>
      </c>
      <c r="G50" s="448">
        <v>46205.920000000158</v>
      </c>
      <c r="H50" s="436">
        <v>323441.43999999994</v>
      </c>
      <c r="I50" s="449">
        <v>0</v>
      </c>
      <c r="J50" s="437"/>
      <c r="N50" s="467">
        <v>46092</v>
      </c>
      <c r="O50" s="436" t="s">
        <v>603</v>
      </c>
      <c r="P50" s="436">
        <v>27538728.390000001</v>
      </c>
      <c r="Q50" s="449">
        <v>646882.87999999896</v>
      </c>
    </row>
    <row r="51" spans="1:18" ht="15.75" customHeight="1" x14ac:dyDescent="0.2">
      <c r="A51" s="437"/>
      <c r="B51" s="437"/>
      <c r="C51" s="465"/>
      <c r="D51" s="467">
        <v>45540</v>
      </c>
      <c r="E51" s="436" t="s">
        <v>602</v>
      </c>
      <c r="F51" s="436">
        <v>2033060.48</v>
      </c>
      <c r="G51" s="448">
        <v>46205.919999999925</v>
      </c>
      <c r="H51" s="436">
        <v>0</v>
      </c>
      <c r="I51" s="449">
        <v>0</v>
      </c>
      <c r="J51" s="437"/>
      <c r="N51" s="467">
        <v>46106</v>
      </c>
      <c r="O51" s="436" t="s">
        <v>603</v>
      </c>
      <c r="P51" s="436">
        <v>28185611.280000001</v>
      </c>
      <c r="Q51" s="449">
        <v>646882.8900000006</v>
      </c>
    </row>
    <row r="52" spans="1:18" ht="15.75" customHeight="1" x14ac:dyDescent="0.2">
      <c r="A52" s="437"/>
      <c r="B52" s="437"/>
      <c r="C52" s="465"/>
      <c r="D52" s="467">
        <v>45541</v>
      </c>
      <c r="E52" s="436" t="s">
        <v>601</v>
      </c>
      <c r="F52" s="436">
        <v>2079266.4</v>
      </c>
      <c r="G52" s="448">
        <v>46205.919999999925</v>
      </c>
      <c r="H52" s="436">
        <v>0</v>
      </c>
      <c r="I52" s="449">
        <v>0</v>
      </c>
      <c r="J52" s="437"/>
      <c r="N52" s="467">
        <v>46120</v>
      </c>
      <c r="O52" s="436" t="s">
        <v>603</v>
      </c>
      <c r="P52" s="436">
        <v>28832494.16</v>
      </c>
      <c r="Q52" s="449">
        <v>646882.87999999896</v>
      </c>
    </row>
    <row r="53" spans="1:18" ht="15.75" customHeight="1" x14ac:dyDescent="0.2">
      <c r="A53" s="437"/>
      <c r="B53" s="437"/>
      <c r="C53" s="465"/>
      <c r="D53" s="467">
        <v>45542</v>
      </c>
      <c r="E53" s="436" t="s">
        <v>600</v>
      </c>
      <c r="F53" s="436">
        <v>2125472.3199999998</v>
      </c>
      <c r="G53" s="448">
        <v>46205.919999999925</v>
      </c>
      <c r="H53" s="436">
        <v>0</v>
      </c>
      <c r="I53" s="449">
        <v>0</v>
      </c>
      <c r="J53" s="437"/>
      <c r="N53" s="467">
        <v>46134</v>
      </c>
      <c r="O53" s="436" t="s">
        <v>603</v>
      </c>
      <c r="P53" s="436">
        <v>29479377.039999999</v>
      </c>
      <c r="Q53" s="449">
        <v>646882.87999999896</v>
      </c>
    </row>
    <row r="54" spans="1:18" ht="15.75" customHeight="1" x14ac:dyDescent="0.2">
      <c r="A54" s="437"/>
      <c r="B54" s="437"/>
      <c r="C54" s="465"/>
      <c r="D54" s="467">
        <v>45543</v>
      </c>
      <c r="E54" s="436" t="s">
        <v>599</v>
      </c>
      <c r="F54" s="436">
        <v>2171678.2400000002</v>
      </c>
      <c r="G54" s="448">
        <v>46205.920000000391</v>
      </c>
      <c r="H54" s="436">
        <v>0</v>
      </c>
      <c r="I54" s="449">
        <v>0</v>
      </c>
      <c r="J54" s="437"/>
      <c r="N54" s="467">
        <v>46148</v>
      </c>
      <c r="O54" s="436" t="s">
        <v>603</v>
      </c>
      <c r="P54" s="436">
        <v>30126259.920000002</v>
      </c>
      <c r="Q54" s="449">
        <v>646882.88000000268</v>
      </c>
    </row>
    <row r="55" spans="1:18" ht="15.75" customHeight="1" x14ac:dyDescent="0.2">
      <c r="A55" s="437"/>
      <c r="B55" s="437"/>
      <c r="C55" s="465"/>
      <c r="D55" s="467">
        <v>45544</v>
      </c>
      <c r="E55" s="436" t="s">
        <v>598</v>
      </c>
      <c r="F55" s="436">
        <v>2217884.16</v>
      </c>
      <c r="G55" s="448">
        <v>46205.919999999925</v>
      </c>
      <c r="H55" s="436">
        <v>0</v>
      </c>
      <c r="I55" s="449">
        <v>0</v>
      </c>
      <c r="J55" s="437"/>
      <c r="N55" s="467">
        <v>46162</v>
      </c>
      <c r="O55" s="436" t="s">
        <v>603</v>
      </c>
      <c r="P55" s="436">
        <v>30773142.800000001</v>
      </c>
      <c r="Q55" s="449">
        <v>646882.87999999896</v>
      </c>
    </row>
    <row r="56" spans="1:18" ht="15.75" customHeight="1" x14ac:dyDescent="0.2">
      <c r="A56" s="437"/>
      <c r="B56" s="437"/>
      <c r="C56" s="465"/>
      <c r="D56" s="467">
        <v>45545</v>
      </c>
      <c r="E56" s="436" t="s">
        <v>597</v>
      </c>
      <c r="F56" s="436">
        <v>2264090.08</v>
      </c>
      <c r="G56" s="448">
        <v>46205.919999999925</v>
      </c>
      <c r="H56" s="436">
        <v>0</v>
      </c>
      <c r="I56" s="449">
        <v>0</v>
      </c>
      <c r="J56" s="437"/>
      <c r="N56" s="554">
        <v>46176</v>
      </c>
      <c r="O56" s="444" t="s">
        <v>603</v>
      </c>
      <c r="P56" s="444">
        <v>31420025.690000001</v>
      </c>
      <c r="Q56" s="555">
        <v>646882.8900000006</v>
      </c>
      <c r="R56" s="556"/>
    </row>
    <row r="57" spans="1:18" ht="15.75" customHeight="1" x14ac:dyDescent="0.2">
      <c r="A57" s="437"/>
      <c r="B57" s="437"/>
      <c r="C57" s="465"/>
      <c r="D57" s="467">
        <v>45546</v>
      </c>
      <c r="E57" s="436" t="s">
        <v>603</v>
      </c>
      <c r="F57" s="436">
        <v>2310296</v>
      </c>
      <c r="G57" s="448">
        <v>46205.919999999925</v>
      </c>
      <c r="H57" s="436">
        <v>323441.43999999994</v>
      </c>
      <c r="I57" s="449">
        <v>646882.87999999989</v>
      </c>
      <c r="J57" s="437"/>
      <c r="N57" s="467">
        <v>46190</v>
      </c>
      <c r="O57" s="436" t="s">
        <v>603</v>
      </c>
      <c r="P57" s="436">
        <v>32066908.57</v>
      </c>
      <c r="Q57" s="449">
        <v>646882.87999999896</v>
      </c>
      <c r="R57" s="556"/>
    </row>
    <row r="58" spans="1:18" ht="15.75" customHeight="1" x14ac:dyDescent="0.2">
      <c r="A58" s="437"/>
      <c r="B58" s="437"/>
      <c r="C58" s="465"/>
      <c r="D58" s="467">
        <v>45547</v>
      </c>
      <c r="E58" s="436" t="s">
        <v>602</v>
      </c>
      <c r="F58" s="436">
        <v>2356501.92</v>
      </c>
      <c r="G58" s="448">
        <v>46205.919999999925</v>
      </c>
      <c r="H58" s="436">
        <v>0</v>
      </c>
      <c r="I58" s="449">
        <v>0</v>
      </c>
      <c r="J58" s="437"/>
      <c r="N58" s="467">
        <v>46204</v>
      </c>
      <c r="O58" s="436" t="s">
        <v>603</v>
      </c>
      <c r="P58" s="436">
        <v>32713791.449999999</v>
      </c>
      <c r="Q58" s="449">
        <v>646882.87999999896</v>
      </c>
    </row>
    <row r="59" spans="1:18" ht="15.75" customHeight="1" x14ac:dyDescent="0.2">
      <c r="A59" s="437"/>
      <c r="B59" s="437"/>
      <c r="C59" s="465"/>
      <c r="D59" s="467">
        <v>45548</v>
      </c>
      <c r="E59" s="436" t="s">
        <v>601</v>
      </c>
      <c r="F59" s="436">
        <v>2402707.84</v>
      </c>
      <c r="G59" s="448">
        <v>46205.919999999925</v>
      </c>
      <c r="H59" s="436">
        <v>0</v>
      </c>
      <c r="I59" s="449">
        <v>0</v>
      </c>
      <c r="J59" s="437"/>
      <c r="N59" s="467">
        <v>46218</v>
      </c>
      <c r="O59" s="436" t="s">
        <v>603</v>
      </c>
      <c r="P59" s="436">
        <v>33360674.329999998</v>
      </c>
      <c r="Q59" s="449">
        <v>646882.87999999896</v>
      </c>
    </row>
    <row r="60" spans="1:18" ht="15.75" customHeight="1" x14ac:dyDescent="0.2">
      <c r="A60" s="437"/>
      <c r="B60" s="437"/>
      <c r="C60" s="436"/>
      <c r="D60" s="467">
        <v>45549</v>
      </c>
      <c r="E60" s="436" t="s">
        <v>600</v>
      </c>
      <c r="F60" s="436">
        <v>2448913.7599999998</v>
      </c>
      <c r="G60" s="448">
        <v>46205.919999999925</v>
      </c>
      <c r="H60" s="436">
        <v>0</v>
      </c>
      <c r="I60" s="449">
        <v>0</v>
      </c>
      <c r="N60" s="467">
        <v>46232</v>
      </c>
      <c r="O60" s="436" t="s">
        <v>603</v>
      </c>
      <c r="P60" s="436">
        <v>33966461.32</v>
      </c>
      <c r="Q60" s="449">
        <v>605786.99000000209</v>
      </c>
    </row>
    <row r="61" spans="1:18" ht="15.75" customHeight="1" x14ac:dyDescent="0.2">
      <c r="A61" s="437"/>
      <c r="B61" s="437"/>
      <c r="C61" s="436"/>
      <c r="D61" s="467">
        <v>45550</v>
      </c>
      <c r="E61" s="436" t="s">
        <v>599</v>
      </c>
      <c r="F61" s="436">
        <v>2495119.6800000002</v>
      </c>
      <c r="G61" s="448">
        <v>46205.920000000391</v>
      </c>
      <c r="H61" s="436">
        <v>0</v>
      </c>
      <c r="I61" s="449">
        <v>0</v>
      </c>
      <c r="N61" s="467">
        <v>46246</v>
      </c>
      <c r="O61" s="436" t="s">
        <v>603</v>
      </c>
      <c r="P61" s="436">
        <v>34517453.789999999</v>
      </c>
      <c r="Q61" s="449">
        <v>550992.46999999881</v>
      </c>
    </row>
    <row r="62" spans="1:18" ht="15.75" customHeight="1" x14ac:dyDescent="0.2">
      <c r="A62" s="437"/>
      <c r="B62" s="437"/>
      <c r="C62" s="436"/>
      <c r="D62" s="467">
        <v>45551</v>
      </c>
      <c r="E62" s="436" t="s">
        <v>598</v>
      </c>
      <c r="F62" s="436">
        <v>2541325.6</v>
      </c>
      <c r="G62" s="448">
        <v>46205.919999999925</v>
      </c>
      <c r="H62" s="436">
        <v>0</v>
      </c>
      <c r="I62" s="449">
        <v>0</v>
      </c>
      <c r="N62" s="467">
        <v>46260</v>
      </c>
      <c r="O62" s="436" t="s">
        <v>603</v>
      </c>
      <c r="P62" s="436">
        <v>35068446.259999998</v>
      </c>
      <c r="Q62" s="449">
        <v>550992.46999999881</v>
      </c>
    </row>
    <row r="63" spans="1:18" ht="15.75" customHeight="1" x14ac:dyDescent="0.2">
      <c r="A63" s="437"/>
      <c r="B63" s="437"/>
      <c r="C63" s="436"/>
      <c r="D63" s="467">
        <v>45552</v>
      </c>
      <c r="E63" s="436" t="s">
        <v>597</v>
      </c>
      <c r="F63" s="436">
        <v>2587531.52</v>
      </c>
      <c r="G63" s="448">
        <v>46205.919999999925</v>
      </c>
      <c r="H63" s="436">
        <v>0</v>
      </c>
      <c r="I63" s="449">
        <v>0</v>
      </c>
      <c r="N63" s="467">
        <v>46274</v>
      </c>
      <c r="O63" s="436" t="s">
        <v>603</v>
      </c>
      <c r="P63" s="436">
        <v>35619438.740000002</v>
      </c>
      <c r="Q63" s="449">
        <v>550992.48000000417</v>
      </c>
    </row>
    <row r="64" spans="1:18" ht="15.75" customHeight="1" x14ac:dyDescent="0.2">
      <c r="A64" s="437"/>
      <c r="B64" s="437"/>
      <c r="C64" s="436"/>
      <c r="D64" s="467">
        <v>45553</v>
      </c>
      <c r="E64" s="436" t="s">
        <v>603</v>
      </c>
      <c r="F64" s="436">
        <v>2633737.44</v>
      </c>
      <c r="G64" s="448">
        <v>46205.919999999925</v>
      </c>
      <c r="H64" s="436">
        <v>323441.43999999994</v>
      </c>
      <c r="I64" s="449">
        <v>0</v>
      </c>
      <c r="N64" s="467">
        <v>46288</v>
      </c>
      <c r="O64" s="436" t="s">
        <v>603</v>
      </c>
      <c r="P64" s="436">
        <v>36170431.210000001</v>
      </c>
      <c r="Q64" s="449">
        <v>550992.46999999881</v>
      </c>
    </row>
    <row r="65" spans="1:17" ht="15.75" customHeight="1" x14ac:dyDescent="0.2">
      <c r="A65" s="437"/>
      <c r="B65" s="437"/>
      <c r="C65" s="436"/>
      <c r="D65" s="467">
        <v>45554</v>
      </c>
      <c r="E65" s="436" t="s">
        <v>602</v>
      </c>
      <c r="F65" s="436">
        <v>2679943.36</v>
      </c>
      <c r="G65" s="448">
        <v>46205.919999999925</v>
      </c>
      <c r="H65" s="436">
        <v>0</v>
      </c>
      <c r="I65" s="449">
        <v>0</v>
      </c>
      <c r="N65" s="467">
        <v>46302</v>
      </c>
      <c r="O65" s="436" t="s">
        <v>603</v>
      </c>
      <c r="P65" s="436">
        <v>36721423.68</v>
      </c>
      <c r="Q65" s="449">
        <v>550992.46999999881</v>
      </c>
    </row>
    <row r="66" spans="1:17" ht="15.75" customHeight="1" x14ac:dyDescent="0.2">
      <c r="A66" s="437"/>
      <c r="B66" s="437"/>
      <c r="C66" s="436"/>
      <c r="D66" s="467">
        <v>45555</v>
      </c>
      <c r="E66" s="436" t="s">
        <v>601</v>
      </c>
      <c r="F66" s="436">
        <v>2726149.28</v>
      </c>
      <c r="G66" s="448">
        <v>46205.919999999925</v>
      </c>
      <c r="H66" s="436">
        <v>0</v>
      </c>
      <c r="I66" s="449">
        <v>0</v>
      </c>
      <c r="N66" s="467">
        <v>46316</v>
      </c>
      <c r="O66" s="436" t="s">
        <v>603</v>
      </c>
      <c r="P66" s="436">
        <v>37272416.149999999</v>
      </c>
      <c r="Q66" s="449">
        <v>550992.46999999881</v>
      </c>
    </row>
    <row r="67" spans="1:17" ht="15.75" customHeight="1" x14ac:dyDescent="0.2">
      <c r="A67" s="437"/>
      <c r="B67" s="437"/>
      <c r="C67" s="436"/>
      <c r="D67" s="467">
        <v>45556</v>
      </c>
      <c r="E67" s="436" t="s">
        <v>600</v>
      </c>
      <c r="F67" s="436">
        <v>2772355.2</v>
      </c>
      <c r="G67" s="448">
        <v>46205.920000000391</v>
      </c>
      <c r="H67" s="436">
        <v>0</v>
      </c>
      <c r="I67" s="449">
        <v>0</v>
      </c>
      <c r="N67" s="467">
        <v>46330</v>
      </c>
      <c r="O67" s="436" t="s">
        <v>603</v>
      </c>
      <c r="P67" s="436">
        <v>37823408.619999997</v>
      </c>
      <c r="Q67" s="449">
        <v>550992.46999999881</v>
      </c>
    </row>
    <row r="68" spans="1:17" ht="15.75" customHeight="1" x14ac:dyDescent="0.2">
      <c r="A68" s="437"/>
      <c r="B68" s="437"/>
      <c r="C68" s="436"/>
      <c r="D68" s="467">
        <v>45557</v>
      </c>
      <c r="E68" s="436" t="s">
        <v>599</v>
      </c>
      <c r="F68" s="436">
        <v>2818561.12</v>
      </c>
      <c r="G68" s="448">
        <v>46205.919999999925</v>
      </c>
      <c r="H68" s="436">
        <v>0</v>
      </c>
      <c r="I68" s="449">
        <v>0</v>
      </c>
      <c r="N68" s="467">
        <v>46344</v>
      </c>
      <c r="O68" s="436" t="s">
        <v>603</v>
      </c>
      <c r="P68" s="436">
        <v>38374401.090000004</v>
      </c>
      <c r="Q68" s="449">
        <v>550992.47000000626</v>
      </c>
    </row>
    <row r="69" spans="1:17" ht="15.75" customHeight="1" x14ac:dyDescent="0.2">
      <c r="A69" s="437"/>
      <c r="B69" s="437"/>
      <c r="C69" s="436"/>
      <c r="D69" s="467">
        <v>45558</v>
      </c>
      <c r="E69" s="436" t="s">
        <v>598</v>
      </c>
      <c r="F69" s="436">
        <v>2864767.04</v>
      </c>
      <c r="G69" s="448">
        <v>46205.919999999925</v>
      </c>
      <c r="H69" s="436">
        <v>0</v>
      </c>
      <c r="I69" s="449">
        <v>0</v>
      </c>
      <c r="N69" s="467">
        <v>46358</v>
      </c>
      <c r="O69" s="436" t="s">
        <v>603</v>
      </c>
      <c r="P69" s="436">
        <v>38925393.560000002</v>
      </c>
      <c r="Q69" s="449">
        <v>550992.46999999881</v>
      </c>
    </row>
    <row r="70" spans="1:17" ht="15.75" customHeight="1" x14ac:dyDescent="0.2">
      <c r="A70" s="437"/>
      <c r="B70" s="437"/>
      <c r="C70" s="436"/>
      <c r="D70" s="467">
        <v>45559</v>
      </c>
      <c r="E70" s="436" t="s">
        <v>597</v>
      </c>
      <c r="F70" s="436">
        <v>2910972.96</v>
      </c>
      <c r="G70" s="448">
        <v>46205.919999999925</v>
      </c>
      <c r="H70" s="436">
        <v>0</v>
      </c>
      <c r="I70" s="449">
        <v>0</v>
      </c>
      <c r="N70" s="467">
        <v>46372</v>
      </c>
      <c r="O70" s="436" t="s">
        <v>603</v>
      </c>
      <c r="P70" s="436">
        <v>39476386.030000001</v>
      </c>
      <c r="Q70" s="449">
        <v>550992.46999999881</v>
      </c>
    </row>
    <row r="71" spans="1:17" ht="15.75" customHeight="1" x14ac:dyDescent="0.2">
      <c r="A71" s="437"/>
      <c r="B71" s="437"/>
      <c r="C71" s="436"/>
      <c r="D71" s="467">
        <v>45560</v>
      </c>
      <c r="E71" s="436" t="s">
        <v>603</v>
      </c>
      <c r="F71" s="436">
        <v>2957178.8799999999</v>
      </c>
      <c r="G71" s="448">
        <v>46205.919999999925</v>
      </c>
      <c r="H71" s="436">
        <v>323441.43999999994</v>
      </c>
      <c r="I71" s="449">
        <v>646882.87999999989</v>
      </c>
      <c r="N71" s="467">
        <v>46386</v>
      </c>
      <c r="O71" s="436" t="s">
        <v>603</v>
      </c>
      <c r="P71" s="436">
        <v>40027378.5</v>
      </c>
      <c r="Q71" s="449">
        <v>550992.46999999881</v>
      </c>
    </row>
    <row r="72" spans="1:17" ht="15.75" customHeight="1" x14ac:dyDescent="0.2">
      <c r="A72" s="437"/>
      <c r="B72" s="437"/>
      <c r="C72" s="436"/>
      <c r="D72" s="467">
        <v>45561</v>
      </c>
      <c r="E72" s="436" t="s">
        <v>602</v>
      </c>
      <c r="F72" s="436">
        <v>3003384.8</v>
      </c>
      <c r="G72" s="448">
        <v>46205.919999999925</v>
      </c>
      <c r="H72" s="436">
        <v>0</v>
      </c>
      <c r="I72" s="449">
        <v>0</v>
      </c>
      <c r="N72" s="467">
        <v>46400</v>
      </c>
      <c r="O72" s="436" t="s">
        <v>603</v>
      </c>
      <c r="P72" s="436">
        <v>40578370.969999999</v>
      </c>
      <c r="Q72" s="449">
        <v>550992.46999999881</v>
      </c>
    </row>
    <row r="73" spans="1:17" ht="15.75" customHeight="1" x14ac:dyDescent="0.2">
      <c r="A73" s="437"/>
      <c r="B73" s="437"/>
      <c r="C73" s="436"/>
      <c r="D73" s="467">
        <v>45562</v>
      </c>
      <c r="E73" s="436" t="s">
        <v>601</v>
      </c>
      <c r="F73" s="436">
        <v>3049590.72</v>
      </c>
      <c r="G73" s="448">
        <v>46205.920000000391</v>
      </c>
      <c r="H73" s="436">
        <v>0</v>
      </c>
      <c r="I73" s="449">
        <v>0</v>
      </c>
      <c r="N73" s="467">
        <v>46414</v>
      </c>
      <c r="O73" s="436" t="s">
        <v>603</v>
      </c>
      <c r="P73" s="436">
        <v>41129363.439999998</v>
      </c>
      <c r="Q73" s="449">
        <v>550992.46999999881</v>
      </c>
    </row>
    <row r="74" spans="1:17" ht="15.75" customHeight="1" x14ac:dyDescent="0.2">
      <c r="A74" s="437"/>
      <c r="B74" s="437"/>
      <c r="C74" s="436"/>
      <c r="D74" s="467">
        <v>45563</v>
      </c>
      <c r="E74" s="436" t="s">
        <v>600</v>
      </c>
      <c r="F74" s="436">
        <v>3095796.64</v>
      </c>
      <c r="G74" s="448">
        <v>46205.919999999925</v>
      </c>
      <c r="H74" s="436">
        <v>0</v>
      </c>
      <c r="I74" s="449">
        <v>0</v>
      </c>
      <c r="N74" s="467">
        <v>46428</v>
      </c>
      <c r="O74" s="436" t="s">
        <v>603</v>
      </c>
      <c r="P74" s="436">
        <v>41680355.920000002</v>
      </c>
      <c r="Q74" s="449">
        <v>550992.48000000417</v>
      </c>
    </row>
    <row r="75" spans="1:17" ht="15.75" customHeight="1" x14ac:dyDescent="0.2">
      <c r="A75" s="437"/>
      <c r="B75" s="437"/>
      <c r="C75" s="436"/>
      <c r="D75" s="467">
        <v>45564</v>
      </c>
      <c r="E75" s="436" t="s">
        <v>599</v>
      </c>
      <c r="F75" s="436">
        <v>3142002.56</v>
      </c>
      <c r="G75" s="448">
        <v>46205.919999999925</v>
      </c>
      <c r="H75" s="436">
        <v>0</v>
      </c>
      <c r="I75" s="449">
        <v>0</v>
      </c>
      <c r="N75" s="467">
        <v>46442</v>
      </c>
      <c r="O75" s="436" t="s">
        <v>603</v>
      </c>
      <c r="P75" s="436">
        <v>42231348.390000001</v>
      </c>
      <c r="Q75" s="449">
        <v>550992.46999999881</v>
      </c>
    </row>
    <row r="76" spans="1:17" ht="15.75" customHeight="1" x14ac:dyDescent="0.2">
      <c r="A76" s="437"/>
      <c r="B76" s="437"/>
      <c r="C76" s="436"/>
      <c r="D76" s="467">
        <v>45565</v>
      </c>
      <c r="E76" s="436" t="s">
        <v>598</v>
      </c>
      <c r="F76" s="436">
        <v>3188208.48</v>
      </c>
      <c r="G76" s="448">
        <v>46205.919999999925</v>
      </c>
      <c r="H76" s="436">
        <v>0</v>
      </c>
      <c r="I76" s="449">
        <v>0</v>
      </c>
      <c r="N76" s="467">
        <v>46456</v>
      </c>
      <c r="O76" s="436" t="s">
        <v>603</v>
      </c>
      <c r="P76" s="436">
        <v>42782340.859999999</v>
      </c>
      <c r="Q76" s="449">
        <v>550992.46999999881</v>
      </c>
    </row>
    <row r="77" spans="1:17" ht="15.75" customHeight="1" x14ac:dyDescent="0.2">
      <c r="A77" s="437"/>
      <c r="B77" s="437"/>
      <c r="C77" s="436"/>
      <c r="D77" s="467">
        <v>45566</v>
      </c>
      <c r="E77" s="436" t="s">
        <v>597</v>
      </c>
      <c r="F77" s="436">
        <v>3234414.4</v>
      </c>
      <c r="G77" s="448">
        <v>46205.919999999925</v>
      </c>
      <c r="H77" s="436">
        <v>0</v>
      </c>
      <c r="I77" s="449">
        <v>0</v>
      </c>
      <c r="N77" s="467">
        <v>46470</v>
      </c>
      <c r="O77" s="436" t="s">
        <v>603</v>
      </c>
      <c r="P77" s="436">
        <v>43333333.329999998</v>
      </c>
      <c r="Q77" s="449">
        <v>550992.46999999881</v>
      </c>
    </row>
    <row r="78" spans="1:17" ht="15.75" customHeight="1" x14ac:dyDescent="0.2">
      <c r="A78" s="437"/>
      <c r="B78" s="437"/>
      <c r="C78" s="436"/>
      <c r="D78" s="467">
        <v>45567</v>
      </c>
      <c r="E78" s="436" t="s">
        <v>603</v>
      </c>
      <c r="F78" s="436">
        <v>3280620.32</v>
      </c>
      <c r="G78" s="448">
        <v>46205.919999999925</v>
      </c>
      <c r="H78" s="436">
        <v>323441.43999999994</v>
      </c>
      <c r="I78" s="449">
        <v>0</v>
      </c>
      <c r="N78" s="467">
        <v>46484</v>
      </c>
      <c r="O78" s="436" t="s">
        <v>603</v>
      </c>
      <c r="P78" s="436">
        <v>43884325.799999997</v>
      </c>
      <c r="Q78" s="449">
        <v>550992.46999999881</v>
      </c>
    </row>
    <row r="79" spans="1:17" ht="15.75" customHeight="1" x14ac:dyDescent="0.2">
      <c r="A79" s="437"/>
      <c r="B79" s="437"/>
      <c r="C79" s="436"/>
      <c r="D79" s="467">
        <v>45568</v>
      </c>
      <c r="E79" s="436" t="s">
        <v>602</v>
      </c>
      <c r="F79" s="436">
        <v>3326826.24</v>
      </c>
      <c r="G79" s="448">
        <v>46205.920000000391</v>
      </c>
      <c r="H79" s="436">
        <v>0</v>
      </c>
      <c r="I79" s="449">
        <v>0</v>
      </c>
      <c r="N79" s="467">
        <v>46498</v>
      </c>
      <c r="O79" s="436" t="s">
        <v>603</v>
      </c>
      <c r="P79" s="436">
        <v>44435318.270000003</v>
      </c>
      <c r="Q79" s="449">
        <v>550992.47000000626</v>
      </c>
    </row>
    <row r="80" spans="1:17" ht="15.75" customHeight="1" x14ac:dyDescent="0.2">
      <c r="A80" s="437"/>
      <c r="B80" s="437"/>
      <c r="C80" s="436"/>
      <c r="D80" s="467">
        <v>45569</v>
      </c>
      <c r="E80" s="436" t="s">
        <v>601</v>
      </c>
      <c r="F80" s="436">
        <v>3373032.16</v>
      </c>
      <c r="G80" s="448">
        <v>46205.919999999925</v>
      </c>
      <c r="H80" s="436">
        <v>0</v>
      </c>
      <c r="I80" s="449">
        <v>0</v>
      </c>
      <c r="N80" s="467">
        <v>46512</v>
      </c>
      <c r="O80" s="436" t="s">
        <v>603</v>
      </c>
      <c r="P80" s="436">
        <v>44986310.740000002</v>
      </c>
      <c r="Q80" s="449">
        <v>550992.46999999881</v>
      </c>
    </row>
    <row r="81" spans="1:17" ht="15.75" customHeight="1" x14ac:dyDescent="0.2">
      <c r="A81" s="437"/>
      <c r="B81" s="437"/>
      <c r="C81" s="436"/>
      <c r="D81" s="467">
        <v>45570</v>
      </c>
      <c r="E81" s="436" t="s">
        <v>600</v>
      </c>
      <c r="F81" s="436">
        <v>3419238.08</v>
      </c>
      <c r="G81" s="448">
        <v>46205.919999999925</v>
      </c>
      <c r="H81" s="436">
        <v>0</v>
      </c>
      <c r="I81" s="449">
        <v>0</v>
      </c>
      <c r="N81" s="467">
        <v>46526</v>
      </c>
      <c r="O81" s="436" t="s">
        <v>603</v>
      </c>
      <c r="P81" s="436">
        <v>45537303.210000001</v>
      </c>
      <c r="Q81" s="449">
        <v>550992.46999999881</v>
      </c>
    </row>
    <row r="82" spans="1:17" ht="15.75" customHeight="1" x14ac:dyDescent="0.2">
      <c r="A82" s="437"/>
      <c r="B82" s="437"/>
      <c r="C82" s="436"/>
      <c r="D82" s="467">
        <v>45571</v>
      </c>
      <c r="E82" s="436" t="s">
        <v>599</v>
      </c>
      <c r="F82" s="436">
        <v>3465444.01</v>
      </c>
      <c r="G82" s="448">
        <v>46205.929999999702</v>
      </c>
      <c r="H82" s="436">
        <v>0</v>
      </c>
      <c r="I82" s="449">
        <v>0</v>
      </c>
      <c r="N82" s="467">
        <v>46540</v>
      </c>
      <c r="O82" s="436" t="s">
        <v>603</v>
      </c>
      <c r="P82" s="436">
        <v>46088295.68</v>
      </c>
      <c r="Q82" s="449">
        <v>550992.46999999881</v>
      </c>
    </row>
    <row r="83" spans="1:17" ht="15.75" customHeight="1" x14ac:dyDescent="0.2">
      <c r="A83" s="437"/>
      <c r="B83" s="437"/>
      <c r="C83" s="436"/>
      <c r="D83" s="467">
        <v>45572</v>
      </c>
      <c r="E83" s="436" t="s">
        <v>598</v>
      </c>
      <c r="F83" s="436">
        <v>3511649.93</v>
      </c>
      <c r="G83" s="448">
        <v>46205.920000000391</v>
      </c>
      <c r="H83" s="436">
        <v>0</v>
      </c>
      <c r="I83" s="449">
        <v>0</v>
      </c>
      <c r="N83" s="467">
        <v>46554</v>
      </c>
      <c r="O83" s="436" t="s">
        <v>603</v>
      </c>
      <c r="P83" s="436">
        <v>46639288.149999999</v>
      </c>
      <c r="Q83" s="449">
        <v>550992.46999999881</v>
      </c>
    </row>
    <row r="84" spans="1:17" ht="15.75" customHeight="1" x14ac:dyDescent="0.2">
      <c r="A84" s="437"/>
      <c r="B84" s="437"/>
      <c r="C84" s="436"/>
      <c r="D84" s="467">
        <v>45573</v>
      </c>
      <c r="E84" s="436" t="s">
        <v>597</v>
      </c>
      <c r="F84" s="436">
        <v>3557855.85</v>
      </c>
      <c r="G84" s="448">
        <v>46205.919999999925</v>
      </c>
      <c r="H84" s="436">
        <v>0</v>
      </c>
      <c r="I84" s="449">
        <v>0</v>
      </c>
      <c r="N84" s="467">
        <v>46568</v>
      </c>
      <c r="O84" s="436" t="s">
        <v>603</v>
      </c>
      <c r="P84" s="436">
        <v>47190280.619999997</v>
      </c>
      <c r="Q84" s="449">
        <v>550992.46999999881</v>
      </c>
    </row>
    <row r="85" spans="1:17" ht="15.75" customHeight="1" x14ac:dyDescent="0.2">
      <c r="A85" s="437"/>
      <c r="B85" s="437"/>
      <c r="C85" s="436"/>
      <c r="D85" s="467">
        <v>45574</v>
      </c>
      <c r="E85" s="436" t="s">
        <v>603</v>
      </c>
      <c r="F85" s="436">
        <v>3604061.77</v>
      </c>
      <c r="G85" s="448">
        <v>46205.919999999925</v>
      </c>
      <c r="H85" s="436">
        <v>323441.45000000019</v>
      </c>
      <c r="I85" s="449">
        <v>646882.89000000013</v>
      </c>
      <c r="N85" s="467">
        <v>46582</v>
      </c>
      <c r="O85" s="436" t="s">
        <v>603</v>
      </c>
      <c r="P85" s="436">
        <v>47741273.100000001</v>
      </c>
      <c r="Q85" s="449">
        <v>550992.48000000417</v>
      </c>
    </row>
    <row r="86" spans="1:17" ht="15.75" customHeight="1" x14ac:dyDescent="0.2">
      <c r="A86" s="437"/>
      <c r="B86" s="437"/>
      <c r="C86" s="436"/>
      <c r="D86" s="467">
        <v>45575</v>
      </c>
      <c r="E86" s="436" t="s">
        <v>602</v>
      </c>
      <c r="F86" s="436">
        <v>3650267.69</v>
      </c>
      <c r="G86" s="448">
        <v>46205.919999999925</v>
      </c>
      <c r="H86" s="436">
        <v>0</v>
      </c>
      <c r="I86" s="449">
        <v>0</v>
      </c>
      <c r="N86" s="467">
        <v>46596</v>
      </c>
      <c r="O86" s="436" t="s">
        <v>603</v>
      </c>
      <c r="P86" s="436">
        <v>48292265.57</v>
      </c>
      <c r="Q86" s="449">
        <v>550992.46999999881</v>
      </c>
    </row>
    <row r="87" spans="1:17" ht="15.75" customHeight="1" x14ac:dyDescent="0.2">
      <c r="A87" s="437"/>
      <c r="B87" s="437"/>
      <c r="C87" s="436"/>
      <c r="D87" s="467">
        <v>45576</v>
      </c>
      <c r="E87" s="436" t="s">
        <v>601</v>
      </c>
      <c r="F87" s="436">
        <v>3696473.61</v>
      </c>
      <c r="G87" s="448">
        <v>46205.919999999925</v>
      </c>
      <c r="H87" s="436">
        <v>0</v>
      </c>
      <c r="I87" s="449">
        <v>0</v>
      </c>
      <c r="N87" s="467">
        <v>46610</v>
      </c>
      <c r="O87" s="436" t="s">
        <v>603</v>
      </c>
      <c r="P87" s="436">
        <v>48843258.039999999</v>
      </c>
      <c r="Q87" s="449">
        <v>550992.46999999881</v>
      </c>
    </row>
    <row r="88" spans="1:17" ht="15.75" customHeight="1" x14ac:dyDescent="0.2">
      <c r="A88" s="437"/>
      <c r="B88" s="437"/>
      <c r="C88" s="436"/>
      <c r="D88" s="467">
        <v>45577</v>
      </c>
      <c r="E88" s="436" t="s">
        <v>600</v>
      </c>
      <c r="F88" s="436">
        <v>3742679.53</v>
      </c>
      <c r="G88" s="448">
        <v>46205.919999999925</v>
      </c>
      <c r="H88" s="436">
        <v>0</v>
      </c>
      <c r="I88" s="449">
        <v>0</v>
      </c>
      <c r="N88" s="467">
        <v>46624</v>
      </c>
      <c r="O88" s="436" t="s">
        <v>603</v>
      </c>
      <c r="P88" s="436">
        <v>49394250.509999998</v>
      </c>
      <c r="Q88" s="449">
        <v>550992.46999999881</v>
      </c>
    </row>
    <row r="89" spans="1:17" ht="15.75" customHeight="1" x14ac:dyDescent="0.2">
      <c r="A89" s="437"/>
      <c r="B89" s="437"/>
      <c r="C89" s="436"/>
      <c r="D89" s="467">
        <v>45578</v>
      </c>
      <c r="E89" s="436" t="s">
        <v>599</v>
      </c>
      <c r="F89" s="436">
        <v>3788885.45</v>
      </c>
      <c r="G89" s="448">
        <v>46205.920000000391</v>
      </c>
      <c r="H89" s="436">
        <v>0</v>
      </c>
      <c r="I89" s="449">
        <v>0</v>
      </c>
      <c r="N89" s="467">
        <v>46638</v>
      </c>
      <c r="O89" s="436" t="s">
        <v>603</v>
      </c>
      <c r="P89" s="436">
        <v>49945242.979999997</v>
      </c>
      <c r="Q89" s="449">
        <v>550992.46999999881</v>
      </c>
    </row>
    <row r="90" spans="1:17" ht="15.75" customHeight="1" x14ac:dyDescent="0.2">
      <c r="A90" s="437"/>
      <c r="B90" s="437"/>
      <c r="C90" s="436"/>
      <c r="D90" s="467">
        <v>45579</v>
      </c>
      <c r="E90" s="436" t="s">
        <v>598</v>
      </c>
      <c r="F90" s="436">
        <v>3835091.37</v>
      </c>
      <c r="G90" s="448">
        <v>46205.919999999925</v>
      </c>
      <c r="H90" s="436">
        <v>0</v>
      </c>
      <c r="I90" s="449">
        <v>0</v>
      </c>
      <c r="N90" s="467">
        <v>46652</v>
      </c>
      <c r="O90" s="436" t="s">
        <v>603</v>
      </c>
      <c r="P90" s="436">
        <v>50496235.450000003</v>
      </c>
      <c r="Q90" s="449">
        <v>550992.47000000626</v>
      </c>
    </row>
    <row r="91" spans="1:17" ht="15.75" customHeight="1" x14ac:dyDescent="0.2">
      <c r="A91" s="437"/>
      <c r="B91" s="437"/>
      <c r="C91" s="436"/>
      <c r="D91" s="467">
        <v>45580</v>
      </c>
      <c r="E91" s="436" t="s">
        <v>597</v>
      </c>
      <c r="F91" s="436">
        <v>3881297.29</v>
      </c>
      <c r="G91" s="448">
        <v>46205.919999999925</v>
      </c>
      <c r="H91" s="436">
        <v>0</v>
      </c>
      <c r="I91" s="449">
        <v>0</v>
      </c>
      <c r="N91" s="467">
        <v>46666</v>
      </c>
      <c r="O91" s="436" t="s">
        <v>603</v>
      </c>
      <c r="P91" s="436">
        <v>51047227.920000002</v>
      </c>
      <c r="Q91" s="449">
        <v>550992.46999999881</v>
      </c>
    </row>
    <row r="92" spans="1:17" ht="15.75" customHeight="1" x14ac:dyDescent="0.2">
      <c r="A92" s="437"/>
      <c r="B92" s="437"/>
      <c r="C92" s="436"/>
      <c r="D92" s="467">
        <v>45581</v>
      </c>
      <c r="E92" s="436" t="s">
        <v>603</v>
      </c>
      <c r="F92" s="436">
        <v>3927503.21</v>
      </c>
      <c r="G92" s="448">
        <v>46205.919999999925</v>
      </c>
      <c r="H92" s="436">
        <v>323441.43999999994</v>
      </c>
      <c r="I92" s="449">
        <v>0</v>
      </c>
      <c r="N92" s="467">
        <v>46680</v>
      </c>
      <c r="O92" s="436" t="s">
        <v>603</v>
      </c>
      <c r="P92" s="436">
        <v>51598220.390000001</v>
      </c>
      <c r="Q92" s="449">
        <v>550992.46999999881</v>
      </c>
    </row>
    <row r="93" spans="1:17" ht="15.75" customHeight="1" x14ac:dyDescent="0.2">
      <c r="A93" s="437"/>
      <c r="B93" s="437"/>
      <c r="C93" s="436"/>
      <c r="D93" s="467">
        <v>45582</v>
      </c>
      <c r="E93" s="436" t="s">
        <v>602</v>
      </c>
      <c r="F93" s="436">
        <v>3973709.13</v>
      </c>
      <c r="G93" s="448">
        <v>46205.919999999925</v>
      </c>
      <c r="H93" s="436">
        <v>0</v>
      </c>
      <c r="I93" s="449">
        <v>0</v>
      </c>
      <c r="N93" s="467">
        <v>46694</v>
      </c>
      <c r="O93" s="436" t="s">
        <v>603</v>
      </c>
      <c r="P93" s="436">
        <v>52149212.859999999</v>
      </c>
      <c r="Q93" s="449">
        <v>550992.46999999881</v>
      </c>
    </row>
    <row r="94" spans="1:17" ht="15.75" customHeight="1" x14ac:dyDescent="0.2">
      <c r="A94" s="437"/>
      <c r="B94" s="437"/>
      <c r="C94" s="436"/>
      <c r="D94" s="467">
        <v>45583</v>
      </c>
      <c r="E94" s="436" t="s">
        <v>601</v>
      </c>
      <c r="F94" s="436">
        <v>4019915.05</v>
      </c>
      <c r="G94" s="448">
        <v>46205.919999999925</v>
      </c>
      <c r="H94" s="436">
        <v>0</v>
      </c>
      <c r="I94" s="449">
        <v>0</v>
      </c>
      <c r="N94" s="467">
        <v>46708</v>
      </c>
      <c r="O94" s="436" t="s">
        <v>603</v>
      </c>
      <c r="P94" s="436">
        <v>52700205.329999998</v>
      </c>
      <c r="Q94" s="449">
        <v>550992.46999999881</v>
      </c>
    </row>
    <row r="95" spans="1:17" ht="15.75" customHeight="1" x14ac:dyDescent="0.2">
      <c r="A95" s="437"/>
      <c r="B95" s="437"/>
      <c r="C95" s="436"/>
      <c r="D95" s="467">
        <v>45584</v>
      </c>
      <c r="E95" s="436" t="s">
        <v>600</v>
      </c>
      <c r="F95" s="436">
        <v>4066120.97</v>
      </c>
      <c r="G95" s="448">
        <v>46205.920000000391</v>
      </c>
      <c r="H95" s="436">
        <v>0</v>
      </c>
      <c r="I95" s="449">
        <v>0</v>
      </c>
      <c r="N95" s="467">
        <v>46722</v>
      </c>
      <c r="O95" s="436" t="s">
        <v>603</v>
      </c>
      <c r="P95" s="436">
        <v>53251197.799999997</v>
      </c>
      <c r="Q95" s="449">
        <v>550992.46999999881</v>
      </c>
    </row>
    <row r="96" spans="1:17" ht="15.75" customHeight="1" x14ac:dyDescent="0.2">
      <c r="A96" s="437"/>
      <c r="B96" s="437"/>
      <c r="C96" s="436"/>
      <c r="D96" s="467">
        <v>45585</v>
      </c>
      <c r="E96" s="436" t="s">
        <v>599</v>
      </c>
      <c r="F96" s="436">
        <v>4112326.89</v>
      </c>
      <c r="G96" s="448">
        <v>46205.919999999925</v>
      </c>
      <c r="H96" s="436">
        <v>0</v>
      </c>
      <c r="I96" s="449">
        <v>0</v>
      </c>
      <c r="N96" s="467">
        <v>46736</v>
      </c>
      <c r="O96" s="436" t="s">
        <v>603</v>
      </c>
      <c r="P96" s="436">
        <v>53802190.280000001</v>
      </c>
      <c r="Q96" s="449">
        <v>550992.48000000417</v>
      </c>
    </row>
    <row r="97" spans="1:18" ht="15.75" customHeight="1" x14ac:dyDescent="0.2">
      <c r="A97" s="437"/>
      <c r="B97" s="437"/>
      <c r="C97" s="436"/>
      <c r="D97" s="467">
        <v>45586</v>
      </c>
      <c r="E97" s="436" t="s">
        <v>598</v>
      </c>
      <c r="F97" s="436">
        <v>4158532.81</v>
      </c>
      <c r="G97" s="448">
        <v>46205.919999999925</v>
      </c>
      <c r="H97" s="436">
        <v>0</v>
      </c>
      <c r="I97" s="449">
        <v>0</v>
      </c>
      <c r="N97" s="467">
        <v>46750</v>
      </c>
      <c r="O97" s="436" t="s">
        <v>603</v>
      </c>
      <c r="P97" s="436">
        <v>54353182.75</v>
      </c>
      <c r="Q97" s="449">
        <v>550992.46999999881</v>
      </c>
    </row>
    <row r="98" spans="1:18" ht="15.75" customHeight="1" x14ac:dyDescent="0.2">
      <c r="A98" s="437"/>
      <c r="B98" s="437"/>
      <c r="C98" s="436"/>
      <c r="D98" s="467">
        <v>45587</v>
      </c>
      <c r="E98" s="436" t="s">
        <v>597</v>
      </c>
      <c r="F98" s="436">
        <v>4204738.7300000004</v>
      </c>
      <c r="G98" s="448">
        <v>46205.920000000391</v>
      </c>
      <c r="H98" s="436">
        <v>0</v>
      </c>
      <c r="I98" s="449">
        <v>0</v>
      </c>
      <c r="N98" s="467">
        <v>46764</v>
      </c>
      <c r="O98" s="436" t="s">
        <v>603</v>
      </c>
      <c r="P98" s="436">
        <v>54904175.219999999</v>
      </c>
      <c r="Q98" s="449">
        <v>550992.46999999881</v>
      </c>
    </row>
    <row r="99" spans="1:18" ht="15.75" customHeight="1" x14ac:dyDescent="0.2">
      <c r="A99" s="437"/>
      <c r="B99" s="437"/>
      <c r="C99" s="436"/>
      <c r="D99" s="467">
        <v>45588</v>
      </c>
      <c r="E99" s="436" t="s">
        <v>603</v>
      </c>
      <c r="F99" s="436">
        <v>4250944.6500000004</v>
      </c>
      <c r="G99" s="448">
        <v>46205.919999999925</v>
      </c>
      <c r="H99" s="436">
        <v>323441.44000000041</v>
      </c>
      <c r="I99" s="449">
        <v>646882.88000000035</v>
      </c>
      <c r="N99" s="467">
        <v>46778</v>
      </c>
      <c r="O99" s="436" t="s">
        <v>603</v>
      </c>
      <c r="P99" s="436">
        <v>55455167.689999998</v>
      </c>
      <c r="Q99" s="449">
        <v>550992.46999999881</v>
      </c>
    </row>
    <row r="100" spans="1:18" ht="15.75" customHeight="1" x14ac:dyDescent="0.2">
      <c r="A100" s="437"/>
      <c r="B100" s="437"/>
      <c r="C100" s="436"/>
      <c r="D100" s="467">
        <v>45589</v>
      </c>
      <c r="E100" s="436" t="s">
        <v>602</v>
      </c>
      <c r="F100" s="436">
        <v>4297150.57</v>
      </c>
      <c r="G100" s="448">
        <v>46205.919999999925</v>
      </c>
      <c r="H100" s="436">
        <v>0</v>
      </c>
      <c r="I100" s="449">
        <v>0</v>
      </c>
      <c r="N100" s="467">
        <v>46792</v>
      </c>
      <c r="O100" s="436" t="s">
        <v>603</v>
      </c>
      <c r="P100" s="436">
        <v>56006160.159999996</v>
      </c>
      <c r="Q100" s="449">
        <v>550992.46999999881</v>
      </c>
    </row>
    <row r="101" spans="1:18" ht="15.75" customHeight="1" x14ac:dyDescent="0.2">
      <c r="A101" s="437"/>
      <c r="B101" s="437"/>
      <c r="C101" s="436"/>
      <c r="D101" s="467">
        <v>45590</v>
      </c>
      <c r="E101" s="436" t="s">
        <v>601</v>
      </c>
      <c r="F101" s="436">
        <v>4343356.49</v>
      </c>
      <c r="G101" s="448">
        <v>46205.919999999925</v>
      </c>
      <c r="H101" s="436">
        <v>0</v>
      </c>
      <c r="I101" s="449">
        <v>0</v>
      </c>
      <c r="N101" s="467">
        <v>46806</v>
      </c>
      <c r="O101" s="436" t="s">
        <v>603</v>
      </c>
      <c r="P101" s="436">
        <v>56557152.630000003</v>
      </c>
      <c r="Q101" s="449">
        <v>550992.47000000626</v>
      </c>
    </row>
    <row r="102" spans="1:18" ht="15.75" customHeight="1" x14ac:dyDescent="0.2">
      <c r="A102" s="437"/>
      <c r="B102" s="437"/>
      <c r="C102" s="436"/>
      <c r="D102" s="467">
        <v>45591</v>
      </c>
      <c r="E102" s="436" t="s">
        <v>600</v>
      </c>
      <c r="F102" s="436">
        <v>4389562.41</v>
      </c>
      <c r="G102" s="448">
        <v>46205.919999999925</v>
      </c>
      <c r="H102" s="436">
        <v>0</v>
      </c>
      <c r="I102" s="449">
        <v>0</v>
      </c>
      <c r="N102" s="467">
        <v>46820</v>
      </c>
      <c r="O102" s="436" t="s">
        <v>603</v>
      </c>
      <c r="P102" s="436">
        <v>57108145.100000001</v>
      </c>
      <c r="Q102" s="449">
        <v>550992.46999999881</v>
      </c>
    </row>
    <row r="103" spans="1:18" ht="15.75" customHeight="1" x14ac:dyDescent="0.2">
      <c r="A103" s="437"/>
      <c r="B103" s="437"/>
      <c r="C103" s="436"/>
      <c r="D103" s="467">
        <v>45592</v>
      </c>
      <c r="E103" s="436" t="s">
        <v>599</v>
      </c>
      <c r="F103" s="436">
        <v>4435768.33</v>
      </c>
      <c r="G103" s="448">
        <v>46205.919999999925</v>
      </c>
      <c r="H103" s="436">
        <v>0</v>
      </c>
      <c r="I103" s="449">
        <v>0</v>
      </c>
      <c r="N103" s="467">
        <v>46834</v>
      </c>
      <c r="O103" s="436" t="s">
        <v>603</v>
      </c>
      <c r="P103" s="436">
        <v>57659137.57</v>
      </c>
      <c r="Q103" s="449">
        <v>550992.46999999881</v>
      </c>
    </row>
    <row r="104" spans="1:18" ht="15.75" customHeight="1" x14ac:dyDescent="0.2">
      <c r="A104" s="437"/>
      <c r="B104" s="437"/>
      <c r="C104" s="436"/>
      <c r="D104" s="467">
        <v>45593</v>
      </c>
      <c r="E104" s="436" t="s">
        <v>598</v>
      </c>
      <c r="F104" s="436">
        <v>4481974.25</v>
      </c>
      <c r="G104" s="448">
        <v>46205.919999999925</v>
      </c>
      <c r="H104" s="436">
        <v>0</v>
      </c>
      <c r="I104" s="449">
        <v>0</v>
      </c>
      <c r="N104" s="467">
        <v>46848</v>
      </c>
      <c r="O104" s="436" t="s">
        <v>603</v>
      </c>
      <c r="P104" s="436">
        <v>58210130.039999999</v>
      </c>
      <c r="Q104" s="449">
        <v>550992.46999999881</v>
      </c>
    </row>
    <row r="105" spans="1:18" ht="15.75" customHeight="1" x14ac:dyDescent="0.2">
      <c r="A105" s="437"/>
      <c r="B105" s="437"/>
      <c r="C105" s="436"/>
      <c r="D105" s="467">
        <v>45594</v>
      </c>
      <c r="E105" s="436" t="s">
        <v>597</v>
      </c>
      <c r="F105" s="436">
        <v>4528180.17</v>
      </c>
      <c r="G105" s="448">
        <v>46205.919999999925</v>
      </c>
      <c r="H105" s="436">
        <v>0</v>
      </c>
      <c r="I105" s="449">
        <v>0</v>
      </c>
      <c r="N105" s="467">
        <v>46862</v>
      </c>
      <c r="O105" s="436" t="s">
        <v>603</v>
      </c>
      <c r="P105" s="436">
        <v>58761122.509999998</v>
      </c>
      <c r="Q105" s="449">
        <v>550992.46999999881</v>
      </c>
    </row>
    <row r="106" spans="1:18" ht="15.75" customHeight="1" x14ac:dyDescent="0.2">
      <c r="A106" s="437"/>
      <c r="B106" s="437"/>
      <c r="C106" s="436"/>
      <c r="D106" s="467">
        <v>45595</v>
      </c>
      <c r="E106" s="436" t="s">
        <v>603</v>
      </c>
      <c r="F106" s="436">
        <v>4574386.09</v>
      </c>
      <c r="G106" s="448">
        <v>46205.919999999925</v>
      </c>
      <c r="H106" s="436">
        <v>323441.43999999948</v>
      </c>
      <c r="I106" s="449">
        <v>0</v>
      </c>
      <c r="N106" s="467">
        <v>46876</v>
      </c>
      <c r="O106" s="436" t="s">
        <v>603</v>
      </c>
      <c r="P106" s="436">
        <v>59312114.979999997</v>
      </c>
      <c r="Q106" s="449">
        <v>550992.46999999881</v>
      </c>
    </row>
    <row r="107" spans="1:18" ht="15.75" customHeight="1" x14ac:dyDescent="0.2">
      <c r="A107" s="437"/>
      <c r="B107" s="437"/>
      <c r="C107" s="436"/>
      <c r="D107" s="467">
        <v>45596</v>
      </c>
      <c r="E107" s="436" t="s">
        <v>602</v>
      </c>
      <c r="F107" s="436">
        <v>4620592.01</v>
      </c>
      <c r="G107" s="448">
        <v>46205.919999999925</v>
      </c>
      <c r="H107" s="436">
        <v>0</v>
      </c>
      <c r="I107" s="449">
        <v>0</v>
      </c>
      <c r="N107" s="467">
        <v>46890</v>
      </c>
      <c r="O107" s="436" t="s">
        <v>603</v>
      </c>
      <c r="P107" s="436">
        <v>59863107.460000001</v>
      </c>
      <c r="Q107" s="449">
        <v>550992.48000000417</v>
      </c>
    </row>
    <row r="108" spans="1:18" ht="15.75" customHeight="1" x14ac:dyDescent="0.2">
      <c r="A108" s="437"/>
      <c r="B108" s="437"/>
      <c r="C108" s="436"/>
      <c r="D108" s="467">
        <v>45597</v>
      </c>
      <c r="E108" s="436" t="s">
        <v>601</v>
      </c>
      <c r="F108" s="436">
        <v>4666797.93</v>
      </c>
      <c r="G108" s="448">
        <v>46205.919999999925</v>
      </c>
      <c r="H108" s="436">
        <v>0</v>
      </c>
      <c r="I108" s="449">
        <v>0</v>
      </c>
      <c r="N108" s="467">
        <v>46904</v>
      </c>
      <c r="O108" s="436" t="s">
        <v>603</v>
      </c>
      <c r="P108" s="436">
        <v>60414099.93</v>
      </c>
      <c r="Q108" s="449">
        <v>550992.46999999881</v>
      </c>
    </row>
    <row r="109" spans="1:18" ht="15.75" customHeight="1" x14ac:dyDescent="0.2">
      <c r="A109" s="437"/>
      <c r="B109" s="437"/>
      <c r="C109" s="436"/>
      <c r="D109" s="467">
        <v>45598</v>
      </c>
      <c r="E109" s="436" t="s">
        <v>600</v>
      </c>
      <c r="F109" s="436">
        <v>4713003.8499999996</v>
      </c>
      <c r="G109" s="448">
        <v>46205.919999999925</v>
      </c>
      <c r="H109" s="436">
        <v>0</v>
      </c>
      <c r="I109" s="449">
        <v>0</v>
      </c>
      <c r="N109" s="467">
        <v>46918</v>
      </c>
      <c r="O109" s="436" t="s">
        <v>603</v>
      </c>
      <c r="P109" s="436">
        <v>60965092.399999999</v>
      </c>
      <c r="Q109" s="449">
        <v>550992.46999999881</v>
      </c>
    </row>
    <row r="110" spans="1:18" ht="15.75" customHeight="1" x14ac:dyDescent="0.2">
      <c r="A110" s="437"/>
      <c r="B110" s="437"/>
      <c r="C110" s="436"/>
      <c r="D110" s="467">
        <v>45599</v>
      </c>
      <c r="E110" s="436" t="s">
        <v>599</v>
      </c>
      <c r="F110" s="436">
        <v>4759209.7699999996</v>
      </c>
      <c r="G110" s="448">
        <v>46205.919999999925</v>
      </c>
      <c r="H110" s="436">
        <v>0</v>
      </c>
      <c r="I110" s="449">
        <v>0</v>
      </c>
      <c r="N110" s="467">
        <v>46932</v>
      </c>
      <c r="O110" s="436" t="s">
        <v>603</v>
      </c>
      <c r="P110" s="436">
        <v>61516084.869999997</v>
      </c>
      <c r="Q110" s="449">
        <v>550992.46999999881</v>
      </c>
    </row>
    <row r="111" spans="1:18" ht="15.75" customHeight="1" x14ac:dyDescent="0.2">
      <c r="A111" s="437"/>
      <c r="B111" s="437"/>
      <c r="C111" s="436"/>
      <c r="D111" s="467">
        <v>45600</v>
      </c>
      <c r="E111" s="436" t="s">
        <v>598</v>
      </c>
      <c r="F111" s="436">
        <v>4805415.6900000004</v>
      </c>
      <c r="G111" s="448">
        <v>46205.920000000857</v>
      </c>
      <c r="H111" s="436">
        <v>0</v>
      </c>
      <c r="I111" s="449">
        <v>0</v>
      </c>
      <c r="N111" s="467">
        <v>46946</v>
      </c>
      <c r="O111" s="436" t="s">
        <v>603</v>
      </c>
      <c r="P111" s="436">
        <v>62067077.340000004</v>
      </c>
      <c r="Q111" s="449">
        <v>550992.47000000626</v>
      </c>
    </row>
    <row r="112" spans="1:18" ht="15.75" customHeight="1" x14ac:dyDescent="0.2">
      <c r="A112" s="437"/>
      <c r="B112" s="437"/>
      <c r="C112" s="436"/>
      <c r="D112" s="467">
        <v>45601</v>
      </c>
      <c r="E112" s="436" t="s">
        <v>597</v>
      </c>
      <c r="F112" s="436">
        <v>4851621.6100000003</v>
      </c>
      <c r="G112" s="448">
        <v>46205.919999999925</v>
      </c>
      <c r="H112" s="436">
        <v>0</v>
      </c>
      <c r="I112" s="449">
        <v>0</v>
      </c>
      <c r="N112" s="467">
        <v>46960</v>
      </c>
      <c r="O112" s="436" t="s">
        <v>603</v>
      </c>
      <c r="P112" s="436">
        <v>62500000</v>
      </c>
      <c r="Q112" s="449">
        <v>432922.65999999642</v>
      </c>
      <c r="R112" s="556">
        <f>P112</f>
        <v>62500000</v>
      </c>
    </row>
    <row r="113" spans="1:9" ht="15.75" customHeight="1" x14ac:dyDescent="0.2">
      <c r="A113" s="437"/>
      <c r="B113" s="437"/>
      <c r="C113" s="436"/>
      <c r="D113" s="467">
        <v>45602</v>
      </c>
      <c r="E113" s="436" t="s">
        <v>603</v>
      </c>
      <c r="F113" s="436">
        <v>4897827.53</v>
      </c>
      <c r="G113" s="448">
        <v>46205.919999999925</v>
      </c>
      <c r="H113" s="436">
        <v>323441.44000000041</v>
      </c>
      <c r="I113" s="449">
        <v>646882.87999999989</v>
      </c>
    </row>
    <row r="114" spans="1:9" ht="15.75" customHeight="1" x14ac:dyDescent="0.2">
      <c r="A114" s="437"/>
      <c r="B114" s="437"/>
      <c r="C114" s="436"/>
      <c r="D114" s="467">
        <v>45603</v>
      </c>
      <c r="E114" s="436" t="s">
        <v>602</v>
      </c>
      <c r="F114" s="436">
        <v>4944033.45</v>
      </c>
      <c r="G114" s="448">
        <v>46205.919999999925</v>
      </c>
      <c r="H114" s="436">
        <v>0</v>
      </c>
      <c r="I114" s="449">
        <v>0</v>
      </c>
    </row>
    <row r="115" spans="1:9" ht="15.75" customHeight="1" x14ac:dyDescent="0.2">
      <c r="A115" s="437"/>
      <c r="B115" s="437"/>
      <c r="C115" s="436"/>
      <c r="D115" s="467">
        <v>45604</v>
      </c>
      <c r="E115" s="436" t="s">
        <v>601</v>
      </c>
      <c r="F115" s="436">
        <v>4990239.37</v>
      </c>
      <c r="G115" s="448">
        <v>46205.919999999925</v>
      </c>
      <c r="H115" s="436">
        <v>0</v>
      </c>
      <c r="I115" s="449">
        <v>0</v>
      </c>
    </row>
    <row r="116" spans="1:9" ht="15.75" customHeight="1" x14ac:dyDescent="0.2">
      <c r="A116" s="437"/>
      <c r="B116" s="437"/>
      <c r="C116" s="436"/>
      <c r="D116" s="467">
        <v>45605</v>
      </c>
      <c r="E116" s="436" t="s">
        <v>600</v>
      </c>
      <c r="F116" s="436">
        <v>5036445.29</v>
      </c>
      <c r="G116" s="448">
        <v>46205.919999999925</v>
      </c>
      <c r="H116" s="436">
        <v>0</v>
      </c>
      <c r="I116" s="449">
        <v>0</v>
      </c>
    </row>
    <row r="117" spans="1:9" ht="15.75" customHeight="1" x14ac:dyDescent="0.2">
      <c r="A117" s="437"/>
      <c r="B117" s="437"/>
      <c r="C117" s="436"/>
      <c r="D117" s="467">
        <v>45606</v>
      </c>
      <c r="E117" s="436" t="s">
        <v>599</v>
      </c>
      <c r="F117" s="436">
        <v>5082651.21</v>
      </c>
      <c r="G117" s="448">
        <v>46205.919999999925</v>
      </c>
      <c r="H117" s="436">
        <v>0</v>
      </c>
      <c r="I117" s="449">
        <v>0</v>
      </c>
    </row>
    <row r="118" spans="1:9" ht="15.75" customHeight="1" x14ac:dyDescent="0.2">
      <c r="A118" s="437"/>
      <c r="B118" s="437"/>
      <c r="C118" s="436"/>
      <c r="D118" s="467">
        <v>45607</v>
      </c>
      <c r="E118" s="436" t="s">
        <v>598</v>
      </c>
      <c r="F118" s="436">
        <v>5128857.13</v>
      </c>
      <c r="G118" s="448">
        <v>46205.919999999925</v>
      </c>
      <c r="H118" s="436">
        <v>0</v>
      </c>
      <c r="I118" s="449">
        <v>0</v>
      </c>
    </row>
    <row r="119" spans="1:9" ht="15.75" customHeight="1" x14ac:dyDescent="0.2">
      <c r="A119" s="437"/>
      <c r="B119" s="437"/>
      <c r="C119" s="436"/>
      <c r="D119" s="467">
        <v>45608</v>
      </c>
      <c r="E119" s="436" t="s">
        <v>597</v>
      </c>
      <c r="F119" s="436">
        <v>5175063.05</v>
      </c>
      <c r="G119" s="448">
        <v>46205.919999999925</v>
      </c>
      <c r="H119" s="436">
        <v>0</v>
      </c>
      <c r="I119" s="449">
        <v>0</v>
      </c>
    </row>
    <row r="120" spans="1:9" ht="15.75" customHeight="1" x14ac:dyDescent="0.2">
      <c r="A120" s="437"/>
      <c r="B120" s="437"/>
      <c r="C120" s="436"/>
      <c r="D120" s="467">
        <v>45609</v>
      </c>
      <c r="E120" s="436" t="s">
        <v>603</v>
      </c>
      <c r="F120" s="436">
        <v>5221268.97</v>
      </c>
      <c r="G120" s="448">
        <v>46205.919999999925</v>
      </c>
      <c r="H120" s="436">
        <v>323441.43999999948</v>
      </c>
      <c r="I120" s="449">
        <v>0</v>
      </c>
    </row>
    <row r="121" spans="1:9" ht="15.75" customHeight="1" x14ac:dyDescent="0.2">
      <c r="A121" s="437"/>
      <c r="B121" s="437"/>
      <c r="C121" s="436"/>
      <c r="D121" s="467">
        <v>45610</v>
      </c>
      <c r="E121" s="436" t="s">
        <v>602</v>
      </c>
      <c r="F121" s="436">
        <v>5267474.8899999997</v>
      </c>
      <c r="G121" s="448">
        <v>46205.919999999925</v>
      </c>
      <c r="H121" s="436">
        <v>0</v>
      </c>
      <c r="I121" s="449">
        <v>0</v>
      </c>
    </row>
    <row r="122" spans="1:9" ht="15.75" customHeight="1" x14ac:dyDescent="0.2">
      <c r="A122" s="437"/>
      <c r="B122" s="437"/>
      <c r="C122" s="436"/>
      <c r="D122" s="467">
        <v>45611</v>
      </c>
      <c r="E122" s="436" t="s">
        <v>601</v>
      </c>
      <c r="F122" s="436">
        <v>5313680.8099999996</v>
      </c>
      <c r="G122" s="448">
        <v>46205.919999999925</v>
      </c>
      <c r="H122" s="436">
        <v>0</v>
      </c>
      <c r="I122" s="449">
        <v>0</v>
      </c>
    </row>
    <row r="123" spans="1:9" ht="15.75" customHeight="1" x14ac:dyDescent="0.2">
      <c r="A123" s="437"/>
      <c r="B123" s="437"/>
      <c r="C123" s="436"/>
      <c r="D123" s="467">
        <v>45612</v>
      </c>
      <c r="E123" s="436" t="s">
        <v>600</v>
      </c>
      <c r="F123" s="436">
        <v>5359886.7300000004</v>
      </c>
      <c r="G123" s="448">
        <v>46205.920000000857</v>
      </c>
      <c r="H123" s="436">
        <v>0</v>
      </c>
      <c r="I123" s="449">
        <v>0</v>
      </c>
    </row>
    <row r="124" spans="1:9" ht="15.75" customHeight="1" x14ac:dyDescent="0.2">
      <c r="A124" s="437"/>
      <c r="B124" s="437"/>
      <c r="C124" s="436"/>
      <c r="D124" s="467">
        <v>45613</v>
      </c>
      <c r="E124" s="436" t="s">
        <v>599</v>
      </c>
      <c r="F124" s="436">
        <v>5406092.6500000004</v>
      </c>
      <c r="G124" s="448">
        <v>46205.919999999925</v>
      </c>
      <c r="H124" s="436">
        <v>0</v>
      </c>
      <c r="I124" s="449">
        <v>0</v>
      </c>
    </row>
    <row r="125" spans="1:9" ht="15.75" customHeight="1" x14ac:dyDescent="0.2">
      <c r="A125" s="437"/>
      <c r="B125" s="437"/>
      <c r="C125" s="436"/>
      <c r="D125" s="467">
        <v>45614</v>
      </c>
      <c r="E125" s="436" t="s">
        <v>598</v>
      </c>
      <c r="F125" s="436">
        <v>5452298.5700000003</v>
      </c>
      <c r="G125" s="448">
        <v>46205.919999999925</v>
      </c>
      <c r="H125" s="436">
        <v>0</v>
      </c>
      <c r="I125" s="449">
        <v>0</v>
      </c>
    </row>
    <row r="126" spans="1:9" ht="15.75" customHeight="1" x14ac:dyDescent="0.2">
      <c r="A126" s="437"/>
      <c r="B126" s="437"/>
      <c r="C126" s="436"/>
      <c r="D126" s="467">
        <v>45615</v>
      </c>
      <c r="E126" s="436" t="s">
        <v>597</v>
      </c>
      <c r="F126" s="436">
        <v>5498504.4900000002</v>
      </c>
      <c r="G126" s="448">
        <v>46205.919999999925</v>
      </c>
      <c r="H126" s="436">
        <v>0</v>
      </c>
      <c r="I126" s="449">
        <v>0</v>
      </c>
    </row>
    <row r="127" spans="1:9" ht="15.75" customHeight="1" x14ac:dyDescent="0.2">
      <c r="A127" s="437"/>
      <c r="B127" s="437"/>
      <c r="C127" s="436"/>
      <c r="D127" s="467">
        <v>45616</v>
      </c>
      <c r="E127" s="436" t="s">
        <v>603</v>
      </c>
      <c r="F127" s="436">
        <v>5544710.4100000001</v>
      </c>
      <c r="G127" s="448">
        <v>46205.919999999925</v>
      </c>
      <c r="H127" s="436">
        <v>323441.44000000041</v>
      </c>
      <c r="I127" s="449">
        <v>646882.87999999989</v>
      </c>
    </row>
    <row r="128" spans="1:9" ht="15.75" customHeight="1" x14ac:dyDescent="0.2">
      <c r="A128" s="437"/>
      <c r="B128" s="437"/>
      <c r="C128" s="436"/>
      <c r="D128" s="467">
        <v>45617</v>
      </c>
      <c r="E128" s="436" t="s">
        <v>602</v>
      </c>
      <c r="F128" s="436">
        <v>5590916.3300000001</v>
      </c>
      <c r="G128" s="448">
        <v>46205.919999999925</v>
      </c>
      <c r="H128" s="436">
        <v>0</v>
      </c>
      <c r="I128" s="449">
        <v>0</v>
      </c>
    </row>
    <row r="129" spans="1:9" ht="15.75" customHeight="1" x14ac:dyDescent="0.2">
      <c r="A129" s="437"/>
      <c r="B129" s="437"/>
      <c r="C129" s="436"/>
      <c r="D129" s="467">
        <v>45618</v>
      </c>
      <c r="E129" s="436" t="s">
        <v>601</v>
      </c>
      <c r="F129" s="436">
        <v>5637122.25</v>
      </c>
      <c r="G129" s="448">
        <v>46205.919999999925</v>
      </c>
      <c r="H129" s="436">
        <v>0</v>
      </c>
      <c r="I129" s="449">
        <v>0</v>
      </c>
    </row>
    <row r="130" spans="1:9" ht="15.75" customHeight="1" x14ac:dyDescent="0.2">
      <c r="A130" s="437"/>
      <c r="B130" s="437"/>
      <c r="C130" s="436"/>
      <c r="D130" s="467">
        <v>45619</v>
      </c>
      <c r="E130" s="436" t="s">
        <v>600</v>
      </c>
      <c r="F130" s="436">
        <v>5683328.1699999999</v>
      </c>
      <c r="G130" s="448">
        <v>46205.919999999925</v>
      </c>
      <c r="H130" s="436">
        <v>0</v>
      </c>
      <c r="I130" s="449">
        <v>0</v>
      </c>
    </row>
    <row r="131" spans="1:9" ht="15.75" customHeight="1" x14ac:dyDescent="0.2">
      <c r="A131" s="437"/>
      <c r="B131" s="437"/>
      <c r="C131" s="436"/>
      <c r="D131" s="467">
        <v>45620</v>
      </c>
      <c r="E131" s="436" t="s">
        <v>599</v>
      </c>
      <c r="F131" s="436">
        <v>5729534.0899999999</v>
      </c>
      <c r="G131" s="448">
        <v>46205.919999999925</v>
      </c>
      <c r="H131" s="436">
        <v>0</v>
      </c>
      <c r="I131" s="449">
        <v>0</v>
      </c>
    </row>
    <row r="132" spans="1:9" ht="15.75" customHeight="1" x14ac:dyDescent="0.2">
      <c r="A132" s="437"/>
      <c r="B132" s="437"/>
      <c r="C132" s="436"/>
      <c r="D132" s="467">
        <v>45621</v>
      </c>
      <c r="E132" s="436" t="s">
        <v>598</v>
      </c>
      <c r="F132" s="436">
        <v>5775740.0099999998</v>
      </c>
      <c r="G132" s="448">
        <v>46205.919999999925</v>
      </c>
      <c r="H132" s="436">
        <v>0</v>
      </c>
      <c r="I132" s="449">
        <v>0</v>
      </c>
    </row>
    <row r="133" spans="1:9" ht="15.75" customHeight="1" x14ac:dyDescent="0.2">
      <c r="A133" s="437"/>
      <c r="B133" s="437"/>
      <c r="C133" s="436"/>
      <c r="D133" s="467">
        <v>45622</v>
      </c>
      <c r="E133" s="436" t="s">
        <v>597</v>
      </c>
      <c r="F133" s="436">
        <v>5821945.9299999997</v>
      </c>
      <c r="G133" s="448">
        <v>46205.919999999925</v>
      </c>
      <c r="H133" s="436">
        <v>0</v>
      </c>
      <c r="I133" s="449">
        <v>0</v>
      </c>
    </row>
    <row r="134" spans="1:9" ht="15.75" customHeight="1" x14ac:dyDescent="0.2">
      <c r="A134" s="437"/>
      <c r="B134" s="437"/>
      <c r="C134" s="436"/>
      <c r="D134" s="467">
        <v>45623</v>
      </c>
      <c r="E134" s="436" t="s">
        <v>603</v>
      </c>
      <c r="F134" s="436">
        <v>5868151.8499999996</v>
      </c>
      <c r="G134" s="448">
        <v>46205.919999999925</v>
      </c>
      <c r="H134" s="436">
        <v>323441.43999999948</v>
      </c>
      <c r="I134" s="449">
        <v>0</v>
      </c>
    </row>
    <row r="135" spans="1:9" ht="15.75" customHeight="1" x14ac:dyDescent="0.2">
      <c r="A135" s="437"/>
      <c r="B135" s="437"/>
      <c r="C135" s="436"/>
      <c r="D135" s="467">
        <v>45624</v>
      </c>
      <c r="E135" s="436" t="s">
        <v>602</v>
      </c>
      <c r="F135" s="436">
        <v>5914357.7699999996</v>
      </c>
      <c r="G135" s="448">
        <v>46205.919999999925</v>
      </c>
      <c r="H135" s="436">
        <v>0</v>
      </c>
      <c r="I135" s="449">
        <v>0</v>
      </c>
    </row>
    <row r="136" spans="1:9" ht="15.75" customHeight="1" x14ac:dyDescent="0.2">
      <c r="A136" s="437"/>
      <c r="B136" s="437"/>
      <c r="C136" s="436"/>
      <c r="D136" s="467">
        <v>45625</v>
      </c>
      <c r="E136" s="436" t="s">
        <v>601</v>
      </c>
      <c r="F136" s="436">
        <v>5960563.6900000004</v>
      </c>
      <c r="G136" s="448">
        <v>46205.920000000857</v>
      </c>
      <c r="H136" s="436">
        <v>0</v>
      </c>
      <c r="I136" s="449">
        <v>0</v>
      </c>
    </row>
    <row r="137" spans="1:9" ht="15.75" customHeight="1" x14ac:dyDescent="0.2">
      <c r="A137" s="437"/>
      <c r="B137" s="437"/>
      <c r="C137" s="436"/>
      <c r="D137" s="467">
        <v>45626</v>
      </c>
      <c r="E137" s="436" t="s">
        <v>600</v>
      </c>
      <c r="F137" s="436">
        <v>6006769.6100000003</v>
      </c>
      <c r="G137" s="448">
        <v>46205.919999999925</v>
      </c>
      <c r="H137" s="436">
        <v>0</v>
      </c>
      <c r="I137" s="449">
        <v>0</v>
      </c>
    </row>
    <row r="138" spans="1:9" ht="15.75" customHeight="1" x14ac:dyDescent="0.2">
      <c r="A138" s="437"/>
      <c r="B138" s="437"/>
      <c r="C138" s="436"/>
      <c r="D138" s="467">
        <v>45627</v>
      </c>
      <c r="E138" s="436" t="s">
        <v>599</v>
      </c>
      <c r="F138" s="436">
        <v>6052975.5300000003</v>
      </c>
      <c r="G138" s="448">
        <v>46205.919999999925</v>
      </c>
      <c r="H138" s="436">
        <v>0</v>
      </c>
      <c r="I138" s="449">
        <v>0</v>
      </c>
    </row>
    <row r="139" spans="1:9" ht="15.75" customHeight="1" x14ac:dyDescent="0.2">
      <c r="A139" s="437"/>
      <c r="B139" s="437"/>
      <c r="C139" s="436"/>
      <c r="D139" s="467">
        <v>45628</v>
      </c>
      <c r="E139" s="436" t="s">
        <v>598</v>
      </c>
      <c r="F139" s="436">
        <v>6099181.4500000002</v>
      </c>
      <c r="G139" s="448">
        <v>46205.919999999925</v>
      </c>
      <c r="H139" s="436">
        <v>0</v>
      </c>
      <c r="I139" s="449">
        <v>0</v>
      </c>
    </row>
    <row r="140" spans="1:9" ht="15.75" customHeight="1" x14ac:dyDescent="0.2">
      <c r="A140" s="437"/>
      <c r="B140" s="437"/>
      <c r="C140" s="436"/>
      <c r="D140" s="467">
        <v>45629</v>
      </c>
      <c r="E140" s="436" t="s">
        <v>597</v>
      </c>
      <c r="F140" s="436">
        <v>6145387.3700000001</v>
      </c>
      <c r="G140" s="448">
        <v>46205.919999999925</v>
      </c>
      <c r="H140" s="436">
        <v>0</v>
      </c>
      <c r="I140" s="449">
        <v>0</v>
      </c>
    </row>
    <row r="141" spans="1:9" ht="15.75" customHeight="1" x14ac:dyDescent="0.2">
      <c r="A141" s="437"/>
      <c r="B141" s="437"/>
      <c r="C141" s="436"/>
      <c r="D141" s="467">
        <v>45630</v>
      </c>
      <c r="E141" s="436" t="s">
        <v>603</v>
      </c>
      <c r="F141" s="436">
        <v>6191593.29</v>
      </c>
      <c r="G141" s="448">
        <v>46205.919999999925</v>
      </c>
      <c r="H141" s="436">
        <v>323441.44000000041</v>
      </c>
      <c r="I141" s="449">
        <v>646882.87999999989</v>
      </c>
    </row>
    <row r="142" spans="1:9" ht="15.75" customHeight="1" x14ac:dyDescent="0.2">
      <c r="A142" s="437"/>
      <c r="B142" s="437"/>
      <c r="C142" s="436"/>
      <c r="D142" s="467">
        <v>45631</v>
      </c>
      <c r="E142" s="436" t="s">
        <v>602</v>
      </c>
      <c r="F142" s="436">
        <v>6237799.21</v>
      </c>
      <c r="G142" s="448">
        <v>46205.919999999925</v>
      </c>
      <c r="H142" s="436">
        <v>0</v>
      </c>
      <c r="I142" s="449">
        <v>0</v>
      </c>
    </row>
    <row r="143" spans="1:9" ht="15.75" customHeight="1" x14ac:dyDescent="0.2">
      <c r="A143" s="437"/>
      <c r="B143" s="437"/>
      <c r="C143" s="436"/>
      <c r="D143" s="467">
        <v>45632</v>
      </c>
      <c r="E143" s="436" t="s">
        <v>601</v>
      </c>
      <c r="F143" s="436">
        <v>6284005.1299999999</v>
      </c>
      <c r="G143" s="448">
        <v>46205.919999999925</v>
      </c>
      <c r="H143" s="436">
        <v>0</v>
      </c>
      <c r="I143" s="449">
        <v>0</v>
      </c>
    </row>
    <row r="144" spans="1:9" ht="15.75" customHeight="1" x14ac:dyDescent="0.2">
      <c r="A144" s="437"/>
      <c r="B144" s="437"/>
      <c r="C144" s="436"/>
      <c r="D144" s="467">
        <v>45633</v>
      </c>
      <c r="E144" s="436" t="s">
        <v>600</v>
      </c>
      <c r="F144" s="436">
        <v>6330211.0499999998</v>
      </c>
      <c r="G144" s="448">
        <v>46205.919999999925</v>
      </c>
      <c r="H144" s="436">
        <v>0</v>
      </c>
      <c r="I144" s="449">
        <v>0</v>
      </c>
    </row>
    <row r="145" spans="1:9" ht="15.75" customHeight="1" x14ac:dyDescent="0.2">
      <c r="A145" s="437"/>
      <c r="B145" s="437"/>
      <c r="C145" s="436"/>
      <c r="D145" s="467">
        <v>45634</v>
      </c>
      <c r="E145" s="436" t="s">
        <v>599</v>
      </c>
      <c r="F145" s="436">
        <v>6376416.9699999997</v>
      </c>
      <c r="G145" s="448">
        <v>46205.919999999925</v>
      </c>
      <c r="H145" s="436">
        <v>0</v>
      </c>
      <c r="I145" s="449">
        <v>0</v>
      </c>
    </row>
    <row r="146" spans="1:9" ht="15.75" customHeight="1" x14ac:dyDescent="0.2">
      <c r="A146" s="437"/>
      <c r="B146" s="437"/>
      <c r="C146" s="436"/>
      <c r="D146" s="467">
        <v>45635</v>
      </c>
      <c r="E146" s="436" t="s">
        <v>598</v>
      </c>
      <c r="F146" s="436">
        <v>6422622.8899999997</v>
      </c>
      <c r="G146" s="448">
        <v>46205.919999999925</v>
      </c>
      <c r="H146" s="436">
        <v>0</v>
      </c>
      <c r="I146" s="449">
        <v>0</v>
      </c>
    </row>
    <row r="147" spans="1:9" ht="15.75" customHeight="1" x14ac:dyDescent="0.2">
      <c r="A147" s="437"/>
      <c r="B147" s="437"/>
      <c r="C147" s="436"/>
      <c r="D147" s="467">
        <v>45636</v>
      </c>
      <c r="E147" s="436" t="s">
        <v>597</v>
      </c>
      <c r="F147" s="436">
        <v>6468828.8099999996</v>
      </c>
      <c r="G147" s="448">
        <v>46205.919999999925</v>
      </c>
      <c r="H147" s="436">
        <v>0</v>
      </c>
      <c r="I147" s="449">
        <v>0</v>
      </c>
    </row>
    <row r="148" spans="1:9" ht="15.75" customHeight="1" x14ac:dyDescent="0.2">
      <c r="A148" s="437"/>
      <c r="B148" s="437"/>
      <c r="C148" s="436"/>
      <c r="D148" s="467">
        <v>45637</v>
      </c>
      <c r="E148" s="436" t="s">
        <v>603</v>
      </c>
      <c r="F148" s="436">
        <v>6515034.7300000004</v>
      </c>
      <c r="G148" s="448">
        <v>46205.920000000857</v>
      </c>
      <c r="H148" s="436">
        <v>323441.44000000041</v>
      </c>
      <c r="I148" s="449">
        <v>0</v>
      </c>
    </row>
    <row r="149" spans="1:9" ht="15.75" customHeight="1" x14ac:dyDescent="0.2">
      <c r="A149" s="437"/>
      <c r="B149" s="437"/>
      <c r="C149" s="436"/>
      <c r="D149" s="467">
        <v>45638</v>
      </c>
      <c r="E149" s="436" t="s">
        <v>602</v>
      </c>
      <c r="F149" s="436">
        <v>6561240.6500000004</v>
      </c>
      <c r="G149" s="448">
        <v>46205.919999999925</v>
      </c>
      <c r="H149" s="436">
        <v>0</v>
      </c>
      <c r="I149" s="449">
        <v>0</v>
      </c>
    </row>
    <row r="150" spans="1:9" ht="15.75" customHeight="1" x14ac:dyDescent="0.2">
      <c r="A150" s="437"/>
      <c r="B150" s="437"/>
      <c r="C150" s="436"/>
      <c r="D150" s="467">
        <v>45639</v>
      </c>
      <c r="E150" s="436" t="s">
        <v>601</v>
      </c>
      <c r="F150" s="436">
        <v>6607446.5700000003</v>
      </c>
      <c r="G150" s="448">
        <v>46205.919999999925</v>
      </c>
      <c r="H150" s="436">
        <v>0</v>
      </c>
      <c r="I150" s="449">
        <v>0</v>
      </c>
    </row>
    <row r="151" spans="1:9" ht="15.75" customHeight="1" x14ac:dyDescent="0.2">
      <c r="A151" s="437"/>
      <c r="B151" s="437"/>
      <c r="C151" s="436"/>
      <c r="D151" s="467">
        <v>45640</v>
      </c>
      <c r="E151" s="436" t="s">
        <v>600</v>
      </c>
      <c r="F151" s="436">
        <v>6653652.4900000002</v>
      </c>
      <c r="G151" s="448">
        <v>46205.919999999925</v>
      </c>
      <c r="H151" s="436">
        <v>0</v>
      </c>
      <c r="I151" s="449">
        <v>0</v>
      </c>
    </row>
    <row r="152" spans="1:9" ht="15.75" customHeight="1" x14ac:dyDescent="0.2">
      <c r="A152" s="437"/>
      <c r="B152" s="437"/>
      <c r="C152" s="436"/>
      <c r="D152" s="467">
        <v>45641</v>
      </c>
      <c r="E152" s="436" t="s">
        <v>599</v>
      </c>
      <c r="F152" s="436">
        <v>6699858.4100000001</v>
      </c>
      <c r="G152" s="448">
        <v>46205.919999999925</v>
      </c>
      <c r="H152" s="436">
        <v>0</v>
      </c>
      <c r="I152" s="449">
        <v>0</v>
      </c>
    </row>
    <row r="153" spans="1:9" ht="15.75" customHeight="1" x14ac:dyDescent="0.2">
      <c r="A153" s="437"/>
      <c r="B153" s="437"/>
      <c r="C153" s="436"/>
      <c r="D153" s="467">
        <v>45642</v>
      </c>
      <c r="E153" s="436" t="s">
        <v>598</v>
      </c>
      <c r="F153" s="436">
        <v>6746064.3300000001</v>
      </c>
      <c r="G153" s="448">
        <v>46205.919999999925</v>
      </c>
      <c r="H153" s="436">
        <v>0</v>
      </c>
      <c r="I153" s="449">
        <v>0</v>
      </c>
    </row>
    <row r="154" spans="1:9" ht="15.75" customHeight="1" x14ac:dyDescent="0.2">
      <c r="A154" s="437"/>
      <c r="B154" s="437"/>
      <c r="C154" s="436"/>
      <c r="D154" s="467">
        <v>45643</v>
      </c>
      <c r="E154" s="436" t="s">
        <v>597</v>
      </c>
      <c r="F154" s="436">
        <v>6792270.25</v>
      </c>
      <c r="G154" s="448">
        <v>46205.919999999925</v>
      </c>
      <c r="H154" s="436">
        <v>0</v>
      </c>
      <c r="I154" s="449">
        <v>0</v>
      </c>
    </row>
    <row r="155" spans="1:9" ht="15.75" customHeight="1" x14ac:dyDescent="0.2">
      <c r="A155" s="437"/>
      <c r="B155" s="437"/>
      <c r="C155" s="436"/>
      <c r="D155" s="467">
        <v>45644</v>
      </c>
      <c r="E155" s="436" t="s">
        <v>603</v>
      </c>
      <c r="F155" s="436">
        <v>6838476.1699999999</v>
      </c>
      <c r="G155" s="448">
        <v>46205.919999999925</v>
      </c>
      <c r="H155" s="436">
        <v>323441.43999999948</v>
      </c>
      <c r="I155" s="449">
        <v>646882.87999999989</v>
      </c>
    </row>
    <row r="156" spans="1:9" ht="15.75" customHeight="1" x14ac:dyDescent="0.2">
      <c r="A156" s="437"/>
      <c r="B156" s="437"/>
      <c r="C156" s="436"/>
      <c r="D156" s="467">
        <v>45645</v>
      </c>
      <c r="E156" s="436" t="s">
        <v>602</v>
      </c>
      <c r="F156" s="436">
        <v>6884682.0899999999</v>
      </c>
      <c r="G156" s="448">
        <v>46205.919999999925</v>
      </c>
      <c r="H156" s="436">
        <v>0</v>
      </c>
      <c r="I156" s="449">
        <v>0</v>
      </c>
    </row>
    <row r="157" spans="1:9" ht="15.75" customHeight="1" x14ac:dyDescent="0.2">
      <c r="A157" s="437"/>
      <c r="B157" s="437"/>
      <c r="C157" s="436"/>
      <c r="D157" s="467">
        <v>45646</v>
      </c>
      <c r="E157" s="436" t="s">
        <v>601</v>
      </c>
      <c r="F157" s="436">
        <v>6930888.0199999996</v>
      </c>
      <c r="G157" s="448">
        <v>46205.929999999702</v>
      </c>
      <c r="H157" s="436">
        <v>0</v>
      </c>
      <c r="I157" s="449">
        <v>0</v>
      </c>
    </row>
    <row r="158" spans="1:9" ht="15.75" customHeight="1" x14ac:dyDescent="0.2">
      <c r="A158" s="437"/>
      <c r="B158" s="437"/>
      <c r="C158" s="436"/>
      <c r="D158" s="467">
        <v>45647</v>
      </c>
      <c r="E158" s="436" t="s">
        <v>600</v>
      </c>
      <c r="F158" s="436">
        <v>6977093.9400000004</v>
      </c>
      <c r="G158" s="448">
        <v>46205.920000000857</v>
      </c>
      <c r="H158" s="436">
        <v>0</v>
      </c>
      <c r="I158" s="449">
        <v>0</v>
      </c>
    </row>
    <row r="159" spans="1:9" ht="15.75" customHeight="1" x14ac:dyDescent="0.2">
      <c r="A159" s="437"/>
      <c r="B159" s="437"/>
      <c r="C159" s="436"/>
      <c r="D159" s="467">
        <v>45648</v>
      </c>
      <c r="E159" s="436" t="s">
        <v>599</v>
      </c>
      <c r="F159" s="436">
        <v>7023299.8600000003</v>
      </c>
      <c r="G159" s="448">
        <v>46205.919999999925</v>
      </c>
      <c r="H159" s="436">
        <v>0</v>
      </c>
      <c r="I159" s="449">
        <v>0</v>
      </c>
    </row>
    <row r="160" spans="1:9" ht="15.75" customHeight="1" x14ac:dyDescent="0.2">
      <c r="A160" s="437"/>
      <c r="B160" s="437"/>
      <c r="C160" s="436"/>
      <c r="D160" s="467">
        <v>45649</v>
      </c>
      <c r="E160" s="436" t="s">
        <v>598</v>
      </c>
      <c r="F160" s="436">
        <v>7069505.7800000003</v>
      </c>
      <c r="G160" s="448">
        <v>46205.919999999925</v>
      </c>
      <c r="H160" s="436">
        <v>0</v>
      </c>
      <c r="I160" s="449">
        <v>0</v>
      </c>
    </row>
    <row r="161" spans="1:9" ht="15.75" customHeight="1" x14ac:dyDescent="0.2">
      <c r="A161" s="437"/>
      <c r="B161" s="437"/>
      <c r="C161" s="436"/>
      <c r="D161" s="467">
        <v>45650</v>
      </c>
      <c r="E161" s="436" t="s">
        <v>597</v>
      </c>
      <c r="F161" s="436">
        <v>7115711.7000000002</v>
      </c>
      <c r="G161" s="448">
        <v>46205.919999999925</v>
      </c>
      <c r="H161" s="436">
        <v>0</v>
      </c>
      <c r="I161" s="449">
        <v>0</v>
      </c>
    </row>
    <row r="162" spans="1:9" ht="15.75" customHeight="1" x14ac:dyDescent="0.2">
      <c r="A162" s="437"/>
      <c r="B162" s="437"/>
      <c r="C162" s="436"/>
      <c r="D162" s="467">
        <v>45651</v>
      </c>
      <c r="E162" s="436" t="s">
        <v>603</v>
      </c>
      <c r="F162" s="436">
        <v>7161917.6200000001</v>
      </c>
      <c r="G162" s="448">
        <v>46205.919999999925</v>
      </c>
      <c r="H162" s="436">
        <v>323441.45000000019</v>
      </c>
      <c r="I162" s="449">
        <v>0</v>
      </c>
    </row>
    <row r="163" spans="1:9" ht="15.75" customHeight="1" x14ac:dyDescent="0.2">
      <c r="A163" s="437"/>
      <c r="B163" s="437"/>
      <c r="C163" s="436"/>
      <c r="D163" s="467">
        <v>45652</v>
      </c>
      <c r="E163" s="436" t="s">
        <v>602</v>
      </c>
      <c r="F163" s="436">
        <v>7208123.54</v>
      </c>
      <c r="G163" s="448">
        <v>46205.919999999925</v>
      </c>
      <c r="H163" s="436">
        <v>0</v>
      </c>
      <c r="I163" s="449">
        <v>0</v>
      </c>
    </row>
    <row r="164" spans="1:9" ht="15.75" customHeight="1" x14ac:dyDescent="0.2">
      <c r="A164" s="437"/>
      <c r="B164" s="437"/>
      <c r="C164" s="436"/>
      <c r="D164" s="467">
        <v>45653</v>
      </c>
      <c r="E164" s="436" t="s">
        <v>601</v>
      </c>
      <c r="F164" s="436">
        <v>7254329.46</v>
      </c>
      <c r="G164" s="448">
        <v>46205.919999999925</v>
      </c>
      <c r="H164" s="436">
        <v>0</v>
      </c>
      <c r="I164" s="449">
        <v>0</v>
      </c>
    </row>
    <row r="165" spans="1:9" ht="15.75" customHeight="1" x14ac:dyDescent="0.2">
      <c r="A165" s="437"/>
      <c r="B165" s="437"/>
      <c r="C165" s="436"/>
      <c r="D165" s="467">
        <v>45654</v>
      </c>
      <c r="E165" s="436" t="s">
        <v>600</v>
      </c>
      <c r="F165" s="436">
        <v>7300535.3799999999</v>
      </c>
      <c r="G165" s="448">
        <v>46205.919999999925</v>
      </c>
      <c r="H165" s="436">
        <v>0</v>
      </c>
      <c r="I165" s="449">
        <v>0</v>
      </c>
    </row>
    <row r="166" spans="1:9" ht="15.75" customHeight="1" x14ac:dyDescent="0.2">
      <c r="A166" s="437"/>
      <c r="B166" s="437"/>
      <c r="C166" s="436"/>
      <c r="D166" s="467">
        <v>45655</v>
      </c>
      <c r="E166" s="436" t="s">
        <v>599</v>
      </c>
      <c r="F166" s="436">
        <v>7346741.2999999998</v>
      </c>
      <c r="G166" s="448">
        <v>46205.919999999925</v>
      </c>
      <c r="H166" s="436">
        <v>0</v>
      </c>
      <c r="I166" s="449">
        <v>0</v>
      </c>
    </row>
    <row r="167" spans="1:9" ht="15.75" customHeight="1" x14ac:dyDescent="0.2">
      <c r="A167" s="437"/>
      <c r="B167" s="437"/>
      <c r="C167" s="436"/>
      <c r="D167" s="467">
        <v>45656</v>
      </c>
      <c r="E167" s="436" t="s">
        <v>598</v>
      </c>
      <c r="F167" s="436">
        <v>7392947.2199999997</v>
      </c>
      <c r="G167" s="448">
        <v>46205.919999999925</v>
      </c>
      <c r="H167" s="436">
        <v>0</v>
      </c>
      <c r="I167" s="449">
        <v>0</v>
      </c>
    </row>
    <row r="168" spans="1:9" ht="15.75" customHeight="1" x14ac:dyDescent="0.2">
      <c r="A168" s="437"/>
      <c r="B168" s="437"/>
      <c r="C168" s="436"/>
      <c r="D168" s="467">
        <v>45657</v>
      </c>
      <c r="E168" s="436" t="s">
        <v>597</v>
      </c>
      <c r="F168" s="436">
        <v>7439153.1399999997</v>
      </c>
      <c r="G168" s="448">
        <v>46205.919999999925</v>
      </c>
      <c r="H168" s="436">
        <v>0</v>
      </c>
      <c r="I168" s="449">
        <v>0</v>
      </c>
    </row>
    <row r="169" spans="1:9" ht="15.75" customHeight="1" x14ac:dyDescent="0.2">
      <c r="A169" s="437"/>
      <c r="B169" s="437"/>
      <c r="C169" s="436"/>
      <c r="D169" s="467">
        <v>45658</v>
      </c>
      <c r="E169" s="436" t="s">
        <v>603</v>
      </c>
      <c r="F169" s="436">
        <v>7485359.0599999996</v>
      </c>
      <c r="G169" s="448">
        <v>46205.919999999925</v>
      </c>
      <c r="H169" s="436">
        <v>323441.43999999948</v>
      </c>
      <c r="I169" s="449">
        <v>646882.88999999966</v>
      </c>
    </row>
    <row r="170" spans="1:9" ht="15.75" customHeight="1" x14ac:dyDescent="0.2">
      <c r="A170" s="437"/>
      <c r="B170" s="437"/>
      <c r="C170" s="436"/>
      <c r="D170" s="467">
        <v>45659</v>
      </c>
      <c r="E170" s="436" t="s">
        <v>602</v>
      </c>
      <c r="F170" s="436">
        <v>7531564.9800000004</v>
      </c>
      <c r="G170" s="448">
        <v>46205.920000000857</v>
      </c>
      <c r="H170" s="436">
        <v>0</v>
      </c>
      <c r="I170" s="449">
        <v>0</v>
      </c>
    </row>
    <row r="171" spans="1:9" ht="15.75" customHeight="1" x14ac:dyDescent="0.2">
      <c r="A171" s="437"/>
      <c r="B171" s="437"/>
      <c r="C171" s="436"/>
      <c r="D171" s="467">
        <v>45660</v>
      </c>
      <c r="E171" s="436" t="s">
        <v>601</v>
      </c>
      <c r="F171" s="436">
        <v>7577770.9000000004</v>
      </c>
      <c r="G171" s="448">
        <v>46205.919999999925</v>
      </c>
      <c r="H171" s="436">
        <v>0</v>
      </c>
      <c r="I171" s="449">
        <v>0</v>
      </c>
    </row>
    <row r="172" spans="1:9" ht="15.75" customHeight="1" x14ac:dyDescent="0.2">
      <c r="A172" s="437"/>
      <c r="B172" s="437"/>
      <c r="C172" s="436"/>
      <c r="D172" s="467">
        <v>45661</v>
      </c>
      <c r="E172" s="436" t="s">
        <v>600</v>
      </c>
      <c r="F172" s="436">
        <v>7623976.8200000003</v>
      </c>
      <c r="G172" s="448">
        <v>46205.919999999925</v>
      </c>
      <c r="H172" s="436">
        <v>0</v>
      </c>
      <c r="I172" s="449">
        <v>0</v>
      </c>
    </row>
    <row r="173" spans="1:9" ht="15.75" customHeight="1" x14ac:dyDescent="0.2">
      <c r="A173" s="437"/>
      <c r="B173" s="437"/>
      <c r="C173" s="436"/>
      <c r="D173" s="467">
        <v>45662</v>
      </c>
      <c r="E173" s="436" t="s">
        <v>599</v>
      </c>
      <c r="F173" s="436">
        <v>7670182.7400000002</v>
      </c>
      <c r="G173" s="448">
        <v>46205.919999999925</v>
      </c>
      <c r="H173" s="436">
        <v>0</v>
      </c>
      <c r="I173" s="449">
        <v>0</v>
      </c>
    </row>
    <row r="174" spans="1:9" ht="15.75" customHeight="1" x14ac:dyDescent="0.2">
      <c r="A174" s="437"/>
      <c r="B174" s="437"/>
      <c r="C174" s="436"/>
      <c r="D174" s="467">
        <v>45663</v>
      </c>
      <c r="E174" s="436" t="s">
        <v>598</v>
      </c>
      <c r="F174" s="436">
        <v>7716388.6600000001</v>
      </c>
      <c r="G174" s="448">
        <v>46205.919999999925</v>
      </c>
      <c r="H174" s="436">
        <v>0</v>
      </c>
      <c r="I174" s="449">
        <v>0</v>
      </c>
    </row>
    <row r="175" spans="1:9" ht="15.75" customHeight="1" x14ac:dyDescent="0.2">
      <c r="A175" s="437"/>
      <c r="B175" s="437"/>
      <c r="C175" s="436"/>
      <c r="D175" s="467">
        <v>45664</v>
      </c>
      <c r="E175" s="436" t="s">
        <v>597</v>
      </c>
      <c r="F175" s="436">
        <v>7762594.5800000001</v>
      </c>
      <c r="G175" s="448">
        <v>46205.919999999925</v>
      </c>
      <c r="H175" s="436">
        <v>0</v>
      </c>
      <c r="I175" s="449">
        <v>0</v>
      </c>
    </row>
    <row r="176" spans="1:9" ht="15.75" customHeight="1" x14ac:dyDescent="0.2">
      <c r="A176" s="437"/>
      <c r="B176" s="437"/>
      <c r="C176" s="436"/>
      <c r="D176" s="467">
        <v>45665</v>
      </c>
      <c r="E176" s="436" t="s">
        <v>603</v>
      </c>
      <c r="F176" s="436">
        <v>7808800.5</v>
      </c>
      <c r="G176" s="448">
        <v>46205.919999999925</v>
      </c>
      <c r="H176" s="436">
        <v>323441.44000000041</v>
      </c>
      <c r="I176" s="449">
        <v>0</v>
      </c>
    </row>
    <row r="177" spans="1:9" ht="15.75" customHeight="1" x14ac:dyDescent="0.2">
      <c r="A177" s="437"/>
      <c r="B177" s="437"/>
      <c r="C177" s="436"/>
      <c r="D177" s="467">
        <v>45666</v>
      </c>
      <c r="E177" s="436" t="s">
        <v>602</v>
      </c>
      <c r="F177" s="436">
        <v>7855006.4199999999</v>
      </c>
      <c r="G177" s="448">
        <v>46205.919999999925</v>
      </c>
      <c r="H177" s="436">
        <v>0</v>
      </c>
      <c r="I177" s="449">
        <v>0</v>
      </c>
    </row>
    <row r="178" spans="1:9" ht="15.75" customHeight="1" x14ac:dyDescent="0.2">
      <c r="A178" s="437"/>
      <c r="B178" s="437"/>
      <c r="C178" s="436"/>
      <c r="D178" s="467">
        <v>45667</v>
      </c>
      <c r="E178" s="436" t="s">
        <v>601</v>
      </c>
      <c r="F178" s="436">
        <v>7901212.3399999999</v>
      </c>
      <c r="G178" s="448">
        <v>46205.919999999925</v>
      </c>
      <c r="H178" s="436">
        <v>0</v>
      </c>
      <c r="I178" s="449">
        <v>0</v>
      </c>
    </row>
    <row r="179" spans="1:9" ht="15.75" customHeight="1" x14ac:dyDescent="0.2">
      <c r="A179" s="437"/>
      <c r="B179" s="437"/>
      <c r="C179" s="436"/>
      <c r="D179" s="467">
        <v>45668</v>
      </c>
      <c r="E179" s="436" t="s">
        <v>600</v>
      </c>
      <c r="F179" s="436">
        <v>7947418.2599999998</v>
      </c>
      <c r="G179" s="448">
        <v>46205.919999999925</v>
      </c>
      <c r="H179" s="436">
        <v>0</v>
      </c>
      <c r="I179" s="449">
        <v>0</v>
      </c>
    </row>
    <row r="180" spans="1:9" ht="15.75" customHeight="1" x14ac:dyDescent="0.2">
      <c r="A180" s="437"/>
      <c r="B180" s="437"/>
      <c r="C180" s="436"/>
      <c r="D180" s="467">
        <v>45669</v>
      </c>
      <c r="E180" s="436" t="s">
        <v>599</v>
      </c>
      <c r="F180" s="436">
        <v>7993624.1799999997</v>
      </c>
      <c r="G180" s="448">
        <v>46205.919999999925</v>
      </c>
      <c r="H180" s="436">
        <v>0</v>
      </c>
      <c r="I180" s="449">
        <v>0</v>
      </c>
    </row>
    <row r="181" spans="1:9" ht="15.75" customHeight="1" x14ac:dyDescent="0.2">
      <c r="A181" s="437"/>
      <c r="B181" s="437"/>
      <c r="C181" s="436"/>
      <c r="D181" s="467">
        <v>45670</v>
      </c>
      <c r="E181" s="436" t="s">
        <v>598</v>
      </c>
      <c r="F181" s="436">
        <v>8039830.0999999996</v>
      </c>
      <c r="G181" s="448">
        <v>46205.919999999925</v>
      </c>
      <c r="H181" s="436">
        <v>0</v>
      </c>
      <c r="I181" s="449">
        <v>0</v>
      </c>
    </row>
    <row r="182" spans="1:9" ht="15.75" customHeight="1" x14ac:dyDescent="0.2">
      <c r="A182" s="437"/>
      <c r="B182" s="437"/>
      <c r="C182" s="436"/>
      <c r="D182" s="467">
        <v>45671</v>
      </c>
      <c r="E182" s="436" t="s">
        <v>597</v>
      </c>
      <c r="F182" s="436">
        <v>8086036.0199999996</v>
      </c>
      <c r="G182" s="448">
        <v>46205.919999999925</v>
      </c>
      <c r="H182" s="436">
        <v>0</v>
      </c>
      <c r="I182" s="449">
        <v>0</v>
      </c>
    </row>
    <row r="183" spans="1:9" ht="15.75" customHeight="1" x14ac:dyDescent="0.2">
      <c r="A183" s="437"/>
      <c r="B183" s="437"/>
      <c r="C183" s="436"/>
      <c r="D183" s="467">
        <v>45672</v>
      </c>
      <c r="E183" s="436" t="s">
        <v>603</v>
      </c>
      <c r="F183" s="436">
        <v>8132241.9400000004</v>
      </c>
      <c r="G183" s="448">
        <v>46205.920000000857</v>
      </c>
      <c r="H183" s="436">
        <v>323441.44000000041</v>
      </c>
      <c r="I183" s="449">
        <v>646882.88000000082</v>
      </c>
    </row>
    <row r="184" spans="1:9" ht="15.75" customHeight="1" x14ac:dyDescent="0.2">
      <c r="A184" s="437"/>
      <c r="B184" s="437"/>
      <c r="C184" s="436"/>
      <c r="D184" s="467">
        <v>45673</v>
      </c>
      <c r="E184" s="436" t="s">
        <v>602</v>
      </c>
      <c r="F184" s="436">
        <v>8178447.8600000003</v>
      </c>
      <c r="G184" s="448">
        <v>46205.919999999925</v>
      </c>
      <c r="H184" s="436">
        <v>0</v>
      </c>
      <c r="I184" s="449">
        <v>0</v>
      </c>
    </row>
    <row r="185" spans="1:9" ht="15.75" customHeight="1" x14ac:dyDescent="0.2">
      <c r="A185" s="437"/>
      <c r="B185" s="437"/>
      <c r="C185" s="436"/>
      <c r="D185" s="467">
        <v>45674</v>
      </c>
      <c r="E185" s="436" t="s">
        <v>601</v>
      </c>
      <c r="F185" s="436">
        <v>8224653.7800000003</v>
      </c>
      <c r="G185" s="448">
        <v>46205.919999999925</v>
      </c>
      <c r="H185" s="436">
        <v>0</v>
      </c>
      <c r="I185" s="449">
        <v>0</v>
      </c>
    </row>
    <row r="186" spans="1:9" ht="15.75" customHeight="1" x14ac:dyDescent="0.2">
      <c r="A186" s="437"/>
      <c r="B186" s="437"/>
      <c r="C186" s="436"/>
      <c r="D186" s="467">
        <v>45675</v>
      </c>
      <c r="E186" s="436" t="s">
        <v>600</v>
      </c>
      <c r="F186" s="436">
        <v>8270859.7000000002</v>
      </c>
      <c r="G186" s="448">
        <v>46205.919999999925</v>
      </c>
      <c r="H186" s="436">
        <v>0</v>
      </c>
      <c r="I186" s="449">
        <v>0</v>
      </c>
    </row>
    <row r="187" spans="1:9" ht="15.75" customHeight="1" x14ac:dyDescent="0.2">
      <c r="A187" s="437"/>
      <c r="B187" s="437"/>
      <c r="C187" s="436"/>
      <c r="D187" s="467">
        <v>45676</v>
      </c>
      <c r="E187" s="436" t="s">
        <v>599</v>
      </c>
      <c r="F187" s="436">
        <v>8317065.6200000001</v>
      </c>
      <c r="G187" s="448">
        <v>46205.919999999925</v>
      </c>
      <c r="H187" s="436">
        <v>0</v>
      </c>
      <c r="I187" s="449">
        <v>0</v>
      </c>
    </row>
    <row r="188" spans="1:9" ht="15.75" customHeight="1" x14ac:dyDescent="0.2">
      <c r="A188" s="437"/>
      <c r="B188" s="437"/>
      <c r="C188" s="436"/>
      <c r="D188" s="467">
        <v>45677</v>
      </c>
      <c r="E188" s="436" t="s">
        <v>598</v>
      </c>
      <c r="F188" s="436">
        <v>8363271.54</v>
      </c>
      <c r="G188" s="448">
        <v>46205.919999999925</v>
      </c>
      <c r="H188" s="436">
        <v>0</v>
      </c>
      <c r="I188" s="449">
        <v>0</v>
      </c>
    </row>
    <row r="189" spans="1:9" ht="15.75" customHeight="1" x14ac:dyDescent="0.2">
      <c r="A189" s="437"/>
      <c r="B189" s="437"/>
      <c r="C189" s="436"/>
      <c r="D189" s="467">
        <v>45678</v>
      </c>
      <c r="E189" s="436" t="s">
        <v>597</v>
      </c>
      <c r="F189" s="436">
        <v>8409477.4600000009</v>
      </c>
      <c r="G189" s="448">
        <v>46205.920000000857</v>
      </c>
      <c r="H189" s="436">
        <v>0</v>
      </c>
      <c r="I189" s="449">
        <v>0</v>
      </c>
    </row>
    <row r="190" spans="1:9" ht="15.75" customHeight="1" x14ac:dyDescent="0.2">
      <c r="A190" s="437"/>
      <c r="B190" s="437"/>
      <c r="C190" s="436"/>
      <c r="D190" s="467">
        <v>45679</v>
      </c>
      <c r="E190" s="436" t="s">
        <v>603</v>
      </c>
      <c r="F190" s="436">
        <v>8455683.3800000008</v>
      </c>
      <c r="G190" s="448">
        <v>46205.919999999925</v>
      </c>
      <c r="H190" s="436">
        <v>323441.44000000041</v>
      </c>
      <c r="I190" s="449">
        <v>0</v>
      </c>
    </row>
    <row r="191" spans="1:9" ht="15.75" customHeight="1" x14ac:dyDescent="0.2">
      <c r="A191" s="437"/>
      <c r="B191" s="437"/>
      <c r="C191" s="436"/>
      <c r="D191" s="467">
        <v>45680</v>
      </c>
      <c r="E191" s="436" t="s">
        <v>602</v>
      </c>
      <c r="F191" s="436">
        <v>8501889.3000000007</v>
      </c>
      <c r="G191" s="448">
        <v>46205.919999999925</v>
      </c>
      <c r="H191" s="436">
        <v>0</v>
      </c>
      <c r="I191" s="449">
        <v>0</v>
      </c>
    </row>
    <row r="192" spans="1:9" ht="15.75" customHeight="1" x14ac:dyDescent="0.2">
      <c r="A192" s="437"/>
      <c r="B192" s="437"/>
      <c r="C192" s="436"/>
      <c r="D192" s="467">
        <v>45681</v>
      </c>
      <c r="E192" s="436" t="s">
        <v>601</v>
      </c>
      <c r="F192" s="436">
        <v>8548095.2200000007</v>
      </c>
      <c r="G192" s="448">
        <v>46205.919999999925</v>
      </c>
      <c r="H192" s="436">
        <v>0</v>
      </c>
      <c r="I192" s="449">
        <v>0</v>
      </c>
    </row>
    <row r="193" spans="1:9" ht="15.75" customHeight="1" x14ac:dyDescent="0.2">
      <c r="A193" s="437"/>
      <c r="B193" s="437"/>
      <c r="C193" s="436"/>
      <c r="D193" s="467">
        <v>45682</v>
      </c>
      <c r="E193" s="436" t="s">
        <v>600</v>
      </c>
      <c r="F193" s="436">
        <v>8594301.1400000006</v>
      </c>
      <c r="G193" s="448">
        <v>46205.919999999925</v>
      </c>
      <c r="H193" s="436">
        <v>0</v>
      </c>
      <c r="I193" s="449">
        <v>0</v>
      </c>
    </row>
    <row r="194" spans="1:9" ht="15.75" customHeight="1" x14ac:dyDescent="0.2">
      <c r="A194" s="437"/>
      <c r="B194" s="437"/>
      <c r="C194" s="436"/>
      <c r="D194" s="467">
        <v>45683</v>
      </c>
      <c r="E194" s="436" t="s">
        <v>599</v>
      </c>
      <c r="F194" s="436">
        <v>8640507.0600000005</v>
      </c>
      <c r="G194" s="448">
        <v>46205.919999999925</v>
      </c>
      <c r="H194" s="436">
        <v>0</v>
      </c>
      <c r="I194" s="449">
        <v>0</v>
      </c>
    </row>
    <row r="195" spans="1:9" ht="15.75" customHeight="1" x14ac:dyDescent="0.2">
      <c r="A195" s="437"/>
      <c r="B195" s="437"/>
      <c r="C195" s="436"/>
      <c r="D195" s="467">
        <v>45684</v>
      </c>
      <c r="E195" s="436" t="s">
        <v>598</v>
      </c>
      <c r="F195" s="436">
        <v>8686712.9800000004</v>
      </c>
      <c r="G195" s="448">
        <v>46205.919999999925</v>
      </c>
      <c r="H195" s="436">
        <v>0</v>
      </c>
      <c r="I195" s="449">
        <v>0</v>
      </c>
    </row>
    <row r="196" spans="1:9" ht="15.75" customHeight="1" x14ac:dyDescent="0.2">
      <c r="A196" s="437"/>
      <c r="B196" s="437"/>
      <c r="C196" s="436"/>
      <c r="D196" s="467">
        <v>45685</v>
      </c>
      <c r="E196" s="436" t="s">
        <v>597</v>
      </c>
      <c r="F196" s="436">
        <v>8732918.9000000004</v>
      </c>
      <c r="G196" s="448">
        <v>46205.919999999925</v>
      </c>
      <c r="H196" s="436">
        <v>0</v>
      </c>
      <c r="I196" s="449">
        <v>0</v>
      </c>
    </row>
    <row r="197" spans="1:9" ht="15.75" customHeight="1" x14ac:dyDescent="0.2">
      <c r="A197" s="437"/>
      <c r="B197" s="437"/>
      <c r="C197" s="436"/>
      <c r="D197" s="467">
        <v>45686</v>
      </c>
      <c r="E197" s="436" t="s">
        <v>603</v>
      </c>
      <c r="F197" s="436">
        <v>8779124.8200000003</v>
      </c>
      <c r="G197" s="448">
        <v>46205.919999999925</v>
      </c>
      <c r="H197" s="436">
        <v>323441.43999999948</v>
      </c>
      <c r="I197" s="449">
        <v>646882.87999999989</v>
      </c>
    </row>
    <row r="198" spans="1:9" ht="15.75" customHeight="1" x14ac:dyDescent="0.2">
      <c r="A198" s="437"/>
      <c r="B198" s="437"/>
      <c r="C198" s="436"/>
      <c r="D198" s="467">
        <v>45687</v>
      </c>
      <c r="E198" s="436" t="s">
        <v>602</v>
      </c>
      <c r="F198" s="436">
        <v>8825330.7400000002</v>
      </c>
      <c r="G198" s="448">
        <v>46205.919999999925</v>
      </c>
      <c r="H198" s="436">
        <v>0</v>
      </c>
      <c r="I198" s="449">
        <v>0</v>
      </c>
    </row>
    <row r="199" spans="1:9" ht="15.75" customHeight="1" x14ac:dyDescent="0.2">
      <c r="A199" s="437"/>
      <c r="B199" s="437"/>
      <c r="C199" s="436"/>
      <c r="D199" s="467">
        <v>45688</v>
      </c>
      <c r="E199" s="436" t="s">
        <v>601</v>
      </c>
      <c r="F199" s="436">
        <v>8871536.6600000001</v>
      </c>
      <c r="G199" s="448">
        <v>46205.919999999925</v>
      </c>
      <c r="H199" s="436">
        <v>0</v>
      </c>
      <c r="I199" s="449">
        <v>0</v>
      </c>
    </row>
    <row r="200" spans="1:9" ht="15.75" customHeight="1" x14ac:dyDescent="0.2">
      <c r="A200" s="437"/>
      <c r="B200" s="437"/>
      <c r="C200" s="436"/>
      <c r="D200" s="467">
        <v>45689</v>
      </c>
      <c r="E200" s="436" t="s">
        <v>600</v>
      </c>
      <c r="F200" s="436">
        <v>8917742.5800000001</v>
      </c>
      <c r="G200" s="448">
        <v>46205.919999999925</v>
      </c>
      <c r="H200" s="436">
        <v>0</v>
      </c>
      <c r="I200" s="449">
        <v>0</v>
      </c>
    </row>
    <row r="201" spans="1:9" ht="15.75" customHeight="1" x14ac:dyDescent="0.2">
      <c r="A201" s="437"/>
      <c r="B201" s="437"/>
      <c r="C201" s="436"/>
      <c r="D201" s="467">
        <v>45690</v>
      </c>
      <c r="E201" s="436" t="s">
        <v>599</v>
      </c>
      <c r="F201" s="436">
        <v>8963948.5</v>
      </c>
      <c r="G201" s="448">
        <v>46205.919999999925</v>
      </c>
      <c r="H201" s="436">
        <v>0</v>
      </c>
      <c r="I201" s="449">
        <v>0</v>
      </c>
    </row>
    <row r="202" spans="1:9" ht="15.75" customHeight="1" x14ac:dyDescent="0.2">
      <c r="A202" s="437"/>
      <c r="B202" s="437"/>
      <c r="C202" s="436"/>
      <c r="D202" s="467">
        <v>45691</v>
      </c>
      <c r="E202" s="436" t="s">
        <v>598</v>
      </c>
      <c r="F202" s="436">
        <v>9010154.4199999999</v>
      </c>
      <c r="G202" s="448">
        <v>46205.919999999925</v>
      </c>
      <c r="H202" s="436">
        <v>0</v>
      </c>
      <c r="I202" s="449">
        <v>0</v>
      </c>
    </row>
    <row r="203" spans="1:9" ht="15.75" customHeight="1" x14ac:dyDescent="0.2">
      <c r="A203" s="437"/>
      <c r="B203" s="437"/>
      <c r="C203" s="436"/>
      <c r="D203" s="467">
        <v>45692</v>
      </c>
      <c r="E203" s="436" t="s">
        <v>597</v>
      </c>
      <c r="F203" s="436">
        <v>9056360.3399999999</v>
      </c>
      <c r="G203" s="448">
        <v>46205.919999999925</v>
      </c>
      <c r="H203" s="436">
        <v>0</v>
      </c>
      <c r="I203" s="449">
        <v>0</v>
      </c>
    </row>
    <row r="204" spans="1:9" ht="15.75" customHeight="1" x14ac:dyDescent="0.2">
      <c r="A204" s="437"/>
      <c r="B204" s="437"/>
      <c r="C204" s="436"/>
      <c r="D204" s="467">
        <v>45693</v>
      </c>
      <c r="E204" s="436" t="s">
        <v>603</v>
      </c>
      <c r="F204" s="436">
        <v>9102566.2599999998</v>
      </c>
      <c r="G204" s="448">
        <v>46205.919999999925</v>
      </c>
      <c r="H204" s="436">
        <v>323441.43999999948</v>
      </c>
      <c r="I204" s="449">
        <v>0</v>
      </c>
    </row>
    <row r="205" spans="1:9" ht="15.75" customHeight="1" x14ac:dyDescent="0.2">
      <c r="A205" s="437"/>
      <c r="B205" s="437"/>
      <c r="C205" s="436"/>
      <c r="D205" s="467">
        <v>45694</v>
      </c>
      <c r="E205" s="436" t="s">
        <v>602</v>
      </c>
      <c r="F205" s="436">
        <v>9148772.1799999997</v>
      </c>
      <c r="G205" s="448">
        <v>46205.919999999925</v>
      </c>
      <c r="H205" s="436">
        <v>0</v>
      </c>
      <c r="I205" s="449">
        <v>0</v>
      </c>
    </row>
    <row r="206" spans="1:9" ht="15.75" customHeight="1" x14ac:dyDescent="0.2">
      <c r="A206" s="437"/>
      <c r="B206" s="437"/>
      <c r="C206" s="436"/>
      <c r="D206" s="467">
        <v>45695</v>
      </c>
      <c r="E206" s="436" t="s">
        <v>601</v>
      </c>
      <c r="F206" s="436">
        <v>9194978.0999999996</v>
      </c>
      <c r="G206" s="448">
        <v>46205.919999999925</v>
      </c>
      <c r="H206" s="436">
        <v>0</v>
      </c>
      <c r="I206" s="449">
        <v>0</v>
      </c>
    </row>
    <row r="207" spans="1:9" ht="15.75" customHeight="1" x14ac:dyDescent="0.2">
      <c r="A207" s="437"/>
      <c r="B207" s="437"/>
      <c r="C207" s="436"/>
      <c r="D207" s="467">
        <v>45696</v>
      </c>
      <c r="E207" s="436" t="s">
        <v>600</v>
      </c>
      <c r="F207" s="436">
        <v>9241184.0199999996</v>
      </c>
      <c r="G207" s="448">
        <v>46205.919999999925</v>
      </c>
      <c r="H207" s="436">
        <v>0</v>
      </c>
      <c r="I207" s="449">
        <v>0</v>
      </c>
    </row>
    <row r="208" spans="1:9" ht="15.75" customHeight="1" x14ac:dyDescent="0.2">
      <c r="A208" s="437"/>
      <c r="B208" s="437"/>
      <c r="C208" s="436"/>
      <c r="D208" s="467">
        <v>45697</v>
      </c>
      <c r="E208" s="436" t="s">
        <v>599</v>
      </c>
      <c r="F208" s="436">
        <v>9287389.9399999995</v>
      </c>
      <c r="G208" s="448">
        <v>46205.919999999925</v>
      </c>
      <c r="H208" s="436">
        <v>0</v>
      </c>
      <c r="I208" s="449">
        <v>0</v>
      </c>
    </row>
    <row r="209" spans="1:9" ht="15.75" customHeight="1" x14ac:dyDescent="0.2">
      <c r="A209" s="437"/>
      <c r="B209" s="437"/>
      <c r="C209" s="436"/>
      <c r="D209" s="467">
        <v>45698</v>
      </c>
      <c r="E209" s="436" t="s">
        <v>598</v>
      </c>
      <c r="F209" s="436">
        <v>9333595.8599999994</v>
      </c>
      <c r="G209" s="448">
        <v>46205.919999999925</v>
      </c>
      <c r="H209" s="436">
        <v>0</v>
      </c>
      <c r="I209" s="449">
        <v>0</v>
      </c>
    </row>
    <row r="210" spans="1:9" ht="15.75" customHeight="1" x14ac:dyDescent="0.2">
      <c r="A210" s="437"/>
      <c r="B210" s="437"/>
      <c r="C210" s="436"/>
      <c r="D210" s="467">
        <v>45699</v>
      </c>
      <c r="E210" s="436" t="s">
        <v>597</v>
      </c>
      <c r="F210" s="436">
        <v>9379801.7799999993</v>
      </c>
      <c r="G210" s="448">
        <v>46205.919999999925</v>
      </c>
      <c r="H210" s="436">
        <v>0</v>
      </c>
      <c r="I210" s="449">
        <v>0</v>
      </c>
    </row>
    <row r="211" spans="1:9" ht="15.75" customHeight="1" x14ac:dyDescent="0.2">
      <c r="A211" s="437"/>
      <c r="B211" s="437"/>
      <c r="C211" s="436"/>
      <c r="D211" s="467">
        <v>45700</v>
      </c>
      <c r="E211" s="436" t="s">
        <v>603</v>
      </c>
      <c r="F211" s="436">
        <v>9426007.6999999993</v>
      </c>
      <c r="G211" s="448">
        <v>46205.919999999925</v>
      </c>
      <c r="H211" s="436">
        <v>323441.43999999948</v>
      </c>
      <c r="I211" s="449">
        <v>646882.87999999896</v>
      </c>
    </row>
    <row r="212" spans="1:9" ht="15.75" customHeight="1" x14ac:dyDescent="0.2">
      <c r="A212" s="437"/>
      <c r="B212" s="437"/>
      <c r="C212" s="436"/>
      <c r="D212" s="467">
        <v>45701</v>
      </c>
      <c r="E212" s="436" t="s">
        <v>602</v>
      </c>
      <c r="F212" s="436">
        <v>9472213.6199999992</v>
      </c>
      <c r="G212" s="448">
        <v>46205.919999999925</v>
      </c>
      <c r="H212" s="436">
        <v>0</v>
      </c>
      <c r="I212" s="449">
        <v>0</v>
      </c>
    </row>
    <row r="213" spans="1:9" ht="15.75" customHeight="1" x14ac:dyDescent="0.2">
      <c r="A213" s="437"/>
      <c r="B213" s="437"/>
      <c r="C213" s="436"/>
      <c r="D213" s="467">
        <v>45702</v>
      </c>
      <c r="E213" s="436" t="s">
        <v>601</v>
      </c>
      <c r="F213" s="436">
        <v>9518419.5399999991</v>
      </c>
      <c r="G213" s="448">
        <v>46205.919999999925</v>
      </c>
      <c r="H213" s="436">
        <v>0</v>
      </c>
      <c r="I213" s="449">
        <v>0</v>
      </c>
    </row>
    <row r="214" spans="1:9" ht="15.75" customHeight="1" x14ac:dyDescent="0.2">
      <c r="A214" s="437"/>
      <c r="B214" s="437"/>
      <c r="C214" s="436"/>
      <c r="D214" s="467">
        <v>45703</v>
      </c>
      <c r="E214" s="436" t="s">
        <v>600</v>
      </c>
      <c r="F214" s="436">
        <v>9564625.4600000009</v>
      </c>
      <c r="G214" s="448">
        <v>46205.920000001788</v>
      </c>
      <c r="H214" s="436">
        <v>0</v>
      </c>
      <c r="I214" s="449">
        <v>0</v>
      </c>
    </row>
    <row r="215" spans="1:9" ht="15.75" customHeight="1" x14ac:dyDescent="0.2">
      <c r="A215" s="437"/>
      <c r="B215" s="437"/>
      <c r="C215" s="436"/>
      <c r="D215" s="467">
        <v>45704</v>
      </c>
      <c r="E215" s="436" t="s">
        <v>599</v>
      </c>
      <c r="F215" s="436">
        <v>9610831.3800000008</v>
      </c>
      <c r="G215" s="448">
        <v>46205.919999999925</v>
      </c>
      <c r="H215" s="436">
        <v>0</v>
      </c>
      <c r="I215" s="449">
        <v>0</v>
      </c>
    </row>
    <row r="216" spans="1:9" ht="15.75" customHeight="1" x14ac:dyDescent="0.2">
      <c r="A216" s="437"/>
      <c r="B216" s="437"/>
      <c r="C216" s="436"/>
      <c r="D216" s="467">
        <v>45705</v>
      </c>
      <c r="E216" s="436" t="s">
        <v>598</v>
      </c>
      <c r="F216" s="436">
        <v>9657037.3000000007</v>
      </c>
      <c r="G216" s="448">
        <v>46205.919999999925</v>
      </c>
      <c r="H216" s="436">
        <v>0</v>
      </c>
      <c r="I216" s="449">
        <v>0</v>
      </c>
    </row>
    <row r="217" spans="1:9" ht="15.75" customHeight="1" x14ac:dyDescent="0.2">
      <c r="A217" s="437"/>
      <c r="B217" s="437"/>
      <c r="C217" s="436"/>
      <c r="D217" s="467">
        <v>45706</v>
      </c>
      <c r="E217" s="436" t="s">
        <v>597</v>
      </c>
      <c r="F217" s="436">
        <v>9703243.2200000007</v>
      </c>
      <c r="G217" s="448">
        <v>46205.919999999925</v>
      </c>
      <c r="H217" s="436">
        <v>0</v>
      </c>
      <c r="I217" s="449">
        <v>0</v>
      </c>
    </row>
    <row r="218" spans="1:9" ht="15.75" customHeight="1" x14ac:dyDescent="0.2">
      <c r="A218" s="437"/>
      <c r="B218" s="437"/>
      <c r="C218" s="436"/>
      <c r="D218" s="467">
        <v>45707</v>
      </c>
      <c r="E218" s="436" t="s">
        <v>603</v>
      </c>
      <c r="F218" s="436">
        <v>9749449.1400000006</v>
      </c>
      <c r="G218" s="448">
        <v>46205.919999999925</v>
      </c>
      <c r="H218" s="436">
        <v>323441.44000000134</v>
      </c>
      <c r="I218" s="449">
        <v>0</v>
      </c>
    </row>
    <row r="219" spans="1:9" ht="15.75" customHeight="1" x14ac:dyDescent="0.2">
      <c r="A219" s="437"/>
      <c r="B219" s="437"/>
      <c r="C219" s="436"/>
      <c r="D219" s="467">
        <v>45708</v>
      </c>
      <c r="E219" s="436" t="s">
        <v>602</v>
      </c>
      <c r="F219" s="436">
        <v>9795655.0600000005</v>
      </c>
      <c r="G219" s="448">
        <v>46205.919999999925</v>
      </c>
      <c r="H219" s="436">
        <v>0</v>
      </c>
      <c r="I219" s="449">
        <v>0</v>
      </c>
    </row>
    <row r="220" spans="1:9" ht="15.75" customHeight="1" x14ac:dyDescent="0.2">
      <c r="A220" s="437"/>
      <c r="B220" s="437"/>
      <c r="C220" s="436"/>
      <c r="D220" s="467">
        <v>45709</v>
      </c>
      <c r="E220" s="436" t="s">
        <v>601</v>
      </c>
      <c r="F220" s="436">
        <v>9841860.9800000004</v>
      </c>
      <c r="G220" s="448">
        <v>46205.919999999925</v>
      </c>
      <c r="H220" s="436">
        <v>0</v>
      </c>
      <c r="I220" s="449">
        <v>0</v>
      </c>
    </row>
    <row r="221" spans="1:9" ht="15.75" customHeight="1" x14ac:dyDescent="0.2">
      <c r="A221" s="437"/>
      <c r="B221" s="437"/>
      <c r="C221" s="436"/>
      <c r="D221" s="467">
        <v>45710</v>
      </c>
      <c r="E221" s="436" t="s">
        <v>600</v>
      </c>
      <c r="F221" s="436">
        <v>9888066.9000000004</v>
      </c>
      <c r="G221" s="448">
        <v>46205.919999999925</v>
      </c>
      <c r="H221" s="436">
        <v>0</v>
      </c>
      <c r="I221" s="449">
        <v>0</v>
      </c>
    </row>
    <row r="222" spans="1:9" ht="15.75" customHeight="1" x14ac:dyDescent="0.2">
      <c r="A222" s="437"/>
      <c r="B222" s="437"/>
      <c r="C222" s="436"/>
      <c r="D222" s="467">
        <v>45711</v>
      </c>
      <c r="E222" s="436" t="s">
        <v>599</v>
      </c>
      <c r="F222" s="436">
        <v>9934272.8200000003</v>
      </c>
      <c r="G222" s="448">
        <v>46205.919999999925</v>
      </c>
      <c r="H222" s="436">
        <v>0</v>
      </c>
      <c r="I222" s="449">
        <v>0</v>
      </c>
    </row>
    <row r="223" spans="1:9" ht="15.75" customHeight="1" x14ac:dyDescent="0.2">
      <c r="A223" s="437"/>
      <c r="B223" s="437"/>
      <c r="C223" s="436"/>
      <c r="D223" s="467">
        <v>45712</v>
      </c>
      <c r="E223" s="436" t="s">
        <v>598</v>
      </c>
      <c r="F223" s="436">
        <v>9980478.7400000002</v>
      </c>
      <c r="G223" s="448">
        <v>46205.919999999925</v>
      </c>
      <c r="H223" s="436">
        <v>0</v>
      </c>
      <c r="I223" s="449">
        <v>0</v>
      </c>
    </row>
    <row r="224" spans="1:9" ht="15.75" customHeight="1" x14ac:dyDescent="0.2">
      <c r="A224" s="437"/>
      <c r="B224" s="437"/>
      <c r="C224" s="436"/>
      <c r="D224" s="467">
        <v>45713</v>
      </c>
      <c r="E224" s="436" t="s">
        <v>597</v>
      </c>
      <c r="F224" s="436">
        <v>10026684.66</v>
      </c>
      <c r="G224" s="448">
        <v>46205.919999999925</v>
      </c>
      <c r="H224" s="436">
        <v>0</v>
      </c>
      <c r="I224" s="449">
        <v>0</v>
      </c>
    </row>
    <row r="225" spans="1:9" ht="15.75" customHeight="1" x14ac:dyDescent="0.2">
      <c r="A225" s="437"/>
      <c r="B225" s="437"/>
      <c r="C225" s="436"/>
      <c r="D225" s="467">
        <v>45714</v>
      </c>
      <c r="E225" s="436" t="s">
        <v>603</v>
      </c>
      <c r="F225" s="436">
        <v>10072890.58</v>
      </c>
      <c r="G225" s="448">
        <v>46205.919999999925</v>
      </c>
      <c r="H225" s="436">
        <v>323441.43999999948</v>
      </c>
      <c r="I225" s="449">
        <v>646882.88000000082</v>
      </c>
    </row>
    <row r="226" spans="1:9" ht="15.75" customHeight="1" x14ac:dyDescent="0.2">
      <c r="A226" s="437"/>
      <c r="B226" s="437"/>
      <c r="C226" s="436"/>
      <c r="D226" s="467">
        <v>45715</v>
      </c>
      <c r="E226" s="436" t="s">
        <v>602</v>
      </c>
      <c r="F226" s="436">
        <v>10119096.5</v>
      </c>
      <c r="G226" s="448">
        <v>46205.919999999925</v>
      </c>
      <c r="H226" s="436">
        <v>0</v>
      </c>
      <c r="I226" s="449">
        <v>0</v>
      </c>
    </row>
    <row r="227" spans="1:9" ht="15.75" customHeight="1" x14ac:dyDescent="0.2">
      <c r="A227" s="437"/>
      <c r="B227" s="437"/>
      <c r="C227" s="436"/>
      <c r="D227" s="467">
        <v>45716</v>
      </c>
      <c r="E227" s="436" t="s">
        <v>601</v>
      </c>
      <c r="F227" s="436">
        <v>10165302.42</v>
      </c>
      <c r="G227" s="448">
        <v>46205.919999999925</v>
      </c>
      <c r="H227" s="436">
        <v>0</v>
      </c>
      <c r="I227" s="449">
        <v>0</v>
      </c>
    </row>
    <row r="228" spans="1:9" ht="15.75" customHeight="1" x14ac:dyDescent="0.2">
      <c r="A228" s="437"/>
      <c r="B228" s="437"/>
      <c r="C228" s="436"/>
      <c r="D228" s="467">
        <v>45717</v>
      </c>
      <c r="E228" s="436" t="s">
        <v>600</v>
      </c>
      <c r="F228" s="436">
        <v>10211508.34</v>
      </c>
      <c r="G228" s="448">
        <v>46205.919999999925</v>
      </c>
      <c r="H228" s="436">
        <v>0</v>
      </c>
      <c r="I228" s="449">
        <v>0</v>
      </c>
    </row>
    <row r="229" spans="1:9" ht="15.75" customHeight="1" x14ac:dyDescent="0.2">
      <c r="A229" s="437"/>
      <c r="B229" s="437"/>
      <c r="C229" s="436"/>
      <c r="D229" s="467">
        <v>45718</v>
      </c>
      <c r="E229" s="436" t="s">
        <v>599</v>
      </c>
      <c r="F229" s="436">
        <v>10257714.26</v>
      </c>
      <c r="G229" s="448">
        <v>46205.919999999925</v>
      </c>
      <c r="H229" s="436">
        <v>0</v>
      </c>
      <c r="I229" s="449">
        <v>0</v>
      </c>
    </row>
    <row r="230" spans="1:9" ht="15.75" customHeight="1" x14ac:dyDescent="0.2">
      <c r="A230" s="437"/>
      <c r="B230" s="437"/>
      <c r="C230" s="436"/>
      <c r="D230" s="467">
        <v>45719</v>
      </c>
      <c r="E230" s="436" t="s">
        <v>598</v>
      </c>
      <c r="F230" s="436">
        <v>10303920.18</v>
      </c>
      <c r="G230" s="448">
        <v>46205.919999999925</v>
      </c>
      <c r="H230" s="436">
        <v>0</v>
      </c>
      <c r="I230" s="449">
        <v>0</v>
      </c>
    </row>
    <row r="231" spans="1:9" ht="15.75" customHeight="1" x14ac:dyDescent="0.2">
      <c r="A231" s="437"/>
      <c r="B231" s="437"/>
      <c r="C231" s="436"/>
      <c r="D231" s="467">
        <v>45720</v>
      </c>
      <c r="E231" s="436" t="s">
        <v>597</v>
      </c>
      <c r="F231" s="436">
        <v>10350126.1</v>
      </c>
      <c r="G231" s="448">
        <v>46205.919999999925</v>
      </c>
      <c r="H231" s="436">
        <v>0</v>
      </c>
      <c r="I231" s="449">
        <v>0</v>
      </c>
    </row>
    <row r="232" spans="1:9" ht="15.75" customHeight="1" x14ac:dyDescent="0.2">
      <c r="A232" s="437"/>
      <c r="B232" s="437"/>
      <c r="C232" s="436"/>
      <c r="D232" s="467">
        <v>45721</v>
      </c>
      <c r="E232" s="436" t="s">
        <v>603</v>
      </c>
      <c r="F232" s="436">
        <v>10396332.029999999</v>
      </c>
      <c r="G232" s="448">
        <v>46205.929999999702</v>
      </c>
      <c r="H232" s="436">
        <v>323441.44999999925</v>
      </c>
      <c r="I232" s="449">
        <v>0</v>
      </c>
    </row>
    <row r="233" spans="1:9" ht="15.75" customHeight="1" x14ac:dyDescent="0.2">
      <c r="A233" s="437"/>
      <c r="B233" s="437"/>
      <c r="C233" s="436"/>
      <c r="D233" s="467">
        <v>45722</v>
      </c>
      <c r="E233" s="436" t="s">
        <v>602</v>
      </c>
      <c r="F233" s="436">
        <v>10442537.949999999</v>
      </c>
      <c r="G233" s="448">
        <v>46205.919999999925</v>
      </c>
      <c r="H233" s="436">
        <v>0</v>
      </c>
      <c r="I233" s="449">
        <v>0</v>
      </c>
    </row>
    <row r="234" spans="1:9" ht="15.75" customHeight="1" x14ac:dyDescent="0.2">
      <c r="A234" s="437"/>
      <c r="B234" s="437"/>
      <c r="C234" s="436"/>
      <c r="D234" s="467">
        <v>45723</v>
      </c>
      <c r="E234" s="436" t="s">
        <v>601</v>
      </c>
      <c r="F234" s="436">
        <v>10488743.869999999</v>
      </c>
      <c r="G234" s="448">
        <v>46205.919999999925</v>
      </c>
      <c r="H234" s="436">
        <v>0</v>
      </c>
      <c r="I234" s="449">
        <v>0</v>
      </c>
    </row>
    <row r="235" spans="1:9" ht="15.75" customHeight="1" x14ac:dyDescent="0.2">
      <c r="A235" s="437"/>
      <c r="B235" s="437"/>
      <c r="C235" s="436"/>
      <c r="D235" s="467">
        <v>45724</v>
      </c>
      <c r="E235" s="436" t="s">
        <v>600</v>
      </c>
      <c r="F235" s="436">
        <v>10534949.789999999</v>
      </c>
      <c r="G235" s="448">
        <v>46205.919999999925</v>
      </c>
      <c r="H235" s="436">
        <v>0</v>
      </c>
      <c r="I235" s="449">
        <v>0</v>
      </c>
    </row>
    <row r="236" spans="1:9" ht="15.75" customHeight="1" x14ac:dyDescent="0.2">
      <c r="A236" s="437"/>
      <c r="B236" s="437"/>
      <c r="C236" s="436"/>
      <c r="D236" s="467">
        <v>45725</v>
      </c>
      <c r="E236" s="436" t="s">
        <v>599</v>
      </c>
      <c r="F236" s="436">
        <v>10581155.710000001</v>
      </c>
      <c r="G236" s="448">
        <v>46205.920000001788</v>
      </c>
      <c r="H236" s="436">
        <v>0</v>
      </c>
      <c r="I236" s="449">
        <v>0</v>
      </c>
    </row>
    <row r="237" spans="1:9" ht="15.75" customHeight="1" x14ac:dyDescent="0.2">
      <c r="A237" s="437"/>
      <c r="B237" s="437"/>
      <c r="C237" s="436"/>
      <c r="D237" s="467">
        <v>45726</v>
      </c>
      <c r="E237" s="436" t="s">
        <v>598</v>
      </c>
      <c r="F237" s="436">
        <v>10627361.630000001</v>
      </c>
      <c r="G237" s="448">
        <v>46205.919999999925</v>
      </c>
      <c r="H237" s="436">
        <v>0</v>
      </c>
      <c r="I237" s="449">
        <v>0</v>
      </c>
    </row>
    <row r="238" spans="1:9" ht="15.75" customHeight="1" x14ac:dyDescent="0.2">
      <c r="A238" s="437"/>
      <c r="B238" s="437"/>
      <c r="C238" s="436"/>
      <c r="D238" s="467">
        <v>45727</v>
      </c>
      <c r="E238" s="436" t="s">
        <v>597</v>
      </c>
      <c r="F238" s="436">
        <v>10673567.550000001</v>
      </c>
      <c r="G238" s="448">
        <v>46205.919999999925</v>
      </c>
      <c r="H238" s="436">
        <v>0</v>
      </c>
      <c r="I238" s="449">
        <v>0</v>
      </c>
    </row>
    <row r="239" spans="1:9" ht="15.75" customHeight="1" x14ac:dyDescent="0.2">
      <c r="A239" s="437"/>
      <c r="B239" s="437"/>
      <c r="C239" s="436"/>
      <c r="D239" s="467">
        <v>45728</v>
      </c>
      <c r="E239" s="436" t="s">
        <v>603</v>
      </c>
      <c r="F239" s="436">
        <v>10719773.470000001</v>
      </c>
      <c r="G239" s="448">
        <v>46205.919999999925</v>
      </c>
      <c r="H239" s="436">
        <v>323441.44000000134</v>
      </c>
      <c r="I239" s="449">
        <v>646882.8900000006</v>
      </c>
    </row>
    <row r="240" spans="1:9" ht="15.75" customHeight="1" x14ac:dyDescent="0.2">
      <c r="A240" s="437"/>
      <c r="B240" s="437"/>
      <c r="C240" s="436"/>
      <c r="D240" s="467">
        <v>45729</v>
      </c>
      <c r="E240" s="436" t="s">
        <v>602</v>
      </c>
      <c r="F240" s="436">
        <v>10765979.390000001</v>
      </c>
      <c r="G240" s="448">
        <v>46205.919999999925</v>
      </c>
      <c r="H240" s="436">
        <v>0</v>
      </c>
      <c r="I240" s="449">
        <v>0</v>
      </c>
    </row>
    <row r="241" spans="1:9" ht="15.75" customHeight="1" x14ac:dyDescent="0.2">
      <c r="A241" s="437"/>
      <c r="B241" s="437"/>
      <c r="C241" s="436"/>
      <c r="D241" s="467">
        <v>45730</v>
      </c>
      <c r="E241" s="436" t="s">
        <v>601</v>
      </c>
      <c r="F241" s="436">
        <v>10812185.310000001</v>
      </c>
      <c r="G241" s="448">
        <v>46205.919999999925</v>
      </c>
      <c r="H241" s="436">
        <v>0</v>
      </c>
      <c r="I241" s="449">
        <v>0</v>
      </c>
    </row>
    <row r="242" spans="1:9" ht="15.75" customHeight="1" x14ac:dyDescent="0.2">
      <c r="A242" s="437"/>
      <c r="B242" s="437"/>
      <c r="C242" s="436"/>
      <c r="D242" s="467">
        <v>45731</v>
      </c>
      <c r="E242" s="436" t="s">
        <v>600</v>
      </c>
      <c r="F242" s="436">
        <v>10858391.23</v>
      </c>
      <c r="G242" s="448">
        <v>46205.919999999925</v>
      </c>
      <c r="H242" s="436">
        <v>0</v>
      </c>
      <c r="I242" s="449">
        <v>0</v>
      </c>
    </row>
    <row r="243" spans="1:9" ht="15.75" customHeight="1" x14ac:dyDescent="0.2">
      <c r="A243" s="437"/>
      <c r="B243" s="437"/>
      <c r="C243" s="436"/>
      <c r="D243" s="467">
        <v>45732</v>
      </c>
      <c r="E243" s="436" t="s">
        <v>599</v>
      </c>
      <c r="F243" s="436">
        <v>10904597.15</v>
      </c>
      <c r="G243" s="448">
        <v>46205.919999999925</v>
      </c>
      <c r="H243" s="436">
        <v>0</v>
      </c>
      <c r="I243" s="449">
        <v>0</v>
      </c>
    </row>
    <row r="244" spans="1:9" ht="15.75" customHeight="1" x14ac:dyDescent="0.2">
      <c r="A244" s="437"/>
      <c r="B244" s="437"/>
      <c r="C244" s="436"/>
      <c r="D244" s="467">
        <v>45733</v>
      </c>
      <c r="E244" s="436" t="s">
        <v>598</v>
      </c>
      <c r="F244" s="436">
        <v>10950803.07</v>
      </c>
      <c r="G244" s="448">
        <v>46205.919999999925</v>
      </c>
      <c r="H244" s="436">
        <v>0</v>
      </c>
      <c r="I244" s="449">
        <v>0</v>
      </c>
    </row>
    <row r="245" spans="1:9" ht="15.75" customHeight="1" x14ac:dyDescent="0.2">
      <c r="A245" s="437"/>
      <c r="B245" s="437"/>
      <c r="C245" s="436"/>
      <c r="D245" s="467">
        <v>45734</v>
      </c>
      <c r="E245" s="436" t="s">
        <v>597</v>
      </c>
      <c r="F245" s="436">
        <v>10997008.99</v>
      </c>
      <c r="G245" s="448">
        <v>46205.919999999925</v>
      </c>
      <c r="H245" s="436">
        <v>0</v>
      </c>
      <c r="I245" s="449">
        <v>0</v>
      </c>
    </row>
    <row r="246" spans="1:9" ht="15.75" customHeight="1" x14ac:dyDescent="0.2">
      <c r="A246" s="437"/>
      <c r="B246" s="437"/>
      <c r="C246" s="436"/>
      <c r="D246" s="467">
        <v>45735</v>
      </c>
      <c r="E246" s="436" t="s">
        <v>603</v>
      </c>
      <c r="F246" s="436">
        <v>11043214.91</v>
      </c>
      <c r="G246" s="448">
        <v>46205.919999999925</v>
      </c>
      <c r="H246" s="436">
        <v>323441.43999999948</v>
      </c>
      <c r="I246" s="449">
        <v>0</v>
      </c>
    </row>
    <row r="247" spans="1:9" ht="15.75" customHeight="1" x14ac:dyDescent="0.2">
      <c r="A247" s="437"/>
      <c r="B247" s="437"/>
      <c r="C247" s="436"/>
      <c r="D247" s="467">
        <v>45736</v>
      </c>
      <c r="E247" s="436" t="s">
        <v>602</v>
      </c>
      <c r="F247" s="436">
        <v>11089420.83</v>
      </c>
      <c r="G247" s="448">
        <v>46205.919999999925</v>
      </c>
      <c r="H247" s="436">
        <v>0</v>
      </c>
      <c r="I247" s="449">
        <v>0</v>
      </c>
    </row>
    <row r="248" spans="1:9" ht="15.75" customHeight="1" x14ac:dyDescent="0.2">
      <c r="A248" s="437"/>
      <c r="B248" s="437"/>
      <c r="C248" s="436"/>
      <c r="D248" s="467">
        <v>45737</v>
      </c>
      <c r="E248" s="436" t="s">
        <v>601</v>
      </c>
      <c r="F248" s="436">
        <v>11135626.75</v>
      </c>
      <c r="G248" s="448">
        <v>46205.919999999925</v>
      </c>
      <c r="H248" s="436">
        <v>0</v>
      </c>
      <c r="I248" s="449">
        <v>0</v>
      </c>
    </row>
    <row r="249" spans="1:9" ht="15.75" customHeight="1" x14ac:dyDescent="0.2">
      <c r="A249" s="437"/>
      <c r="B249" s="437"/>
      <c r="C249" s="436"/>
      <c r="D249" s="467">
        <v>45738</v>
      </c>
      <c r="E249" s="436" t="s">
        <v>600</v>
      </c>
      <c r="F249" s="436">
        <v>11181832.67</v>
      </c>
      <c r="G249" s="448">
        <v>46205.919999999925</v>
      </c>
      <c r="H249" s="436">
        <v>0</v>
      </c>
      <c r="I249" s="449">
        <v>0</v>
      </c>
    </row>
    <row r="250" spans="1:9" ht="15.75" customHeight="1" x14ac:dyDescent="0.2">
      <c r="A250" s="437"/>
      <c r="B250" s="437"/>
      <c r="C250" s="436"/>
      <c r="D250" s="467">
        <v>45739</v>
      </c>
      <c r="E250" s="436" t="s">
        <v>599</v>
      </c>
      <c r="F250" s="436">
        <v>11228038.59</v>
      </c>
      <c r="G250" s="448">
        <v>46205.919999999925</v>
      </c>
      <c r="H250" s="436">
        <v>0</v>
      </c>
      <c r="I250" s="449">
        <v>0</v>
      </c>
    </row>
    <row r="251" spans="1:9" ht="15.75" customHeight="1" x14ac:dyDescent="0.2">
      <c r="A251" s="437"/>
      <c r="B251" s="437"/>
      <c r="C251" s="436"/>
      <c r="D251" s="467">
        <v>45740</v>
      </c>
      <c r="E251" s="436" t="s">
        <v>598</v>
      </c>
      <c r="F251" s="436">
        <v>11274244.51</v>
      </c>
      <c r="G251" s="448">
        <v>46205.919999999925</v>
      </c>
      <c r="H251" s="436">
        <v>0</v>
      </c>
      <c r="I251" s="449">
        <v>0</v>
      </c>
    </row>
    <row r="252" spans="1:9" ht="15.75" customHeight="1" x14ac:dyDescent="0.2">
      <c r="A252" s="437"/>
      <c r="B252" s="437"/>
      <c r="C252" s="436"/>
      <c r="D252" s="467">
        <v>45741</v>
      </c>
      <c r="E252" s="436" t="s">
        <v>597</v>
      </c>
      <c r="F252" s="436">
        <v>11320450.43</v>
      </c>
      <c r="G252" s="448">
        <v>46205.919999999925</v>
      </c>
      <c r="H252" s="436">
        <v>0</v>
      </c>
      <c r="I252" s="449">
        <v>0</v>
      </c>
    </row>
    <row r="253" spans="1:9" ht="15.75" customHeight="1" x14ac:dyDescent="0.2">
      <c r="A253" s="437"/>
      <c r="B253" s="437"/>
      <c r="C253" s="436"/>
      <c r="D253" s="467">
        <v>45742</v>
      </c>
      <c r="E253" s="436" t="s">
        <v>603</v>
      </c>
      <c r="F253" s="436">
        <v>11366656.35</v>
      </c>
      <c r="G253" s="448">
        <v>46205.919999999925</v>
      </c>
      <c r="H253" s="436">
        <v>323441.43999999948</v>
      </c>
      <c r="I253" s="449">
        <v>646882.87999999896</v>
      </c>
    </row>
    <row r="254" spans="1:9" ht="15.75" customHeight="1" x14ac:dyDescent="0.2">
      <c r="A254" s="437"/>
      <c r="B254" s="437"/>
      <c r="C254" s="436"/>
      <c r="D254" s="467">
        <v>45743</v>
      </c>
      <c r="E254" s="436" t="s">
        <v>602</v>
      </c>
      <c r="F254" s="436">
        <v>11412862.27</v>
      </c>
      <c r="G254" s="448">
        <v>46205.919999999925</v>
      </c>
      <c r="H254" s="436">
        <v>0</v>
      </c>
      <c r="I254" s="449">
        <v>0</v>
      </c>
    </row>
    <row r="255" spans="1:9" ht="15.75" customHeight="1" x14ac:dyDescent="0.2">
      <c r="A255" s="437"/>
      <c r="B255" s="437"/>
      <c r="C255" s="436"/>
      <c r="D255" s="467">
        <v>45744</v>
      </c>
      <c r="E255" s="436" t="s">
        <v>601</v>
      </c>
      <c r="F255" s="436">
        <v>11459068.189999999</v>
      </c>
      <c r="G255" s="448">
        <v>46205.919999999925</v>
      </c>
      <c r="H255" s="436">
        <v>0</v>
      </c>
      <c r="I255" s="449">
        <v>0</v>
      </c>
    </row>
    <row r="256" spans="1:9" ht="15.75" customHeight="1" x14ac:dyDescent="0.2">
      <c r="A256" s="437"/>
      <c r="B256" s="437"/>
      <c r="C256" s="436"/>
      <c r="D256" s="467">
        <v>45745</v>
      </c>
      <c r="E256" s="436" t="s">
        <v>600</v>
      </c>
      <c r="F256" s="436">
        <v>11505274.109999999</v>
      </c>
      <c r="G256" s="448">
        <v>46205.919999999925</v>
      </c>
      <c r="H256" s="436">
        <v>0</v>
      </c>
      <c r="I256" s="449">
        <v>0</v>
      </c>
    </row>
    <row r="257" spans="1:9" ht="15.75" customHeight="1" x14ac:dyDescent="0.2">
      <c r="A257" s="437"/>
      <c r="B257" s="437"/>
      <c r="C257" s="436"/>
      <c r="D257" s="467">
        <v>45746</v>
      </c>
      <c r="E257" s="436" t="s">
        <v>599</v>
      </c>
      <c r="F257" s="436">
        <v>11551480.029999999</v>
      </c>
      <c r="G257" s="448">
        <v>46205.919999999925</v>
      </c>
      <c r="H257" s="436">
        <v>0</v>
      </c>
      <c r="I257" s="449">
        <v>0</v>
      </c>
    </row>
    <row r="258" spans="1:9" ht="15.75" customHeight="1" x14ac:dyDescent="0.2">
      <c r="A258" s="437"/>
      <c r="B258" s="437"/>
      <c r="C258" s="436"/>
      <c r="D258" s="467">
        <v>45747</v>
      </c>
      <c r="E258" s="436" t="s">
        <v>598</v>
      </c>
      <c r="F258" s="436">
        <v>11597685.949999999</v>
      </c>
      <c r="G258" s="448">
        <v>46205.919999999925</v>
      </c>
      <c r="H258" s="436">
        <v>0</v>
      </c>
      <c r="I258" s="449">
        <v>0</v>
      </c>
    </row>
    <row r="259" spans="1:9" ht="15.75" customHeight="1" x14ac:dyDescent="0.2">
      <c r="A259" s="437"/>
      <c r="B259" s="437"/>
      <c r="C259" s="436"/>
      <c r="D259" s="467">
        <v>45748</v>
      </c>
      <c r="E259" s="436" t="s">
        <v>597</v>
      </c>
      <c r="F259" s="436">
        <v>11643891.869999999</v>
      </c>
      <c r="G259" s="448">
        <v>46205.919999999925</v>
      </c>
      <c r="H259" s="436">
        <v>0</v>
      </c>
      <c r="I259" s="449">
        <v>0</v>
      </c>
    </row>
    <row r="260" spans="1:9" ht="15.75" customHeight="1" x14ac:dyDescent="0.2">
      <c r="A260" s="437"/>
      <c r="B260" s="437"/>
      <c r="C260" s="436"/>
      <c r="D260" s="467">
        <v>45749</v>
      </c>
      <c r="E260" s="436" t="s">
        <v>603</v>
      </c>
      <c r="F260" s="436">
        <v>11690097.789999999</v>
      </c>
      <c r="G260" s="448">
        <v>46205.919999999925</v>
      </c>
      <c r="H260" s="436">
        <v>323441.43999999948</v>
      </c>
      <c r="I260" s="449">
        <v>0</v>
      </c>
    </row>
    <row r="261" spans="1:9" ht="15.75" customHeight="1" x14ac:dyDescent="0.2">
      <c r="A261" s="437"/>
      <c r="B261" s="437"/>
      <c r="C261" s="436"/>
      <c r="D261" s="467">
        <v>45750</v>
      </c>
      <c r="E261" s="436" t="s">
        <v>602</v>
      </c>
      <c r="F261" s="436">
        <v>11736303.710000001</v>
      </c>
      <c r="G261" s="448">
        <v>46205.920000001788</v>
      </c>
      <c r="H261" s="436">
        <v>0</v>
      </c>
      <c r="I261" s="449">
        <v>0</v>
      </c>
    </row>
    <row r="262" spans="1:9" ht="15.75" customHeight="1" x14ac:dyDescent="0.2">
      <c r="A262" s="437"/>
      <c r="B262" s="437"/>
      <c r="C262" s="436"/>
      <c r="D262" s="467">
        <v>45751</v>
      </c>
      <c r="E262" s="436" t="s">
        <v>601</v>
      </c>
      <c r="F262" s="436">
        <v>11782509.630000001</v>
      </c>
      <c r="G262" s="448">
        <v>46205.919999999925</v>
      </c>
      <c r="H262" s="436">
        <v>0</v>
      </c>
      <c r="I262" s="449">
        <v>0</v>
      </c>
    </row>
    <row r="263" spans="1:9" ht="15.75" customHeight="1" x14ac:dyDescent="0.2">
      <c r="A263" s="437"/>
      <c r="B263" s="437"/>
      <c r="C263" s="436"/>
      <c r="D263" s="467">
        <v>45752</v>
      </c>
      <c r="E263" s="436" t="s">
        <v>600</v>
      </c>
      <c r="F263" s="436">
        <v>11828715.550000001</v>
      </c>
      <c r="G263" s="448">
        <v>46205.919999999925</v>
      </c>
      <c r="H263" s="436">
        <v>0</v>
      </c>
      <c r="I263" s="449">
        <v>0</v>
      </c>
    </row>
    <row r="264" spans="1:9" ht="15.75" customHeight="1" x14ac:dyDescent="0.2">
      <c r="A264" s="437"/>
      <c r="B264" s="437"/>
      <c r="C264" s="436"/>
      <c r="D264" s="467">
        <v>45753</v>
      </c>
      <c r="E264" s="436" t="s">
        <v>599</v>
      </c>
      <c r="F264" s="436">
        <v>11874921.470000001</v>
      </c>
      <c r="G264" s="448">
        <v>46205.919999999925</v>
      </c>
      <c r="H264" s="436">
        <v>0</v>
      </c>
      <c r="I264" s="449">
        <v>0</v>
      </c>
    </row>
    <row r="265" spans="1:9" ht="15.75" customHeight="1" x14ac:dyDescent="0.2">
      <c r="A265" s="437"/>
      <c r="B265" s="437"/>
      <c r="C265" s="436"/>
      <c r="D265" s="467">
        <v>45754</v>
      </c>
      <c r="E265" s="436" t="s">
        <v>598</v>
      </c>
      <c r="F265" s="436">
        <v>11921127.390000001</v>
      </c>
      <c r="G265" s="448">
        <v>46205.919999999925</v>
      </c>
      <c r="H265" s="436">
        <v>0</v>
      </c>
      <c r="I265" s="449">
        <v>0</v>
      </c>
    </row>
    <row r="266" spans="1:9" ht="15.75" customHeight="1" x14ac:dyDescent="0.2">
      <c r="A266" s="437"/>
      <c r="B266" s="437"/>
      <c r="C266" s="436"/>
      <c r="D266" s="467">
        <v>45755</v>
      </c>
      <c r="E266" s="436" t="s">
        <v>597</v>
      </c>
      <c r="F266" s="436">
        <v>11967333.310000001</v>
      </c>
      <c r="G266" s="448">
        <v>46205.919999999925</v>
      </c>
      <c r="H266" s="436">
        <v>0</v>
      </c>
      <c r="I266" s="449">
        <v>0</v>
      </c>
    </row>
    <row r="267" spans="1:9" ht="15.75" customHeight="1" x14ac:dyDescent="0.2">
      <c r="A267" s="437"/>
      <c r="B267" s="437"/>
      <c r="C267" s="436"/>
      <c r="D267" s="467">
        <v>45756</v>
      </c>
      <c r="E267" s="436" t="s">
        <v>603</v>
      </c>
      <c r="F267" s="436">
        <v>12013539.23</v>
      </c>
      <c r="G267" s="448">
        <v>46205.919999999925</v>
      </c>
      <c r="H267" s="436">
        <v>323441.44000000134</v>
      </c>
      <c r="I267" s="449">
        <v>646882.88000000082</v>
      </c>
    </row>
    <row r="268" spans="1:9" ht="15.75" customHeight="1" x14ac:dyDescent="0.2">
      <c r="A268" s="437"/>
      <c r="B268" s="437"/>
      <c r="C268" s="436"/>
      <c r="D268" s="467">
        <v>45757</v>
      </c>
      <c r="E268" s="436" t="s">
        <v>602</v>
      </c>
      <c r="F268" s="436">
        <v>12059745.15</v>
      </c>
      <c r="G268" s="448">
        <v>46205.919999999925</v>
      </c>
      <c r="H268" s="436">
        <v>0</v>
      </c>
      <c r="I268" s="449">
        <v>0</v>
      </c>
    </row>
    <row r="269" spans="1:9" ht="15.75" customHeight="1" x14ac:dyDescent="0.2">
      <c r="A269" s="437"/>
      <c r="B269" s="437"/>
      <c r="C269" s="436"/>
      <c r="D269" s="467">
        <v>45758</v>
      </c>
      <c r="E269" s="436" t="s">
        <v>601</v>
      </c>
      <c r="F269" s="436">
        <v>12105951.07</v>
      </c>
      <c r="G269" s="448">
        <v>46205.919999999925</v>
      </c>
      <c r="H269" s="436">
        <v>0</v>
      </c>
      <c r="I269" s="449">
        <v>0</v>
      </c>
    </row>
    <row r="270" spans="1:9" ht="15.75" customHeight="1" x14ac:dyDescent="0.2">
      <c r="A270" s="437"/>
      <c r="B270" s="437"/>
      <c r="C270" s="436"/>
      <c r="D270" s="467">
        <v>45759</v>
      </c>
      <c r="E270" s="436" t="s">
        <v>600</v>
      </c>
      <c r="F270" s="436">
        <v>12152156.99</v>
      </c>
      <c r="G270" s="448">
        <v>46205.919999999925</v>
      </c>
      <c r="H270" s="436">
        <v>0</v>
      </c>
      <c r="I270" s="449">
        <v>0</v>
      </c>
    </row>
    <row r="271" spans="1:9" ht="15.75" customHeight="1" x14ac:dyDescent="0.2">
      <c r="A271" s="437"/>
      <c r="B271" s="437"/>
      <c r="C271" s="436"/>
      <c r="D271" s="467">
        <v>45760</v>
      </c>
      <c r="E271" s="436" t="s">
        <v>599</v>
      </c>
      <c r="F271" s="436">
        <v>12198362.91</v>
      </c>
      <c r="G271" s="448">
        <v>46205.919999999925</v>
      </c>
      <c r="H271" s="436">
        <v>0</v>
      </c>
      <c r="I271" s="449">
        <v>0</v>
      </c>
    </row>
    <row r="272" spans="1:9" ht="15.75" customHeight="1" x14ac:dyDescent="0.2">
      <c r="A272" s="437"/>
      <c r="B272" s="437"/>
      <c r="C272" s="436"/>
      <c r="D272" s="467">
        <v>45761</v>
      </c>
      <c r="E272" s="436" t="s">
        <v>598</v>
      </c>
      <c r="F272" s="436">
        <v>12244568.83</v>
      </c>
      <c r="G272" s="448">
        <v>46205.919999999925</v>
      </c>
      <c r="H272" s="436">
        <v>0</v>
      </c>
      <c r="I272" s="449">
        <v>0</v>
      </c>
    </row>
    <row r="273" spans="1:9" ht="15.75" customHeight="1" x14ac:dyDescent="0.2">
      <c r="A273" s="437"/>
      <c r="B273" s="437"/>
      <c r="C273" s="436"/>
      <c r="D273" s="467">
        <v>45762</v>
      </c>
      <c r="E273" s="436" t="s">
        <v>597</v>
      </c>
      <c r="F273" s="436">
        <v>12290774.75</v>
      </c>
      <c r="G273" s="448">
        <v>46205.919999999925</v>
      </c>
      <c r="H273" s="436">
        <v>0</v>
      </c>
      <c r="I273" s="449">
        <v>0</v>
      </c>
    </row>
    <row r="274" spans="1:9" ht="15.75" customHeight="1" x14ac:dyDescent="0.2">
      <c r="A274" s="437"/>
      <c r="B274" s="437"/>
      <c r="C274" s="436"/>
      <c r="D274" s="467">
        <v>45763</v>
      </c>
      <c r="E274" s="436" t="s">
        <v>603</v>
      </c>
      <c r="F274" s="436">
        <v>12336980.67</v>
      </c>
      <c r="G274" s="448">
        <v>46205.919999999925</v>
      </c>
      <c r="H274" s="436">
        <v>323441.43999999948</v>
      </c>
      <c r="I274" s="449">
        <v>0</v>
      </c>
    </row>
    <row r="275" spans="1:9" ht="15.75" customHeight="1" x14ac:dyDescent="0.2">
      <c r="A275" s="437"/>
      <c r="B275" s="437"/>
      <c r="C275" s="436"/>
      <c r="D275" s="467">
        <v>45764</v>
      </c>
      <c r="E275" s="436" t="s">
        <v>602</v>
      </c>
      <c r="F275" s="436">
        <v>12383186.59</v>
      </c>
      <c r="G275" s="448">
        <v>46205.919999999925</v>
      </c>
      <c r="H275" s="436">
        <v>0</v>
      </c>
      <c r="I275" s="449">
        <v>0</v>
      </c>
    </row>
    <row r="276" spans="1:9" ht="15.75" customHeight="1" x14ac:dyDescent="0.2">
      <c r="A276" s="437"/>
      <c r="B276" s="437"/>
      <c r="C276" s="436"/>
      <c r="D276" s="467">
        <v>45765</v>
      </c>
      <c r="E276" s="436" t="s">
        <v>601</v>
      </c>
      <c r="F276" s="436">
        <v>12429392.51</v>
      </c>
      <c r="G276" s="448">
        <v>46205.919999999925</v>
      </c>
      <c r="H276" s="436">
        <v>0</v>
      </c>
      <c r="I276" s="449">
        <v>0</v>
      </c>
    </row>
    <row r="277" spans="1:9" ht="15.75" customHeight="1" x14ac:dyDescent="0.2">
      <c r="A277" s="437"/>
      <c r="B277" s="437"/>
      <c r="C277" s="436"/>
      <c r="D277" s="467">
        <v>45766</v>
      </c>
      <c r="E277" s="436" t="s">
        <v>600</v>
      </c>
      <c r="F277" s="436">
        <v>12475598.43</v>
      </c>
      <c r="G277" s="448">
        <v>46205.919999999925</v>
      </c>
      <c r="H277" s="436">
        <v>0</v>
      </c>
      <c r="I277" s="449">
        <v>0</v>
      </c>
    </row>
    <row r="278" spans="1:9" ht="15.75" customHeight="1" x14ac:dyDescent="0.2">
      <c r="A278" s="437"/>
      <c r="B278" s="437"/>
      <c r="C278" s="436"/>
      <c r="D278" s="467">
        <v>45767</v>
      </c>
      <c r="E278" s="436" t="s">
        <v>599</v>
      </c>
      <c r="F278" s="436">
        <v>12521804.35</v>
      </c>
      <c r="G278" s="448">
        <v>46205.919999999925</v>
      </c>
      <c r="H278" s="436">
        <v>0</v>
      </c>
      <c r="I278" s="449">
        <v>0</v>
      </c>
    </row>
    <row r="279" spans="1:9" ht="15.75" customHeight="1" x14ac:dyDescent="0.2">
      <c r="A279" s="437"/>
      <c r="B279" s="437"/>
      <c r="C279" s="436"/>
      <c r="D279" s="467">
        <v>45768</v>
      </c>
      <c r="E279" s="436" t="s">
        <v>598</v>
      </c>
      <c r="F279" s="436">
        <v>12568010.27</v>
      </c>
      <c r="G279" s="448">
        <v>46205.919999999925</v>
      </c>
      <c r="H279" s="436">
        <v>0</v>
      </c>
      <c r="I279" s="449">
        <v>0</v>
      </c>
    </row>
    <row r="280" spans="1:9" ht="15.75" customHeight="1" x14ac:dyDescent="0.2">
      <c r="A280" s="437"/>
      <c r="B280" s="437"/>
      <c r="C280" s="436"/>
      <c r="D280" s="467">
        <v>45769</v>
      </c>
      <c r="E280" s="436" t="s">
        <v>597</v>
      </c>
      <c r="F280" s="436">
        <v>12614216.189999999</v>
      </c>
      <c r="G280" s="448">
        <v>46205.919999999925</v>
      </c>
      <c r="H280" s="436">
        <v>0</v>
      </c>
      <c r="I280" s="449">
        <v>0</v>
      </c>
    </row>
    <row r="281" spans="1:9" ht="15.75" customHeight="1" x14ac:dyDescent="0.2">
      <c r="A281" s="437"/>
      <c r="B281" s="437"/>
      <c r="C281" s="436"/>
      <c r="D281" s="467">
        <v>45770</v>
      </c>
      <c r="E281" s="436" t="s">
        <v>603</v>
      </c>
      <c r="F281" s="436">
        <v>12660422.109999999</v>
      </c>
      <c r="G281" s="448">
        <v>46205.919999999925</v>
      </c>
      <c r="H281" s="436">
        <v>323441.43999999948</v>
      </c>
      <c r="I281" s="449">
        <v>646882.87999999896</v>
      </c>
    </row>
    <row r="282" spans="1:9" ht="15.75" customHeight="1" x14ac:dyDescent="0.2">
      <c r="A282" s="437"/>
      <c r="B282" s="437"/>
      <c r="C282" s="436"/>
      <c r="D282" s="467">
        <v>45771</v>
      </c>
      <c r="E282" s="436" t="s">
        <v>602</v>
      </c>
      <c r="F282" s="436">
        <v>12706628.029999999</v>
      </c>
      <c r="G282" s="448">
        <v>46205.919999999925</v>
      </c>
      <c r="H282" s="436">
        <v>0</v>
      </c>
      <c r="I282" s="449">
        <v>0</v>
      </c>
    </row>
    <row r="283" spans="1:9" ht="15.75" customHeight="1" x14ac:dyDescent="0.2">
      <c r="A283" s="437"/>
      <c r="B283" s="437"/>
      <c r="C283" s="436"/>
      <c r="D283" s="467">
        <v>45772</v>
      </c>
      <c r="E283" s="436" t="s">
        <v>601</v>
      </c>
      <c r="F283" s="436">
        <v>12752833.949999999</v>
      </c>
      <c r="G283" s="448">
        <v>46205.919999999925</v>
      </c>
      <c r="H283" s="436">
        <v>0</v>
      </c>
      <c r="I283" s="449">
        <v>0</v>
      </c>
    </row>
    <row r="284" spans="1:9" ht="15.75" customHeight="1" x14ac:dyDescent="0.2">
      <c r="A284" s="437"/>
      <c r="B284" s="437"/>
      <c r="C284" s="436"/>
      <c r="D284" s="467">
        <v>45773</v>
      </c>
      <c r="E284" s="436" t="s">
        <v>600</v>
      </c>
      <c r="F284" s="436">
        <v>12799039.869999999</v>
      </c>
      <c r="G284" s="448">
        <v>46205.919999999925</v>
      </c>
      <c r="H284" s="436">
        <v>0</v>
      </c>
      <c r="I284" s="449">
        <v>0</v>
      </c>
    </row>
    <row r="285" spans="1:9" ht="15.75" customHeight="1" x14ac:dyDescent="0.2">
      <c r="A285" s="437"/>
      <c r="B285" s="437"/>
      <c r="C285" s="436"/>
      <c r="D285" s="467">
        <v>45774</v>
      </c>
      <c r="E285" s="436" t="s">
        <v>599</v>
      </c>
      <c r="F285" s="436">
        <v>12845245.789999999</v>
      </c>
      <c r="G285" s="448">
        <v>46205.919999999925</v>
      </c>
      <c r="H285" s="436">
        <v>0</v>
      </c>
      <c r="I285" s="449">
        <v>0</v>
      </c>
    </row>
    <row r="286" spans="1:9" ht="15.75" customHeight="1" x14ac:dyDescent="0.2">
      <c r="A286" s="437"/>
      <c r="B286" s="437"/>
      <c r="C286" s="436"/>
      <c r="D286" s="467">
        <v>45775</v>
      </c>
      <c r="E286" s="436" t="s">
        <v>598</v>
      </c>
      <c r="F286" s="436">
        <v>12891451.710000001</v>
      </c>
      <c r="G286" s="448">
        <v>46205.920000001788</v>
      </c>
      <c r="H286" s="436">
        <v>0</v>
      </c>
      <c r="I286" s="449">
        <v>0</v>
      </c>
    </row>
    <row r="287" spans="1:9" ht="15.75" customHeight="1" x14ac:dyDescent="0.2">
      <c r="A287" s="437"/>
      <c r="B287" s="437"/>
      <c r="C287" s="436"/>
      <c r="D287" s="467">
        <v>45776</v>
      </c>
      <c r="E287" s="436" t="s">
        <v>597</v>
      </c>
      <c r="F287" s="436">
        <v>12937657.630000001</v>
      </c>
      <c r="G287" s="448">
        <v>46205.919999999925</v>
      </c>
      <c r="H287" s="436">
        <v>0</v>
      </c>
      <c r="I287" s="449">
        <v>0</v>
      </c>
    </row>
    <row r="288" spans="1:9" ht="15.75" customHeight="1" x14ac:dyDescent="0.2">
      <c r="A288" s="437"/>
      <c r="B288" s="437"/>
      <c r="C288" s="436"/>
      <c r="D288" s="467">
        <v>45777</v>
      </c>
      <c r="E288" s="436" t="s">
        <v>603</v>
      </c>
      <c r="F288" s="436">
        <v>12983863.550000001</v>
      </c>
      <c r="G288" s="448">
        <v>46205.919999999925</v>
      </c>
      <c r="H288" s="436">
        <v>323441.44000000134</v>
      </c>
      <c r="I288" s="449">
        <v>0</v>
      </c>
    </row>
    <row r="289" spans="1:9" ht="15.75" customHeight="1" x14ac:dyDescent="0.2">
      <c r="A289" s="437"/>
      <c r="B289" s="437"/>
      <c r="C289" s="436"/>
      <c r="D289" s="467">
        <v>45778</v>
      </c>
      <c r="E289" s="436" t="s">
        <v>602</v>
      </c>
      <c r="F289" s="436">
        <v>13030069.470000001</v>
      </c>
      <c r="G289" s="448">
        <v>46205.919999999925</v>
      </c>
      <c r="H289" s="436">
        <v>0</v>
      </c>
      <c r="I289" s="449">
        <v>0</v>
      </c>
    </row>
    <row r="290" spans="1:9" ht="15.75" customHeight="1" x14ac:dyDescent="0.2">
      <c r="A290" s="437"/>
      <c r="B290" s="437"/>
      <c r="C290" s="436"/>
      <c r="D290" s="467">
        <v>45779</v>
      </c>
      <c r="E290" s="436" t="s">
        <v>601</v>
      </c>
      <c r="F290" s="436">
        <v>13076275.390000001</v>
      </c>
      <c r="G290" s="448">
        <v>46205.919999999925</v>
      </c>
      <c r="H290" s="436">
        <v>0</v>
      </c>
      <c r="I290" s="449">
        <v>0</v>
      </c>
    </row>
    <row r="291" spans="1:9" ht="15.75" customHeight="1" x14ac:dyDescent="0.2">
      <c r="A291" s="437"/>
      <c r="B291" s="437"/>
      <c r="C291" s="436"/>
      <c r="D291" s="467">
        <v>45780</v>
      </c>
      <c r="E291" s="436" t="s">
        <v>600</v>
      </c>
      <c r="F291" s="436">
        <v>13122481.310000001</v>
      </c>
      <c r="G291" s="448">
        <v>46205.919999999925</v>
      </c>
      <c r="H291" s="436">
        <v>0</v>
      </c>
      <c r="I291" s="449">
        <v>0</v>
      </c>
    </row>
    <row r="292" spans="1:9" ht="15.75" customHeight="1" x14ac:dyDescent="0.2">
      <c r="A292" s="437"/>
      <c r="B292" s="437"/>
      <c r="C292" s="436"/>
      <c r="D292" s="467">
        <v>45781</v>
      </c>
      <c r="E292" s="436" t="s">
        <v>599</v>
      </c>
      <c r="F292" s="436">
        <v>13168687.23</v>
      </c>
      <c r="G292" s="448">
        <v>46205.919999999925</v>
      </c>
      <c r="H292" s="436">
        <v>0</v>
      </c>
      <c r="I292" s="449">
        <v>0</v>
      </c>
    </row>
    <row r="293" spans="1:9" ht="15.75" customHeight="1" x14ac:dyDescent="0.2">
      <c r="A293" s="437"/>
      <c r="B293" s="437"/>
      <c r="C293" s="436"/>
      <c r="D293" s="467">
        <v>45782</v>
      </c>
      <c r="E293" s="436" t="s">
        <v>598</v>
      </c>
      <c r="F293" s="436">
        <v>13214893.15</v>
      </c>
      <c r="G293" s="448">
        <v>46205.919999999925</v>
      </c>
      <c r="H293" s="436">
        <v>0</v>
      </c>
      <c r="I293" s="449">
        <v>0</v>
      </c>
    </row>
    <row r="294" spans="1:9" ht="15.75" customHeight="1" x14ac:dyDescent="0.2">
      <c r="A294" s="437"/>
      <c r="B294" s="437"/>
      <c r="C294" s="436"/>
      <c r="D294" s="467">
        <v>45783</v>
      </c>
      <c r="E294" s="436" t="s">
        <v>597</v>
      </c>
      <c r="F294" s="436">
        <v>13261099.07</v>
      </c>
      <c r="G294" s="448">
        <v>46205.919999999925</v>
      </c>
      <c r="H294" s="436">
        <v>0</v>
      </c>
      <c r="I294" s="449">
        <v>0</v>
      </c>
    </row>
    <row r="295" spans="1:9" ht="15.75" customHeight="1" x14ac:dyDescent="0.2">
      <c r="A295" s="437"/>
      <c r="B295" s="437"/>
      <c r="C295" s="436"/>
      <c r="D295" s="467">
        <v>45784</v>
      </c>
      <c r="E295" s="436" t="s">
        <v>603</v>
      </c>
      <c r="F295" s="436">
        <v>13307304.99</v>
      </c>
      <c r="G295" s="448">
        <v>46205.919999999925</v>
      </c>
      <c r="H295" s="436">
        <v>323441.43999999948</v>
      </c>
      <c r="I295" s="449">
        <v>646882.88000000082</v>
      </c>
    </row>
    <row r="296" spans="1:9" ht="15.75" customHeight="1" x14ac:dyDescent="0.2">
      <c r="A296" s="437"/>
      <c r="B296" s="437"/>
      <c r="C296" s="436"/>
      <c r="D296" s="467">
        <v>45785</v>
      </c>
      <c r="E296" s="436" t="s">
        <v>602</v>
      </c>
      <c r="F296" s="436">
        <v>13353510.91</v>
      </c>
      <c r="G296" s="448">
        <v>46205.919999999925</v>
      </c>
      <c r="H296" s="436">
        <v>0</v>
      </c>
      <c r="I296" s="449">
        <v>0</v>
      </c>
    </row>
    <row r="297" spans="1:9" ht="15.75" customHeight="1" x14ac:dyDescent="0.2">
      <c r="A297" s="437"/>
      <c r="B297" s="437"/>
      <c r="C297" s="436"/>
      <c r="D297" s="467">
        <v>45786</v>
      </c>
      <c r="E297" s="436" t="s">
        <v>601</v>
      </c>
      <c r="F297" s="436">
        <v>13399716.83</v>
      </c>
      <c r="G297" s="448">
        <v>46205.919999999925</v>
      </c>
      <c r="H297" s="436">
        <v>0</v>
      </c>
      <c r="I297" s="449">
        <v>0</v>
      </c>
    </row>
    <row r="298" spans="1:9" ht="15.75" customHeight="1" x14ac:dyDescent="0.2">
      <c r="A298" s="437"/>
      <c r="B298" s="437"/>
      <c r="C298" s="436"/>
      <c r="D298" s="467">
        <v>45787</v>
      </c>
      <c r="E298" s="436" t="s">
        <v>600</v>
      </c>
      <c r="F298" s="436">
        <v>13445922.75</v>
      </c>
      <c r="G298" s="448">
        <v>46205.919999999925</v>
      </c>
      <c r="H298" s="436">
        <v>0</v>
      </c>
      <c r="I298" s="449">
        <v>0</v>
      </c>
    </row>
    <row r="299" spans="1:9" ht="15.75" customHeight="1" x14ac:dyDescent="0.2">
      <c r="A299" s="437"/>
      <c r="B299" s="437"/>
      <c r="C299" s="436"/>
      <c r="D299" s="467">
        <v>45788</v>
      </c>
      <c r="E299" s="436" t="s">
        <v>599</v>
      </c>
      <c r="F299" s="436">
        <v>13492128.67</v>
      </c>
      <c r="G299" s="448">
        <v>46205.919999999925</v>
      </c>
      <c r="H299" s="436">
        <v>0</v>
      </c>
      <c r="I299" s="449">
        <v>0</v>
      </c>
    </row>
    <row r="300" spans="1:9" ht="15.75" customHeight="1" x14ac:dyDescent="0.2">
      <c r="A300" s="437"/>
      <c r="B300" s="437"/>
      <c r="C300" s="436"/>
      <c r="D300" s="467">
        <v>45789</v>
      </c>
      <c r="E300" s="436" t="s">
        <v>598</v>
      </c>
      <c r="F300" s="436">
        <v>13538334.59</v>
      </c>
      <c r="G300" s="448">
        <v>46205.919999999925</v>
      </c>
      <c r="H300" s="436">
        <v>0</v>
      </c>
      <c r="I300" s="449">
        <v>0</v>
      </c>
    </row>
    <row r="301" spans="1:9" ht="15.75" customHeight="1" x14ac:dyDescent="0.2">
      <c r="A301" s="437"/>
      <c r="B301" s="437"/>
      <c r="C301" s="436"/>
      <c r="D301" s="467">
        <v>45790</v>
      </c>
      <c r="E301" s="436" t="s">
        <v>597</v>
      </c>
      <c r="F301" s="436">
        <v>13584540.51</v>
      </c>
      <c r="G301" s="448">
        <v>46205.919999999925</v>
      </c>
      <c r="H301" s="436">
        <v>0</v>
      </c>
      <c r="I301" s="449">
        <v>0</v>
      </c>
    </row>
    <row r="302" spans="1:9" ht="15.75" customHeight="1" x14ac:dyDescent="0.2">
      <c r="A302" s="437"/>
      <c r="B302" s="437"/>
      <c r="C302" s="436"/>
      <c r="D302" s="467">
        <v>45791</v>
      </c>
      <c r="E302" s="436" t="s">
        <v>603</v>
      </c>
      <c r="F302" s="436">
        <v>13630746.43</v>
      </c>
      <c r="G302" s="448">
        <v>46205.919999999925</v>
      </c>
      <c r="H302" s="436">
        <v>323441.43999999948</v>
      </c>
      <c r="I302" s="449">
        <v>0</v>
      </c>
    </row>
    <row r="303" spans="1:9" ht="15.75" customHeight="1" x14ac:dyDescent="0.2">
      <c r="A303" s="437"/>
      <c r="B303" s="437"/>
      <c r="C303" s="436"/>
      <c r="D303" s="467">
        <v>45792</v>
      </c>
      <c r="E303" s="436" t="s">
        <v>602</v>
      </c>
      <c r="F303" s="436">
        <v>13676952.35</v>
      </c>
      <c r="G303" s="448">
        <v>46205.919999999925</v>
      </c>
      <c r="H303" s="436">
        <v>0</v>
      </c>
      <c r="I303" s="449">
        <v>0</v>
      </c>
    </row>
    <row r="304" spans="1:9" ht="15.75" customHeight="1" x14ac:dyDescent="0.2">
      <c r="A304" s="437"/>
      <c r="B304" s="437"/>
      <c r="C304" s="436"/>
      <c r="D304" s="467">
        <v>45793</v>
      </c>
      <c r="E304" s="436" t="s">
        <v>601</v>
      </c>
      <c r="F304" s="436">
        <v>13723158.27</v>
      </c>
      <c r="G304" s="448">
        <v>46205.919999999925</v>
      </c>
      <c r="H304" s="436">
        <v>0</v>
      </c>
      <c r="I304" s="449">
        <v>0</v>
      </c>
    </row>
    <row r="305" spans="1:9" ht="15.75" customHeight="1" x14ac:dyDescent="0.2">
      <c r="A305" s="437"/>
      <c r="B305" s="437"/>
      <c r="C305" s="436"/>
      <c r="D305" s="467">
        <v>45794</v>
      </c>
      <c r="E305" s="436" t="s">
        <v>600</v>
      </c>
      <c r="F305" s="436">
        <v>13769364.189999999</v>
      </c>
      <c r="G305" s="448">
        <v>46205.919999999925</v>
      </c>
      <c r="H305" s="436">
        <v>0</v>
      </c>
      <c r="I305" s="449">
        <v>0</v>
      </c>
    </row>
    <row r="306" spans="1:9" ht="15.75" customHeight="1" x14ac:dyDescent="0.2">
      <c r="A306" s="437"/>
      <c r="B306" s="437"/>
      <c r="C306" s="436"/>
      <c r="D306" s="467">
        <v>45795</v>
      </c>
      <c r="E306" s="436" t="s">
        <v>599</v>
      </c>
      <c r="F306" s="436">
        <v>13815570.109999999</v>
      </c>
      <c r="G306" s="448">
        <v>46205.919999999925</v>
      </c>
      <c r="H306" s="436">
        <v>0</v>
      </c>
      <c r="I306" s="449">
        <v>0</v>
      </c>
    </row>
    <row r="307" spans="1:9" ht="15.75" customHeight="1" x14ac:dyDescent="0.2">
      <c r="A307" s="437"/>
      <c r="B307" s="437"/>
      <c r="C307" s="436"/>
      <c r="D307" s="467">
        <v>45796</v>
      </c>
      <c r="E307" s="436" t="s">
        <v>598</v>
      </c>
      <c r="F307" s="436">
        <v>13861776.039999999</v>
      </c>
      <c r="G307" s="448">
        <v>46205.929999999702</v>
      </c>
      <c r="H307" s="436">
        <v>0</v>
      </c>
      <c r="I307" s="449">
        <v>0</v>
      </c>
    </row>
    <row r="308" spans="1:9" ht="15.75" customHeight="1" x14ac:dyDescent="0.2">
      <c r="A308" s="437"/>
      <c r="B308" s="437"/>
      <c r="C308" s="436"/>
      <c r="D308" s="467">
        <v>45797</v>
      </c>
      <c r="E308" s="436" t="s">
        <v>597</v>
      </c>
      <c r="F308" s="436">
        <v>13907981.960000001</v>
      </c>
      <c r="G308" s="448">
        <v>46205.920000001788</v>
      </c>
      <c r="H308" s="436">
        <v>0</v>
      </c>
      <c r="I308" s="449">
        <v>0</v>
      </c>
    </row>
    <row r="309" spans="1:9" ht="15.75" customHeight="1" x14ac:dyDescent="0.2">
      <c r="A309" s="437"/>
      <c r="B309" s="437"/>
      <c r="C309" s="436"/>
      <c r="D309" s="467">
        <v>45798</v>
      </c>
      <c r="E309" s="436" t="s">
        <v>603</v>
      </c>
      <c r="F309" s="436">
        <v>13954187.880000001</v>
      </c>
      <c r="G309" s="448">
        <v>46205.919999999925</v>
      </c>
      <c r="H309" s="436">
        <v>323441.45000000112</v>
      </c>
      <c r="I309" s="449">
        <v>646882.8900000006</v>
      </c>
    </row>
    <row r="310" spans="1:9" ht="15.75" customHeight="1" x14ac:dyDescent="0.2">
      <c r="A310" s="437"/>
      <c r="B310" s="437"/>
      <c r="C310" s="436"/>
      <c r="D310" s="467">
        <v>45799</v>
      </c>
      <c r="E310" s="436" t="s">
        <v>602</v>
      </c>
      <c r="F310" s="436">
        <v>14000393.800000001</v>
      </c>
      <c r="G310" s="448">
        <v>46205.919999999925</v>
      </c>
      <c r="H310" s="436">
        <v>0</v>
      </c>
      <c r="I310" s="449">
        <v>0</v>
      </c>
    </row>
    <row r="311" spans="1:9" ht="15.75" customHeight="1" x14ac:dyDescent="0.2">
      <c r="A311" s="437"/>
      <c r="B311" s="437"/>
      <c r="C311" s="436"/>
      <c r="D311" s="467">
        <v>45800</v>
      </c>
      <c r="E311" s="436" t="s">
        <v>601</v>
      </c>
      <c r="F311" s="436">
        <v>14046599.720000001</v>
      </c>
      <c r="G311" s="448">
        <v>46205.919999999925</v>
      </c>
      <c r="H311" s="436">
        <v>0</v>
      </c>
      <c r="I311" s="449">
        <v>0</v>
      </c>
    </row>
    <row r="312" spans="1:9" ht="15.75" customHeight="1" x14ac:dyDescent="0.2">
      <c r="A312" s="437"/>
      <c r="B312" s="437"/>
      <c r="C312" s="436"/>
      <c r="D312" s="467">
        <v>45801</v>
      </c>
      <c r="E312" s="436" t="s">
        <v>600</v>
      </c>
      <c r="F312" s="436">
        <v>14092805.640000001</v>
      </c>
      <c r="G312" s="448">
        <v>46205.919999999925</v>
      </c>
      <c r="H312" s="436">
        <v>0</v>
      </c>
      <c r="I312" s="449">
        <v>0</v>
      </c>
    </row>
    <row r="313" spans="1:9" ht="15.75" customHeight="1" x14ac:dyDescent="0.2">
      <c r="A313" s="437"/>
      <c r="B313" s="437"/>
      <c r="C313" s="436"/>
      <c r="D313" s="467">
        <v>45802</v>
      </c>
      <c r="E313" s="436" t="s">
        <v>599</v>
      </c>
      <c r="F313" s="436">
        <v>14139011.560000001</v>
      </c>
      <c r="G313" s="448">
        <v>46205.919999999925</v>
      </c>
      <c r="H313" s="436">
        <v>0</v>
      </c>
      <c r="I313" s="449">
        <v>0</v>
      </c>
    </row>
    <row r="314" spans="1:9" ht="15.75" customHeight="1" x14ac:dyDescent="0.2">
      <c r="A314" s="437"/>
      <c r="B314" s="437"/>
      <c r="C314" s="436"/>
      <c r="D314" s="467">
        <v>45803</v>
      </c>
      <c r="E314" s="436" t="s">
        <v>598</v>
      </c>
      <c r="F314" s="436">
        <v>14185217.48</v>
      </c>
      <c r="G314" s="448">
        <v>46205.919999999925</v>
      </c>
      <c r="H314" s="436">
        <v>0</v>
      </c>
      <c r="I314" s="449">
        <v>0</v>
      </c>
    </row>
    <row r="315" spans="1:9" ht="15.75" customHeight="1" x14ac:dyDescent="0.2">
      <c r="A315" s="437"/>
      <c r="B315" s="437"/>
      <c r="C315" s="436"/>
      <c r="D315" s="467">
        <v>45804</v>
      </c>
      <c r="E315" s="436" t="s">
        <v>597</v>
      </c>
      <c r="F315" s="436">
        <v>14231423.4</v>
      </c>
      <c r="G315" s="448">
        <v>46205.919999999925</v>
      </c>
      <c r="H315" s="436">
        <v>0</v>
      </c>
      <c r="I315" s="449">
        <v>0</v>
      </c>
    </row>
    <row r="316" spans="1:9" ht="15.75" customHeight="1" x14ac:dyDescent="0.2">
      <c r="A316" s="437"/>
      <c r="B316" s="437"/>
      <c r="C316" s="436"/>
      <c r="D316" s="467">
        <v>45805</v>
      </c>
      <c r="E316" s="436" t="s">
        <v>603</v>
      </c>
      <c r="F316" s="436">
        <v>14277629.32</v>
      </c>
      <c r="G316" s="448">
        <v>46205.919999999925</v>
      </c>
      <c r="H316" s="436">
        <v>323441.43999999948</v>
      </c>
      <c r="I316" s="449">
        <v>0</v>
      </c>
    </row>
    <row r="317" spans="1:9" ht="15.75" customHeight="1" x14ac:dyDescent="0.2">
      <c r="A317" s="437"/>
      <c r="B317" s="437"/>
      <c r="C317" s="436"/>
      <c r="D317" s="467">
        <v>45806</v>
      </c>
      <c r="E317" s="436" t="s">
        <v>602</v>
      </c>
      <c r="F317" s="436">
        <v>14323835.24</v>
      </c>
      <c r="G317" s="448">
        <v>46205.919999999925</v>
      </c>
      <c r="H317" s="436">
        <v>0</v>
      </c>
      <c r="I317" s="449">
        <v>0</v>
      </c>
    </row>
    <row r="318" spans="1:9" ht="15.75" customHeight="1" x14ac:dyDescent="0.2">
      <c r="A318" s="437"/>
      <c r="B318" s="437"/>
      <c r="C318" s="436"/>
      <c r="D318" s="467">
        <v>45807</v>
      </c>
      <c r="E318" s="436" t="s">
        <v>601</v>
      </c>
      <c r="F318" s="436">
        <v>14370041.16</v>
      </c>
      <c r="G318" s="448">
        <v>46205.919999999925</v>
      </c>
      <c r="H318" s="436">
        <v>0</v>
      </c>
      <c r="I318" s="449">
        <v>0</v>
      </c>
    </row>
    <row r="319" spans="1:9" ht="15.75" customHeight="1" x14ac:dyDescent="0.2">
      <c r="A319" s="437"/>
      <c r="B319" s="437"/>
      <c r="C319" s="436"/>
      <c r="D319" s="467">
        <v>45808</v>
      </c>
      <c r="E319" s="436" t="s">
        <v>600</v>
      </c>
      <c r="F319" s="436">
        <v>14416247.08</v>
      </c>
      <c r="G319" s="448">
        <v>46205.919999999925</v>
      </c>
      <c r="H319" s="436">
        <v>0</v>
      </c>
      <c r="I319" s="449">
        <v>0</v>
      </c>
    </row>
    <row r="320" spans="1:9" ht="15.75" customHeight="1" x14ac:dyDescent="0.2">
      <c r="A320" s="437"/>
      <c r="B320" s="437"/>
      <c r="C320" s="436"/>
      <c r="D320" s="467">
        <v>45809</v>
      </c>
      <c r="E320" s="436" t="s">
        <v>599</v>
      </c>
      <c r="F320" s="436">
        <v>14462453</v>
      </c>
      <c r="G320" s="448">
        <v>46205.919999999925</v>
      </c>
      <c r="H320" s="436">
        <v>0</v>
      </c>
      <c r="I320" s="449">
        <v>0</v>
      </c>
    </row>
    <row r="321" spans="1:9" ht="15.75" customHeight="1" x14ac:dyDescent="0.2">
      <c r="A321" s="437"/>
      <c r="B321" s="437"/>
      <c r="C321" s="436"/>
      <c r="D321" s="467">
        <v>45810</v>
      </c>
      <c r="E321" s="436" t="s">
        <v>598</v>
      </c>
      <c r="F321" s="436">
        <v>14508658.92</v>
      </c>
      <c r="G321" s="448">
        <v>46205.919999999925</v>
      </c>
      <c r="H321" s="436">
        <v>0</v>
      </c>
      <c r="I321" s="449">
        <v>0</v>
      </c>
    </row>
    <row r="322" spans="1:9" ht="15.75" customHeight="1" x14ac:dyDescent="0.2">
      <c r="A322" s="437"/>
      <c r="B322" s="437"/>
      <c r="C322" s="436"/>
      <c r="D322" s="467">
        <v>45811</v>
      </c>
      <c r="E322" s="436" t="s">
        <v>597</v>
      </c>
      <c r="F322" s="436">
        <v>14554864.84</v>
      </c>
      <c r="G322" s="448">
        <v>46205.919999999925</v>
      </c>
      <c r="H322" s="436">
        <v>0</v>
      </c>
      <c r="I322" s="449">
        <v>0</v>
      </c>
    </row>
    <row r="323" spans="1:9" ht="15.75" customHeight="1" x14ac:dyDescent="0.2">
      <c r="A323" s="437"/>
      <c r="B323" s="437"/>
      <c r="C323" s="436"/>
      <c r="D323" s="467">
        <v>45812</v>
      </c>
      <c r="E323" s="436" t="s">
        <v>603</v>
      </c>
      <c r="F323" s="436">
        <v>14601070.76</v>
      </c>
      <c r="G323" s="448">
        <v>46205.919999999925</v>
      </c>
      <c r="H323" s="436">
        <v>323441.43999999948</v>
      </c>
      <c r="I323" s="449">
        <v>646882.87999999896</v>
      </c>
    </row>
    <row r="324" spans="1:9" ht="15.75" customHeight="1" x14ac:dyDescent="0.2">
      <c r="A324" s="437"/>
      <c r="B324" s="437"/>
      <c r="C324" s="436"/>
      <c r="D324" s="467">
        <v>45813</v>
      </c>
      <c r="E324" s="436" t="s">
        <v>602</v>
      </c>
      <c r="F324" s="436">
        <v>14647276.68</v>
      </c>
      <c r="G324" s="448">
        <v>46205.919999999925</v>
      </c>
      <c r="H324" s="436">
        <v>0</v>
      </c>
      <c r="I324" s="449">
        <v>0</v>
      </c>
    </row>
    <row r="325" spans="1:9" ht="15.75" customHeight="1" x14ac:dyDescent="0.2">
      <c r="A325" s="437"/>
      <c r="B325" s="437"/>
      <c r="C325" s="436"/>
      <c r="D325" s="467">
        <v>45814</v>
      </c>
      <c r="E325" s="436" t="s">
        <v>601</v>
      </c>
      <c r="F325" s="436">
        <v>14693482.6</v>
      </c>
      <c r="G325" s="448">
        <v>46205.919999999925</v>
      </c>
      <c r="H325" s="436">
        <v>0</v>
      </c>
      <c r="I325" s="449">
        <v>0</v>
      </c>
    </row>
    <row r="326" spans="1:9" ht="15.75" customHeight="1" x14ac:dyDescent="0.2">
      <c r="A326" s="437"/>
      <c r="B326" s="437"/>
      <c r="C326" s="436"/>
      <c r="D326" s="467">
        <v>45815</v>
      </c>
      <c r="E326" s="436" t="s">
        <v>600</v>
      </c>
      <c r="F326" s="436">
        <v>14739688.52</v>
      </c>
      <c r="G326" s="448">
        <v>46205.919999999925</v>
      </c>
      <c r="H326" s="436">
        <v>0</v>
      </c>
      <c r="I326" s="449">
        <v>0</v>
      </c>
    </row>
    <row r="327" spans="1:9" ht="15.75" customHeight="1" x14ac:dyDescent="0.2">
      <c r="A327" s="437"/>
      <c r="B327" s="437"/>
      <c r="C327" s="436"/>
      <c r="D327" s="467">
        <v>45816</v>
      </c>
      <c r="E327" s="436" t="s">
        <v>599</v>
      </c>
      <c r="F327" s="436">
        <v>14785894.439999999</v>
      </c>
      <c r="G327" s="448">
        <v>46205.919999999925</v>
      </c>
      <c r="H327" s="436">
        <v>0</v>
      </c>
      <c r="I327" s="449">
        <v>0</v>
      </c>
    </row>
    <row r="328" spans="1:9" ht="15.75" customHeight="1" x14ac:dyDescent="0.2">
      <c r="A328" s="437"/>
      <c r="B328" s="437"/>
      <c r="C328" s="436"/>
      <c r="D328" s="467">
        <v>45817</v>
      </c>
      <c r="E328" s="436" t="s">
        <v>598</v>
      </c>
      <c r="F328" s="436">
        <v>14832100.359999999</v>
      </c>
      <c r="G328" s="448">
        <v>46205.919999999925</v>
      </c>
      <c r="H328" s="436">
        <v>0</v>
      </c>
      <c r="I328" s="449">
        <v>0</v>
      </c>
    </row>
    <row r="329" spans="1:9" ht="15.75" customHeight="1" x14ac:dyDescent="0.2">
      <c r="A329" s="437"/>
      <c r="B329" s="437"/>
      <c r="C329" s="436"/>
      <c r="D329" s="467">
        <v>45818</v>
      </c>
      <c r="E329" s="436" t="s">
        <v>597</v>
      </c>
      <c r="F329" s="436">
        <v>14878306.279999999</v>
      </c>
      <c r="G329" s="448">
        <v>46205.919999999925</v>
      </c>
      <c r="H329" s="436">
        <v>0</v>
      </c>
      <c r="I329" s="449">
        <v>0</v>
      </c>
    </row>
    <row r="330" spans="1:9" ht="15.75" customHeight="1" x14ac:dyDescent="0.2">
      <c r="A330" s="437"/>
      <c r="B330" s="437"/>
      <c r="C330" s="436"/>
      <c r="D330" s="467">
        <v>45819</v>
      </c>
      <c r="E330" s="436" t="s">
        <v>603</v>
      </c>
      <c r="F330" s="436">
        <v>14924512.199999999</v>
      </c>
      <c r="G330" s="448">
        <v>46205.919999999925</v>
      </c>
      <c r="H330" s="436">
        <v>323441.43999999948</v>
      </c>
      <c r="I330" s="449">
        <v>0</v>
      </c>
    </row>
    <row r="331" spans="1:9" ht="15.75" customHeight="1" x14ac:dyDescent="0.2">
      <c r="A331" s="437"/>
      <c r="B331" s="437"/>
      <c r="C331" s="436"/>
      <c r="D331" s="467">
        <v>45820</v>
      </c>
      <c r="E331" s="436" t="s">
        <v>602</v>
      </c>
      <c r="F331" s="436">
        <v>14970718.119999999</v>
      </c>
      <c r="G331" s="448">
        <v>46205.919999999925</v>
      </c>
      <c r="H331" s="436">
        <v>0</v>
      </c>
      <c r="I331" s="449">
        <v>0</v>
      </c>
    </row>
    <row r="332" spans="1:9" ht="15.75" customHeight="1" x14ac:dyDescent="0.2">
      <c r="A332" s="437"/>
      <c r="B332" s="437"/>
      <c r="C332" s="436"/>
      <c r="D332" s="467">
        <v>45821</v>
      </c>
      <c r="E332" s="436" t="s">
        <v>601</v>
      </c>
      <c r="F332" s="436">
        <v>15016924.039999999</v>
      </c>
      <c r="G332" s="448">
        <v>46205.919999999925</v>
      </c>
      <c r="H332" s="436">
        <v>0</v>
      </c>
      <c r="I332" s="449">
        <v>0</v>
      </c>
    </row>
    <row r="333" spans="1:9" ht="15.75" customHeight="1" x14ac:dyDescent="0.2">
      <c r="A333" s="437"/>
      <c r="B333" s="437"/>
      <c r="C333" s="436"/>
      <c r="D333" s="467">
        <v>45822</v>
      </c>
      <c r="E333" s="436" t="s">
        <v>600</v>
      </c>
      <c r="F333" s="436">
        <v>15063129.960000001</v>
      </c>
      <c r="G333" s="448">
        <v>46205.920000001788</v>
      </c>
      <c r="H333" s="436">
        <v>0</v>
      </c>
      <c r="I333" s="449">
        <v>0</v>
      </c>
    </row>
    <row r="334" spans="1:9" ht="15.75" customHeight="1" x14ac:dyDescent="0.2">
      <c r="A334" s="437"/>
      <c r="B334" s="437"/>
      <c r="C334" s="436"/>
      <c r="D334" s="467">
        <v>45823</v>
      </c>
      <c r="E334" s="436" t="s">
        <v>599</v>
      </c>
      <c r="F334" s="436">
        <v>15109335.880000001</v>
      </c>
      <c r="G334" s="448">
        <v>46205.919999999925</v>
      </c>
      <c r="H334" s="436">
        <v>0</v>
      </c>
      <c r="I334" s="449">
        <v>0</v>
      </c>
    </row>
    <row r="335" spans="1:9" ht="15.75" customHeight="1" x14ac:dyDescent="0.2">
      <c r="A335" s="437"/>
      <c r="B335" s="437"/>
      <c r="C335" s="436"/>
      <c r="D335" s="467">
        <v>45824</v>
      </c>
      <c r="E335" s="436" t="s">
        <v>598</v>
      </c>
      <c r="F335" s="436">
        <v>15155541.800000001</v>
      </c>
      <c r="G335" s="448">
        <v>46205.919999999925</v>
      </c>
      <c r="H335" s="436">
        <v>0</v>
      </c>
      <c r="I335" s="449">
        <v>0</v>
      </c>
    </row>
    <row r="336" spans="1:9" ht="15.75" customHeight="1" x14ac:dyDescent="0.2">
      <c r="A336" s="437"/>
      <c r="B336" s="437"/>
      <c r="C336" s="436"/>
      <c r="D336" s="467">
        <v>45825</v>
      </c>
      <c r="E336" s="436" t="s">
        <v>597</v>
      </c>
      <c r="F336" s="436">
        <v>15201747.720000001</v>
      </c>
      <c r="G336" s="448">
        <v>46205.919999999925</v>
      </c>
      <c r="H336" s="436">
        <v>0</v>
      </c>
      <c r="I336" s="449">
        <v>0</v>
      </c>
    </row>
    <row r="337" spans="1:9" ht="15.75" customHeight="1" x14ac:dyDescent="0.2">
      <c r="A337" s="437"/>
      <c r="B337" s="437"/>
      <c r="C337" s="436"/>
      <c r="D337" s="467">
        <v>45826</v>
      </c>
      <c r="E337" s="436" t="s">
        <v>603</v>
      </c>
      <c r="F337" s="436">
        <v>15247953.640000001</v>
      </c>
      <c r="G337" s="448">
        <v>46205.919999999925</v>
      </c>
      <c r="H337" s="436">
        <v>323441.44000000134</v>
      </c>
      <c r="I337" s="449">
        <v>646882.88000000082</v>
      </c>
    </row>
    <row r="338" spans="1:9" ht="15.75" customHeight="1" x14ac:dyDescent="0.2">
      <c r="A338" s="437"/>
      <c r="B338" s="437"/>
      <c r="C338" s="436"/>
      <c r="D338" s="467">
        <v>45827</v>
      </c>
      <c r="E338" s="436" t="s">
        <v>602</v>
      </c>
      <c r="F338" s="436">
        <v>15294159.560000001</v>
      </c>
      <c r="G338" s="448">
        <v>46205.919999999925</v>
      </c>
      <c r="H338" s="436">
        <v>0</v>
      </c>
      <c r="I338" s="449">
        <v>0</v>
      </c>
    </row>
    <row r="339" spans="1:9" ht="15.75" customHeight="1" x14ac:dyDescent="0.2">
      <c r="A339" s="437"/>
      <c r="B339" s="437"/>
      <c r="C339" s="436"/>
      <c r="D339" s="467">
        <v>45828</v>
      </c>
      <c r="E339" s="436" t="s">
        <v>601</v>
      </c>
      <c r="F339" s="436">
        <v>15340365.48</v>
      </c>
      <c r="G339" s="448">
        <v>46205.919999999925</v>
      </c>
      <c r="H339" s="436">
        <v>0</v>
      </c>
      <c r="I339" s="449">
        <v>0</v>
      </c>
    </row>
    <row r="340" spans="1:9" ht="15.75" customHeight="1" x14ac:dyDescent="0.2">
      <c r="A340" s="437"/>
      <c r="B340" s="437"/>
      <c r="C340" s="436"/>
      <c r="D340" s="467">
        <v>45829</v>
      </c>
      <c r="E340" s="436" t="s">
        <v>600</v>
      </c>
      <c r="F340" s="436">
        <v>15386571.4</v>
      </c>
      <c r="G340" s="448">
        <v>46205.919999999925</v>
      </c>
      <c r="H340" s="436">
        <v>0</v>
      </c>
      <c r="I340" s="449">
        <v>0</v>
      </c>
    </row>
    <row r="341" spans="1:9" ht="15.75" customHeight="1" x14ac:dyDescent="0.2">
      <c r="A341" s="437"/>
      <c r="B341" s="437"/>
      <c r="C341" s="436"/>
      <c r="D341" s="467">
        <v>45830</v>
      </c>
      <c r="E341" s="436" t="s">
        <v>599</v>
      </c>
      <c r="F341" s="436">
        <v>15432777.32</v>
      </c>
      <c r="G341" s="448">
        <v>46205.919999999925</v>
      </c>
      <c r="H341" s="436">
        <v>0</v>
      </c>
      <c r="I341" s="449">
        <v>0</v>
      </c>
    </row>
    <row r="342" spans="1:9" ht="15.75" customHeight="1" x14ac:dyDescent="0.2">
      <c r="A342" s="437"/>
      <c r="B342" s="437"/>
      <c r="C342" s="436"/>
      <c r="D342" s="467">
        <v>45831</v>
      </c>
      <c r="E342" s="436" t="s">
        <v>598</v>
      </c>
      <c r="F342" s="436">
        <v>15478983.24</v>
      </c>
      <c r="G342" s="448">
        <v>46205.919999999925</v>
      </c>
      <c r="H342" s="436">
        <v>0</v>
      </c>
      <c r="I342" s="449">
        <v>0</v>
      </c>
    </row>
    <row r="343" spans="1:9" ht="15.75" customHeight="1" x14ac:dyDescent="0.2">
      <c r="A343" s="437"/>
      <c r="B343" s="437"/>
      <c r="C343" s="436"/>
      <c r="D343" s="467">
        <v>45832</v>
      </c>
      <c r="E343" s="436" t="s">
        <v>597</v>
      </c>
      <c r="F343" s="436">
        <v>15525189.16</v>
      </c>
      <c r="G343" s="448">
        <v>46205.919999999925</v>
      </c>
      <c r="H343" s="436">
        <v>0</v>
      </c>
      <c r="I343" s="449">
        <v>0</v>
      </c>
    </row>
    <row r="344" spans="1:9" ht="15.75" customHeight="1" x14ac:dyDescent="0.2">
      <c r="A344" s="437"/>
      <c r="B344" s="437"/>
      <c r="C344" s="436"/>
      <c r="D344" s="467">
        <v>45833</v>
      </c>
      <c r="E344" s="436" t="s">
        <v>603</v>
      </c>
      <c r="F344" s="436">
        <v>15571395.08</v>
      </c>
      <c r="G344" s="448">
        <v>46205.919999999925</v>
      </c>
      <c r="H344" s="436">
        <v>323441.43999999948</v>
      </c>
      <c r="I344" s="449">
        <v>0</v>
      </c>
    </row>
    <row r="345" spans="1:9" ht="15.75" customHeight="1" x14ac:dyDescent="0.2">
      <c r="A345" s="437"/>
      <c r="B345" s="437"/>
      <c r="C345" s="436"/>
      <c r="D345" s="467">
        <v>45834</v>
      </c>
      <c r="E345" s="436" t="s">
        <v>602</v>
      </c>
      <c r="F345" s="436">
        <v>15617601</v>
      </c>
      <c r="G345" s="448">
        <v>46205.919999999925</v>
      </c>
      <c r="H345" s="436">
        <v>0</v>
      </c>
      <c r="I345" s="449">
        <v>0</v>
      </c>
    </row>
    <row r="346" spans="1:9" ht="15.75" customHeight="1" x14ac:dyDescent="0.2">
      <c r="A346" s="437"/>
      <c r="B346" s="437"/>
      <c r="C346" s="436"/>
      <c r="D346" s="467">
        <v>45835</v>
      </c>
      <c r="E346" s="436" t="s">
        <v>601</v>
      </c>
      <c r="F346" s="436">
        <v>15663806.92</v>
      </c>
      <c r="G346" s="448">
        <v>46205.919999999925</v>
      </c>
      <c r="H346" s="436">
        <v>0</v>
      </c>
      <c r="I346" s="449">
        <v>0</v>
      </c>
    </row>
    <row r="347" spans="1:9" ht="15.75" customHeight="1" x14ac:dyDescent="0.2">
      <c r="A347" s="437"/>
      <c r="B347" s="437"/>
      <c r="C347" s="436"/>
      <c r="D347" s="467">
        <v>45836</v>
      </c>
      <c r="E347" s="436" t="s">
        <v>600</v>
      </c>
      <c r="F347" s="436">
        <v>15710012.84</v>
      </c>
      <c r="G347" s="448">
        <v>46205.919999999925</v>
      </c>
      <c r="H347" s="436">
        <v>0</v>
      </c>
      <c r="I347" s="449">
        <v>0</v>
      </c>
    </row>
    <row r="348" spans="1:9" ht="15.75" customHeight="1" x14ac:dyDescent="0.2">
      <c r="A348" s="437"/>
      <c r="B348" s="437"/>
      <c r="C348" s="436"/>
      <c r="D348" s="467">
        <v>45837</v>
      </c>
      <c r="E348" s="436" t="s">
        <v>599</v>
      </c>
      <c r="F348" s="436">
        <v>15756218.76</v>
      </c>
      <c r="G348" s="448">
        <v>46205.919999999925</v>
      </c>
      <c r="H348" s="436">
        <v>0</v>
      </c>
      <c r="I348" s="449">
        <v>0</v>
      </c>
    </row>
    <row r="349" spans="1:9" ht="15.75" customHeight="1" x14ac:dyDescent="0.2">
      <c r="A349" s="437"/>
      <c r="B349" s="437"/>
      <c r="C349" s="436"/>
      <c r="D349" s="467">
        <v>45838</v>
      </c>
      <c r="E349" s="436" t="s">
        <v>598</v>
      </c>
      <c r="F349" s="436">
        <v>15802424.68</v>
      </c>
      <c r="G349" s="448">
        <v>46205.919999999925</v>
      </c>
      <c r="H349" s="436">
        <v>0</v>
      </c>
      <c r="I349" s="449">
        <v>0</v>
      </c>
    </row>
    <row r="350" spans="1:9" ht="15.75" customHeight="1" x14ac:dyDescent="0.2">
      <c r="A350" s="437"/>
      <c r="B350" s="437"/>
      <c r="C350" s="436"/>
      <c r="D350" s="467">
        <v>45839</v>
      </c>
      <c r="E350" s="436" t="s">
        <v>597</v>
      </c>
      <c r="F350" s="436">
        <v>15848630.6</v>
      </c>
      <c r="G350" s="448">
        <v>46205.919999999925</v>
      </c>
      <c r="H350" s="436">
        <v>0</v>
      </c>
      <c r="I350" s="449">
        <v>0</v>
      </c>
    </row>
    <row r="351" spans="1:9" ht="15.75" customHeight="1" x14ac:dyDescent="0.2">
      <c r="A351" s="437"/>
      <c r="B351" s="437"/>
      <c r="C351" s="436"/>
      <c r="D351" s="467">
        <v>45840</v>
      </c>
      <c r="E351" s="436" t="s">
        <v>603</v>
      </c>
      <c r="F351" s="436">
        <v>15894836.52</v>
      </c>
      <c r="G351" s="448">
        <v>46205.919999999925</v>
      </c>
      <c r="H351" s="436">
        <v>323441.43999999948</v>
      </c>
      <c r="I351" s="449">
        <v>646882.87999999896</v>
      </c>
    </row>
    <row r="352" spans="1:9" ht="15.75" customHeight="1" x14ac:dyDescent="0.2">
      <c r="A352" s="437"/>
      <c r="B352" s="437"/>
      <c r="C352" s="436"/>
      <c r="D352" s="467">
        <v>45841</v>
      </c>
      <c r="E352" s="436" t="s">
        <v>602</v>
      </c>
      <c r="F352" s="436">
        <v>15941042.439999999</v>
      </c>
      <c r="G352" s="448">
        <v>46205.919999999925</v>
      </c>
      <c r="H352" s="436">
        <v>0</v>
      </c>
      <c r="I352" s="449">
        <v>0</v>
      </c>
    </row>
    <row r="353" spans="1:9" ht="15.75" customHeight="1" x14ac:dyDescent="0.2">
      <c r="A353" s="437"/>
      <c r="B353" s="437"/>
      <c r="C353" s="436"/>
      <c r="D353" s="467">
        <v>45842</v>
      </c>
      <c r="E353" s="436" t="s">
        <v>601</v>
      </c>
      <c r="F353" s="436">
        <v>15987248.359999999</v>
      </c>
      <c r="G353" s="448">
        <v>46205.919999999925</v>
      </c>
      <c r="H353" s="436">
        <v>0</v>
      </c>
      <c r="I353" s="449">
        <v>0</v>
      </c>
    </row>
    <row r="354" spans="1:9" ht="15.75" customHeight="1" x14ac:dyDescent="0.2">
      <c r="A354" s="437"/>
      <c r="B354" s="437"/>
      <c r="C354" s="436"/>
      <c r="D354" s="467">
        <v>45843</v>
      </c>
      <c r="E354" s="436" t="s">
        <v>600</v>
      </c>
      <c r="F354" s="436">
        <v>16033454.279999999</v>
      </c>
      <c r="G354" s="448">
        <v>46205.919999999925</v>
      </c>
      <c r="H354" s="436">
        <v>0</v>
      </c>
      <c r="I354" s="449">
        <v>0</v>
      </c>
    </row>
    <row r="355" spans="1:9" ht="15.75" customHeight="1" x14ac:dyDescent="0.2">
      <c r="A355" s="437"/>
      <c r="B355" s="437"/>
      <c r="C355" s="436"/>
      <c r="D355" s="467">
        <v>45844</v>
      </c>
      <c r="E355" s="436" t="s">
        <v>599</v>
      </c>
      <c r="F355" s="436">
        <v>16079660.199999999</v>
      </c>
      <c r="G355" s="448">
        <v>46205.919999999925</v>
      </c>
      <c r="H355" s="436">
        <v>0</v>
      </c>
      <c r="I355" s="449">
        <v>0</v>
      </c>
    </row>
    <row r="356" spans="1:9" ht="15.75" customHeight="1" x14ac:dyDescent="0.2">
      <c r="A356" s="437"/>
      <c r="B356" s="437"/>
      <c r="C356" s="436"/>
      <c r="D356" s="467">
        <v>45845</v>
      </c>
      <c r="E356" s="436" t="s">
        <v>598</v>
      </c>
      <c r="F356" s="436">
        <v>16125866.119999999</v>
      </c>
      <c r="G356" s="448">
        <v>46205.919999999925</v>
      </c>
      <c r="H356" s="436">
        <v>0</v>
      </c>
      <c r="I356" s="449">
        <v>0</v>
      </c>
    </row>
    <row r="357" spans="1:9" ht="15.75" customHeight="1" x14ac:dyDescent="0.2">
      <c r="A357" s="437"/>
      <c r="B357" s="437"/>
      <c r="C357" s="436"/>
      <c r="D357" s="467">
        <v>45846</v>
      </c>
      <c r="E357" s="436" t="s">
        <v>597</v>
      </c>
      <c r="F357" s="436">
        <v>16172072.039999999</v>
      </c>
      <c r="G357" s="448">
        <v>46205.919999999925</v>
      </c>
      <c r="H357" s="436">
        <v>0</v>
      </c>
      <c r="I357" s="449">
        <v>0</v>
      </c>
    </row>
    <row r="358" spans="1:9" ht="15.75" customHeight="1" x14ac:dyDescent="0.2">
      <c r="A358" s="437"/>
      <c r="B358" s="437"/>
      <c r="C358" s="436"/>
      <c r="D358" s="467">
        <v>45847</v>
      </c>
      <c r="E358" s="436" t="s">
        <v>603</v>
      </c>
      <c r="F358" s="436">
        <v>16218277.960000001</v>
      </c>
      <c r="G358" s="448">
        <v>46205.920000001788</v>
      </c>
      <c r="H358" s="436">
        <v>323441.44000000134</v>
      </c>
      <c r="I358" s="449">
        <v>0</v>
      </c>
    </row>
    <row r="359" spans="1:9" ht="15.75" customHeight="1" x14ac:dyDescent="0.2">
      <c r="A359" s="437"/>
      <c r="B359" s="437"/>
      <c r="C359" s="436"/>
      <c r="D359" s="467">
        <v>45848</v>
      </c>
      <c r="E359" s="436" t="s">
        <v>602</v>
      </c>
      <c r="F359" s="436">
        <v>16264483.880000001</v>
      </c>
      <c r="G359" s="448">
        <v>46205.919999999925</v>
      </c>
      <c r="H359" s="436">
        <v>0</v>
      </c>
      <c r="I359" s="449">
        <v>0</v>
      </c>
    </row>
    <row r="360" spans="1:9" ht="15.75" customHeight="1" x14ac:dyDescent="0.2">
      <c r="A360" s="437"/>
      <c r="B360" s="437"/>
      <c r="C360" s="436"/>
      <c r="D360" s="467">
        <v>45849</v>
      </c>
      <c r="E360" s="436" t="s">
        <v>601</v>
      </c>
      <c r="F360" s="436">
        <v>16310689.800000001</v>
      </c>
      <c r="G360" s="448">
        <v>46205.919999999925</v>
      </c>
      <c r="H360" s="436">
        <v>0</v>
      </c>
      <c r="I360" s="449">
        <v>0</v>
      </c>
    </row>
    <row r="361" spans="1:9" ht="15.75" customHeight="1" x14ac:dyDescent="0.2">
      <c r="A361" s="437"/>
      <c r="B361" s="437"/>
      <c r="C361" s="436"/>
      <c r="D361" s="467">
        <v>45850</v>
      </c>
      <c r="E361" s="436" t="s">
        <v>600</v>
      </c>
      <c r="F361" s="436">
        <v>16356895.720000001</v>
      </c>
      <c r="G361" s="448">
        <v>46205.919999999925</v>
      </c>
      <c r="H361" s="436">
        <v>0</v>
      </c>
      <c r="I361" s="449">
        <v>0</v>
      </c>
    </row>
    <row r="362" spans="1:9" ht="15.75" customHeight="1" x14ac:dyDescent="0.2">
      <c r="A362" s="437"/>
      <c r="B362" s="437"/>
      <c r="C362" s="436"/>
      <c r="D362" s="467">
        <v>45851</v>
      </c>
      <c r="E362" s="436" t="s">
        <v>599</v>
      </c>
      <c r="F362" s="436">
        <v>16403101.640000001</v>
      </c>
      <c r="G362" s="448">
        <v>46205.919999999925</v>
      </c>
      <c r="H362" s="436">
        <v>0</v>
      </c>
      <c r="I362" s="449">
        <v>0</v>
      </c>
    </row>
    <row r="363" spans="1:9" ht="15.75" customHeight="1" x14ac:dyDescent="0.2">
      <c r="A363" s="437"/>
      <c r="B363" s="437"/>
      <c r="C363" s="436"/>
      <c r="D363" s="467">
        <v>45852</v>
      </c>
      <c r="E363" s="436" t="s">
        <v>598</v>
      </c>
      <c r="F363" s="436">
        <v>16449307.560000001</v>
      </c>
      <c r="G363" s="448">
        <v>46205.919999999925</v>
      </c>
      <c r="H363" s="436">
        <v>0</v>
      </c>
      <c r="I363" s="449">
        <v>0</v>
      </c>
    </row>
    <row r="364" spans="1:9" ht="15.75" customHeight="1" x14ac:dyDescent="0.2">
      <c r="A364" s="437"/>
      <c r="B364" s="437"/>
      <c r="C364" s="436"/>
      <c r="D364" s="467">
        <v>45853</v>
      </c>
      <c r="E364" s="436" t="s">
        <v>597</v>
      </c>
      <c r="F364" s="436">
        <v>16495513.48</v>
      </c>
      <c r="G364" s="448">
        <v>46205.919999999925</v>
      </c>
      <c r="H364" s="436">
        <v>0</v>
      </c>
      <c r="I364" s="449">
        <v>0</v>
      </c>
    </row>
    <row r="365" spans="1:9" ht="15.75" customHeight="1" x14ac:dyDescent="0.2">
      <c r="A365" s="437"/>
      <c r="B365" s="437"/>
      <c r="C365" s="436"/>
      <c r="D365" s="467">
        <v>45854</v>
      </c>
      <c r="E365" s="436" t="s">
        <v>603</v>
      </c>
      <c r="F365" s="436">
        <v>16541719.4</v>
      </c>
      <c r="G365" s="448">
        <v>46205.919999999925</v>
      </c>
      <c r="H365" s="436">
        <v>323441.43999999948</v>
      </c>
      <c r="I365" s="449">
        <v>646882.88000000082</v>
      </c>
    </row>
    <row r="366" spans="1:9" ht="15.75" customHeight="1" x14ac:dyDescent="0.2">
      <c r="A366" s="437"/>
      <c r="B366" s="437"/>
      <c r="C366" s="436"/>
      <c r="D366" s="467">
        <v>45855</v>
      </c>
      <c r="E366" s="436" t="s">
        <v>602</v>
      </c>
      <c r="F366" s="436">
        <v>16587925.32</v>
      </c>
      <c r="G366" s="448">
        <v>46205.919999999925</v>
      </c>
      <c r="H366" s="436">
        <v>0</v>
      </c>
      <c r="I366" s="449">
        <v>0</v>
      </c>
    </row>
    <row r="367" spans="1:9" ht="15.75" customHeight="1" x14ac:dyDescent="0.2">
      <c r="A367" s="437"/>
      <c r="B367" s="437"/>
      <c r="C367" s="436"/>
      <c r="D367" s="467">
        <v>45856</v>
      </c>
      <c r="E367" s="436" t="s">
        <v>601</v>
      </c>
      <c r="F367" s="436">
        <v>16634131.24</v>
      </c>
      <c r="G367" s="448">
        <v>46205.919999999925</v>
      </c>
      <c r="H367" s="436">
        <v>0</v>
      </c>
      <c r="I367" s="449">
        <v>0</v>
      </c>
    </row>
    <row r="368" spans="1:9" ht="15.75" customHeight="1" x14ac:dyDescent="0.2">
      <c r="A368" s="437"/>
      <c r="B368" s="437"/>
      <c r="C368" s="436"/>
      <c r="D368" s="467">
        <v>45857</v>
      </c>
      <c r="E368" s="436" t="s">
        <v>600</v>
      </c>
      <c r="F368" s="436">
        <v>16680337.16</v>
      </c>
      <c r="G368" s="448">
        <v>46205.919999999925</v>
      </c>
      <c r="H368" s="436">
        <v>0</v>
      </c>
      <c r="I368" s="449">
        <v>0</v>
      </c>
    </row>
    <row r="369" spans="1:9" ht="15.75" customHeight="1" x14ac:dyDescent="0.2">
      <c r="A369" s="437"/>
      <c r="B369" s="437"/>
      <c r="C369" s="436"/>
      <c r="D369" s="467">
        <v>45858</v>
      </c>
      <c r="E369" s="436" t="s">
        <v>599</v>
      </c>
      <c r="F369" s="436">
        <v>16726543.08</v>
      </c>
      <c r="G369" s="448">
        <v>46205.919999999925</v>
      </c>
      <c r="H369" s="436">
        <v>0</v>
      </c>
      <c r="I369" s="449">
        <v>0</v>
      </c>
    </row>
    <row r="370" spans="1:9" ht="15.75" customHeight="1" x14ac:dyDescent="0.2">
      <c r="A370" s="437"/>
      <c r="B370" s="437"/>
      <c r="C370" s="436"/>
      <c r="D370" s="467">
        <v>45859</v>
      </c>
      <c r="E370" s="436" t="s">
        <v>598</v>
      </c>
      <c r="F370" s="436">
        <v>16772749</v>
      </c>
      <c r="G370" s="448">
        <v>46205.919999999925</v>
      </c>
      <c r="H370" s="436">
        <v>0</v>
      </c>
      <c r="I370" s="449">
        <v>0</v>
      </c>
    </row>
    <row r="371" spans="1:9" ht="15.75" customHeight="1" x14ac:dyDescent="0.2">
      <c r="A371" s="437"/>
      <c r="B371" s="437"/>
      <c r="C371" s="436"/>
      <c r="D371" s="467">
        <v>45860</v>
      </c>
      <c r="E371" s="436" t="s">
        <v>597</v>
      </c>
      <c r="F371" s="436">
        <v>16818954.920000002</v>
      </c>
      <c r="G371" s="448">
        <v>46205.920000001788</v>
      </c>
      <c r="H371" s="436">
        <v>0</v>
      </c>
      <c r="I371" s="449">
        <v>0</v>
      </c>
    </row>
    <row r="372" spans="1:9" ht="15.75" customHeight="1" x14ac:dyDescent="0.2">
      <c r="A372" s="437"/>
      <c r="B372" s="437"/>
      <c r="C372" s="436"/>
      <c r="D372" s="467">
        <v>45861</v>
      </c>
      <c r="E372" s="436" t="s">
        <v>603</v>
      </c>
      <c r="F372" s="436">
        <v>16865160.84</v>
      </c>
      <c r="G372" s="448">
        <v>46205.919999998063</v>
      </c>
      <c r="H372" s="436">
        <v>323441.43999999948</v>
      </c>
      <c r="I372" s="449">
        <v>0</v>
      </c>
    </row>
    <row r="373" spans="1:9" ht="15.75" customHeight="1" x14ac:dyDescent="0.2">
      <c r="A373" s="437"/>
      <c r="B373" s="437"/>
      <c r="C373" s="436"/>
      <c r="D373" s="467">
        <v>45862</v>
      </c>
      <c r="E373" s="436" t="s">
        <v>602</v>
      </c>
      <c r="F373" s="436">
        <v>16911366.760000002</v>
      </c>
      <c r="G373" s="448">
        <v>46205.920000001788</v>
      </c>
      <c r="H373" s="436">
        <v>0</v>
      </c>
      <c r="I373" s="449">
        <v>0</v>
      </c>
    </row>
    <row r="374" spans="1:9" ht="15.75" customHeight="1" x14ac:dyDescent="0.2">
      <c r="A374" s="437"/>
      <c r="B374" s="437"/>
      <c r="C374" s="436"/>
      <c r="D374" s="467">
        <v>45863</v>
      </c>
      <c r="E374" s="436" t="s">
        <v>601</v>
      </c>
      <c r="F374" s="436">
        <v>16957572.68</v>
      </c>
      <c r="G374" s="448">
        <v>46205.919999998063</v>
      </c>
      <c r="H374" s="436">
        <v>0</v>
      </c>
      <c r="I374" s="449">
        <v>0</v>
      </c>
    </row>
    <row r="375" spans="1:9" ht="15.75" customHeight="1" x14ac:dyDescent="0.2">
      <c r="A375" s="437"/>
      <c r="B375" s="437"/>
      <c r="C375" s="436"/>
      <c r="D375" s="467">
        <v>45864</v>
      </c>
      <c r="E375" s="436" t="s">
        <v>600</v>
      </c>
      <c r="F375" s="436">
        <v>17003778.600000001</v>
      </c>
      <c r="G375" s="448">
        <v>46205.920000001788</v>
      </c>
      <c r="H375" s="436">
        <v>0</v>
      </c>
      <c r="I375" s="449">
        <v>0</v>
      </c>
    </row>
    <row r="376" spans="1:9" ht="15.75" customHeight="1" x14ac:dyDescent="0.2">
      <c r="A376" s="437"/>
      <c r="B376" s="437"/>
      <c r="C376" s="436"/>
      <c r="D376" s="467">
        <v>45865</v>
      </c>
      <c r="E376" s="436" t="s">
        <v>599</v>
      </c>
      <c r="F376" s="436">
        <v>17049984.52</v>
      </c>
      <c r="G376" s="448">
        <v>46205.919999998063</v>
      </c>
      <c r="H376" s="436">
        <v>0</v>
      </c>
      <c r="I376" s="449">
        <v>0</v>
      </c>
    </row>
    <row r="377" spans="1:9" ht="15.75" customHeight="1" x14ac:dyDescent="0.2">
      <c r="A377" s="437"/>
      <c r="B377" s="437"/>
      <c r="C377" s="436"/>
      <c r="D377" s="467">
        <v>45866</v>
      </c>
      <c r="E377" s="436" t="s">
        <v>598</v>
      </c>
      <c r="F377" s="436">
        <v>17096190.440000001</v>
      </c>
      <c r="G377" s="448">
        <v>46205.920000001788</v>
      </c>
      <c r="H377" s="436">
        <v>0</v>
      </c>
      <c r="I377" s="449">
        <v>0</v>
      </c>
    </row>
    <row r="378" spans="1:9" ht="15.75" customHeight="1" x14ac:dyDescent="0.2">
      <c r="A378" s="437"/>
      <c r="B378" s="437"/>
      <c r="C378" s="436"/>
      <c r="D378" s="467">
        <v>45867</v>
      </c>
      <c r="E378" s="436" t="s">
        <v>597</v>
      </c>
      <c r="F378" s="436">
        <v>17142396.359999999</v>
      </c>
      <c r="G378" s="448">
        <v>46205.919999998063</v>
      </c>
      <c r="H378" s="436">
        <v>0</v>
      </c>
      <c r="I378" s="449">
        <v>0</v>
      </c>
    </row>
    <row r="379" spans="1:9" ht="15.75" customHeight="1" x14ac:dyDescent="0.2">
      <c r="A379" s="437"/>
      <c r="B379" s="437"/>
      <c r="C379" s="436"/>
      <c r="D379" s="467">
        <v>45868</v>
      </c>
      <c r="E379" s="436" t="s">
        <v>603</v>
      </c>
      <c r="F379" s="436">
        <v>17188602.280000001</v>
      </c>
      <c r="G379" s="448">
        <v>46205.920000001788</v>
      </c>
      <c r="H379" s="436">
        <v>323441.44000000134</v>
      </c>
      <c r="I379" s="449">
        <v>646882.88000000082</v>
      </c>
    </row>
    <row r="380" spans="1:9" ht="15.75" customHeight="1" x14ac:dyDescent="0.2">
      <c r="A380" s="437"/>
      <c r="B380" s="437"/>
      <c r="C380" s="436"/>
      <c r="D380" s="467">
        <v>45869</v>
      </c>
      <c r="E380" s="436" t="s">
        <v>602</v>
      </c>
      <c r="F380" s="436">
        <v>17234808.199999999</v>
      </c>
      <c r="G380" s="448">
        <v>46205.919999998063</v>
      </c>
      <c r="H380" s="436">
        <v>0</v>
      </c>
      <c r="I380" s="449">
        <v>0</v>
      </c>
    </row>
    <row r="381" spans="1:9" ht="15.75" customHeight="1" x14ac:dyDescent="0.2">
      <c r="A381" s="437"/>
      <c r="B381" s="437"/>
      <c r="C381" s="436"/>
      <c r="D381" s="467">
        <v>45870</v>
      </c>
      <c r="E381" s="436" t="s">
        <v>601</v>
      </c>
      <c r="F381" s="436">
        <v>17281014.120000001</v>
      </c>
      <c r="G381" s="448">
        <v>46205.920000001788</v>
      </c>
      <c r="H381" s="436">
        <v>0</v>
      </c>
      <c r="I381" s="449">
        <v>0</v>
      </c>
    </row>
    <row r="382" spans="1:9" ht="15.75" customHeight="1" x14ac:dyDescent="0.2">
      <c r="A382" s="437"/>
      <c r="B382" s="437"/>
      <c r="C382" s="436"/>
      <c r="D382" s="467">
        <v>45871</v>
      </c>
      <c r="E382" s="436" t="s">
        <v>600</v>
      </c>
      <c r="F382" s="436">
        <v>17327220.050000001</v>
      </c>
      <c r="G382" s="448">
        <v>46205.929999999702</v>
      </c>
      <c r="H382" s="436">
        <v>0</v>
      </c>
      <c r="I382" s="449">
        <v>0</v>
      </c>
    </row>
    <row r="383" spans="1:9" ht="15.75" customHeight="1" x14ac:dyDescent="0.2">
      <c r="A383" s="437"/>
      <c r="B383" s="437"/>
      <c r="C383" s="436"/>
      <c r="D383" s="467">
        <v>45872</v>
      </c>
      <c r="E383" s="436" t="s">
        <v>599</v>
      </c>
      <c r="F383" s="436">
        <v>17373425.969999999</v>
      </c>
      <c r="G383" s="448">
        <v>46205.919999998063</v>
      </c>
      <c r="H383" s="436">
        <v>0</v>
      </c>
      <c r="I383" s="449">
        <v>0</v>
      </c>
    </row>
    <row r="384" spans="1:9" ht="15.75" customHeight="1" x14ac:dyDescent="0.2">
      <c r="A384" s="437"/>
      <c r="B384" s="437"/>
      <c r="C384" s="436"/>
      <c r="D384" s="467">
        <v>45873</v>
      </c>
      <c r="E384" s="436" t="s">
        <v>598</v>
      </c>
      <c r="F384" s="436">
        <v>17419631.890000001</v>
      </c>
      <c r="G384" s="448">
        <v>46205.920000001788</v>
      </c>
      <c r="H384" s="436">
        <v>0</v>
      </c>
      <c r="I384" s="449">
        <v>0</v>
      </c>
    </row>
    <row r="385" spans="1:9" ht="15.75" customHeight="1" x14ac:dyDescent="0.2">
      <c r="A385" s="437"/>
      <c r="B385" s="437"/>
      <c r="C385" s="436"/>
      <c r="D385" s="467">
        <v>45874</v>
      </c>
      <c r="E385" s="436" t="s">
        <v>597</v>
      </c>
      <c r="F385" s="436">
        <v>17465837.809999999</v>
      </c>
      <c r="G385" s="448">
        <v>46205.919999998063</v>
      </c>
      <c r="H385" s="436">
        <v>0</v>
      </c>
      <c r="I385" s="449">
        <v>0</v>
      </c>
    </row>
    <row r="386" spans="1:9" ht="15.75" customHeight="1" x14ac:dyDescent="0.2">
      <c r="A386" s="437"/>
      <c r="B386" s="437"/>
      <c r="C386" s="436"/>
      <c r="D386" s="467">
        <v>45875</v>
      </c>
      <c r="E386" s="436" t="s">
        <v>603</v>
      </c>
      <c r="F386" s="436">
        <v>17512043.73</v>
      </c>
      <c r="G386" s="448">
        <v>46205.920000001788</v>
      </c>
      <c r="H386" s="436">
        <v>323441.44999999925</v>
      </c>
      <c r="I386" s="449">
        <v>0</v>
      </c>
    </row>
    <row r="387" spans="1:9" ht="15.75" customHeight="1" x14ac:dyDescent="0.2">
      <c r="A387" s="437"/>
      <c r="B387" s="437"/>
      <c r="C387" s="436"/>
      <c r="D387" s="467">
        <v>45876</v>
      </c>
      <c r="E387" s="436" t="s">
        <v>602</v>
      </c>
      <c r="F387" s="436">
        <v>17558249.649999999</v>
      </c>
      <c r="G387" s="448">
        <v>46205.919999998063</v>
      </c>
      <c r="H387" s="436">
        <v>0</v>
      </c>
      <c r="I387" s="449">
        <v>0</v>
      </c>
    </row>
    <row r="388" spans="1:9" ht="15.75" customHeight="1" x14ac:dyDescent="0.2">
      <c r="A388" s="437"/>
      <c r="B388" s="437"/>
      <c r="C388" s="436"/>
      <c r="D388" s="467">
        <v>45877</v>
      </c>
      <c r="E388" s="436" t="s">
        <v>601</v>
      </c>
      <c r="F388" s="436">
        <v>17604455.57</v>
      </c>
      <c r="G388" s="448">
        <v>46205.920000001788</v>
      </c>
      <c r="H388" s="436">
        <v>0</v>
      </c>
      <c r="I388" s="449">
        <v>0</v>
      </c>
    </row>
    <row r="389" spans="1:9" ht="15.75" customHeight="1" x14ac:dyDescent="0.2">
      <c r="A389" s="437"/>
      <c r="B389" s="437"/>
      <c r="C389" s="436"/>
      <c r="D389" s="467">
        <v>45878</v>
      </c>
      <c r="E389" s="436" t="s">
        <v>600</v>
      </c>
      <c r="F389" s="436">
        <v>17650661.489999998</v>
      </c>
      <c r="G389" s="448">
        <v>46205.919999998063</v>
      </c>
      <c r="H389" s="436">
        <v>0</v>
      </c>
      <c r="I389" s="449">
        <v>0</v>
      </c>
    </row>
    <row r="390" spans="1:9" ht="15.75" customHeight="1" x14ac:dyDescent="0.2">
      <c r="A390" s="437"/>
      <c r="B390" s="437"/>
      <c r="C390" s="436"/>
      <c r="D390" s="467">
        <v>45879</v>
      </c>
      <c r="E390" s="436" t="s">
        <v>599</v>
      </c>
      <c r="F390" s="436">
        <v>17696867.41</v>
      </c>
      <c r="G390" s="448">
        <v>46205.920000001788</v>
      </c>
      <c r="H390" s="436">
        <v>0</v>
      </c>
      <c r="I390" s="449">
        <v>0</v>
      </c>
    </row>
    <row r="391" spans="1:9" ht="15.75" customHeight="1" x14ac:dyDescent="0.2">
      <c r="A391" s="437"/>
      <c r="B391" s="437"/>
      <c r="C391" s="436"/>
      <c r="D391" s="467">
        <v>45880</v>
      </c>
      <c r="E391" s="436" t="s">
        <v>598</v>
      </c>
      <c r="F391" s="436">
        <v>17743073.329999998</v>
      </c>
      <c r="G391" s="448">
        <v>46205.919999998063</v>
      </c>
      <c r="H391" s="436">
        <v>0</v>
      </c>
      <c r="I391" s="449">
        <v>0</v>
      </c>
    </row>
    <row r="392" spans="1:9" ht="15.75" customHeight="1" x14ac:dyDescent="0.2">
      <c r="A392" s="437"/>
      <c r="B392" s="437"/>
      <c r="C392" s="436"/>
      <c r="D392" s="467">
        <v>45881</v>
      </c>
      <c r="E392" s="436" t="s">
        <v>597</v>
      </c>
      <c r="F392" s="436">
        <v>17789279.25</v>
      </c>
      <c r="G392" s="448">
        <v>46205.920000001788</v>
      </c>
      <c r="H392" s="436">
        <v>0</v>
      </c>
      <c r="I392" s="449">
        <v>0</v>
      </c>
    </row>
    <row r="393" spans="1:9" ht="15.75" customHeight="1" x14ac:dyDescent="0.2">
      <c r="A393" s="437"/>
      <c r="B393" s="437"/>
      <c r="C393" s="436"/>
      <c r="D393" s="467">
        <v>45882</v>
      </c>
      <c r="E393" s="436" t="s">
        <v>603</v>
      </c>
      <c r="F393" s="436">
        <v>17835485.170000002</v>
      </c>
      <c r="G393" s="448">
        <v>46205.920000001788</v>
      </c>
      <c r="H393" s="436">
        <v>323441.44000000134</v>
      </c>
      <c r="I393" s="449">
        <v>646882.8900000006</v>
      </c>
    </row>
    <row r="394" spans="1:9" ht="15.75" customHeight="1" x14ac:dyDescent="0.2">
      <c r="A394" s="437"/>
      <c r="B394" s="437"/>
      <c r="C394" s="436"/>
      <c r="D394" s="467">
        <v>45883</v>
      </c>
      <c r="E394" s="436" t="s">
        <v>602</v>
      </c>
      <c r="F394" s="436">
        <v>17881691.09</v>
      </c>
      <c r="G394" s="448">
        <v>46205.919999998063</v>
      </c>
      <c r="H394" s="436">
        <v>0</v>
      </c>
      <c r="I394" s="449">
        <v>0</v>
      </c>
    </row>
    <row r="395" spans="1:9" ht="15.75" customHeight="1" x14ac:dyDescent="0.2">
      <c r="A395" s="437"/>
      <c r="B395" s="437"/>
      <c r="C395" s="436"/>
      <c r="D395" s="467">
        <v>45884</v>
      </c>
      <c r="E395" s="436" t="s">
        <v>601</v>
      </c>
      <c r="F395" s="436">
        <v>17927897.010000002</v>
      </c>
      <c r="G395" s="448">
        <v>46205.920000001788</v>
      </c>
      <c r="H395" s="436">
        <v>0</v>
      </c>
      <c r="I395" s="449">
        <v>0</v>
      </c>
    </row>
    <row r="396" spans="1:9" ht="15.75" customHeight="1" x14ac:dyDescent="0.2">
      <c r="A396" s="437"/>
      <c r="B396" s="437"/>
      <c r="C396" s="436"/>
      <c r="D396" s="467">
        <v>45885</v>
      </c>
      <c r="E396" s="436" t="s">
        <v>600</v>
      </c>
      <c r="F396" s="436">
        <v>17974102.93</v>
      </c>
      <c r="G396" s="448">
        <v>46205.919999998063</v>
      </c>
      <c r="H396" s="436">
        <v>0</v>
      </c>
      <c r="I396" s="449">
        <v>0</v>
      </c>
    </row>
    <row r="397" spans="1:9" ht="15.75" customHeight="1" x14ac:dyDescent="0.2">
      <c r="A397" s="437"/>
      <c r="B397" s="437"/>
      <c r="C397" s="436"/>
      <c r="D397" s="467">
        <v>45886</v>
      </c>
      <c r="E397" s="436" t="s">
        <v>599</v>
      </c>
      <c r="F397" s="436">
        <v>18020308.850000001</v>
      </c>
      <c r="G397" s="448">
        <v>46205.920000001788</v>
      </c>
      <c r="H397" s="436">
        <v>0</v>
      </c>
      <c r="I397" s="449">
        <v>0</v>
      </c>
    </row>
    <row r="398" spans="1:9" ht="15.75" customHeight="1" x14ac:dyDescent="0.2">
      <c r="A398" s="437"/>
      <c r="B398" s="437"/>
      <c r="C398" s="436"/>
      <c r="D398" s="467">
        <v>45887</v>
      </c>
      <c r="E398" s="436" t="s">
        <v>598</v>
      </c>
      <c r="F398" s="436">
        <v>18066514.77</v>
      </c>
      <c r="G398" s="448">
        <v>46205.919999998063</v>
      </c>
      <c r="H398" s="436">
        <v>0</v>
      </c>
      <c r="I398" s="449">
        <v>0</v>
      </c>
    </row>
    <row r="399" spans="1:9" ht="15.75" customHeight="1" x14ac:dyDescent="0.2">
      <c r="A399" s="437"/>
      <c r="B399" s="437"/>
      <c r="C399" s="436"/>
      <c r="D399" s="467">
        <v>45888</v>
      </c>
      <c r="E399" s="436" t="s">
        <v>597</v>
      </c>
      <c r="F399" s="436">
        <v>18112720.690000001</v>
      </c>
      <c r="G399" s="448">
        <v>46205.920000001788</v>
      </c>
      <c r="H399" s="436">
        <v>0</v>
      </c>
      <c r="I399" s="449">
        <v>0</v>
      </c>
    </row>
    <row r="400" spans="1:9" ht="15.75" customHeight="1" x14ac:dyDescent="0.2">
      <c r="A400" s="437"/>
      <c r="B400" s="437"/>
      <c r="C400" s="436"/>
      <c r="D400" s="467">
        <v>45889</v>
      </c>
      <c r="E400" s="436" t="s">
        <v>603</v>
      </c>
      <c r="F400" s="436">
        <v>18158926.609999999</v>
      </c>
      <c r="G400" s="448">
        <v>46205.919999998063</v>
      </c>
      <c r="H400" s="436">
        <v>323441.43999999762</v>
      </c>
      <c r="I400" s="449">
        <v>0</v>
      </c>
    </row>
    <row r="401" spans="1:9" ht="15.75" customHeight="1" x14ac:dyDescent="0.2">
      <c r="A401" s="437"/>
      <c r="B401" s="437"/>
      <c r="C401" s="436"/>
      <c r="D401" s="467">
        <v>45890</v>
      </c>
      <c r="E401" s="436" t="s">
        <v>602</v>
      </c>
      <c r="F401" s="436">
        <v>18205132.530000001</v>
      </c>
      <c r="G401" s="448">
        <v>46205.920000001788</v>
      </c>
      <c r="H401" s="436">
        <v>0</v>
      </c>
      <c r="I401" s="449">
        <v>0</v>
      </c>
    </row>
    <row r="402" spans="1:9" ht="15.75" customHeight="1" x14ac:dyDescent="0.2">
      <c r="A402" s="437"/>
      <c r="B402" s="437"/>
      <c r="C402" s="436"/>
      <c r="D402" s="467">
        <v>45891</v>
      </c>
      <c r="E402" s="436" t="s">
        <v>601</v>
      </c>
      <c r="F402" s="436">
        <v>18251338.449999999</v>
      </c>
      <c r="G402" s="448">
        <v>46205.919999998063</v>
      </c>
      <c r="H402" s="436">
        <v>0</v>
      </c>
      <c r="I402" s="449">
        <v>0</v>
      </c>
    </row>
    <row r="403" spans="1:9" ht="15.75" customHeight="1" x14ac:dyDescent="0.2">
      <c r="A403" s="437"/>
      <c r="B403" s="437"/>
      <c r="C403" s="436"/>
      <c r="D403" s="467">
        <v>45892</v>
      </c>
      <c r="E403" s="436" t="s">
        <v>600</v>
      </c>
      <c r="F403" s="436">
        <v>18297544.370000001</v>
      </c>
      <c r="G403" s="448">
        <v>46205.920000001788</v>
      </c>
      <c r="H403" s="436">
        <v>0</v>
      </c>
      <c r="I403" s="449">
        <v>0</v>
      </c>
    </row>
    <row r="404" spans="1:9" ht="15.75" customHeight="1" x14ac:dyDescent="0.2">
      <c r="A404" s="437"/>
      <c r="B404" s="437"/>
      <c r="C404" s="436"/>
      <c r="D404" s="467">
        <v>45893</v>
      </c>
      <c r="E404" s="436" t="s">
        <v>599</v>
      </c>
      <c r="F404" s="436">
        <v>18343750.289999999</v>
      </c>
      <c r="G404" s="448">
        <v>46205.919999998063</v>
      </c>
      <c r="H404" s="436">
        <v>0</v>
      </c>
      <c r="I404" s="449">
        <v>0</v>
      </c>
    </row>
    <row r="405" spans="1:9" ht="15.75" customHeight="1" x14ac:dyDescent="0.2">
      <c r="A405" s="437"/>
      <c r="B405" s="437"/>
      <c r="C405" s="436"/>
      <c r="D405" s="467">
        <v>45894</v>
      </c>
      <c r="E405" s="436" t="s">
        <v>598</v>
      </c>
      <c r="F405" s="436">
        <v>18389956.210000001</v>
      </c>
      <c r="G405" s="448">
        <v>46205.920000001788</v>
      </c>
      <c r="H405" s="436">
        <v>0</v>
      </c>
      <c r="I405" s="449">
        <v>0</v>
      </c>
    </row>
    <row r="406" spans="1:9" ht="15.75" customHeight="1" x14ac:dyDescent="0.2">
      <c r="A406" s="437"/>
      <c r="B406" s="437"/>
      <c r="C406" s="436"/>
      <c r="D406" s="467">
        <v>45895</v>
      </c>
      <c r="E406" s="436" t="s">
        <v>597</v>
      </c>
      <c r="F406" s="436">
        <v>18436162.129999999</v>
      </c>
      <c r="G406" s="448">
        <v>46205.919999998063</v>
      </c>
      <c r="H406" s="436">
        <v>0</v>
      </c>
      <c r="I406" s="449">
        <v>0</v>
      </c>
    </row>
    <row r="407" spans="1:9" ht="15.75" customHeight="1" x14ac:dyDescent="0.2">
      <c r="A407" s="437"/>
      <c r="B407" s="437"/>
      <c r="C407" s="436"/>
      <c r="D407" s="467">
        <v>45896</v>
      </c>
      <c r="E407" s="436" t="s">
        <v>603</v>
      </c>
      <c r="F407" s="436">
        <v>18482368.050000001</v>
      </c>
      <c r="G407" s="448">
        <v>46205.920000001788</v>
      </c>
      <c r="H407" s="436">
        <v>323441.44000000134</v>
      </c>
      <c r="I407" s="449">
        <v>646882.87999999896</v>
      </c>
    </row>
    <row r="408" spans="1:9" ht="15.75" customHeight="1" x14ac:dyDescent="0.2">
      <c r="A408" s="437"/>
      <c r="B408" s="437"/>
      <c r="C408" s="436"/>
      <c r="D408" s="467">
        <v>45897</v>
      </c>
      <c r="E408" s="436" t="s">
        <v>602</v>
      </c>
      <c r="F408" s="436">
        <v>18528573.969999999</v>
      </c>
      <c r="G408" s="448">
        <v>46205.919999998063</v>
      </c>
      <c r="H408" s="436">
        <v>0</v>
      </c>
      <c r="I408" s="449">
        <v>0</v>
      </c>
    </row>
    <row r="409" spans="1:9" ht="15.75" customHeight="1" x14ac:dyDescent="0.2">
      <c r="A409" s="437"/>
      <c r="B409" s="437"/>
      <c r="C409" s="436"/>
      <c r="D409" s="467">
        <v>45898</v>
      </c>
      <c r="E409" s="436" t="s">
        <v>601</v>
      </c>
      <c r="F409" s="436">
        <v>18574779.890000001</v>
      </c>
      <c r="G409" s="448">
        <v>46205.920000001788</v>
      </c>
      <c r="H409" s="436">
        <v>0</v>
      </c>
      <c r="I409" s="449">
        <v>0</v>
      </c>
    </row>
    <row r="410" spans="1:9" ht="15.75" customHeight="1" x14ac:dyDescent="0.2">
      <c r="A410" s="437"/>
      <c r="B410" s="437"/>
      <c r="C410" s="436"/>
      <c r="D410" s="467">
        <v>45899</v>
      </c>
      <c r="E410" s="436" t="s">
        <v>600</v>
      </c>
      <c r="F410" s="436">
        <v>18620985.809999999</v>
      </c>
      <c r="G410" s="448">
        <v>46205.919999998063</v>
      </c>
      <c r="H410" s="436">
        <v>0</v>
      </c>
      <c r="I410" s="449">
        <v>0</v>
      </c>
    </row>
    <row r="411" spans="1:9" ht="15.75" customHeight="1" x14ac:dyDescent="0.2">
      <c r="A411" s="437"/>
      <c r="B411" s="437"/>
      <c r="C411" s="436"/>
      <c r="D411" s="467">
        <v>45900</v>
      </c>
      <c r="E411" s="436" t="s">
        <v>599</v>
      </c>
      <c r="F411" s="436">
        <v>18667191.73</v>
      </c>
      <c r="G411" s="448">
        <v>46205.920000001788</v>
      </c>
      <c r="H411" s="436">
        <v>0</v>
      </c>
      <c r="I411" s="449">
        <v>0</v>
      </c>
    </row>
    <row r="412" spans="1:9" ht="15.75" customHeight="1" x14ac:dyDescent="0.2">
      <c r="A412" s="437"/>
      <c r="B412" s="437"/>
      <c r="C412" s="436"/>
      <c r="D412" s="467">
        <v>45901</v>
      </c>
      <c r="E412" s="436" t="s">
        <v>598</v>
      </c>
      <c r="F412" s="436">
        <v>18713397.649999999</v>
      </c>
      <c r="G412" s="448">
        <v>46205.919999998063</v>
      </c>
      <c r="H412" s="436">
        <v>0</v>
      </c>
      <c r="I412" s="449">
        <v>0</v>
      </c>
    </row>
    <row r="413" spans="1:9" ht="15.75" customHeight="1" x14ac:dyDescent="0.2">
      <c r="A413" s="437"/>
      <c r="B413" s="437"/>
      <c r="C413" s="436"/>
      <c r="D413" s="467">
        <v>45902</v>
      </c>
      <c r="E413" s="436" t="s">
        <v>597</v>
      </c>
      <c r="F413" s="436">
        <v>18759603.57</v>
      </c>
      <c r="G413" s="448">
        <v>46205.920000001788</v>
      </c>
      <c r="H413" s="436">
        <v>0</v>
      </c>
      <c r="I413" s="449">
        <v>0</v>
      </c>
    </row>
    <row r="414" spans="1:9" ht="15.75" customHeight="1" x14ac:dyDescent="0.2">
      <c r="A414" s="437"/>
      <c r="B414" s="437"/>
      <c r="C414" s="436"/>
      <c r="D414" s="467">
        <v>45903</v>
      </c>
      <c r="E414" s="436" t="s">
        <v>603</v>
      </c>
      <c r="F414" s="436">
        <v>18805809.489999998</v>
      </c>
      <c r="G414" s="448">
        <v>46205.919999998063</v>
      </c>
      <c r="H414" s="436">
        <v>323441.43999999762</v>
      </c>
      <c r="I414" s="449">
        <v>0</v>
      </c>
    </row>
    <row r="415" spans="1:9" ht="15.75" customHeight="1" x14ac:dyDescent="0.2">
      <c r="A415" s="437"/>
      <c r="B415" s="437"/>
      <c r="C415" s="436"/>
      <c r="D415" s="467">
        <v>45904</v>
      </c>
      <c r="E415" s="436" t="s">
        <v>602</v>
      </c>
      <c r="F415" s="436">
        <v>18852015.41</v>
      </c>
      <c r="G415" s="448">
        <v>46205.920000001788</v>
      </c>
      <c r="H415" s="436">
        <v>0</v>
      </c>
      <c r="I415" s="449">
        <v>0</v>
      </c>
    </row>
    <row r="416" spans="1:9" ht="15.75" customHeight="1" x14ac:dyDescent="0.2">
      <c r="A416" s="437"/>
      <c r="B416" s="437"/>
      <c r="C416" s="436"/>
      <c r="D416" s="467">
        <v>45905</v>
      </c>
      <c r="E416" s="436" t="s">
        <v>601</v>
      </c>
      <c r="F416" s="436">
        <v>18898221.329999998</v>
      </c>
      <c r="G416" s="448">
        <v>46205.919999998063</v>
      </c>
      <c r="H416" s="436">
        <v>0</v>
      </c>
      <c r="I416" s="449">
        <v>0</v>
      </c>
    </row>
    <row r="417" spans="1:9" ht="15.75" customHeight="1" x14ac:dyDescent="0.2">
      <c r="A417" s="437"/>
      <c r="B417" s="437"/>
      <c r="C417" s="436"/>
      <c r="D417" s="467">
        <v>45906</v>
      </c>
      <c r="E417" s="436" t="s">
        <v>600</v>
      </c>
      <c r="F417" s="436">
        <v>18944427.25</v>
      </c>
      <c r="G417" s="448">
        <v>46205.920000001788</v>
      </c>
      <c r="H417" s="436">
        <v>0</v>
      </c>
      <c r="I417" s="449">
        <v>0</v>
      </c>
    </row>
    <row r="418" spans="1:9" ht="15.75" customHeight="1" x14ac:dyDescent="0.2">
      <c r="A418" s="437"/>
      <c r="B418" s="437"/>
      <c r="C418" s="436"/>
      <c r="D418" s="467">
        <v>45907</v>
      </c>
      <c r="E418" s="436" t="s">
        <v>599</v>
      </c>
      <c r="F418" s="436">
        <v>18990633.170000002</v>
      </c>
      <c r="G418" s="448">
        <v>46205.920000001788</v>
      </c>
      <c r="H418" s="436">
        <v>0</v>
      </c>
      <c r="I418" s="449">
        <v>0</v>
      </c>
    </row>
    <row r="419" spans="1:9" ht="15.75" customHeight="1" x14ac:dyDescent="0.2">
      <c r="A419" s="437"/>
      <c r="B419" s="437"/>
      <c r="C419" s="436"/>
      <c r="D419" s="467">
        <v>45908</v>
      </c>
      <c r="E419" s="436" t="s">
        <v>598</v>
      </c>
      <c r="F419" s="436">
        <v>19036839.09</v>
      </c>
      <c r="G419" s="448">
        <v>46205.919999998063</v>
      </c>
      <c r="H419" s="436">
        <v>0</v>
      </c>
      <c r="I419" s="449">
        <v>0</v>
      </c>
    </row>
    <row r="420" spans="1:9" ht="15.75" customHeight="1" x14ac:dyDescent="0.2">
      <c r="A420" s="437"/>
      <c r="B420" s="437"/>
      <c r="C420" s="436"/>
      <c r="D420" s="467">
        <v>45909</v>
      </c>
      <c r="E420" s="436" t="s">
        <v>597</v>
      </c>
      <c r="F420" s="436">
        <v>19083045.010000002</v>
      </c>
      <c r="G420" s="448">
        <v>46205.920000001788</v>
      </c>
      <c r="H420" s="436">
        <v>0</v>
      </c>
      <c r="I420" s="449">
        <v>0</v>
      </c>
    </row>
    <row r="421" spans="1:9" ht="15.75" customHeight="1" x14ac:dyDescent="0.2">
      <c r="A421" s="437"/>
      <c r="B421" s="437"/>
      <c r="C421" s="436"/>
      <c r="D421" s="467">
        <v>45910</v>
      </c>
      <c r="E421" s="436" t="s">
        <v>603</v>
      </c>
      <c r="F421" s="436">
        <v>19129250.93</v>
      </c>
      <c r="G421" s="448">
        <v>46205.919999998063</v>
      </c>
      <c r="H421" s="436">
        <v>323441.44000000134</v>
      </c>
      <c r="I421" s="449">
        <v>646882.87999999896</v>
      </c>
    </row>
    <row r="422" spans="1:9" ht="15.75" customHeight="1" x14ac:dyDescent="0.2">
      <c r="A422" s="437"/>
      <c r="B422" s="437"/>
      <c r="C422" s="436"/>
      <c r="D422" s="467">
        <v>45911</v>
      </c>
      <c r="E422" s="436" t="s">
        <v>602</v>
      </c>
      <c r="F422" s="436">
        <v>19175456.850000001</v>
      </c>
      <c r="G422" s="448">
        <v>46205.920000001788</v>
      </c>
      <c r="H422" s="436">
        <v>0</v>
      </c>
      <c r="I422" s="449">
        <v>0</v>
      </c>
    </row>
    <row r="423" spans="1:9" ht="15.75" customHeight="1" x14ac:dyDescent="0.2">
      <c r="A423" s="437"/>
      <c r="B423" s="437"/>
      <c r="C423" s="436"/>
      <c r="D423" s="467">
        <v>45912</v>
      </c>
      <c r="E423" s="436" t="s">
        <v>601</v>
      </c>
      <c r="F423" s="436">
        <v>19221662.77</v>
      </c>
      <c r="G423" s="448">
        <v>46205.919999998063</v>
      </c>
      <c r="H423" s="436">
        <v>0</v>
      </c>
      <c r="I423" s="449">
        <v>0</v>
      </c>
    </row>
    <row r="424" spans="1:9" ht="15.75" customHeight="1" x14ac:dyDescent="0.2">
      <c r="A424" s="437"/>
      <c r="B424" s="437"/>
      <c r="C424" s="436"/>
      <c r="D424" s="467">
        <v>45913</v>
      </c>
      <c r="E424" s="436" t="s">
        <v>600</v>
      </c>
      <c r="F424" s="436">
        <v>19267868.690000001</v>
      </c>
      <c r="G424" s="448">
        <v>46205.920000001788</v>
      </c>
      <c r="H424" s="436">
        <v>0</v>
      </c>
      <c r="I424" s="449">
        <v>0</v>
      </c>
    </row>
    <row r="425" spans="1:9" ht="15.75" customHeight="1" x14ac:dyDescent="0.2">
      <c r="A425" s="437"/>
      <c r="B425" s="437"/>
      <c r="C425" s="436"/>
      <c r="D425" s="467">
        <v>45914</v>
      </c>
      <c r="E425" s="436" t="s">
        <v>599</v>
      </c>
      <c r="F425" s="436">
        <v>19314074.609999999</v>
      </c>
      <c r="G425" s="448">
        <v>46205.919999998063</v>
      </c>
      <c r="H425" s="436">
        <v>0</v>
      </c>
      <c r="I425" s="449">
        <v>0</v>
      </c>
    </row>
    <row r="426" spans="1:9" ht="15.75" customHeight="1" x14ac:dyDescent="0.2">
      <c r="A426" s="437"/>
      <c r="B426" s="437"/>
      <c r="C426" s="436"/>
      <c r="D426" s="467">
        <v>45915</v>
      </c>
      <c r="E426" s="436" t="s">
        <v>598</v>
      </c>
      <c r="F426" s="436">
        <v>19360280.530000001</v>
      </c>
      <c r="G426" s="448">
        <v>46205.920000001788</v>
      </c>
      <c r="H426" s="436">
        <v>0</v>
      </c>
      <c r="I426" s="449">
        <v>0</v>
      </c>
    </row>
    <row r="427" spans="1:9" ht="15.75" customHeight="1" x14ac:dyDescent="0.2">
      <c r="A427" s="437"/>
      <c r="B427" s="437"/>
      <c r="C427" s="436"/>
      <c r="D427" s="467">
        <v>45916</v>
      </c>
      <c r="E427" s="436" t="s">
        <v>597</v>
      </c>
      <c r="F427" s="436">
        <v>19406486.449999999</v>
      </c>
      <c r="G427" s="448">
        <v>46205.919999998063</v>
      </c>
      <c r="H427" s="436">
        <v>0</v>
      </c>
      <c r="I427" s="449">
        <v>0</v>
      </c>
    </row>
    <row r="428" spans="1:9" ht="15.75" customHeight="1" x14ac:dyDescent="0.2">
      <c r="A428" s="437"/>
      <c r="B428" s="437"/>
      <c r="C428" s="436"/>
      <c r="D428" s="467">
        <v>45917</v>
      </c>
      <c r="E428" s="436" t="s">
        <v>603</v>
      </c>
      <c r="F428" s="436">
        <v>19452692.370000001</v>
      </c>
      <c r="G428" s="448">
        <v>46205.920000001788</v>
      </c>
      <c r="H428" s="436">
        <v>323441.44000000134</v>
      </c>
      <c r="I428" s="449">
        <v>0</v>
      </c>
    </row>
    <row r="429" spans="1:9" ht="15.75" customHeight="1" x14ac:dyDescent="0.2">
      <c r="A429" s="437"/>
      <c r="B429" s="437"/>
      <c r="C429" s="436"/>
      <c r="D429" s="467">
        <v>45918</v>
      </c>
      <c r="E429" s="436" t="s">
        <v>602</v>
      </c>
      <c r="F429" s="436">
        <v>19498898.289999999</v>
      </c>
      <c r="G429" s="448">
        <v>46205.919999998063</v>
      </c>
      <c r="H429" s="436">
        <v>0</v>
      </c>
      <c r="I429" s="449">
        <v>0</v>
      </c>
    </row>
    <row r="430" spans="1:9" ht="15.75" customHeight="1" x14ac:dyDescent="0.2">
      <c r="A430" s="437"/>
      <c r="B430" s="437"/>
      <c r="C430" s="436"/>
      <c r="D430" s="467">
        <v>45919</v>
      </c>
      <c r="E430" s="436" t="s">
        <v>601</v>
      </c>
      <c r="F430" s="436">
        <v>19545104.210000001</v>
      </c>
      <c r="G430" s="448">
        <v>46205.920000001788</v>
      </c>
      <c r="H430" s="436">
        <v>0</v>
      </c>
      <c r="I430" s="449">
        <v>0</v>
      </c>
    </row>
    <row r="431" spans="1:9" ht="15.75" customHeight="1" x14ac:dyDescent="0.2">
      <c r="A431" s="437"/>
      <c r="B431" s="437"/>
      <c r="C431" s="436"/>
      <c r="D431" s="467">
        <v>45920</v>
      </c>
      <c r="E431" s="436" t="s">
        <v>600</v>
      </c>
      <c r="F431" s="436">
        <v>19591310.129999999</v>
      </c>
      <c r="G431" s="448">
        <v>46205.919999998063</v>
      </c>
      <c r="H431" s="436">
        <v>0</v>
      </c>
      <c r="I431" s="449">
        <v>0</v>
      </c>
    </row>
    <row r="432" spans="1:9" ht="15.75" customHeight="1" x14ac:dyDescent="0.2">
      <c r="A432" s="437"/>
      <c r="B432" s="437"/>
      <c r="C432" s="436"/>
      <c r="D432" s="467">
        <v>45921</v>
      </c>
      <c r="E432" s="436" t="s">
        <v>599</v>
      </c>
      <c r="F432" s="436">
        <v>19637516.050000001</v>
      </c>
      <c r="G432" s="448">
        <v>46205.920000001788</v>
      </c>
      <c r="H432" s="436">
        <v>0</v>
      </c>
      <c r="I432" s="449">
        <v>0</v>
      </c>
    </row>
    <row r="433" spans="1:9" ht="15.75" customHeight="1" x14ac:dyDescent="0.2">
      <c r="A433" s="437"/>
      <c r="B433" s="437"/>
      <c r="C433" s="436"/>
      <c r="D433" s="467">
        <v>45922</v>
      </c>
      <c r="E433" s="436" t="s">
        <v>598</v>
      </c>
      <c r="F433" s="436">
        <v>19683721.969999999</v>
      </c>
      <c r="G433" s="448">
        <v>46205.919999998063</v>
      </c>
      <c r="H433" s="436">
        <v>0</v>
      </c>
      <c r="I433" s="449">
        <v>0</v>
      </c>
    </row>
    <row r="434" spans="1:9" ht="15.75" customHeight="1" x14ac:dyDescent="0.2">
      <c r="A434" s="437"/>
      <c r="B434" s="437"/>
      <c r="C434" s="436"/>
      <c r="D434" s="467">
        <v>45923</v>
      </c>
      <c r="E434" s="436" t="s">
        <v>597</v>
      </c>
      <c r="F434" s="436">
        <v>19729927.890000001</v>
      </c>
      <c r="G434" s="448">
        <v>46205.920000001788</v>
      </c>
      <c r="H434" s="436">
        <v>0</v>
      </c>
      <c r="I434" s="449">
        <v>0</v>
      </c>
    </row>
    <row r="435" spans="1:9" ht="15.75" customHeight="1" x14ac:dyDescent="0.2">
      <c r="A435" s="437"/>
      <c r="B435" s="437"/>
      <c r="C435" s="436"/>
      <c r="D435" s="467">
        <v>45924</v>
      </c>
      <c r="E435" s="436" t="s">
        <v>603</v>
      </c>
      <c r="F435" s="436">
        <v>19776133.809999999</v>
      </c>
      <c r="G435" s="448">
        <v>46205.919999998063</v>
      </c>
      <c r="H435" s="436">
        <v>323441.43999999762</v>
      </c>
      <c r="I435" s="449">
        <v>646882.87999999896</v>
      </c>
    </row>
    <row r="436" spans="1:9" ht="15.75" customHeight="1" x14ac:dyDescent="0.2">
      <c r="A436" s="437"/>
      <c r="B436" s="437"/>
      <c r="C436" s="436"/>
      <c r="D436" s="467">
        <v>45925</v>
      </c>
      <c r="E436" s="436" t="s">
        <v>602</v>
      </c>
      <c r="F436" s="436">
        <v>19822339.73</v>
      </c>
      <c r="G436" s="448">
        <v>46205.920000001788</v>
      </c>
      <c r="H436" s="436">
        <v>0</v>
      </c>
      <c r="I436" s="449">
        <v>0</v>
      </c>
    </row>
    <row r="437" spans="1:9" ht="15.75" customHeight="1" x14ac:dyDescent="0.2">
      <c r="A437" s="437"/>
      <c r="B437" s="437"/>
      <c r="C437" s="436"/>
      <c r="D437" s="467">
        <v>45926</v>
      </c>
      <c r="E437" s="436" t="s">
        <v>601</v>
      </c>
      <c r="F437" s="436">
        <v>19868545.649999999</v>
      </c>
      <c r="G437" s="448">
        <v>46205.919999998063</v>
      </c>
      <c r="H437" s="436">
        <v>0</v>
      </c>
      <c r="I437" s="449">
        <v>0</v>
      </c>
    </row>
    <row r="438" spans="1:9" ht="15.75" customHeight="1" x14ac:dyDescent="0.2">
      <c r="A438" s="437"/>
      <c r="B438" s="437"/>
      <c r="C438" s="436"/>
      <c r="D438" s="467">
        <v>45927</v>
      </c>
      <c r="E438" s="436" t="s">
        <v>600</v>
      </c>
      <c r="F438" s="436">
        <v>19914751.57</v>
      </c>
      <c r="G438" s="448">
        <v>46205.920000001788</v>
      </c>
      <c r="H438" s="436">
        <v>0</v>
      </c>
      <c r="I438" s="449">
        <v>0</v>
      </c>
    </row>
    <row r="439" spans="1:9" ht="15.75" customHeight="1" x14ac:dyDescent="0.2">
      <c r="A439" s="437"/>
      <c r="B439" s="437"/>
      <c r="C439" s="436"/>
      <c r="D439" s="467">
        <v>45928</v>
      </c>
      <c r="E439" s="436" t="s">
        <v>599</v>
      </c>
      <c r="F439" s="436">
        <v>19960957.489999998</v>
      </c>
      <c r="G439" s="448">
        <v>46205.919999998063</v>
      </c>
      <c r="H439" s="436">
        <v>0</v>
      </c>
      <c r="I439" s="449">
        <v>0</v>
      </c>
    </row>
    <row r="440" spans="1:9" ht="15.75" customHeight="1" x14ac:dyDescent="0.2">
      <c r="A440" s="437"/>
      <c r="B440" s="437"/>
      <c r="C440" s="436"/>
      <c r="D440" s="467">
        <v>45929</v>
      </c>
      <c r="E440" s="436" t="s">
        <v>598</v>
      </c>
      <c r="F440" s="436">
        <v>20007163.41</v>
      </c>
      <c r="G440" s="448">
        <v>46205.920000001788</v>
      </c>
      <c r="H440" s="436">
        <v>0</v>
      </c>
      <c r="I440" s="449">
        <v>0</v>
      </c>
    </row>
    <row r="441" spans="1:9" ht="15.75" customHeight="1" x14ac:dyDescent="0.2">
      <c r="A441" s="437"/>
      <c r="B441" s="437"/>
      <c r="C441" s="436"/>
      <c r="D441" s="467">
        <v>45930</v>
      </c>
      <c r="E441" s="436" t="s">
        <v>597</v>
      </c>
      <c r="F441" s="436">
        <v>20053369.329999998</v>
      </c>
      <c r="G441" s="448">
        <v>46205.919999998063</v>
      </c>
      <c r="H441" s="436">
        <v>0</v>
      </c>
      <c r="I441" s="449">
        <v>0</v>
      </c>
    </row>
    <row r="442" spans="1:9" ht="15.75" customHeight="1" x14ac:dyDescent="0.2">
      <c r="A442" s="437"/>
      <c r="B442" s="437"/>
      <c r="C442" s="436"/>
      <c r="D442" s="467">
        <v>45931</v>
      </c>
      <c r="E442" s="436" t="s">
        <v>603</v>
      </c>
      <c r="F442" s="436">
        <v>20099575.25</v>
      </c>
      <c r="G442" s="448">
        <v>46205.920000001788</v>
      </c>
      <c r="H442" s="436">
        <v>323441.44000000134</v>
      </c>
      <c r="I442" s="449">
        <v>0</v>
      </c>
    </row>
    <row r="443" spans="1:9" ht="15.75" customHeight="1" x14ac:dyDescent="0.2">
      <c r="A443" s="437"/>
      <c r="B443" s="437"/>
      <c r="C443" s="436"/>
      <c r="D443" s="467">
        <v>45932</v>
      </c>
      <c r="E443" s="436" t="s">
        <v>602</v>
      </c>
      <c r="F443" s="436">
        <v>20145781.170000002</v>
      </c>
      <c r="G443" s="448">
        <v>46205.920000001788</v>
      </c>
      <c r="H443" s="436">
        <v>0</v>
      </c>
      <c r="I443" s="449">
        <v>0</v>
      </c>
    </row>
    <row r="444" spans="1:9" ht="15.75" customHeight="1" x14ac:dyDescent="0.2">
      <c r="A444" s="437"/>
      <c r="B444" s="437"/>
      <c r="C444" s="436"/>
      <c r="D444" s="467">
        <v>45933</v>
      </c>
      <c r="E444" s="436" t="s">
        <v>601</v>
      </c>
      <c r="F444" s="436">
        <v>20191987.09</v>
      </c>
      <c r="G444" s="448">
        <v>46205.919999998063</v>
      </c>
      <c r="H444" s="436">
        <v>0</v>
      </c>
      <c r="I444" s="449">
        <v>0</v>
      </c>
    </row>
    <row r="445" spans="1:9" ht="15.75" customHeight="1" x14ac:dyDescent="0.2">
      <c r="A445" s="437"/>
      <c r="B445" s="437"/>
      <c r="C445" s="436"/>
      <c r="D445" s="467">
        <v>45934</v>
      </c>
      <c r="E445" s="436" t="s">
        <v>600</v>
      </c>
      <c r="F445" s="436">
        <v>20238193.010000002</v>
      </c>
      <c r="G445" s="448">
        <v>46205.920000001788</v>
      </c>
      <c r="H445" s="436">
        <v>0</v>
      </c>
      <c r="I445" s="449">
        <v>0</v>
      </c>
    </row>
    <row r="446" spans="1:9" ht="15.75" customHeight="1" x14ac:dyDescent="0.2">
      <c r="A446" s="437"/>
      <c r="B446" s="437"/>
      <c r="C446" s="436"/>
      <c r="D446" s="467">
        <v>45935</v>
      </c>
      <c r="E446" s="436" t="s">
        <v>599</v>
      </c>
      <c r="F446" s="436">
        <v>20284398.93</v>
      </c>
      <c r="G446" s="448">
        <v>46205.919999998063</v>
      </c>
      <c r="H446" s="436">
        <v>0</v>
      </c>
      <c r="I446" s="449">
        <v>0</v>
      </c>
    </row>
    <row r="447" spans="1:9" ht="15.75" customHeight="1" x14ac:dyDescent="0.2">
      <c r="A447" s="437"/>
      <c r="B447" s="437"/>
      <c r="C447" s="436"/>
      <c r="D447" s="467">
        <v>45936</v>
      </c>
      <c r="E447" s="436" t="s">
        <v>598</v>
      </c>
      <c r="F447" s="436">
        <v>20330604.850000001</v>
      </c>
      <c r="G447" s="448">
        <v>46205.920000001788</v>
      </c>
      <c r="H447" s="436">
        <v>0</v>
      </c>
      <c r="I447" s="449">
        <v>0</v>
      </c>
    </row>
    <row r="448" spans="1:9" ht="15.75" customHeight="1" x14ac:dyDescent="0.2">
      <c r="A448" s="437"/>
      <c r="B448" s="437"/>
      <c r="C448" s="436"/>
      <c r="D448" s="467">
        <v>45937</v>
      </c>
      <c r="E448" s="436" t="s">
        <v>597</v>
      </c>
      <c r="F448" s="436">
        <v>20376810.77</v>
      </c>
      <c r="G448" s="448">
        <v>46205.919999998063</v>
      </c>
      <c r="H448" s="436">
        <v>0</v>
      </c>
      <c r="I448" s="449">
        <v>0</v>
      </c>
    </row>
    <row r="449" spans="1:9" ht="15.75" customHeight="1" x14ac:dyDescent="0.2">
      <c r="A449" s="437"/>
      <c r="B449" s="437"/>
      <c r="C449" s="436"/>
      <c r="D449" s="467">
        <v>45938</v>
      </c>
      <c r="E449" s="436" t="s">
        <v>603</v>
      </c>
      <c r="F449" s="436">
        <v>20423016.690000001</v>
      </c>
      <c r="G449" s="448">
        <v>46205.920000001788</v>
      </c>
      <c r="H449" s="436">
        <v>323441.44000000134</v>
      </c>
      <c r="I449" s="449">
        <v>646882.88000000268</v>
      </c>
    </row>
    <row r="450" spans="1:9" ht="15.75" customHeight="1" x14ac:dyDescent="0.2">
      <c r="A450" s="437"/>
      <c r="B450" s="437"/>
      <c r="C450" s="436"/>
      <c r="D450" s="467">
        <v>45939</v>
      </c>
      <c r="E450" s="436" t="s">
        <v>602</v>
      </c>
      <c r="F450" s="436">
        <v>20469222.609999999</v>
      </c>
      <c r="G450" s="448">
        <v>46205.919999998063</v>
      </c>
      <c r="H450" s="436">
        <v>0</v>
      </c>
      <c r="I450" s="449">
        <v>0</v>
      </c>
    </row>
    <row r="451" spans="1:9" ht="15.75" customHeight="1" x14ac:dyDescent="0.2">
      <c r="A451" s="437"/>
      <c r="B451" s="437"/>
      <c r="C451" s="436"/>
      <c r="D451" s="467">
        <v>45940</v>
      </c>
      <c r="E451" s="436" t="s">
        <v>601</v>
      </c>
      <c r="F451" s="436">
        <v>20515428.530000001</v>
      </c>
      <c r="G451" s="448">
        <v>46205.920000001788</v>
      </c>
      <c r="H451" s="436">
        <v>0</v>
      </c>
      <c r="I451" s="449">
        <v>0</v>
      </c>
    </row>
    <row r="452" spans="1:9" ht="15.75" customHeight="1" x14ac:dyDescent="0.2">
      <c r="A452" s="437"/>
      <c r="B452" s="437"/>
      <c r="C452" s="436"/>
      <c r="D452" s="467">
        <v>45941</v>
      </c>
      <c r="E452" s="436" t="s">
        <v>600</v>
      </c>
      <c r="F452" s="436">
        <v>20561634.449999999</v>
      </c>
      <c r="G452" s="448">
        <v>46205.919999998063</v>
      </c>
      <c r="H452" s="436">
        <v>0</v>
      </c>
      <c r="I452" s="449">
        <v>0</v>
      </c>
    </row>
    <row r="453" spans="1:9" ht="15.75" customHeight="1" x14ac:dyDescent="0.2">
      <c r="A453" s="437"/>
      <c r="B453" s="437"/>
      <c r="C453" s="436"/>
      <c r="D453" s="467">
        <v>45942</v>
      </c>
      <c r="E453" s="436" t="s">
        <v>599</v>
      </c>
      <c r="F453" s="436">
        <v>20607840.370000001</v>
      </c>
      <c r="G453" s="448">
        <v>46205.920000001788</v>
      </c>
      <c r="H453" s="436">
        <v>0</v>
      </c>
      <c r="I453" s="449">
        <v>0</v>
      </c>
    </row>
    <row r="454" spans="1:9" ht="15.75" customHeight="1" x14ac:dyDescent="0.2">
      <c r="A454" s="437"/>
      <c r="B454" s="437"/>
      <c r="C454" s="436"/>
      <c r="D454" s="467">
        <v>45943</v>
      </c>
      <c r="E454" s="436" t="s">
        <v>598</v>
      </c>
      <c r="F454" s="436">
        <v>20654046.289999999</v>
      </c>
      <c r="G454" s="448">
        <v>46205.919999998063</v>
      </c>
      <c r="H454" s="436">
        <v>0</v>
      </c>
      <c r="I454" s="449">
        <v>0</v>
      </c>
    </row>
    <row r="455" spans="1:9" ht="15.75" customHeight="1" x14ac:dyDescent="0.2">
      <c r="A455" s="437"/>
      <c r="B455" s="437"/>
      <c r="C455" s="436"/>
      <c r="D455" s="467">
        <v>45944</v>
      </c>
      <c r="E455" s="436" t="s">
        <v>597</v>
      </c>
      <c r="F455" s="436">
        <v>20700252.210000001</v>
      </c>
      <c r="G455" s="448">
        <v>46205.920000001788</v>
      </c>
      <c r="H455" s="436">
        <v>0</v>
      </c>
      <c r="I455" s="449">
        <v>0</v>
      </c>
    </row>
    <row r="456" spans="1:9" ht="15.75" customHeight="1" x14ac:dyDescent="0.2">
      <c r="A456" s="437"/>
      <c r="B456" s="437"/>
      <c r="C456" s="436"/>
      <c r="D456" s="467">
        <v>45945</v>
      </c>
      <c r="E456" s="436" t="s">
        <v>603</v>
      </c>
      <c r="F456" s="436">
        <v>20746458.129999999</v>
      </c>
      <c r="G456" s="448">
        <v>46205.919999998063</v>
      </c>
      <c r="H456" s="436">
        <v>323441.43999999762</v>
      </c>
      <c r="I456" s="449">
        <v>0</v>
      </c>
    </row>
    <row r="457" spans="1:9" ht="15.75" customHeight="1" x14ac:dyDescent="0.2">
      <c r="A457" s="437"/>
      <c r="B457" s="437"/>
      <c r="C457" s="436"/>
      <c r="D457" s="467">
        <v>45946</v>
      </c>
      <c r="E457" s="436" t="s">
        <v>602</v>
      </c>
      <c r="F457" s="436">
        <v>20792664.059999999</v>
      </c>
      <c r="G457" s="448">
        <v>46205.929999999702</v>
      </c>
      <c r="H457" s="436">
        <v>0</v>
      </c>
      <c r="I457" s="449">
        <v>0</v>
      </c>
    </row>
    <row r="458" spans="1:9" ht="15.75" customHeight="1" x14ac:dyDescent="0.2">
      <c r="A458" s="437"/>
      <c r="B458" s="437"/>
      <c r="C458" s="436"/>
      <c r="D458" s="467">
        <v>45947</v>
      </c>
      <c r="E458" s="436" t="s">
        <v>601</v>
      </c>
      <c r="F458" s="436">
        <v>20838869.98</v>
      </c>
      <c r="G458" s="448">
        <v>46205.920000001788</v>
      </c>
      <c r="H458" s="436">
        <v>0</v>
      </c>
      <c r="I458" s="449">
        <v>0</v>
      </c>
    </row>
    <row r="459" spans="1:9" ht="15.75" customHeight="1" x14ac:dyDescent="0.2">
      <c r="A459" s="437"/>
      <c r="B459" s="437"/>
      <c r="C459" s="436"/>
      <c r="D459" s="467">
        <v>45948</v>
      </c>
      <c r="E459" s="436" t="s">
        <v>600</v>
      </c>
      <c r="F459" s="436">
        <v>20885075.899999999</v>
      </c>
      <c r="G459" s="448">
        <v>46205.919999998063</v>
      </c>
      <c r="H459" s="436">
        <v>0</v>
      </c>
      <c r="I459" s="449">
        <v>0</v>
      </c>
    </row>
    <row r="460" spans="1:9" ht="15.75" customHeight="1" x14ac:dyDescent="0.2">
      <c r="A460" s="437"/>
      <c r="B460" s="437"/>
      <c r="C460" s="436"/>
      <c r="D460" s="467">
        <v>45949</v>
      </c>
      <c r="E460" s="436" t="s">
        <v>599</v>
      </c>
      <c r="F460" s="436">
        <v>20931281.82</v>
      </c>
      <c r="G460" s="448">
        <v>46205.920000001788</v>
      </c>
      <c r="H460" s="436">
        <v>0</v>
      </c>
      <c r="I460" s="449">
        <v>0</v>
      </c>
    </row>
    <row r="461" spans="1:9" ht="15.75" customHeight="1" x14ac:dyDescent="0.2">
      <c r="A461" s="437"/>
      <c r="B461" s="437"/>
      <c r="C461" s="436"/>
      <c r="D461" s="467">
        <v>45950</v>
      </c>
      <c r="E461" s="436" t="s">
        <v>598</v>
      </c>
      <c r="F461" s="436">
        <v>20977487.739999998</v>
      </c>
      <c r="G461" s="448">
        <v>46205.919999998063</v>
      </c>
      <c r="H461" s="436">
        <v>0</v>
      </c>
      <c r="I461" s="449">
        <v>0</v>
      </c>
    </row>
    <row r="462" spans="1:9" ht="15.75" customHeight="1" x14ac:dyDescent="0.2">
      <c r="A462" s="437"/>
      <c r="B462" s="437"/>
      <c r="C462" s="436"/>
      <c r="D462" s="467">
        <v>45951</v>
      </c>
      <c r="E462" s="436" t="s">
        <v>597</v>
      </c>
      <c r="F462" s="436">
        <v>21023693.66</v>
      </c>
      <c r="G462" s="448">
        <v>46205.920000001788</v>
      </c>
      <c r="H462" s="436">
        <v>0</v>
      </c>
      <c r="I462" s="449">
        <v>0</v>
      </c>
    </row>
    <row r="463" spans="1:9" ht="15.75" customHeight="1" x14ac:dyDescent="0.2">
      <c r="A463" s="437"/>
      <c r="B463" s="437"/>
      <c r="C463" s="436"/>
      <c r="D463" s="467">
        <v>45952</v>
      </c>
      <c r="E463" s="436" t="s">
        <v>603</v>
      </c>
      <c r="F463" s="436">
        <v>21069899.579999998</v>
      </c>
      <c r="G463" s="448">
        <v>46205.919999998063</v>
      </c>
      <c r="H463" s="436">
        <v>323441.44999999925</v>
      </c>
      <c r="I463" s="449">
        <v>646882.88999999687</v>
      </c>
    </row>
    <row r="464" spans="1:9" ht="15.75" customHeight="1" x14ac:dyDescent="0.2">
      <c r="A464" s="437"/>
      <c r="B464" s="437"/>
      <c r="C464" s="436"/>
      <c r="D464" s="467">
        <v>45953</v>
      </c>
      <c r="E464" s="436" t="s">
        <v>602</v>
      </c>
      <c r="F464" s="436">
        <v>21116105.5</v>
      </c>
      <c r="G464" s="448">
        <v>46205.920000001788</v>
      </c>
      <c r="H464" s="436">
        <v>0</v>
      </c>
      <c r="I464" s="449">
        <v>0</v>
      </c>
    </row>
    <row r="465" spans="1:9" ht="15.75" customHeight="1" x14ac:dyDescent="0.2">
      <c r="A465" s="437"/>
      <c r="B465" s="437"/>
      <c r="C465" s="436"/>
      <c r="D465" s="467">
        <v>45954</v>
      </c>
      <c r="E465" s="436" t="s">
        <v>601</v>
      </c>
      <c r="F465" s="436">
        <v>21162311.420000002</v>
      </c>
      <c r="G465" s="448">
        <v>46205.920000001788</v>
      </c>
      <c r="H465" s="436">
        <v>0</v>
      </c>
      <c r="I465" s="449">
        <v>0</v>
      </c>
    </row>
    <row r="466" spans="1:9" ht="15.75" customHeight="1" x14ac:dyDescent="0.2">
      <c r="A466" s="437"/>
      <c r="B466" s="437"/>
      <c r="C466" s="436"/>
      <c r="D466" s="467">
        <v>45955</v>
      </c>
      <c r="E466" s="436" t="s">
        <v>600</v>
      </c>
      <c r="F466" s="436">
        <v>21208517.34</v>
      </c>
      <c r="G466" s="448">
        <v>46205.919999998063</v>
      </c>
      <c r="H466" s="436">
        <v>0</v>
      </c>
      <c r="I466" s="449">
        <v>0</v>
      </c>
    </row>
    <row r="467" spans="1:9" ht="15.75" customHeight="1" x14ac:dyDescent="0.2">
      <c r="A467" s="437"/>
      <c r="B467" s="437"/>
      <c r="C467" s="436"/>
      <c r="D467" s="467">
        <v>45956</v>
      </c>
      <c r="E467" s="436" t="s">
        <v>599</v>
      </c>
      <c r="F467" s="436">
        <v>21254723.260000002</v>
      </c>
      <c r="G467" s="448">
        <v>46205.920000001788</v>
      </c>
      <c r="H467" s="436">
        <v>0</v>
      </c>
      <c r="I467" s="449">
        <v>0</v>
      </c>
    </row>
    <row r="468" spans="1:9" ht="15.75" customHeight="1" x14ac:dyDescent="0.2">
      <c r="A468" s="437"/>
      <c r="B468" s="437"/>
      <c r="C468" s="436"/>
      <c r="D468" s="467">
        <v>45957</v>
      </c>
      <c r="E468" s="436" t="s">
        <v>598</v>
      </c>
      <c r="F468" s="436">
        <v>21300929.18</v>
      </c>
      <c r="G468" s="448">
        <v>46205.919999998063</v>
      </c>
      <c r="H468" s="436">
        <v>0</v>
      </c>
      <c r="I468" s="449">
        <v>0</v>
      </c>
    </row>
    <row r="469" spans="1:9" ht="15.75" customHeight="1" x14ac:dyDescent="0.2">
      <c r="A469" s="437"/>
      <c r="B469" s="437"/>
      <c r="C469" s="436"/>
      <c r="D469" s="467">
        <v>45958</v>
      </c>
      <c r="E469" s="436" t="s">
        <v>597</v>
      </c>
      <c r="F469" s="436">
        <v>21347135.100000001</v>
      </c>
      <c r="G469" s="448">
        <v>46205.920000001788</v>
      </c>
      <c r="H469" s="436">
        <v>0</v>
      </c>
      <c r="I469" s="449">
        <v>0</v>
      </c>
    </row>
    <row r="470" spans="1:9" ht="15.75" customHeight="1" x14ac:dyDescent="0.2">
      <c r="A470" s="437"/>
      <c r="B470" s="437"/>
      <c r="C470" s="436"/>
      <c r="D470" s="467">
        <v>45959</v>
      </c>
      <c r="E470" s="436" t="s">
        <v>603</v>
      </c>
      <c r="F470" s="436">
        <v>21393341.02</v>
      </c>
      <c r="G470" s="448">
        <v>46205.919999998063</v>
      </c>
      <c r="H470" s="436">
        <v>323441.44000000134</v>
      </c>
      <c r="I470" s="449">
        <v>0</v>
      </c>
    </row>
    <row r="471" spans="1:9" ht="15.75" customHeight="1" x14ac:dyDescent="0.2">
      <c r="A471" s="437"/>
      <c r="B471" s="437"/>
      <c r="C471" s="436"/>
      <c r="D471" s="467">
        <v>45960</v>
      </c>
      <c r="E471" s="436" t="s">
        <v>602</v>
      </c>
      <c r="F471" s="436">
        <v>21439546.940000001</v>
      </c>
      <c r="G471" s="448">
        <v>46205.920000001788</v>
      </c>
      <c r="H471" s="436">
        <v>0</v>
      </c>
      <c r="I471" s="449">
        <v>0</v>
      </c>
    </row>
    <row r="472" spans="1:9" ht="15.75" customHeight="1" x14ac:dyDescent="0.2">
      <c r="A472" s="437"/>
      <c r="B472" s="437"/>
      <c r="C472" s="436"/>
      <c r="D472" s="467">
        <v>45961</v>
      </c>
      <c r="E472" s="436" t="s">
        <v>601</v>
      </c>
      <c r="F472" s="436">
        <v>21485752.859999999</v>
      </c>
      <c r="G472" s="448">
        <v>46205.919999998063</v>
      </c>
      <c r="H472" s="436">
        <v>0</v>
      </c>
      <c r="I472" s="449">
        <v>0</v>
      </c>
    </row>
    <row r="473" spans="1:9" ht="15.75" customHeight="1" x14ac:dyDescent="0.2">
      <c r="A473" s="437"/>
      <c r="B473" s="437"/>
      <c r="C473" s="436"/>
      <c r="D473" s="467">
        <v>45962</v>
      </c>
      <c r="E473" s="436" t="s">
        <v>600</v>
      </c>
      <c r="F473" s="436">
        <v>21531958.780000001</v>
      </c>
      <c r="G473" s="448">
        <v>46205.920000001788</v>
      </c>
      <c r="H473" s="436">
        <v>0</v>
      </c>
      <c r="I473" s="449">
        <v>0</v>
      </c>
    </row>
    <row r="474" spans="1:9" ht="15.75" customHeight="1" x14ac:dyDescent="0.2">
      <c r="A474" s="437"/>
      <c r="B474" s="437"/>
      <c r="C474" s="436"/>
      <c r="D474" s="467">
        <v>45963</v>
      </c>
      <c r="E474" s="436" t="s">
        <v>599</v>
      </c>
      <c r="F474" s="436">
        <v>21578164.699999999</v>
      </c>
      <c r="G474" s="448">
        <v>46205.919999998063</v>
      </c>
      <c r="H474" s="436">
        <v>0</v>
      </c>
      <c r="I474" s="449">
        <v>0</v>
      </c>
    </row>
    <row r="475" spans="1:9" ht="15.75" customHeight="1" x14ac:dyDescent="0.2">
      <c r="A475" s="437"/>
      <c r="B475" s="437"/>
      <c r="C475" s="436"/>
      <c r="D475" s="467">
        <v>45964</v>
      </c>
      <c r="E475" s="436" t="s">
        <v>598</v>
      </c>
      <c r="F475" s="436">
        <v>21624370.620000001</v>
      </c>
      <c r="G475" s="448">
        <v>46205.920000001788</v>
      </c>
      <c r="H475" s="436">
        <v>0</v>
      </c>
      <c r="I475" s="449">
        <v>0</v>
      </c>
    </row>
    <row r="476" spans="1:9" ht="15.75" customHeight="1" x14ac:dyDescent="0.2">
      <c r="A476" s="437"/>
      <c r="B476" s="437"/>
      <c r="C476" s="436"/>
      <c r="D476" s="467">
        <v>45965</v>
      </c>
      <c r="E476" s="436" t="s">
        <v>597</v>
      </c>
      <c r="F476" s="436">
        <v>21670576.539999999</v>
      </c>
      <c r="G476" s="448">
        <v>46205.919999998063</v>
      </c>
      <c r="H476" s="436">
        <v>0</v>
      </c>
      <c r="I476" s="449">
        <v>0</v>
      </c>
    </row>
    <row r="477" spans="1:9" ht="15.75" customHeight="1" x14ac:dyDescent="0.2">
      <c r="A477" s="437"/>
      <c r="B477" s="437"/>
      <c r="C477" s="436"/>
      <c r="D477" s="467">
        <v>45966</v>
      </c>
      <c r="E477" s="436" t="s">
        <v>603</v>
      </c>
      <c r="F477" s="436">
        <v>21716782.460000001</v>
      </c>
      <c r="G477" s="448">
        <v>46205.920000001788</v>
      </c>
      <c r="H477" s="436">
        <v>323441.44000000134</v>
      </c>
      <c r="I477" s="449">
        <v>646882.88000000268</v>
      </c>
    </row>
    <row r="478" spans="1:9" ht="15.75" customHeight="1" x14ac:dyDescent="0.2">
      <c r="A478" s="437"/>
      <c r="B478" s="437"/>
      <c r="C478" s="436"/>
      <c r="D478" s="467">
        <v>45967</v>
      </c>
      <c r="E478" s="436" t="s">
        <v>602</v>
      </c>
      <c r="F478" s="436">
        <v>21762988.379999999</v>
      </c>
      <c r="G478" s="448">
        <v>46205.919999998063</v>
      </c>
      <c r="H478" s="436">
        <v>0</v>
      </c>
      <c r="I478" s="449">
        <v>0</v>
      </c>
    </row>
    <row r="479" spans="1:9" ht="15.75" customHeight="1" x14ac:dyDescent="0.2">
      <c r="A479" s="437"/>
      <c r="B479" s="437"/>
      <c r="C479" s="436"/>
      <c r="D479" s="467">
        <v>45968</v>
      </c>
      <c r="E479" s="436" t="s">
        <v>601</v>
      </c>
      <c r="F479" s="436">
        <v>21809194.300000001</v>
      </c>
      <c r="G479" s="448">
        <v>46205.920000001788</v>
      </c>
      <c r="H479" s="436">
        <v>0</v>
      </c>
      <c r="I479" s="449">
        <v>0</v>
      </c>
    </row>
    <row r="480" spans="1:9" ht="15.75" customHeight="1" x14ac:dyDescent="0.2">
      <c r="A480" s="437"/>
      <c r="B480" s="437"/>
      <c r="C480" s="436"/>
      <c r="D480" s="467">
        <v>45969</v>
      </c>
      <c r="E480" s="436" t="s">
        <v>600</v>
      </c>
      <c r="F480" s="436">
        <v>21855400.219999999</v>
      </c>
      <c r="G480" s="448">
        <v>46205.919999998063</v>
      </c>
      <c r="H480" s="436">
        <v>0</v>
      </c>
      <c r="I480" s="449">
        <v>0</v>
      </c>
    </row>
    <row r="481" spans="1:9" ht="15.75" customHeight="1" x14ac:dyDescent="0.2">
      <c r="A481" s="437"/>
      <c r="B481" s="437"/>
      <c r="C481" s="436"/>
      <c r="D481" s="467">
        <v>45970</v>
      </c>
      <c r="E481" s="436" t="s">
        <v>599</v>
      </c>
      <c r="F481" s="436">
        <v>21901606.140000001</v>
      </c>
      <c r="G481" s="448">
        <v>46205.920000001788</v>
      </c>
      <c r="H481" s="436">
        <v>0</v>
      </c>
      <c r="I481" s="449">
        <v>0</v>
      </c>
    </row>
    <row r="482" spans="1:9" ht="15.75" customHeight="1" x14ac:dyDescent="0.2">
      <c r="A482" s="437"/>
      <c r="B482" s="437"/>
      <c r="C482" s="436"/>
      <c r="D482" s="467">
        <v>45971</v>
      </c>
      <c r="E482" s="436" t="s">
        <v>598</v>
      </c>
      <c r="F482" s="436">
        <v>21947812.059999999</v>
      </c>
      <c r="G482" s="448">
        <v>46205.919999998063</v>
      </c>
      <c r="H482" s="436">
        <v>0</v>
      </c>
      <c r="I482" s="449">
        <v>0</v>
      </c>
    </row>
    <row r="483" spans="1:9" ht="15.75" customHeight="1" x14ac:dyDescent="0.2">
      <c r="A483" s="437"/>
      <c r="B483" s="437"/>
      <c r="C483" s="436"/>
      <c r="D483" s="467">
        <v>45972</v>
      </c>
      <c r="E483" s="436" t="s">
        <v>597</v>
      </c>
      <c r="F483" s="436">
        <v>21994017.98</v>
      </c>
      <c r="G483" s="448">
        <v>46205.920000001788</v>
      </c>
      <c r="H483" s="436">
        <v>0</v>
      </c>
      <c r="I483" s="449">
        <v>0</v>
      </c>
    </row>
    <row r="484" spans="1:9" ht="15.75" customHeight="1" x14ac:dyDescent="0.2">
      <c r="A484" s="437"/>
      <c r="B484" s="437"/>
      <c r="C484" s="436"/>
      <c r="D484" s="467">
        <v>45973</v>
      </c>
      <c r="E484" s="436" t="s">
        <v>603</v>
      </c>
      <c r="F484" s="436">
        <v>22040223.899999999</v>
      </c>
      <c r="G484" s="448">
        <v>46205.919999998063</v>
      </c>
      <c r="H484" s="436">
        <v>323441.43999999762</v>
      </c>
      <c r="I484" s="449">
        <v>0</v>
      </c>
    </row>
    <row r="485" spans="1:9" ht="15.75" customHeight="1" x14ac:dyDescent="0.2">
      <c r="A485" s="437"/>
      <c r="B485" s="437"/>
      <c r="C485" s="436"/>
      <c r="D485" s="467">
        <v>45974</v>
      </c>
      <c r="E485" s="436" t="s">
        <v>602</v>
      </c>
      <c r="F485" s="436">
        <v>22086429.82</v>
      </c>
      <c r="G485" s="448">
        <v>46205.920000001788</v>
      </c>
      <c r="H485" s="436">
        <v>0</v>
      </c>
      <c r="I485" s="449">
        <v>0</v>
      </c>
    </row>
    <row r="486" spans="1:9" ht="15.75" customHeight="1" x14ac:dyDescent="0.2">
      <c r="A486" s="437"/>
      <c r="B486" s="437"/>
      <c r="C486" s="436"/>
      <c r="D486" s="467">
        <v>45975</v>
      </c>
      <c r="E486" s="436" t="s">
        <v>601</v>
      </c>
      <c r="F486" s="436">
        <v>22132635.739999998</v>
      </c>
      <c r="G486" s="448">
        <v>46205.919999998063</v>
      </c>
      <c r="H486" s="436">
        <v>0</v>
      </c>
      <c r="I486" s="449">
        <v>0</v>
      </c>
    </row>
    <row r="487" spans="1:9" ht="15.75" customHeight="1" x14ac:dyDescent="0.2">
      <c r="A487" s="437"/>
      <c r="B487" s="437"/>
      <c r="C487" s="436"/>
      <c r="D487" s="467">
        <v>45976</v>
      </c>
      <c r="E487" s="436" t="s">
        <v>600</v>
      </c>
      <c r="F487" s="436">
        <v>22178841.66</v>
      </c>
      <c r="G487" s="448">
        <v>46205.920000001788</v>
      </c>
      <c r="H487" s="436">
        <v>0</v>
      </c>
      <c r="I487" s="449">
        <v>0</v>
      </c>
    </row>
    <row r="488" spans="1:9" ht="15.75" customHeight="1" x14ac:dyDescent="0.2">
      <c r="A488" s="437"/>
      <c r="B488" s="437"/>
      <c r="C488" s="436"/>
      <c r="D488" s="467">
        <v>45977</v>
      </c>
      <c r="E488" s="436" t="s">
        <v>599</v>
      </c>
      <c r="F488" s="436">
        <v>22225047.579999998</v>
      </c>
      <c r="G488" s="448">
        <v>46205.919999998063</v>
      </c>
      <c r="H488" s="436">
        <v>0</v>
      </c>
      <c r="I488" s="449">
        <v>0</v>
      </c>
    </row>
    <row r="489" spans="1:9" ht="15.75" customHeight="1" x14ac:dyDescent="0.2">
      <c r="A489" s="437"/>
      <c r="B489" s="437"/>
      <c r="C489" s="436"/>
      <c r="D489" s="467">
        <v>45978</v>
      </c>
      <c r="E489" s="436" t="s">
        <v>598</v>
      </c>
      <c r="F489" s="436">
        <v>22271253.5</v>
      </c>
      <c r="G489" s="448">
        <v>46205.920000001788</v>
      </c>
      <c r="H489" s="436">
        <v>0</v>
      </c>
      <c r="I489" s="449">
        <v>0</v>
      </c>
    </row>
    <row r="490" spans="1:9" ht="15.75" customHeight="1" x14ac:dyDescent="0.2">
      <c r="A490" s="437"/>
      <c r="B490" s="437"/>
      <c r="C490" s="436"/>
      <c r="D490" s="467">
        <v>45979</v>
      </c>
      <c r="E490" s="436" t="s">
        <v>597</v>
      </c>
      <c r="F490" s="436">
        <v>22317459.420000002</v>
      </c>
      <c r="G490" s="448">
        <v>46205.920000001788</v>
      </c>
      <c r="H490" s="436">
        <v>0</v>
      </c>
      <c r="I490" s="449">
        <v>0</v>
      </c>
    </row>
    <row r="491" spans="1:9" ht="15.75" customHeight="1" x14ac:dyDescent="0.2">
      <c r="A491" s="437"/>
      <c r="B491" s="437"/>
      <c r="C491" s="436"/>
      <c r="D491" s="467">
        <v>45980</v>
      </c>
      <c r="E491" s="436" t="s">
        <v>603</v>
      </c>
      <c r="F491" s="436">
        <v>22363665.34</v>
      </c>
      <c r="G491" s="448">
        <v>46205.919999998063</v>
      </c>
      <c r="H491" s="436">
        <v>323441.44000000134</v>
      </c>
      <c r="I491" s="449">
        <v>646882.87999999896</v>
      </c>
    </row>
    <row r="492" spans="1:9" ht="15.75" customHeight="1" x14ac:dyDescent="0.2">
      <c r="A492" s="437"/>
      <c r="B492" s="437"/>
      <c r="C492" s="436"/>
      <c r="D492" s="467">
        <v>45981</v>
      </c>
      <c r="E492" s="436" t="s">
        <v>602</v>
      </c>
      <c r="F492" s="436">
        <v>22409871.260000002</v>
      </c>
      <c r="G492" s="448">
        <v>46205.920000001788</v>
      </c>
      <c r="H492" s="436">
        <v>0</v>
      </c>
      <c r="I492" s="449">
        <v>0</v>
      </c>
    </row>
    <row r="493" spans="1:9" ht="15.75" customHeight="1" x14ac:dyDescent="0.2">
      <c r="A493" s="437"/>
      <c r="B493" s="437"/>
      <c r="C493" s="436"/>
      <c r="D493" s="467">
        <v>45982</v>
      </c>
      <c r="E493" s="436" t="s">
        <v>601</v>
      </c>
      <c r="F493" s="436">
        <v>22456077.18</v>
      </c>
      <c r="G493" s="448">
        <v>46205.919999998063</v>
      </c>
      <c r="H493" s="436">
        <v>0</v>
      </c>
      <c r="I493" s="449">
        <v>0</v>
      </c>
    </row>
    <row r="494" spans="1:9" ht="15.75" customHeight="1" x14ac:dyDescent="0.2">
      <c r="A494" s="437"/>
      <c r="B494" s="437"/>
      <c r="C494" s="436"/>
      <c r="D494" s="467">
        <v>45983</v>
      </c>
      <c r="E494" s="436" t="s">
        <v>600</v>
      </c>
      <c r="F494" s="436">
        <v>22502283.100000001</v>
      </c>
      <c r="G494" s="448">
        <v>46205.920000001788</v>
      </c>
      <c r="H494" s="436">
        <v>0</v>
      </c>
      <c r="I494" s="449">
        <v>0</v>
      </c>
    </row>
    <row r="495" spans="1:9" ht="15.75" customHeight="1" x14ac:dyDescent="0.2">
      <c r="A495" s="437"/>
      <c r="B495" s="437"/>
      <c r="C495" s="436"/>
      <c r="D495" s="467">
        <v>45984</v>
      </c>
      <c r="E495" s="436" t="s">
        <v>599</v>
      </c>
      <c r="F495" s="436">
        <v>22548489.02</v>
      </c>
      <c r="G495" s="448">
        <v>46205.919999998063</v>
      </c>
      <c r="H495" s="436">
        <v>0</v>
      </c>
      <c r="I495" s="449">
        <v>0</v>
      </c>
    </row>
    <row r="496" spans="1:9" ht="15.75" customHeight="1" x14ac:dyDescent="0.2">
      <c r="A496" s="437"/>
      <c r="B496" s="437"/>
      <c r="C496" s="436"/>
      <c r="D496" s="467">
        <v>45985</v>
      </c>
      <c r="E496" s="436" t="s">
        <v>598</v>
      </c>
      <c r="F496" s="436">
        <v>22594694.940000001</v>
      </c>
      <c r="G496" s="448">
        <v>46205.920000001788</v>
      </c>
      <c r="H496" s="436">
        <v>0</v>
      </c>
      <c r="I496" s="449">
        <v>0</v>
      </c>
    </row>
    <row r="497" spans="1:9" ht="15.75" customHeight="1" x14ac:dyDescent="0.2">
      <c r="A497" s="437"/>
      <c r="B497" s="437"/>
      <c r="C497" s="436"/>
      <c r="D497" s="467">
        <v>45986</v>
      </c>
      <c r="E497" s="436" t="s">
        <v>597</v>
      </c>
      <c r="F497" s="436">
        <v>22640900.859999999</v>
      </c>
      <c r="G497" s="448">
        <v>46205.919999998063</v>
      </c>
      <c r="H497" s="436">
        <v>0</v>
      </c>
      <c r="I497" s="449">
        <v>0</v>
      </c>
    </row>
    <row r="498" spans="1:9" ht="15.75" customHeight="1" x14ac:dyDescent="0.2">
      <c r="A498" s="437"/>
      <c r="B498" s="437"/>
      <c r="C498" s="436"/>
      <c r="D498" s="467">
        <v>45987</v>
      </c>
      <c r="E498" s="436" t="s">
        <v>603</v>
      </c>
      <c r="F498" s="436">
        <v>22687106.780000001</v>
      </c>
      <c r="G498" s="448">
        <v>46205.920000001788</v>
      </c>
      <c r="H498" s="436">
        <v>323441.44000000134</v>
      </c>
      <c r="I498" s="449">
        <v>0</v>
      </c>
    </row>
    <row r="499" spans="1:9" ht="15.75" customHeight="1" x14ac:dyDescent="0.2">
      <c r="A499" s="437"/>
      <c r="B499" s="437"/>
      <c r="C499" s="436"/>
      <c r="D499" s="467">
        <v>45988</v>
      </c>
      <c r="E499" s="436" t="s">
        <v>602</v>
      </c>
      <c r="F499" s="436">
        <v>22733312.699999999</v>
      </c>
      <c r="G499" s="448">
        <v>46205.919999998063</v>
      </c>
      <c r="H499" s="436">
        <v>0</v>
      </c>
      <c r="I499" s="449">
        <v>0</v>
      </c>
    </row>
    <row r="500" spans="1:9" ht="15.75" customHeight="1" x14ac:dyDescent="0.2">
      <c r="A500" s="437"/>
      <c r="B500" s="437"/>
      <c r="C500" s="436"/>
      <c r="D500" s="467">
        <v>45989</v>
      </c>
      <c r="E500" s="436" t="s">
        <v>601</v>
      </c>
      <c r="F500" s="436">
        <v>22779518.620000001</v>
      </c>
      <c r="G500" s="448">
        <v>46205.920000001788</v>
      </c>
      <c r="H500" s="436">
        <v>0</v>
      </c>
      <c r="I500" s="449">
        <v>0</v>
      </c>
    </row>
    <row r="501" spans="1:9" ht="15.75" customHeight="1" x14ac:dyDescent="0.2">
      <c r="A501" s="437"/>
      <c r="B501" s="437"/>
      <c r="C501" s="436"/>
      <c r="D501" s="467">
        <v>45990</v>
      </c>
      <c r="E501" s="436" t="s">
        <v>600</v>
      </c>
      <c r="F501" s="436">
        <v>22825724.539999999</v>
      </c>
      <c r="G501" s="448">
        <v>46205.919999998063</v>
      </c>
      <c r="H501" s="436">
        <v>0</v>
      </c>
      <c r="I501" s="449">
        <v>0</v>
      </c>
    </row>
    <row r="502" spans="1:9" ht="15.75" customHeight="1" x14ac:dyDescent="0.2">
      <c r="A502" s="437"/>
      <c r="B502" s="437"/>
      <c r="C502" s="436"/>
      <c r="D502" s="467">
        <v>45991</v>
      </c>
      <c r="E502" s="436" t="s">
        <v>599</v>
      </c>
      <c r="F502" s="436">
        <v>22871930.460000001</v>
      </c>
      <c r="G502" s="448">
        <v>46205.920000001788</v>
      </c>
      <c r="H502" s="436">
        <v>0</v>
      </c>
      <c r="I502" s="449">
        <v>0</v>
      </c>
    </row>
    <row r="503" spans="1:9" ht="15.75" customHeight="1" x14ac:dyDescent="0.2">
      <c r="A503" s="437"/>
      <c r="B503" s="437"/>
      <c r="C503" s="436"/>
      <c r="D503" s="467">
        <v>45992</v>
      </c>
      <c r="E503" s="436" t="s">
        <v>598</v>
      </c>
      <c r="F503" s="436">
        <v>22918136.379999999</v>
      </c>
      <c r="G503" s="448">
        <v>46205.919999998063</v>
      </c>
      <c r="H503" s="436">
        <v>0</v>
      </c>
      <c r="I503" s="449">
        <v>0</v>
      </c>
    </row>
    <row r="504" spans="1:9" ht="15.75" customHeight="1" x14ac:dyDescent="0.2">
      <c r="A504" s="437"/>
      <c r="B504" s="437"/>
      <c r="C504" s="436"/>
      <c r="D504" s="467">
        <v>45993</v>
      </c>
      <c r="E504" s="436" t="s">
        <v>597</v>
      </c>
      <c r="F504" s="436">
        <v>22964342.300000001</v>
      </c>
      <c r="G504" s="448">
        <v>46205.920000001788</v>
      </c>
      <c r="H504" s="436">
        <v>0</v>
      </c>
      <c r="I504" s="449">
        <v>0</v>
      </c>
    </row>
    <row r="505" spans="1:9" ht="15.75" customHeight="1" x14ac:dyDescent="0.2">
      <c r="A505" s="437"/>
      <c r="B505" s="437"/>
      <c r="C505" s="436"/>
      <c r="D505" s="467">
        <v>45994</v>
      </c>
      <c r="E505" s="436" t="s">
        <v>603</v>
      </c>
      <c r="F505" s="436">
        <v>23010548.219999999</v>
      </c>
      <c r="G505" s="448">
        <v>46205.919999998063</v>
      </c>
      <c r="H505" s="436">
        <v>323441.43999999762</v>
      </c>
      <c r="I505" s="449">
        <v>646882.87999999896</v>
      </c>
    </row>
    <row r="506" spans="1:9" ht="15.75" customHeight="1" x14ac:dyDescent="0.2">
      <c r="A506" s="437"/>
      <c r="B506" s="437"/>
      <c r="C506" s="436"/>
      <c r="D506" s="467">
        <v>45995</v>
      </c>
      <c r="E506" s="436" t="s">
        <v>602</v>
      </c>
      <c r="F506" s="436">
        <v>23056754.140000001</v>
      </c>
      <c r="G506" s="448">
        <v>46205.920000001788</v>
      </c>
      <c r="H506" s="436">
        <v>0</v>
      </c>
      <c r="I506" s="449">
        <v>0</v>
      </c>
    </row>
    <row r="507" spans="1:9" ht="15.75" customHeight="1" x14ac:dyDescent="0.2">
      <c r="A507" s="437"/>
      <c r="B507" s="437"/>
      <c r="C507" s="436"/>
      <c r="D507" s="467">
        <v>45996</v>
      </c>
      <c r="E507" s="436" t="s">
        <v>601</v>
      </c>
      <c r="F507" s="436">
        <v>23102960.059999999</v>
      </c>
      <c r="G507" s="448">
        <v>46205.919999998063</v>
      </c>
      <c r="H507" s="436">
        <v>0</v>
      </c>
      <c r="I507" s="449">
        <v>0</v>
      </c>
    </row>
    <row r="508" spans="1:9" ht="15.75" customHeight="1" x14ac:dyDescent="0.2">
      <c r="A508" s="437"/>
      <c r="B508" s="437"/>
      <c r="C508" s="436"/>
      <c r="D508" s="467">
        <v>45997</v>
      </c>
      <c r="E508" s="436" t="s">
        <v>600</v>
      </c>
      <c r="F508" s="436">
        <v>23149165.98</v>
      </c>
      <c r="G508" s="448">
        <v>46205.920000001788</v>
      </c>
      <c r="H508" s="436">
        <v>0</v>
      </c>
      <c r="I508" s="449">
        <v>0</v>
      </c>
    </row>
    <row r="509" spans="1:9" ht="15.75" customHeight="1" x14ac:dyDescent="0.2">
      <c r="A509" s="437"/>
      <c r="B509" s="437"/>
      <c r="C509" s="436"/>
      <c r="D509" s="467">
        <v>45998</v>
      </c>
      <c r="E509" s="436" t="s">
        <v>599</v>
      </c>
      <c r="F509" s="436">
        <v>23195371.899999999</v>
      </c>
      <c r="G509" s="448">
        <v>46205.919999998063</v>
      </c>
      <c r="H509" s="436">
        <v>0</v>
      </c>
      <c r="I509" s="449">
        <v>0</v>
      </c>
    </row>
    <row r="510" spans="1:9" ht="15.75" customHeight="1" x14ac:dyDescent="0.2">
      <c r="A510" s="437"/>
      <c r="B510" s="437"/>
      <c r="C510" s="436"/>
      <c r="D510" s="467">
        <v>45999</v>
      </c>
      <c r="E510" s="436" t="s">
        <v>598</v>
      </c>
      <c r="F510" s="436">
        <v>23241577.82</v>
      </c>
      <c r="G510" s="448">
        <v>46205.920000001788</v>
      </c>
      <c r="H510" s="436">
        <v>0</v>
      </c>
      <c r="I510" s="449">
        <v>0</v>
      </c>
    </row>
    <row r="511" spans="1:9" ht="15.75" customHeight="1" x14ac:dyDescent="0.2">
      <c r="A511" s="437"/>
      <c r="B511" s="437"/>
      <c r="C511" s="436"/>
      <c r="D511" s="467">
        <v>46000</v>
      </c>
      <c r="E511" s="436" t="s">
        <v>597</v>
      </c>
      <c r="F511" s="436">
        <v>23287783.739999998</v>
      </c>
      <c r="G511" s="448">
        <v>46205.919999998063</v>
      </c>
      <c r="H511" s="436">
        <v>0</v>
      </c>
      <c r="I511" s="449">
        <v>0</v>
      </c>
    </row>
    <row r="512" spans="1:9" ht="15.75" customHeight="1" x14ac:dyDescent="0.2">
      <c r="A512" s="437"/>
      <c r="B512" s="437"/>
      <c r="C512" s="436"/>
      <c r="D512" s="467">
        <v>46001</v>
      </c>
      <c r="E512" s="436" t="s">
        <v>603</v>
      </c>
      <c r="F512" s="436">
        <v>23333989.66</v>
      </c>
      <c r="G512" s="448">
        <v>46205.920000001788</v>
      </c>
      <c r="H512" s="436">
        <v>323441.44000000134</v>
      </c>
      <c r="I512" s="449">
        <v>0</v>
      </c>
    </row>
    <row r="513" spans="1:9" ht="15.75" customHeight="1" x14ac:dyDescent="0.2">
      <c r="A513" s="437"/>
      <c r="B513" s="437"/>
      <c r="C513" s="436"/>
      <c r="D513" s="467">
        <v>46002</v>
      </c>
      <c r="E513" s="436" t="s">
        <v>602</v>
      </c>
      <c r="F513" s="436">
        <v>23380195.579999998</v>
      </c>
      <c r="G513" s="448">
        <v>46205.919999998063</v>
      </c>
      <c r="H513" s="436">
        <v>0</v>
      </c>
      <c r="I513" s="449">
        <v>0</v>
      </c>
    </row>
    <row r="514" spans="1:9" ht="15.75" customHeight="1" x14ac:dyDescent="0.2">
      <c r="A514" s="437"/>
      <c r="B514" s="437"/>
      <c r="C514" s="436"/>
      <c r="D514" s="467">
        <v>46003</v>
      </c>
      <c r="E514" s="436" t="s">
        <v>601</v>
      </c>
      <c r="F514" s="436">
        <v>23426401.5</v>
      </c>
      <c r="G514" s="448">
        <v>46205.920000001788</v>
      </c>
      <c r="H514" s="436">
        <v>0</v>
      </c>
      <c r="I514" s="449">
        <v>0</v>
      </c>
    </row>
    <row r="515" spans="1:9" ht="15.75" customHeight="1" x14ac:dyDescent="0.2">
      <c r="A515" s="437"/>
      <c r="B515" s="437"/>
      <c r="C515" s="436"/>
      <c r="D515" s="467">
        <v>46004</v>
      </c>
      <c r="E515" s="436" t="s">
        <v>600</v>
      </c>
      <c r="F515" s="436">
        <v>23472607.420000002</v>
      </c>
      <c r="G515" s="448">
        <v>46205.920000001788</v>
      </c>
      <c r="H515" s="436">
        <v>0</v>
      </c>
      <c r="I515" s="449">
        <v>0</v>
      </c>
    </row>
    <row r="516" spans="1:9" ht="15.75" customHeight="1" x14ac:dyDescent="0.2">
      <c r="A516" s="437"/>
      <c r="B516" s="437"/>
      <c r="C516" s="436"/>
      <c r="D516" s="467">
        <v>46005</v>
      </c>
      <c r="E516" s="436" t="s">
        <v>599</v>
      </c>
      <c r="F516" s="436">
        <v>23518813.34</v>
      </c>
      <c r="G516" s="448">
        <v>46205.919999998063</v>
      </c>
      <c r="H516" s="436">
        <v>0</v>
      </c>
      <c r="I516" s="449">
        <v>0</v>
      </c>
    </row>
    <row r="517" spans="1:9" ht="15.75" customHeight="1" x14ac:dyDescent="0.2">
      <c r="A517" s="437"/>
      <c r="B517" s="437"/>
      <c r="C517" s="436"/>
      <c r="D517" s="467">
        <v>46006</v>
      </c>
      <c r="E517" s="436" t="s">
        <v>598</v>
      </c>
      <c r="F517" s="436">
        <v>23565019.260000002</v>
      </c>
      <c r="G517" s="448">
        <v>46205.920000001788</v>
      </c>
      <c r="H517" s="436">
        <v>0</v>
      </c>
      <c r="I517" s="449">
        <v>0</v>
      </c>
    </row>
    <row r="518" spans="1:9" ht="15.75" customHeight="1" x14ac:dyDescent="0.2">
      <c r="A518" s="437"/>
      <c r="B518" s="437"/>
      <c r="C518" s="436"/>
      <c r="D518" s="467">
        <v>46007</v>
      </c>
      <c r="E518" s="436" t="s">
        <v>597</v>
      </c>
      <c r="F518" s="436">
        <v>23611225.18</v>
      </c>
      <c r="G518" s="448">
        <v>46205.919999998063</v>
      </c>
      <c r="H518" s="436">
        <v>0</v>
      </c>
      <c r="I518" s="449">
        <v>0</v>
      </c>
    </row>
    <row r="519" spans="1:9" ht="15.75" customHeight="1" x14ac:dyDescent="0.2">
      <c r="A519" s="437"/>
      <c r="B519" s="437"/>
      <c r="C519" s="436"/>
      <c r="D519" s="467">
        <v>46008</v>
      </c>
      <c r="E519" s="436" t="s">
        <v>603</v>
      </c>
      <c r="F519" s="436">
        <v>23657431.100000001</v>
      </c>
      <c r="G519" s="448">
        <v>46205.920000001788</v>
      </c>
      <c r="H519" s="436">
        <v>323441.44000000134</v>
      </c>
      <c r="I519" s="449">
        <v>646882.88000000268</v>
      </c>
    </row>
    <row r="520" spans="1:9" ht="15.75" customHeight="1" x14ac:dyDescent="0.2">
      <c r="A520" s="437"/>
      <c r="B520" s="437"/>
      <c r="C520" s="436"/>
      <c r="D520" s="467">
        <v>46009</v>
      </c>
      <c r="E520" s="436" t="s">
        <v>602</v>
      </c>
      <c r="F520" s="436">
        <v>23703637.02</v>
      </c>
      <c r="G520" s="448">
        <v>46205.919999998063</v>
      </c>
      <c r="H520" s="436">
        <v>0</v>
      </c>
      <c r="I520" s="449">
        <v>0</v>
      </c>
    </row>
    <row r="521" spans="1:9" ht="15.75" customHeight="1" x14ac:dyDescent="0.2">
      <c r="A521" s="437"/>
      <c r="B521" s="437"/>
      <c r="C521" s="436"/>
      <c r="D521" s="467">
        <v>46010</v>
      </c>
      <c r="E521" s="436" t="s">
        <v>601</v>
      </c>
      <c r="F521" s="436">
        <v>23749842.940000001</v>
      </c>
      <c r="G521" s="448">
        <v>46205.920000001788</v>
      </c>
      <c r="H521" s="436">
        <v>0</v>
      </c>
      <c r="I521" s="449">
        <v>0</v>
      </c>
    </row>
    <row r="522" spans="1:9" ht="15.75" customHeight="1" x14ac:dyDescent="0.2">
      <c r="A522" s="437"/>
      <c r="B522" s="437"/>
      <c r="C522" s="436"/>
      <c r="D522" s="467">
        <v>46011</v>
      </c>
      <c r="E522" s="436" t="s">
        <v>600</v>
      </c>
      <c r="F522" s="436">
        <v>23796048.859999999</v>
      </c>
      <c r="G522" s="448">
        <v>46205.919999998063</v>
      </c>
      <c r="H522" s="436">
        <v>0</v>
      </c>
      <c r="I522" s="449">
        <v>0</v>
      </c>
    </row>
    <row r="523" spans="1:9" ht="15.75" customHeight="1" x14ac:dyDescent="0.2">
      <c r="A523" s="437"/>
      <c r="B523" s="437"/>
      <c r="C523" s="436"/>
      <c r="D523" s="467">
        <v>46012</v>
      </c>
      <c r="E523" s="436" t="s">
        <v>599</v>
      </c>
      <c r="F523" s="436">
        <v>23842254.780000001</v>
      </c>
      <c r="G523" s="448">
        <v>46205.920000001788</v>
      </c>
      <c r="H523" s="436">
        <v>0</v>
      </c>
      <c r="I523" s="449">
        <v>0</v>
      </c>
    </row>
    <row r="524" spans="1:9" ht="15.75" customHeight="1" x14ac:dyDescent="0.2">
      <c r="A524" s="437"/>
      <c r="B524" s="437"/>
      <c r="C524" s="436"/>
      <c r="D524" s="467">
        <v>46013</v>
      </c>
      <c r="E524" s="436" t="s">
        <v>598</v>
      </c>
      <c r="F524" s="436">
        <v>23888460.699999999</v>
      </c>
      <c r="G524" s="448">
        <v>46205.919999998063</v>
      </c>
      <c r="H524" s="436">
        <v>0</v>
      </c>
      <c r="I524" s="449">
        <v>0</v>
      </c>
    </row>
    <row r="525" spans="1:9" ht="15.75" customHeight="1" x14ac:dyDescent="0.2">
      <c r="A525" s="437"/>
      <c r="B525" s="437"/>
      <c r="C525" s="436"/>
      <c r="D525" s="467">
        <v>46014</v>
      </c>
      <c r="E525" s="436" t="s">
        <v>597</v>
      </c>
      <c r="F525" s="436">
        <v>23934666.620000001</v>
      </c>
      <c r="G525" s="448">
        <v>46205.920000001788</v>
      </c>
      <c r="H525" s="436">
        <v>0</v>
      </c>
      <c r="I525" s="449">
        <v>0</v>
      </c>
    </row>
    <row r="526" spans="1:9" ht="15.75" customHeight="1" x14ac:dyDescent="0.2">
      <c r="A526" s="437"/>
      <c r="B526" s="437"/>
      <c r="C526" s="436"/>
      <c r="D526" s="467">
        <v>46015</v>
      </c>
      <c r="E526" s="436" t="s">
        <v>603</v>
      </c>
      <c r="F526" s="436">
        <v>23980872.539999999</v>
      </c>
      <c r="G526" s="448">
        <v>46205.919999998063</v>
      </c>
      <c r="H526" s="436">
        <v>323441.43999999762</v>
      </c>
      <c r="I526" s="449">
        <v>0</v>
      </c>
    </row>
    <row r="527" spans="1:9" ht="15.75" customHeight="1" x14ac:dyDescent="0.2">
      <c r="A527" s="437"/>
      <c r="B527" s="437"/>
      <c r="C527" s="436"/>
      <c r="D527" s="467">
        <v>46016</v>
      </c>
      <c r="E527" s="436" t="s">
        <v>602</v>
      </c>
      <c r="F527" s="436">
        <v>24027078.460000001</v>
      </c>
      <c r="G527" s="448">
        <v>46205.920000001788</v>
      </c>
      <c r="H527" s="436">
        <v>0</v>
      </c>
      <c r="I527" s="449">
        <v>0</v>
      </c>
    </row>
    <row r="528" spans="1:9" ht="15.75" customHeight="1" x14ac:dyDescent="0.2">
      <c r="A528" s="437"/>
      <c r="B528" s="437"/>
      <c r="C528" s="436"/>
      <c r="D528" s="467">
        <v>46017</v>
      </c>
      <c r="E528" s="436" t="s">
        <v>601</v>
      </c>
      <c r="F528" s="436">
        <v>24073284.379999999</v>
      </c>
      <c r="G528" s="448">
        <v>46205.919999998063</v>
      </c>
      <c r="H528" s="436">
        <v>0</v>
      </c>
      <c r="I528" s="449">
        <v>0</v>
      </c>
    </row>
    <row r="529" spans="1:9" ht="15.75" customHeight="1" x14ac:dyDescent="0.2">
      <c r="A529" s="437"/>
      <c r="B529" s="437"/>
      <c r="C529" s="436"/>
      <c r="D529" s="467">
        <v>46018</v>
      </c>
      <c r="E529" s="436" t="s">
        <v>600</v>
      </c>
      <c r="F529" s="436">
        <v>24119490.300000001</v>
      </c>
      <c r="G529" s="448">
        <v>46205.920000001788</v>
      </c>
      <c r="H529" s="436">
        <v>0</v>
      </c>
      <c r="I529" s="449">
        <v>0</v>
      </c>
    </row>
    <row r="530" spans="1:9" ht="15.75" customHeight="1" x14ac:dyDescent="0.2">
      <c r="A530" s="437"/>
      <c r="B530" s="437"/>
      <c r="C530" s="436"/>
      <c r="D530" s="467">
        <v>46019</v>
      </c>
      <c r="E530" s="436" t="s">
        <v>599</v>
      </c>
      <c r="F530" s="436">
        <v>24165696.219999999</v>
      </c>
      <c r="G530" s="448">
        <v>46205.919999998063</v>
      </c>
      <c r="H530" s="436">
        <v>0</v>
      </c>
      <c r="I530" s="449">
        <v>0</v>
      </c>
    </row>
    <row r="531" spans="1:9" ht="15.75" customHeight="1" x14ac:dyDescent="0.2">
      <c r="A531" s="437"/>
      <c r="B531" s="437"/>
      <c r="C531" s="436"/>
      <c r="D531" s="467">
        <v>46020</v>
      </c>
      <c r="E531" s="436" t="s">
        <v>598</v>
      </c>
      <c r="F531" s="436">
        <v>24211902.140000001</v>
      </c>
      <c r="G531" s="448">
        <v>46205.920000001788</v>
      </c>
      <c r="H531" s="436">
        <v>0</v>
      </c>
      <c r="I531" s="449">
        <v>0</v>
      </c>
    </row>
    <row r="532" spans="1:9" ht="15.75" customHeight="1" x14ac:dyDescent="0.2">
      <c r="A532" s="437"/>
      <c r="B532" s="437"/>
      <c r="C532" s="436"/>
      <c r="D532" s="467">
        <v>46021</v>
      </c>
      <c r="E532" s="436" t="s">
        <v>597</v>
      </c>
      <c r="F532" s="436">
        <v>24258108.07</v>
      </c>
      <c r="G532" s="448">
        <v>46205.929999999702</v>
      </c>
      <c r="H532" s="436">
        <v>0</v>
      </c>
      <c r="I532" s="449">
        <v>0</v>
      </c>
    </row>
    <row r="533" spans="1:9" ht="15.75" customHeight="1" x14ac:dyDescent="0.2">
      <c r="A533" s="437"/>
      <c r="B533" s="437"/>
      <c r="C533" s="436"/>
      <c r="D533" s="467">
        <v>46022</v>
      </c>
      <c r="E533" s="436" t="s">
        <v>603</v>
      </c>
      <c r="F533" s="436">
        <v>24304313.989999998</v>
      </c>
      <c r="G533" s="448">
        <v>46205.919999998063</v>
      </c>
      <c r="H533" s="436">
        <v>323441.44999999925</v>
      </c>
      <c r="I533" s="449">
        <v>646882.88999999687</v>
      </c>
    </row>
    <row r="534" spans="1:9" ht="15.75" customHeight="1" x14ac:dyDescent="0.2">
      <c r="A534" s="437"/>
      <c r="B534" s="437"/>
      <c r="C534" s="436"/>
      <c r="D534" s="467">
        <v>46023</v>
      </c>
      <c r="E534" s="436" t="s">
        <v>602</v>
      </c>
      <c r="F534" s="436">
        <v>24350519.91</v>
      </c>
      <c r="G534" s="448">
        <v>46205.920000001788</v>
      </c>
      <c r="H534" s="436">
        <v>0</v>
      </c>
      <c r="I534" s="449">
        <v>0</v>
      </c>
    </row>
    <row r="535" spans="1:9" ht="15.75" customHeight="1" x14ac:dyDescent="0.2">
      <c r="A535" s="437"/>
      <c r="B535" s="437"/>
      <c r="C535" s="436"/>
      <c r="D535" s="467">
        <v>46024</v>
      </c>
      <c r="E535" s="436" t="s">
        <v>601</v>
      </c>
      <c r="F535" s="436">
        <v>24396725.829999998</v>
      </c>
      <c r="G535" s="448">
        <v>46205.919999998063</v>
      </c>
      <c r="H535" s="436">
        <v>0</v>
      </c>
      <c r="I535" s="449">
        <v>0</v>
      </c>
    </row>
    <row r="536" spans="1:9" ht="15.75" customHeight="1" x14ac:dyDescent="0.2">
      <c r="A536" s="437"/>
      <c r="B536" s="437"/>
      <c r="C536" s="436"/>
      <c r="D536" s="467">
        <v>46025</v>
      </c>
      <c r="E536" s="436" t="s">
        <v>600</v>
      </c>
      <c r="F536" s="436">
        <v>24442931.75</v>
      </c>
      <c r="G536" s="448">
        <v>46205.920000001788</v>
      </c>
      <c r="H536" s="436">
        <v>0</v>
      </c>
      <c r="I536" s="449">
        <v>0</v>
      </c>
    </row>
    <row r="537" spans="1:9" ht="15.75" customHeight="1" x14ac:dyDescent="0.2">
      <c r="A537" s="437"/>
      <c r="B537" s="437"/>
      <c r="C537" s="436"/>
      <c r="D537" s="467">
        <v>46026</v>
      </c>
      <c r="E537" s="436" t="s">
        <v>599</v>
      </c>
      <c r="F537" s="436">
        <v>24489137.670000002</v>
      </c>
      <c r="G537" s="448">
        <v>46205.920000001788</v>
      </c>
      <c r="H537" s="436">
        <v>0</v>
      </c>
      <c r="I537" s="449">
        <v>0</v>
      </c>
    </row>
    <row r="538" spans="1:9" ht="15.75" customHeight="1" x14ac:dyDescent="0.2">
      <c r="A538" s="437"/>
      <c r="B538" s="437"/>
      <c r="C538" s="436"/>
      <c r="D538" s="467">
        <v>46027</v>
      </c>
      <c r="E538" s="436" t="s">
        <v>598</v>
      </c>
      <c r="F538" s="436">
        <v>24535343.59</v>
      </c>
      <c r="G538" s="448">
        <v>46205.919999998063</v>
      </c>
      <c r="H538" s="436">
        <v>0</v>
      </c>
      <c r="I538" s="449">
        <v>0</v>
      </c>
    </row>
    <row r="539" spans="1:9" ht="15.75" customHeight="1" x14ac:dyDescent="0.2">
      <c r="A539" s="437"/>
      <c r="B539" s="437"/>
      <c r="C539" s="436"/>
      <c r="D539" s="467">
        <v>46028</v>
      </c>
      <c r="E539" s="436" t="s">
        <v>597</v>
      </c>
      <c r="F539" s="436">
        <v>24581549.510000002</v>
      </c>
      <c r="G539" s="448">
        <v>46205.920000001788</v>
      </c>
      <c r="H539" s="436">
        <v>0</v>
      </c>
      <c r="I539" s="449">
        <v>0</v>
      </c>
    </row>
    <row r="540" spans="1:9" ht="15.75" customHeight="1" x14ac:dyDescent="0.2">
      <c r="A540" s="437"/>
      <c r="B540" s="437"/>
      <c r="C540" s="436"/>
      <c r="D540" s="467">
        <v>46029</v>
      </c>
      <c r="E540" s="436" t="s">
        <v>603</v>
      </c>
      <c r="F540" s="436">
        <v>24627755.43</v>
      </c>
      <c r="G540" s="448">
        <v>46205.919999998063</v>
      </c>
      <c r="H540" s="436">
        <v>323441.44000000134</v>
      </c>
      <c r="I540" s="449">
        <v>0</v>
      </c>
    </row>
    <row r="541" spans="1:9" ht="15.75" customHeight="1" x14ac:dyDescent="0.2">
      <c r="A541" s="437"/>
      <c r="B541" s="437"/>
      <c r="C541" s="436"/>
      <c r="D541" s="467">
        <v>46030</v>
      </c>
      <c r="E541" s="436" t="s">
        <v>602</v>
      </c>
      <c r="F541" s="436">
        <v>24673961.350000001</v>
      </c>
      <c r="G541" s="448">
        <v>46205.920000001788</v>
      </c>
      <c r="H541" s="436">
        <v>0</v>
      </c>
      <c r="I541" s="449">
        <v>0</v>
      </c>
    </row>
    <row r="542" spans="1:9" ht="15.75" customHeight="1" x14ac:dyDescent="0.2">
      <c r="A542" s="437"/>
      <c r="B542" s="437"/>
      <c r="C542" s="436"/>
      <c r="D542" s="467">
        <v>46031</v>
      </c>
      <c r="E542" s="436" t="s">
        <v>601</v>
      </c>
      <c r="F542" s="436">
        <v>24720167.27</v>
      </c>
      <c r="G542" s="448">
        <v>46205.919999998063</v>
      </c>
      <c r="H542" s="436">
        <v>0</v>
      </c>
      <c r="I542" s="449">
        <v>0</v>
      </c>
    </row>
    <row r="543" spans="1:9" ht="15.75" customHeight="1" x14ac:dyDescent="0.2">
      <c r="A543" s="437"/>
      <c r="B543" s="437"/>
      <c r="C543" s="436"/>
      <c r="D543" s="467">
        <v>46032</v>
      </c>
      <c r="E543" s="436" t="s">
        <v>600</v>
      </c>
      <c r="F543" s="436">
        <v>24766373.190000001</v>
      </c>
      <c r="G543" s="448">
        <v>46205.920000001788</v>
      </c>
      <c r="H543" s="436">
        <v>0</v>
      </c>
      <c r="I543" s="449">
        <v>0</v>
      </c>
    </row>
    <row r="544" spans="1:9" ht="15.75" customHeight="1" x14ac:dyDescent="0.2">
      <c r="A544" s="437"/>
      <c r="B544" s="437"/>
      <c r="C544" s="436"/>
      <c r="D544" s="467">
        <v>46033</v>
      </c>
      <c r="E544" s="436" t="s">
        <v>599</v>
      </c>
      <c r="F544" s="436">
        <v>24812579.109999999</v>
      </c>
      <c r="G544" s="448">
        <v>46205.919999998063</v>
      </c>
      <c r="H544" s="436">
        <v>0</v>
      </c>
      <c r="I544" s="449">
        <v>0</v>
      </c>
    </row>
    <row r="545" spans="1:9" ht="15.75" customHeight="1" x14ac:dyDescent="0.2">
      <c r="A545" s="437"/>
      <c r="B545" s="437"/>
      <c r="C545" s="436"/>
      <c r="D545" s="467">
        <v>46034</v>
      </c>
      <c r="E545" s="436" t="s">
        <v>598</v>
      </c>
      <c r="F545" s="436">
        <v>24858785.030000001</v>
      </c>
      <c r="G545" s="448">
        <v>46205.920000001788</v>
      </c>
      <c r="H545" s="436">
        <v>0</v>
      </c>
      <c r="I545" s="449">
        <v>0</v>
      </c>
    </row>
    <row r="546" spans="1:9" ht="15.75" customHeight="1" x14ac:dyDescent="0.2">
      <c r="A546" s="437"/>
      <c r="B546" s="437"/>
      <c r="C546" s="436"/>
      <c r="D546" s="467">
        <v>46035</v>
      </c>
      <c r="E546" s="436" t="s">
        <v>597</v>
      </c>
      <c r="F546" s="436">
        <v>24904990.949999999</v>
      </c>
      <c r="G546" s="448">
        <v>46205.919999998063</v>
      </c>
      <c r="H546" s="436">
        <v>0</v>
      </c>
      <c r="I546" s="449">
        <v>0</v>
      </c>
    </row>
    <row r="547" spans="1:9" ht="15.75" customHeight="1" x14ac:dyDescent="0.2">
      <c r="A547" s="437"/>
      <c r="B547" s="437"/>
      <c r="C547" s="436"/>
      <c r="D547" s="467">
        <v>46036</v>
      </c>
      <c r="E547" s="436" t="s">
        <v>603</v>
      </c>
      <c r="F547" s="436">
        <v>24951196.870000001</v>
      </c>
      <c r="G547" s="448">
        <v>46205.920000001788</v>
      </c>
      <c r="H547" s="436">
        <v>323441.44000000134</v>
      </c>
      <c r="I547" s="449">
        <v>646882.88000000268</v>
      </c>
    </row>
    <row r="548" spans="1:9" ht="15.75" customHeight="1" x14ac:dyDescent="0.2">
      <c r="A548" s="437"/>
      <c r="B548" s="437"/>
      <c r="C548" s="436"/>
      <c r="D548" s="467">
        <v>46037</v>
      </c>
      <c r="E548" s="436" t="s">
        <v>602</v>
      </c>
      <c r="F548" s="436">
        <v>24997402.789999999</v>
      </c>
      <c r="G548" s="448">
        <v>46205.919999998063</v>
      </c>
      <c r="H548" s="436">
        <v>0</v>
      </c>
      <c r="I548" s="449">
        <v>0</v>
      </c>
    </row>
    <row r="549" spans="1:9" ht="15.75" customHeight="1" x14ac:dyDescent="0.2">
      <c r="A549" s="437"/>
      <c r="B549" s="437"/>
      <c r="C549" s="436"/>
      <c r="D549" s="467">
        <v>46038</v>
      </c>
      <c r="E549" s="436" t="s">
        <v>601</v>
      </c>
      <c r="F549" s="436">
        <v>25043608.710000001</v>
      </c>
      <c r="G549" s="448">
        <v>46205.920000001788</v>
      </c>
      <c r="H549" s="436">
        <v>0</v>
      </c>
      <c r="I549" s="449">
        <v>0</v>
      </c>
    </row>
    <row r="550" spans="1:9" ht="15.75" customHeight="1" x14ac:dyDescent="0.2">
      <c r="A550" s="437"/>
      <c r="B550" s="437"/>
      <c r="C550" s="436"/>
      <c r="D550" s="467">
        <v>46039</v>
      </c>
      <c r="E550" s="436" t="s">
        <v>600</v>
      </c>
      <c r="F550" s="436">
        <v>25089814.629999999</v>
      </c>
      <c r="G550" s="448">
        <v>46205.919999998063</v>
      </c>
      <c r="H550" s="436">
        <v>0</v>
      </c>
      <c r="I550" s="449">
        <v>0</v>
      </c>
    </row>
    <row r="551" spans="1:9" ht="15.75" customHeight="1" x14ac:dyDescent="0.2">
      <c r="A551" s="437"/>
      <c r="B551" s="437"/>
      <c r="C551" s="436"/>
      <c r="D551" s="467">
        <v>46040</v>
      </c>
      <c r="E551" s="436" t="s">
        <v>599</v>
      </c>
      <c r="F551" s="436">
        <v>25136020.550000001</v>
      </c>
      <c r="G551" s="448">
        <v>46205.920000001788</v>
      </c>
      <c r="H551" s="436">
        <v>0</v>
      </c>
      <c r="I551" s="449">
        <v>0</v>
      </c>
    </row>
    <row r="552" spans="1:9" ht="15.75" customHeight="1" x14ac:dyDescent="0.2">
      <c r="A552" s="437"/>
      <c r="B552" s="437"/>
      <c r="C552" s="436"/>
      <c r="D552" s="467">
        <v>46041</v>
      </c>
      <c r="E552" s="436" t="s">
        <v>598</v>
      </c>
      <c r="F552" s="436">
        <v>25182226.469999999</v>
      </c>
      <c r="G552" s="448">
        <v>46205.919999998063</v>
      </c>
      <c r="H552" s="436">
        <v>0</v>
      </c>
      <c r="I552" s="449">
        <v>0</v>
      </c>
    </row>
    <row r="553" spans="1:9" ht="15.75" customHeight="1" x14ac:dyDescent="0.2">
      <c r="A553" s="437"/>
      <c r="B553" s="437"/>
      <c r="C553" s="436"/>
      <c r="D553" s="467">
        <v>46042</v>
      </c>
      <c r="E553" s="436" t="s">
        <v>597</v>
      </c>
      <c r="F553" s="436">
        <v>25228432.390000001</v>
      </c>
      <c r="G553" s="448">
        <v>46205.920000001788</v>
      </c>
      <c r="H553" s="436">
        <v>0</v>
      </c>
      <c r="I553" s="449">
        <v>0</v>
      </c>
    </row>
    <row r="554" spans="1:9" ht="15.75" customHeight="1" x14ac:dyDescent="0.2">
      <c r="A554" s="437"/>
      <c r="B554" s="437"/>
      <c r="C554" s="436"/>
      <c r="D554" s="467">
        <v>46043</v>
      </c>
      <c r="E554" s="436" t="s">
        <v>603</v>
      </c>
      <c r="F554" s="436">
        <v>25274638.309999999</v>
      </c>
      <c r="G554" s="448">
        <v>46205.919999998063</v>
      </c>
      <c r="H554" s="436">
        <v>323441.43999999762</v>
      </c>
      <c r="I554" s="449">
        <v>0</v>
      </c>
    </row>
    <row r="555" spans="1:9" ht="15.75" customHeight="1" x14ac:dyDescent="0.2">
      <c r="A555" s="437"/>
      <c r="B555" s="437"/>
      <c r="C555" s="436"/>
      <c r="D555" s="467">
        <v>46044</v>
      </c>
      <c r="E555" s="436" t="s">
        <v>602</v>
      </c>
      <c r="F555" s="436">
        <v>25320844.23</v>
      </c>
      <c r="G555" s="448">
        <v>46205.920000001788</v>
      </c>
      <c r="H555" s="436">
        <v>0</v>
      </c>
      <c r="I555" s="449">
        <v>0</v>
      </c>
    </row>
    <row r="556" spans="1:9" ht="15.75" customHeight="1" x14ac:dyDescent="0.2">
      <c r="A556" s="437"/>
      <c r="B556" s="437"/>
      <c r="C556" s="436"/>
      <c r="D556" s="467">
        <v>46045</v>
      </c>
      <c r="E556" s="436" t="s">
        <v>601</v>
      </c>
      <c r="F556" s="436">
        <v>25367050.149999999</v>
      </c>
      <c r="G556" s="448">
        <v>46205.919999998063</v>
      </c>
      <c r="H556" s="436">
        <v>0</v>
      </c>
      <c r="I556" s="449">
        <v>0</v>
      </c>
    </row>
    <row r="557" spans="1:9" ht="15.75" customHeight="1" x14ac:dyDescent="0.2">
      <c r="A557" s="437"/>
      <c r="B557" s="437"/>
      <c r="C557" s="436"/>
      <c r="D557" s="467">
        <v>46046</v>
      </c>
      <c r="E557" s="436" t="s">
        <v>600</v>
      </c>
      <c r="F557" s="436">
        <v>25413256.07</v>
      </c>
      <c r="G557" s="448">
        <v>46205.920000001788</v>
      </c>
      <c r="H557" s="436">
        <v>0</v>
      </c>
      <c r="I557" s="449">
        <v>0</v>
      </c>
    </row>
    <row r="558" spans="1:9" ht="15.75" customHeight="1" x14ac:dyDescent="0.2">
      <c r="A558" s="437"/>
      <c r="B558" s="437"/>
      <c r="C558" s="436"/>
      <c r="D558" s="467">
        <v>46047</v>
      </c>
      <c r="E558" s="436" t="s">
        <v>599</v>
      </c>
      <c r="F558" s="436">
        <v>25459461.989999998</v>
      </c>
      <c r="G558" s="448">
        <v>46205.919999998063</v>
      </c>
      <c r="H558" s="436">
        <v>0</v>
      </c>
      <c r="I558" s="449">
        <v>0</v>
      </c>
    </row>
    <row r="559" spans="1:9" ht="15.75" customHeight="1" x14ac:dyDescent="0.2">
      <c r="A559" s="437"/>
      <c r="B559" s="437"/>
      <c r="C559" s="436"/>
      <c r="D559" s="467">
        <v>46048</v>
      </c>
      <c r="E559" s="436" t="s">
        <v>598</v>
      </c>
      <c r="F559" s="436">
        <v>25505667.91</v>
      </c>
      <c r="G559" s="448">
        <v>46205.920000001788</v>
      </c>
      <c r="H559" s="436">
        <v>0</v>
      </c>
      <c r="I559" s="449">
        <v>0</v>
      </c>
    </row>
    <row r="560" spans="1:9" ht="15.75" customHeight="1" x14ac:dyDescent="0.2">
      <c r="A560" s="437"/>
      <c r="B560" s="437"/>
      <c r="C560" s="436"/>
      <c r="D560" s="467">
        <v>46049</v>
      </c>
      <c r="E560" s="436" t="s">
        <v>597</v>
      </c>
      <c r="F560" s="436">
        <v>25551873.829999998</v>
      </c>
      <c r="G560" s="448">
        <v>46205.919999998063</v>
      </c>
      <c r="H560" s="436">
        <v>0</v>
      </c>
      <c r="I560" s="449">
        <v>0</v>
      </c>
    </row>
    <row r="561" spans="1:9" ht="15.75" customHeight="1" x14ac:dyDescent="0.2">
      <c r="A561" s="437"/>
      <c r="B561" s="437"/>
      <c r="C561" s="436"/>
      <c r="D561" s="467">
        <v>46050</v>
      </c>
      <c r="E561" s="436" t="s">
        <v>603</v>
      </c>
      <c r="F561" s="436">
        <v>25598079.75</v>
      </c>
      <c r="G561" s="448">
        <v>46205.920000001788</v>
      </c>
      <c r="H561" s="436">
        <v>323441.44000000134</v>
      </c>
      <c r="I561" s="449">
        <v>646882.87999999896</v>
      </c>
    </row>
    <row r="562" spans="1:9" ht="15.75" customHeight="1" x14ac:dyDescent="0.2">
      <c r="A562" s="437"/>
      <c r="B562" s="437"/>
      <c r="C562" s="436"/>
      <c r="D562" s="467">
        <v>46051</v>
      </c>
      <c r="E562" s="436" t="s">
        <v>602</v>
      </c>
      <c r="F562" s="436">
        <v>25644285.670000002</v>
      </c>
      <c r="G562" s="448">
        <v>46205.920000001788</v>
      </c>
      <c r="H562" s="436">
        <v>0</v>
      </c>
      <c r="I562" s="449">
        <v>0</v>
      </c>
    </row>
    <row r="563" spans="1:9" ht="15.75" customHeight="1" x14ac:dyDescent="0.2">
      <c r="A563" s="437"/>
      <c r="B563" s="437"/>
      <c r="C563" s="436"/>
      <c r="D563" s="467">
        <v>46052</v>
      </c>
      <c r="E563" s="436" t="s">
        <v>601</v>
      </c>
      <c r="F563" s="436">
        <v>25690491.59</v>
      </c>
      <c r="G563" s="448">
        <v>46205.919999998063</v>
      </c>
      <c r="H563" s="436">
        <v>0</v>
      </c>
      <c r="I563" s="449">
        <v>0</v>
      </c>
    </row>
    <row r="564" spans="1:9" ht="15.75" customHeight="1" x14ac:dyDescent="0.2">
      <c r="A564" s="437"/>
      <c r="B564" s="437"/>
      <c r="C564" s="436"/>
      <c r="D564" s="467">
        <v>46053</v>
      </c>
      <c r="E564" s="436" t="s">
        <v>600</v>
      </c>
      <c r="F564" s="436">
        <v>25736697.510000002</v>
      </c>
      <c r="G564" s="448">
        <v>46205.920000001788</v>
      </c>
      <c r="H564" s="436">
        <v>0</v>
      </c>
      <c r="I564" s="449">
        <v>0</v>
      </c>
    </row>
    <row r="565" spans="1:9" ht="15.75" customHeight="1" x14ac:dyDescent="0.2">
      <c r="A565" s="437"/>
      <c r="B565" s="437"/>
      <c r="C565" s="436"/>
      <c r="D565" s="467">
        <v>46054</v>
      </c>
      <c r="E565" s="436" t="s">
        <v>599</v>
      </c>
      <c r="F565" s="436">
        <v>25782903.43</v>
      </c>
      <c r="G565" s="448">
        <v>46205.919999998063</v>
      </c>
      <c r="H565" s="436">
        <v>0</v>
      </c>
      <c r="I565" s="449">
        <v>0</v>
      </c>
    </row>
    <row r="566" spans="1:9" ht="15.75" customHeight="1" x14ac:dyDescent="0.2">
      <c r="A566" s="437"/>
      <c r="B566" s="437"/>
      <c r="C566" s="436"/>
      <c r="D566" s="467">
        <v>46055</v>
      </c>
      <c r="E566" s="436" t="s">
        <v>598</v>
      </c>
      <c r="F566" s="436">
        <v>25829109.350000001</v>
      </c>
      <c r="G566" s="448">
        <v>46205.920000001788</v>
      </c>
      <c r="H566" s="436">
        <v>0</v>
      </c>
      <c r="I566" s="449">
        <v>0</v>
      </c>
    </row>
    <row r="567" spans="1:9" ht="15.75" customHeight="1" x14ac:dyDescent="0.2">
      <c r="A567" s="437"/>
      <c r="B567" s="437"/>
      <c r="C567" s="436"/>
      <c r="D567" s="467">
        <v>46056</v>
      </c>
      <c r="E567" s="436" t="s">
        <v>597</v>
      </c>
      <c r="F567" s="436">
        <v>25875315.27</v>
      </c>
      <c r="G567" s="448">
        <v>46205.919999998063</v>
      </c>
      <c r="H567" s="436">
        <v>0</v>
      </c>
      <c r="I567" s="449">
        <v>0</v>
      </c>
    </row>
    <row r="568" spans="1:9" ht="15.75" customHeight="1" x14ac:dyDescent="0.2">
      <c r="A568" s="437"/>
      <c r="B568" s="437"/>
      <c r="C568" s="436"/>
      <c r="D568" s="467">
        <v>46057</v>
      </c>
      <c r="E568" s="436" t="s">
        <v>603</v>
      </c>
      <c r="F568" s="436">
        <v>25921521.190000001</v>
      </c>
      <c r="G568" s="448">
        <v>46205.920000001788</v>
      </c>
      <c r="H568" s="436">
        <v>323441.44000000134</v>
      </c>
      <c r="I568" s="449">
        <v>0</v>
      </c>
    </row>
    <row r="569" spans="1:9" ht="15.75" customHeight="1" x14ac:dyDescent="0.2">
      <c r="A569" s="437"/>
      <c r="B569" s="437"/>
      <c r="C569" s="436"/>
      <c r="D569" s="467">
        <v>46058</v>
      </c>
      <c r="E569" s="436" t="s">
        <v>602</v>
      </c>
      <c r="F569" s="436">
        <v>25967727.109999999</v>
      </c>
      <c r="G569" s="448">
        <v>46205.919999998063</v>
      </c>
      <c r="H569" s="436">
        <v>0</v>
      </c>
      <c r="I569" s="449">
        <v>0</v>
      </c>
    </row>
    <row r="570" spans="1:9" ht="15.75" customHeight="1" x14ac:dyDescent="0.2">
      <c r="A570" s="437"/>
      <c r="B570" s="437"/>
      <c r="C570" s="436"/>
      <c r="D570" s="467">
        <v>46059</v>
      </c>
      <c r="E570" s="436" t="s">
        <v>601</v>
      </c>
      <c r="F570" s="436">
        <v>26013933.030000001</v>
      </c>
      <c r="G570" s="448">
        <v>46205.920000001788</v>
      </c>
      <c r="H570" s="436">
        <v>0</v>
      </c>
      <c r="I570" s="449">
        <v>0</v>
      </c>
    </row>
    <row r="571" spans="1:9" ht="15.75" customHeight="1" x14ac:dyDescent="0.2">
      <c r="A571" s="437"/>
      <c r="B571" s="437"/>
      <c r="C571" s="436"/>
      <c r="D571" s="467">
        <v>46060</v>
      </c>
      <c r="E571" s="436" t="s">
        <v>600</v>
      </c>
      <c r="F571" s="436">
        <v>26060138.949999999</v>
      </c>
      <c r="G571" s="448">
        <v>46205.919999998063</v>
      </c>
      <c r="H571" s="436">
        <v>0</v>
      </c>
      <c r="I571" s="449">
        <v>0</v>
      </c>
    </row>
    <row r="572" spans="1:9" ht="15.75" customHeight="1" x14ac:dyDescent="0.2">
      <c r="A572" s="437"/>
      <c r="B572" s="437"/>
      <c r="C572" s="436"/>
      <c r="D572" s="467">
        <v>46061</v>
      </c>
      <c r="E572" s="436" t="s">
        <v>599</v>
      </c>
      <c r="F572" s="436">
        <v>26106344.870000001</v>
      </c>
      <c r="G572" s="448">
        <v>46205.920000001788</v>
      </c>
      <c r="H572" s="436">
        <v>0</v>
      </c>
      <c r="I572" s="449">
        <v>0</v>
      </c>
    </row>
    <row r="573" spans="1:9" ht="15.75" customHeight="1" x14ac:dyDescent="0.2">
      <c r="A573" s="437"/>
      <c r="B573" s="437"/>
      <c r="C573" s="436"/>
      <c r="D573" s="467">
        <v>46062</v>
      </c>
      <c r="E573" s="436" t="s">
        <v>598</v>
      </c>
      <c r="F573" s="436">
        <v>26152550.789999999</v>
      </c>
      <c r="G573" s="448">
        <v>46205.919999998063</v>
      </c>
      <c r="H573" s="436">
        <v>0</v>
      </c>
      <c r="I573" s="449">
        <v>0</v>
      </c>
    </row>
    <row r="574" spans="1:9" ht="15.75" customHeight="1" x14ac:dyDescent="0.2">
      <c r="A574" s="437"/>
      <c r="B574" s="437"/>
      <c r="C574" s="436"/>
      <c r="D574" s="467">
        <v>46063</v>
      </c>
      <c r="E574" s="436" t="s">
        <v>597</v>
      </c>
      <c r="F574" s="436">
        <v>26198756.710000001</v>
      </c>
      <c r="G574" s="448">
        <v>46205.920000001788</v>
      </c>
      <c r="H574" s="436">
        <v>0</v>
      </c>
      <c r="I574" s="449">
        <v>0</v>
      </c>
    </row>
    <row r="575" spans="1:9" ht="15.75" customHeight="1" x14ac:dyDescent="0.2">
      <c r="A575" s="437"/>
      <c r="B575" s="437"/>
      <c r="C575" s="436"/>
      <c r="D575" s="467">
        <v>46064</v>
      </c>
      <c r="E575" s="436" t="s">
        <v>603</v>
      </c>
      <c r="F575" s="436">
        <v>26244962.629999999</v>
      </c>
      <c r="G575" s="448">
        <v>46205.919999998063</v>
      </c>
      <c r="H575" s="436">
        <v>323441.43999999762</v>
      </c>
      <c r="I575" s="449">
        <v>646882.87999999896</v>
      </c>
    </row>
    <row r="576" spans="1:9" ht="15.75" customHeight="1" x14ac:dyDescent="0.2">
      <c r="A576" s="437"/>
      <c r="B576" s="437"/>
      <c r="C576" s="436"/>
      <c r="D576" s="467">
        <v>46065</v>
      </c>
      <c r="E576" s="436" t="s">
        <v>602</v>
      </c>
      <c r="F576" s="436">
        <v>26291168.550000001</v>
      </c>
      <c r="G576" s="448">
        <v>46205.920000001788</v>
      </c>
      <c r="H576" s="436">
        <v>0</v>
      </c>
      <c r="I576" s="449">
        <v>0</v>
      </c>
    </row>
    <row r="577" spans="1:9" ht="15.75" customHeight="1" x14ac:dyDescent="0.2">
      <c r="A577" s="437"/>
      <c r="B577" s="437"/>
      <c r="C577" s="436"/>
      <c r="D577" s="467">
        <v>46066</v>
      </c>
      <c r="E577" s="436" t="s">
        <v>601</v>
      </c>
      <c r="F577" s="436">
        <v>26337374.469999999</v>
      </c>
      <c r="G577" s="448">
        <v>46205.919999998063</v>
      </c>
      <c r="H577" s="436">
        <v>0</v>
      </c>
      <c r="I577" s="449">
        <v>0</v>
      </c>
    </row>
    <row r="578" spans="1:9" ht="15.75" customHeight="1" x14ac:dyDescent="0.2">
      <c r="A578" s="437"/>
      <c r="B578" s="437"/>
      <c r="C578" s="436"/>
      <c r="D578" s="467">
        <v>46067</v>
      </c>
      <c r="E578" s="436" t="s">
        <v>600</v>
      </c>
      <c r="F578" s="436">
        <v>26383580.390000001</v>
      </c>
      <c r="G578" s="448">
        <v>46205.920000001788</v>
      </c>
      <c r="H578" s="436">
        <v>0</v>
      </c>
      <c r="I578" s="449">
        <v>0</v>
      </c>
    </row>
    <row r="579" spans="1:9" ht="15.75" customHeight="1" x14ac:dyDescent="0.2">
      <c r="A579" s="437"/>
      <c r="B579" s="437"/>
      <c r="C579" s="436"/>
      <c r="D579" s="467">
        <v>46068</v>
      </c>
      <c r="E579" s="436" t="s">
        <v>599</v>
      </c>
      <c r="F579" s="436">
        <v>26429786.309999999</v>
      </c>
      <c r="G579" s="448">
        <v>46205.919999998063</v>
      </c>
      <c r="H579" s="436">
        <v>0</v>
      </c>
      <c r="I579" s="449">
        <v>0</v>
      </c>
    </row>
    <row r="580" spans="1:9" ht="15.75" customHeight="1" x14ac:dyDescent="0.2">
      <c r="A580" s="437"/>
      <c r="B580" s="437"/>
      <c r="C580" s="436"/>
      <c r="D580" s="467">
        <v>46069</v>
      </c>
      <c r="E580" s="436" t="s">
        <v>598</v>
      </c>
      <c r="F580" s="436">
        <v>26475992.23</v>
      </c>
      <c r="G580" s="448">
        <v>46205.920000001788</v>
      </c>
      <c r="H580" s="436">
        <v>0</v>
      </c>
      <c r="I580" s="449">
        <v>0</v>
      </c>
    </row>
    <row r="581" spans="1:9" ht="15.75" customHeight="1" x14ac:dyDescent="0.2">
      <c r="A581" s="437"/>
      <c r="B581" s="437"/>
      <c r="C581" s="436"/>
      <c r="D581" s="467">
        <v>46070</v>
      </c>
      <c r="E581" s="436" t="s">
        <v>597</v>
      </c>
      <c r="F581" s="436">
        <v>26522198.149999999</v>
      </c>
      <c r="G581" s="448">
        <v>46205.919999998063</v>
      </c>
      <c r="H581" s="436">
        <v>0</v>
      </c>
      <c r="I581" s="449">
        <v>0</v>
      </c>
    </row>
    <row r="582" spans="1:9" ht="15.75" customHeight="1" x14ac:dyDescent="0.2">
      <c r="A582" s="437"/>
      <c r="B582" s="437"/>
      <c r="C582" s="436"/>
      <c r="D582" s="467">
        <v>46071</v>
      </c>
      <c r="E582" s="436" t="s">
        <v>603</v>
      </c>
      <c r="F582" s="436">
        <v>26568404.07</v>
      </c>
      <c r="G582" s="448">
        <v>46205.920000001788</v>
      </c>
      <c r="H582" s="436">
        <v>323441.44000000134</v>
      </c>
      <c r="I582" s="449">
        <v>0</v>
      </c>
    </row>
    <row r="583" spans="1:9" ht="15.75" customHeight="1" x14ac:dyDescent="0.2">
      <c r="A583" s="437"/>
      <c r="B583" s="437"/>
      <c r="C583" s="436"/>
      <c r="D583" s="467">
        <v>46072</v>
      </c>
      <c r="E583" s="436" t="s">
        <v>602</v>
      </c>
      <c r="F583" s="436">
        <v>26614609.989999998</v>
      </c>
      <c r="G583" s="448">
        <v>46205.919999998063</v>
      </c>
      <c r="H583" s="436">
        <v>0</v>
      </c>
      <c r="I583" s="449">
        <v>0</v>
      </c>
    </row>
    <row r="584" spans="1:9" ht="15.75" customHeight="1" x14ac:dyDescent="0.2">
      <c r="A584" s="437"/>
      <c r="B584" s="437"/>
      <c r="C584" s="436"/>
      <c r="D584" s="467">
        <v>46073</v>
      </c>
      <c r="E584" s="436" t="s">
        <v>601</v>
      </c>
      <c r="F584" s="436">
        <v>26660815.91</v>
      </c>
      <c r="G584" s="448">
        <v>46205.920000001788</v>
      </c>
      <c r="H584" s="436">
        <v>0</v>
      </c>
      <c r="I584" s="449">
        <v>0</v>
      </c>
    </row>
    <row r="585" spans="1:9" ht="15.75" customHeight="1" x14ac:dyDescent="0.2">
      <c r="A585" s="437"/>
      <c r="B585" s="437"/>
      <c r="C585" s="436"/>
      <c r="D585" s="467">
        <v>46074</v>
      </c>
      <c r="E585" s="436" t="s">
        <v>600</v>
      </c>
      <c r="F585" s="436">
        <v>26707021.829999998</v>
      </c>
      <c r="G585" s="448">
        <v>46205.919999998063</v>
      </c>
      <c r="H585" s="436">
        <v>0</v>
      </c>
      <c r="I585" s="449">
        <v>0</v>
      </c>
    </row>
    <row r="586" spans="1:9" ht="15.75" customHeight="1" x14ac:dyDescent="0.2">
      <c r="A586" s="437"/>
      <c r="B586" s="437"/>
      <c r="C586" s="436"/>
      <c r="D586" s="467">
        <v>46075</v>
      </c>
      <c r="E586" s="436" t="s">
        <v>599</v>
      </c>
      <c r="F586" s="436">
        <v>26753227.75</v>
      </c>
      <c r="G586" s="448">
        <v>46205.920000001788</v>
      </c>
      <c r="H586" s="436">
        <v>0</v>
      </c>
      <c r="I586" s="449">
        <v>0</v>
      </c>
    </row>
    <row r="587" spans="1:9" ht="15.75" customHeight="1" x14ac:dyDescent="0.2">
      <c r="A587" s="437"/>
      <c r="B587" s="437"/>
      <c r="C587" s="436"/>
      <c r="D587" s="467">
        <v>46076</v>
      </c>
      <c r="E587" s="436" t="s">
        <v>598</v>
      </c>
      <c r="F587" s="436">
        <v>26799433.670000002</v>
      </c>
      <c r="G587" s="448">
        <v>46205.920000001788</v>
      </c>
      <c r="H587" s="436">
        <v>0</v>
      </c>
      <c r="I587" s="449">
        <v>0</v>
      </c>
    </row>
    <row r="588" spans="1:9" ht="15.75" customHeight="1" x14ac:dyDescent="0.2">
      <c r="A588" s="437"/>
      <c r="B588" s="437"/>
      <c r="C588" s="436"/>
      <c r="D588" s="467">
        <v>46077</v>
      </c>
      <c r="E588" s="436" t="s">
        <v>597</v>
      </c>
      <c r="F588" s="436">
        <v>26845639.59</v>
      </c>
      <c r="G588" s="448">
        <v>46205.919999998063</v>
      </c>
      <c r="H588" s="436">
        <v>0</v>
      </c>
      <c r="I588" s="449">
        <v>0</v>
      </c>
    </row>
    <row r="589" spans="1:9" ht="15.75" customHeight="1" x14ac:dyDescent="0.2">
      <c r="A589" s="437"/>
      <c r="B589" s="437"/>
      <c r="C589" s="436"/>
      <c r="D589" s="467">
        <v>46078</v>
      </c>
      <c r="E589" s="436" t="s">
        <v>603</v>
      </c>
      <c r="F589" s="436">
        <v>26891845.510000002</v>
      </c>
      <c r="G589" s="448">
        <v>46205.920000001788</v>
      </c>
      <c r="H589" s="436">
        <v>323441.44000000134</v>
      </c>
      <c r="I589" s="449">
        <v>646882.88000000268</v>
      </c>
    </row>
    <row r="590" spans="1:9" ht="15.75" customHeight="1" x14ac:dyDescent="0.2">
      <c r="A590" s="437"/>
      <c r="B590" s="437"/>
      <c r="C590" s="436"/>
      <c r="D590" s="467">
        <v>46079</v>
      </c>
      <c r="E590" s="436" t="s">
        <v>602</v>
      </c>
      <c r="F590" s="436">
        <v>26938051.43</v>
      </c>
      <c r="G590" s="448">
        <v>46205.919999998063</v>
      </c>
      <c r="H590" s="436">
        <v>0</v>
      </c>
      <c r="I590" s="449">
        <v>0</v>
      </c>
    </row>
    <row r="591" spans="1:9" ht="15.75" customHeight="1" x14ac:dyDescent="0.2">
      <c r="A591" s="437"/>
      <c r="B591" s="437"/>
      <c r="C591" s="436"/>
      <c r="D591" s="467">
        <v>46080</v>
      </c>
      <c r="E591" s="436" t="s">
        <v>601</v>
      </c>
      <c r="F591" s="436">
        <v>26984257.350000001</v>
      </c>
      <c r="G591" s="448">
        <v>46205.920000001788</v>
      </c>
      <c r="H591" s="436">
        <v>0</v>
      </c>
      <c r="I591" s="449">
        <v>0</v>
      </c>
    </row>
    <row r="592" spans="1:9" ht="15.75" customHeight="1" x14ac:dyDescent="0.2">
      <c r="A592" s="437"/>
      <c r="B592" s="437"/>
      <c r="C592" s="436"/>
      <c r="D592" s="467">
        <v>46081</v>
      </c>
      <c r="E592" s="436" t="s">
        <v>600</v>
      </c>
      <c r="F592" s="436">
        <v>27030463.27</v>
      </c>
      <c r="G592" s="448">
        <v>46205.919999998063</v>
      </c>
      <c r="H592" s="436">
        <v>0</v>
      </c>
      <c r="I592" s="449">
        <v>0</v>
      </c>
    </row>
    <row r="593" spans="1:9" ht="15.75" customHeight="1" x14ac:dyDescent="0.2">
      <c r="A593" s="437"/>
      <c r="B593" s="437"/>
      <c r="C593" s="436"/>
      <c r="D593" s="467">
        <v>46082</v>
      </c>
      <c r="E593" s="436" t="s">
        <v>599</v>
      </c>
      <c r="F593" s="436">
        <v>27076669.190000001</v>
      </c>
      <c r="G593" s="448">
        <v>46205.920000001788</v>
      </c>
      <c r="H593" s="436">
        <v>0</v>
      </c>
      <c r="I593" s="449">
        <v>0</v>
      </c>
    </row>
    <row r="594" spans="1:9" ht="15.75" customHeight="1" x14ac:dyDescent="0.2">
      <c r="A594" s="437"/>
      <c r="B594" s="437"/>
      <c r="C594" s="436"/>
      <c r="D594" s="467">
        <v>46083</v>
      </c>
      <c r="E594" s="436" t="s">
        <v>598</v>
      </c>
      <c r="F594" s="436">
        <v>27122875.109999999</v>
      </c>
      <c r="G594" s="448">
        <v>46205.919999998063</v>
      </c>
      <c r="H594" s="436">
        <v>0</v>
      </c>
      <c r="I594" s="449">
        <v>0</v>
      </c>
    </row>
    <row r="595" spans="1:9" ht="15.75" customHeight="1" x14ac:dyDescent="0.2">
      <c r="A595" s="437"/>
      <c r="B595" s="437"/>
      <c r="C595" s="436"/>
      <c r="D595" s="467">
        <v>46084</v>
      </c>
      <c r="E595" s="436" t="s">
        <v>597</v>
      </c>
      <c r="F595" s="436">
        <v>27169081.030000001</v>
      </c>
      <c r="G595" s="448">
        <v>46205.920000001788</v>
      </c>
      <c r="H595" s="436">
        <v>0</v>
      </c>
      <c r="I595" s="449">
        <v>0</v>
      </c>
    </row>
    <row r="596" spans="1:9" ht="15.75" customHeight="1" x14ac:dyDescent="0.2">
      <c r="A596" s="437"/>
      <c r="B596" s="437"/>
      <c r="C596" s="436"/>
      <c r="D596" s="467">
        <v>46085</v>
      </c>
      <c r="E596" s="436" t="s">
        <v>603</v>
      </c>
      <c r="F596" s="436">
        <v>27215286.949999999</v>
      </c>
      <c r="G596" s="448">
        <v>46205.919999998063</v>
      </c>
      <c r="H596" s="436">
        <v>323441.43999999762</v>
      </c>
      <c r="I596" s="449">
        <v>0</v>
      </c>
    </row>
    <row r="597" spans="1:9" ht="15.75" customHeight="1" x14ac:dyDescent="0.2">
      <c r="A597" s="437"/>
      <c r="B597" s="437"/>
      <c r="C597" s="436"/>
      <c r="D597" s="467">
        <v>46086</v>
      </c>
      <c r="E597" s="436" t="s">
        <v>602</v>
      </c>
      <c r="F597" s="436">
        <v>27261492.870000001</v>
      </c>
      <c r="G597" s="448">
        <v>46205.920000001788</v>
      </c>
      <c r="H597" s="436">
        <v>0</v>
      </c>
      <c r="I597" s="449">
        <v>0</v>
      </c>
    </row>
    <row r="598" spans="1:9" ht="15.75" customHeight="1" x14ac:dyDescent="0.2">
      <c r="A598" s="437"/>
      <c r="B598" s="437"/>
      <c r="C598" s="436"/>
      <c r="D598" s="467">
        <v>46087</v>
      </c>
      <c r="E598" s="436" t="s">
        <v>601</v>
      </c>
      <c r="F598" s="436">
        <v>27307698.789999999</v>
      </c>
      <c r="G598" s="448">
        <v>46205.919999998063</v>
      </c>
      <c r="H598" s="436">
        <v>0</v>
      </c>
      <c r="I598" s="449">
        <v>0</v>
      </c>
    </row>
    <row r="599" spans="1:9" ht="15.75" customHeight="1" x14ac:dyDescent="0.2">
      <c r="A599" s="437"/>
      <c r="B599" s="437"/>
      <c r="C599" s="436"/>
      <c r="D599" s="467">
        <v>46088</v>
      </c>
      <c r="E599" s="436" t="s">
        <v>600</v>
      </c>
      <c r="F599" s="436">
        <v>27353904.710000001</v>
      </c>
      <c r="G599" s="448">
        <v>46205.920000001788</v>
      </c>
      <c r="H599" s="436">
        <v>0</v>
      </c>
      <c r="I599" s="449">
        <v>0</v>
      </c>
    </row>
    <row r="600" spans="1:9" ht="15.75" customHeight="1" x14ac:dyDescent="0.2">
      <c r="A600" s="437"/>
      <c r="B600" s="437"/>
      <c r="C600" s="436"/>
      <c r="D600" s="467">
        <v>46089</v>
      </c>
      <c r="E600" s="436" t="s">
        <v>599</v>
      </c>
      <c r="F600" s="436">
        <v>27400110.629999999</v>
      </c>
      <c r="G600" s="448">
        <v>46205.919999998063</v>
      </c>
      <c r="H600" s="436">
        <v>0</v>
      </c>
      <c r="I600" s="449">
        <v>0</v>
      </c>
    </row>
    <row r="601" spans="1:9" ht="15.75" customHeight="1" x14ac:dyDescent="0.2">
      <c r="A601" s="437"/>
      <c r="B601" s="437"/>
      <c r="C601" s="436"/>
      <c r="D601" s="467">
        <v>46090</v>
      </c>
      <c r="E601" s="436" t="s">
        <v>598</v>
      </c>
      <c r="F601" s="436">
        <v>27446316.550000001</v>
      </c>
      <c r="G601" s="448">
        <v>46205.920000001788</v>
      </c>
      <c r="H601" s="436">
        <v>0</v>
      </c>
      <c r="I601" s="449">
        <v>0</v>
      </c>
    </row>
    <row r="602" spans="1:9" ht="15.75" customHeight="1" x14ac:dyDescent="0.2">
      <c r="A602" s="437"/>
      <c r="B602" s="437"/>
      <c r="C602" s="436"/>
      <c r="D602" s="467">
        <v>46091</v>
      </c>
      <c r="E602" s="436" t="s">
        <v>597</v>
      </c>
      <c r="F602" s="436">
        <v>27492522.469999999</v>
      </c>
      <c r="G602" s="448">
        <v>46205.919999998063</v>
      </c>
      <c r="H602" s="436">
        <v>0</v>
      </c>
      <c r="I602" s="449">
        <v>0</v>
      </c>
    </row>
    <row r="603" spans="1:9" ht="15.75" customHeight="1" x14ac:dyDescent="0.2">
      <c r="A603" s="437"/>
      <c r="B603" s="437"/>
      <c r="C603" s="436"/>
      <c r="D603" s="467">
        <v>46092</v>
      </c>
      <c r="E603" s="436" t="s">
        <v>603</v>
      </c>
      <c r="F603" s="436">
        <v>27538728.390000001</v>
      </c>
      <c r="G603" s="448">
        <v>46205.920000001788</v>
      </c>
      <c r="H603" s="436">
        <v>323441.44000000134</v>
      </c>
      <c r="I603" s="449">
        <v>646882.87999999896</v>
      </c>
    </row>
    <row r="604" spans="1:9" ht="15.75" customHeight="1" x14ac:dyDescent="0.2">
      <c r="A604" s="437"/>
      <c r="B604" s="437"/>
      <c r="C604" s="436"/>
      <c r="D604" s="467">
        <v>46093</v>
      </c>
      <c r="E604" s="436" t="s">
        <v>602</v>
      </c>
      <c r="F604" s="436">
        <v>27584934.309999999</v>
      </c>
      <c r="G604" s="448">
        <v>46205.919999998063</v>
      </c>
      <c r="H604" s="436">
        <v>0</v>
      </c>
      <c r="I604" s="449">
        <v>0</v>
      </c>
    </row>
    <row r="605" spans="1:9" ht="15.75" customHeight="1" x14ac:dyDescent="0.2">
      <c r="A605" s="437"/>
      <c r="B605" s="437"/>
      <c r="C605" s="436"/>
      <c r="D605" s="467">
        <v>46094</v>
      </c>
      <c r="E605" s="436" t="s">
        <v>601</v>
      </c>
      <c r="F605" s="436">
        <v>27631140.23</v>
      </c>
      <c r="G605" s="448">
        <v>46205.920000001788</v>
      </c>
      <c r="H605" s="436">
        <v>0</v>
      </c>
      <c r="I605" s="449">
        <v>0</v>
      </c>
    </row>
    <row r="606" spans="1:9" ht="15.75" customHeight="1" x14ac:dyDescent="0.2">
      <c r="A606" s="437"/>
      <c r="B606" s="437"/>
      <c r="C606" s="436"/>
      <c r="D606" s="467">
        <v>46095</v>
      </c>
      <c r="E606" s="436" t="s">
        <v>600</v>
      </c>
      <c r="F606" s="436">
        <v>27677346.149999999</v>
      </c>
      <c r="G606" s="448">
        <v>46205.919999998063</v>
      </c>
      <c r="H606" s="436">
        <v>0</v>
      </c>
      <c r="I606" s="449">
        <v>0</v>
      </c>
    </row>
    <row r="607" spans="1:9" ht="15.75" customHeight="1" x14ac:dyDescent="0.2">
      <c r="A607" s="437"/>
      <c r="B607" s="437"/>
      <c r="C607" s="436"/>
      <c r="D607" s="467">
        <v>46096</v>
      </c>
      <c r="E607" s="436" t="s">
        <v>599</v>
      </c>
      <c r="F607" s="436">
        <v>27723552.079999998</v>
      </c>
      <c r="G607" s="448">
        <v>46205.929999999702</v>
      </c>
      <c r="H607" s="436">
        <v>0</v>
      </c>
      <c r="I607" s="449">
        <v>0</v>
      </c>
    </row>
    <row r="608" spans="1:9" ht="15.75" customHeight="1" x14ac:dyDescent="0.2">
      <c r="A608" s="437"/>
      <c r="B608" s="437"/>
      <c r="C608" s="436"/>
      <c r="D608" s="467">
        <v>46097</v>
      </c>
      <c r="E608" s="436" t="s">
        <v>598</v>
      </c>
      <c r="F608" s="436">
        <v>27769758</v>
      </c>
      <c r="G608" s="448">
        <v>46205.920000001788</v>
      </c>
      <c r="H608" s="436">
        <v>0</v>
      </c>
      <c r="I608" s="449">
        <v>0</v>
      </c>
    </row>
    <row r="609" spans="1:9" ht="15.75" customHeight="1" x14ac:dyDescent="0.2">
      <c r="A609" s="437"/>
      <c r="B609" s="437"/>
      <c r="C609" s="436"/>
      <c r="D609" s="467">
        <v>46098</v>
      </c>
      <c r="E609" s="436" t="s">
        <v>597</v>
      </c>
      <c r="F609" s="436">
        <v>27815963.920000002</v>
      </c>
      <c r="G609" s="448">
        <v>46205.920000001788</v>
      </c>
      <c r="H609" s="436">
        <v>0</v>
      </c>
      <c r="I609" s="449">
        <v>0</v>
      </c>
    </row>
    <row r="610" spans="1:9" ht="15.75" customHeight="1" x14ac:dyDescent="0.2">
      <c r="A610" s="437"/>
      <c r="B610" s="437"/>
      <c r="C610" s="436"/>
      <c r="D610" s="467">
        <v>46099</v>
      </c>
      <c r="E610" s="436" t="s">
        <v>603</v>
      </c>
      <c r="F610" s="436">
        <v>27862169.84</v>
      </c>
      <c r="G610" s="448">
        <v>46205.919999998063</v>
      </c>
      <c r="H610" s="436">
        <v>323441.44999999925</v>
      </c>
      <c r="I610" s="449">
        <v>0</v>
      </c>
    </row>
    <row r="611" spans="1:9" ht="15.75" customHeight="1" x14ac:dyDescent="0.2">
      <c r="A611" s="437"/>
      <c r="B611" s="437"/>
      <c r="C611" s="436"/>
      <c r="D611" s="467">
        <v>46100</v>
      </c>
      <c r="E611" s="436" t="s">
        <v>602</v>
      </c>
      <c r="F611" s="436">
        <v>27908375.760000002</v>
      </c>
      <c r="G611" s="448">
        <v>46205.920000001788</v>
      </c>
      <c r="H611" s="436">
        <v>0</v>
      </c>
      <c r="I611" s="449">
        <v>0</v>
      </c>
    </row>
    <row r="612" spans="1:9" ht="15.75" customHeight="1" x14ac:dyDescent="0.2">
      <c r="A612" s="437"/>
      <c r="B612" s="437"/>
      <c r="C612" s="436"/>
      <c r="D612" s="467">
        <v>46101</v>
      </c>
      <c r="E612" s="436" t="s">
        <v>601</v>
      </c>
      <c r="F612" s="436">
        <v>27954581.68</v>
      </c>
      <c r="G612" s="448">
        <v>46205.919999998063</v>
      </c>
      <c r="H612" s="436">
        <v>0</v>
      </c>
      <c r="I612" s="449">
        <v>0</v>
      </c>
    </row>
    <row r="613" spans="1:9" ht="15.75" customHeight="1" x14ac:dyDescent="0.2">
      <c r="A613" s="437"/>
      <c r="B613" s="437"/>
      <c r="C613" s="436"/>
      <c r="D613" s="467">
        <v>46102</v>
      </c>
      <c r="E613" s="436" t="s">
        <v>600</v>
      </c>
      <c r="F613" s="436">
        <v>28000787.600000001</v>
      </c>
      <c r="G613" s="448">
        <v>46205.920000001788</v>
      </c>
      <c r="H613" s="436">
        <v>0</v>
      </c>
      <c r="I613" s="449">
        <v>0</v>
      </c>
    </row>
    <row r="614" spans="1:9" ht="15.75" customHeight="1" x14ac:dyDescent="0.2">
      <c r="A614" s="437"/>
      <c r="B614" s="437"/>
      <c r="C614" s="436"/>
      <c r="D614" s="467">
        <v>46103</v>
      </c>
      <c r="E614" s="436" t="s">
        <v>599</v>
      </c>
      <c r="F614" s="436">
        <v>28046993.52</v>
      </c>
      <c r="G614" s="448">
        <v>46205.919999998063</v>
      </c>
      <c r="H614" s="436">
        <v>0</v>
      </c>
      <c r="I614" s="449">
        <v>0</v>
      </c>
    </row>
    <row r="615" spans="1:9" ht="15.75" customHeight="1" x14ac:dyDescent="0.2">
      <c r="A615" s="437"/>
      <c r="B615" s="437"/>
      <c r="C615" s="436"/>
      <c r="D615" s="467">
        <v>46104</v>
      </c>
      <c r="E615" s="436" t="s">
        <v>598</v>
      </c>
      <c r="F615" s="436">
        <v>28093199.440000001</v>
      </c>
      <c r="G615" s="448">
        <v>46205.920000001788</v>
      </c>
      <c r="H615" s="436">
        <v>0</v>
      </c>
      <c r="I615" s="449">
        <v>0</v>
      </c>
    </row>
    <row r="616" spans="1:9" ht="15.75" customHeight="1" x14ac:dyDescent="0.2">
      <c r="A616" s="437"/>
      <c r="B616" s="437"/>
      <c r="C616" s="436"/>
      <c r="D616" s="467">
        <v>46105</v>
      </c>
      <c r="E616" s="436" t="s">
        <v>597</v>
      </c>
      <c r="F616" s="436">
        <v>28139405.359999999</v>
      </c>
      <c r="G616" s="448">
        <v>46205.919999998063</v>
      </c>
      <c r="H616" s="436">
        <v>0</v>
      </c>
      <c r="I616" s="449">
        <v>0</v>
      </c>
    </row>
    <row r="617" spans="1:9" ht="15.75" customHeight="1" x14ac:dyDescent="0.2">
      <c r="A617" s="437"/>
      <c r="B617" s="437"/>
      <c r="C617" s="436"/>
      <c r="D617" s="467">
        <v>46106</v>
      </c>
      <c r="E617" s="436" t="s">
        <v>603</v>
      </c>
      <c r="F617" s="436">
        <v>28185611.280000001</v>
      </c>
      <c r="G617" s="448">
        <v>46205.920000001788</v>
      </c>
      <c r="H617" s="436">
        <v>323441.44000000134</v>
      </c>
      <c r="I617" s="449">
        <v>646882.8900000006</v>
      </c>
    </row>
    <row r="618" spans="1:9" ht="15.75" customHeight="1" x14ac:dyDescent="0.2">
      <c r="A618" s="437"/>
      <c r="B618" s="437"/>
      <c r="C618" s="436"/>
      <c r="D618" s="467">
        <v>46107</v>
      </c>
      <c r="E618" s="436" t="s">
        <v>602</v>
      </c>
      <c r="F618" s="436">
        <v>28231817.199999999</v>
      </c>
      <c r="G618" s="448">
        <v>46205.919999998063</v>
      </c>
      <c r="H618" s="436">
        <v>0</v>
      </c>
      <c r="I618" s="449">
        <v>0</v>
      </c>
    </row>
    <row r="619" spans="1:9" ht="15.75" customHeight="1" x14ac:dyDescent="0.2">
      <c r="A619" s="437"/>
      <c r="B619" s="437"/>
      <c r="C619" s="436"/>
      <c r="D619" s="467">
        <v>46108</v>
      </c>
      <c r="E619" s="436" t="s">
        <v>601</v>
      </c>
      <c r="F619" s="436">
        <v>28278023.120000001</v>
      </c>
      <c r="G619" s="448">
        <v>46205.920000001788</v>
      </c>
      <c r="H619" s="436">
        <v>0</v>
      </c>
      <c r="I619" s="449">
        <v>0</v>
      </c>
    </row>
    <row r="620" spans="1:9" ht="15.75" customHeight="1" x14ac:dyDescent="0.2">
      <c r="A620" s="437"/>
      <c r="B620" s="437"/>
      <c r="C620" s="436"/>
      <c r="D620" s="467">
        <v>46109</v>
      </c>
      <c r="E620" s="436" t="s">
        <v>600</v>
      </c>
      <c r="F620" s="436">
        <v>28324229.039999999</v>
      </c>
      <c r="G620" s="448">
        <v>46205.919999998063</v>
      </c>
      <c r="H620" s="436">
        <v>0</v>
      </c>
      <c r="I620" s="449">
        <v>0</v>
      </c>
    </row>
    <row r="621" spans="1:9" ht="15.75" customHeight="1" x14ac:dyDescent="0.2">
      <c r="A621" s="437"/>
      <c r="B621" s="437"/>
      <c r="C621" s="436"/>
      <c r="D621" s="467">
        <v>46110</v>
      </c>
      <c r="E621" s="436" t="s">
        <v>599</v>
      </c>
      <c r="F621" s="436">
        <v>28370434.960000001</v>
      </c>
      <c r="G621" s="448">
        <v>46205.920000001788</v>
      </c>
      <c r="H621" s="436">
        <v>0</v>
      </c>
      <c r="I621" s="449">
        <v>0</v>
      </c>
    </row>
    <row r="622" spans="1:9" ht="15.75" customHeight="1" x14ac:dyDescent="0.2">
      <c r="A622" s="437"/>
      <c r="B622" s="437"/>
      <c r="C622" s="436"/>
      <c r="D622" s="467">
        <v>46111</v>
      </c>
      <c r="E622" s="436" t="s">
        <v>598</v>
      </c>
      <c r="F622" s="436">
        <v>28416640.879999999</v>
      </c>
      <c r="G622" s="448">
        <v>46205.919999998063</v>
      </c>
      <c r="H622" s="436">
        <v>0</v>
      </c>
      <c r="I622" s="449">
        <v>0</v>
      </c>
    </row>
    <row r="623" spans="1:9" ht="15.75" customHeight="1" x14ac:dyDescent="0.2">
      <c r="A623" s="437"/>
      <c r="B623" s="437"/>
      <c r="C623" s="436"/>
      <c r="D623" s="467">
        <v>46112</v>
      </c>
      <c r="E623" s="436" t="s">
        <v>597</v>
      </c>
      <c r="F623" s="436">
        <v>28462846.800000001</v>
      </c>
      <c r="G623" s="448">
        <v>46205.920000001788</v>
      </c>
      <c r="H623" s="436">
        <v>0</v>
      </c>
      <c r="I623" s="449">
        <v>0</v>
      </c>
    </row>
    <row r="624" spans="1:9" ht="15.75" customHeight="1" x14ac:dyDescent="0.2">
      <c r="A624" s="437"/>
      <c r="B624" s="437"/>
      <c r="C624" s="436"/>
      <c r="D624" s="467">
        <v>46113</v>
      </c>
      <c r="E624" s="436" t="s">
        <v>603</v>
      </c>
      <c r="F624" s="436">
        <v>28509052.719999999</v>
      </c>
      <c r="G624" s="448">
        <v>46205.919999998063</v>
      </c>
      <c r="H624" s="436">
        <v>323441.43999999762</v>
      </c>
      <c r="I624" s="449">
        <v>0</v>
      </c>
    </row>
    <row r="625" spans="1:9" ht="15.75" customHeight="1" x14ac:dyDescent="0.2">
      <c r="A625" s="437"/>
      <c r="B625" s="437"/>
      <c r="C625" s="436"/>
      <c r="D625" s="467">
        <v>46114</v>
      </c>
      <c r="E625" s="436" t="s">
        <v>602</v>
      </c>
      <c r="F625" s="436">
        <v>28555258.640000001</v>
      </c>
      <c r="G625" s="448">
        <v>46205.920000001788</v>
      </c>
      <c r="H625" s="436">
        <v>0</v>
      </c>
      <c r="I625" s="449">
        <v>0</v>
      </c>
    </row>
    <row r="626" spans="1:9" ht="15.75" customHeight="1" x14ac:dyDescent="0.2">
      <c r="A626" s="437"/>
      <c r="B626" s="437"/>
      <c r="C626" s="436"/>
      <c r="D626" s="467">
        <v>46115</v>
      </c>
      <c r="E626" s="436" t="s">
        <v>601</v>
      </c>
      <c r="F626" s="436">
        <v>28601464.559999999</v>
      </c>
      <c r="G626" s="448">
        <v>46205.919999998063</v>
      </c>
      <c r="H626" s="436">
        <v>0</v>
      </c>
      <c r="I626" s="449">
        <v>0</v>
      </c>
    </row>
    <row r="627" spans="1:9" ht="15.75" customHeight="1" x14ac:dyDescent="0.2">
      <c r="A627" s="437"/>
      <c r="B627" s="437"/>
      <c r="C627" s="436"/>
      <c r="D627" s="467">
        <v>46116</v>
      </c>
      <c r="E627" s="436" t="s">
        <v>600</v>
      </c>
      <c r="F627" s="436">
        <v>28647670.48</v>
      </c>
      <c r="G627" s="448">
        <v>46205.920000001788</v>
      </c>
      <c r="H627" s="436">
        <v>0</v>
      </c>
      <c r="I627" s="449">
        <v>0</v>
      </c>
    </row>
    <row r="628" spans="1:9" ht="15.75" customHeight="1" x14ac:dyDescent="0.2">
      <c r="A628" s="437"/>
      <c r="B628" s="437"/>
      <c r="C628" s="436"/>
      <c r="D628" s="467">
        <v>46117</v>
      </c>
      <c r="E628" s="436" t="s">
        <v>599</v>
      </c>
      <c r="F628" s="436">
        <v>28693876.399999999</v>
      </c>
      <c r="G628" s="448">
        <v>46205.919999998063</v>
      </c>
      <c r="H628" s="436">
        <v>0</v>
      </c>
      <c r="I628" s="449">
        <v>0</v>
      </c>
    </row>
    <row r="629" spans="1:9" ht="15.75" customHeight="1" x14ac:dyDescent="0.2">
      <c r="A629" s="437"/>
      <c r="B629" s="437"/>
      <c r="C629" s="436"/>
      <c r="D629" s="467">
        <v>46118</v>
      </c>
      <c r="E629" s="436" t="s">
        <v>598</v>
      </c>
      <c r="F629" s="436">
        <v>28740082.32</v>
      </c>
      <c r="G629" s="448">
        <v>46205.920000001788</v>
      </c>
      <c r="H629" s="436">
        <v>0</v>
      </c>
      <c r="I629" s="449">
        <v>0</v>
      </c>
    </row>
    <row r="630" spans="1:9" ht="15.75" customHeight="1" x14ac:dyDescent="0.2">
      <c r="A630" s="437"/>
      <c r="B630" s="437"/>
      <c r="C630" s="436"/>
      <c r="D630" s="467">
        <v>46119</v>
      </c>
      <c r="E630" s="436" t="s">
        <v>597</v>
      </c>
      <c r="F630" s="436">
        <v>28786288.239999998</v>
      </c>
      <c r="G630" s="448">
        <v>46205.919999998063</v>
      </c>
      <c r="H630" s="436">
        <v>0</v>
      </c>
      <c r="I630" s="449">
        <v>0</v>
      </c>
    </row>
    <row r="631" spans="1:9" ht="15.75" customHeight="1" x14ac:dyDescent="0.2">
      <c r="A631" s="437"/>
      <c r="B631" s="437"/>
      <c r="C631" s="436"/>
      <c r="D631" s="467">
        <v>46120</v>
      </c>
      <c r="E631" s="436" t="s">
        <v>603</v>
      </c>
      <c r="F631" s="436">
        <v>28832494.16</v>
      </c>
      <c r="G631" s="448">
        <v>46205.920000001788</v>
      </c>
      <c r="H631" s="436">
        <v>323441.44000000134</v>
      </c>
      <c r="I631" s="449">
        <v>646882.87999999896</v>
      </c>
    </row>
    <row r="632" spans="1:9" ht="15.75" customHeight="1" x14ac:dyDescent="0.2">
      <c r="A632" s="437"/>
      <c r="B632" s="437"/>
      <c r="C632" s="436"/>
      <c r="D632" s="467">
        <v>46121</v>
      </c>
      <c r="E632" s="436" t="s">
        <v>602</v>
      </c>
      <c r="F632" s="436">
        <v>28878700.079999998</v>
      </c>
      <c r="G632" s="448">
        <v>46205.919999998063</v>
      </c>
      <c r="H632" s="436">
        <v>0</v>
      </c>
      <c r="I632" s="449">
        <v>0</v>
      </c>
    </row>
    <row r="633" spans="1:9" ht="15.75" customHeight="1" x14ac:dyDescent="0.2">
      <c r="A633" s="437"/>
      <c r="B633" s="437"/>
      <c r="C633" s="436"/>
      <c r="D633" s="467">
        <v>46122</v>
      </c>
      <c r="E633" s="436" t="s">
        <v>601</v>
      </c>
      <c r="F633" s="436">
        <v>28924906</v>
      </c>
      <c r="G633" s="448">
        <v>46205.920000001788</v>
      </c>
      <c r="H633" s="436">
        <v>0</v>
      </c>
      <c r="I633" s="449">
        <v>0</v>
      </c>
    </row>
    <row r="634" spans="1:9" ht="15.75" customHeight="1" x14ac:dyDescent="0.2">
      <c r="A634" s="437"/>
      <c r="B634" s="437"/>
      <c r="C634" s="436"/>
      <c r="D634" s="467">
        <v>46123</v>
      </c>
      <c r="E634" s="436" t="s">
        <v>600</v>
      </c>
      <c r="F634" s="436">
        <v>28971111.920000002</v>
      </c>
      <c r="G634" s="448">
        <v>46205.920000001788</v>
      </c>
      <c r="H634" s="436">
        <v>0</v>
      </c>
      <c r="I634" s="449">
        <v>0</v>
      </c>
    </row>
    <row r="635" spans="1:9" ht="15.75" customHeight="1" x14ac:dyDescent="0.2">
      <c r="A635" s="437"/>
      <c r="B635" s="437"/>
      <c r="C635" s="436"/>
      <c r="D635" s="467">
        <v>46124</v>
      </c>
      <c r="E635" s="436" t="s">
        <v>599</v>
      </c>
      <c r="F635" s="436">
        <v>29017317.84</v>
      </c>
      <c r="G635" s="448">
        <v>46205.919999998063</v>
      </c>
      <c r="H635" s="436">
        <v>0</v>
      </c>
      <c r="I635" s="449">
        <v>0</v>
      </c>
    </row>
    <row r="636" spans="1:9" ht="15.75" customHeight="1" x14ac:dyDescent="0.2">
      <c r="A636" s="437"/>
      <c r="B636" s="437"/>
      <c r="C636" s="436"/>
      <c r="D636" s="467">
        <v>46125</v>
      </c>
      <c r="E636" s="436" t="s">
        <v>598</v>
      </c>
      <c r="F636" s="436">
        <v>29063523.760000002</v>
      </c>
      <c r="G636" s="448">
        <v>46205.920000001788</v>
      </c>
      <c r="H636" s="436">
        <v>0</v>
      </c>
      <c r="I636" s="449">
        <v>0</v>
      </c>
    </row>
    <row r="637" spans="1:9" ht="15.75" customHeight="1" x14ac:dyDescent="0.2">
      <c r="A637" s="437"/>
      <c r="B637" s="437"/>
      <c r="C637" s="436"/>
      <c r="D637" s="467">
        <v>46126</v>
      </c>
      <c r="E637" s="436" t="s">
        <v>597</v>
      </c>
      <c r="F637" s="436">
        <v>29109729.68</v>
      </c>
      <c r="G637" s="448">
        <v>46205.919999998063</v>
      </c>
      <c r="H637" s="436">
        <v>0</v>
      </c>
      <c r="I637" s="449">
        <v>0</v>
      </c>
    </row>
    <row r="638" spans="1:9" ht="15.75" customHeight="1" x14ac:dyDescent="0.2">
      <c r="A638" s="437"/>
      <c r="B638" s="437"/>
      <c r="C638" s="436"/>
      <c r="D638" s="467">
        <v>46127</v>
      </c>
      <c r="E638" s="436" t="s">
        <v>603</v>
      </c>
      <c r="F638" s="436">
        <v>29155935.600000001</v>
      </c>
      <c r="G638" s="448">
        <v>46205.920000001788</v>
      </c>
      <c r="H638" s="436">
        <v>323441.44000000134</v>
      </c>
      <c r="I638" s="449">
        <v>0</v>
      </c>
    </row>
    <row r="639" spans="1:9" ht="15.75" customHeight="1" x14ac:dyDescent="0.2">
      <c r="A639" s="437"/>
      <c r="B639" s="437"/>
      <c r="C639" s="436"/>
      <c r="D639" s="467">
        <v>46128</v>
      </c>
      <c r="E639" s="436" t="s">
        <v>602</v>
      </c>
      <c r="F639" s="436">
        <v>29202141.52</v>
      </c>
      <c r="G639" s="448">
        <v>46205.919999998063</v>
      </c>
      <c r="H639" s="436">
        <v>0</v>
      </c>
      <c r="I639" s="449">
        <v>0</v>
      </c>
    </row>
    <row r="640" spans="1:9" ht="15.75" customHeight="1" x14ac:dyDescent="0.2">
      <c r="A640" s="437"/>
      <c r="B640" s="437"/>
      <c r="C640" s="436"/>
      <c r="D640" s="467">
        <v>46129</v>
      </c>
      <c r="E640" s="436" t="s">
        <v>601</v>
      </c>
      <c r="F640" s="436">
        <v>29248347.440000001</v>
      </c>
      <c r="G640" s="448">
        <v>46205.920000001788</v>
      </c>
      <c r="H640" s="436">
        <v>0</v>
      </c>
      <c r="I640" s="449">
        <v>0</v>
      </c>
    </row>
    <row r="641" spans="1:9" ht="15.75" customHeight="1" x14ac:dyDescent="0.2">
      <c r="A641" s="437"/>
      <c r="B641" s="437"/>
      <c r="C641" s="436"/>
      <c r="D641" s="467">
        <v>46130</v>
      </c>
      <c r="E641" s="436" t="s">
        <v>600</v>
      </c>
      <c r="F641" s="436">
        <v>29294553.359999999</v>
      </c>
      <c r="G641" s="448">
        <v>46205.919999998063</v>
      </c>
      <c r="H641" s="436">
        <v>0</v>
      </c>
      <c r="I641" s="449">
        <v>0</v>
      </c>
    </row>
    <row r="642" spans="1:9" ht="15.75" customHeight="1" x14ac:dyDescent="0.2">
      <c r="A642" s="437"/>
      <c r="B642" s="437"/>
      <c r="C642" s="436"/>
      <c r="D642" s="467">
        <v>46131</v>
      </c>
      <c r="E642" s="436" t="s">
        <v>599</v>
      </c>
      <c r="F642" s="436">
        <v>29340759.280000001</v>
      </c>
      <c r="G642" s="448">
        <v>46205.920000001788</v>
      </c>
      <c r="H642" s="436">
        <v>0</v>
      </c>
      <c r="I642" s="449">
        <v>0</v>
      </c>
    </row>
    <row r="643" spans="1:9" ht="15.75" customHeight="1" x14ac:dyDescent="0.2">
      <c r="A643" s="437"/>
      <c r="B643" s="437"/>
      <c r="C643" s="436"/>
      <c r="D643" s="467">
        <v>46132</v>
      </c>
      <c r="E643" s="436" t="s">
        <v>598</v>
      </c>
      <c r="F643" s="436">
        <v>29386965.199999999</v>
      </c>
      <c r="G643" s="448">
        <v>46205.919999998063</v>
      </c>
      <c r="H643" s="436">
        <v>0</v>
      </c>
      <c r="I643" s="449">
        <v>0</v>
      </c>
    </row>
    <row r="644" spans="1:9" ht="15.75" customHeight="1" x14ac:dyDescent="0.2">
      <c r="A644" s="437"/>
      <c r="B644" s="437"/>
      <c r="C644" s="436"/>
      <c r="D644" s="467">
        <v>46133</v>
      </c>
      <c r="E644" s="436" t="s">
        <v>597</v>
      </c>
      <c r="F644" s="436">
        <v>29433171.120000001</v>
      </c>
      <c r="G644" s="448">
        <v>46205.920000001788</v>
      </c>
      <c r="H644" s="436">
        <v>0</v>
      </c>
      <c r="I644" s="449">
        <v>0</v>
      </c>
    </row>
    <row r="645" spans="1:9" ht="15.75" customHeight="1" x14ac:dyDescent="0.2">
      <c r="A645" s="437"/>
      <c r="B645" s="437"/>
      <c r="C645" s="436"/>
      <c r="D645" s="467">
        <v>46134</v>
      </c>
      <c r="E645" s="436" t="s">
        <v>603</v>
      </c>
      <c r="F645" s="436">
        <v>29479377.039999999</v>
      </c>
      <c r="G645" s="448">
        <v>46205.919999998063</v>
      </c>
      <c r="H645" s="436">
        <v>323441.43999999762</v>
      </c>
      <c r="I645" s="449">
        <v>646882.87999999896</v>
      </c>
    </row>
    <row r="646" spans="1:9" ht="15.75" customHeight="1" x14ac:dyDescent="0.2">
      <c r="A646" s="437"/>
      <c r="B646" s="437"/>
      <c r="C646" s="436"/>
      <c r="D646" s="467">
        <v>46135</v>
      </c>
      <c r="E646" s="436" t="s">
        <v>602</v>
      </c>
      <c r="F646" s="436">
        <v>29525582.960000001</v>
      </c>
      <c r="G646" s="448">
        <v>46205.920000001788</v>
      </c>
      <c r="H646" s="436">
        <v>0</v>
      </c>
      <c r="I646" s="449">
        <v>0</v>
      </c>
    </row>
    <row r="647" spans="1:9" ht="15.75" customHeight="1" x14ac:dyDescent="0.2">
      <c r="A647" s="437"/>
      <c r="B647" s="437"/>
      <c r="C647" s="436"/>
      <c r="D647" s="467">
        <v>46136</v>
      </c>
      <c r="E647" s="436" t="s">
        <v>601</v>
      </c>
      <c r="F647" s="436">
        <v>29571788.879999999</v>
      </c>
      <c r="G647" s="448">
        <v>46205.919999998063</v>
      </c>
      <c r="H647" s="436">
        <v>0</v>
      </c>
      <c r="I647" s="449">
        <v>0</v>
      </c>
    </row>
    <row r="648" spans="1:9" ht="15.75" customHeight="1" x14ac:dyDescent="0.2">
      <c r="A648" s="437"/>
      <c r="B648" s="437"/>
      <c r="C648" s="436"/>
      <c r="D648" s="467">
        <v>46137</v>
      </c>
      <c r="E648" s="436" t="s">
        <v>600</v>
      </c>
      <c r="F648" s="436">
        <v>29617994.800000001</v>
      </c>
      <c r="G648" s="448">
        <v>46205.920000001788</v>
      </c>
      <c r="H648" s="436">
        <v>0</v>
      </c>
      <c r="I648" s="449">
        <v>0</v>
      </c>
    </row>
    <row r="649" spans="1:9" ht="15.75" customHeight="1" x14ac:dyDescent="0.2">
      <c r="A649" s="437"/>
      <c r="B649" s="437"/>
      <c r="C649" s="436"/>
      <c r="D649" s="467">
        <v>46138</v>
      </c>
      <c r="E649" s="436" t="s">
        <v>599</v>
      </c>
      <c r="F649" s="436">
        <v>29664200.719999999</v>
      </c>
      <c r="G649" s="448">
        <v>46205.919999998063</v>
      </c>
      <c r="H649" s="436">
        <v>0</v>
      </c>
      <c r="I649" s="449">
        <v>0</v>
      </c>
    </row>
    <row r="650" spans="1:9" ht="15.75" customHeight="1" x14ac:dyDescent="0.2">
      <c r="A650" s="437"/>
      <c r="B650" s="437"/>
      <c r="C650" s="436"/>
      <c r="D650" s="467">
        <v>46139</v>
      </c>
      <c r="E650" s="436" t="s">
        <v>598</v>
      </c>
      <c r="F650" s="436">
        <v>29710406.640000001</v>
      </c>
      <c r="G650" s="448">
        <v>46205.920000001788</v>
      </c>
      <c r="H650" s="436">
        <v>0</v>
      </c>
      <c r="I650" s="449">
        <v>0</v>
      </c>
    </row>
    <row r="651" spans="1:9" ht="15.75" customHeight="1" x14ac:dyDescent="0.2">
      <c r="A651" s="437"/>
      <c r="B651" s="437"/>
      <c r="C651" s="436"/>
      <c r="D651" s="467">
        <v>46140</v>
      </c>
      <c r="E651" s="436" t="s">
        <v>597</v>
      </c>
      <c r="F651" s="436">
        <v>29756612.559999999</v>
      </c>
      <c r="G651" s="448">
        <v>46205.919999998063</v>
      </c>
      <c r="H651" s="436">
        <v>0</v>
      </c>
      <c r="I651" s="449">
        <v>0</v>
      </c>
    </row>
    <row r="652" spans="1:9" ht="15.75" customHeight="1" x14ac:dyDescent="0.2">
      <c r="A652" s="437"/>
      <c r="B652" s="437"/>
      <c r="C652" s="436"/>
      <c r="D652" s="467">
        <v>46141</v>
      </c>
      <c r="E652" s="436" t="s">
        <v>603</v>
      </c>
      <c r="F652" s="436">
        <v>29802818.48</v>
      </c>
      <c r="G652" s="448">
        <v>46205.920000001788</v>
      </c>
      <c r="H652" s="436">
        <v>323441.44000000134</v>
      </c>
      <c r="I652" s="449">
        <v>0</v>
      </c>
    </row>
    <row r="653" spans="1:9" ht="15.75" customHeight="1" x14ac:dyDescent="0.2">
      <c r="A653" s="437"/>
      <c r="B653" s="437"/>
      <c r="C653" s="436"/>
      <c r="D653" s="467">
        <v>46142</v>
      </c>
      <c r="E653" s="436" t="s">
        <v>602</v>
      </c>
      <c r="F653" s="436">
        <v>29849024.399999999</v>
      </c>
      <c r="G653" s="448">
        <v>46205.919999998063</v>
      </c>
      <c r="H653" s="436">
        <v>0</v>
      </c>
      <c r="I653" s="449">
        <v>0</v>
      </c>
    </row>
    <row r="654" spans="1:9" ht="15.75" customHeight="1" x14ac:dyDescent="0.2">
      <c r="A654" s="437"/>
      <c r="B654" s="437"/>
      <c r="C654" s="436"/>
      <c r="D654" s="467">
        <v>46143</v>
      </c>
      <c r="E654" s="436" t="s">
        <v>601</v>
      </c>
      <c r="F654" s="436">
        <v>29895230.32</v>
      </c>
      <c r="G654" s="448">
        <v>46205.920000001788</v>
      </c>
      <c r="H654" s="436">
        <v>0</v>
      </c>
      <c r="I654" s="449">
        <v>0</v>
      </c>
    </row>
    <row r="655" spans="1:9" ht="15.75" customHeight="1" x14ac:dyDescent="0.2">
      <c r="A655" s="437"/>
      <c r="B655" s="437"/>
      <c r="C655" s="436"/>
      <c r="D655" s="467">
        <v>46144</v>
      </c>
      <c r="E655" s="436" t="s">
        <v>600</v>
      </c>
      <c r="F655" s="436">
        <v>29941436.239999998</v>
      </c>
      <c r="G655" s="448">
        <v>46205.919999998063</v>
      </c>
      <c r="H655" s="436">
        <v>0</v>
      </c>
      <c r="I655" s="449">
        <v>0</v>
      </c>
    </row>
    <row r="656" spans="1:9" ht="15.75" customHeight="1" x14ac:dyDescent="0.2">
      <c r="A656" s="437"/>
      <c r="B656" s="437"/>
      <c r="C656" s="436"/>
      <c r="D656" s="467">
        <v>46145</v>
      </c>
      <c r="E656" s="436" t="s">
        <v>599</v>
      </c>
      <c r="F656" s="436">
        <v>29987642.16</v>
      </c>
      <c r="G656" s="448">
        <v>46205.920000001788</v>
      </c>
      <c r="H656" s="436">
        <v>0</v>
      </c>
      <c r="I656" s="449">
        <v>0</v>
      </c>
    </row>
    <row r="657" spans="1:9" ht="15.75" customHeight="1" x14ac:dyDescent="0.2">
      <c r="A657" s="437"/>
      <c r="B657" s="437"/>
      <c r="C657" s="436"/>
      <c r="D657" s="467">
        <v>46146</v>
      </c>
      <c r="E657" s="436" t="s">
        <v>598</v>
      </c>
      <c r="F657" s="436">
        <v>30033848.079999998</v>
      </c>
      <c r="G657" s="448">
        <v>46205.919999998063</v>
      </c>
      <c r="H657" s="436">
        <v>0</v>
      </c>
      <c r="I657" s="449">
        <v>0</v>
      </c>
    </row>
    <row r="658" spans="1:9" ht="15.75" customHeight="1" x14ac:dyDescent="0.2">
      <c r="A658" s="437"/>
      <c r="B658" s="437"/>
      <c r="C658" s="436"/>
      <c r="D658" s="467">
        <v>46147</v>
      </c>
      <c r="E658" s="436" t="s">
        <v>597</v>
      </c>
      <c r="F658" s="436">
        <v>30080054</v>
      </c>
      <c r="G658" s="448">
        <v>46205.920000001788</v>
      </c>
      <c r="H658" s="436">
        <v>0</v>
      </c>
      <c r="I658" s="449">
        <v>0</v>
      </c>
    </row>
    <row r="659" spans="1:9" ht="15.75" customHeight="1" x14ac:dyDescent="0.2">
      <c r="A659" s="437"/>
      <c r="B659" s="437"/>
      <c r="C659" s="436"/>
      <c r="D659" s="467">
        <v>46148</v>
      </c>
      <c r="E659" s="436" t="s">
        <v>603</v>
      </c>
      <c r="F659" s="436">
        <v>30126259.920000002</v>
      </c>
      <c r="G659" s="448">
        <v>46205.920000001788</v>
      </c>
      <c r="H659" s="436">
        <v>323441.44000000134</v>
      </c>
      <c r="I659" s="449">
        <v>646882.88000000268</v>
      </c>
    </row>
    <row r="660" spans="1:9" ht="15.75" customHeight="1" x14ac:dyDescent="0.2">
      <c r="A660" s="437"/>
      <c r="B660" s="437"/>
      <c r="C660" s="436"/>
      <c r="D660" s="467">
        <v>46149</v>
      </c>
      <c r="E660" s="436" t="s">
        <v>602</v>
      </c>
      <c r="F660" s="436">
        <v>30172465.84</v>
      </c>
      <c r="G660" s="448">
        <v>46205.919999998063</v>
      </c>
      <c r="H660" s="436">
        <v>0</v>
      </c>
      <c r="I660" s="449">
        <v>0</v>
      </c>
    </row>
    <row r="661" spans="1:9" ht="15.75" customHeight="1" x14ac:dyDescent="0.2">
      <c r="A661" s="437"/>
      <c r="B661" s="437"/>
      <c r="C661" s="436"/>
      <c r="D661" s="467">
        <v>46150</v>
      </c>
      <c r="E661" s="436" t="s">
        <v>601</v>
      </c>
      <c r="F661" s="436">
        <v>30218671.760000002</v>
      </c>
      <c r="G661" s="448">
        <v>46205.920000001788</v>
      </c>
      <c r="H661" s="436">
        <v>0</v>
      </c>
      <c r="I661" s="449">
        <v>0</v>
      </c>
    </row>
    <row r="662" spans="1:9" ht="15.75" customHeight="1" x14ac:dyDescent="0.2">
      <c r="A662" s="437"/>
      <c r="B662" s="437"/>
      <c r="C662" s="436"/>
      <c r="D662" s="467">
        <v>46151</v>
      </c>
      <c r="E662" s="436" t="s">
        <v>600</v>
      </c>
      <c r="F662" s="436">
        <v>30264877.68</v>
      </c>
      <c r="G662" s="448">
        <v>46205.919999998063</v>
      </c>
      <c r="H662" s="436">
        <v>0</v>
      </c>
      <c r="I662" s="449">
        <v>0</v>
      </c>
    </row>
    <row r="663" spans="1:9" ht="15.75" customHeight="1" x14ac:dyDescent="0.2">
      <c r="A663" s="437"/>
      <c r="B663" s="437"/>
      <c r="C663" s="436"/>
      <c r="D663" s="467">
        <v>46152</v>
      </c>
      <c r="E663" s="436" t="s">
        <v>599</v>
      </c>
      <c r="F663" s="436">
        <v>30311083.600000001</v>
      </c>
      <c r="G663" s="448">
        <v>46205.920000001788</v>
      </c>
      <c r="H663" s="436">
        <v>0</v>
      </c>
      <c r="I663" s="449">
        <v>0</v>
      </c>
    </row>
    <row r="664" spans="1:9" ht="15.75" customHeight="1" x14ac:dyDescent="0.2">
      <c r="A664" s="437"/>
      <c r="B664" s="437"/>
      <c r="C664" s="436"/>
      <c r="D664" s="467">
        <v>46153</v>
      </c>
      <c r="E664" s="436" t="s">
        <v>598</v>
      </c>
      <c r="F664" s="436">
        <v>30357289.52</v>
      </c>
      <c r="G664" s="448">
        <v>46205.919999998063</v>
      </c>
      <c r="H664" s="436">
        <v>0</v>
      </c>
      <c r="I664" s="449">
        <v>0</v>
      </c>
    </row>
    <row r="665" spans="1:9" ht="15.75" customHeight="1" x14ac:dyDescent="0.2">
      <c r="A665" s="437"/>
      <c r="B665" s="437"/>
      <c r="C665" s="436"/>
      <c r="D665" s="467">
        <v>46154</v>
      </c>
      <c r="E665" s="436" t="s">
        <v>597</v>
      </c>
      <c r="F665" s="436">
        <v>30403495.440000001</v>
      </c>
      <c r="G665" s="448">
        <v>46205.920000001788</v>
      </c>
      <c r="H665" s="436">
        <v>0</v>
      </c>
      <c r="I665" s="449">
        <v>0</v>
      </c>
    </row>
    <row r="666" spans="1:9" ht="15.75" customHeight="1" x14ac:dyDescent="0.2">
      <c r="A666" s="437"/>
      <c r="B666" s="437"/>
      <c r="C666" s="436"/>
      <c r="D666" s="467">
        <v>46155</v>
      </c>
      <c r="E666" s="436" t="s">
        <v>603</v>
      </c>
      <c r="F666" s="436">
        <v>30449701.359999999</v>
      </c>
      <c r="G666" s="448">
        <v>46205.919999998063</v>
      </c>
      <c r="H666" s="436">
        <v>323441.43999999762</v>
      </c>
      <c r="I666" s="449">
        <v>0</v>
      </c>
    </row>
    <row r="667" spans="1:9" ht="15.75" customHeight="1" x14ac:dyDescent="0.2">
      <c r="A667" s="437"/>
      <c r="B667" s="437"/>
      <c r="C667" s="436"/>
      <c r="D667" s="467">
        <v>46156</v>
      </c>
      <c r="E667" s="436" t="s">
        <v>602</v>
      </c>
      <c r="F667" s="436">
        <v>30495907.280000001</v>
      </c>
      <c r="G667" s="448">
        <v>46205.920000001788</v>
      </c>
      <c r="H667" s="436">
        <v>0</v>
      </c>
      <c r="I667" s="449">
        <v>0</v>
      </c>
    </row>
    <row r="668" spans="1:9" ht="15.75" customHeight="1" x14ac:dyDescent="0.2">
      <c r="A668" s="437"/>
      <c r="B668" s="437"/>
      <c r="C668" s="436"/>
      <c r="D668" s="467">
        <v>46157</v>
      </c>
      <c r="E668" s="436" t="s">
        <v>601</v>
      </c>
      <c r="F668" s="436">
        <v>30542113.199999999</v>
      </c>
      <c r="G668" s="448">
        <v>46205.919999998063</v>
      </c>
      <c r="H668" s="436">
        <v>0</v>
      </c>
      <c r="I668" s="449">
        <v>0</v>
      </c>
    </row>
    <row r="669" spans="1:9" ht="15.75" customHeight="1" x14ac:dyDescent="0.2">
      <c r="A669" s="437"/>
      <c r="B669" s="437"/>
      <c r="C669" s="436"/>
      <c r="D669" s="467">
        <v>46158</v>
      </c>
      <c r="E669" s="436" t="s">
        <v>600</v>
      </c>
      <c r="F669" s="436">
        <v>30588319.120000001</v>
      </c>
      <c r="G669" s="448">
        <v>46205.920000001788</v>
      </c>
      <c r="H669" s="436">
        <v>0</v>
      </c>
      <c r="I669" s="449">
        <v>0</v>
      </c>
    </row>
    <row r="670" spans="1:9" ht="15.75" customHeight="1" x14ac:dyDescent="0.2">
      <c r="A670" s="437"/>
      <c r="B670" s="437"/>
      <c r="C670" s="436"/>
      <c r="D670" s="467">
        <v>46159</v>
      </c>
      <c r="E670" s="436" t="s">
        <v>599</v>
      </c>
      <c r="F670" s="436">
        <v>30634525.039999999</v>
      </c>
      <c r="G670" s="448">
        <v>46205.919999998063</v>
      </c>
      <c r="H670" s="436">
        <v>0</v>
      </c>
      <c r="I670" s="449">
        <v>0</v>
      </c>
    </row>
    <row r="671" spans="1:9" ht="15.75" customHeight="1" x14ac:dyDescent="0.2">
      <c r="A671" s="437"/>
      <c r="B671" s="437"/>
      <c r="C671" s="436"/>
      <c r="D671" s="467">
        <v>46160</v>
      </c>
      <c r="E671" s="436" t="s">
        <v>598</v>
      </c>
      <c r="F671" s="436">
        <v>30680730.960000001</v>
      </c>
      <c r="G671" s="448">
        <v>46205.920000001788</v>
      </c>
      <c r="H671" s="436">
        <v>0</v>
      </c>
      <c r="I671" s="449">
        <v>0</v>
      </c>
    </row>
    <row r="672" spans="1:9" ht="15.75" customHeight="1" x14ac:dyDescent="0.2">
      <c r="A672" s="437"/>
      <c r="B672" s="437"/>
      <c r="C672" s="436"/>
      <c r="D672" s="467">
        <v>46161</v>
      </c>
      <c r="E672" s="436" t="s">
        <v>597</v>
      </c>
      <c r="F672" s="436">
        <v>30726936.879999999</v>
      </c>
      <c r="G672" s="448">
        <v>46205.919999998063</v>
      </c>
      <c r="H672" s="436">
        <v>0</v>
      </c>
      <c r="I672" s="449">
        <v>0</v>
      </c>
    </row>
    <row r="673" spans="1:9" ht="15.75" customHeight="1" x14ac:dyDescent="0.2">
      <c r="A673" s="437"/>
      <c r="B673" s="437"/>
      <c r="C673" s="436"/>
      <c r="D673" s="467">
        <v>46162</v>
      </c>
      <c r="E673" s="436" t="s">
        <v>603</v>
      </c>
      <c r="F673" s="436">
        <v>30773142.800000001</v>
      </c>
      <c r="G673" s="448">
        <v>46205.920000001788</v>
      </c>
      <c r="H673" s="436">
        <v>323441.44000000134</v>
      </c>
      <c r="I673" s="449">
        <v>646882.87999999896</v>
      </c>
    </row>
    <row r="674" spans="1:9" ht="15.75" customHeight="1" x14ac:dyDescent="0.2">
      <c r="A674" s="437"/>
      <c r="B674" s="437"/>
      <c r="C674" s="436"/>
      <c r="D674" s="467">
        <v>46163</v>
      </c>
      <c r="E674" s="436" t="s">
        <v>602</v>
      </c>
      <c r="F674" s="436">
        <v>30819348.719999999</v>
      </c>
      <c r="G674" s="448">
        <v>46205.919999998063</v>
      </c>
      <c r="H674" s="436">
        <v>0</v>
      </c>
      <c r="I674" s="449">
        <v>0</v>
      </c>
    </row>
    <row r="675" spans="1:9" ht="15.75" customHeight="1" x14ac:dyDescent="0.2">
      <c r="A675" s="437"/>
      <c r="B675" s="437"/>
      <c r="C675" s="436"/>
      <c r="D675" s="467">
        <v>46164</v>
      </c>
      <c r="E675" s="436" t="s">
        <v>601</v>
      </c>
      <c r="F675" s="436">
        <v>30865554.640000001</v>
      </c>
      <c r="G675" s="448">
        <v>46205.920000001788</v>
      </c>
      <c r="H675" s="436">
        <v>0</v>
      </c>
      <c r="I675" s="449">
        <v>0</v>
      </c>
    </row>
    <row r="676" spans="1:9" ht="15.75" customHeight="1" x14ac:dyDescent="0.2">
      <c r="A676" s="437"/>
      <c r="B676" s="437"/>
      <c r="C676" s="436"/>
      <c r="D676" s="467">
        <v>46165</v>
      </c>
      <c r="E676" s="436" t="s">
        <v>600</v>
      </c>
      <c r="F676" s="436">
        <v>30911760.559999999</v>
      </c>
      <c r="G676" s="448">
        <v>46205.919999998063</v>
      </c>
      <c r="H676" s="436">
        <v>0</v>
      </c>
      <c r="I676" s="449">
        <v>0</v>
      </c>
    </row>
    <row r="677" spans="1:9" ht="15.75" customHeight="1" x14ac:dyDescent="0.2">
      <c r="A677" s="437"/>
      <c r="B677" s="437"/>
      <c r="C677" s="436"/>
      <c r="D677" s="467">
        <v>46166</v>
      </c>
      <c r="E677" s="436" t="s">
        <v>599</v>
      </c>
      <c r="F677" s="436">
        <v>30957966.48</v>
      </c>
      <c r="G677" s="448">
        <v>46205.920000001788</v>
      </c>
      <c r="H677" s="436">
        <v>0</v>
      </c>
      <c r="I677" s="449">
        <v>0</v>
      </c>
    </row>
    <row r="678" spans="1:9" ht="15.75" customHeight="1" x14ac:dyDescent="0.2">
      <c r="A678" s="437"/>
      <c r="B678" s="437"/>
      <c r="C678" s="436"/>
      <c r="D678" s="467">
        <v>46167</v>
      </c>
      <c r="E678" s="436" t="s">
        <v>598</v>
      </c>
      <c r="F678" s="436">
        <v>31004172.399999999</v>
      </c>
      <c r="G678" s="448">
        <v>46205.919999998063</v>
      </c>
      <c r="H678" s="436">
        <v>0</v>
      </c>
      <c r="I678" s="449">
        <v>0</v>
      </c>
    </row>
    <row r="679" spans="1:9" ht="15.75" customHeight="1" x14ac:dyDescent="0.2">
      <c r="A679" s="437"/>
      <c r="B679" s="437"/>
      <c r="C679" s="436"/>
      <c r="D679" s="467">
        <v>46168</v>
      </c>
      <c r="E679" s="436" t="s">
        <v>597</v>
      </c>
      <c r="F679" s="436">
        <v>31050378.32</v>
      </c>
      <c r="G679" s="448">
        <v>46205.920000001788</v>
      </c>
      <c r="H679" s="436">
        <v>0</v>
      </c>
      <c r="I679" s="449">
        <v>0</v>
      </c>
    </row>
    <row r="680" spans="1:9" ht="15.75" customHeight="1" x14ac:dyDescent="0.2">
      <c r="A680" s="437"/>
      <c r="B680" s="437"/>
      <c r="C680" s="436"/>
      <c r="D680" s="467">
        <v>46169</v>
      </c>
      <c r="E680" s="436" t="s">
        <v>603</v>
      </c>
      <c r="F680" s="436">
        <v>31096584.239999998</v>
      </c>
      <c r="G680" s="448">
        <v>46205.919999998063</v>
      </c>
      <c r="H680" s="436">
        <v>323441.43999999762</v>
      </c>
      <c r="I680" s="449">
        <v>0</v>
      </c>
    </row>
    <row r="681" spans="1:9" ht="15.75" customHeight="1" x14ac:dyDescent="0.2">
      <c r="A681" s="437"/>
      <c r="B681" s="437"/>
      <c r="C681" s="436"/>
      <c r="D681" s="467">
        <v>46170</v>
      </c>
      <c r="E681" s="436" t="s">
        <v>602</v>
      </c>
      <c r="F681" s="436">
        <v>31142790.16</v>
      </c>
      <c r="G681" s="448">
        <v>46205.920000001788</v>
      </c>
      <c r="H681" s="436">
        <v>0</v>
      </c>
      <c r="I681" s="449">
        <v>0</v>
      </c>
    </row>
    <row r="682" spans="1:9" ht="15.75" customHeight="1" x14ac:dyDescent="0.2">
      <c r="A682" s="437"/>
      <c r="B682" s="437"/>
      <c r="C682" s="436"/>
      <c r="D682" s="467">
        <v>46171</v>
      </c>
      <c r="E682" s="436" t="s">
        <v>601</v>
      </c>
      <c r="F682" s="436">
        <v>31188996.09</v>
      </c>
      <c r="G682" s="448">
        <v>46205.929999999702</v>
      </c>
      <c r="H682" s="436">
        <v>0</v>
      </c>
      <c r="I682" s="449">
        <v>0</v>
      </c>
    </row>
    <row r="683" spans="1:9" ht="15.75" customHeight="1" x14ac:dyDescent="0.2">
      <c r="A683" s="437"/>
      <c r="B683" s="437"/>
      <c r="C683" s="436"/>
      <c r="D683" s="467">
        <v>46172</v>
      </c>
      <c r="E683" s="436" t="s">
        <v>600</v>
      </c>
      <c r="F683" s="436">
        <v>31235202.010000002</v>
      </c>
      <c r="G683" s="448">
        <v>46205.920000001788</v>
      </c>
      <c r="H683" s="436">
        <v>0</v>
      </c>
      <c r="I683" s="449">
        <v>0</v>
      </c>
    </row>
    <row r="684" spans="1:9" ht="15.75" customHeight="1" x14ac:dyDescent="0.2">
      <c r="A684" s="437"/>
      <c r="B684" s="437"/>
      <c r="C684" s="436"/>
      <c r="D684" s="467">
        <v>46173</v>
      </c>
      <c r="E684" s="436" t="s">
        <v>599</v>
      </c>
      <c r="F684" s="436">
        <v>31281407.93</v>
      </c>
      <c r="G684" s="448">
        <v>46205.919999998063</v>
      </c>
      <c r="H684" s="436">
        <v>0</v>
      </c>
      <c r="I684" s="449">
        <v>0</v>
      </c>
    </row>
    <row r="685" spans="1:9" ht="15.75" customHeight="1" x14ac:dyDescent="0.2">
      <c r="A685" s="437"/>
      <c r="B685" s="437"/>
      <c r="C685" s="436"/>
      <c r="D685" s="467">
        <v>46174</v>
      </c>
      <c r="E685" s="436" t="s">
        <v>598</v>
      </c>
      <c r="F685" s="436">
        <v>31327613.850000001</v>
      </c>
      <c r="G685" s="448">
        <v>46205.920000001788</v>
      </c>
      <c r="H685" s="436">
        <v>0</v>
      </c>
      <c r="I685" s="449">
        <v>0</v>
      </c>
    </row>
    <row r="686" spans="1:9" ht="15.75" customHeight="1" x14ac:dyDescent="0.2">
      <c r="A686" s="437"/>
      <c r="B686" s="437"/>
      <c r="C686" s="436"/>
      <c r="D686" s="467">
        <v>46175</v>
      </c>
      <c r="E686" s="436" t="s">
        <v>597</v>
      </c>
      <c r="F686" s="436">
        <v>31373819.77</v>
      </c>
      <c r="G686" s="448">
        <v>46205.919999998063</v>
      </c>
      <c r="H686" s="436">
        <v>0</v>
      </c>
      <c r="I686" s="449">
        <v>0</v>
      </c>
    </row>
    <row r="687" spans="1:9" ht="15.75" customHeight="1" x14ac:dyDescent="0.2">
      <c r="A687" s="437"/>
      <c r="B687" s="437"/>
      <c r="C687" s="436"/>
      <c r="D687" s="467">
        <v>46176</v>
      </c>
      <c r="E687" s="436" t="s">
        <v>603</v>
      </c>
      <c r="F687" s="436">
        <v>31420025.690000001</v>
      </c>
      <c r="G687" s="448">
        <v>46205.920000001788</v>
      </c>
      <c r="H687" s="436">
        <v>323441.45000000298</v>
      </c>
      <c r="I687" s="449">
        <v>646882.8900000006</v>
      </c>
    </row>
    <row r="688" spans="1:9" ht="15.75" customHeight="1" x14ac:dyDescent="0.2">
      <c r="A688" s="437"/>
      <c r="B688" s="437"/>
      <c r="C688" s="436"/>
      <c r="D688" s="467">
        <v>46177</v>
      </c>
      <c r="E688" s="436" t="s">
        <v>602</v>
      </c>
      <c r="F688" s="436">
        <v>31466231.609999999</v>
      </c>
      <c r="G688" s="448">
        <v>46205.919999998063</v>
      </c>
      <c r="H688" s="436">
        <v>0</v>
      </c>
      <c r="I688" s="449">
        <v>0</v>
      </c>
    </row>
    <row r="689" spans="1:9" ht="15.75" customHeight="1" x14ac:dyDescent="0.2">
      <c r="A689" s="437"/>
      <c r="B689" s="437"/>
      <c r="C689" s="436"/>
      <c r="D689" s="467">
        <v>46178</v>
      </c>
      <c r="E689" s="436" t="s">
        <v>601</v>
      </c>
      <c r="F689" s="436">
        <v>31512437.530000001</v>
      </c>
      <c r="G689" s="448">
        <v>46205.920000001788</v>
      </c>
      <c r="H689" s="436">
        <v>0</v>
      </c>
      <c r="I689" s="449">
        <v>0</v>
      </c>
    </row>
    <row r="690" spans="1:9" ht="15.75" customHeight="1" x14ac:dyDescent="0.2">
      <c r="A690" s="437"/>
      <c r="B690" s="437"/>
      <c r="C690" s="436"/>
      <c r="D690" s="467">
        <v>46179</v>
      </c>
      <c r="E690" s="436" t="s">
        <v>600</v>
      </c>
      <c r="F690" s="436">
        <v>31558643.449999999</v>
      </c>
      <c r="G690" s="448">
        <v>46205.919999998063</v>
      </c>
      <c r="H690" s="436">
        <v>0</v>
      </c>
      <c r="I690" s="449">
        <v>0</v>
      </c>
    </row>
    <row r="691" spans="1:9" ht="15.75" customHeight="1" x14ac:dyDescent="0.2">
      <c r="A691" s="437"/>
      <c r="B691" s="437"/>
      <c r="C691" s="436"/>
      <c r="D691" s="467">
        <v>46180</v>
      </c>
      <c r="E691" s="436" t="s">
        <v>599</v>
      </c>
      <c r="F691" s="436">
        <v>31604849.370000001</v>
      </c>
      <c r="G691" s="448">
        <v>46205.920000001788</v>
      </c>
      <c r="H691" s="436">
        <v>0</v>
      </c>
      <c r="I691" s="449">
        <v>0</v>
      </c>
    </row>
    <row r="692" spans="1:9" ht="15.75" customHeight="1" x14ac:dyDescent="0.2">
      <c r="A692" s="437"/>
      <c r="B692" s="437"/>
      <c r="C692" s="436"/>
      <c r="D692" s="467">
        <v>46181</v>
      </c>
      <c r="E692" s="436" t="s">
        <v>598</v>
      </c>
      <c r="F692" s="436">
        <v>31651055.289999999</v>
      </c>
      <c r="G692" s="448">
        <v>46205.919999998063</v>
      </c>
      <c r="H692" s="436">
        <v>0</v>
      </c>
      <c r="I692" s="449">
        <v>0</v>
      </c>
    </row>
    <row r="693" spans="1:9" ht="15.75" customHeight="1" x14ac:dyDescent="0.2">
      <c r="A693" s="437"/>
      <c r="B693" s="437"/>
      <c r="C693" s="436"/>
      <c r="D693" s="467">
        <v>46182</v>
      </c>
      <c r="E693" s="436" t="s">
        <v>597</v>
      </c>
      <c r="F693" s="436">
        <v>31697261.210000001</v>
      </c>
      <c r="G693" s="448">
        <v>46205.920000001788</v>
      </c>
      <c r="H693" s="436">
        <v>0</v>
      </c>
      <c r="I693" s="449">
        <v>0</v>
      </c>
    </row>
    <row r="694" spans="1:9" ht="15.75" customHeight="1" x14ac:dyDescent="0.2">
      <c r="A694" s="437"/>
      <c r="B694" s="437"/>
      <c r="C694" s="436"/>
      <c r="D694" s="467">
        <v>46183</v>
      </c>
      <c r="E694" s="436" t="s">
        <v>603</v>
      </c>
      <c r="F694" s="436">
        <v>31743467.129999999</v>
      </c>
      <c r="G694" s="448">
        <v>46205.919999998063</v>
      </c>
      <c r="H694" s="436">
        <v>323441.43999999762</v>
      </c>
      <c r="I694" s="449">
        <v>0</v>
      </c>
    </row>
    <row r="695" spans="1:9" ht="15.75" customHeight="1" x14ac:dyDescent="0.2">
      <c r="A695" s="437"/>
      <c r="B695" s="437"/>
      <c r="C695" s="436"/>
      <c r="D695" s="467">
        <v>46184</v>
      </c>
      <c r="E695" s="436" t="s">
        <v>602</v>
      </c>
      <c r="F695" s="436">
        <v>31789673.050000001</v>
      </c>
      <c r="G695" s="448">
        <v>46205.920000001788</v>
      </c>
      <c r="H695" s="436">
        <v>0</v>
      </c>
      <c r="I695" s="449">
        <v>0</v>
      </c>
    </row>
    <row r="696" spans="1:9" ht="15.75" customHeight="1" x14ac:dyDescent="0.2">
      <c r="A696" s="437"/>
      <c r="B696" s="437"/>
      <c r="C696" s="436"/>
      <c r="D696" s="467">
        <v>46185</v>
      </c>
      <c r="E696" s="436" t="s">
        <v>601</v>
      </c>
      <c r="F696" s="436">
        <v>31835878.969999999</v>
      </c>
      <c r="G696" s="448">
        <v>46205.919999998063</v>
      </c>
      <c r="H696" s="436">
        <v>0</v>
      </c>
      <c r="I696" s="449">
        <v>0</v>
      </c>
    </row>
    <row r="697" spans="1:9" ht="15.75" customHeight="1" x14ac:dyDescent="0.2">
      <c r="A697" s="437"/>
      <c r="B697" s="437"/>
      <c r="C697" s="436"/>
      <c r="D697" s="467">
        <v>46186</v>
      </c>
      <c r="E697" s="436" t="s">
        <v>600</v>
      </c>
      <c r="F697" s="436">
        <v>31882084.890000001</v>
      </c>
      <c r="G697" s="448">
        <v>46205.920000001788</v>
      </c>
      <c r="H697" s="436">
        <v>0</v>
      </c>
      <c r="I697" s="449">
        <v>0</v>
      </c>
    </row>
    <row r="698" spans="1:9" ht="15.75" customHeight="1" x14ac:dyDescent="0.2">
      <c r="A698" s="437"/>
      <c r="B698" s="437"/>
      <c r="C698" s="436"/>
      <c r="D698" s="467">
        <v>46187</v>
      </c>
      <c r="E698" s="436" t="s">
        <v>599</v>
      </c>
      <c r="F698" s="436">
        <v>31928290.809999999</v>
      </c>
      <c r="G698" s="448">
        <v>46205.919999998063</v>
      </c>
      <c r="H698" s="436">
        <v>0</v>
      </c>
      <c r="I698" s="449">
        <v>0</v>
      </c>
    </row>
    <row r="699" spans="1:9" ht="15.75" customHeight="1" x14ac:dyDescent="0.2">
      <c r="A699" s="437"/>
      <c r="B699" s="437"/>
      <c r="C699" s="436"/>
      <c r="D699" s="467">
        <v>46188</v>
      </c>
      <c r="E699" s="436" t="s">
        <v>598</v>
      </c>
      <c r="F699" s="436">
        <v>31974496.73</v>
      </c>
      <c r="G699" s="448">
        <v>46205.920000001788</v>
      </c>
      <c r="H699" s="436">
        <v>0</v>
      </c>
      <c r="I699" s="449">
        <v>0</v>
      </c>
    </row>
    <row r="700" spans="1:9" ht="15.75" customHeight="1" x14ac:dyDescent="0.2">
      <c r="A700" s="437"/>
      <c r="B700" s="437"/>
      <c r="C700" s="436"/>
      <c r="D700" s="467">
        <v>46189</v>
      </c>
      <c r="E700" s="436" t="s">
        <v>597</v>
      </c>
      <c r="F700" s="436">
        <v>32020702.649999999</v>
      </c>
      <c r="G700" s="448">
        <v>46205.919999998063</v>
      </c>
      <c r="H700" s="436">
        <v>0</v>
      </c>
      <c r="I700" s="449">
        <v>0</v>
      </c>
    </row>
    <row r="701" spans="1:9" ht="15.75" customHeight="1" x14ac:dyDescent="0.2">
      <c r="A701" s="437"/>
      <c r="B701" s="437"/>
      <c r="C701" s="436"/>
      <c r="D701" s="467">
        <v>46190</v>
      </c>
      <c r="E701" s="436" t="s">
        <v>603</v>
      </c>
      <c r="F701" s="436">
        <v>32066908.57</v>
      </c>
      <c r="G701" s="448">
        <v>46205.920000001788</v>
      </c>
      <c r="H701" s="436">
        <v>323441.44000000134</v>
      </c>
      <c r="I701" s="449">
        <v>646882.87999999896</v>
      </c>
    </row>
    <row r="702" spans="1:9" ht="15.75" customHeight="1" x14ac:dyDescent="0.2">
      <c r="A702" s="437"/>
      <c r="B702" s="437"/>
      <c r="C702" s="436"/>
      <c r="D702" s="467">
        <v>46191</v>
      </c>
      <c r="E702" s="436" t="s">
        <v>602</v>
      </c>
      <c r="F702" s="436">
        <v>32113114.489999998</v>
      </c>
      <c r="G702" s="448">
        <v>46205.919999998063</v>
      </c>
      <c r="H702" s="436">
        <v>0</v>
      </c>
      <c r="I702" s="449">
        <v>0</v>
      </c>
    </row>
    <row r="703" spans="1:9" ht="15.75" customHeight="1" x14ac:dyDescent="0.2">
      <c r="A703" s="437"/>
      <c r="B703" s="437"/>
      <c r="C703" s="436"/>
      <c r="D703" s="467">
        <v>46192</v>
      </c>
      <c r="E703" s="436" t="s">
        <v>601</v>
      </c>
      <c r="F703" s="436">
        <v>32159320.41</v>
      </c>
      <c r="G703" s="448">
        <v>46205.920000001788</v>
      </c>
      <c r="H703" s="436">
        <v>0</v>
      </c>
      <c r="I703" s="449">
        <v>0</v>
      </c>
    </row>
    <row r="704" spans="1:9" ht="15.75" customHeight="1" x14ac:dyDescent="0.2">
      <c r="A704" s="437"/>
      <c r="B704" s="437"/>
      <c r="C704" s="436"/>
      <c r="D704" s="467">
        <v>46193</v>
      </c>
      <c r="E704" s="436" t="s">
        <v>600</v>
      </c>
      <c r="F704" s="436">
        <v>32205526.329999998</v>
      </c>
      <c r="G704" s="448">
        <v>46205.919999998063</v>
      </c>
      <c r="H704" s="436">
        <v>0</v>
      </c>
      <c r="I704" s="449">
        <v>0</v>
      </c>
    </row>
    <row r="705" spans="1:9" ht="15.75" customHeight="1" x14ac:dyDescent="0.2">
      <c r="A705" s="437"/>
      <c r="B705" s="437"/>
      <c r="C705" s="436"/>
      <c r="D705" s="467">
        <v>46194</v>
      </c>
      <c r="E705" s="436" t="s">
        <v>599</v>
      </c>
      <c r="F705" s="436">
        <v>32251732.25</v>
      </c>
      <c r="G705" s="448">
        <v>46205.920000001788</v>
      </c>
      <c r="H705" s="436">
        <v>0</v>
      </c>
      <c r="I705" s="449">
        <v>0</v>
      </c>
    </row>
    <row r="706" spans="1:9" ht="15.75" customHeight="1" x14ac:dyDescent="0.2">
      <c r="A706" s="437"/>
      <c r="B706" s="437"/>
      <c r="C706" s="436"/>
      <c r="D706" s="467">
        <v>46195</v>
      </c>
      <c r="E706" s="436" t="s">
        <v>598</v>
      </c>
      <c r="F706" s="436">
        <v>32297938.170000002</v>
      </c>
      <c r="G706" s="448">
        <v>46205.920000001788</v>
      </c>
      <c r="H706" s="436">
        <v>0</v>
      </c>
      <c r="I706" s="449">
        <v>0</v>
      </c>
    </row>
    <row r="707" spans="1:9" ht="15.75" customHeight="1" x14ac:dyDescent="0.2">
      <c r="A707" s="437"/>
      <c r="B707" s="437"/>
      <c r="C707" s="436"/>
      <c r="D707" s="467">
        <v>46196</v>
      </c>
      <c r="E707" s="436" t="s">
        <v>597</v>
      </c>
      <c r="F707" s="436">
        <v>32344144.09</v>
      </c>
      <c r="G707" s="448">
        <v>46205.919999998063</v>
      </c>
      <c r="H707" s="436">
        <v>0</v>
      </c>
      <c r="I707" s="449">
        <v>0</v>
      </c>
    </row>
    <row r="708" spans="1:9" ht="15.75" customHeight="1" x14ac:dyDescent="0.2">
      <c r="A708" s="437"/>
      <c r="B708" s="437"/>
      <c r="C708" s="436"/>
      <c r="D708" s="467">
        <v>46197</v>
      </c>
      <c r="E708" s="436" t="s">
        <v>603</v>
      </c>
      <c r="F708" s="436">
        <v>32390350.010000002</v>
      </c>
      <c r="G708" s="448">
        <v>46205.920000001788</v>
      </c>
      <c r="H708" s="436">
        <v>323441.44000000134</v>
      </c>
      <c r="I708" s="449">
        <v>0</v>
      </c>
    </row>
    <row r="709" spans="1:9" ht="15.75" customHeight="1" x14ac:dyDescent="0.2">
      <c r="A709" s="437"/>
      <c r="B709" s="437"/>
      <c r="C709" s="436"/>
      <c r="D709" s="467">
        <v>46198</v>
      </c>
      <c r="E709" s="436" t="s">
        <v>602</v>
      </c>
      <c r="F709" s="436">
        <v>32436555.93</v>
      </c>
      <c r="G709" s="448">
        <v>46205.919999998063</v>
      </c>
      <c r="H709" s="436">
        <v>0</v>
      </c>
      <c r="I709" s="449">
        <v>0</v>
      </c>
    </row>
    <row r="710" spans="1:9" ht="15.75" customHeight="1" x14ac:dyDescent="0.2">
      <c r="A710" s="437"/>
      <c r="B710" s="437"/>
      <c r="C710" s="436"/>
      <c r="D710" s="467">
        <v>46199</v>
      </c>
      <c r="E710" s="436" t="s">
        <v>601</v>
      </c>
      <c r="F710" s="436">
        <v>32482761.850000001</v>
      </c>
      <c r="G710" s="448">
        <v>46205.920000001788</v>
      </c>
      <c r="H710" s="436">
        <v>0</v>
      </c>
      <c r="I710" s="449">
        <v>0</v>
      </c>
    </row>
    <row r="711" spans="1:9" ht="15.75" customHeight="1" x14ac:dyDescent="0.2">
      <c r="A711" s="437"/>
      <c r="B711" s="437"/>
      <c r="C711" s="436"/>
      <c r="D711" s="467">
        <v>46200</v>
      </c>
      <c r="E711" s="436" t="s">
        <v>600</v>
      </c>
      <c r="F711" s="436">
        <v>32528967.77</v>
      </c>
      <c r="G711" s="448">
        <v>46205.919999998063</v>
      </c>
      <c r="H711" s="436">
        <v>0</v>
      </c>
      <c r="I711" s="449">
        <v>0</v>
      </c>
    </row>
    <row r="712" spans="1:9" ht="15.75" customHeight="1" x14ac:dyDescent="0.2">
      <c r="A712" s="437"/>
      <c r="B712" s="437"/>
      <c r="C712" s="436"/>
      <c r="D712" s="467">
        <v>46201</v>
      </c>
      <c r="E712" s="436" t="s">
        <v>599</v>
      </c>
      <c r="F712" s="436">
        <v>32575173.690000001</v>
      </c>
      <c r="G712" s="448">
        <v>46205.920000001788</v>
      </c>
      <c r="H712" s="436">
        <v>0</v>
      </c>
      <c r="I712" s="449">
        <v>0</v>
      </c>
    </row>
    <row r="713" spans="1:9" ht="15.75" customHeight="1" x14ac:dyDescent="0.2">
      <c r="A713" s="437"/>
      <c r="B713" s="437"/>
      <c r="C713" s="436"/>
      <c r="D713" s="467">
        <v>46202</v>
      </c>
      <c r="E713" s="436" t="s">
        <v>598</v>
      </c>
      <c r="F713" s="436">
        <v>32621379.609999999</v>
      </c>
      <c r="G713" s="448">
        <v>46205.919999998063</v>
      </c>
      <c r="H713" s="436">
        <v>0</v>
      </c>
      <c r="I713" s="449">
        <v>0</v>
      </c>
    </row>
    <row r="714" spans="1:9" ht="15.75" customHeight="1" x14ac:dyDescent="0.2">
      <c r="A714" s="437"/>
      <c r="B714" s="437"/>
      <c r="C714" s="436"/>
      <c r="D714" s="467">
        <v>46203</v>
      </c>
      <c r="E714" s="436" t="s">
        <v>597</v>
      </c>
      <c r="F714" s="436">
        <v>32667585.530000001</v>
      </c>
      <c r="G714" s="448">
        <v>46205.920000001788</v>
      </c>
      <c r="H714" s="436">
        <v>0</v>
      </c>
      <c r="I714" s="449">
        <v>0</v>
      </c>
    </row>
    <row r="715" spans="1:9" ht="15.75" customHeight="1" x14ac:dyDescent="0.2">
      <c r="A715" s="437"/>
      <c r="B715" s="437"/>
      <c r="C715" s="436"/>
      <c r="D715" s="467">
        <v>46204</v>
      </c>
      <c r="E715" s="436" t="s">
        <v>603</v>
      </c>
      <c r="F715" s="436">
        <v>32713791.449999999</v>
      </c>
      <c r="G715" s="448">
        <v>46205.919999998063</v>
      </c>
      <c r="H715" s="436">
        <v>323441.43999999762</v>
      </c>
      <c r="I715" s="449">
        <v>646882.87999999896</v>
      </c>
    </row>
    <row r="716" spans="1:9" ht="15.75" customHeight="1" x14ac:dyDescent="0.2">
      <c r="A716" s="437"/>
      <c r="B716" s="437"/>
      <c r="C716" s="436"/>
      <c r="D716" s="467">
        <v>46205</v>
      </c>
      <c r="E716" s="436" t="s">
        <v>602</v>
      </c>
      <c r="F716" s="436">
        <v>32759997.370000001</v>
      </c>
      <c r="G716" s="448">
        <v>46205.920000001788</v>
      </c>
      <c r="H716" s="436">
        <v>0</v>
      </c>
      <c r="I716" s="449">
        <v>0</v>
      </c>
    </row>
    <row r="717" spans="1:9" ht="15.75" customHeight="1" x14ac:dyDescent="0.2">
      <c r="A717" s="437"/>
      <c r="B717" s="437"/>
      <c r="C717" s="436"/>
      <c r="D717" s="467">
        <v>46206</v>
      </c>
      <c r="E717" s="436" t="s">
        <v>601</v>
      </c>
      <c r="F717" s="436">
        <v>32806203.289999999</v>
      </c>
      <c r="G717" s="448">
        <v>46205.919999998063</v>
      </c>
      <c r="H717" s="436">
        <v>0</v>
      </c>
      <c r="I717" s="449">
        <v>0</v>
      </c>
    </row>
    <row r="718" spans="1:9" ht="15.75" customHeight="1" x14ac:dyDescent="0.2">
      <c r="A718" s="437"/>
      <c r="B718" s="437"/>
      <c r="C718" s="436"/>
      <c r="D718" s="467">
        <v>46207</v>
      </c>
      <c r="E718" s="436" t="s">
        <v>600</v>
      </c>
      <c r="F718" s="436">
        <v>32852409.210000001</v>
      </c>
      <c r="G718" s="448">
        <v>46205.920000001788</v>
      </c>
      <c r="H718" s="436">
        <v>0</v>
      </c>
      <c r="I718" s="449">
        <v>0</v>
      </c>
    </row>
    <row r="719" spans="1:9" ht="15.75" customHeight="1" x14ac:dyDescent="0.2">
      <c r="A719" s="437"/>
      <c r="B719" s="437"/>
      <c r="C719" s="436"/>
      <c r="D719" s="467">
        <v>46208</v>
      </c>
      <c r="E719" s="436" t="s">
        <v>599</v>
      </c>
      <c r="F719" s="436">
        <v>32898615.129999999</v>
      </c>
      <c r="G719" s="448">
        <v>46205.919999998063</v>
      </c>
      <c r="H719" s="436">
        <v>0</v>
      </c>
      <c r="I719" s="449">
        <v>0</v>
      </c>
    </row>
    <row r="720" spans="1:9" ht="15.75" customHeight="1" x14ac:dyDescent="0.2">
      <c r="A720" s="437"/>
      <c r="B720" s="437"/>
      <c r="C720" s="436"/>
      <c r="D720" s="467">
        <v>46209</v>
      </c>
      <c r="E720" s="436" t="s">
        <v>598</v>
      </c>
      <c r="F720" s="436">
        <v>32944821.050000001</v>
      </c>
      <c r="G720" s="448">
        <v>46205.920000001788</v>
      </c>
      <c r="H720" s="436">
        <v>0</v>
      </c>
      <c r="I720" s="449">
        <v>0</v>
      </c>
    </row>
    <row r="721" spans="1:9" ht="15.75" customHeight="1" x14ac:dyDescent="0.2">
      <c r="A721" s="437"/>
      <c r="B721" s="437"/>
      <c r="C721" s="436"/>
      <c r="D721" s="467">
        <v>46210</v>
      </c>
      <c r="E721" s="436" t="s">
        <v>597</v>
      </c>
      <c r="F721" s="436">
        <v>32991026.969999999</v>
      </c>
      <c r="G721" s="448">
        <v>46205.919999998063</v>
      </c>
      <c r="H721" s="436">
        <v>0</v>
      </c>
      <c r="I721" s="449">
        <v>0</v>
      </c>
    </row>
    <row r="722" spans="1:9" ht="15.75" customHeight="1" x14ac:dyDescent="0.2">
      <c r="A722" s="437"/>
      <c r="B722" s="437"/>
      <c r="C722" s="436"/>
      <c r="D722" s="467">
        <v>46211</v>
      </c>
      <c r="E722" s="436" t="s">
        <v>603</v>
      </c>
      <c r="F722" s="436">
        <v>33037232.890000001</v>
      </c>
      <c r="G722" s="448">
        <v>46205.920000001788</v>
      </c>
      <c r="H722" s="436">
        <v>323441.44000000134</v>
      </c>
      <c r="I722" s="449">
        <v>0</v>
      </c>
    </row>
    <row r="723" spans="1:9" ht="15.75" customHeight="1" x14ac:dyDescent="0.2">
      <c r="A723" s="437"/>
      <c r="B723" s="437"/>
      <c r="C723" s="436"/>
      <c r="D723" s="467">
        <v>46212</v>
      </c>
      <c r="E723" s="436" t="s">
        <v>602</v>
      </c>
      <c r="F723" s="436">
        <v>33083438.809999999</v>
      </c>
      <c r="G723" s="448">
        <v>46205.919999998063</v>
      </c>
      <c r="H723" s="436">
        <v>0</v>
      </c>
      <c r="I723" s="449">
        <v>0</v>
      </c>
    </row>
    <row r="724" spans="1:9" ht="15.75" customHeight="1" x14ac:dyDescent="0.2">
      <c r="A724" s="437"/>
      <c r="B724" s="437"/>
      <c r="C724" s="436"/>
      <c r="D724" s="467">
        <v>46213</v>
      </c>
      <c r="E724" s="436" t="s">
        <v>601</v>
      </c>
      <c r="F724" s="436">
        <v>33129644.73</v>
      </c>
      <c r="G724" s="448">
        <v>46205.920000001788</v>
      </c>
      <c r="H724" s="436">
        <v>0</v>
      </c>
      <c r="I724" s="449">
        <v>0</v>
      </c>
    </row>
    <row r="725" spans="1:9" ht="15.75" customHeight="1" x14ac:dyDescent="0.2">
      <c r="A725" s="437"/>
      <c r="B725" s="437"/>
      <c r="C725" s="436"/>
      <c r="D725" s="467">
        <v>46214</v>
      </c>
      <c r="E725" s="436" t="s">
        <v>600</v>
      </c>
      <c r="F725" s="436">
        <v>33175850.649999999</v>
      </c>
      <c r="G725" s="448">
        <v>46205.919999998063</v>
      </c>
      <c r="H725" s="436">
        <v>0</v>
      </c>
      <c r="I725" s="449">
        <v>0</v>
      </c>
    </row>
    <row r="726" spans="1:9" ht="15.75" customHeight="1" x14ac:dyDescent="0.2">
      <c r="A726" s="437"/>
      <c r="B726" s="437"/>
      <c r="C726" s="436"/>
      <c r="D726" s="467">
        <v>46215</v>
      </c>
      <c r="E726" s="436" t="s">
        <v>599</v>
      </c>
      <c r="F726" s="436">
        <v>33222056.57</v>
      </c>
      <c r="G726" s="448">
        <v>46205.920000001788</v>
      </c>
      <c r="H726" s="436">
        <v>0</v>
      </c>
      <c r="I726" s="449">
        <v>0</v>
      </c>
    </row>
    <row r="727" spans="1:9" ht="15.75" customHeight="1" x14ac:dyDescent="0.2">
      <c r="A727" s="437"/>
      <c r="B727" s="437"/>
      <c r="C727" s="436"/>
      <c r="D727" s="467">
        <v>46216</v>
      </c>
      <c r="E727" s="436" t="s">
        <v>598</v>
      </c>
      <c r="F727" s="436">
        <v>33268262.489999998</v>
      </c>
      <c r="G727" s="448">
        <v>46205.919999998063</v>
      </c>
      <c r="H727" s="436">
        <v>0</v>
      </c>
      <c r="I727" s="449">
        <v>0</v>
      </c>
    </row>
    <row r="728" spans="1:9" ht="15.75" customHeight="1" x14ac:dyDescent="0.2">
      <c r="A728" s="437"/>
      <c r="B728" s="437"/>
      <c r="C728" s="436"/>
      <c r="D728" s="467">
        <v>46217</v>
      </c>
      <c r="E728" s="436" t="s">
        <v>597</v>
      </c>
      <c r="F728" s="436">
        <v>33314468.41</v>
      </c>
      <c r="G728" s="448">
        <v>46205.920000001788</v>
      </c>
      <c r="H728" s="436">
        <v>0</v>
      </c>
      <c r="I728" s="449">
        <v>0</v>
      </c>
    </row>
    <row r="729" spans="1:9" ht="15.75" customHeight="1" x14ac:dyDescent="0.2">
      <c r="A729" s="437"/>
      <c r="B729" s="437"/>
      <c r="C729" s="436"/>
      <c r="D729" s="467">
        <v>46218</v>
      </c>
      <c r="E729" s="436" t="s">
        <v>603</v>
      </c>
      <c r="F729" s="436">
        <v>33360674.329999998</v>
      </c>
      <c r="G729" s="448">
        <v>46205.919999998063</v>
      </c>
      <c r="H729" s="436">
        <v>323441.43999999762</v>
      </c>
      <c r="I729" s="449">
        <v>646882.87999999896</v>
      </c>
    </row>
    <row r="730" spans="1:9" ht="15.75" customHeight="1" x14ac:dyDescent="0.2">
      <c r="A730" s="437"/>
      <c r="B730" s="437"/>
      <c r="C730" s="436"/>
      <c r="D730" s="467">
        <v>46219</v>
      </c>
      <c r="E730" s="436" t="s">
        <v>602</v>
      </c>
      <c r="F730" s="436">
        <v>33406880.25</v>
      </c>
      <c r="G730" s="448">
        <v>46205.920000001788</v>
      </c>
      <c r="H730" s="436">
        <v>0</v>
      </c>
      <c r="I730" s="449">
        <v>0</v>
      </c>
    </row>
    <row r="731" spans="1:9" ht="15.75" customHeight="1" x14ac:dyDescent="0.2">
      <c r="A731" s="437"/>
      <c r="B731" s="437"/>
      <c r="C731" s="436"/>
      <c r="D731" s="467">
        <v>46220</v>
      </c>
      <c r="E731" s="436" t="s">
        <v>601</v>
      </c>
      <c r="F731" s="436">
        <v>33453086.170000002</v>
      </c>
      <c r="G731" s="448">
        <v>46205.920000001788</v>
      </c>
      <c r="H731" s="436">
        <v>0</v>
      </c>
      <c r="I731" s="449">
        <v>0</v>
      </c>
    </row>
    <row r="732" spans="1:9" ht="15.75" customHeight="1" x14ac:dyDescent="0.2">
      <c r="A732" s="437"/>
      <c r="B732" s="437"/>
      <c r="C732" s="436"/>
      <c r="D732" s="467">
        <v>46221</v>
      </c>
      <c r="E732" s="436" t="s">
        <v>600</v>
      </c>
      <c r="F732" s="436">
        <v>33499292.09</v>
      </c>
      <c r="G732" s="448">
        <v>46205.919999998063</v>
      </c>
      <c r="H732" s="436">
        <v>0</v>
      </c>
      <c r="I732" s="449">
        <v>0</v>
      </c>
    </row>
    <row r="733" spans="1:9" ht="15.75" customHeight="1" x14ac:dyDescent="0.2">
      <c r="A733" s="437"/>
      <c r="B733" s="437"/>
      <c r="C733" s="436"/>
      <c r="D733" s="467">
        <v>46222</v>
      </c>
      <c r="E733" s="436" t="s">
        <v>599</v>
      </c>
      <c r="F733" s="436">
        <v>33545498.010000002</v>
      </c>
      <c r="G733" s="448">
        <v>46205.920000001788</v>
      </c>
      <c r="H733" s="436">
        <v>0</v>
      </c>
      <c r="I733" s="449">
        <v>0</v>
      </c>
    </row>
    <row r="734" spans="1:9" ht="15.75" customHeight="1" x14ac:dyDescent="0.2">
      <c r="A734" s="437"/>
      <c r="B734" s="437"/>
      <c r="C734" s="436"/>
      <c r="D734" s="467">
        <v>46223</v>
      </c>
      <c r="E734" s="436" t="s">
        <v>598</v>
      </c>
      <c r="F734" s="436">
        <v>33591703.93</v>
      </c>
      <c r="G734" s="448">
        <v>46205.919999998063</v>
      </c>
      <c r="H734" s="436">
        <v>0</v>
      </c>
      <c r="I734" s="449">
        <v>0</v>
      </c>
    </row>
    <row r="735" spans="1:9" ht="15.75" customHeight="1" x14ac:dyDescent="0.2">
      <c r="A735" s="437"/>
      <c r="B735" s="437"/>
      <c r="C735" s="436"/>
      <c r="D735" s="467">
        <v>46224</v>
      </c>
      <c r="E735" s="436" t="s">
        <v>597</v>
      </c>
      <c r="F735" s="436">
        <v>33637909.850000001</v>
      </c>
      <c r="G735" s="448">
        <v>46205.920000001788</v>
      </c>
      <c r="H735" s="436">
        <v>0</v>
      </c>
      <c r="I735" s="449">
        <v>0</v>
      </c>
    </row>
    <row r="736" spans="1:9" ht="15.75" customHeight="1" x14ac:dyDescent="0.2">
      <c r="A736" s="437"/>
      <c r="B736" s="437"/>
      <c r="C736" s="436"/>
      <c r="D736" s="467">
        <v>46225</v>
      </c>
      <c r="E736" s="436" t="s">
        <v>603</v>
      </c>
      <c r="F736" s="436">
        <v>33684115.770000003</v>
      </c>
      <c r="G736" s="448">
        <v>46205.920000001788</v>
      </c>
      <c r="H736" s="436">
        <v>323441.44000000507</v>
      </c>
      <c r="I736" s="449">
        <v>0</v>
      </c>
    </row>
    <row r="737" spans="1:9" ht="15.75" customHeight="1" x14ac:dyDescent="0.2">
      <c r="A737" s="437"/>
      <c r="B737" s="437"/>
      <c r="C737" s="436"/>
      <c r="D737" s="467">
        <v>46226</v>
      </c>
      <c r="E737" s="436" t="s">
        <v>602</v>
      </c>
      <c r="F737" s="436">
        <v>33730321.689999998</v>
      </c>
      <c r="G737" s="448">
        <v>46205.919999994338</v>
      </c>
      <c r="H737" s="436">
        <v>0</v>
      </c>
      <c r="I737" s="449">
        <v>0</v>
      </c>
    </row>
    <row r="738" spans="1:9" ht="15.75" customHeight="1" x14ac:dyDescent="0.2">
      <c r="A738" s="437"/>
      <c r="B738" s="437"/>
      <c r="C738" s="436"/>
      <c r="D738" s="467">
        <v>46227</v>
      </c>
      <c r="E738" s="436" t="s">
        <v>601</v>
      </c>
      <c r="F738" s="436">
        <v>33769678.299999997</v>
      </c>
      <c r="G738" s="448">
        <v>39356.609999999404</v>
      </c>
      <c r="H738" s="436">
        <v>0</v>
      </c>
      <c r="I738" s="449">
        <v>0</v>
      </c>
    </row>
    <row r="739" spans="1:9" ht="15.75" customHeight="1" x14ac:dyDescent="0.2">
      <c r="A739" s="437"/>
      <c r="B739" s="437"/>
      <c r="C739" s="436"/>
      <c r="D739" s="467">
        <v>46228</v>
      </c>
      <c r="E739" s="436" t="s">
        <v>600</v>
      </c>
      <c r="F739" s="436">
        <v>33809034.899999999</v>
      </c>
      <c r="G739" s="448">
        <v>39356.60000000149</v>
      </c>
      <c r="H739" s="436">
        <v>0</v>
      </c>
      <c r="I739" s="449">
        <v>0</v>
      </c>
    </row>
    <row r="740" spans="1:9" ht="15.75" customHeight="1" x14ac:dyDescent="0.2">
      <c r="A740" s="437"/>
      <c r="B740" s="437"/>
      <c r="C740" s="436"/>
      <c r="D740" s="467">
        <v>46229</v>
      </c>
      <c r="E740" s="436" t="s">
        <v>599</v>
      </c>
      <c r="F740" s="436">
        <v>33848391.509999998</v>
      </c>
      <c r="G740" s="448">
        <v>39356.609999999404</v>
      </c>
      <c r="H740" s="436">
        <v>0</v>
      </c>
      <c r="I740" s="449">
        <v>0</v>
      </c>
    </row>
    <row r="741" spans="1:9" ht="15.75" customHeight="1" x14ac:dyDescent="0.2">
      <c r="A741" s="437"/>
      <c r="B741" s="437"/>
      <c r="C741" s="436"/>
      <c r="D741" s="467">
        <v>46230</v>
      </c>
      <c r="E741" s="436" t="s">
        <v>598</v>
      </c>
      <c r="F741" s="436">
        <v>33887748.109999999</v>
      </c>
      <c r="G741" s="448">
        <v>39356.60000000149</v>
      </c>
      <c r="H741" s="436">
        <v>0</v>
      </c>
      <c r="I741" s="449">
        <v>0</v>
      </c>
    </row>
    <row r="742" spans="1:9" ht="15.75" customHeight="1" x14ac:dyDescent="0.2">
      <c r="A742" s="437"/>
      <c r="B742" s="437"/>
      <c r="C742" s="436"/>
      <c r="D742" s="467">
        <v>46231</v>
      </c>
      <c r="E742" s="436" t="s">
        <v>597</v>
      </c>
      <c r="F742" s="436">
        <v>33927104.719999999</v>
      </c>
      <c r="G742" s="448">
        <v>39356.609999999404</v>
      </c>
      <c r="H742" s="436">
        <v>0</v>
      </c>
      <c r="I742" s="449">
        <v>0</v>
      </c>
    </row>
    <row r="743" spans="1:9" ht="15.75" customHeight="1" x14ac:dyDescent="0.2">
      <c r="A743" s="437"/>
      <c r="B743" s="437"/>
      <c r="C743" s="436"/>
      <c r="D743" s="467">
        <v>46232</v>
      </c>
      <c r="E743" s="436" t="s">
        <v>603</v>
      </c>
      <c r="F743" s="436">
        <v>33966461.32</v>
      </c>
      <c r="G743" s="448">
        <v>39356.60000000149</v>
      </c>
      <c r="H743" s="436">
        <v>282345.54999999702</v>
      </c>
      <c r="I743" s="449">
        <v>605786.99000000209</v>
      </c>
    </row>
    <row r="744" spans="1:9" ht="15.75" customHeight="1" x14ac:dyDescent="0.2">
      <c r="A744" s="437"/>
      <c r="B744" s="437"/>
      <c r="C744" s="436"/>
      <c r="D744" s="467">
        <v>46233</v>
      </c>
      <c r="E744" s="436" t="s">
        <v>602</v>
      </c>
      <c r="F744" s="436">
        <v>34005817.93</v>
      </c>
      <c r="G744" s="448">
        <v>39356.609999999404</v>
      </c>
      <c r="H744" s="436">
        <v>0</v>
      </c>
      <c r="I744" s="449">
        <v>0</v>
      </c>
    </row>
    <row r="745" spans="1:9" ht="15.75" customHeight="1" x14ac:dyDescent="0.2">
      <c r="A745" s="437"/>
      <c r="B745" s="437"/>
      <c r="C745" s="436"/>
      <c r="D745" s="467">
        <v>46234</v>
      </c>
      <c r="E745" s="436" t="s">
        <v>601</v>
      </c>
      <c r="F745" s="436">
        <v>34045174.530000001</v>
      </c>
      <c r="G745" s="448">
        <v>39356.60000000149</v>
      </c>
      <c r="H745" s="436">
        <v>0</v>
      </c>
      <c r="I745" s="449">
        <v>0</v>
      </c>
    </row>
    <row r="746" spans="1:9" ht="15.75" customHeight="1" x14ac:dyDescent="0.2">
      <c r="A746" s="437"/>
      <c r="B746" s="437"/>
      <c r="C746" s="436"/>
      <c r="D746" s="467">
        <v>46235</v>
      </c>
      <c r="E746" s="436" t="s">
        <v>600</v>
      </c>
      <c r="F746" s="436">
        <v>34084531.140000001</v>
      </c>
      <c r="G746" s="448">
        <v>39356.609999999404</v>
      </c>
      <c r="H746" s="436">
        <v>0</v>
      </c>
      <c r="I746" s="449">
        <v>0</v>
      </c>
    </row>
    <row r="747" spans="1:9" ht="15.75" customHeight="1" x14ac:dyDescent="0.2">
      <c r="A747" s="437"/>
      <c r="B747" s="437"/>
      <c r="C747" s="436"/>
      <c r="D747" s="467">
        <v>46236</v>
      </c>
      <c r="E747" s="436" t="s">
        <v>599</v>
      </c>
      <c r="F747" s="436">
        <v>34123887.740000002</v>
      </c>
      <c r="G747" s="448">
        <v>39356.60000000149</v>
      </c>
      <c r="H747" s="436">
        <v>0</v>
      </c>
      <c r="I747" s="449">
        <v>0</v>
      </c>
    </row>
    <row r="748" spans="1:9" ht="15.75" customHeight="1" x14ac:dyDescent="0.2">
      <c r="A748" s="437"/>
      <c r="B748" s="437"/>
      <c r="C748" s="436"/>
      <c r="D748" s="467">
        <v>46237</v>
      </c>
      <c r="E748" s="436" t="s">
        <v>598</v>
      </c>
      <c r="F748" s="436">
        <v>34163244.350000001</v>
      </c>
      <c r="G748" s="448">
        <v>39356.609999999404</v>
      </c>
      <c r="H748" s="436">
        <v>0</v>
      </c>
      <c r="I748" s="449">
        <v>0</v>
      </c>
    </row>
    <row r="749" spans="1:9" ht="15.75" customHeight="1" x14ac:dyDescent="0.2">
      <c r="A749" s="437"/>
      <c r="B749" s="437"/>
      <c r="C749" s="436"/>
      <c r="D749" s="467">
        <v>46238</v>
      </c>
      <c r="E749" s="436" t="s">
        <v>597</v>
      </c>
      <c r="F749" s="436">
        <v>34202600.950000003</v>
      </c>
      <c r="G749" s="448">
        <v>39356.60000000149</v>
      </c>
      <c r="H749" s="436">
        <v>0</v>
      </c>
      <c r="I749" s="449">
        <v>0</v>
      </c>
    </row>
    <row r="750" spans="1:9" ht="15.75" customHeight="1" x14ac:dyDescent="0.2">
      <c r="A750" s="437"/>
      <c r="B750" s="437"/>
      <c r="C750" s="436"/>
      <c r="D750" s="467">
        <v>46239</v>
      </c>
      <c r="E750" s="436" t="s">
        <v>603</v>
      </c>
      <c r="F750" s="436">
        <v>34241957.560000002</v>
      </c>
      <c r="G750" s="448">
        <v>39356.609999999404</v>
      </c>
      <c r="H750" s="436">
        <v>275496.24000000209</v>
      </c>
      <c r="I750" s="449">
        <v>0</v>
      </c>
    </row>
    <row r="751" spans="1:9" ht="15.75" customHeight="1" x14ac:dyDescent="0.2">
      <c r="A751" s="437"/>
      <c r="B751" s="437"/>
      <c r="C751" s="436"/>
      <c r="D751" s="467">
        <v>46240</v>
      </c>
      <c r="E751" s="436" t="s">
        <v>602</v>
      </c>
      <c r="F751" s="436">
        <v>34281314.159999996</v>
      </c>
      <c r="G751" s="448">
        <v>39356.59999999404</v>
      </c>
      <c r="H751" s="436">
        <v>0</v>
      </c>
      <c r="I751" s="449">
        <v>0</v>
      </c>
    </row>
    <row r="752" spans="1:9" ht="15.75" customHeight="1" x14ac:dyDescent="0.2">
      <c r="A752" s="437"/>
      <c r="B752" s="437"/>
      <c r="C752" s="436"/>
      <c r="D752" s="467">
        <v>46241</v>
      </c>
      <c r="E752" s="436" t="s">
        <v>601</v>
      </c>
      <c r="F752" s="436">
        <v>34320670.770000003</v>
      </c>
      <c r="G752" s="448">
        <v>39356.610000006855</v>
      </c>
      <c r="H752" s="436">
        <v>0</v>
      </c>
      <c r="I752" s="449">
        <v>0</v>
      </c>
    </row>
    <row r="753" spans="1:9" ht="15.75" customHeight="1" x14ac:dyDescent="0.2">
      <c r="A753" s="437"/>
      <c r="B753" s="437"/>
      <c r="C753" s="436"/>
      <c r="D753" s="467">
        <v>46242</v>
      </c>
      <c r="E753" s="436" t="s">
        <v>600</v>
      </c>
      <c r="F753" s="436">
        <v>34360027.369999997</v>
      </c>
      <c r="G753" s="448">
        <v>39356.59999999404</v>
      </c>
      <c r="H753" s="436">
        <v>0</v>
      </c>
      <c r="I753" s="449">
        <v>0</v>
      </c>
    </row>
    <row r="754" spans="1:9" ht="15.75" customHeight="1" x14ac:dyDescent="0.2">
      <c r="A754" s="437"/>
      <c r="B754" s="437"/>
      <c r="C754" s="436"/>
      <c r="D754" s="467">
        <v>46243</v>
      </c>
      <c r="E754" s="436" t="s">
        <v>599</v>
      </c>
      <c r="F754" s="436">
        <v>34399383.979999997</v>
      </c>
      <c r="G754" s="448">
        <v>39356.609999999404</v>
      </c>
      <c r="H754" s="436">
        <v>0</v>
      </c>
      <c r="I754" s="449">
        <v>0</v>
      </c>
    </row>
    <row r="755" spans="1:9" ht="15.75" customHeight="1" x14ac:dyDescent="0.2">
      <c r="A755" s="437"/>
      <c r="B755" s="437"/>
      <c r="C755" s="436"/>
      <c r="D755" s="467">
        <v>46244</v>
      </c>
      <c r="E755" s="436" t="s">
        <v>598</v>
      </c>
      <c r="F755" s="436">
        <v>34438740.579999998</v>
      </c>
      <c r="G755" s="448">
        <v>39356.60000000149</v>
      </c>
      <c r="H755" s="436">
        <v>0</v>
      </c>
      <c r="I755" s="449">
        <v>0</v>
      </c>
    </row>
    <row r="756" spans="1:9" ht="15.75" customHeight="1" x14ac:dyDescent="0.2">
      <c r="A756" s="437"/>
      <c r="B756" s="437"/>
      <c r="C756" s="436"/>
      <c r="D756" s="467">
        <v>46245</v>
      </c>
      <c r="E756" s="436" t="s">
        <v>597</v>
      </c>
      <c r="F756" s="436">
        <v>34478097.189999998</v>
      </c>
      <c r="G756" s="448">
        <v>39356.609999999404</v>
      </c>
      <c r="H756" s="436">
        <v>0</v>
      </c>
      <c r="I756" s="449">
        <v>0</v>
      </c>
    </row>
    <row r="757" spans="1:9" ht="15.75" customHeight="1" x14ac:dyDescent="0.2">
      <c r="A757" s="437"/>
      <c r="B757" s="437"/>
      <c r="C757" s="436"/>
      <c r="D757" s="467">
        <v>46246</v>
      </c>
      <c r="E757" s="436" t="s">
        <v>603</v>
      </c>
      <c r="F757" s="436">
        <v>34517453.789999999</v>
      </c>
      <c r="G757" s="448">
        <v>39356.60000000149</v>
      </c>
      <c r="H757" s="436">
        <v>275496.22999999672</v>
      </c>
      <c r="I757" s="449">
        <v>550992.46999999881</v>
      </c>
    </row>
    <row r="758" spans="1:9" ht="15.75" customHeight="1" x14ac:dyDescent="0.2">
      <c r="A758" s="437"/>
      <c r="B758" s="437"/>
      <c r="C758" s="436"/>
      <c r="D758" s="467">
        <v>46247</v>
      </c>
      <c r="E758" s="436" t="s">
        <v>602</v>
      </c>
      <c r="F758" s="436">
        <v>34556810.399999999</v>
      </c>
      <c r="G758" s="448">
        <v>39356.609999999404</v>
      </c>
      <c r="H758" s="436">
        <v>0</v>
      </c>
      <c r="I758" s="449">
        <v>0</v>
      </c>
    </row>
    <row r="759" spans="1:9" ht="15.75" customHeight="1" x14ac:dyDescent="0.2">
      <c r="A759" s="437"/>
      <c r="B759" s="437"/>
      <c r="C759" s="436"/>
      <c r="D759" s="467">
        <v>46248</v>
      </c>
      <c r="E759" s="436" t="s">
        <v>601</v>
      </c>
      <c r="F759" s="436">
        <v>34596167</v>
      </c>
      <c r="G759" s="448">
        <v>39356.60000000149</v>
      </c>
      <c r="H759" s="436">
        <v>0</v>
      </c>
      <c r="I759" s="449">
        <v>0</v>
      </c>
    </row>
    <row r="760" spans="1:9" ht="15.75" customHeight="1" x14ac:dyDescent="0.2">
      <c r="A760" s="437"/>
      <c r="B760" s="437"/>
      <c r="C760" s="436"/>
      <c r="D760" s="467">
        <v>46249</v>
      </c>
      <c r="E760" s="436" t="s">
        <v>600</v>
      </c>
      <c r="F760" s="436">
        <v>34635523.609999999</v>
      </c>
      <c r="G760" s="448">
        <v>39356.609999999404</v>
      </c>
      <c r="H760" s="436">
        <v>0</v>
      </c>
      <c r="I760" s="449">
        <v>0</v>
      </c>
    </row>
    <row r="761" spans="1:9" ht="15.75" customHeight="1" x14ac:dyDescent="0.2">
      <c r="A761" s="437"/>
      <c r="B761" s="437"/>
      <c r="C761" s="436"/>
      <c r="D761" s="467">
        <v>46250</v>
      </c>
      <c r="E761" s="436" t="s">
        <v>599</v>
      </c>
      <c r="F761" s="436">
        <v>34674880.210000001</v>
      </c>
      <c r="G761" s="448">
        <v>39356.60000000149</v>
      </c>
      <c r="H761" s="436">
        <v>0</v>
      </c>
      <c r="I761" s="449">
        <v>0</v>
      </c>
    </row>
    <row r="762" spans="1:9" ht="15.75" customHeight="1" x14ac:dyDescent="0.2">
      <c r="A762" s="437"/>
      <c r="B762" s="437"/>
      <c r="C762" s="436"/>
      <c r="D762" s="467">
        <v>46251</v>
      </c>
      <c r="E762" s="436" t="s">
        <v>598</v>
      </c>
      <c r="F762" s="436">
        <v>34714236.82</v>
      </c>
      <c r="G762" s="448">
        <v>39356.609999999404</v>
      </c>
      <c r="H762" s="436">
        <v>0</v>
      </c>
      <c r="I762" s="449">
        <v>0</v>
      </c>
    </row>
    <row r="763" spans="1:9" ht="15.75" customHeight="1" x14ac:dyDescent="0.2">
      <c r="A763" s="437"/>
      <c r="B763" s="437"/>
      <c r="C763" s="436"/>
      <c r="D763" s="467">
        <v>46252</v>
      </c>
      <c r="E763" s="436" t="s">
        <v>597</v>
      </c>
      <c r="F763" s="436">
        <v>34753593.420000002</v>
      </c>
      <c r="G763" s="448">
        <v>39356.60000000149</v>
      </c>
      <c r="H763" s="436">
        <v>0</v>
      </c>
      <c r="I763" s="449">
        <v>0</v>
      </c>
    </row>
    <row r="764" spans="1:9" ht="15.75" customHeight="1" x14ac:dyDescent="0.2">
      <c r="A764" s="437"/>
      <c r="B764" s="437"/>
      <c r="C764" s="436"/>
      <c r="D764" s="467">
        <v>46253</v>
      </c>
      <c r="E764" s="436" t="s">
        <v>603</v>
      </c>
      <c r="F764" s="436">
        <v>34792950.030000001</v>
      </c>
      <c r="G764" s="448">
        <v>39356.609999999404</v>
      </c>
      <c r="H764" s="436">
        <v>275496.24000000209</v>
      </c>
      <c r="I764" s="449">
        <v>0</v>
      </c>
    </row>
    <row r="765" spans="1:9" ht="15.75" customHeight="1" x14ac:dyDescent="0.2">
      <c r="A765" s="437"/>
      <c r="B765" s="437"/>
      <c r="C765" s="436"/>
      <c r="D765" s="467">
        <v>46254</v>
      </c>
      <c r="E765" s="436" t="s">
        <v>602</v>
      </c>
      <c r="F765" s="436">
        <v>34832306.630000003</v>
      </c>
      <c r="G765" s="448">
        <v>39356.60000000149</v>
      </c>
      <c r="H765" s="436">
        <v>0</v>
      </c>
      <c r="I765" s="449">
        <v>0</v>
      </c>
    </row>
    <row r="766" spans="1:9" ht="15.75" customHeight="1" x14ac:dyDescent="0.2">
      <c r="A766" s="437"/>
      <c r="B766" s="437"/>
      <c r="C766" s="436"/>
      <c r="D766" s="467">
        <v>46255</v>
      </c>
      <c r="E766" s="436" t="s">
        <v>601</v>
      </c>
      <c r="F766" s="436">
        <v>34871663.240000002</v>
      </c>
      <c r="G766" s="448">
        <v>39356.609999999404</v>
      </c>
      <c r="H766" s="436">
        <v>0</v>
      </c>
      <c r="I766" s="449">
        <v>0</v>
      </c>
    </row>
    <row r="767" spans="1:9" ht="15.75" customHeight="1" x14ac:dyDescent="0.2">
      <c r="A767" s="437"/>
      <c r="B767" s="437"/>
      <c r="C767" s="436"/>
      <c r="D767" s="467">
        <v>46256</v>
      </c>
      <c r="E767" s="436" t="s">
        <v>600</v>
      </c>
      <c r="F767" s="436">
        <v>34911019.840000004</v>
      </c>
      <c r="G767" s="448">
        <v>39356.60000000149</v>
      </c>
      <c r="H767" s="436">
        <v>0</v>
      </c>
      <c r="I767" s="449">
        <v>0</v>
      </c>
    </row>
    <row r="768" spans="1:9" ht="15.75" customHeight="1" x14ac:dyDescent="0.2">
      <c r="A768" s="437"/>
      <c r="B768" s="437"/>
      <c r="C768" s="436"/>
      <c r="D768" s="467">
        <v>46257</v>
      </c>
      <c r="E768" s="436" t="s">
        <v>599</v>
      </c>
      <c r="F768" s="436">
        <v>34950376.450000003</v>
      </c>
      <c r="G768" s="448">
        <v>39356.609999999404</v>
      </c>
      <c r="H768" s="436">
        <v>0</v>
      </c>
      <c r="I768" s="449">
        <v>0</v>
      </c>
    </row>
    <row r="769" spans="1:9" ht="15.75" customHeight="1" x14ac:dyDescent="0.2">
      <c r="A769" s="437"/>
      <c r="B769" s="437"/>
      <c r="C769" s="436"/>
      <c r="D769" s="467">
        <v>46258</v>
      </c>
      <c r="E769" s="436" t="s">
        <v>598</v>
      </c>
      <c r="F769" s="436">
        <v>34989733.049999997</v>
      </c>
      <c r="G769" s="448">
        <v>39356.59999999404</v>
      </c>
      <c r="H769" s="436">
        <v>0</v>
      </c>
      <c r="I769" s="449">
        <v>0</v>
      </c>
    </row>
    <row r="770" spans="1:9" ht="15.75" customHeight="1" x14ac:dyDescent="0.2">
      <c r="A770" s="437"/>
      <c r="B770" s="437"/>
      <c r="C770" s="436"/>
      <c r="D770" s="467">
        <v>46259</v>
      </c>
      <c r="E770" s="436" t="s">
        <v>597</v>
      </c>
      <c r="F770" s="436">
        <v>35029089.659999996</v>
      </c>
      <c r="G770" s="448">
        <v>39356.609999999404</v>
      </c>
      <c r="H770" s="436">
        <v>0</v>
      </c>
      <c r="I770" s="449">
        <v>0</v>
      </c>
    </row>
    <row r="771" spans="1:9" ht="15.75" customHeight="1" x14ac:dyDescent="0.2">
      <c r="A771" s="437"/>
      <c r="B771" s="437"/>
      <c r="C771" s="436"/>
      <c r="D771" s="467">
        <v>46260</v>
      </c>
      <c r="E771" s="436" t="s">
        <v>603</v>
      </c>
      <c r="F771" s="436">
        <v>35068446.259999998</v>
      </c>
      <c r="G771" s="448">
        <v>39356.60000000149</v>
      </c>
      <c r="H771" s="436">
        <v>275496.22999999672</v>
      </c>
      <c r="I771" s="449">
        <v>550992.46999999881</v>
      </c>
    </row>
    <row r="772" spans="1:9" ht="15.75" customHeight="1" x14ac:dyDescent="0.2">
      <c r="A772" s="437"/>
      <c r="B772" s="437"/>
      <c r="C772" s="436"/>
      <c r="D772" s="467">
        <v>46261</v>
      </c>
      <c r="E772" s="436" t="s">
        <v>602</v>
      </c>
      <c r="F772" s="436">
        <v>35107802.869999997</v>
      </c>
      <c r="G772" s="448">
        <v>39356.609999999404</v>
      </c>
      <c r="H772" s="436">
        <v>0</v>
      </c>
      <c r="I772" s="449">
        <v>0</v>
      </c>
    </row>
    <row r="773" spans="1:9" ht="15.75" customHeight="1" x14ac:dyDescent="0.2">
      <c r="A773" s="437"/>
      <c r="B773" s="437"/>
      <c r="C773" s="436"/>
      <c r="D773" s="467">
        <v>46262</v>
      </c>
      <c r="E773" s="436" t="s">
        <v>601</v>
      </c>
      <c r="F773" s="436">
        <v>35147159.469999999</v>
      </c>
      <c r="G773" s="448">
        <v>39356.60000000149</v>
      </c>
      <c r="H773" s="436">
        <v>0</v>
      </c>
      <c r="I773" s="449">
        <v>0</v>
      </c>
    </row>
    <row r="774" spans="1:9" ht="15.75" customHeight="1" x14ac:dyDescent="0.2">
      <c r="A774" s="437"/>
      <c r="B774" s="437"/>
      <c r="C774" s="436"/>
      <c r="D774" s="467">
        <v>46263</v>
      </c>
      <c r="E774" s="436" t="s">
        <v>600</v>
      </c>
      <c r="F774" s="436">
        <v>35186516.079999998</v>
      </c>
      <c r="G774" s="448">
        <v>39356.609999999404</v>
      </c>
      <c r="H774" s="436">
        <v>0</v>
      </c>
      <c r="I774" s="449">
        <v>0</v>
      </c>
    </row>
    <row r="775" spans="1:9" ht="15.75" customHeight="1" x14ac:dyDescent="0.2">
      <c r="A775" s="437"/>
      <c r="B775" s="437"/>
      <c r="C775" s="436"/>
      <c r="D775" s="467">
        <v>46264</v>
      </c>
      <c r="E775" s="436" t="s">
        <v>599</v>
      </c>
      <c r="F775" s="436">
        <v>35225872.68</v>
      </c>
      <c r="G775" s="448">
        <v>39356.60000000149</v>
      </c>
      <c r="H775" s="436">
        <v>0</v>
      </c>
      <c r="I775" s="449">
        <v>0</v>
      </c>
    </row>
    <row r="776" spans="1:9" ht="15.75" customHeight="1" x14ac:dyDescent="0.2">
      <c r="A776" s="437"/>
      <c r="B776" s="437"/>
      <c r="C776" s="436"/>
      <c r="D776" s="467">
        <v>46265</v>
      </c>
      <c r="E776" s="436" t="s">
        <v>598</v>
      </c>
      <c r="F776" s="436">
        <v>35265229.289999999</v>
      </c>
      <c r="G776" s="448">
        <v>39356.609999999404</v>
      </c>
      <c r="H776" s="436">
        <v>0</v>
      </c>
      <c r="I776" s="449">
        <v>0</v>
      </c>
    </row>
    <row r="777" spans="1:9" ht="15.75" customHeight="1" x14ac:dyDescent="0.2">
      <c r="A777" s="437"/>
      <c r="B777" s="437"/>
      <c r="C777" s="436"/>
      <c r="D777" s="467">
        <v>46266</v>
      </c>
      <c r="E777" s="436" t="s">
        <v>597</v>
      </c>
      <c r="F777" s="436">
        <v>35304585.899999999</v>
      </c>
      <c r="G777" s="448">
        <v>39356.609999999404</v>
      </c>
      <c r="H777" s="436">
        <v>0</v>
      </c>
      <c r="I777" s="449">
        <v>0</v>
      </c>
    </row>
    <row r="778" spans="1:9" ht="15.75" customHeight="1" x14ac:dyDescent="0.2">
      <c r="A778" s="437"/>
      <c r="B778" s="437"/>
      <c r="C778" s="436"/>
      <c r="D778" s="467">
        <v>46267</v>
      </c>
      <c r="E778" s="436" t="s">
        <v>603</v>
      </c>
      <c r="F778" s="436">
        <v>35343942.5</v>
      </c>
      <c r="G778" s="448">
        <v>39356.60000000149</v>
      </c>
      <c r="H778" s="436">
        <v>275496.24000000209</v>
      </c>
      <c r="I778" s="449">
        <v>0</v>
      </c>
    </row>
    <row r="779" spans="1:9" ht="15.75" customHeight="1" x14ac:dyDescent="0.2">
      <c r="A779" s="437"/>
      <c r="B779" s="437"/>
      <c r="C779" s="436"/>
      <c r="D779" s="467">
        <v>46268</v>
      </c>
      <c r="E779" s="436" t="s">
        <v>602</v>
      </c>
      <c r="F779" s="436">
        <v>35383299.109999999</v>
      </c>
      <c r="G779" s="448">
        <v>39356.609999999404</v>
      </c>
      <c r="H779" s="436">
        <v>0</v>
      </c>
      <c r="I779" s="449">
        <v>0</v>
      </c>
    </row>
    <row r="780" spans="1:9" ht="15.75" customHeight="1" x14ac:dyDescent="0.2">
      <c r="A780" s="437"/>
      <c r="B780" s="437"/>
      <c r="C780" s="436"/>
      <c r="D780" s="467">
        <v>46269</v>
      </c>
      <c r="E780" s="436" t="s">
        <v>601</v>
      </c>
      <c r="F780" s="436">
        <v>35422655.710000001</v>
      </c>
      <c r="G780" s="448">
        <v>39356.60000000149</v>
      </c>
      <c r="H780" s="436">
        <v>0</v>
      </c>
      <c r="I780" s="449">
        <v>0</v>
      </c>
    </row>
    <row r="781" spans="1:9" ht="15.75" customHeight="1" x14ac:dyDescent="0.2">
      <c r="A781" s="437"/>
      <c r="B781" s="437"/>
      <c r="C781" s="436"/>
      <c r="D781" s="467">
        <v>46270</v>
      </c>
      <c r="E781" s="436" t="s">
        <v>600</v>
      </c>
      <c r="F781" s="436">
        <v>35462012.32</v>
      </c>
      <c r="G781" s="448">
        <v>39356.609999999404</v>
      </c>
      <c r="H781" s="436">
        <v>0</v>
      </c>
      <c r="I781" s="449">
        <v>0</v>
      </c>
    </row>
    <row r="782" spans="1:9" ht="15.75" customHeight="1" x14ac:dyDescent="0.2">
      <c r="A782" s="437"/>
      <c r="B782" s="437"/>
      <c r="C782" s="436"/>
      <c r="D782" s="467">
        <v>46271</v>
      </c>
      <c r="E782" s="436" t="s">
        <v>599</v>
      </c>
      <c r="F782" s="436">
        <v>35501368.920000002</v>
      </c>
      <c r="G782" s="448">
        <v>39356.60000000149</v>
      </c>
      <c r="H782" s="436">
        <v>0</v>
      </c>
      <c r="I782" s="449">
        <v>0</v>
      </c>
    </row>
    <row r="783" spans="1:9" ht="15.75" customHeight="1" x14ac:dyDescent="0.2">
      <c r="A783" s="437"/>
      <c r="B783" s="437"/>
      <c r="C783" s="436"/>
      <c r="D783" s="467">
        <v>46272</v>
      </c>
      <c r="E783" s="436" t="s">
        <v>598</v>
      </c>
      <c r="F783" s="436">
        <v>35540725.530000001</v>
      </c>
      <c r="G783" s="448">
        <v>39356.609999999404</v>
      </c>
      <c r="H783" s="436">
        <v>0</v>
      </c>
      <c r="I783" s="449">
        <v>0</v>
      </c>
    </row>
    <row r="784" spans="1:9" ht="15.75" customHeight="1" x14ac:dyDescent="0.2">
      <c r="A784" s="437"/>
      <c r="B784" s="437"/>
      <c r="C784" s="436"/>
      <c r="D784" s="467">
        <v>46273</v>
      </c>
      <c r="E784" s="436" t="s">
        <v>597</v>
      </c>
      <c r="F784" s="436">
        <v>35580082.130000003</v>
      </c>
      <c r="G784" s="448">
        <v>39356.60000000149</v>
      </c>
      <c r="H784" s="436">
        <v>0</v>
      </c>
      <c r="I784" s="449">
        <v>0</v>
      </c>
    </row>
    <row r="785" spans="1:9" ht="15.75" customHeight="1" x14ac:dyDescent="0.2">
      <c r="A785" s="437"/>
      <c r="B785" s="437"/>
      <c r="C785" s="436"/>
      <c r="D785" s="467">
        <v>46274</v>
      </c>
      <c r="E785" s="436" t="s">
        <v>603</v>
      </c>
      <c r="F785" s="436">
        <v>35619438.740000002</v>
      </c>
      <c r="G785" s="448">
        <v>39356.609999999404</v>
      </c>
      <c r="H785" s="436">
        <v>275496.24000000209</v>
      </c>
      <c r="I785" s="449">
        <v>550992.48000000417</v>
      </c>
    </row>
    <row r="786" spans="1:9" ht="15.75" customHeight="1" x14ac:dyDescent="0.2">
      <c r="A786" s="437"/>
      <c r="B786" s="437"/>
      <c r="C786" s="436"/>
      <c r="D786" s="467">
        <v>46275</v>
      </c>
      <c r="E786" s="436" t="s">
        <v>602</v>
      </c>
      <c r="F786" s="436">
        <v>35658795.340000004</v>
      </c>
      <c r="G786" s="448">
        <v>39356.60000000149</v>
      </c>
      <c r="H786" s="436">
        <v>0</v>
      </c>
      <c r="I786" s="449">
        <v>0</v>
      </c>
    </row>
    <row r="787" spans="1:9" ht="15.75" customHeight="1" x14ac:dyDescent="0.2">
      <c r="A787" s="437"/>
      <c r="B787" s="437"/>
      <c r="C787" s="436"/>
      <c r="D787" s="467">
        <v>46276</v>
      </c>
      <c r="E787" s="436" t="s">
        <v>601</v>
      </c>
      <c r="F787" s="436">
        <v>35698151.950000003</v>
      </c>
      <c r="G787" s="448">
        <v>39356.609999999404</v>
      </c>
      <c r="H787" s="436">
        <v>0</v>
      </c>
      <c r="I787" s="449">
        <v>0</v>
      </c>
    </row>
    <row r="788" spans="1:9" ht="15.75" customHeight="1" x14ac:dyDescent="0.2">
      <c r="A788" s="437"/>
      <c r="B788" s="437"/>
      <c r="C788" s="436"/>
      <c r="D788" s="467">
        <v>46277</v>
      </c>
      <c r="E788" s="436" t="s">
        <v>600</v>
      </c>
      <c r="F788" s="436">
        <v>35737508.549999997</v>
      </c>
      <c r="G788" s="448">
        <v>39356.59999999404</v>
      </c>
      <c r="H788" s="436">
        <v>0</v>
      </c>
      <c r="I788" s="449">
        <v>0</v>
      </c>
    </row>
    <row r="789" spans="1:9" ht="15.75" customHeight="1" x14ac:dyDescent="0.2">
      <c r="A789" s="437"/>
      <c r="B789" s="437"/>
      <c r="C789" s="436"/>
      <c r="D789" s="467">
        <v>46278</v>
      </c>
      <c r="E789" s="436" t="s">
        <v>599</v>
      </c>
      <c r="F789" s="436">
        <v>35776865.159999996</v>
      </c>
      <c r="G789" s="448">
        <v>39356.609999999404</v>
      </c>
      <c r="H789" s="436">
        <v>0</v>
      </c>
      <c r="I789" s="449">
        <v>0</v>
      </c>
    </row>
    <row r="790" spans="1:9" ht="15.75" customHeight="1" x14ac:dyDescent="0.2">
      <c r="A790" s="437"/>
      <c r="B790" s="437"/>
      <c r="C790" s="436"/>
      <c r="D790" s="467">
        <v>46279</v>
      </c>
      <c r="E790" s="436" t="s">
        <v>598</v>
      </c>
      <c r="F790" s="436">
        <v>35816221.759999998</v>
      </c>
      <c r="G790" s="448">
        <v>39356.60000000149</v>
      </c>
      <c r="H790" s="436">
        <v>0</v>
      </c>
      <c r="I790" s="449">
        <v>0</v>
      </c>
    </row>
    <row r="791" spans="1:9" ht="15.75" customHeight="1" x14ac:dyDescent="0.2">
      <c r="A791" s="437"/>
      <c r="B791" s="437"/>
      <c r="C791" s="436"/>
      <c r="D791" s="467">
        <v>46280</v>
      </c>
      <c r="E791" s="436" t="s">
        <v>597</v>
      </c>
      <c r="F791" s="436">
        <v>35855578.369999997</v>
      </c>
      <c r="G791" s="448">
        <v>39356.609999999404</v>
      </c>
      <c r="H791" s="436">
        <v>0</v>
      </c>
      <c r="I791" s="449">
        <v>0</v>
      </c>
    </row>
    <row r="792" spans="1:9" ht="15.75" customHeight="1" x14ac:dyDescent="0.2">
      <c r="A792" s="437"/>
      <c r="B792" s="437"/>
      <c r="C792" s="436"/>
      <c r="D792" s="467">
        <v>46281</v>
      </c>
      <c r="E792" s="436" t="s">
        <v>603</v>
      </c>
      <c r="F792" s="436">
        <v>35894934.969999999</v>
      </c>
      <c r="G792" s="448">
        <v>39356.60000000149</v>
      </c>
      <c r="H792" s="436">
        <v>275496.22999999672</v>
      </c>
      <c r="I792" s="449">
        <v>0</v>
      </c>
    </row>
    <row r="793" spans="1:9" ht="15.75" customHeight="1" x14ac:dyDescent="0.2">
      <c r="A793" s="437"/>
      <c r="B793" s="437"/>
      <c r="C793" s="436"/>
      <c r="D793" s="467">
        <v>46282</v>
      </c>
      <c r="E793" s="436" t="s">
        <v>602</v>
      </c>
      <c r="F793" s="436">
        <v>35934291.579999998</v>
      </c>
      <c r="G793" s="448">
        <v>39356.609999999404</v>
      </c>
      <c r="H793" s="436">
        <v>0</v>
      </c>
      <c r="I793" s="449">
        <v>0</v>
      </c>
    </row>
    <row r="794" spans="1:9" ht="15.75" customHeight="1" x14ac:dyDescent="0.2">
      <c r="A794" s="437"/>
      <c r="B794" s="437"/>
      <c r="C794" s="436"/>
      <c r="D794" s="467">
        <v>46283</v>
      </c>
      <c r="E794" s="436" t="s">
        <v>601</v>
      </c>
      <c r="F794" s="436">
        <v>35973648.18</v>
      </c>
      <c r="G794" s="448">
        <v>39356.60000000149</v>
      </c>
      <c r="H794" s="436">
        <v>0</v>
      </c>
      <c r="I794" s="449">
        <v>0</v>
      </c>
    </row>
    <row r="795" spans="1:9" ht="15.75" customHeight="1" x14ac:dyDescent="0.2">
      <c r="A795" s="437"/>
      <c r="B795" s="437"/>
      <c r="C795" s="436"/>
      <c r="D795" s="467">
        <v>46284</v>
      </c>
      <c r="E795" s="436" t="s">
        <v>600</v>
      </c>
      <c r="F795" s="436">
        <v>36013004.789999999</v>
      </c>
      <c r="G795" s="448">
        <v>39356.609999999404</v>
      </c>
      <c r="H795" s="436">
        <v>0</v>
      </c>
      <c r="I795" s="449">
        <v>0</v>
      </c>
    </row>
    <row r="796" spans="1:9" ht="15.75" customHeight="1" x14ac:dyDescent="0.2">
      <c r="A796" s="437"/>
      <c r="B796" s="437"/>
      <c r="C796" s="436"/>
      <c r="D796" s="467">
        <v>46285</v>
      </c>
      <c r="E796" s="436" t="s">
        <v>599</v>
      </c>
      <c r="F796" s="436">
        <v>36052361.390000001</v>
      </c>
      <c r="G796" s="448">
        <v>39356.60000000149</v>
      </c>
      <c r="H796" s="436">
        <v>0</v>
      </c>
      <c r="I796" s="449">
        <v>0</v>
      </c>
    </row>
    <row r="797" spans="1:9" ht="15.75" customHeight="1" x14ac:dyDescent="0.2">
      <c r="A797" s="437"/>
      <c r="B797" s="437"/>
      <c r="C797" s="436"/>
      <c r="D797" s="467">
        <v>46286</v>
      </c>
      <c r="E797" s="436" t="s">
        <v>598</v>
      </c>
      <c r="F797" s="436">
        <v>36091718</v>
      </c>
      <c r="G797" s="448">
        <v>39356.609999999404</v>
      </c>
      <c r="H797" s="436">
        <v>0</v>
      </c>
      <c r="I797" s="449">
        <v>0</v>
      </c>
    </row>
    <row r="798" spans="1:9" ht="15.75" customHeight="1" x14ac:dyDescent="0.2">
      <c r="A798" s="437"/>
      <c r="B798" s="437"/>
      <c r="C798" s="436"/>
      <c r="D798" s="467">
        <v>46287</v>
      </c>
      <c r="E798" s="436" t="s">
        <v>597</v>
      </c>
      <c r="F798" s="436">
        <v>36131074.600000001</v>
      </c>
      <c r="G798" s="448">
        <v>39356.60000000149</v>
      </c>
      <c r="H798" s="436">
        <v>0</v>
      </c>
      <c r="I798" s="449">
        <v>0</v>
      </c>
    </row>
    <row r="799" spans="1:9" ht="15.75" customHeight="1" x14ac:dyDescent="0.2">
      <c r="A799" s="437"/>
      <c r="B799" s="437"/>
      <c r="C799" s="436"/>
      <c r="D799" s="467">
        <v>46288</v>
      </c>
      <c r="E799" s="436" t="s">
        <v>603</v>
      </c>
      <c r="F799" s="436">
        <v>36170431.210000001</v>
      </c>
      <c r="G799" s="448">
        <v>39356.609999999404</v>
      </c>
      <c r="H799" s="436">
        <v>275496.24000000209</v>
      </c>
      <c r="I799" s="449">
        <v>550992.46999999881</v>
      </c>
    </row>
    <row r="800" spans="1:9" ht="15.75" customHeight="1" x14ac:dyDescent="0.2">
      <c r="A800" s="437"/>
      <c r="B800" s="437"/>
      <c r="C800" s="436"/>
      <c r="D800" s="467">
        <v>46289</v>
      </c>
      <c r="E800" s="436" t="s">
        <v>602</v>
      </c>
      <c r="F800" s="436">
        <v>36209787.810000002</v>
      </c>
      <c r="G800" s="448">
        <v>39356.60000000149</v>
      </c>
      <c r="H800" s="436">
        <v>0</v>
      </c>
      <c r="I800" s="449">
        <v>0</v>
      </c>
    </row>
    <row r="801" spans="1:9" ht="15.75" customHeight="1" x14ac:dyDescent="0.2">
      <c r="A801" s="437"/>
      <c r="B801" s="437"/>
      <c r="C801" s="436"/>
      <c r="D801" s="467">
        <v>46290</v>
      </c>
      <c r="E801" s="436" t="s">
        <v>601</v>
      </c>
      <c r="F801" s="436">
        <v>36249144.420000002</v>
      </c>
      <c r="G801" s="448">
        <v>39356.609999999404</v>
      </c>
      <c r="H801" s="436">
        <v>0</v>
      </c>
      <c r="I801" s="449">
        <v>0</v>
      </c>
    </row>
    <row r="802" spans="1:9" ht="15.75" customHeight="1" x14ac:dyDescent="0.2">
      <c r="A802" s="437"/>
      <c r="B802" s="437"/>
      <c r="C802" s="436"/>
      <c r="D802" s="467">
        <v>46291</v>
      </c>
      <c r="E802" s="436" t="s">
        <v>600</v>
      </c>
      <c r="F802" s="436">
        <v>36288501.020000003</v>
      </c>
      <c r="G802" s="448">
        <v>39356.60000000149</v>
      </c>
      <c r="H802" s="436">
        <v>0</v>
      </c>
      <c r="I802" s="449">
        <v>0</v>
      </c>
    </row>
    <row r="803" spans="1:9" ht="15.75" customHeight="1" x14ac:dyDescent="0.2">
      <c r="A803" s="437"/>
      <c r="B803" s="437"/>
      <c r="C803" s="436"/>
      <c r="D803" s="467">
        <v>46292</v>
      </c>
      <c r="E803" s="436" t="s">
        <v>599</v>
      </c>
      <c r="F803" s="436">
        <v>36327857.630000003</v>
      </c>
      <c r="G803" s="448">
        <v>39356.609999999404</v>
      </c>
      <c r="H803" s="436">
        <v>0</v>
      </c>
      <c r="I803" s="449">
        <v>0</v>
      </c>
    </row>
    <row r="804" spans="1:9" ht="15.75" customHeight="1" x14ac:dyDescent="0.2">
      <c r="A804" s="437"/>
      <c r="B804" s="437"/>
      <c r="C804" s="436"/>
      <c r="D804" s="467">
        <v>46293</v>
      </c>
      <c r="E804" s="436" t="s">
        <v>598</v>
      </c>
      <c r="F804" s="436">
        <v>36367214.229999997</v>
      </c>
      <c r="G804" s="448">
        <v>39356.59999999404</v>
      </c>
      <c r="H804" s="436">
        <v>0</v>
      </c>
      <c r="I804" s="449">
        <v>0</v>
      </c>
    </row>
    <row r="805" spans="1:9" ht="15.75" customHeight="1" x14ac:dyDescent="0.2">
      <c r="A805" s="437"/>
      <c r="B805" s="437"/>
      <c r="C805" s="436"/>
      <c r="D805" s="467">
        <v>46294</v>
      </c>
      <c r="E805" s="436" t="s">
        <v>597</v>
      </c>
      <c r="F805" s="436">
        <v>36406570.840000004</v>
      </c>
      <c r="G805" s="448">
        <v>39356.610000006855</v>
      </c>
      <c r="H805" s="436">
        <v>0</v>
      </c>
      <c r="I805" s="449">
        <v>0</v>
      </c>
    </row>
    <row r="806" spans="1:9" ht="15.75" customHeight="1" x14ac:dyDescent="0.2">
      <c r="A806" s="437"/>
      <c r="B806" s="437"/>
      <c r="C806" s="436"/>
      <c r="D806" s="467">
        <v>46295</v>
      </c>
      <c r="E806" s="436" t="s">
        <v>603</v>
      </c>
      <c r="F806" s="436">
        <v>36445927.439999998</v>
      </c>
      <c r="G806" s="448">
        <v>39356.59999999404</v>
      </c>
      <c r="H806" s="436">
        <v>275496.22999999672</v>
      </c>
      <c r="I806" s="449">
        <v>0</v>
      </c>
    </row>
    <row r="807" spans="1:9" ht="15.75" customHeight="1" x14ac:dyDescent="0.2">
      <c r="A807" s="437"/>
      <c r="B807" s="437"/>
      <c r="C807" s="436"/>
      <c r="D807" s="467">
        <v>46296</v>
      </c>
      <c r="E807" s="436" t="s">
        <v>602</v>
      </c>
      <c r="F807" s="436">
        <v>36485284.049999997</v>
      </c>
      <c r="G807" s="448">
        <v>39356.609999999404</v>
      </c>
      <c r="H807" s="436">
        <v>0</v>
      </c>
      <c r="I807" s="449">
        <v>0</v>
      </c>
    </row>
    <row r="808" spans="1:9" ht="15.75" customHeight="1" x14ac:dyDescent="0.2">
      <c r="A808" s="437"/>
      <c r="B808" s="437"/>
      <c r="C808" s="436"/>
      <c r="D808" s="467">
        <v>46297</v>
      </c>
      <c r="E808" s="436" t="s">
        <v>601</v>
      </c>
      <c r="F808" s="436">
        <v>36524640.649999999</v>
      </c>
      <c r="G808" s="448">
        <v>39356.60000000149</v>
      </c>
      <c r="H808" s="436">
        <v>0</v>
      </c>
      <c r="I808" s="449">
        <v>0</v>
      </c>
    </row>
    <row r="809" spans="1:9" ht="15.75" customHeight="1" x14ac:dyDescent="0.2">
      <c r="A809" s="437"/>
      <c r="B809" s="437"/>
      <c r="C809" s="436"/>
      <c r="D809" s="467">
        <v>46298</v>
      </c>
      <c r="E809" s="436" t="s">
        <v>600</v>
      </c>
      <c r="F809" s="436">
        <v>36563997.259999998</v>
      </c>
      <c r="G809" s="448">
        <v>39356.609999999404</v>
      </c>
      <c r="H809" s="436">
        <v>0</v>
      </c>
      <c r="I809" s="449">
        <v>0</v>
      </c>
    </row>
    <row r="810" spans="1:9" ht="15.75" customHeight="1" x14ac:dyDescent="0.2">
      <c r="A810" s="437"/>
      <c r="B810" s="437"/>
      <c r="C810" s="436"/>
      <c r="D810" s="467">
        <v>46299</v>
      </c>
      <c r="E810" s="436" t="s">
        <v>599</v>
      </c>
      <c r="F810" s="436">
        <v>36603353.859999999</v>
      </c>
      <c r="G810" s="448">
        <v>39356.60000000149</v>
      </c>
      <c r="H810" s="436">
        <v>0</v>
      </c>
      <c r="I810" s="449">
        <v>0</v>
      </c>
    </row>
    <row r="811" spans="1:9" ht="15.75" customHeight="1" x14ac:dyDescent="0.2">
      <c r="A811" s="437"/>
      <c r="B811" s="437"/>
      <c r="C811" s="436"/>
      <c r="D811" s="467">
        <v>46300</v>
      </c>
      <c r="E811" s="436" t="s">
        <v>598</v>
      </c>
      <c r="F811" s="436">
        <v>36642710.469999999</v>
      </c>
      <c r="G811" s="448">
        <v>39356.609999999404</v>
      </c>
      <c r="H811" s="436">
        <v>0</v>
      </c>
      <c r="I811" s="449">
        <v>0</v>
      </c>
    </row>
    <row r="812" spans="1:9" ht="15.75" customHeight="1" x14ac:dyDescent="0.2">
      <c r="A812" s="437"/>
      <c r="B812" s="437"/>
      <c r="C812" s="436"/>
      <c r="D812" s="467">
        <v>46301</v>
      </c>
      <c r="E812" s="436" t="s">
        <v>597</v>
      </c>
      <c r="F812" s="436">
        <v>36682067.07</v>
      </c>
      <c r="G812" s="448">
        <v>39356.60000000149</v>
      </c>
      <c r="H812" s="436">
        <v>0</v>
      </c>
      <c r="I812" s="449">
        <v>0</v>
      </c>
    </row>
    <row r="813" spans="1:9" ht="15.75" customHeight="1" x14ac:dyDescent="0.2">
      <c r="A813" s="437"/>
      <c r="B813" s="437"/>
      <c r="C813" s="436"/>
      <c r="D813" s="467">
        <v>46302</v>
      </c>
      <c r="E813" s="436" t="s">
        <v>603</v>
      </c>
      <c r="F813" s="436">
        <v>36721423.68</v>
      </c>
      <c r="G813" s="448">
        <v>39356.609999999404</v>
      </c>
      <c r="H813" s="436">
        <v>275496.24000000209</v>
      </c>
      <c r="I813" s="449">
        <v>550992.46999999881</v>
      </c>
    </row>
    <row r="814" spans="1:9" ht="15.75" customHeight="1" x14ac:dyDescent="0.2">
      <c r="A814" s="437"/>
      <c r="B814" s="437"/>
      <c r="C814" s="436"/>
      <c r="D814" s="467">
        <v>46303</v>
      </c>
      <c r="E814" s="436" t="s">
        <v>602</v>
      </c>
      <c r="F814" s="436">
        <v>36760780.280000001</v>
      </c>
      <c r="G814" s="448">
        <v>39356.60000000149</v>
      </c>
      <c r="H814" s="436">
        <v>0</v>
      </c>
      <c r="I814" s="449">
        <v>0</v>
      </c>
    </row>
    <row r="815" spans="1:9" ht="15.75" customHeight="1" x14ac:dyDescent="0.2">
      <c r="A815" s="437"/>
      <c r="B815" s="437"/>
      <c r="C815" s="436"/>
      <c r="D815" s="467">
        <v>46304</v>
      </c>
      <c r="E815" s="436" t="s">
        <v>601</v>
      </c>
      <c r="F815" s="436">
        <v>36800136.890000001</v>
      </c>
      <c r="G815" s="448">
        <v>39356.609999999404</v>
      </c>
      <c r="H815" s="436">
        <v>0</v>
      </c>
      <c r="I815" s="449">
        <v>0</v>
      </c>
    </row>
    <row r="816" spans="1:9" ht="15.75" customHeight="1" x14ac:dyDescent="0.2">
      <c r="A816" s="437"/>
      <c r="B816" s="437"/>
      <c r="C816" s="436"/>
      <c r="D816" s="467">
        <v>46305</v>
      </c>
      <c r="E816" s="436" t="s">
        <v>600</v>
      </c>
      <c r="F816" s="436">
        <v>36839493.490000002</v>
      </c>
      <c r="G816" s="448">
        <v>39356.60000000149</v>
      </c>
      <c r="H816" s="436">
        <v>0</v>
      </c>
      <c r="I816" s="449">
        <v>0</v>
      </c>
    </row>
    <row r="817" spans="1:9" ht="15.75" customHeight="1" x14ac:dyDescent="0.2">
      <c r="A817" s="437"/>
      <c r="B817" s="437"/>
      <c r="C817" s="436"/>
      <c r="D817" s="467">
        <v>46306</v>
      </c>
      <c r="E817" s="436" t="s">
        <v>599</v>
      </c>
      <c r="F817" s="436">
        <v>36878850.100000001</v>
      </c>
      <c r="G817" s="448">
        <v>39356.609999999404</v>
      </c>
      <c r="H817" s="436">
        <v>0</v>
      </c>
      <c r="I817" s="449">
        <v>0</v>
      </c>
    </row>
    <row r="818" spans="1:9" ht="15.75" customHeight="1" x14ac:dyDescent="0.2">
      <c r="A818" s="437"/>
      <c r="B818" s="437"/>
      <c r="C818" s="436"/>
      <c r="D818" s="467">
        <v>46307</v>
      </c>
      <c r="E818" s="436" t="s">
        <v>598</v>
      </c>
      <c r="F818" s="436">
        <v>36918206.700000003</v>
      </c>
      <c r="G818" s="448">
        <v>39356.60000000149</v>
      </c>
      <c r="H818" s="436">
        <v>0</v>
      </c>
      <c r="I818" s="449">
        <v>0</v>
      </c>
    </row>
    <row r="819" spans="1:9" ht="15.75" customHeight="1" x14ac:dyDescent="0.2">
      <c r="A819" s="437"/>
      <c r="B819" s="437"/>
      <c r="C819" s="436"/>
      <c r="D819" s="467">
        <v>46308</v>
      </c>
      <c r="E819" s="436" t="s">
        <v>597</v>
      </c>
      <c r="F819" s="436">
        <v>36957563.310000002</v>
      </c>
      <c r="G819" s="448">
        <v>39356.609999999404</v>
      </c>
      <c r="H819" s="436">
        <v>0</v>
      </c>
      <c r="I819" s="449">
        <v>0</v>
      </c>
    </row>
    <row r="820" spans="1:9" ht="15.75" customHeight="1" x14ac:dyDescent="0.2">
      <c r="A820" s="437"/>
      <c r="B820" s="437"/>
      <c r="C820" s="436"/>
      <c r="D820" s="467">
        <v>46309</v>
      </c>
      <c r="E820" s="436" t="s">
        <v>603</v>
      </c>
      <c r="F820" s="436">
        <v>36996919.909999996</v>
      </c>
      <c r="G820" s="448">
        <v>39356.59999999404</v>
      </c>
      <c r="H820" s="436">
        <v>275496.22999999672</v>
      </c>
      <c r="I820" s="449">
        <v>0</v>
      </c>
    </row>
    <row r="821" spans="1:9" ht="15.75" customHeight="1" x14ac:dyDescent="0.2">
      <c r="A821" s="437"/>
      <c r="B821" s="437"/>
      <c r="C821" s="436"/>
      <c r="D821" s="467">
        <v>46310</v>
      </c>
      <c r="E821" s="436" t="s">
        <v>602</v>
      </c>
      <c r="F821" s="436">
        <v>37036276.520000003</v>
      </c>
      <c r="G821" s="448">
        <v>39356.610000006855</v>
      </c>
      <c r="H821" s="436">
        <v>0</v>
      </c>
      <c r="I821" s="449">
        <v>0</v>
      </c>
    </row>
    <row r="822" spans="1:9" ht="15.75" customHeight="1" x14ac:dyDescent="0.2">
      <c r="A822" s="437"/>
      <c r="B822" s="437"/>
      <c r="C822" s="436"/>
      <c r="D822" s="467">
        <v>46311</v>
      </c>
      <c r="E822" s="436" t="s">
        <v>601</v>
      </c>
      <c r="F822" s="436">
        <v>37075633.119999997</v>
      </c>
      <c r="G822" s="448">
        <v>39356.59999999404</v>
      </c>
      <c r="H822" s="436">
        <v>0</v>
      </c>
      <c r="I822" s="449">
        <v>0</v>
      </c>
    </row>
    <row r="823" spans="1:9" ht="15.75" customHeight="1" x14ac:dyDescent="0.2">
      <c r="A823" s="437"/>
      <c r="B823" s="437"/>
      <c r="C823" s="436"/>
      <c r="D823" s="467">
        <v>46312</v>
      </c>
      <c r="E823" s="436" t="s">
        <v>600</v>
      </c>
      <c r="F823" s="436">
        <v>37114989.729999997</v>
      </c>
      <c r="G823" s="448">
        <v>39356.609999999404</v>
      </c>
      <c r="H823" s="436">
        <v>0</v>
      </c>
      <c r="I823" s="449">
        <v>0</v>
      </c>
    </row>
    <row r="824" spans="1:9" ht="15.75" customHeight="1" x14ac:dyDescent="0.2">
      <c r="A824" s="437"/>
      <c r="B824" s="437"/>
      <c r="C824" s="436"/>
      <c r="D824" s="467">
        <v>46313</v>
      </c>
      <c r="E824" s="436" t="s">
        <v>599</v>
      </c>
      <c r="F824" s="436">
        <v>37154346.329999998</v>
      </c>
      <c r="G824" s="448">
        <v>39356.60000000149</v>
      </c>
      <c r="H824" s="436">
        <v>0</v>
      </c>
      <c r="I824" s="449">
        <v>0</v>
      </c>
    </row>
    <row r="825" spans="1:9" ht="15.75" customHeight="1" x14ac:dyDescent="0.2">
      <c r="A825" s="437"/>
      <c r="B825" s="437"/>
      <c r="C825" s="436"/>
      <c r="D825" s="467">
        <v>46314</v>
      </c>
      <c r="E825" s="436" t="s">
        <v>598</v>
      </c>
      <c r="F825" s="436">
        <v>37193702.939999998</v>
      </c>
      <c r="G825" s="448">
        <v>39356.609999999404</v>
      </c>
      <c r="H825" s="436">
        <v>0</v>
      </c>
      <c r="I825" s="449">
        <v>0</v>
      </c>
    </row>
    <row r="826" spans="1:9" ht="15.75" customHeight="1" x14ac:dyDescent="0.2">
      <c r="A826" s="437"/>
      <c r="B826" s="437"/>
      <c r="C826" s="436"/>
      <c r="D826" s="467">
        <v>46315</v>
      </c>
      <c r="E826" s="436" t="s">
        <v>597</v>
      </c>
      <c r="F826" s="436">
        <v>37233059.539999999</v>
      </c>
      <c r="G826" s="448">
        <v>39356.60000000149</v>
      </c>
      <c r="H826" s="436">
        <v>0</v>
      </c>
      <c r="I826" s="449">
        <v>0</v>
      </c>
    </row>
    <row r="827" spans="1:9" ht="15.75" customHeight="1" x14ac:dyDescent="0.2">
      <c r="A827" s="437"/>
      <c r="B827" s="437"/>
      <c r="C827" s="436"/>
      <c r="D827" s="467">
        <v>46316</v>
      </c>
      <c r="E827" s="436" t="s">
        <v>603</v>
      </c>
      <c r="F827" s="436">
        <v>37272416.149999999</v>
      </c>
      <c r="G827" s="448">
        <v>39356.609999999404</v>
      </c>
      <c r="H827" s="436">
        <v>275496.24000000209</v>
      </c>
      <c r="I827" s="449">
        <v>550992.46999999881</v>
      </c>
    </row>
    <row r="828" spans="1:9" ht="15.75" customHeight="1" x14ac:dyDescent="0.2">
      <c r="A828" s="437"/>
      <c r="B828" s="437"/>
      <c r="C828" s="436"/>
      <c r="D828" s="467">
        <v>46317</v>
      </c>
      <c r="E828" s="436" t="s">
        <v>602</v>
      </c>
      <c r="F828" s="436">
        <v>37311772.75</v>
      </c>
      <c r="G828" s="448">
        <v>39356.60000000149</v>
      </c>
      <c r="H828" s="436">
        <v>0</v>
      </c>
      <c r="I828" s="449">
        <v>0</v>
      </c>
    </row>
    <row r="829" spans="1:9" ht="15.75" customHeight="1" x14ac:dyDescent="0.2">
      <c r="A829" s="437"/>
      <c r="B829" s="437"/>
      <c r="C829" s="436"/>
      <c r="D829" s="467">
        <v>46318</v>
      </c>
      <c r="E829" s="436" t="s">
        <v>601</v>
      </c>
      <c r="F829" s="436">
        <v>37351129.359999999</v>
      </c>
      <c r="G829" s="448">
        <v>39356.609999999404</v>
      </c>
      <c r="H829" s="436">
        <v>0</v>
      </c>
      <c r="I829" s="449">
        <v>0</v>
      </c>
    </row>
    <row r="830" spans="1:9" ht="15.75" customHeight="1" x14ac:dyDescent="0.2">
      <c r="A830" s="437"/>
      <c r="B830" s="437"/>
      <c r="C830" s="436"/>
      <c r="D830" s="467">
        <v>46319</v>
      </c>
      <c r="E830" s="436" t="s">
        <v>600</v>
      </c>
      <c r="F830" s="436">
        <v>37390485.960000001</v>
      </c>
      <c r="G830" s="448">
        <v>39356.60000000149</v>
      </c>
      <c r="H830" s="436">
        <v>0</v>
      </c>
      <c r="I830" s="449">
        <v>0</v>
      </c>
    </row>
    <row r="831" spans="1:9" ht="15.75" customHeight="1" x14ac:dyDescent="0.2">
      <c r="A831" s="437"/>
      <c r="B831" s="437"/>
      <c r="C831" s="436"/>
      <c r="D831" s="467">
        <v>46320</v>
      </c>
      <c r="E831" s="436" t="s">
        <v>599</v>
      </c>
      <c r="F831" s="436">
        <v>37429842.57</v>
      </c>
      <c r="G831" s="448">
        <v>39356.609999999404</v>
      </c>
      <c r="H831" s="436">
        <v>0</v>
      </c>
      <c r="I831" s="449">
        <v>0</v>
      </c>
    </row>
    <row r="832" spans="1:9" ht="15.75" customHeight="1" x14ac:dyDescent="0.2">
      <c r="A832" s="437"/>
      <c r="B832" s="437"/>
      <c r="C832" s="436"/>
      <c r="D832" s="467">
        <v>46321</v>
      </c>
      <c r="E832" s="436" t="s">
        <v>598</v>
      </c>
      <c r="F832" s="436">
        <v>37469199.170000002</v>
      </c>
      <c r="G832" s="448">
        <v>39356.60000000149</v>
      </c>
      <c r="H832" s="436">
        <v>0</v>
      </c>
      <c r="I832" s="449">
        <v>0</v>
      </c>
    </row>
    <row r="833" spans="1:9" ht="15.75" customHeight="1" x14ac:dyDescent="0.2">
      <c r="A833" s="437"/>
      <c r="B833" s="437"/>
      <c r="C833" s="436"/>
      <c r="D833" s="467">
        <v>46322</v>
      </c>
      <c r="E833" s="436" t="s">
        <v>597</v>
      </c>
      <c r="F833" s="436">
        <v>37508555.780000001</v>
      </c>
      <c r="G833" s="448">
        <v>39356.609999999404</v>
      </c>
      <c r="H833" s="436">
        <v>0</v>
      </c>
      <c r="I833" s="449">
        <v>0</v>
      </c>
    </row>
    <row r="834" spans="1:9" ht="15.75" customHeight="1" x14ac:dyDescent="0.2">
      <c r="A834" s="437"/>
      <c r="B834" s="437"/>
      <c r="C834" s="436"/>
      <c r="D834" s="467">
        <v>46323</v>
      </c>
      <c r="E834" s="436" t="s">
        <v>603</v>
      </c>
      <c r="F834" s="436">
        <v>37547912.380000003</v>
      </c>
      <c r="G834" s="448">
        <v>39356.60000000149</v>
      </c>
      <c r="H834" s="436">
        <v>275496.23000000417</v>
      </c>
      <c r="I834" s="449">
        <v>0</v>
      </c>
    </row>
    <row r="835" spans="1:9" ht="15.75" customHeight="1" x14ac:dyDescent="0.2">
      <c r="A835" s="437"/>
      <c r="B835" s="437"/>
      <c r="C835" s="436"/>
      <c r="D835" s="467">
        <v>46324</v>
      </c>
      <c r="E835" s="436" t="s">
        <v>602</v>
      </c>
      <c r="F835" s="436">
        <v>37587268.990000002</v>
      </c>
      <c r="G835" s="448">
        <v>39356.609999999404</v>
      </c>
      <c r="H835" s="436">
        <v>0</v>
      </c>
      <c r="I835" s="449">
        <v>0</v>
      </c>
    </row>
    <row r="836" spans="1:9" ht="15.75" customHeight="1" x14ac:dyDescent="0.2">
      <c r="A836" s="437"/>
      <c r="B836" s="437"/>
      <c r="C836" s="436"/>
      <c r="D836" s="467">
        <v>46325</v>
      </c>
      <c r="E836" s="436" t="s">
        <v>601</v>
      </c>
      <c r="F836" s="436">
        <v>37626625.590000004</v>
      </c>
      <c r="G836" s="448">
        <v>39356.60000000149</v>
      </c>
      <c r="H836" s="436">
        <v>0</v>
      </c>
      <c r="I836" s="449">
        <v>0</v>
      </c>
    </row>
    <row r="837" spans="1:9" ht="15.75" customHeight="1" x14ac:dyDescent="0.2">
      <c r="A837" s="437"/>
      <c r="B837" s="437"/>
      <c r="C837" s="436"/>
      <c r="D837" s="467">
        <v>46326</v>
      </c>
      <c r="E837" s="436" t="s">
        <v>600</v>
      </c>
      <c r="F837" s="436">
        <v>37665982.200000003</v>
      </c>
      <c r="G837" s="448">
        <v>39356.609999999404</v>
      </c>
      <c r="H837" s="436">
        <v>0</v>
      </c>
      <c r="I837" s="449">
        <v>0</v>
      </c>
    </row>
    <row r="838" spans="1:9" ht="15.75" customHeight="1" x14ac:dyDescent="0.2">
      <c r="A838" s="437"/>
      <c r="B838" s="437"/>
      <c r="C838" s="436"/>
      <c r="D838" s="467">
        <v>46327</v>
      </c>
      <c r="E838" s="436" t="s">
        <v>599</v>
      </c>
      <c r="F838" s="436">
        <v>37705338.799999997</v>
      </c>
      <c r="G838" s="448">
        <v>39356.59999999404</v>
      </c>
      <c r="H838" s="436">
        <v>0</v>
      </c>
      <c r="I838" s="449">
        <v>0</v>
      </c>
    </row>
    <row r="839" spans="1:9" ht="15.75" customHeight="1" x14ac:dyDescent="0.2">
      <c r="A839" s="437"/>
      <c r="B839" s="437"/>
      <c r="C839" s="436"/>
      <c r="D839" s="467">
        <v>46328</v>
      </c>
      <c r="E839" s="436" t="s">
        <v>598</v>
      </c>
      <c r="F839" s="436">
        <v>37744695.409999996</v>
      </c>
      <c r="G839" s="448">
        <v>39356.609999999404</v>
      </c>
      <c r="H839" s="436">
        <v>0</v>
      </c>
      <c r="I839" s="449">
        <v>0</v>
      </c>
    </row>
    <row r="840" spans="1:9" ht="15.75" customHeight="1" x14ac:dyDescent="0.2">
      <c r="A840" s="437"/>
      <c r="B840" s="437"/>
      <c r="C840" s="436"/>
      <c r="D840" s="467">
        <v>46329</v>
      </c>
      <c r="E840" s="436" t="s">
        <v>597</v>
      </c>
      <c r="F840" s="436">
        <v>37784052.009999998</v>
      </c>
      <c r="G840" s="448">
        <v>39356.60000000149</v>
      </c>
      <c r="H840" s="436">
        <v>0</v>
      </c>
      <c r="I840" s="449">
        <v>0</v>
      </c>
    </row>
    <row r="841" spans="1:9" ht="15.75" customHeight="1" x14ac:dyDescent="0.2">
      <c r="A841" s="437"/>
      <c r="B841" s="437"/>
      <c r="C841" s="436"/>
      <c r="D841" s="467">
        <v>46330</v>
      </c>
      <c r="E841" s="436" t="s">
        <v>603</v>
      </c>
      <c r="F841" s="436">
        <v>37823408.619999997</v>
      </c>
      <c r="G841" s="448">
        <v>39356.609999999404</v>
      </c>
      <c r="H841" s="436">
        <v>275496.23999999464</v>
      </c>
      <c r="I841" s="449">
        <v>550992.46999999881</v>
      </c>
    </row>
    <row r="842" spans="1:9" ht="15.75" customHeight="1" x14ac:dyDescent="0.2">
      <c r="A842" s="437"/>
      <c r="B842" s="437"/>
      <c r="C842" s="436"/>
      <c r="D842" s="467">
        <v>46331</v>
      </c>
      <c r="E842" s="436" t="s">
        <v>602</v>
      </c>
      <c r="F842" s="436">
        <v>37862765.219999999</v>
      </c>
      <c r="G842" s="448">
        <v>39356.60000000149</v>
      </c>
      <c r="H842" s="436">
        <v>0</v>
      </c>
      <c r="I842" s="449">
        <v>0</v>
      </c>
    </row>
    <row r="843" spans="1:9" ht="15.75" customHeight="1" x14ac:dyDescent="0.2">
      <c r="A843" s="437"/>
      <c r="B843" s="437"/>
      <c r="C843" s="436"/>
      <c r="D843" s="467">
        <v>46332</v>
      </c>
      <c r="E843" s="436" t="s">
        <v>601</v>
      </c>
      <c r="F843" s="436">
        <v>37902121.829999998</v>
      </c>
      <c r="G843" s="448">
        <v>39356.609999999404</v>
      </c>
      <c r="H843" s="436">
        <v>0</v>
      </c>
      <c r="I843" s="449">
        <v>0</v>
      </c>
    </row>
    <row r="844" spans="1:9" ht="15.75" customHeight="1" x14ac:dyDescent="0.2">
      <c r="A844" s="437"/>
      <c r="B844" s="437"/>
      <c r="C844" s="436"/>
      <c r="D844" s="467">
        <v>46333</v>
      </c>
      <c r="E844" s="436" t="s">
        <v>600</v>
      </c>
      <c r="F844" s="436">
        <v>37941478.43</v>
      </c>
      <c r="G844" s="448">
        <v>39356.60000000149</v>
      </c>
      <c r="H844" s="436">
        <v>0</v>
      </c>
      <c r="I844" s="449">
        <v>0</v>
      </c>
    </row>
    <row r="845" spans="1:9" ht="15.75" customHeight="1" x14ac:dyDescent="0.2">
      <c r="A845" s="437"/>
      <c r="B845" s="437"/>
      <c r="C845" s="436"/>
      <c r="D845" s="467">
        <v>46334</v>
      </c>
      <c r="E845" s="436" t="s">
        <v>599</v>
      </c>
      <c r="F845" s="436">
        <v>37980835.039999999</v>
      </c>
      <c r="G845" s="448">
        <v>39356.609999999404</v>
      </c>
      <c r="H845" s="436">
        <v>0</v>
      </c>
      <c r="I845" s="449">
        <v>0</v>
      </c>
    </row>
    <row r="846" spans="1:9" ht="15.75" customHeight="1" x14ac:dyDescent="0.2">
      <c r="A846" s="437"/>
      <c r="B846" s="437"/>
      <c r="C846" s="436"/>
      <c r="D846" s="467">
        <v>46335</v>
      </c>
      <c r="E846" s="436" t="s">
        <v>598</v>
      </c>
      <c r="F846" s="436">
        <v>38020191.640000001</v>
      </c>
      <c r="G846" s="448">
        <v>39356.60000000149</v>
      </c>
      <c r="H846" s="436">
        <v>0</v>
      </c>
      <c r="I846" s="449">
        <v>0</v>
      </c>
    </row>
    <row r="847" spans="1:9" ht="15.75" customHeight="1" x14ac:dyDescent="0.2">
      <c r="A847" s="437"/>
      <c r="B847" s="437"/>
      <c r="C847" s="436"/>
      <c r="D847" s="467">
        <v>46336</v>
      </c>
      <c r="E847" s="436" t="s">
        <v>597</v>
      </c>
      <c r="F847" s="436">
        <v>38059548.25</v>
      </c>
      <c r="G847" s="448">
        <v>39356.609999999404</v>
      </c>
      <c r="H847" s="436">
        <v>0</v>
      </c>
      <c r="I847" s="449">
        <v>0</v>
      </c>
    </row>
    <row r="848" spans="1:9" ht="15.75" customHeight="1" x14ac:dyDescent="0.2">
      <c r="A848" s="437"/>
      <c r="B848" s="437"/>
      <c r="C848" s="436"/>
      <c r="D848" s="467">
        <v>46337</v>
      </c>
      <c r="E848" s="436" t="s">
        <v>603</v>
      </c>
      <c r="F848" s="436">
        <v>38098904.850000001</v>
      </c>
      <c r="G848" s="448">
        <v>39356.60000000149</v>
      </c>
      <c r="H848" s="436">
        <v>275496.23000000417</v>
      </c>
      <c r="I848" s="449">
        <v>0</v>
      </c>
    </row>
    <row r="849" spans="1:9" ht="15.75" customHeight="1" x14ac:dyDescent="0.2">
      <c r="A849" s="437"/>
      <c r="B849" s="437"/>
      <c r="C849" s="436"/>
      <c r="D849" s="467">
        <v>46338</v>
      </c>
      <c r="E849" s="436" t="s">
        <v>602</v>
      </c>
      <c r="F849" s="436">
        <v>38138261.460000001</v>
      </c>
      <c r="G849" s="448">
        <v>39356.609999999404</v>
      </c>
      <c r="H849" s="436">
        <v>0</v>
      </c>
      <c r="I849" s="449">
        <v>0</v>
      </c>
    </row>
    <row r="850" spans="1:9" ht="15.75" customHeight="1" x14ac:dyDescent="0.2">
      <c r="A850" s="437"/>
      <c r="B850" s="437"/>
      <c r="C850" s="436"/>
      <c r="D850" s="467">
        <v>46339</v>
      </c>
      <c r="E850" s="436" t="s">
        <v>601</v>
      </c>
      <c r="F850" s="436">
        <v>38177618.060000002</v>
      </c>
      <c r="G850" s="448">
        <v>39356.60000000149</v>
      </c>
      <c r="H850" s="436">
        <v>0</v>
      </c>
      <c r="I850" s="449">
        <v>0</v>
      </c>
    </row>
    <row r="851" spans="1:9" ht="15.75" customHeight="1" x14ac:dyDescent="0.2">
      <c r="A851" s="437"/>
      <c r="B851" s="437"/>
      <c r="C851" s="436"/>
      <c r="D851" s="467">
        <v>46340</v>
      </c>
      <c r="E851" s="436" t="s">
        <v>600</v>
      </c>
      <c r="F851" s="436">
        <v>38216974.670000002</v>
      </c>
      <c r="G851" s="448">
        <v>39356.609999999404</v>
      </c>
      <c r="H851" s="436">
        <v>0</v>
      </c>
      <c r="I851" s="449">
        <v>0</v>
      </c>
    </row>
    <row r="852" spans="1:9" ht="15.75" customHeight="1" x14ac:dyDescent="0.2">
      <c r="A852" s="437"/>
      <c r="B852" s="437"/>
      <c r="C852" s="436"/>
      <c r="D852" s="467">
        <v>46341</v>
      </c>
      <c r="E852" s="436" t="s">
        <v>599</v>
      </c>
      <c r="F852" s="436">
        <v>38256331.270000003</v>
      </c>
      <c r="G852" s="448">
        <v>39356.60000000149</v>
      </c>
      <c r="H852" s="436">
        <v>0</v>
      </c>
      <c r="I852" s="449">
        <v>0</v>
      </c>
    </row>
    <row r="853" spans="1:9" ht="15.75" customHeight="1" x14ac:dyDescent="0.2">
      <c r="A853" s="437"/>
      <c r="B853" s="437"/>
      <c r="C853" s="436"/>
      <c r="D853" s="467">
        <v>46342</v>
      </c>
      <c r="E853" s="436" t="s">
        <v>598</v>
      </c>
      <c r="F853" s="436">
        <v>38295687.880000003</v>
      </c>
      <c r="G853" s="448">
        <v>39356.609999999404</v>
      </c>
      <c r="H853" s="436">
        <v>0</v>
      </c>
      <c r="I853" s="449">
        <v>0</v>
      </c>
    </row>
    <row r="854" spans="1:9" ht="15.75" customHeight="1" x14ac:dyDescent="0.2">
      <c r="A854" s="437"/>
      <c r="B854" s="437"/>
      <c r="C854" s="436"/>
      <c r="D854" s="467">
        <v>46343</v>
      </c>
      <c r="E854" s="436" t="s">
        <v>597</v>
      </c>
      <c r="F854" s="436">
        <v>38335044.490000002</v>
      </c>
      <c r="G854" s="448">
        <v>39356.609999999404</v>
      </c>
      <c r="H854" s="436">
        <v>0</v>
      </c>
      <c r="I854" s="449">
        <v>0</v>
      </c>
    </row>
    <row r="855" spans="1:9" ht="15.75" customHeight="1" x14ac:dyDescent="0.2">
      <c r="A855" s="437"/>
      <c r="B855" s="437"/>
      <c r="C855" s="436"/>
      <c r="D855" s="467">
        <v>46344</v>
      </c>
      <c r="E855" s="436" t="s">
        <v>603</v>
      </c>
      <c r="F855" s="436">
        <v>38374401.090000004</v>
      </c>
      <c r="G855" s="448">
        <v>39356.60000000149</v>
      </c>
      <c r="H855" s="436">
        <v>275496.24000000209</v>
      </c>
      <c r="I855" s="449">
        <v>550992.47000000626</v>
      </c>
    </row>
    <row r="856" spans="1:9" ht="15.75" customHeight="1" x14ac:dyDescent="0.2">
      <c r="A856" s="437"/>
      <c r="B856" s="437"/>
      <c r="C856" s="436"/>
      <c r="D856" s="467">
        <v>46345</v>
      </c>
      <c r="E856" s="436" t="s">
        <v>602</v>
      </c>
      <c r="F856" s="436">
        <v>38413757.700000003</v>
      </c>
      <c r="G856" s="448">
        <v>39356.609999999404</v>
      </c>
      <c r="H856" s="436">
        <v>0</v>
      </c>
      <c r="I856" s="449">
        <v>0</v>
      </c>
    </row>
    <row r="857" spans="1:9" ht="15.75" customHeight="1" x14ac:dyDescent="0.2">
      <c r="A857" s="437"/>
      <c r="B857" s="437"/>
      <c r="C857" s="436"/>
      <c r="D857" s="467">
        <v>46346</v>
      </c>
      <c r="E857" s="436" t="s">
        <v>601</v>
      </c>
      <c r="F857" s="436">
        <v>38453114.299999997</v>
      </c>
      <c r="G857" s="448">
        <v>39356.59999999404</v>
      </c>
      <c r="H857" s="436">
        <v>0</v>
      </c>
      <c r="I857" s="449">
        <v>0</v>
      </c>
    </row>
    <row r="858" spans="1:9" ht="15.75" customHeight="1" x14ac:dyDescent="0.2">
      <c r="A858" s="437"/>
      <c r="B858" s="437"/>
      <c r="C858" s="436"/>
      <c r="D858" s="467">
        <v>46347</v>
      </c>
      <c r="E858" s="436" t="s">
        <v>600</v>
      </c>
      <c r="F858" s="436">
        <v>38492470.909999996</v>
      </c>
      <c r="G858" s="448">
        <v>39356.609999999404</v>
      </c>
      <c r="H858" s="436">
        <v>0</v>
      </c>
      <c r="I858" s="449">
        <v>0</v>
      </c>
    </row>
    <row r="859" spans="1:9" ht="15.75" customHeight="1" x14ac:dyDescent="0.2">
      <c r="A859" s="437"/>
      <c r="B859" s="437"/>
      <c r="C859" s="436"/>
      <c r="D859" s="467">
        <v>46348</v>
      </c>
      <c r="E859" s="436" t="s">
        <v>599</v>
      </c>
      <c r="F859" s="436">
        <v>38531827.509999998</v>
      </c>
      <c r="G859" s="448">
        <v>39356.60000000149</v>
      </c>
      <c r="H859" s="436">
        <v>0</v>
      </c>
      <c r="I859" s="449">
        <v>0</v>
      </c>
    </row>
    <row r="860" spans="1:9" ht="15.75" customHeight="1" x14ac:dyDescent="0.2">
      <c r="A860" s="437"/>
      <c r="B860" s="437"/>
      <c r="C860" s="436"/>
      <c r="D860" s="467">
        <v>46349</v>
      </c>
      <c r="E860" s="436" t="s">
        <v>598</v>
      </c>
      <c r="F860" s="436">
        <v>38571184.119999997</v>
      </c>
      <c r="G860" s="448">
        <v>39356.609999999404</v>
      </c>
      <c r="H860" s="436">
        <v>0</v>
      </c>
      <c r="I860" s="449">
        <v>0</v>
      </c>
    </row>
    <row r="861" spans="1:9" ht="15.75" customHeight="1" x14ac:dyDescent="0.2">
      <c r="A861" s="437"/>
      <c r="B861" s="437"/>
      <c r="C861" s="436"/>
      <c r="D861" s="467">
        <v>46350</v>
      </c>
      <c r="E861" s="436" t="s">
        <v>597</v>
      </c>
      <c r="F861" s="436">
        <v>38610540.719999999</v>
      </c>
      <c r="G861" s="448">
        <v>39356.60000000149</v>
      </c>
      <c r="H861" s="436">
        <v>0</v>
      </c>
      <c r="I861" s="449">
        <v>0</v>
      </c>
    </row>
    <row r="862" spans="1:9" ht="15.75" customHeight="1" x14ac:dyDescent="0.2">
      <c r="A862" s="437"/>
      <c r="B862" s="437"/>
      <c r="C862" s="436"/>
      <c r="D862" s="467">
        <v>46351</v>
      </c>
      <c r="E862" s="436" t="s">
        <v>603</v>
      </c>
      <c r="F862" s="436">
        <v>38649897.329999998</v>
      </c>
      <c r="G862" s="448">
        <v>39356.609999999404</v>
      </c>
      <c r="H862" s="436">
        <v>275496.23999999464</v>
      </c>
      <c r="I862" s="449">
        <v>0</v>
      </c>
    </row>
    <row r="863" spans="1:9" ht="15.75" customHeight="1" x14ac:dyDescent="0.2">
      <c r="A863" s="437"/>
      <c r="B863" s="437"/>
      <c r="C863" s="436"/>
      <c r="D863" s="467">
        <v>46352</v>
      </c>
      <c r="E863" s="436" t="s">
        <v>602</v>
      </c>
      <c r="F863" s="436">
        <v>38689253.93</v>
      </c>
      <c r="G863" s="448">
        <v>39356.60000000149</v>
      </c>
      <c r="H863" s="436">
        <v>0</v>
      </c>
      <c r="I863" s="449">
        <v>0</v>
      </c>
    </row>
    <row r="864" spans="1:9" ht="15.75" customHeight="1" x14ac:dyDescent="0.2">
      <c r="A864" s="437"/>
      <c r="B864" s="437"/>
      <c r="C864" s="436"/>
      <c r="D864" s="467">
        <v>46353</v>
      </c>
      <c r="E864" s="436" t="s">
        <v>601</v>
      </c>
      <c r="F864" s="436">
        <v>38728610.539999999</v>
      </c>
      <c r="G864" s="448">
        <v>39356.609999999404</v>
      </c>
      <c r="H864" s="436">
        <v>0</v>
      </c>
      <c r="I864" s="449">
        <v>0</v>
      </c>
    </row>
    <row r="865" spans="1:9" ht="15.75" customHeight="1" x14ac:dyDescent="0.2">
      <c r="A865" s="437"/>
      <c r="B865" s="437"/>
      <c r="C865" s="436"/>
      <c r="D865" s="467">
        <v>46354</v>
      </c>
      <c r="E865" s="436" t="s">
        <v>600</v>
      </c>
      <c r="F865" s="436">
        <v>38767967.140000001</v>
      </c>
      <c r="G865" s="448">
        <v>39356.60000000149</v>
      </c>
      <c r="H865" s="436">
        <v>0</v>
      </c>
      <c r="I865" s="449">
        <v>0</v>
      </c>
    </row>
    <row r="866" spans="1:9" ht="15.75" customHeight="1" x14ac:dyDescent="0.2">
      <c r="A866" s="437"/>
      <c r="B866" s="437"/>
      <c r="C866" s="436"/>
      <c r="D866" s="467">
        <v>46355</v>
      </c>
      <c r="E866" s="436" t="s">
        <v>599</v>
      </c>
      <c r="F866" s="436">
        <v>38807323.75</v>
      </c>
      <c r="G866" s="448">
        <v>39356.609999999404</v>
      </c>
      <c r="H866" s="436">
        <v>0</v>
      </c>
      <c r="I866" s="449">
        <v>0</v>
      </c>
    </row>
    <row r="867" spans="1:9" ht="15.75" customHeight="1" x14ac:dyDescent="0.2">
      <c r="A867" s="437"/>
      <c r="B867" s="437"/>
      <c r="C867" s="436"/>
      <c r="D867" s="467">
        <v>46356</v>
      </c>
      <c r="E867" s="436" t="s">
        <v>598</v>
      </c>
      <c r="F867" s="436">
        <v>38846680.350000001</v>
      </c>
      <c r="G867" s="448">
        <v>39356.60000000149</v>
      </c>
      <c r="H867" s="436">
        <v>0</v>
      </c>
      <c r="I867" s="449">
        <v>0</v>
      </c>
    </row>
    <row r="868" spans="1:9" ht="15.75" customHeight="1" x14ac:dyDescent="0.2">
      <c r="A868" s="437"/>
      <c r="B868" s="437"/>
      <c r="C868" s="436"/>
      <c r="D868" s="467">
        <v>46357</v>
      </c>
      <c r="E868" s="436" t="s">
        <v>597</v>
      </c>
      <c r="F868" s="436">
        <v>38886036.960000001</v>
      </c>
      <c r="G868" s="448">
        <v>39356.609999999404</v>
      </c>
      <c r="H868" s="436">
        <v>0</v>
      </c>
      <c r="I868" s="449">
        <v>0</v>
      </c>
    </row>
    <row r="869" spans="1:9" ht="15.75" customHeight="1" x14ac:dyDescent="0.2">
      <c r="A869" s="437"/>
      <c r="B869" s="437"/>
      <c r="C869" s="436"/>
      <c r="D869" s="467">
        <v>46358</v>
      </c>
      <c r="E869" s="436" t="s">
        <v>603</v>
      </c>
      <c r="F869" s="436">
        <v>38925393.560000002</v>
      </c>
      <c r="G869" s="448">
        <v>39356.60000000149</v>
      </c>
      <c r="H869" s="436">
        <v>275496.23000000417</v>
      </c>
      <c r="I869" s="449">
        <v>550992.46999999881</v>
      </c>
    </row>
    <row r="870" spans="1:9" ht="15.75" customHeight="1" x14ac:dyDescent="0.2">
      <c r="A870" s="437"/>
      <c r="B870" s="437"/>
      <c r="C870" s="436"/>
      <c r="D870" s="467">
        <v>46359</v>
      </c>
      <c r="E870" s="436" t="s">
        <v>602</v>
      </c>
      <c r="F870" s="436">
        <v>38964750.170000002</v>
      </c>
      <c r="G870" s="448">
        <v>39356.609999999404</v>
      </c>
      <c r="H870" s="436">
        <v>0</v>
      </c>
      <c r="I870" s="449">
        <v>0</v>
      </c>
    </row>
    <row r="871" spans="1:9" ht="15.75" customHeight="1" x14ac:dyDescent="0.2">
      <c r="A871" s="437"/>
      <c r="B871" s="437"/>
      <c r="C871" s="436"/>
      <c r="D871" s="467">
        <v>46360</v>
      </c>
      <c r="E871" s="436" t="s">
        <v>601</v>
      </c>
      <c r="F871" s="436">
        <v>39004106.770000003</v>
      </c>
      <c r="G871" s="448">
        <v>39356.60000000149</v>
      </c>
      <c r="H871" s="436">
        <v>0</v>
      </c>
      <c r="I871" s="449">
        <v>0</v>
      </c>
    </row>
    <row r="872" spans="1:9" ht="15.75" customHeight="1" x14ac:dyDescent="0.2">
      <c r="A872" s="437"/>
      <c r="B872" s="437"/>
      <c r="C872" s="436"/>
      <c r="D872" s="467">
        <v>46361</v>
      </c>
      <c r="E872" s="436" t="s">
        <v>600</v>
      </c>
      <c r="F872" s="436">
        <v>39043463.380000003</v>
      </c>
      <c r="G872" s="448">
        <v>39356.609999999404</v>
      </c>
      <c r="H872" s="436">
        <v>0</v>
      </c>
      <c r="I872" s="449">
        <v>0</v>
      </c>
    </row>
    <row r="873" spans="1:9" ht="15.75" customHeight="1" x14ac:dyDescent="0.2">
      <c r="A873" s="437"/>
      <c r="B873" s="437"/>
      <c r="C873" s="436"/>
      <c r="D873" s="467">
        <v>46362</v>
      </c>
      <c r="E873" s="436" t="s">
        <v>599</v>
      </c>
      <c r="F873" s="436">
        <v>39082819.979999997</v>
      </c>
      <c r="G873" s="448">
        <v>39356.59999999404</v>
      </c>
      <c r="H873" s="436">
        <v>0</v>
      </c>
      <c r="I873" s="449">
        <v>0</v>
      </c>
    </row>
    <row r="874" spans="1:9" ht="15.75" customHeight="1" x14ac:dyDescent="0.2">
      <c r="A874" s="437"/>
      <c r="B874" s="437"/>
      <c r="C874" s="436"/>
      <c r="D874" s="467">
        <v>46363</v>
      </c>
      <c r="E874" s="436" t="s">
        <v>598</v>
      </c>
      <c r="F874" s="436">
        <v>39122176.590000004</v>
      </c>
      <c r="G874" s="448">
        <v>39356.610000006855</v>
      </c>
      <c r="H874" s="436">
        <v>0</v>
      </c>
      <c r="I874" s="449">
        <v>0</v>
      </c>
    </row>
    <row r="875" spans="1:9" ht="15.75" customHeight="1" x14ac:dyDescent="0.2">
      <c r="A875" s="437"/>
      <c r="B875" s="437"/>
      <c r="C875" s="436"/>
      <c r="D875" s="467">
        <v>46364</v>
      </c>
      <c r="E875" s="436" t="s">
        <v>597</v>
      </c>
      <c r="F875" s="436">
        <v>39161533.189999998</v>
      </c>
      <c r="G875" s="448">
        <v>39356.59999999404</v>
      </c>
      <c r="H875" s="436">
        <v>0</v>
      </c>
      <c r="I875" s="449">
        <v>0</v>
      </c>
    </row>
    <row r="876" spans="1:9" ht="15.75" customHeight="1" x14ac:dyDescent="0.2">
      <c r="A876" s="437"/>
      <c r="B876" s="437"/>
      <c r="C876" s="436"/>
      <c r="D876" s="467">
        <v>46365</v>
      </c>
      <c r="E876" s="436" t="s">
        <v>603</v>
      </c>
      <c r="F876" s="436">
        <v>39200889.799999997</v>
      </c>
      <c r="G876" s="448">
        <v>39356.609999999404</v>
      </c>
      <c r="H876" s="436">
        <v>275496.23999999464</v>
      </c>
      <c r="I876" s="449">
        <v>0</v>
      </c>
    </row>
    <row r="877" spans="1:9" ht="15.75" customHeight="1" x14ac:dyDescent="0.2">
      <c r="A877" s="437"/>
      <c r="B877" s="437"/>
      <c r="C877" s="436"/>
      <c r="D877" s="467">
        <v>46366</v>
      </c>
      <c r="E877" s="436" t="s">
        <v>602</v>
      </c>
      <c r="F877" s="436">
        <v>39240246.399999999</v>
      </c>
      <c r="G877" s="448">
        <v>39356.60000000149</v>
      </c>
      <c r="H877" s="436">
        <v>0</v>
      </c>
      <c r="I877" s="449">
        <v>0</v>
      </c>
    </row>
    <row r="878" spans="1:9" ht="15.75" customHeight="1" x14ac:dyDescent="0.2">
      <c r="A878" s="437"/>
      <c r="B878" s="437"/>
      <c r="C878" s="436"/>
      <c r="D878" s="467">
        <v>46367</v>
      </c>
      <c r="E878" s="436" t="s">
        <v>601</v>
      </c>
      <c r="F878" s="436">
        <v>39279603.009999998</v>
      </c>
      <c r="G878" s="448">
        <v>39356.609999999404</v>
      </c>
      <c r="H878" s="436">
        <v>0</v>
      </c>
      <c r="I878" s="449">
        <v>0</v>
      </c>
    </row>
    <row r="879" spans="1:9" ht="15.75" customHeight="1" x14ac:dyDescent="0.2">
      <c r="A879" s="437"/>
      <c r="B879" s="437"/>
      <c r="C879" s="436"/>
      <c r="D879" s="467">
        <v>46368</v>
      </c>
      <c r="E879" s="436" t="s">
        <v>600</v>
      </c>
      <c r="F879" s="436">
        <v>39318959.609999999</v>
      </c>
      <c r="G879" s="448">
        <v>39356.60000000149</v>
      </c>
      <c r="H879" s="436">
        <v>0</v>
      </c>
      <c r="I879" s="449">
        <v>0</v>
      </c>
    </row>
    <row r="880" spans="1:9" ht="15.75" customHeight="1" x14ac:dyDescent="0.2">
      <c r="A880" s="437"/>
      <c r="B880" s="437"/>
      <c r="C880" s="436"/>
      <c r="D880" s="467">
        <v>46369</v>
      </c>
      <c r="E880" s="436" t="s">
        <v>599</v>
      </c>
      <c r="F880" s="436">
        <v>39358316.219999999</v>
      </c>
      <c r="G880" s="448">
        <v>39356.609999999404</v>
      </c>
      <c r="H880" s="436">
        <v>0</v>
      </c>
      <c r="I880" s="449">
        <v>0</v>
      </c>
    </row>
    <row r="881" spans="1:9" ht="15.75" customHeight="1" x14ac:dyDescent="0.2">
      <c r="A881" s="437"/>
      <c r="B881" s="437"/>
      <c r="C881" s="436"/>
      <c r="D881" s="467">
        <v>46370</v>
      </c>
      <c r="E881" s="436" t="s">
        <v>598</v>
      </c>
      <c r="F881" s="436">
        <v>39397672.82</v>
      </c>
      <c r="G881" s="448">
        <v>39356.60000000149</v>
      </c>
      <c r="H881" s="436">
        <v>0</v>
      </c>
      <c r="I881" s="449">
        <v>0</v>
      </c>
    </row>
    <row r="882" spans="1:9" ht="15.75" customHeight="1" x14ac:dyDescent="0.2">
      <c r="A882" s="437"/>
      <c r="B882" s="437"/>
      <c r="C882" s="436"/>
      <c r="D882" s="467">
        <v>46371</v>
      </c>
      <c r="E882" s="436" t="s">
        <v>597</v>
      </c>
      <c r="F882" s="436">
        <v>39437029.43</v>
      </c>
      <c r="G882" s="448">
        <v>39356.609999999404</v>
      </c>
      <c r="H882" s="436">
        <v>0</v>
      </c>
      <c r="I882" s="449">
        <v>0</v>
      </c>
    </row>
    <row r="883" spans="1:9" ht="15.75" customHeight="1" x14ac:dyDescent="0.2">
      <c r="A883" s="437"/>
      <c r="B883" s="437"/>
      <c r="C883" s="436"/>
      <c r="D883" s="467">
        <v>46372</v>
      </c>
      <c r="E883" s="436" t="s">
        <v>603</v>
      </c>
      <c r="F883" s="436">
        <v>39476386.030000001</v>
      </c>
      <c r="G883" s="448">
        <v>39356.60000000149</v>
      </c>
      <c r="H883" s="436">
        <v>275496.23000000417</v>
      </c>
      <c r="I883" s="449">
        <v>550992.46999999881</v>
      </c>
    </row>
    <row r="884" spans="1:9" ht="15.75" customHeight="1" x14ac:dyDescent="0.2">
      <c r="A884" s="437"/>
      <c r="B884" s="437"/>
      <c r="C884" s="436"/>
      <c r="D884" s="467">
        <v>46373</v>
      </c>
      <c r="E884" s="436" t="s">
        <v>602</v>
      </c>
      <c r="F884" s="436">
        <v>39515742.640000001</v>
      </c>
      <c r="G884" s="448">
        <v>39356.609999999404</v>
      </c>
      <c r="H884" s="436">
        <v>0</v>
      </c>
      <c r="I884" s="449">
        <v>0</v>
      </c>
    </row>
    <row r="885" spans="1:9" ht="15.75" customHeight="1" x14ac:dyDescent="0.2">
      <c r="A885" s="437"/>
      <c r="B885" s="437"/>
      <c r="C885" s="436"/>
      <c r="D885" s="467">
        <v>46374</v>
      </c>
      <c r="E885" s="436" t="s">
        <v>601</v>
      </c>
      <c r="F885" s="436">
        <v>39555099.240000002</v>
      </c>
      <c r="G885" s="448">
        <v>39356.60000000149</v>
      </c>
      <c r="H885" s="436">
        <v>0</v>
      </c>
      <c r="I885" s="449">
        <v>0</v>
      </c>
    </row>
    <row r="886" spans="1:9" ht="15.75" customHeight="1" x14ac:dyDescent="0.2">
      <c r="A886" s="437"/>
      <c r="B886" s="437"/>
      <c r="C886" s="436"/>
      <c r="D886" s="467">
        <v>46375</v>
      </c>
      <c r="E886" s="436" t="s">
        <v>600</v>
      </c>
      <c r="F886" s="436">
        <v>39594455.850000001</v>
      </c>
      <c r="G886" s="448">
        <v>39356.609999999404</v>
      </c>
      <c r="H886" s="436">
        <v>0</v>
      </c>
      <c r="I886" s="449">
        <v>0</v>
      </c>
    </row>
    <row r="887" spans="1:9" ht="15.75" customHeight="1" x14ac:dyDescent="0.2">
      <c r="A887" s="437"/>
      <c r="B887" s="437"/>
      <c r="C887" s="436"/>
      <c r="D887" s="467">
        <v>46376</v>
      </c>
      <c r="E887" s="436" t="s">
        <v>599</v>
      </c>
      <c r="F887" s="436">
        <v>39633812.450000003</v>
      </c>
      <c r="G887" s="448">
        <v>39356.60000000149</v>
      </c>
      <c r="H887" s="436">
        <v>0</v>
      </c>
      <c r="I887" s="449">
        <v>0</v>
      </c>
    </row>
    <row r="888" spans="1:9" ht="15.75" customHeight="1" x14ac:dyDescent="0.2">
      <c r="A888" s="437"/>
      <c r="B888" s="437"/>
      <c r="C888" s="436"/>
      <c r="D888" s="467">
        <v>46377</v>
      </c>
      <c r="E888" s="436" t="s">
        <v>598</v>
      </c>
      <c r="F888" s="436">
        <v>39673169.060000002</v>
      </c>
      <c r="G888" s="448">
        <v>39356.609999999404</v>
      </c>
      <c r="H888" s="436">
        <v>0</v>
      </c>
      <c r="I888" s="449">
        <v>0</v>
      </c>
    </row>
    <row r="889" spans="1:9" ht="15.75" customHeight="1" x14ac:dyDescent="0.2">
      <c r="A889" s="437"/>
      <c r="B889" s="437"/>
      <c r="C889" s="436"/>
      <c r="D889" s="467">
        <v>46378</v>
      </c>
      <c r="E889" s="436" t="s">
        <v>597</v>
      </c>
      <c r="F889" s="436">
        <v>39712525.659999996</v>
      </c>
      <c r="G889" s="448">
        <v>39356.59999999404</v>
      </c>
      <c r="H889" s="436">
        <v>0</v>
      </c>
      <c r="I889" s="449">
        <v>0</v>
      </c>
    </row>
    <row r="890" spans="1:9" ht="15.75" customHeight="1" x14ac:dyDescent="0.2">
      <c r="A890" s="437"/>
      <c r="B890" s="437"/>
      <c r="C890" s="436"/>
      <c r="D890" s="467">
        <v>46379</v>
      </c>
      <c r="E890" s="436" t="s">
        <v>603</v>
      </c>
      <c r="F890" s="436">
        <v>39751882.270000003</v>
      </c>
      <c r="G890" s="448">
        <v>39356.610000006855</v>
      </c>
      <c r="H890" s="436">
        <v>275496.24000000209</v>
      </c>
      <c r="I890" s="449">
        <v>0</v>
      </c>
    </row>
    <row r="891" spans="1:9" ht="15.75" customHeight="1" x14ac:dyDescent="0.2">
      <c r="A891" s="437"/>
      <c r="B891" s="437"/>
      <c r="C891" s="436"/>
      <c r="D891" s="467">
        <v>46380</v>
      </c>
      <c r="E891" s="436" t="s">
        <v>602</v>
      </c>
      <c r="F891" s="436">
        <v>39791238.869999997</v>
      </c>
      <c r="G891" s="448">
        <v>39356.59999999404</v>
      </c>
      <c r="H891" s="436">
        <v>0</v>
      </c>
      <c r="I891" s="449">
        <v>0</v>
      </c>
    </row>
    <row r="892" spans="1:9" ht="15.75" customHeight="1" x14ac:dyDescent="0.2">
      <c r="A892" s="437"/>
      <c r="B892" s="437"/>
      <c r="C892" s="436"/>
      <c r="D892" s="467">
        <v>46381</v>
      </c>
      <c r="E892" s="436" t="s">
        <v>601</v>
      </c>
      <c r="F892" s="436">
        <v>39830595.479999997</v>
      </c>
      <c r="G892" s="448">
        <v>39356.609999999404</v>
      </c>
      <c r="H892" s="436">
        <v>0</v>
      </c>
      <c r="I892" s="449">
        <v>0</v>
      </c>
    </row>
    <row r="893" spans="1:9" ht="15.75" customHeight="1" x14ac:dyDescent="0.2">
      <c r="A893" s="437"/>
      <c r="B893" s="437"/>
      <c r="C893" s="436"/>
      <c r="D893" s="467">
        <v>46382</v>
      </c>
      <c r="E893" s="436" t="s">
        <v>600</v>
      </c>
      <c r="F893" s="436">
        <v>39869952.079999998</v>
      </c>
      <c r="G893" s="448">
        <v>39356.60000000149</v>
      </c>
      <c r="H893" s="436">
        <v>0</v>
      </c>
      <c r="I893" s="449">
        <v>0</v>
      </c>
    </row>
    <row r="894" spans="1:9" ht="15.75" customHeight="1" x14ac:dyDescent="0.2">
      <c r="A894" s="437"/>
      <c r="B894" s="437"/>
      <c r="C894" s="436"/>
      <c r="D894" s="467">
        <v>46383</v>
      </c>
      <c r="E894" s="436" t="s">
        <v>599</v>
      </c>
      <c r="F894" s="436">
        <v>39909308.689999998</v>
      </c>
      <c r="G894" s="448">
        <v>39356.609999999404</v>
      </c>
      <c r="H894" s="436">
        <v>0</v>
      </c>
      <c r="I894" s="449">
        <v>0</v>
      </c>
    </row>
    <row r="895" spans="1:9" ht="15.75" customHeight="1" x14ac:dyDescent="0.2">
      <c r="A895" s="437"/>
      <c r="B895" s="437"/>
      <c r="C895" s="436"/>
      <c r="D895" s="467">
        <v>46384</v>
      </c>
      <c r="E895" s="436" t="s">
        <v>598</v>
      </c>
      <c r="F895" s="436">
        <v>39948665.289999999</v>
      </c>
      <c r="G895" s="448">
        <v>39356.60000000149</v>
      </c>
      <c r="H895" s="436">
        <v>0</v>
      </c>
      <c r="I895" s="449">
        <v>0</v>
      </c>
    </row>
    <row r="896" spans="1:9" ht="15.75" customHeight="1" x14ac:dyDescent="0.2">
      <c r="A896" s="437"/>
      <c r="B896" s="437"/>
      <c r="C896" s="436"/>
      <c r="D896" s="467">
        <v>46385</v>
      </c>
      <c r="E896" s="436" t="s">
        <v>597</v>
      </c>
      <c r="F896" s="436">
        <v>39988021.899999999</v>
      </c>
      <c r="G896" s="448">
        <v>39356.609999999404</v>
      </c>
      <c r="H896" s="436">
        <v>0</v>
      </c>
      <c r="I896" s="449">
        <v>0</v>
      </c>
    </row>
    <row r="897" spans="1:9" ht="15.75" customHeight="1" x14ac:dyDescent="0.2">
      <c r="A897" s="437"/>
      <c r="B897" s="437"/>
      <c r="C897" s="436"/>
      <c r="D897" s="467">
        <v>46386</v>
      </c>
      <c r="E897" s="436" t="s">
        <v>603</v>
      </c>
      <c r="F897" s="436">
        <v>40027378.5</v>
      </c>
      <c r="G897" s="448">
        <v>39356.60000000149</v>
      </c>
      <c r="H897" s="436">
        <v>275496.22999999672</v>
      </c>
      <c r="I897" s="449">
        <v>550992.46999999881</v>
      </c>
    </row>
    <row r="898" spans="1:9" ht="15.75" customHeight="1" x14ac:dyDescent="0.2">
      <c r="A898" s="437"/>
      <c r="B898" s="437"/>
      <c r="C898" s="436"/>
      <c r="D898" s="467">
        <v>46387</v>
      </c>
      <c r="E898" s="436" t="s">
        <v>602</v>
      </c>
      <c r="F898" s="436">
        <v>40066735.109999999</v>
      </c>
      <c r="G898" s="448">
        <v>39356.609999999404</v>
      </c>
      <c r="H898" s="436">
        <v>0</v>
      </c>
      <c r="I898" s="449">
        <v>0</v>
      </c>
    </row>
    <row r="899" spans="1:9" ht="15.75" customHeight="1" x14ac:dyDescent="0.2">
      <c r="A899" s="437"/>
      <c r="B899" s="437"/>
      <c r="C899" s="436"/>
      <c r="D899" s="467">
        <v>46388</v>
      </c>
      <c r="E899" s="436" t="s">
        <v>601</v>
      </c>
      <c r="F899" s="436">
        <v>40106091.710000001</v>
      </c>
      <c r="G899" s="448">
        <v>39356.60000000149</v>
      </c>
      <c r="H899" s="436">
        <v>0</v>
      </c>
      <c r="I899" s="449">
        <v>0</v>
      </c>
    </row>
    <row r="900" spans="1:9" ht="15.75" customHeight="1" x14ac:dyDescent="0.2">
      <c r="A900" s="437"/>
      <c r="B900" s="437"/>
      <c r="C900" s="436"/>
      <c r="D900" s="467">
        <v>46389</v>
      </c>
      <c r="E900" s="436" t="s">
        <v>600</v>
      </c>
      <c r="F900" s="436">
        <v>40145448.32</v>
      </c>
      <c r="G900" s="448">
        <v>39356.609999999404</v>
      </c>
      <c r="H900" s="436">
        <v>0</v>
      </c>
      <c r="I900" s="449">
        <v>0</v>
      </c>
    </row>
    <row r="901" spans="1:9" ht="15.75" customHeight="1" x14ac:dyDescent="0.2">
      <c r="A901" s="437"/>
      <c r="B901" s="437"/>
      <c r="C901" s="436"/>
      <c r="D901" s="467">
        <v>46390</v>
      </c>
      <c r="E901" s="436" t="s">
        <v>599</v>
      </c>
      <c r="F901" s="436">
        <v>40184804.920000002</v>
      </c>
      <c r="G901" s="448">
        <v>39356.60000000149</v>
      </c>
      <c r="H901" s="436">
        <v>0</v>
      </c>
      <c r="I901" s="449">
        <v>0</v>
      </c>
    </row>
    <row r="902" spans="1:9" ht="15.75" customHeight="1" x14ac:dyDescent="0.2">
      <c r="A902" s="437"/>
      <c r="B902" s="437"/>
      <c r="C902" s="436"/>
      <c r="D902" s="467">
        <v>46391</v>
      </c>
      <c r="E902" s="436" t="s">
        <v>598</v>
      </c>
      <c r="F902" s="436">
        <v>40224161.530000001</v>
      </c>
      <c r="G902" s="448">
        <v>39356.609999999404</v>
      </c>
      <c r="H902" s="436">
        <v>0</v>
      </c>
      <c r="I902" s="449">
        <v>0</v>
      </c>
    </row>
    <row r="903" spans="1:9" ht="15.75" customHeight="1" x14ac:dyDescent="0.2">
      <c r="A903" s="437"/>
      <c r="B903" s="437"/>
      <c r="C903" s="436"/>
      <c r="D903" s="467">
        <v>46392</v>
      </c>
      <c r="E903" s="436" t="s">
        <v>597</v>
      </c>
      <c r="F903" s="436">
        <v>40263518.130000003</v>
      </c>
      <c r="G903" s="448">
        <v>39356.60000000149</v>
      </c>
      <c r="H903" s="436">
        <v>0</v>
      </c>
      <c r="I903" s="449">
        <v>0</v>
      </c>
    </row>
    <row r="904" spans="1:9" ht="15.75" customHeight="1" x14ac:dyDescent="0.2">
      <c r="A904" s="437"/>
      <c r="B904" s="437"/>
      <c r="C904" s="436"/>
      <c r="D904" s="467">
        <v>46393</v>
      </c>
      <c r="E904" s="436" t="s">
        <v>603</v>
      </c>
      <c r="F904" s="436">
        <v>40302874.740000002</v>
      </c>
      <c r="G904" s="448">
        <v>39356.609999999404</v>
      </c>
      <c r="H904" s="436">
        <v>275496.24000000209</v>
      </c>
      <c r="I904" s="449">
        <v>0</v>
      </c>
    </row>
    <row r="905" spans="1:9" ht="15.75" customHeight="1" x14ac:dyDescent="0.2">
      <c r="A905" s="437"/>
      <c r="B905" s="437"/>
      <c r="C905" s="436"/>
      <c r="D905" s="467">
        <v>46394</v>
      </c>
      <c r="E905" s="436" t="s">
        <v>602</v>
      </c>
      <c r="F905" s="436">
        <v>40342231.340000004</v>
      </c>
      <c r="G905" s="448">
        <v>39356.60000000149</v>
      </c>
      <c r="H905" s="436">
        <v>0</v>
      </c>
      <c r="I905" s="449">
        <v>0</v>
      </c>
    </row>
    <row r="906" spans="1:9" ht="15.75" customHeight="1" x14ac:dyDescent="0.2">
      <c r="A906" s="437"/>
      <c r="B906" s="437"/>
      <c r="C906" s="436"/>
      <c r="D906" s="467">
        <v>46395</v>
      </c>
      <c r="E906" s="436" t="s">
        <v>601</v>
      </c>
      <c r="F906" s="436">
        <v>40381587.950000003</v>
      </c>
      <c r="G906" s="448">
        <v>39356.609999999404</v>
      </c>
      <c r="H906" s="436">
        <v>0</v>
      </c>
      <c r="I906" s="449">
        <v>0</v>
      </c>
    </row>
    <row r="907" spans="1:9" ht="15.75" customHeight="1" x14ac:dyDescent="0.2">
      <c r="A907" s="437"/>
      <c r="B907" s="437"/>
      <c r="C907" s="436"/>
      <c r="D907" s="467">
        <v>46396</v>
      </c>
      <c r="E907" s="436" t="s">
        <v>600</v>
      </c>
      <c r="F907" s="436">
        <v>40420944.549999997</v>
      </c>
      <c r="G907" s="448">
        <v>39356.59999999404</v>
      </c>
      <c r="H907" s="436">
        <v>0</v>
      </c>
      <c r="I907" s="449">
        <v>0</v>
      </c>
    </row>
    <row r="908" spans="1:9" ht="15.75" customHeight="1" x14ac:dyDescent="0.2">
      <c r="A908" s="437"/>
      <c r="B908" s="437"/>
      <c r="C908" s="436"/>
      <c r="D908" s="467">
        <v>46397</v>
      </c>
      <c r="E908" s="436" t="s">
        <v>599</v>
      </c>
      <c r="F908" s="436">
        <v>40460301.159999996</v>
      </c>
      <c r="G908" s="448">
        <v>39356.609999999404</v>
      </c>
      <c r="H908" s="436">
        <v>0</v>
      </c>
      <c r="I908" s="449">
        <v>0</v>
      </c>
    </row>
    <row r="909" spans="1:9" ht="15.75" customHeight="1" x14ac:dyDescent="0.2">
      <c r="A909" s="437"/>
      <c r="B909" s="437"/>
      <c r="C909" s="436"/>
      <c r="D909" s="467">
        <v>46398</v>
      </c>
      <c r="E909" s="436" t="s">
        <v>598</v>
      </c>
      <c r="F909" s="436">
        <v>40499657.759999998</v>
      </c>
      <c r="G909" s="448">
        <v>39356.60000000149</v>
      </c>
      <c r="H909" s="436">
        <v>0</v>
      </c>
      <c r="I909" s="449">
        <v>0</v>
      </c>
    </row>
    <row r="910" spans="1:9" ht="15.75" customHeight="1" x14ac:dyDescent="0.2">
      <c r="A910" s="437"/>
      <c r="B910" s="437"/>
      <c r="C910" s="436"/>
      <c r="D910" s="467">
        <v>46399</v>
      </c>
      <c r="E910" s="436" t="s">
        <v>597</v>
      </c>
      <c r="F910" s="436">
        <v>40539014.369999997</v>
      </c>
      <c r="G910" s="448">
        <v>39356.609999999404</v>
      </c>
      <c r="H910" s="436">
        <v>0</v>
      </c>
      <c r="I910" s="449">
        <v>0</v>
      </c>
    </row>
    <row r="911" spans="1:9" ht="15.75" customHeight="1" x14ac:dyDescent="0.2">
      <c r="A911" s="437"/>
      <c r="B911" s="437"/>
      <c r="C911" s="436"/>
      <c r="D911" s="467">
        <v>46400</v>
      </c>
      <c r="E911" s="436" t="s">
        <v>603</v>
      </c>
      <c r="F911" s="436">
        <v>40578370.969999999</v>
      </c>
      <c r="G911" s="448">
        <v>39356.60000000149</v>
      </c>
      <c r="H911" s="436">
        <v>275496.22999999672</v>
      </c>
      <c r="I911" s="449">
        <v>550992.46999999881</v>
      </c>
    </row>
    <row r="912" spans="1:9" ht="15.75" customHeight="1" x14ac:dyDescent="0.2">
      <c r="A912" s="437"/>
      <c r="B912" s="437"/>
      <c r="C912" s="436"/>
      <c r="D912" s="467">
        <v>46401</v>
      </c>
      <c r="E912" s="436" t="s">
        <v>602</v>
      </c>
      <c r="F912" s="436">
        <v>40617727.579999998</v>
      </c>
      <c r="G912" s="448">
        <v>39356.609999999404</v>
      </c>
      <c r="H912" s="436">
        <v>0</v>
      </c>
      <c r="I912" s="449">
        <v>0</v>
      </c>
    </row>
    <row r="913" spans="1:9" ht="15.75" customHeight="1" x14ac:dyDescent="0.2">
      <c r="A913" s="437"/>
      <c r="B913" s="437"/>
      <c r="C913" s="436"/>
      <c r="D913" s="467">
        <v>46402</v>
      </c>
      <c r="E913" s="436" t="s">
        <v>601</v>
      </c>
      <c r="F913" s="436">
        <v>40657084.18</v>
      </c>
      <c r="G913" s="448">
        <v>39356.60000000149</v>
      </c>
      <c r="H913" s="436">
        <v>0</v>
      </c>
      <c r="I913" s="449">
        <v>0</v>
      </c>
    </row>
    <row r="914" spans="1:9" ht="15.75" customHeight="1" x14ac:dyDescent="0.2">
      <c r="A914" s="437"/>
      <c r="B914" s="437"/>
      <c r="C914" s="436"/>
      <c r="D914" s="467">
        <v>46403</v>
      </c>
      <c r="E914" s="436" t="s">
        <v>600</v>
      </c>
      <c r="F914" s="436">
        <v>40696440.789999999</v>
      </c>
      <c r="G914" s="448">
        <v>39356.609999999404</v>
      </c>
      <c r="H914" s="436">
        <v>0</v>
      </c>
      <c r="I914" s="449">
        <v>0</v>
      </c>
    </row>
    <row r="915" spans="1:9" ht="15.75" customHeight="1" x14ac:dyDescent="0.2">
      <c r="A915" s="437"/>
      <c r="B915" s="437"/>
      <c r="C915" s="436"/>
      <c r="D915" s="467">
        <v>46404</v>
      </c>
      <c r="E915" s="436" t="s">
        <v>599</v>
      </c>
      <c r="F915" s="436">
        <v>40735797.390000001</v>
      </c>
      <c r="G915" s="448">
        <v>39356.60000000149</v>
      </c>
      <c r="H915" s="436">
        <v>0</v>
      </c>
      <c r="I915" s="449">
        <v>0</v>
      </c>
    </row>
    <row r="916" spans="1:9" ht="15.75" customHeight="1" x14ac:dyDescent="0.2">
      <c r="A916" s="437"/>
      <c r="B916" s="437"/>
      <c r="C916" s="436"/>
      <c r="D916" s="467">
        <v>46405</v>
      </c>
      <c r="E916" s="436" t="s">
        <v>598</v>
      </c>
      <c r="F916" s="436">
        <v>40775154</v>
      </c>
      <c r="G916" s="448">
        <v>39356.609999999404</v>
      </c>
      <c r="H916" s="436">
        <v>0</v>
      </c>
      <c r="I916" s="449">
        <v>0</v>
      </c>
    </row>
    <row r="917" spans="1:9" ht="15.75" customHeight="1" x14ac:dyDescent="0.2">
      <c r="A917" s="437"/>
      <c r="B917" s="437"/>
      <c r="C917" s="436"/>
      <c r="D917" s="467">
        <v>46406</v>
      </c>
      <c r="E917" s="436" t="s">
        <v>597</v>
      </c>
      <c r="F917" s="436">
        <v>40814510.600000001</v>
      </c>
      <c r="G917" s="448">
        <v>39356.60000000149</v>
      </c>
      <c r="H917" s="436">
        <v>0</v>
      </c>
      <c r="I917" s="449">
        <v>0</v>
      </c>
    </row>
    <row r="918" spans="1:9" ht="15.75" customHeight="1" x14ac:dyDescent="0.2">
      <c r="A918" s="437"/>
      <c r="B918" s="437"/>
      <c r="C918" s="436"/>
      <c r="D918" s="467">
        <v>46407</v>
      </c>
      <c r="E918" s="436" t="s">
        <v>603</v>
      </c>
      <c r="F918" s="436">
        <v>40853867.210000001</v>
      </c>
      <c r="G918" s="448">
        <v>39356.609999999404</v>
      </c>
      <c r="H918" s="436">
        <v>275496.24000000209</v>
      </c>
      <c r="I918" s="449">
        <v>0</v>
      </c>
    </row>
    <row r="919" spans="1:9" ht="15.75" customHeight="1" x14ac:dyDescent="0.2">
      <c r="A919" s="437"/>
      <c r="B919" s="437"/>
      <c r="C919" s="436"/>
      <c r="D919" s="467">
        <v>46408</v>
      </c>
      <c r="E919" s="436" t="s">
        <v>602</v>
      </c>
      <c r="F919" s="436">
        <v>40893223.810000002</v>
      </c>
      <c r="G919" s="448">
        <v>39356.60000000149</v>
      </c>
      <c r="H919" s="436">
        <v>0</v>
      </c>
      <c r="I919" s="449">
        <v>0</v>
      </c>
    </row>
    <row r="920" spans="1:9" ht="15.75" customHeight="1" x14ac:dyDescent="0.2">
      <c r="A920" s="437"/>
      <c r="B920" s="437"/>
      <c r="C920" s="436"/>
      <c r="D920" s="467">
        <v>46409</v>
      </c>
      <c r="E920" s="436" t="s">
        <v>601</v>
      </c>
      <c r="F920" s="436">
        <v>40932580.420000002</v>
      </c>
      <c r="G920" s="448">
        <v>39356.609999999404</v>
      </c>
      <c r="H920" s="436">
        <v>0</v>
      </c>
      <c r="I920" s="449">
        <v>0</v>
      </c>
    </row>
    <row r="921" spans="1:9" ht="15.75" customHeight="1" x14ac:dyDescent="0.2">
      <c r="A921" s="437"/>
      <c r="B921" s="437"/>
      <c r="C921" s="436"/>
      <c r="D921" s="467">
        <v>46410</v>
      </c>
      <c r="E921" s="436" t="s">
        <v>600</v>
      </c>
      <c r="F921" s="436">
        <v>40971937.020000003</v>
      </c>
      <c r="G921" s="448">
        <v>39356.60000000149</v>
      </c>
      <c r="H921" s="436">
        <v>0</v>
      </c>
      <c r="I921" s="449">
        <v>0</v>
      </c>
    </row>
    <row r="922" spans="1:9" ht="15.75" customHeight="1" x14ac:dyDescent="0.2">
      <c r="A922" s="437"/>
      <c r="B922" s="437"/>
      <c r="C922" s="436"/>
      <c r="D922" s="467">
        <v>46411</v>
      </c>
      <c r="E922" s="436" t="s">
        <v>599</v>
      </c>
      <c r="F922" s="436">
        <v>41011293.630000003</v>
      </c>
      <c r="G922" s="448">
        <v>39356.609999999404</v>
      </c>
      <c r="H922" s="436">
        <v>0</v>
      </c>
      <c r="I922" s="449">
        <v>0</v>
      </c>
    </row>
    <row r="923" spans="1:9" ht="15.75" customHeight="1" x14ac:dyDescent="0.2">
      <c r="A923" s="437"/>
      <c r="B923" s="437"/>
      <c r="C923" s="436"/>
      <c r="D923" s="467">
        <v>46412</v>
      </c>
      <c r="E923" s="436" t="s">
        <v>598</v>
      </c>
      <c r="F923" s="436">
        <v>41050650.229999997</v>
      </c>
      <c r="G923" s="448">
        <v>39356.59999999404</v>
      </c>
      <c r="H923" s="436">
        <v>0</v>
      </c>
      <c r="I923" s="449">
        <v>0</v>
      </c>
    </row>
    <row r="924" spans="1:9" ht="15.75" customHeight="1" x14ac:dyDescent="0.2">
      <c r="A924" s="437"/>
      <c r="B924" s="437"/>
      <c r="C924" s="436"/>
      <c r="D924" s="467">
        <v>46413</v>
      </c>
      <c r="E924" s="436" t="s">
        <v>597</v>
      </c>
      <c r="F924" s="436">
        <v>41090006.840000004</v>
      </c>
      <c r="G924" s="448">
        <v>39356.610000006855</v>
      </c>
      <c r="H924" s="436">
        <v>0</v>
      </c>
      <c r="I924" s="449">
        <v>0</v>
      </c>
    </row>
    <row r="925" spans="1:9" ht="15.75" customHeight="1" x14ac:dyDescent="0.2">
      <c r="A925" s="437"/>
      <c r="B925" s="437"/>
      <c r="C925" s="436"/>
      <c r="D925" s="467">
        <v>46414</v>
      </c>
      <c r="E925" s="436" t="s">
        <v>603</v>
      </c>
      <c r="F925" s="436">
        <v>41129363.439999998</v>
      </c>
      <c r="G925" s="448">
        <v>39356.59999999404</v>
      </c>
      <c r="H925" s="436">
        <v>275496.22999999672</v>
      </c>
      <c r="I925" s="449">
        <v>550992.46999999881</v>
      </c>
    </row>
    <row r="926" spans="1:9" ht="15.75" customHeight="1" x14ac:dyDescent="0.2">
      <c r="A926" s="437"/>
      <c r="B926" s="437"/>
      <c r="C926" s="436"/>
      <c r="D926" s="467">
        <v>46415</v>
      </c>
      <c r="E926" s="436" t="s">
        <v>602</v>
      </c>
      <c r="F926" s="436">
        <v>41168720.049999997</v>
      </c>
      <c r="G926" s="448">
        <v>39356.609999999404</v>
      </c>
      <c r="H926" s="436">
        <v>0</v>
      </c>
      <c r="I926" s="449">
        <v>0</v>
      </c>
    </row>
    <row r="927" spans="1:9" ht="15.75" customHeight="1" x14ac:dyDescent="0.2">
      <c r="A927" s="437"/>
      <c r="B927" s="437"/>
      <c r="C927" s="436"/>
      <c r="D927" s="467">
        <v>46416</v>
      </c>
      <c r="E927" s="436" t="s">
        <v>601</v>
      </c>
      <c r="F927" s="436">
        <v>41208076.649999999</v>
      </c>
      <c r="G927" s="448">
        <v>39356.60000000149</v>
      </c>
      <c r="H927" s="436">
        <v>0</v>
      </c>
      <c r="I927" s="449">
        <v>0</v>
      </c>
    </row>
    <row r="928" spans="1:9" ht="15.75" customHeight="1" x14ac:dyDescent="0.2">
      <c r="A928" s="437"/>
      <c r="B928" s="437"/>
      <c r="C928" s="436"/>
      <c r="D928" s="467">
        <v>46417</v>
      </c>
      <c r="E928" s="436" t="s">
        <v>600</v>
      </c>
      <c r="F928" s="436">
        <v>41247433.259999998</v>
      </c>
      <c r="G928" s="448">
        <v>39356.609999999404</v>
      </c>
      <c r="H928" s="436">
        <v>0</v>
      </c>
      <c r="I928" s="449">
        <v>0</v>
      </c>
    </row>
    <row r="929" spans="1:9" ht="15.75" customHeight="1" x14ac:dyDescent="0.2">
      <c r="A929" s="437"/>
      <c r="B929" s="437"/>
      <c r="C929" s="436"/>
      <c r="D929" s="467">
        <v>46418</v>
      </c>
      <c r="E929" s="436" t="s">
        <v>599</v>
      </c>
      <c r="F929" s="436">
        <v>41286789.859999999</v>
      </c>
      <c r="G929" s="448">
        <v>39356.60000000149</v>
      </c>
      <c r="H929" s="436">
        <v>0</v>
      </c>
      <c r="I929" s="449">
        <v>0</v>
      </c>
    </row>
    <row r="930" spans="1:9" ht="15.75" customHeight="1" x14ac:dyDescent="0.2">
      <c r="A930" s="437"/>
      <c r="B930" s="437"/>
      <c r="C930" s="436"/>
      <c r="D930" s="467">
        <v>46419</v>
      </c>
      <c r="E930" s="436" t="s">
        <v>598</v>
      </c>
      <c r="F930" s="436">
        <v>41326146.469999999</v>
      </c>
      <c r="G930" s="448">
        <v>39356.609999999404</v>
      </c>
      <c r="H930" s="436">
        <v>0</v>
      </c>
      <c r="I930" s="449">
        <v>0</v>
      </c>
    </row>
    <row r="931" spans="1:9" ht="15.75" customHeight="1" x14ac:dyDescent="0.2">
      <c r="A931" s="437"/>
      <c r="B931" s="437"/>
      <c r="C931" s="436"/>
      <c r="D931" s="467">
        <v>46420</v>
      </c>
      <c r="E931" s="436" t="s">
        <v>597</v>
      </c>
      <c r="F931" s="436">
        <v>41365503.079999998</v>
      </c>
      <c r="G931" s="448">
        <v>39356.609999999404</v>
      </c>
      <c r="H931" s="436">
        <v>0</v>
      </c>
      <c r="I931" s="449">
        <v>0</v>
      </c>
    </row>
    <row r="932" spans="1:9" ht="15.75" customHeight="1" x14ac:dyDescent="0.2">
      <c r="A932" s="437"/>
      <c r="B932" s="437"/>
      <c r="C932" s="436"/>
      <c r="D932" s="467">
        <v>46421</v>
      </c>
      <c r="E932" s="436" t="s">
        <v>603</v>
      </c>
      <c r="F932" s="436">
        <v>41404859.68</v>
      </c>
      <c r="G932" s="448">
        <v>39356.60000000149</v>
      </c>
      <c r="H932" s="436">
        <v>275496.24000000209</v>
      </c>
      <c r="I932" s="449">
        <v>0</v>
      </c>
    </row>
    <row r="933" spans="1:9" ht="15.75" customHeight="1" x14ac:dyDescent="0.2">
      <c r="A933" s="437"/>
      <c r="B933" s="437"/>
      <c r="C933" s="436"/>
      <c r="D933" s="467">
        <v>46422</v>
      </c>
      <c r="E933" s="436" t="s">
        <v>602</v>
      </c>
      <c r="F933" s="436">
        <v>41444216.289999999</v>
      </c>
      <c r="G933" s="448">
        <v>39356.609999999404</v>
      </c>
      <c r="H933" s="436">
        <v>0</v>
      </c>
      <c r="I933" s="449">
        <v>0</v>
      </c>
    </row>
    <row r="934" spans="1:9" ht="15.75" customHeight="1" x14ac:dyDescent="0.2">
      <c r="A934" s="437"/>
      <c r="B934" s="437"/>
      <c r="C934" s="436"/>
      <c r="D934" s="467">
        <v>46423</v>
      </c>
      <c r="E934" s="436" t="s">
        <v>601</v>
      </c>
      <c r="F934" s="436">
        <v>41483572.890000001</v>
      </c>
      <c r="G934" s="448">
        <v>39356.60000000149</v>
      </c>
      <c r="H934" s="436">
        <v>0</v>
      </c>
      <c r="I934" s="449">
        <v>0</v>
      </c>
    </row>
    <row r="935" spans="1:9" ht="15.75" customHeight="1" x14ac:dyDescent="0.2">
      <c r="A935" s="437"/>
      <c r="B935" s="437"/>
      <c r="C935" s="436"/>
      <c r="D935" s="467">
        <v>46424</v>
      </c>
      <c r="E935" s="436" t="s">
        <v>600</v>
      </c>
      <c r="F935" s="436">
        <v>41522929.5</v>
      </c>
      <c r="G935" s="448">
        <v>39356.609999999404</v>
      </c>
      <c r="H935" s="436">
        <v>0</v>
      </c>
      <c r="I935" s="449">
        <v>0</v>
      </c>
    </row>
    <row r="936" spans="1:9" ht="15.75" customHeight="1" x14ac:dyDescent="0.2">
      <c r="A936" s="437"/>
      <c r="B936" s="437"/>
      <c r="C936" s="436"/>
      <c r="D936" s="467">
        <v>46425</v>
      </c>
      <c r="E936" s="436" t="s">
        <v>599</v>
      </c>
      <c r="F936" s="436">
        <v>41562286.100000001</v>
      </c>
      <c r="G936" s="448">
        <v>39356.60000000149</v>
      </c>
      <c r="H936" s="436">
        <v>0</v>
      </c>
      <c r="I936" s="449">
        <v>0</v>
      </c>
    </row>
    <row r="937" spans="1:9" ht="15.75" customHeight="1" x14ac:dyDescent="0.2">
      <c r="A937" s="437"/>
      <c r="B937" s="437"/>
      <c r="C937" s="436"/>
      <c r="D937" s="467">
        <v>46426</v>
      </c>
      <c r="E937" s="436" t="s">
        <v>598</v>
      </c>
      <c r="F937" s="436">
        <v>41601642.710000001</v>
      </c>
      <c r="G937" s="448">
        <v>39356.609999999404</v>
      </c>
      <c r="H937" s="436">
        <v>0</v>
      </c>
      <c r="I937" s="449">
        <v>0</v>
      </c>
    </row>
    <row r="938" spans="1:9" ht="15.75" customHeight="1" x14ac:dyDescent="0.2">
      <c r="A938" s="437"/>
      <c r="B938" s="437"/>
      <c r="C938" s="436"/>
      <c r="D938" s="467">
        <v>46427</v>
      </c>
      <c r="E938" s="436" t="s">
        <v>597</v>
      </c>
      <c r="F938" s="436">
        <v>41640999.310000002</v>
      </c>
      <c r="G938" s="448">
        <v>39356.60000000149</v>
      </c>
      <c r="H938" s="436">
        <v>0</v>
      </c>
      <c r="I938" s="449">
        <v>0</v>
      </c>
    </row>
    <row r="939" spans="1:9" ht="15.75" customHeight="1" x14ac:dyDescent="0.2">
      <c r="A939" s="437"/>
      <c r="B939" s="437"/>
      <c r="C939" s="436"/>
      <c r="D939" s="467">
        <v>46428</v>
      </c>
      <c r="E939" s="436" t="s">
        <v>603</v>
      </c>
      <c r="F939" s="436">
        <v>41680355.920000002</v>
      </c>
      <c r="G939" s="448">
        <v>39356.609999999404</v>
      </c>
      <c r="H939" s="436">
        <v>275496.24000000209</v>
      </c>
      <c r="I939" s="449">
        <v>550992.48000000417</v>
      </c>
    </row>
    <row r="940" spans="1:9" ht="15.75" customHeight="1" x14ac:dyDescent="0.2">
      <c r="A940" s="437"/>
      <c r="B940" s="437"/>
      <c r="C940" s="436"/>
      <c r="D940" s="467">
        <v>46429</v>
      </c>
      <c r="E940" s="436" t="s">
        <v>602</v>
      </c>
      <c r="F940" s="436">
        <v>41719712.520000003</v>
      </c>
      <c r="G940" s="448">
        <v>39356.60000000149</v>
      </c>
      <c r="H940" s="436">
        <v>0</v>
      </c>
      <c r="I940" s="449">
        <v>0</v>
      </c>
    </row>
    <row r="941" spans="1:9" ht="15.75" customHeight="1" x14ac:dyDescent="0.2">
      <c r="A941" s="437"/>
      <c r="B941" s="437"/>
      <c r="C941" s="436"/>
      <c r="D941" s="467">
        <v>46430</v>
      </c>
      <c r="E941" s="436" t="s">
        <v>601</v>
      </c>
      <c r="F941" s="436">
        <v>41759069.130000003</v>
      </c>
      <c r="G941" s="448">
        <v>39356.609999999404</v>
      </c>
      <c r="H941" s="436">
        <v>0</v>
      </c>
      <c r="I941" s="449">
        <v>0</v>
      </c>
    </row>
    <row r="942" spans="1:9" ht="15.75" customHeight="1" x14ac:dyDescent="0.2">
      <c r="A942" s="437"/>
      <c r="B942" s="437"/>
      <c r="C942" s="436"/>
      <c r="D942" s="467">
        <v>46431</v>
      </c>
      <c r="E942" s="436" t="s">
        <v>600</v>
      </c>
      <c r="F942" s="436">
        <v>41798425.729999997</v>
      </c>
      <c r="G942" s="448">
        <v>39356.59999999404</v>
      </c>
      <c r="H942" s="436">
        <v>0</v>
      </c>
      <c r="I942" s="449">
        <v>0</v>
      </c>
    </row>
    <row r="943" spans="1:9" ht="15.75" customHeight="1" x14ac:dyDescent="0.2">
      <c r="A943" s="437"/>
      <c r="B943" s="437"/>
      <c r="C943" s="436"/>
      <c r="D943" s="467">
        <v>46432</v>
      </c>
      <c r="E943" s="436" t="s">
        <v>599</v>
      </c>
      <c r="F943" s="436">
        <v>41837782.340000004</v>
      </c>
      <c r="G943" s="448">
        <v>39356.610000006855</v>
      </c>
      <c r="H943" s="436">
        <v>0</v>
      </c>
      <c r="I943" s="449">
        <v>0</v>
      </c>
    </row>
    <row r="944" spans="1:9" ht="15.75" customHeight="1" x14ac:dyDescent="0.2">
      <c r="A944" s="437"/>
      <c r="B944" s="437"/>
      <c r="C944" s="436"/>
      <c r="D944" s="467">
        <v>46433</v>
      </c>
      <c r="E944" s="436" t="s">
        <v>598</v>
      </c>
      <c r="F944" s="436">
        <v>41877138.939999998</v>
      </c>
      <c r="G944" s="448">
        <v>39356.59999999404</v>
      </c>
      <c r="H944" s="436">
        <v>0</v>
      </c>
      <c r="I944" s="449">
        <v>0</v>
      </c>
    </row>
    <row r="945" spans="1:9" ht="15.75" customHeight="1" x14ac:dyDescent="0.2">
      <c r="A945" s="437"/>
      <c r="B945" s="437"/>
      <c r="C945" s="436"/>
      <c r="D945" s="467">
        <v>46434</v>
      </c>
      <c r="E945" s="436" t="s">
        <v>597</v>
      </c>
      <c r="F945" s="436">
        <v>41916495.549999997</v>
      </c>
      <c r="G945" s="448">
        <v>39356.609999999404</v>
      </c>
      <c r="H945" s="436">
        <v>0</v>
      </c>
      <c r="I945" s="449">
        <v>0</v>
      </c>
    </row>
    <row r="946" spans="1:9" ht="15.75" customHeight="1" x14ac:dyDescent="0.2">
      <c r="A946" s="437"/>
      <c r="B946" s="437"/>
      <c r="C946" s="436"/>
      <c r="D946" s="467">
        <v>46435</v>
      </c>
      <c r="E946" s="436" t="s">
        <v>603</v>
      </c>
      <c r="F946" s="436">
        <v>41955852.149999999</v>
      </c>
      <c r="G946" s="448">
        <v>39356.60000000149</v>
      </c>
      <c r="H946" s="436">
        <v>275496.22999999672</v>
      </c>
      <c r="I946" s="449">
        <v>0</v>
      </c>
    </row>
    <row r="947" spans="1:9" ht="15.75" customHeight="1" x14ac:dyDescent="0.2">
      <c r="A947" s="437"/>
      <c r="B947" s="437"/>
      <c r="C947" s="436"/>
      <c r="D947" s="467">
        <v>46436</v>
      </c>
      <c r="E947" s="436" t="s">
        <v>602</v>
      </c>
      <c r="F947" s="436">
        <v>41995208.759999998</v>
      </c>
      <c r="G947" s="448">
        <v>39356.609999999404</v>
      </c>
      <c r="H947" s="436">
        <v>0</v>
      </c>
      <c r="I947" s="449">
        <v>0</v>
      </c>
    </row>
    <row r="948" spans="1:9" ht="15.75" customHeight="1" x14ac:dyDescent="0.2">
      <c r="A948" s="437"/>
      <c r="B948" s="437"/>
      <c r="C948" s="436"/>
      <c r="D948" s="467">
        <v>46437</v>
      </c>
      <c r="E948" s="436" t="s">
        <v>601</v>
      </c>
      <c r="F948" s="436">
        <v>42034565.359999999</v>
      </c>
      <c r="G948" s="448">
        <v>39356.60000000149</v>
      </c>
      <c r="H948" s="436">
        <v>0</v>
      </c>
      <c r="I948" s="449">
        <v>0</v>
      </c>
    </row>
    <row r="949" spans="1:9" ht="15.75" customHeight="1" x14ac:dyDescent="0.2">
      <c r="A949" s="437"/>
      <c r="B949" s="437"/>
      <c r="C949" s="436"/>
      <c r="D949" s="467">
        <v>46438</v>
      </c>
      <c r="E949" s="436" t="s">
        <v>600</v>
      </c>
      <c r="F949" s="436">
        <v>42073921.969999999</v>
      </c>
      <c r="G949" s="448">
        <v>39356.609999999404</v>
      </c>
      <c r="H949" s="436">
        <v>0</v>
      </c>
      <c r="I949" s="449">
        <v>0</v>
      </c>
    </row>
    <row r="950" spans="1:9" ht="15.75" customHeight="1" x14ac:dyDescent="0.2">
      <c r="A950" s="437"/>
      <c r="B950" s="437"/>
      <c r="C950" s="436"/>
      <c r="D950" s="467">
        <v>46439</v>
      </c>
      <c r="E950" s="436" t="s">
        <v>599</v>
      </c>
      <c r="F950" s="436">
        <v>42113278.57</v>
      </c>
      <c r="G950" s="448">
        <v>39356.60000000149</v>
      </c>
      <c r="H950" s="436">
        <v>0</v>
      </c>
      <c r="I950" s="449">
        <v>0</v>
      </c>
    </row>
    <row r="951" spans="1:9" ht="15.75" customHeight="1" x14ac:dyDescent="0.2">
      <c r="A951" s="437"/>
      <c r="B951" s="437"/>
      <c r="C951" s="436"/>
      <c r="D951" s="467">
        <v>46440</v>
      </c>
      <c r="E951" s="436" t="s">
        <v>598</v>
      </c>
      <c r="F951" s="436">
        <v>42152635.18</v>
      </c>
      <c r="G951" s="448">
        <v>39356.609999999404</v>
      </c>
      <c r="H951" s="436">
        <v>0</v>
      </c>
      <c r="I951" s="449">
        <v>0</v>
      </c>
    </row>
    <row r="952" spans="1:9" ht="15.75" customHeight="1" x14ac:dyDescent="0.2">
      <c r="A952" s="437"/>
      <c r="B952" s="437"/>
      <c r="C952" s="436"/>
      <c r="D952" s="467">
        <v>46441</v>
      </c>
      <c r="E952" s="436" t="s">
        <v>597</v>
      </c>
      <c r="F952" s="436">
        <v>42191991.780000001</v>
      </c>
      <c r="G952" s="448">
        <v>39356.60000000149</v>
      </c>
      <c r="H952" s="436">
        <v>0</v>
      </c>
      <c r="I952" s="449">
        <v>0</v>
      </c>
    </row>
    <row r="953" spans="1:9" ht="15.75" customHeight="1" x14ac:dyDescent="0.2">
      <c r="A953" s="437"/>
      <c r="B953" s="437"/>
      <c r="C953" s="436"/>
      <c r="D953" s="467">
        <v>46442</v>
      </c>
      <c r="E953" s="436" t="s">
        <v>603</v>
      </c>
      <c r="F953" s="436">
        <v>42231348.390000001</v>
      </c>
      <c r="G953" s="448">
        <v>39356.609999999404</v>
      </c>
      <c r="H953" s="436">
        <v>275496.24000000209</v>
      </c>
      <c r="I953" s="449">
        <v>550992.46999999881</v>
      </c>
    </row>
    <row r="954" spans="1:9" ht="15.75" customHeight="1" x14ac:dyDescent="0.2">
      <c r="A954" s="437"/>
      <c r="B954" s="437"/>
      <c r="C954" s="436"/>
      <c r="D954" s="467">
        <v>46443</v>
      </c>
      <c r="E954" s="436" t="s">
        <v>602</v>
      </c>
      <c r="F954" s="436">
        <v>42270704.990000002</v>
      </c>
      <c r="G954" s="448">
        <v>39356.60000000149</v>
      </c>
      <c r="H954" s="436">
        <v>0</v>
      </c>
      <c r="I954" s="449">
        <v>0</v>
      </c>
    </row>
    <row r="955" spans="1:9" ht="15.75" customHeight="1" x14ac:dyDescent="0.2">
      <c r="A955" s="437"/>
      <c r="B955" s="437"/>
      <c r="C955" s="436"/>
      <c r="D955" s="467">
        <v>46444</v>
      </c>
      <c r="E955" s="436" t="s">
        <v>601</v>
      </c>
      <c r="F955" s="436">
        <v>42310061.600000001</v>
      </c>
      <c r="G955" s="448">
        <v>39356.609999999404</v>
      </c>
      <c r="H955" s="436">
        <v>0</v>
      </c>
      <c r="I955" s="449">
        <v>0</v>
      </c>
    </row>
    <row r="956" spans="1:9" ht="15.75" customHeight="1" x14ac:dyDescent="0.2">
      <c r="A956" s="437"/>
      <c r="B956" s="437"/>
      <c r="C956" s="436"/>
      <c r="D956" s="467">
        <v>46445</v>
      </c>
      <c r="E956" s="436" t="s">
        <v>600</v>
      </c>
      <c r="F956" s="436">
        <v>42349418.200000003</v>
      </c>
      <c r="G956" s="448">
        <v>39356.60000000149</v>
      </c>
      <c r="H956" s="436">
        <v>0</v>
      </c>
      <c r="I956" s="449">
        <v>0</v>
      </c>
    </row>
    <row r="957" spans="1:9" ht="15.75" customHeight="1" x14ac:dyDescent="0.2">
      <c r="A957" s="437"/>
      <c r="B957" s="437"/>
      <c r="C957" s="436"/>
      <c r="D957" s="467">
        <v>46446</v>
      </c>
      <c r="E957" s="436" t="s">
        <v>599</v>
      </c>
      <c r="F957" s="436">
        <v>42388774.810000002</v>
      </c>
      <c r="G957" s="448">
        <v>39356.609999999404</v>
      </c>
      <c r="H957" s="436">
        <v>0</v>
      </c>
      <c r="I957" s="449">
        <v>0</v>
      </c>
    </row>
    <row r="958" spans="1:9" ht="15.75" customHeight="1" x14ac:dyDescent="0.2">
      <c r="A958" s="437"/>
      <c r="B958" s="437"/>
      <c r="C958" s="436"/>
      <c r="D958" s="467">
        <v>46447</v>
      </c>
      <c r="E958" s="436" t="s">
        <v>598</v>
      </c>
      <c r="F958" s="436">
        <v>42428131.409999996</v>
      </c>
      <c r="G958" s="448">
        <v>39356.59999999404</v>
      </c>
      <c r="H958" s="436">
        <v>0</v>
      </c>
      <c r="I958" s="449">
        <v>0</v>
      </c>
    </row>
    <row r="959" spans="1:9" ht="15.75" customHeight="1" x14ac:dyDescent="0.2">
      <c r="A959" s="437"/>
      <c r="B959" s="437"/>
      <c r="C959" s="436"/>
      <c r="D959" s="467">
        <v>46448</v>
      </c>
      <c r="E959" s="436" t="s">
        <v>597</v>
      </c>
      <c r="F959" s="436">
        <v>42467488.020000003</v>
      </c>
      <c r="G959" s="448">
        <v>39356.610000006855</v>
      </c>
      <c r="H959" s="436">
        <v>0</v>
      </c>
      <c r="I959" s="449">
        <v>0</v>
      </c>
    </row>
    <row r="960" spans="1:9" ht="15.75" customHeight="1" x14ac:dyDescent="0.2">
      <c r="A960" s="437"/>
      <c r="B960" s="437"/>
      <c r="C960" s="436"/>
      <c r="D960" s="467">
        <v>46449</v>
      </c>
      <c r="E960" s="436" t="s">
        <v>603</v>
      </c>
      <c r="F960" s="436">
        <v>42506844.619999997</v>
      </c>
      <c r="G960" s="448">
        <v>39356.59999999404</v>
      </c>
      <c r="H960" s="436">
        <v>275496.22999999672</v>
      </c>
      <c r="I960" s="449">
        <v>0</v>
      </c>
    </row>
    <row r="961" spans="1:9" ht="15.75" customHeight="1" x14ac:dyDescent="0.2">
      <c r="A961" s="437"/>
      <c r="B961" s="437"/>
      <c r="C961" s="436"/>
      <c r="D961" s="467">
        <v>46450</v>
      </c>
      <c r="E961" s="436" t="s">
        <v>602</v>
      </c>
      <c r="F961" s="436">
        <v>42546201.229999997</v>
      </c>
      <c r="G961" s="448">
        <v>39356.609999999404</v>
      </c>
      <c r="H961" s="436">
        <v>0</v>
      </c>
      <c r="I961" s="449">
        <v>0</v>
      </c>
    </row>
    <row r="962" spans="1:9" ht="15.75" customHeight="1" x14ac:dyDescent="0.2">
      <c r="A962" s="437"/>
      <c r="B962" s="437"/>
      <c r="C962" s="436"/>
      <c r="D962" s="467">
        <v>46451</v>
      </c>
      <c r="E962" s="436" t="s">
        <v>601</v>
      </c>
      <c r="F962" s="436">
        <v>42585557.829999998</v>
      </c>
      <c r="G962" s="448">
        <v>39356.60000000149</v>
      </c>
      <c r="H962" s="436">
        <v>0</v>
      </c>
      <c r="I962" s="449">
        <v>0</v>
      </c>
    </row>
    <row r="963" spans="1:9" ht="15.75" customHeight="1" x14ac:dyDescent="0.2">
      <c r="A963" s="437"/>
      <c r="B963" s="437"/>
      <c r="C963" s="436"/>
      <c r="D963" s="467">
        <v>46452</v>
      </c>
      <c r="E963" s="436" t="s">
        <v>600</v>
      </c>
      <c r="F963" s="436">
        <v>42624914.439999998</v>
      </c>
      <c r="G963" s="448">
        <v>39356.609999999404</v>
      </c>
      <c r="H963" s="436">
        <v>0</v>
      </c>
      <c r="I963" s="449">
        <v>0</v>
      </c>
    </row>
    <row r="964" spans="1:9" ht="15.75" customHeight="1" x14ac:dyDescent="0.2">
      <c r="A964" s="437"/>
      <c r="B964" s="437"/>
      <c r="C964" s="436"/>
      <c r="D964" s="467">
        <v>46453</v>
      </c>
      <c r="E964" s="436" t="s">
        <v>599</v>
      </c>
      <c r="F964" s="436">
        <v>42664271.039999999</v>
      </c>
      <c r="G964" s="448">
        <v>39356.60000000149</v>
      </c>
      <c r="H964" s="436">
        <v>0</v>
      </c>
      <c r="I964" s="449">
        <v>0</v>
      </c>
    </row>
    <row r="965" spans="1:9" ht="15.75" customHeight="1" x14ac:dyDescent="0.2">
      <c r="A965" s="437"/>
      <c r="B965" s="437"/>
      <c r="C965" s="436"/>
      <c r="D965" s="467">
        <v>46454</v>
      </c>
      <c r="E965" s="436" t="s">
        <v>598</v>
      </c>
      <c r="F965" s="436">
        <v>42703627.649999999</v>
      </c>
      <c r="G965" s="448">
        <v>39356.609999999404</v>
      </c>
      <c r="H965" s="436">
        <v>0</v>
      </c>
      <c r="I965" s="449">
        <v>0</v>
      </c>
    </row>
    <row r="966" spans="1:9" ht="15.75" customHeight="1" x14ac:dyDescent="0.2">
      <c r="A966" s="437"/>
      <c r="B966" s="437"/>
      <c r="C966" s="436"/>
      <c r="D966" s="467">
        <v>46455</v>
      </c>
      <c r="E966" s="436" t="s">
        <v>597</v>
      </c>
      <c r="F966" s="436">
        <v>42742984.25</v>
      </c>
      <c r="G966" s="448">
        <v>39356.60000000149</v>
      </c>
      <c r="H966" s="436">
        <v>0</v>
      </c>
      <c r="I966" s="449">
        <v>0</v>
      </c>
    </row>
    <row r="967" spans="1:9" ht="15.75" customHeight="1" x14ac:dyDescent="0.2">
      <c r="A967" s="437"/>
      <c r="B967" s="437"/>
      <c r="C967" s="436"/>
      <c r="D967" s="467">
        <v>46456</v>
      </c>
      <c r="E967" s="436" t="s">
        <v>603</v>
      </c>
      <c r="F967" s="436">
        <v>42782340.859999999</v>
      </c>
      <c r="G967" s="448">
        <v>39356.609999999404</v>
      </c>
      <c r="H967" s="436">
        <v>275496.24000000209</v>
      </c>
      <c r="I967" s="449">
        <v>550992.46999999881</v>
      </c>
    </row>
    <row r="968" spans="1:9" ht="15.75" customHeight="1" x14ac:dyDescent="0.2">
      <c r="A968" s="437"/>
      <c r="B968" s="437"/>
      <c r="C968" s="436"/>
      <c r="D968" s="467">
        <v>46457</v>
      </c>
      <c r="E968" s="436" t="s">
        <v>602</v>
      </c>
      <c r="F968" s="436">
        <v>42821697.460000001</v>
      </c>
      <c r="G968" s="448">
        <v>39356.60000000149</v>
      </c>
      <c r="H968" s="436">
        <v>0</v>
      </c>
      <c r="I968" s="449">
        <v>0</v>
      </c>
    </row>
    <row r="969" spans="1:9" ht="15.75" customHeight="1" x14ac:dyDescent="0.2">
      <c r="A969" s="437"/>
      <c r="B969" s="437"/>
      <c r="C969" s="436"/>
      <c r="D969" s="467">
        <v>46458</v>
      </c>
      <c r="E969" s="436" t="s">
        <v>601</v>
      </c>
      <c r="F969" s="436">
        <v>42861054.07</v>
      </c>
      <c r="G969" s="448">
        <v>39356.609999999404</v>
      </c>
      <c r="H969" s="436">
        <v>0</v>
      </c>
      <c r="I969" s="449">
        <v>0</v>
      </c>
    </row>
    <row r="970" spans="1:9" ht="15.75" customHeight="1" x14ac:dyDescent="0.2">
      <c r="A970" s="437"/>
      <c r="B970" s="437"/>
      <c r="C970" s="436"/>
      <c r="D970" s="467">
        <v>46459</v>
      </c>
      <c r="E970" s="436" t="s">
        <v>600</v>
      </c>
      <c r="F970" s="436">
        <v>42900410.670000002</v>
      </c>
      <c r="G970" s="448">
        <v>39356.60000000149</v>
      </c>
      <c r="H970" s="436">
        <v>0</v>
      </c>
      <c r="I970" s="449">
        <v>0</v>
      </c>
    </row>
    <row r="971" spans="1:9" ht="15.75" customHeight="1" x14ac:dyDescent="0.2">
      <c r="A971" s="437"/>
      <c r="B971" s="437"/>
      <c r="C971" s="436"/>
      <c r="D971" s="467">
        <v>46460</v>
      </c>
      <c r="E971" s="436" t="s">
        <v>599</v>
      </c>
      <c r="F971" s="436">
        <v>42939767.280000001</v>
      </c>
      <c r="G971" s="448">
        <v>39356.609999999404</v>
      </c>
      <c r="H971" s="436">
        <v>0</v>
      </c>
      <c r="I971" s="449">
        <v>0</v>
      </c>
    </row>
    <row r="972" spans="1:9" ht="15.75" customHeight="1" x14ac:dyDescent="0.2">
      <c r="A972" s="437"/>
      <c r="B972" s="437"/>
      <c r="C972" s="436"/>
      <c r="D972" s="467">
        <v>46461</v>
      </c>
      <c r="E972" s="436" t="s">
        <v>598</v>
      </c>
      <c r="F972" s="436">
        <v>42979123.880000003</v>
      </c>
      <c r="G972" s="448">
        <v>39356.60000000149</v>
      </c>
      <c r="H972" s="436">
        <v>0</v>
      </c>
      <c r="I972" s="449">
        <v>0</v>
      </c>
    </row>
    <row r="973" spans="1:9" ht="15.75" customHeight="1" x14ac:dyDescent="0.2">
      <c r="A973" s="437"/>
      <c r="B973" s="437"/>
      <c r="C973" s="436"/>
      <c r="D973" s="467">
        <v>46462</v>
      </c>
      <c r="E973" s="436" t="s">
        <v>597</v>
      </c>
      <c r="F973" s="436">
        <v>43018480.490000002</v>
      </c>
      <c r="G973" s="448">
        <v>39356.609999999404</v>
      </c>
      <c r="H973" s="436">
        <v>0</v>
      </c>
      <c r="I973" s="449">
        <v>0</v>
      </c>
    </row>
    <row r="974" spans="1:9" ht="15.75" customHeight="1" x14ac:dyDescent="0.2">
      <c r="A974" s="437"/>
      <c r="B974" s="437"/>
      <c r="C974" s="436"/>
      <c r="D974" s="467">
        <v>46463</v>
      </c>
      <c r="E974" s="436" t="s">
        <v>603</v>
      </c>
      <c r="F974" s="436">
        <v>43057837.090000004</v>
      </c>
      <c r="G974" s="448">
        <v>39356.60000000149</v>
      </c>
      <c r="H974" s="436">
        <v>275496.23000000417</v>
      </c>
      <c r="I974" s="449">
        <v>0</v>
      </c>
    </row>
    <row r="975" spans="1:9" ht="15.75" customHeight="1" x14ac:dyDescent="0.2">
      <c r="A975" s="437"/>
      <c r="B975" s="437"/>
      <c r="C975" s="436"/>
      <c r="D975" s="467">
        <v>46464</v>
      </c>
      <c r="E975" s="436" t="s">
        <v>602</v>
      </c>
      <c r="F975" s="436">
        <v>43097193.700000003</v>
      </c>
      <c r="G975" s="448">
        <v>39356.609999999404</v>
      </c>
      <c r="H975" s="436">
        <v>0</v>
      </c>
      <c r="I975" s="449">
        <v>0</v>
      </c>
    </row>
    <row r="976" spans="1:9" ht="15.75" customHeight="1" x14ac:dyDescent="0.2">
      <c r="A976" s="437"/>
      <c r="B976" s="437"/>
      <c r="C976" s="436"/>
      <c r="D976" s="467">
        <v>46465</v>
      </c>
      <c r="E976" s="436" t="s">
        <v>601</v>
      </c>
      <c r="F976" s="436">
        <v>43136550.299999997</v>
      </c>
      <c r="G976" s="448">
        <v>39356.59999999404</v>
      </c>
      <c r="H976" s="436">
        <v>0</v>
      </c>
      <c r="I976" s="449">
        <v>0</v>
      </c>
    </row>
    <row r="977" spans="1:9" ht="15.75" customHeight="1" x14ac:dyDescent="0.2">
      <c r="A977" s="437"/>
      <c r="B977" s="437"/>
      <c r="C977" s="436"/>
      <c r="D977" s="467">
        <v>46466</v>
      </c>
      <c r="E977" s="436" t="s">
        <v>600</v>
      </c>
      <c r="F977" s="436">
        <v>43175906.909999996</v>
      </c>
      <c r="G977" s="448">
        <v>39356.609999999404</v>
      </c>
      <c r="H977" s="436">
        <v>0</v>
      </c>
      <c r="I977" s="449">
        <v>0</v>
      </c>
    </row>
    <row r="978" spans="1:9" ht="15.75" customHeight="1" x14ac:dyDescent="0.2">
      <c r="A978" s="437"/>
      <c r="B978" s="437"/>
      <c r="C978" s="436"/>
      <c r="D978" s="467">
        <v>46467</v>
      </c>
      <c r="E978" s="436" t="s">
        <v>599</v>
      </c>
      <c r="F978" s="436">
        <v>43215263.509999998</v>
      </c>
      <c r="G978" s="448">
        <v>39356.60000000149</v>
      </c>
      <c r="H978" s="436">
        <v>0</v>
      </c>
      <c r="I978" s="449">
        <v>0</v>
      </c>
    </row>
    <row r="979" spans="1:9" ht="15.75" customHeight="1" x14ac:dyDescent="0.2">
      <c r="A979" s="437"/>
      <c r="B979" s="437"/>
      <c r="C979" s="436"/>
      <c r="D979" s="467">
        <v>46468</v>
      </c>
      <c r="E979" s="436" t="s">
        <v>598</v>
      </c>
      <c r="F979" s="436">
        <v>43254620.119999997</v>
      </c>
      <c r="G979" s="448">
        <v>39356.609999999404</v>
      </c>
      <c r="H979" s="436">
        <v>0</v>
      </c>
      <c r="I979" s="449">
        <v>0</v>
      </c>
    </row>
    <row r="980" spans="1:9" ht="15.75" customHeight="1" x14ac:dyDescent="0.2">
      <c r="A980" s="437"/>
      <c r="B980" s="437"/>
      <c r="C980" s="436"/>
      <c r="D980" s="467">
        <v>46469</v>
      </c>
      <c r="E980" s="436" t="s">
        <v>597</v>
      </c>
      <c r="F980" s="436">
        <v>43293976.719999999</v>
      </c>
      <c r="G980" s="448">
        <v>39356.60000000149</v>
      </c>
      <c r="H980" s="436">
        <v>0</v>
      </c>
      <c r="I980" s="449">
        <v>0</v>
      </c>
    </row>
    <row r="981" spans="1:9" ht="15.75" customHeight="1" x14ac:dyDescent="0.2">
      <c r="A981" s="437"/>
      <c r="B981" s="437"/>
      <c r="C981" s="436"/>
      <c r="D981" s="467">
        <v>46470</v>
      </c>
      <c r="E981" s="436" t="s">
        <v>603</v>
      </c>
      <c r="F981" s="436">
        <v>43333333.329999998</v>
      </c>
      <c r="G981" s="448">
        <v>39356.609999999404</v>
      </c>
      <c r="H981" s="436">
        <v>275496.23999999464</v>
      </c>
      <c r="I981" s="449">
        <v>550992.46999999881</v>
      </c>
    </row>
    <row r="982" spans="1:9" ht="15.75" customHeight="1" x14ac:dyDescent="0.2">
      <c r="A982" s="437"/>
      <c r="B982" s="437"/>
      <c r="C982" s="436"/>
      <c r="D982" s="467">
        <v>46471</v>
      </c>
      <c r="E982" s="436" t="s">
        <v>602</v>
      </c>
      <c r="F982" s="436">
        <v>43372689.93</v>
      </c>
      <c r="G982" s="448">
        <v>39356.60000000149</v>
      </c>
      <c r="H982" s="436">
        <v>0</v>
      </c>
      <c r="I982" s="449">
        <v>0</v>
      </c>
    </row>
    <row r="983" spans="1:9" ht="15.75" customHeight="1" x14ac:dyDescent="0.2">
      <c r="A983" s="437"/>
      <c r="B983" s="437"/>
      <c r="C983" s="436"/>
      <c r="D983" s="467">
        <v>46472</v>
      </c>
      <c r="E983" s="436" t="s">
        <v>601</v>
      </c>
      <c r="F983" s="436">
        <v>43412046.539999999</v>
      </c>
      <c r="G983" s="448">
        <v>39356.609999999404</v>
      </c>
      <c r="H983" s="436">
        <v>0</v>
      </c>
      <c r="I983" s="449">
        <v>0</v>
      </c>
    </row>
    <row r="984" spans="1:9" ht="15.75" customHeight="1" x14ac:dyDescent="0.2">
      <c r="A984" s="437"/>
      <c r="B984" s="437"/>
      <c r="C984" s="436"/>
      <c r="D984" s="467">
        <v>46473</v>
      </c>
      <c r="E984" s="436" t="s">
        <v>600</v>
      </c>
      <c r="F984" s="436">
        <v>43451403.140000001</v>
      </c>
      <c r="G984" s="448">
        <v>39356.60000000149</v>
      </c>
      <c r="H984" s="436">
        <v>0</v>
      </c>
      <c r="I984" s="449">
        <v>0</v>
      </c>
    </row>
    <row r="985" spans="1:9" ht="15.75" customHeight="1" x14ac:dyDescent="0.2">
      <c r="A985" s="437"/>
      <c r="B985" s="437"/>
      <c r="C985" s="436"/>
      <c r="D985" s="467">
        <v>46474</v>
      </c>
      <c r="E985" s="436" t="s">
        <v>599</v>
      </c>
      <c r="F985" s="436">
        <v>43490759.75</v>
      </c>
      <c r="G985" s="448">
        <v>39356.609999999404</v>
      </c>
      <c r="H985" s="436">
        <v>0</v>
      </c>
      <c r="I985" s="449">
        <v>0</v>
      </c>
    </row>
    <row r="986" spans="1:9" ht="15.75" customHeight="1" x14ac:dyDescent="0.2">
      <c r="A986" s="437"/>
      <c r="B986" s="437"/>
      <c r="C986" s="436"/>
      <c r="D986" s="467">
        <v>46475</v>
      </c>
      <c r="E986" s="436" t="s">
        <v>598</v>
      </c>
      <c r="F986" s="436">
        <v>43530116.350000001</v>
      </c>
      <c r="G986" s="448">
        <v>39356.60000000149</v>
      </c>
      <c r="H986" s="436">
        <v>0</v>
      </c>
      <c r="I986" s="449">
        <v>0</v>
      </c>
    </row>
    <row r="987" spans="1:9" ht="15.75" customHeight="1" x14ac:dyDescent="0.2">
      <c r="A987" s="437"/>
      <c r="B987" s="437"/>
      <c r="C987" s="436"/>
      <c r="D987" s="467">
        <v>46476</v>
      </c>
      <c r="E987" s="436" t="s">
        <v>597</v>
      </c>
      <c r="F987" s="436">
        <v>43569472.960000001</v>
      </c>
      <c r="G987" s="448">
        <v>39356.609999999404</v>
      </c>
      <c r="H987" s="436">
        <v>0</v>
      </c>
      <c r="I987" s="449">
        <v>0</v>
      </c>
    </row>
    <row r="988" spans="1:9" ht="15.75" customHeight="1" x14ac:dyDescent="0.2">
      <c r="A988" s="437"/>
      <c r="B988" s="437"/>
      <c r="C988" s="436"/>
      <c r="D988" s="467">
        <v>46477</v>
      </c>
      <c r="E988" s="436" t="s">
        <v>603</v>
      </c>
      <c r="F988" s="436">
        <v>43608829.560000002</v>
      </c>
      <c r="G988" s="448">
        <v>39356.60000000149</v>
      </c>
      <c r="H988" s="436">
        <v>275496.23000000417</v>
      </c>
      <c r="I988" s="449">
        <v>0</v>
      </c>
    </row>
    <row r="989" spans="1:9" ht="15.75" customHeight="1" x14ac:dyDescent="0.2">
      <c r="A989" s="437"/>
      <c r="B989" s="437"/>
      <c r="C989" s="436"/>
      <c r="D989" s="467">
        <v>46478</v>
      </c>
      <c r="E989" s="436" t="s">
        <v>602</v>
      </c>
      <c r="F989" s="436">
        <v>43648186.170000002</v>
      </c>
      <c r="G989" s="448">
        <v>39356.609999999404</v>
      </c>
      <c r="H989" s="436">
        <v>0</v>
      </c>
      <c r="I989" s="449">
        <v>0</v>
      </c>
    </row>
    <row r="990" spans="1:9" ht="15.75" customHeight="1" x14ac:dyDescent="0.2">
      <c r="A990" s="437"/>
      <c r="B990" s="437"/>
      <c r="C990" s="436"/>
      <c r="D990" s="467">
        <v>46479</v>
      </c>
      <c r="E990" s="436" t="s">
        <v>601</v>
      </c>
      <c r="F990" s="436">
        <v>43687542.770000003</v>
      </c>
      <c r="G990" s="448">
        <v>39356.60000000149</v>
      </c>
      <c r="H990" s="436">
        <v>0</v>
      </c>
      <c r="I990" s="449">
        <v>0</v>
      </c>
    </row>
    <row r="991" spans="1:9" ht="15.75" customHeight="1" x14ac:dyDescent="0.2">
      <c r="A991" s="437"/>
      <c r="B991" s="437"/>
      <c r="C991" s="436"/>
      <c r="D991" s="467">
        <v>46480</v>
      </c>
      <c r="E991" s="436" t="s">
        <v>600</v>
      </c>
      <c r="F991" s="436">
        <v>43726899.380000003</v>
      </c>
      <c r="G991" s="448">
        <v>39356.609999999404</v>
      </c>
      <c r="H991" s="436">
        <v>0</v>
      </c>
      <c r="I991" s="449">
        <v>0</v>
      </c>
    </row>
    <row r="992" spans="1:9" ht="15.75" customHeight="1" x14ac:dyDescent="0.2">
      <c r="A992" s="437"/>
      <c r="B992" s="437"/>
      <c r="C992" s="436"/>
      <c r="D992" s="467">
        <v>46481</v>
      </c>
      <c r="E992" s="436" t="s">
        <v>599</v>
      </c>
      <c r="F992" s="436">
        <v>43766255.979999997</v>
      </c>
      <c r="G992" s="448">
        <v>39356.59999999404</v>
      </c>
      <c r="H992" s="436">
        <v>0</v>
      </c>
      <c r="I992" s="449">
        <v>0</v>
      </c>
    </row>
    <row r="993" spans="1:9" ht="15.75" customHeight="1" x14ac:dyDescent="0.2">
      <c r="A993" s="437"/>
      <c r="B993" s="437"/>
      <c r="C993" s="436"/>
      <c r="D993" s="467">
        <v>46482</v>
      </c>
      <c r="E993" s="436" t="s">
        <v>598</v>
      </c>
      <c r="F993" s="436">
        <v>43805612.590000004</v>
      </c>
      <c r="G993" s="448">
        <v>39356.610000006855</v>
      </c>
      <c r="H993" s="436">
        <v>0</v>
      </c>
      <c r="I993" s="449">
        <v>0</v>
      </c>
    </row>
    <row r="994" spans="1:9" ht="15.75" customHeight="1" x14ac:dyDescent="0.2">
      <c r="A994" s="437"/>
      <c r="B994" s="437"/>
      <c r="C994" s="436"/>
      <c r="D994" s="467">
        <v>46483</v>
      </c>
      <c r="E994" s="436" t="s">
        <v>597</v>
      </c>
      <c r="F994" s="436">
        <v>43844969.189999998</v>
      </c>
      <c r="G994" s="448">
        <v>39356.59999999404</v>
      </c>
      <c r="H994" s="436">
        <v>0</v>
      </c>
      <c r="I994" s="449">
        <v>0</v>
      </c>
    </row>
    <row r="995" spans="1:9" ht="15.75" customHeight="1" x14ac:dyDescent="0.2">
      <c r="A995" s="437"/>
      <c r="B995" s="437"/>
      <c r="C995" s="436"/>
      <c r="D995" s="467">
        <v>46484</v>
      </c>
      <c r="E995" s="436" t="s">
        <v>603</v>
      </c>
      <c r="F995" s="436">
        <v>43884325.799999997</v>
      </c>
      <c r="G995" s="448">
        <v>39356.609999999404</v>
      </c>
      <c r="H995" s="436">
        <v>275496.23999999464</v>
      </c>
      <c r="I995" s="449">
        <v>550992.46999999881</v>
      </c>
    </row>
    <row r="996" spans="1:9" ht="15.75" customHeight="1" x14ac:dyDescent="0.2">
      <c r="A996" s="437"/>
      <c r="B996" s="437"/>
      <c r="C996" s="436"/>
      <c r="D996" s="467">
        <v>46485</v>
      </c>
      <c r="E996" s="436" t="s">
        <v>602</v>
      </c>
      <c r="F996" s="436">
        <v>43923682.399999999</v>
      </c>
      <c r="G996" s="448">
        <v>39356.60000000149</v>
      </c>
      <c r="H996" s="436">
        <v>0</v>
      </c>
      <c r="I996" s="449">
        <v>0</v>
      </c>
    </row>
    <row r="997" spans="1:9" ht="15.75" customHeight="1" x14ac:dyDescent="0.2">
      <c r="A997" s="437"/>
      <c r="B997" s="437"/>
      <c r="C997" s="436"/>
      <c r="D997" s="467">
        <v>46486</v>
      </c>
      <c r="E997" s="436" t="s">
        <v>601</v>
      </c>
      <c r="F997" s="436">
        <v>43963039.009999998</v>
      </c>
      <c r="G997" s="448">
        <v>39356.609999999404</v>
      </c>
      <c r="H997" s="436">
        <v>0</v>
      </c>
      <c r="I997" s="449">
        <v>0</v>
      </c>
    </row>
    <row r="998" spans="1:9" ht="15.75" customHeight="1" x14ac:dyDescent="0.2">
      <c r="A998" s="437"/>
      <c r="B998" s="437"/>
      <c r="C998" s="436"/>
      <c r="D998" s="467">
        <v>46487</v>
      </c>
      <c r="E998" s="436" t="s">
        <v>600</v>
      </c>
      <c r="F998" s="436">
        <v>44002395.609999999</v>
      </c>
      <c r="G998" s="448">
        <v>39356.60000000149</v>
      </c>
      <c r="H998" s="436">
        <v>0</v>
      </c>
      <c r="I998" s="449">
        <v>0</v>
      </c>
    </row>
    <row r="999" spans="1:9" ht="15.75" customHeight="1" x14ac:dyDescent="0.2">
      <c r="A999" s="437"/>
      <c r="B999" s="437"/>
      <c r="C999" s="436"/>
      <c r="D999" s="467">
        <v>46488</v>
      </c>
      <c r="E999" s="436" t="s">
        <v>599</v>
      </c>
      <c r="F999" s="436">
        <v>44041752.219999999</v>
      </c>
      <c r="G999" s="448">
        <v>39356.609999999404</v>
      </c>
      <c r="H999" s="436">
        <v>0</v>
      </c>
      <c r="I999" s="449">
        <v>0</v>
      </c>
    </row>
    <row r="1000" spans="1:9" ht="15.75" customHeight="1" x14ac:dyDescent="0.2">
      <c r="A1000" s="437"/>
      <c r="B1000" s="437"/>
      <c r="C1000" s="436"/>
      <c r="D1000" s="467">
        <v>46489</v>
      </c>
      <c r="E1000" s="436" t="s">
        <v>598</v>
      </c>
      <c r="F1000" s="436">
        <v>44081108.82</v>
      </c>
      <c r="G1000" s="448">
        <v>39356.60000000149</v>
      </c>
      <c r="H1000" s="436">
        <v>0</v>
      </c>
      <c r="I1000" s="449">
        <v>0</v>
      </c>
    </row>
    <row r="1001" spans="1:9" ht="15.75" customHeight="1" x14ac:dyDescent="0.2">
      <c r="A1001" s="437"/>
      <c r="B1001" s="437"/>
      <c r="C1001" s="436"/>
      <c r="D1001" s="467">
        <v>46490</v>
      </c>
      <c r="E1001" s="436" t="s">
        <v>597</v>
      </c>
      <c r="F1001" s="436">
        <v>44120465.43</v>
      </c>
      <c r="G1001" s="448">
        <v>39356.609999999404</v>
      </c>
      <c r="H1001" s="436">
        <v>0</v>
      </c>
      <c r="I1001" s="449">
        <v>0</v>
      </c>
    </row>
    <row r="1002" spans="1:9" ht="15.75" customHeight="1" x14ac:dyDescent="0.2">
      <c r="A1002" s="437"/>
      <c r="B1002" s="437"/>
      <c r="C1002" s="436"/>
      <c r="D1002" s="467">
        <v>46491</v>
      </c>
      <c r="E1002" s="436" t="s">
        <v>603</v>
      </c>
      <c r="F1002" s="436">
        <v>44159822.030000001</v>
      </c>
      <c r="G1002" s="448">
        <v>39356.60000000149</v>
      </c>
      <c r="H1002" s="436">
        <v>275496.23000000417</v>
      </c>
      <c r="I1002" s="449">
        <v>0</v>
      </c>
    </row>
    <row r="1003" spans="1:9" ht="15.75" customHeight="1" x14ac:dyDescent="0.2">
      <c r="A1003" s="437"/>
      <c r="B1003" s="437"/>
      <c r="C1003" s="436"/>
      <c r="D1003" s="467">
        <v>46492</v>
      </c>
      <c r="E1003" s="436" t="s">
        <v>602</v>
      </c>
      <c r="F1003" s="436">
        <v>44199178.640000001</v>
      </c>
      <c r="G1003" s="448">
        <v>39356.609999999404</v>
      </c>
      <c r="H1003" s="436">
        <v>0</v>
      </c>
      <c r="I1003" s="449">
        <v>0</v>
      </c>
    </row>
    <row r="1004" spans="1:9" ht="15.75" customHeight="1" x14ac:dyDescent="0.2">
      <c r="A1004" s="437"/>
      <c r="B1004" s="437"/>
      <c r="C1004" s="436"/>
      <c r="D1004" s="467">
        <v>46493</v>
      </c>
      <c r="E1004" s="436" t="s">
        <v>601</v>
      </c>
      <c r="F1004" s="436">
        <v>44238535.240000002</v>
      </c>
      <c r="G1004" s="448">
        <v>39356.60000000149</v>
      </c>
      <c r="H1004" s="436">
        <v>0</v>
      </c>
      <c r="I1004" s="449">
        <v>0</v>
      </c>
    </row>
    <row r="1005" spans="1:9" ht="15.75" customHeight="1" x14ac:dyDescent="0.2">
      <c r="A1005" s="437"/>
      <c r="B1005" s="437"/>
      <c r="C1005" s="436"/>
      <c r="D1005" s="467">
        <v>46494</v>
      </c>
      <c r="E1005" s="436" t="s">
        <v>600</v>
      </c>
      <c r="F1005" s="436">
        <v>44277891.850000001</v>
      </c>
      <c r="G1005" s="448">
        <v>39356.609999999404</v>
      </c>
      <c r="H1005" s="436">
        <v>0</v>
      </c>
      <c r="I1005" s="449">
        <v>0</v>
      </c>
    </row>
    <row r="1006" spans="1:9" ht="15.75" customHeight="1" x14ac:dyDescent="0.2">
      <c r="A1006" s="437"/>
      <c r="B1006" s="437"/>
      <c r="C1006" s="436"/>
      <c r="D1006" s="467">
        <v>46495</v>
      </c>
      <c r="E1006" s="436" t="s">
        <v>599</v>
      </c>
      <c r="F1006" s="436">
        <v>44317248.450000003</v>
      </c>
      <c r="G1006" s="448">
        <v>39356.60000000149</v>
      </c>
      <c r="H1006" s="436">
        <v>0</v>
      </c>
      <c r="I1006" s="449">
        <v>0</v>
      </c>
    </row>
    <row r="1007" spans="1:9" ht="15.75" customHeight="1" x14ac:dyDescent="0.2">
      <c r="A1007" s="437"/>
      <c r="B1007" s="437"/>
      <c r="C1007" s="436"/>
      <c r="D1007" s="467">
        <v>46496</v>
      </c>
      <c r="E1007" s="436" t="s">
        <v>598</v>
      </c>
      <c r="F1007" s="436">
        <v>44356605.060000002</v>
      </c>
      <c r="G1007" s="448">
        <v>39356.609999999404</v>
      </c>
      <c r="H1007" s="436">
        <v>0</v>
      </c>
      <c r="I1007" s="449">
        <v>0</v>
      </c>
    </row>
    <row r="1008" spans="1:9" ht="15.75" customHeight="1" x14ac:dyDescent="0.2">
      <c r="A1008" s="437"/>
      <c r="B1008" s="437"/>
      <c r="C1008" s="436"/>
      <c r="D1008" s="467">
        <v>46497</v>
      </c>
      <c r="E1008" s="436" t="s">
        <v>597</v>
      </c>
      <c r="F1008" s="436">
        <v>44395961.670000002</v>
      </c>
      <c r="G1008" s="448">
        <v>39356.609999999404</v>
      </c>
      <c r="H1008" s="436">
        <v>0</v>
      </c>
      <c r="I1008" s="449">
        <v>0</v>
      </c>
    </row>
    <row r="1009" spans="1:9" ht="15.75" customHeight="1" x14ac:dyDescent="0.2">
      <c r="A1009" s="437"/>
      <c r="B1009" s="437"/>
      <c r="C1009" s="436"/>
      <c r="D1009" s="467">
        <v>46498</v>
      </c>
      <c r="E1009" s="436" t="s">
        <v>603</v>
      </c>
      <c r="F1009" s="436">
        <v>44435318.270000003</v>
      </c>
      <c r="G1009" s="448">
        <v>39356.60000000149</v>
      </c>
      <c r="H1009" s="436">
        <v>275496.24000000209</v>
      </c>
      <c r="I1009" s="449">
        <v>550992.47000000626</v>
      </c>
    </row>
    <row r="1010" spans="1:9" ht="15.75" customHeight="1" x14ac:dyDescent="0.2">
      <c r="A1010" s="437"/>
      <c r="B1010" s="437"/>
      <c r="C1010" s="436"/>
      <c r="D1010" s="467">
        <v>46499</v>
      </c>
      <c r="E1010" s="436" t="s">
        <v>602</v>
      </c>
      <c r="F1010" s="436">
        <v>44474674.880000003</v>
      </c>
      <c r="G1010" s="448">
        <v>39356.609999999404</v>
      </c>
      <c r="H1010" s="436">
        <v>0</v>
      </c>
      <c r="I1010" s="449">
        <v>0</v>
      </c>
    </row>
    <row r="1011" spans="1:9" ht="15.75" customHeight="1" x14ac:dyDescent="0.2">
      <c r="A1011" s="437"/>
      <c r="B1011" s="437"/>
      <c r="C1011" s="436"/>
      <c r="D1011" s="467">
        <v>46500</v>
      </c>
      <c r="E1011" s="436" t="s">
        <v>601</v>
      </c>
      <c r="F1011" s="436">
        <v>44514031.479999997</v>
      </c>
      <c r="G1011" s="448">
        <v>39356.59999999404</v>
      </c>
      <c r="H1011" s="436">
        <v>0</v>
      </c>
      <c r="I1011" s="449">
        <v>0</v>
      </c>
    </row>
    <row r="1012" spans="1:9" ht="15.75" customHeight="1" x14ac:dyDescent="0.2">
      <c r="A1012" s="437"/>
      <c r="B1012" s="437"/>
      <c r="C1012" s="436"/>
      <c r="D1012" s="467">
        <v>46501</v>
      </c>
      <c r="E1012" s="436" t="s">
        <v>600</v>
      </c>
      <c r="F1012" s="436">
        <v>44553388.090000004</v>
      </c>
      <c r="G1012" s="448">
        <v>39356.610000006855</v>
      </c>
      <c r="H1012" s="436">
        <v>0</v>
      </c>
      <c r="I1012" s="449">
        <v>0</v>
      </c>
    </row>
    <row r="1013" spans="1:9" ht="15.75" customHeight="1" x14ac:dyDescent="0.2">
      <c r="A1013" s="437"/>
      <c r="B1013" s="437"/>
      <c r="C1013" s="436"/>
      <c r="D1013" s="467">
        <v>46502</v>
      </c>
      <c r="E1013" s="436" t="s">
        <v>599</v>
      </c>
      <c r="F1013" s="436">
        <v>44592744.689999998</v>
      </c>
      <c r="G1013" s="448">
        <v>39356.59999999404</v>
      </c>
      <c r="H1013" s="436">
        <v>0</v>
      </c>
      <c r="I1013" s="449">
        <v>0</v>
      </c>
    </row>
    <row r="1014" spans="1:9" ht="15.75" customHeight="1" x14ac:dyDescent="0.2">
      <c r="A1014" s="437"/>
      <c r="B1014" s="437"/>
      <c r="C1014" s="436"/>
      <c r="D1014" s="467">
        <v>46503</v>
      </c>
      <c r="E1014" s="436" t="s">
        <v>598</v>
      </c>
      <c r="F1014" s="436">
        <v>44632101.299999997</v>
      </c>
      <c r="G1014" s="448">
        <v>39356.609999999404</v>
      </c>
      <c r="H1014" s="436">
        <v>0</v>
      </c>
      <c r="I1014" s="449">
        <v>0</v>
      </c>
    </row>
    <row r="1015" spans="1:9" ht="15.75" customHeight="1" x14ac:dyDescent="0.2">
      <c r="A1015" s="437"/>
      <c r="B1015" s="437"/>
      <c r="C1015" s="436"/>
      <c r="D1015" s="467">
        <v>46504</v>
      </c>
      <c r="E1015" s="436" t="s">
        <v>597</v>
      </c>
      <c r="F1015" s="436">
        <v>44671457.899999999</v>
      </c>
      <c r="G1015" s="448">
        <v>39356.60000000149</v>
      </c>
      <c r="H1015" s="436">
        <v>0</v>
      </c>
      <c r="I1015" s="449">
        <v>0</v>
      </c>
    </row>
    <row r="1016" spans="1:9" ht="15.75" customHeight="1" x14ac:dyDescent="0.2">
      <c r="A1016" s="437"/>
      <c r="B1016" s="437"/>
      <c r="C1016" s="436"/>
      <c r="D1016" s="467">
        <v>46505</v>
      </c>
      <c r="E1016" s="436" t="s">
        <v>603</v>
      </c>
      <c r="F1016" s="436">
        <v>44710814.509999998</v>
      </c>
      <c r="G1016" s="448">
        <v>39356.609999999404</v>
      </c>
      <c r="H1016" s="436">
        <v>275496.23999999464</v>
      </c>
      <c r="I1016" s="449">
        <v>0</v>
      </c>
    </row>
    <row r="1017" spans="1:9" ht="15.75" customHeight="1" x14ac:dyDescent="0.2">
      <c r="A1017" s="437"/>
      <c r="B1017" s="437"/>
      <c r="C1017" s="436"/>
      <c r="D1017" s="467">
        <v>46506</v>
      </c>
      <c r="E1017" s="436" t="s">
        <v>602</v>
      </c>
      <c r="F1017" s="436">
        <v>44750171.109999999</v>
      </c>
      <c r="G1017" s="448">
        <v>39356.60000000149</v>
      </c>
      <c r="H1017" s="436">
        <v>0</v>
      </c>
      <c r="I1017" s="449">
        <v>0</v>
      </c>
    </row>
    <row r="1018" spans="1:9" ht="15.75" customHeight="1" x14ac:dyDescent="0.2">
      <c r="A1018" s="437"/>
      <c r="B1018" s="437"/>
      <c r="C1018" s="436"/>
      <c r="D1018" s="467">
        <v>46507</v>
      </c>
      <c r="E1018" s="436" t="s">
        <v>601</v>
      </c>
      <c r="F1018" s="436">
        <v>44789527.719999999</v>
      </c>
      <c r="G1018" s="448">
        <v>39356.609999999404</v>
      </c>
      <c r="H1018" s="436">
        <v>0</v>
      </c>
      <c r="I1018" s="449">
        <v>0</v>
      </c>
    </row>
    <row r="1019" spans="1:9" ht="15.75" customHeight="1" x14ac:dyDescent="0.2">
      <c r="A1019" s="437"/>
      <c r="B1019" s="437"/>
      <c r="C1019" s="436"/>
      <c r="D1019" s="467">
        <v>46508</v>
      </c>
      <c r="E1019" s="436" t="s">
        <v>600</v>
      </c>
      <c r="F1019" s="436">
        <v>44828884.32</v>
      </c>
      <c r="G1019" s="448">
        <v>39356.60000000149</v>
      </c>
      <c r="H1019" s="436">
        <v>0</v>
      </c>
      <c r="I1019" s="449">
        <v>0</v>
      </c>
    </row>
    <row r="1020" spans="1:9" ht="15.75" customHeight="1" x14ac:dyDescent="0.2">
      <c r="A1020" s="437"/>
      <c r="B1020" s="437"/>
      <c r="C1020" s="436"/>
      <c r="D1020" s="467">
        <v>46509</v>
      </c>
      <c r="E1020" s="436" t="s">
        <v>599</v>
      </c>
      <c r="F1020" s="436">
        <v>44868240.93</v>
      </c>
      <c r="G1020" s="448">
        <v>39356.609999999404</v>
      </c>
      <c r="H1020" s="436">
        <v>0</v>
      </c>
      <c r="I1020" s="449">
        <v>0</v>
      </c>
    </row>
    <row r="1021" spans="1:9" ht="15.75" customHeight="1" x14ac:dyDescent="0.2">
      <c r="A1021" s="437"/>
      <c r="B1021" s="437"/>
      <c r="C1021" s="436"/>
      <c r="D1021" s="467">
        <v>46510</v>
      </c>
      <c r="E1021" s="436" t="s">
        <v>598</v>
      </c>
      <c r="F1021" s="436">
        <v>44907597.530000001</v>
      </c>
      <c r="G1021" s="448">
        <v>39356.60000000149</v>
      </c>
      <c r="H1021" s="436">
        <v>0</v>
      </c>
      <c r="I1021" s="449">
        <v>0</v>
      </c>
    </row>
    <row r="1022" spans="1:9" ht="15.75" customHeight="1" x14ac:dyDescent="0.2">
      <c r="A1022" s="437"/>
      <c r="B1022" s="437"/>
      <c r="C1022" s="436"/>
      <c r="D1022" s="467">
        <v>46511</v>
      </c>
      <c r="E1022" s="436" t="s">
        <v>597</v>
      </c>
      <c r="F1022" s="436">
        <v>44946954.140000001</v>
      </c>
      <c r="G1022" s="448">
        <v>39356.609999999404</v>
      </c>
      <c r="H1022" s="436">
        <v>0</v>
      </c>
      <c r="I1022" s="449">
        <v>0</v>
      </c>
    </row>
    <row r="1023" spans="1:9" ht="15.75" customHeight="1" x14ac:dyDescent="0.2">
      <c r="A1023" s="437"/>
      <c r="B1023" s="437"/>
      <c r="C1023" s="436"/>
      <c r="D1023" s="467">
        <v>46512</v>
      </c>
      <c r="E1023" s="436" t="s">
        <v>603</v>
      </c>
      <c r="F1023" s="436">
        <v>44986310.740000002</v>
      </c>
      <c r="G1023" s="448">
        <v>39356.60000000149</v>
      </c>
      <c r="H1023" s="436">
        <v>275496.23000000417</v>
      </c>
      <c r="I1023" s="449">
        <v>550992.46999999881</v>
      </c>
    </row>
    <row r="1024" spans="1:9" ht="15.75" customHeight="1" x14ac:dyDescent="0.2">
      <c r="A1024" s="437"/>
      <c r="B1024" s="437"/>
      <c r="C1024" s="436"/>
      <c r="D1024" s="467">
        <v>46513</v>
      </c>
      <c r="E1024" s="436" t="s">
        <v>602</v>
      </c>
      <c r="F1024" s="436">
        <v>45025667.350000001</v>
      </c>
      <c r="G1024" s="448">
        <v>39356.609999999404</v>
      </c>
      <c r="H1024" s="436">
        <v>0</v>
      </c>
      <c r="I1024" s="449">
        <v>0</v>
      </c>
    </row>
    <row r="1025" spans="1:9" ht="15.75" customHeight="1" x14ac:dyDescent="0.2">
      <c r="A1025" s="437"/>
      <c r="B1025" s="437"/>
      <c r="C1025" s="436"/>
      <c r="D1025" s="467">
        <v>46514</v>
      </c>
      <c r="E1025" s="436" t="s">
        <v>601</v>
      </c>
      <c r="F1025" s="436">
        <v>45065023.950000003</v>
      </c>
      <c r="G1025" s="448">
        <v>39356.60000000149</v>
      </c>
      <c r="H1025" s="436">
        <v>0</v>
      </c>
      <c r="I1025" s="449">
        <v>0</v>
      </c>
    </row>
    <row r="1026" spans="1:9" ht="15.75" customHeight="1" x14ac:dyDescent="0.2">
      <c r="A1026" s="437"/>
      <c r="B1026" s="437"/>
      <c r="C1026" s="436"/>
      <c r="D1026" s="467">
        <v>46515</v>
      </c>
      <c r="E1026" s="436" t="s">
        <v>600</v>
      </c>
      <c r="F1026" s="436">
        <v>45104380.560000002</v>
      </c>
      <c r="G1026" s="448">
        <v>39356.609999999404</v>
      </c>
      <c r="H1026" s="436">
        <v>0</v>
      </c>
      <c r="I1026" s="449">
        <v>0</v>
      </c>
    </row>
    <row r="1027" spans="1:9" ht="15.75" customHeight="1" x14ac:dyDescent="0.2">
      <c r="A1027" s="437"/>
      <c r="B1027" s="437"/>
      <c r="C1027" s="436"/>
      <c r="D1027" s="467">
        <v>46516</v>
      </c>
      <c r="E1027" s="436" t="s">
        <v>599</v>
      </c>
      <c r="F1027" s="436">
        <v>45143737.159999996</v>
      </c>
      <c r="G1027" s="448">
        <v>39356.59999999404</v>
      </c>
      <c r="H1027" s="436">
        <v>0</v>
      </c>
      <c r="I1027" s="449">
        <v>0</v>
      </c>
    </row>
    <row r="1028" spans="1:9" ht="15.75" customHeight="1" x14ac:dyDescent="0.2">
      <c r="A1028" s="437"/>
      <c r="B1028" s="437"/>
      <c r="C1028" s="436"/>
      <c r="D1028" s="467">
        <v>46517</v>
      </c>
      <c r="E1028" s="436" t="s">
        <v>598</v>
      </c>
      <c r="F1028" s="436">
        <v>45183093.770000003</v>
      </c>
      <c r="G1028" s="448">
        <v>39356.610000006855</v>
      </c>
      <c r="H1028" s="436">
        <v>0</v>
      </c>
      <c r="I1028" s="449">
        <v>0</v>
      </c>
    </row>
    <row r="1029" spans="1:9" ht="15.75" customHeight="1" x14ac:dyDescent="0.2">
      <c r="A1029" s="437"/>
      <c r="B1029" s="437"/>
      <c r="C1029" s="436"/>
      <c r="D1029" s="467">
        <v>46518</v>
      </c>
      <c r="E1029" s="436" t="s">
        <v>597</v>
      </c>
      <c r="F1029" s="436">
        <v>45222450.369999997</v>
      </c>
      <c r="G1029" s="448">
        <v>39356.59999999404</v>
      </c>
      <c r="H1029" s="436">
        <v>0</v>
      </c>
      <c r="I1029" s="449">
        <v>0</v>
      </c>
    </row>
    <row r="1030" spans="1:9" ht="15.75" customHeight="1" x14ac:dyDescent="0.2">
      <c r="A1030" s="437"/>
      <c r="B1030" s="437"/>
      <c r="C1030" s="436"/>
      <c r="D1030" s="467">
        <v>46519</v>
      </c>
      <c r="E1030" s="436" t="s">
        <v>603</v>
      </c>
      <c r="F1030" s="436">
        <v>45261806.979999997</v>
      </c>
      <c r="G1030" s="448">
        <v>39356.609999999404</v>
      </c>
      <c r="H1030" s="436">
        <v>275496.23999999464</v>
      </c>
      <c r="I1030" s="449">
        <v>0</v>
      </c>
    </row>
    <row r="1031" spans="1:9" ht="15.75" customHeight="1" x14ac:dyDescent="0.2">
      <c r="A1031" s="437"/>
      <c r="B1031" s="437"/>
      <c r="C1031" s="436"/>
      <c r="D1031" s="467">
        <v>46520</v>
      </c>
      <c r="E1031" s="436" t="s">
        <v>602</v>
      </c>
      <c r="F1031" s="436">
        <v>45301163.579999998</v>
      </c>
      <c r="G1031" s="448">
        <v>39356.60000000149</v>
      </c>
      <c r="H1031" s="436">
        <v>0</v>
      </c>
      <c r="I1031" s="449">
        <v>0</v>
      </c>
    </row>
    <row r="1032" spans="1:9" ht="15.75" customHeight="1" x14ac:dyDescent="0.2">
      <c r="A1032" s="437"/>
      <c r="B1032" s="437"/>
      <c r="C1032" s="436"/>
      <c r="D1032" s="467">
        <v>46521</v>
      </c>
      <c r="E1032" s="436" t="s">
        <v>601</v>
      </c>
      <c r="F1032" s="436">
        <v>45340520.189999998</v>
      </c>
      <c r="G1032" s="448">
        <v>39356.609999999404</v>
      </c>
      <c r="H1032" s="436">
        <v>0</v>
      </c>
      <c r="I1032" s="449">
        <v>0</v>
      </c>
    </row>
    <row r="1033" spans="1:9" ht="15.75" customHeight="1" x14ac:dyDescent="0.2">
      <c r="A1033" s="437"/>
      <c r="B1033" s="437"/>
      <c r="C1033" s="436"/>
      <c r="D1033" s="467">
        <v>46522</v>
      </c>
      <c r="E1033" s="436" t="s">
        <v>600</v>
      </c>
      <c r="F1033" s="436">
        <v>45379876.789999999</v>
      </c>
      <c r="G1033" s="448">
        <v>39356.60000000149</v>
      </c>
      <c r="H1033" s="436">
        <v>0</v>
      </c>
      <c r="I1033" s="449">
        <v>0</v>
      </c>
    </row>
    <row r="1034" spans="1:9" ht="15.75" customHeight="1" x14ac:dyDescent="0.2">
      <c r="A1034" s="437"/>
      <c r="B1034" s="437"/>
      <c r="C1034" s="436"/>
      <c r="D1034" s="467">
        <v>46523</v>
      </c>
      <c r="E1034" s="436" t="s">
        <v>599</v>
      </c>
      <c r="F1034" s="436">
        <v>45419233.399999999</v>
      </c>
      <c r="G1034" s="448">
        <v>39356.609999999404</v>
      </c>
      <c r="H1034" s="436">
        <v>0</v>
      </c>
      <c r="I1034" s="449">
        <v>0</v>
      </c>
    </row>
    <row r="1035" spans="1:9" ht="15.75" customHeight="1" x14ac:dyDescent="0.2">
      <c r="A1035" s="437"/>
      <c r="B1035" s="437"/>
      <c r="C1035" s="436"/>
      <c r="D1035" s="467">
        <v>46524</v>
      </c>
      <c r="E1035" s="436" t="s">
        <v>598</v>
      </c>
      <c r="F1035" s="436">
        <v>45458590</v>
      </c>
      <c r="G1035" s="448">
        <v>39356.60000000149</v>
      </c>
      <c r="H1035" s="436">
        <v>0</v>
      </c>
      <c r="I1035" s="449">
        <v>0</v>
      </c>
    </row>
    <row r="1036" spans="1:9" ht="15.75" customHeight="1" x14ac:dyDescent="0.2">
      <c r="A1036" s="437"/>
      <c r="B1036" s="437"/>
      <c r="C1036" s="436"/>
      <c r="D1036" s="467">
        <v>46525</v>
      </c>
      <c r="E1036" s="436" t="s">
        <v>597</v>
      </c>
      <c r="F1036" s="436">
        <v>45497946.609999999</v>
      </c>
      <c r="G1036" s="448">
        <v>39356.609999999404</v>
      </c>
      <c r="H1036" s="436">
        <v>0</v>
      </c>
      <c r="I1036" s="449">
        <v>0</v>
      </c>
    </row>
    <row r="1037" spans="1:9" ht="15.75" customHeight="1" x14ac:dyDescent="0.2">
      <c r="A1037" s="437"/>
      <c r="B1037" s="437"/>
      <c r="C1037" s="436"/>
      <c r="D1037" s="467">
        <v>46526</v>
      </c>
      <c r="E1037" s="436" t="s">
        <v>603</v>
      </c>
      <c r="F1037" s="436">
        <v>45537303.210000001</v>
      </c>
      <c r="G1037" s="448">
        <v>39356.60000000149</v>
      </c>
      <c r="H1037" s="436">
        <v>275496.23000000417</v>
      </c>
      <c r="I1037" s="449">
        <v>550992.46999999881</v>
      </c>
    </row>
    <row r="1038" spans="1:9" ht="15.75" customHeight="1" x14ac:dyDescent="0.2">
      <c r="A1038" s="437"/>
      <c r="B1038" s="437"/>
      <c r="C1038" s="436"/>
      <c r="D1038" s="467">
        <v>46527</v>
      </c>
      <c r="E1038" s="436" t="s">
        <v>602</v>
      </c>
      <c r="F1038" s="436">
        <v>45576659.82</v>
      </c>
      <c r="G1038" s="448">
        <v>39356.609999999404</v>
      </c>
      <c r="H1038" s="436">
        <v>0</v>
      </c>
      <c r="I1038" s="449">
        <v>0</v>
      </c>
    </row>
    <row r="1039" spans="1:9" ht="15.75" customHeight="1" x14ac:dyDescent="0.2">
      <c r="A1039" s="437"/>
      <c r="B1039" s="437"/>
      <c r="C1039" s="436"/>
      <c r="D1039" s="467">
        <v>46528</v>
      </c>
      <c r="E1039" s="436" t="s">
        <v>601</v>
      </c>
      <c r="F1039" s="436">
        <v>45616016.420000002</v>
      </c>
      <c r="G1039" s="448">
        <v>39356.60000000149</v>
      </c>
      <c r="H1039" s="436">
        <v>0</v>
      </c>
      <c r="I1039" s="449">
        <v>0</v>
      </c>
    </row>
    <row r="1040" spans="1:9" ht="15.75" customHeight="1" x14ac:dyDescent="0.2">
      <c r="A1040" s="437"/>
      <c r="B1040" s="437"/>
      <c r="C1040" s="436"/>
      <c r="D1040" s="467">
        <v>46529</v>
      </c>
      <c r="E1040" s="436" t="s">
        <v>600</v>
      </c>
      <c r="F1040" s="436">
        <v>45655373.030000001</v>
      </c>
      <c r="G1040" s="448">
        <v>39356.609999999404</v>
      </c>
      <c r="H1040" s="436">
        <v>0</v>
      </c>
      <c r="I1040" s="449">
        <v>0</v>
      </c>
    </row>
    <row r="1041" spans="1:9" ht="15.75" customHeight="1" x14ac:dyDescent="0.2">
      <c r="A1041" s="437"/>
      <c r="B1041" s="437"/>
      <c r="C1041" s="436"/>
      <c r="D1041" s="467">
        <v>46530</v>
      </c>
      <c r="E1041" s="436" t="s">
        <v>599</v>
      </c>
      <c r="F1041" s="436">
        <v>45694729.630000003</v>
      </c>
      <c r="G1041" s="448">
        <v>39356.60000000149</v>
      </c>
      <c r="H1041" s="436">
        <v>0</v>
      </c>
      <c r="I1041" s="449">
        <v>0</v>
      </c>
    </row>
    <row r="1042" spans="1:9" ht="15.75" customHeight="1" x14ac:dyDescent="0.2">
      <c r="A1042" s="437"/>
      <c r="B1042" s="437"/>
      <c r="C1042" s="436"/>
      <c r="D1042" s="467">
        <v>46531</v>
      </c>
      <c r="E1042" s="436" t="s">
        <v>598</v>
      </c>
      <c r="F1042" s="436">
        <v>45734086.240000002</v>
      </c>
      <c r="G1042" s="448">
        <v>39356.609999999404</v>
      </c>
      <c r="H1042" s="436">
        <v>0</v>
      </c>
      <c r="I1042" s="449">
        <v>0</v>
      </c>
    </row>
    <row r="1043" spans="1:9" ht="15.75" customHeight="1" x14ac:dyDescent="0.2">
      <c r="A1043" s="437"/>
      <c r="B1043" s="437"/>
      <c r="C1043" s="436"/>
      <c r="D1043" s="467">
        <v>46532</v>
      </c>
      <c r="E1043" s="436" t="s">
        <v>597</v>
      </c>
      <c r="F1043" s="436">
        <v>45773442.840000004</v>
      </c>
      <c r="G1043" s="448">
        <v>39356.60000000149</v>
      </c>
      <c r="H1043" s="436">
        <v>0</v>
      </c>
      <c r="I1043" s="449">
        <v>0</v>
      </c>
    </row>
    <row r="1044" spans="1:9" ht="15.75" customHeight="1" x14ac:dyDescent="0.2">
      <c r="A1044" s="437"/>
      <c r="B1044" s="437"/>
      <c r="C1044" s="436"/>
      <c r="D1044" s="467">
        <v>46533</v>
      </c>
      <c r="E1044" s="436" t="s">
        <v>603</v>
      </c>
      <c r="F1044" s="436">
        <v>45812799.450000003</v>
      </c>
      <c r="G1044" s="448">
        <v>39356.609999999404</v>
      </c>
      <c r="H1044" s="436">
        <v>275496.24000000209</v>
      </c>
      <c r="I1044" s="449">
        <v>0</v>
      </c>
    </row>
    <row r="1045" spans="1:9" ht="15.75" customHeight="1" x14ac:dyDescent="0.2">
      <c r="A1045" s="437"/>
      <c r="B1045" s="437"/>
      <c r="C1045" s="436"/>
      <c r="D1045" s="467">
        <v>46534</v>
      </c>
      <c r="E1045" s="436" t="s">
        <v>602</v>
      </c>
      <c r="F1045" s="436">
        <v>45852156.049999997</v>
      </c>
      <c r="G1045" s="448">
        <v>39356.59999999404</v>
      </c>
      <c r="H1045" s="436">
        <v>0</v>
      </c>
      <c r="I1045" s="449">
        <v>0</v>
      </c>
    </row>
    <row r="1046" spans="1:9" ht="15.75" customHeight="1" x14ac:dyDescent="0.2">
      <c r="A1046" s="437"/>
      <c r="B1046" s="437"/>
      <c r="C1046" s="436"/>
      <c r="D1046" s="467">
        <v>46535</v>
      </c>
      <c r="E1046" s="436" t="s">
        <v>601</v>
      </c>
      <c r="F1046" s="436">
        <v>45891512.659999996</v>
      </c>
      <c r="G1046" s="448">
        <v>39356.609999999404</v>
      </c>
      <c r="H1046" s="436">
        <v>0</v>
      </c>
      <c r="I1046" s="449">
        <v>0</v>
      </c>
    </row>
    <row r="1047" spans="1:9" ht="15.75" customHeight="1" x14ac:dyDescent="0.2">
      <c r="A1047" s="437"/>
      <c r="B1047" s="437"/>
      <c r="C1047" s="436"/>
      <c r="D1047" s="467">
        <v>46536</v>
      </c>
      <c r="E1047" s="436" t="s">
        <v>600</v>
      </c>
      <c r="F1047" s="436">
        <v>45930869.259999998</v>
      </c>
      <c r="G1047" s="448">
        <v>39356.60000000149</v>
      </c>
      <c r="H1047" s="436">
        <v>0</v>
      </c>
      <c r="I1047" s="449">
        <v>0</v>
      </c>
    </row>
    <row r="1048" spans="1:9" ht="15.75" customHeight="1" x14ac:dyDescent="0.2">
      <c r="A1048" s="437"/>
      <c r="B1048" s="437"/>
      <c r="C1048" s="436"/>
      <c r="D1048" s="467">
        <v>46537</v>
      </c>
      <c r="E1048" s="436" t="s">
        <v>599</v>
      </c>
      <c r="F1048" s="436">
        <v>45970225.869999997</v>
      </c>
      <c r="G1048" s="448">
        <v>39356.609999999404</v>
      </c>
      <c r="H1048" s="436">
        <v>0</v>
      </c>
      <c r="I1048" s="449">
        <v>0</v>
      </c>
    </row>
    <row r="1049" spans="1:9" ht="15.75" customHeight="1" x14ac:dyDescent="0.2">
      <c r="A1049" s="437"/>
      <c r="B1049" s="437"/>
      <c r="C1049" s="436"/>
      <c r="D1049" s="467">
        <v>46538</v>
      </c>
      <c r="E1049" s="436" t="s">
        <v>598</v>
      </c>
      <c r="F1049" s="436">
        <v>46009582.469999999</v>
      </c>
      <c r="G1049" s="448">
        <v>39356.60000000149</v>
      </c>
      <c r="H1049" s="436">
        <v>0</v>
      </c>
      <c r="I1049" s="449">
        <v>0</v>
      </c>
    </row>
    <row r="1050" spans="1:9" ht="15.75" customHeight="1" x14ac:dyDescent="0.2">
      <c r="A1050" s="437"/>
      <c r="B1050" s="437"/>
      <c r="C1050" s="436"/>
      <c r="D1050" s="467">
        <v>46539</v>
      </c>
      <c r="E1050" s="436" t="s">
        <v>597</v>
      </c>
      <c r="F1050" s="436">
        <v>46048939.079999998</v>
      </c>
      <c r="G1050" s="448">
        <v>39356.609999999404</v>
      </c>
      <c r="H1050" s="436">
        <v>0</v>
      </c>
      <c r="I1050" s="449">
        <v>0</v>
      </c>
    </row>
    <row r="1051" spans="1:9" ht="15.75" customHeight="1" x14ac:dyDescent="0.2">
      <c r="A1051" s="437"/>
      <c r="B1051" s="437"/>
      <c r="C1051" s="436"/>
      <c r="D1051" s="467">
        <v>46540</v>
      </c>
      <c r="E1051" s="436" t="s">
        <v>603</v>
      </c>
      <c r="F1051" s="436">
        <v>46088295.68</v>
      </c>
      <c r="G1051" s="448">
        <v>39356.60000000149</v>
      </c>
      <c r="H1051" s="436">
        <v>275496.22999999672</v>
      </c>
      <c r="I1051" s="449">
        <v>550992.46999999881</v>
      </c>
    </row>
    <row r="1052" spans="1:9" ht="15.75" customHeight="1" x14ac:dyDescent="0.2">
      <c r="A1052" s="437"/>
      <c r="B1052" s="437"/>
      <c r="C1052" s="436"/>
      <c r="D1052" s="467">
        <v>46541</v>
      </c>
      <c r="E1052" s="436" t="s">
        <v>602</v>
      </c>
      <c r="F1052" s="436">
        <v>46127652.289999999</v>
      </c>
      <c r="G1052" s="448">
        <v>39356.609999999404</v>
      </c>
      <c r="H1052" s="436">
        <v>0</v>
      </c>
      <c r="I1052" s="449">
        <v>0</v>
      </c>
    </row>
    <row r="1053" spans="1:9" ht="15.75" customHeight="1" x14ac:dyDescent="0.2">
      <c r="A1053" s="437"/>
      <c r="B1053" s="437"/>
      <c r="C1053" s="436"/>
      <c r="D1053" s="467">
        <v>46542</v>
      </c>
      <c r="E1053" s="436" t="s">
        <v>601</v>
      </c>
      <c r="F1053" s="436">
        <v>46167008.890000001</v>
      </c>
      <c r="G1053" s="448">
        <v>39356.60000000149</v>
      </c>
      <c r="H1053" s="436">
        <v>0</v>
      </c>
      <c r="I1053" s="449">
        <v>0</v>
      </c>
    </row>
    <row r="1054" spans="1:9" ht="15.75" customHeight="1" x14ac:dyDescent="0.2">
      <c r="A1054" s="437"/>
      <c r="B1054" s="437"/>
      <c r="C1054" s="436"/>
      <c r="D1054" s="467">
        <v>46543</v>
      </c>
      <c r="E1054" s="436" t="s">
        <v>600</v>
      </c>
      <c r="F1054" s="436">
        <v>46206365.5</v>
      </c>
      <c r="G1054" s="448">
        <v>39356.609999999404</v>
      </c>
      <c r="H1054" s="436">
        <v>0</v>
      </c>
      <c r="I1054" s="449">
        <v>0</v>
      </c>
    </row>
    <row r="1055" spans="1:9" ht="15.75" customHeight="1" x14ac:dyDescent="0.2">
      <c r="A1055" s="437"/>
      <c r="B1055" s="437"/>
      <c r="C1055" s="436"/>
      <c r="D1055" s="467">
        <v>46544</v>
      </c>
      <c r="E1055" s="436" t="s">
        <v>599</v>
      </c>
      <c r="F1055" s="436">
        <v>46245722.100000001</v>
      </c>
      <c r="G1055" s="448">
        <v>39356.60000000149</v>
      </c>
      <c r="H1055" s="436">
        <v>0</v>
      </c>
      <c r="I1055" s="449">
        <v>0</v>
      </c>
    </row>
    <row r="1056" spans="1:9" ht="15.75" customHeight="1" x14ac:dyDescent="0.2">
      <c r="A1056" s="437"/>
      <c r="B1056" s="437"/>
      <c r="C1056" s="436"/>
      <c r="D1056" s="467">
        <v>46545</v>
      </c>
      <c r="E1056" s="436" t="s">
        <v>598</v>
      </c>
      <c r="F1056" s="436">
        <v>46285078.710000001</v>
      </c>
      <c r="G1056" s="448">
        <v>39356.609999999404</v>
      </c>
      <c r="H1056" s="436">
        <v>0</v>
      </c>
      <c r="I1056" s="449">
        <v>0</v>
      </c>
    </row>
    <row r="1057" spans="1:9" ht="15.75" customHeight="1" x14ac:dyDescent="0.2">
      <c r="A1057" s="437"/>
      <c r="B1057" s="437"/>
      <c r="C1057" s="436"/>
      <c r="D1057" s="467">
        <v>46546</v>
      </c>
      <c r="E1057" s="436" t="s">
        <v>597</v>
      </c>
      <c r="F1057" s="436">
        <v>46324435.310000002</v>
      </c>
      <c r="G1057" s="448">
        <v>39356.60000000149</v>
      </c>
      <c r="H1057" s="436">
        <v>0</v>
      </c>
      <c r="I1057" s="449">
        <v>0</v>
      </c>
    </row>
    <row r="1058" spans="1:9" ht="15.75" customHeight="1" x14ac:dyDescent="0.2">
      <c r="A1058" s="437"/>
      <c r="B1058" s="437"/>
      <c r="C1058" s="436"/>
      <c r="D1058" s="467">
        <v>46547</v>
      </c>
      <c r="E1058" s="436" t="s">
        <v>603</v>
      </c>
      <c r="F1058" s="436">
        <v>46363791.920000002</v>
      </c>
      <c r="G1058" s="448">
        <v>39356.609999999404</v>
      </c>
      <c r="H1058" s="436">
        <v>275496.24000000209</v>
      </c>
      <c r="I1058" s="449">
        <v>0</v>
      </c>
    </row>
    <row r="1059" spans="1:9" ht="15.75" customHeight="1" x14ac:dyDescent="0.2">
      <c r="A1059" s="437"/>
      <c r="B1059" s="437"/>
      <c r="C1059" s="436"/>
      <c r="D1059" s="467">
        <v>46548</v>
      </c>
      <c r="E1059" s="436" t="s">
        <v>602</v>
      </c>
      <c r="F1059" s="436">
        <v>46403148.520000003</v>
      </c>
      <c r="G1059" s="448">
        <v>39356.60000000149</v>
      </c>
      <c r="H1059" s="436">
        <v>0</v>
      </c>
      <c r="I1059" s="449">
        <v>0</v>
      </c>
    </row>
    <row r="1060" spans="1:9" ht="15.75" customHeight="1" x14ac:dyDescent="0.2">
      <c r="A1060" s="437"/>
      <c r="B1060" s="437"/>
      <c r="C1060" s="436"/>
      <c r="D1060" s="467">
        <v>46549</v>
      </c>
      <c r="E1060" s="436" t="s">
        <v>601</v>
      </c>
      <c r="F1060" s="436">
        <v>46442505.130000003</v>
      </c>
      <c r="G1060" s="448">
        <v>39356.609999999404</v>
      </c>
      <c r="H1060" s="436">
        <v>0</v>
      </c>
      <c r="I1060" s="449">
        <v>0</v>
      </c>
    </row>
    <row r="1061" spans="1:9" ht="15.75" customHeight="1" x14ac:dyDescent="0.2">
      <c r="A1061" s="437"/>
      <c r="B1061" s="437"/>
      <c r="C1061" s="436"/>
      <c r="D1061" s="467">
        <v>46550</v>
      </c>
      <c r="E1061" s="436" t="s">
        <v>600</v>
      </c>
      <c r="F1061" s="436">
        <v>46481861.729999997</v>
      </c>
      <c r="G1061" s="448">
        <v>39356.59999999404</v>
      </c>
      <c r="H1061" s="436">
        <v>0</v>
      </c>
      <c r="I1061" s="449">
        <v>0</v>
      </c>
    </row>
    <row r="1062" spans="1:9" ht="15.75" customHeight="1" x14ac:dyDescent="0.2">
      <c r="A1062" s="437"/>
      <c r="B1062" s="437"/>
      <c r="C1062" s="436"/>
      <c r="D1062" s="467">
        <v>46551</v>
      </c>
      <c r="E1062" s="436" t="s">
        <v>599</v>
      </c>
      <c r="F1062" s="436">
        <v>46521218.340000004</v>
      </c>
      <c r="G1062" s="448">
        <v>39356.610000006855</v>
      </c>
      <c r="H1062" s="436">
        <v>0</v>
      </c>
      <c r="I1062" s="449">
        <v>0</v>
      </c>
    </row>
    <row r="1063" spans="1:9" ht="15.75" customHeight="1" x14ac:dyDescent="0.2">
      <c r="A1063" s="437"/>
      <c r="B1063" s="437"/>
      <c r="C1063" s="436"/>
      <c r="D1063" s="467">
        <v>46552</v>
      </c>
      <c r="E1063" s="436" t="s">
        <v>598</v>
      </c>
      <c r="F1063" s="436">
        <v>46560574.939999998</v>
      </c>
      <c r="G1063" s="448">
        <v>39356.59999999404</v>
      </c>
      <c r="H1063" s="436">
        <v>0</v>
      </c>
      <c r="I1063" s="449">
        <v>0</v>
      </c>
    </row>
    <row r="1064" spans="1:9" ht="15.75" customHeight="1" x14ac:dyDescent="0.2">
      <c r="A1064" s="437"/>
      <c r="B1064" s="437"/>
      <c r="C1064" s="436"/>
      <c r="D1064" s="467">
        <v>46553</v>
      </c>
      <c r="E1064" s="436" t="s">
        <v>597</v>
      </c>
      <c r="F1064" s="436">
        <v>46599931.549999997</v>
      </c>
      <c r="G1064" s="448">
        <v>39356.609999999404</v>
      </c>
      <c r="H1064" s="436">
        <v>0</v>
      </c>
      <c r="I1064" s="449">
        <v>0</v>
      </c>
    </row>
    <row r="1065" spans="1:9" ht="15.75" customHeight="1" x14ac:dyDescent="0.2">
      <c r="A1065" s="437"/>
      <c r="B1065" s="437"/>
      <c r="C1065" s="436"/>
      <c r="D1065" s="467">
        <v>46554</v>
      </c>
      <c r="E1065" s="436" t="s">
        <v>603</v>
      </c>
      <c r="F1065" s="436">
        <v>46639288.149999999</v>
      </c>
      <c r="G1065" s="448">
        <v>39356.60000000149</v>
      </c>
      <c r="H1065" s="436">
        <v>275496.22999999672</v>
      </c>
      <c r="I1065" s="449">
        <v>550992.46999999881</v>
      </c>
    </row>
    <row r="1066" spans="1:9" ht="15.75" customHeight="1" x14ac:dyDescent="0.2">
      <c r="A1066" s="437"/>
      <c r="B1066" s="437"/>
      <c r="C1066" s="436"/>
      <c r="D1066" s="467">
        <v>46555</v>
      </c>
      <c r="E1066" s="436" t="s">
        <v>602</v>
      </c>
      <c r="F1066" s="436">
        <v>46678644.759999998</v>
      </c>
      <c r="G1066" s="448">
        <v>39356.609999999404</v>
      </c>
      <c r="H1066" s="436">
        <v>0</v>
      </c>
      <c r="I1066" s="449">
        <v>0</v>
      </c>
    </row>
    <row r="1067" spans="1:9" ht="15.75" customHeight="1" x14ac:dyDescent="0.2">
      <c r="A1067" s="437"/>
      <c r="B1067" s="437"/>
      <c r="C1067" s="436"/>
      <c r="D1067" s="467">
        <v>46556</v>
      </c>
      <c r="E1067" s="436" t="s">
        <v>601</v>
      </c>
      <c r="F1067" s="436">
        <v>46718001.359999999</v>
      </c>
      <c r="G1067" s="448">
        <v>39356.60000000149</v>
      </c>
      <c r="H1067" s="436">
        <v>0</v>
      </c>
      <c r="I1067" s="449">
        <v>0</v>
      </c>
    </row>
    <row r="1068" spans="1:9" ht="15.75" customHeight="1" x14ac:dyDescent="0.2">
      <c r="A1068" s="437"/>
      <c r="B1068" s="437"/>
      <c r="C1068" s="436"/>
      <c r="D1068" s="467">
        <v>46557</v>
      </c>
      <c r="E1068" s="436" t="s">
        <v>600</v>
      </c>
      <c r="F1068" s="436">
        <v>46757357.969999999</v>
      </c>
      <c r="G1068" s="448">
        <v>39356.609999999404</v>
      </c>
      <c r="H1068" s="436">
        <v>0</v>
      </c>
      <c r="I1068" s="449">
        <v>0</v>
      </c>
    </row>
    <row r="1069" spans="1:9" ht="15.75" customHeight="1" x14ac:dyDescent="0.2">
      <c r="A1069" s="437"/>
      <c r="B1069" s="437"/>
      <c r="C1069" s="436"/>
      <c r="D1069" s="467">
        <v>46558</v>
      </c>
      <c r="E1069" s="436" t="s">
        <v>599</v>
      </c>
      <c r="F1069" s="436">
        <v>46796714.57</v>
      </c>
      <c r="G1069" s="448">
        <v>39356.60000000149</v>
      </c>
      <c r="H1069" s="436">
        <v>0</v>
      </c>
      <c r="I1069" s="449">
        <v>0</v>
      </c>
    </row>
    <row r="1070" spans="1:9" ht="15.75" customHeight="1" x14ac:dyDescent="0.2">
      <c r="A1070" s="437"/>
      <c r="B1070" s="437"/>
      <c r="C1070" s="436"/>
      <c r="D1070" s="467">
        <v>46559</v>
      </c>
      <c r="E1070" s="436" t="s">
        <v>598</v>
      </c>
      <c r="F1070" s="436">
        <v>46836071.18</v>
      </c>
      <c r="G1070" s="448">
        <v>39356.609999999404</v>
      </c>
      <c r="H1070" s="436">
        <v>0</v>
      </c>
      <c r="I1070" s="449">
        <v>0</v>
      </c>
    </row>
    <row r="1071" spans="1:9" ht="15.75" customHeight="1" x14ac:dyDescent="0.2">
      <c r="A1071" s="437"/>
      <c r="B1071" s="437"/>
      <c r="C1071" s="436"/>
      <c r="D1071" s="467">
        <v>46560</v>
      </c>
      <c r="E1071" s="436" t="s">
        <v>597</v>
      </c>
      <c r="F1071" s="436">
        <v>46875427.780000001</v>
      </c>
      <c r="G1071" s="448">
        <v>39356.60000000149</v>
      </c>
      <c r="H1071" s="436">
        <v>0</v>
      </c>
      <c r="I1071" s="449">
        <v>0</v>
      </c>
    </row>
    <row r="1072" spans="1:9" ht="15.75" customHeight="1" x14ac:dyDescent="0.2">
      <c r="A1072" s="437"/>
      <c r="B1072" s="437"/>
      <c r="C1072" s="436"/>
      <c r="D1072" s="467">
        <v>46561</v>
      </c>
      <c r="E1072" s="436" t="s">
        <v>603</v>
      </c>
      <c r="F1072" s="436">
        <v>46914784.390000001</v>
      </c>
      <c r="G1072" s="448">
        <v>39356.609999999404</v>
      </c>
      <c r="H1072" s="436">
        <v>275496.24000000209</v>
      </c>
      <c r="I1072" s="449">
        <v>0</v>
      </c>
    </row>
    <row r="1073" spans="1:9" ht="15.75" customHeight="1" x14ac:dyDescent="0.2">
      <c r="A1073" s="437"/>
      <c r="B1073" s="437"/>
      <c r="C1073" s="436"/>
      <c r="D1073" s="467">
        <v>46562</v>
      </c>
      <c r="E1073" s="436" t="s">
        <v>602</v>
      </c>
      <c r="F1073" s="436">
        <v>46954140.990000002</v>
      </c>
      <c r="G1073" s="448">
        <v>39356.60000000149</v>
      </c>
      <c r="H1073" s="436">
        <v>0</v>
      </c>
      <c r="I1073" s="449">
        <v>0</v>
      </c>
    </row>
    <row r="1074" spans="1:9" ht="15.75" customHeight="1" x14ac:dyDescent="0.2">
      <c r="A1074" s="437"/>
      <c r="B1074" s="437"/>
      <c r="C1074" s="436"/>
      <c r="D1074" s="467">
        <v>46563</v>
      </c>
      <c r="E1074" s="436" t="s">
        <v>601</v>
      </c>
      <c r="F1074" s="436">
        <v>46993497.600000001</v>
      </c>
      <c r="G1074" s="448">
        <v>39356.609999999404</v>
      </c>
      <c r="H1074" s="436">
        <v>0</v>
      </c>
      <c r="I1074" s="449">
        <v>0</v>
      </c>
    </row>
    <row r="1075" spans="1:9" ht="15.75" customHeight="1" x14ac:dyDescent="0.2">
      <c r="A1075" s="437"/>
      <c r="B1075" s="437"/>
      <c r="C1075" s="436"/>
      <c r="D1075" s="467">
        <v>46564</v>
      </c>
      <c r="E1075" s="436" t="s">
        <v>600</v>
      </c>
      <c r="F1075" s="436">
        <v>47032854.200000003</v>
      </c>
      <c r="G1075" s="448">
        <v>39356.60000000149</v>
      </c>
      <c r="H1075" s="436">
        <v>0</v>
      </c>
      <c r="I1075" s="449">
        <v>0</v>
      </c>
    </row>
    <row r="1076" spans="1:9" ht="15.75" customHeight="1" x14ac:dyDescent="0.2">
      <c r="A1076" s="437"/>
      <c r="B1076" s="437"/>
      <c r="C1076" s="436"/>
      <c r="D1076" s="467">
        <v>46565</v>
      </c>
      <c r="E1076" s="436" t="s">
        <v>599</v>
      </c>
      <c r="F1076" s="436">
        <v>47072210.810000002</v>
      </c>
      <c r="G1076" s="448">
        <v>39356.609999999404</v>
      </c>
      <c r="H1076" s="436">
        <v>0</v>
      </c>
      <c r="I1076" s="449">
        <v>0</v>
      </c>
    </row>
    <row r="1077" spans="1:9" ht="15.75" customHeight="1" x14ac:dyDescent="0.2">
      <c r="A1077" s="437"/>
      <c r="B1077" s="437"/>
      <c r="C1077" s="436"/>
      <c r="D1077" s="467">
        <v>46566</v>
      </c>
      <c r="E1077" s="436" t="s">
        <v>598</v>
      </c>
      <c r="F1077" s="436">
        <v>47111567.409999996</v>
      </c>
      <c r="G1077" s="448">
        <v>39356.59999999404</v>
      </c>
      <c r="H1077" s="436">
        <v>0</v>
      </c>
      <c r="I1077" s="449">
        <v>0</v>
      </c>
    </row>
    <row r="1078" spans="1:9" ht="15.75" customHeight="1" x14ac:dyDescent="0.2">
      <c r="A1078" s="437"/>
      <c r="B1078" s="437"/>
      <c r="C1078" s="436"/>
      <c r="D1078" s="467">
        <v>46567</v>
      </c>
      <c r="E1078" s="436" t="s">
        <v>597</v>
      </c>
      <c r="F1078" s="436">
        <v>47150924.020000003</v>
      </c>
      <c r="G1078" s="448">
        <v>39356.610000006855</v>
      </c>
      <c r="H1078" s="436">
        <v>0</v>
      </c>
      <c r="I1078" s="449">
        <v>0</v>
      </c>
    </row>
    <row r="1079" spans="1:9" ht="15.75" customHeight="1" x14ac:dyDescent="0.2">
      <c r="A1079" s="437"/>
      <c r="B1079" s="437"/>
      <c r="C1079" s="436"/>
      <c r="D1079" s="467">
        <v>46568</v>
      </c>
      <c r="E1079" s="436" t="s">
        <v>603</v>
      </c>
      <c r="F1079" s="436">
        <v>47190280.619999997</v>
      </c>
      <c r="G1079" s="448">
        <v>39356.59999999404</v>
      </c>
      <c r="H1079" s="436">
        <v>275496.22999999672</v>
      </c>
      <c r="I1079" s="449">
        <v>550992.46999999881</v>
      </c>
    </row>
    <row r="1080" spans="1:9" ht="15.75" customHeight="1" x14ac:dyDescent="0.2">
      <c r="A1080" s="437"/>
      <c r="B1080" s="437"/>
      <c r="C1080" s="436"/>
      <c r="D1080" s="467">
        <v>46569</v>
      </c>
      <c r="E1080" s="436" t="s">
        <v>602</v>
      </c>
      <c r="F1080" s="436">
        <v>47229637.229999997</v>
      </c>
      <c r="G1080" s="448">
        <v>39356.609999999404</v>
      </c>
      <c r="H1080" s="436">
        <v>0</v>
      </c>
      <c r="I1080" s="449">
        <v>0</v>
      </c>
    </row>
    <row r="1081" spans="1:9" ht="15.75" customHeight="1" x14ac:dyDescent="0.2">
      <c r="A1081" s="437"/>
      <c r="B1081" s="437"/>
      <c r="C1081" s="436"/>
      <c r="D1081" s="467">
        <v>46570</v>
      </c>
      <c r="E1081" s="436" t="s">
        <v>601</v>
      </c>
      <c r="F1081" s="436">
        <v>47268993.829999998</v>
      </c>
      <c r="G1081" s="448">
        <v>39356.60000000149</v>
      </c>
      <c r="H1081" s="436">
        <v>0</v>
      </c>
      <c r="I1081" s="449">
        <v>0</v>
      </c>
    </row>
    <row r="1082" spans="1:9" ht="15.75" customHeight="1" x14ac:dyDescent="0.2">
      <c r="A1082" s="437"/>
      <c r="B1082" s="437"/>
      <c r="C1082" s="436"/>
      <c r="D1082" s="467">
        <v>46571</v>
      </c>
      <c r="E1082" s="436" t="s">
        <v>600</v>
      </c>
      <c r="F1082" s="436">
        <v>47308350.439999998</v>
      </c>
      <c r="G1082" s="448">
        <v>39356.609999999404</v>
      </c>
      <c r="H1082" s="436">
        <v>0</v>
      </c>
      <c r="I1082" s="449">
        <v>0</v>
      </c>
    </row>
    <row r="1083" spans="1:9" ht="15.75" customHeight="1" x14ac:dyDescent="0.2">
      <c r="A1083" s="437"/>
      <c r="B1083" s="437"/>
      <c r="C1083" s="436"/>
      <c r="D1083" s="467">
        <v>46572</v>
      </c>
      <c r="E1083" s="436" t="s">
        <v>599</v>
      </c>
      <c r="F1083" s="436">
        <v>47347707.039999999</v>
      </c>
      <c r="G1083" s="448">
        <v>39356.60000000149</v>
      </c>
      <c r="H1083" s="436">
        <v>0</v>
      </c>
      <c r="I1083" s="449">
        <v>0</v>
      </c>
    </row>
    <row r="1084" spans="1:9" ht="15.75" customHeight="1" x14ac:dyDescent="0.2">
      <c r="A1084" s="437"/>
      <c r="B1084" s="437"/>
      <c r="C1084" s="436"/>
      <c r="D1084" s="467">
        <v>46573</v>
      </c>
      <c r="E1084" s="436" t="s">
        <v>598</v>
      </c>
      <c r="F1084" s="436">
        <v>47387063.649999999</v>
      </c>
      <c r="G1084" s="448">
        <v>39356.609999999404</v>
      </c>
      <c r="H1084" s="436">
        <v>0</v>
      </c>
      <c r="I1084" s="449">
        <v>0</v>
      </c>
    </row>
    <row r="1085" spans="1:9" ht="15.75" customHeight="1" x14ac:dyDescent="0.2">
      <c r="A1085" s="437"/>
      <c r="B1085" s="437"/>
      <c r="C1085" s="436"/>
      <c r="D1085" s="467">
        <v>46574</v>
      </c>
      <c r="E1085" s="436" t="s">
        <v>597</v>
      </c>
      <c r="F1085" s="436">
        <v>47426420.259999998</v>
      </c>
      <c r="G1085" s="448">
        <v>39356.609999999404</v>
      </c>
      <c r="H1085" s="436">
        <v>0</v>
      </c>
      <c r="I1085" s="449">
        <v>0</v>
      </c>
    </row>
    <row r="1086" spans="1:9" ht="15.75" customHeight="1" x14ac:dyDescent="0.2">
      <c r="A1086" s="437"/>
      <c r="B1086" s="437"/>
      <c r="C1086" s="436"/>
      <c r="D1086" s="467">
        <v>46575</v>
      </c>
      <c r="E1086" s="436" t="s">
        <v>603</v>
      </c>
      <c r="F1086" s="436">
        <v>47465776.859999999</v>
      </c>
      <c r="G1086" s="448">
        <v>39356.60000000149</v>
      </c>
      <c r="H1086" s="436">
        <v>275496.24000000209</v>
      </c>
      <c r="I1086" s="449">
        <v>0</v>
      </c>
    </row>
    <row r="1087" spans="1:9" ht="15.75" customHeight="1" x14ac:dyDescent="0.2">
      <c r="A1087" s="437"/>
      <c r="B1087" s="437"/>
      <c r="C1087" s="436"/>
      <c r="D1087" s="467">
        <v>46576</v>
      </c>
      <c r="E1087" s="436" t="s">
        <v>602</v>
      </c>
      <c r="F1087" s="436">
        <v>47505133.469999999</v>
      </c>
      <c r="G1087" s="448">
        <v>39356.609999999404</v>
      </c>
      <c r="H1087" s="436">
        <v>0</v>
      </c>
      <c r="I1087" s="449">
        <v>0</v>
      </c>
    </row>
    <row r="1088" spans="1:9" ht="15.75" customHeight="1" x14ac:dyDescent="0.2">
      <c r="A1088" s="437"/>
      <c r="B1088" s="437"/>
      <c r="C1088" s="436"/>
      <c r="D1088" s="467">
        <v>46577</v>
      </c>
      <c r="E1088" s="436" t="s">
        <v>601</v>
      </c>
      <c r="F1088" s="436">
        <v>47544490.07</v>
      </c>
      <c r="G1088" s="448">
        <v>39356.60000000149</v>
      </c>
      <c r="H1088" s="436">
        <v>0</v>
      </c>
      <c r="I1088" s="449">
        <v>0</v>
      </c>
    </row>
    <row r="1089" spans="1:9" ht="15.75" customHeight="1" x14ac:dyDescent="0.2">
      <c r="A1089" s="437"/>
      <c r="B1089" s="437"/>
      <c r="C1089" s="436"/>
      <c r="D1089" s="467">
        <v>46578</v>
      </c>
      <c r="E1089" s="436" t="s">
        <v>600</v>
      </c>
      <c r="F1089" s="436">
        <v>47583846.68</v>
      </c>
      <c r="G1089" s="448">
        <v>39356.609999999404</v>
      </c>
      <c r="H1089" s="436">
        <v>0</v>
      </c>
      <c r="I1089" s="449">
        <v>0</v>
      </c>
    </row>
    <row r="1090" spans="1:9" ht="15.75" customHeight="1" x14ac:dyDescent="0.2">
      <c r="A1090" s="437"/>
      <c r="B1090" s="437"/>
      <c r="C1090" s="436"/>
      <c r="D1090" s="467">
        <v>46579</v>
      </c>
      <c r="E1090" s="436" t="s">
        <v>599</v>
      </c>
      <c r="F1090" s="436">
        <v>47623203.280000001</v>
      </c>
      <c r="G1090" s="448">
        <v>39356.60000000149</v>
      </c>
      <c r="H1090" s="436">
        <v>0</v>
      </c>
      <c r="I1090" s="449">
        <v>0</v>
      </c>
    </row>
    <row r="1091" spans="1:9" ht="15.75" customHeight="1" x14ac:dyDescent="0.2">
      <c r="A1091" s="437"/>
      <c r="B1091" s="437"/>
      <c r="C1091" s="436"/>
      <c r="D1091" s="467">
        <v>46580</v>
      </c>
      <c r="E1091" s="436" t="s">
        <v>598</v>
      </c>
      <c r="F1091" s="436">
        <v>47662559.890000001</v>
      </c>
      <c r="G1091" s="448">
        <v>39356.609999999404</v>
      </c>
      <c r="H1091" s="436">
        <v>0</v>
      </c>
      <c r="I1091" s="449">
        <v>0</v>
      </c>
    </row>
    <row r="1092" spans="1:9" ht="15.75" customHeight="1" x14ac:dyDescent="0.2">
      <c r="A1092" s="437"/>
      <c r="B1092" s="437"/>
      <c r="C1092" s="436"/>
      <c r="D1092" s="467">
        <v>46581</v>
      </c>
      <c r="E1092" s="436" t="s">
        <v>597</v>
      </c>
      <c r="F1092" s="436">
        <v>47701916.490000002</v>
      </c>
      <c r="G1092" s="448">
        <v>39356.60000000149</v>
      </c>
      <c r="H1092" s="436">
        <v>0</v>
      </c>
      <c r="I1092" s="449">
        <v>0</v>
      </c>
    </row>
    <row r="1093" spans="1:9" ht="15.75" customHeight="1" x14ac:dyDescent="0.2">
      <c r="A1093" s="437"/>
      <c r="B1093" s="437"/>
      <c r="C1093" s="436"/>
      <c r="D1093" s="467">
        <v>46582</v>
      </c>
      <c r="E1093" s="436" t="s">
        <v>603</v>
      </c>
      <c r="F1093" s="436">
        <v>47741273.100000001</v>
      </c>
      <c r="G1093" s="448">
        <v>39356.609999999404</v>
      </c>
      <c r="H1093" s="436">
        <v>275496.24000000209</v>
      </c>
      <c r="I1093" s="449">
        <v>550992.48000000417</v>
      </c>
    </row>
    <row r="1094" spans="1:9" ht="15.75" customHeight="1" x14ac:dyDescent="0.2">
      <c r="A1094" s="437"/>
      <c r="B1094" s="437"/>
      <c r="C1094" s="436"/>
      <c r="D1094" s="467">
        <v>46583</v>
      </c>
      <c r="E1094" s="436" t="s">
        <v>602</v>
      </c>
      <c r="F1094" s="436">
        <v>47780629.700000003</v>
      </c>
      <c r="G1094" s="448">
        <v>39356.60000000149</v>
      </c>
      <c r="H1094" s="436">
        <v>0</v>
      </c>
      <c r="I1094" s="449">
        <v>0</v>
      </c>
    </row>
    <row r="1095" spans="1:9" ht="15.75" customHeight="1" x14ac:dyDescent="0.2">
      <c r="A1095" s="437"/>
      <c r="B1095" s="437"/>
      <c r="C1095" s="436"/>
      <c r="D1095" s="467">
        <v>46584</v>
      </c>
      <c r="E1095" s="436" t="s">
        <v>601</v>
      </c>
      <c r="F1095" s="436">
        <v>47819986.310000002</v>
      </c>
      <c r="G1095" s="448">
        <v>39356.609999999404</v>
      </c>
      <c r="H1095" s="436">
        <v>0</v>
      </c>
      <c r="I1095" s="449">
        <v>0</v>
      </c>
    </row>
    <row r="1096" spans="1:9" ht="15.75" customHeight="1" x14ac:dyDescent="0.2">
      <c r="A1096" s="437"/>
      <c r="B1096" s="437"/>
      <c r="C1096" s="436"/>
      <c r="D1096" s="467">
        <v>46585</v>
      </c>
      <c r="E1096" s="436" t="s">
        <v>600</v>
      </c>
      <c r="F1096" s="436">
        <v>47859342.909999996</v>
      </c>
      <c r="G1096" s="448">
        <v>39356.59999999404</v>
      </c>
      <c r="H1096" s="436">
        <v>0</v>
      </c>
      <c r="I1096" s="449">
        <v>0</v>
      </c>
    </row>
    <row r="1097" spans="1:9" ht="15.75" customHeight="1" x14ac:dyDescent="0.2">
      <c r="A1097" s="437"/>
      <c r="B1097" s="437"/>
      <c r="C1097" s="436"/>
      <c r="D1097" s="467">
        <v>46586</v>
      </c>
      <c r="E1097" s="436" t="s">
        <v>599</v>
      </c>
      <c r="F1097" s="436">
        <v>47898699.520000003</v>
      </c>
      <c r="G1097" s="448">
        <v>39356.610000006855</v>
      </c>
      <c r="H1097" s="436">
        <v>0</v>
      </c>
      <c r="I1097" s="449">
        <v>0</v>
      </c>
    </row>
    <row r="1098" spans="1:9" ht="15.75" customHeight="1" x14ac:dyDescent="0.2">
      <c r="A1098" s="437"/>
      <c r="B1098" s="437"/>
      <c r="C1098" s="436"/>
      <c r="D1098" s="467">
        <v>46587</v>
      </c>
      <c r="E1098" s="436" t="s">
        <v>598</v>
      </c>
      <c r="F1098" s="436">
        <v>47938056.119999997</v>
      </c>
      <c r="G1098" s="448">
        <v>39356.59999999404</v>
      </c>
      <c r="H1098" s="436">
        <v>0</v>
      </c>
      <c r="I1098" s="449">
        <v>0</v>
      </c>
    </row>
    <row r="1099" spans="1:9" ht="15.75" customHeight="1" x14ac:dyDescent="0.2">
      <c r="A1099" s="437"/>
      <c r="B1099" s="437"/>
      <c r="C1099" s="436"/>
      <c r="D1099" s="467">
        <v>46588</v>
      </c>
      <c r="E1099" s="436" t="s">
        <v>597</v>
      </c>
      <c r="F1099" s="436">
        <v>47977412.729999997</v>
      </c>
      <c r="G1099" s="448">
        <v>39356.609999999404</v>
      </c>
      <c r="H1099" s="436">
        <v>0</v>
      </c>
      <c r="I1099" s="449">
        <v>0</v>
      </c>
    </row>
    <row r="1100" spans="1:9" ht="15.75" customHeight="1" x14ac:dyDescent="0.2">
      <c r="A1100" s="437"/>
      <c r="B1100" s="437"/>
      <c r="C1100" s="436"/>
      <c r="D1100" s="467">
        <v>46589</v>
      </c>
      <c r="E1100" s="436" t="s">
        <v>603</v>
      </c>
      <c r="F1100" s="436">
        <v>48016769.329999998</v>
      </c>
      <c r="G1100" s="448">
        <v>39356.60000000149</v>
      </c>
      <c r="H1100" s="436">
        <v>275496.22999999672</v>
      </c>
      <c r="I1100" s="449">
        <v>0</v>
      </c>
    </row>
    <row r="1101" spans="1:9" ht="15.75" customHeight="1" x14ac:dyDescent="0.2">
      <c r="A1101" s="437"/>
      <c r="B1101" s="437"/>
      <c r="C1101" s="436"/>
      <c r="D1101" s="467">
        <v>46590</v>
      </c>
      <c r="E1101" s="436" t="s">
        <v>602</v>
      </c>
      <c r="F1101" s="436">
        <v>48056125.939999998</v>
      </c>
      <c r="G1101" s="448">
        <v>39356.609999999404</v>
      </c>
      <c r="H1101" s="436">
        <v>0</v>
      </c>
      <c r="I1101" s="449">
        <v>0</v>
      </c>
    </row>
    <row r="1102" spans="1:9" ht="15.75" customHeight="1" x14ac:dyDescent="0.2">
      <c r="A1102" s="437"/>
      <c r="B1102" s="437"/>
      <c r="C1102" s="436"/>
      <c r="D1102" s="467">
        <v>46591</v>
      </c>
      <c r="E1102" s="436" t="s">
        <v>601</v>
      </c>
      <c r="F1102" s="436">
        <v>48095482.539999999</v>
      </c>
      <c r="G1102" s="448">
        <v>39356.60000000149</v>
      </c>
      <c r="H1102" s="436">
        <v>0</v>
      </c>
      <c r="I1102" s="449">
        <v>0</v>
      </c>
    </row>
    <row r="1103" spans="1:9" ht="15.75" customHeight="1" x14ac:dyDescent="0.2">
      <c r="A1103" s="437"/>
      <c r="B1103" s="437"/>
      <c r="C1103" s="436"/>
      <c r="D1103" s="467">
        <v>46592</v>
      </c>
      <c r="E1103" s="436" t="s">
        <v>600</v>
      </c>
      <c r="F1103" s="436">
        <v>48134839.149999999</v>
      </c>
      <c r="G1103" s="448">
        <v>39356.609999999404</v>
      </c>
      <c r="H1103" s="436">
        <v>0</v>
      </c>
      <c r="I1103" s="449">
        <v>0</v>
      </c>
    </row>
    <row r="1104" spans="1:9" ht="15.75" customHeight="1" x14ac:dyDescent="0.2">
      <c r="A1104" s="437"/>
      <c r="B1104" s="437"/>
      <c r="C1104" s="436"/>
      <c r="D1104" s="467">
        <v>46593</v>
      </c>
      <c r="E1104" s="436" t="s">
        <v>599</v>
      </c>
      <c r="F1104" s="436">
        <v>48174195.75</v>
      </c>
      <c r="G1104" s="448">
        <v>39356.60000000149</v>
      </c>
      <c r="H1104" s="436">
        <v>0</v>
      </c>
      <c r="I1104" s="449">
        <v>0</v>
      </c>
    </row>
    <row r="1105" spans="1:9" ht="15.75" customHeight="1" x14ac:dyDescent="0.2">
      <c r="A1105" s="437"/>
      <c r="B1105" s="437"/>
      <c r="C1105" s="436"/>
      <c r="D1105" s="467">
        <v>46594</v>
      </c>
      <c r="E1105" s="436" t="s">
        <v>598</v>
      </c>
      <c r="F1105" s="436">
        <v>48213552.359999999</v>
      </c>
      <c r="G1105" s="448">
        <v>39356.609999999404</v>
      </c>
      <c r="H1105" s="436">
        <v>0</v>
      </c>
      <c r="I1105" s="449">
        <v>0</v>
      </c>
    </row>
    <row r="1106" spans="1:9" ht="15.75" customHeight="1" x14ac:dyDescent="0.2">
      <c r="A1106" s="437"/>
      <c r="B1106" s="437"/>
      <c r="C1106" s="436"/>
      <c r="D1106" s="467">
        <v>46595</v>
      </c>
      <c r="E1106" s="436" t="s">
        <v>597</v>
      </c>
      <c r="F1106" s="436">
        <v>48252908.960000001</v>
      </c>
      <c r="G1106" s="448">
        <v>39356.60000000149</v>
      </c>
      <c r="H1106" s="436">
        <v>0</v>
      </c>
      <c r="I1106" s="449">
        <v>0</v>
      </c>
    </row>
    <row r="1107" spans="1:9" ht="15.75" customHeight="1" x14ac:dyDescent="0.2">
      <c r="A1107" s="437"/>
      <c r="B1107" s="437"/>
      <c r="C1107" s="436"/>
      <c r="D1107" s="467">
        <v>46596</v>
      </c>
      <c r="E1107" s="436" t="s">
        <v>603</v>
      </c>
      <c r="F1107" s="436">
        <v>48292265.57</v>
      </c>
      <c r="G1107" s="448">
        <v>39356.609999999404</v>
      </c>
      <c r="H1107" s="436">
        <v>275496.24000000209</v>
      </c>
      <c r="I1107" s="449">
        <v>550992.46999999881</v>
      </c>
    </row>
    <row r="1108" spans="1:9" ht="15.75" customHeight="1" x14ac:dyDescent="0.2">
      <c r="A1108" s="437"/>
      <c r="B1108" s="437"/>
      <c r="C1108" s="436"/>
      <c r="D1108" s="467">
        <v>46597</v>
      </c>
      <c r="E1108" s="436" t="s">
        <v>602</v>
      </c>
      <c r="F1108" s="436">
        <v>48331622.170000002</v>
      </c>
      <c r="G1108" s="448">
        <v>39356.60000000149</v>
      </c>
      <c r="H1108" s="436">
        <v>0</v>
      </c>
      <c r="I1108" s="449">
        <v>0</v>
      </c>
    </row>
    <row r="1109" spans="1:9" ht="15.75" customHeight="1" x14ac:dyDescent="0.2">
      <c r="A1109" s="437"/>
      <c r="B1109" s="437"/>
      <c r="C1109" s="436"/>
      <c r="D1109" s="467">
        <v>46598</v>
      </c>
      <c r="E1109" s="436" t="s">
        <v>601</v>
      </c>
      <c r="F1109" s="436">
        <v>48370978.780000001</v>
      </c>
      <c r="G1109" s="448">
        <v>39356.609999999404</v>
      </c>
      <c r="H1109" s="436">
        <v>0</v>
      </c>
      <c r="I1109" s="449">
        <v>0</v>
      </c>
    </row>
    <row r="1110" spans="1:9" ht="15.75" customHeight="1" x14ac:dyDescent="0.2">
      <c r="A1110" s="437"/>
      <c r="B1110" s="437"/>
      <c r="C1110" s="436"/>
      <c r="D1110" s="467">
        <v>46599</v>
      </c>
      <c r="E1110" s="436" t="s">
        <v>600</v>
      </c>
      <c r="F1110" s="436">
        <v>48410335.380000003</v>
      </c>
      <c r="G1110" s="448">
        <v>39356.60000000149</v>
      </c>
      <c r="H1110" s="436">
        <v>0</v>
      </c>
      <c r="I1110" s="449">
        <v>0</v>
      </c>
    </row>
    <row r="1111" spans="1:9" ht="15.75" customHeight="1" x14ac:dyDescent="0.2">
      <c r="A1111" s="437"/>
      <c r="B1111" s="437"/>
      <c r="C1111" s="436"/>
      <c r="D1111" s="467">
        <v>46600</v>
      </c>
      <c r="E1111" s="436" t="s">
        <v>599</v>
      </c>
      <c r="F1111" s="436">
        <v>48449691.990000002</v>
      </c>
      <c r="G1111" s="448">
        <v>39356.609999999404</v>
      </c>
      <c r="H1111" s="436">
        <v>0</v>
      </c>
      <c r="I1111" s="449">
        <v>0</v>
      </c>
    </row>
    <row r="1112" spans="1:9" ht="15.75" customHeight="1" x14ac:dyDescent="0.2">
      <c r="A1112" s="437"/>
      <c r="B1112" s="437"/>
      <c r="C1112" s="436"/>
      <c r="D1112" s="467">
        <v>46601</v>
      </c>
      <c r="E1112" s="436" t="s">
        <v>598</v>
      </c>
      <c r="F1112" s="436">
        <v>48489048.590000004</v>
      </c>
      <c r="G1112" s="448">
        <v>39356.60000000149</v>
      </c>
      <c r="H1112" s="436">
        <v>0</v>
      </c>
      <c r="I1112" s="449">
        <v>0</v>
      </c>
    </row>
    <row r="1113" spans="1:9" ht="15.75" customHeight="1" x14ac:dyDescent="0.2">
      <c r="A1113" s="437"/>
      <c r="B1113" s="437"/>
      <c r="C1113" s="436"/>
      <c r="D1113" s="467">
        <v>46602</v>
      </c>
      <c r="E1113" s="436" t="s">
        <v>597</v>
      </c>
      <c r="F1113" s="436">
        <v>48528405.200000003</v>
      </c>
      <c r="G1113" s="448">
        <v>39356.609999999404</v>
      </c>
      <c r="H1113" s="436">
        <v>0</v>
      </c>
      <c r="I1113" s="449">
        <v>0</v>
      </c>
    </row>
    <row r="1114" spans="1:9" ht="15.75" customHeight="1" x14ac:dyDescent="0.2">
      <c r="A1114" s="437"/>
      <c r="B1114" s="437"/>
      <c r="C1114" s="436"/>
      <c r="D1114" s="467">
        <v>46603</v>
      </c>
      <c r="E1114" s="436" t="s">
        <v>603</v>
      </c>
      <c r="F1114" s="436">
        <v>48567761.799999997</v>
      </c>
      <c r="G1114" s="448">
        <v>39356.59999999404</v>
      </c>
      <c r="H1114" s="436">
        <v>275496.22999999672</v>
      </c>
      <c r="I1114" s="449">
        <v>0</v>
      </c>
    </row>
    <row r="1115" spans="1:9" ht="15.75" customHeight="1" x14ac:dyDescent="0.2">
      <c r="A1115" s="437"/>
      <c r="B1115" s="437"/>
      <c r="C1115" s="436"/>
      <c r="D1115" s="467">
        <v>46604</v>
      </c>
      <c r="E1115" s="436" t="s">
        <v>602</v>
      </c>
      <c r="F1115" s="436">
        <v>48607118.409999996</v>
      </c>
      <c r="G1115" s="448">
        <v>39356.609999999404</v>
      </c>
      <c r="H1115" s="436">
        <v>0</v>
      </c>
      <c r="I1115" s="449">
        <v>0</v>
      </c>
    </row>
    <row r="1116" spans="1:9" ht="15.75" customHeight="1" x14ac:dyDescent="0.2">
      <c r="A1116" s="437"/>
      <c r="B1116" s="437"/>
      <c r="C1116" s="436"/>
      <c r="D1116" s="467">
        <v>46605</v>
      </c>
      <c r="E1116" s="436" t="s">
        <v>601</v>
      </c>
      <c r="F1116" s="436">
        <v>48646475.009999998</v>
      </c>
      <c r="G1116" s="448">
        <v>39356.60000000149</v>
      </c>
      <c r="H1116" s="436">
        <v>0</v>
      </c>
      <c r="I1116" s="449">
        <v>0</v>
      </c>
    </row>
    <row r="1117" spans="1:9" ht="15.75" customHeight="1" x14ac:dyDescent="0.2">
      <c r="A1117" s="437"/>
      <c r="B1117" s="437"/>
      <c r="C1117" s="436"/>
      <c r="D1117" s="467">
        <v>46606</v>
      </c>
      <c r="E1117" s="436" t="s">
        <v>600</v>
      </c>
      <c r="F1117" s="436">
        <v>48685831.619999997</v>
      </c>
      <c r="G1117" s="448">
        <v>39356.609999999404</v>
      </c>
      <c r="H1117" s="436">
        <v>0</v>
      </c>
      <c r="I1117" s="449">
        <v>0</v>
      </c>
    </row>
    <row r="1118" spans="1:9" ht="15.75" customHeight="1" x14ac:dyDescent="0.2">
      <c r="A1118" s="437"/>
      <c r="B1118" s="437"/>
      <c r="C1118" s="436"/>
      <c r="D1118" s="467">
        <v>46607</v>
      </c>
      <c r="E1118" s="436" t="s">
        <v>599</v>
      </c>
      <c r="F1118" s="436">
        <v>48725188.219999999</v>
      </c>
      <c r="G1118" s="448">
        <v>39356.60000000149</v>
      </c>
      <c r="H1118" s="436">
        <v>0</v>
      </c>
      <c r="I1118" s="449">
        <v>0</v>
      </c>
    </row>
    <row r="1119" spans="1:9" ht="15.75" customHeight="1" x14ac:dyDescent="0.2">
      <c r="A1119" s="437"/>
      <c r="B1119" s="437"/>
      <c r="C1119" s="436"/>
      <c r="D1119" s="467">
        <v>46608</v>
      </c>
      <c r="E1119" s="436" t="s">
        <v>598</v>
      </c>
      <c r="F1119" s="436">
        <v>48764544.829999998</v>
      </c>
      <c r="G1119" s="448">
        <v>39356.609999999404</v>
      </c>
      <c r="H1119" s="436">
        <v>0</v>
      </c>
      <c r="I1119" s="449">
        <v>0</v>
      </c>
    </row>
    <row r="1120" spans="1:9" ht="15.75" customHeight="1" x14ac:dyDescent="0.2">
      <c r="A1120" s="437"/>
      <c r="B1120" s="437"/>
      <c r="C1120" s="436"/>
      <c r="D1120" s="467">
        <v>46609</v>
      </c>
      <c r="E1120" s="436" t="s">
        <v>597</v>
      </c>
      <c r="F1120" s="436">
        <v>48803901.43</v>
      </c>
      <c r="G1120" s="448">
        <v>39356.60000000149</v>
      </c>
      <c r="H1120" s="436">
        <v>0</v>
      </c>
      <c r="I1120" s="449">
        <v>0</v>
      </c>
    </row>
    <row r="1121" spans="1:9" ht="15.75" customHeight="1" x14ac:dyDescent="0.2">
      <c r="A1121" s="437"/>
      <c r="B1121" s="437"/>
      <c r="C1121" s="436"/>
      <c r="D1121" s="467">
        <v>46610</v>
      </c>
      <c r="E1121" s="436" t="s">
        <v>603</v>
      </c>
      <c r="F1121" s="436">
        <v>48843258.039999999</v>
      </c>
      <c r="G1121" s="448">
        <v>39356.609999999404</v>
      </c>
      <c r="H1121" s="436">
        <v>275496.24000000209</v>
      </c>
      <c r="I1121" s="449">
        <v>550992.46999999881</v>
      </c>
    </row>
    <row r="1122" spans="1:9" ht="15.75" customHeight="1" x14ac:dyDescent="0.2">
      <c r="A1122" s="437"/>
      <c r="B1122" s="437"/>
      <c r="C1122" s="436"/>
      <c r="D1122" s="467">
        <v>46611</v>
      </c>
      <c r="E1122" s="436" t="s">
        <v>602</v>
      </c>
      <c r="F1122" s="436">
        <v>48882614.640000001</v>
      </c>
      <c r="G1122" s="448">
        <v>39356.60000000149</v>
      </c>
      <c r="H1122" s="436">
        <v>0</v>
      </c>
      <c r="I1122" s="449">
        <v>0</v>
      </c>
    </row>
    <row r="1123" spans="1:9" ht="15.75" customHeight="1" x14ac:dyDescent="0.2">
      <c r="A1123" s="437"/>
      <c r="B1123" s="437"/>
      <c r="C1123" s="436"/>
      <c r="D1123" s="467">
        <v>46612</v>
      </c>
      <c r="E1123" s="436" t="s">
        <v>601</v>
      </c>
      <c r="F1123" s="436">
        <v>48921971.25</v>
      </c>
      <c r="G1123" s="448">
        <v>39356.609999999404</v>
      </c>
      <c r="H1123" s="436">
        <v>0</v>
      </c>
      <c r="I1123" s="449">
        <v>0</v>
      </c>
    </row>
    <row r="1124" spans="1:9" ht="15.75" customHeight="1" x14ac:dyDescent="0.2">
      <c r="A1124" s="437"/>
      <c r="B1124" s="437"/>
      <c r="C1124" s="436"/>
      <c r="D1124" s="467">
        <v>46613</v>
      </c>
      <c r="E1124" s="436" t="s">
        <v>600</v>
      </c>
      <c r="F1124" s="436">
        <v>48961327.850000001</v>
      </c>
      <c r="G1124" s="448">
        <v>39356.60000000149</v>
      </c>
      <c r="H1124" s="436">
        <v>0</v>
      </c>
      <c r="I1124" s="449">
        <v>0</v>
      </c>
    </row>
    <row r="1125" spans="1:9" ht="15.75" customHeight="1" x14ac:dyDescent="0.2">
      <c r="A1125" s="437"/>
      <c r="B1125" s="437"/>
      <c r="C1125" s="436"/>
      <c r="D1125" s="467">
        <v>46614</v>
      </c>
      <c r="E1125" s="436" t="s">
        <v>599</v>
      </c>
      <c r="F1125" s="436">
        <v>49000684.460000001</v>
      </c>
      <c r="G1125" s="448">
        <v>39356.609999999404</v>
      </c>
      <c r="H1125" s="436">
        <v>0</v>
      </c>
      <c r="I1125" s="449">
        <v>0</v>
      </c>
    </row>
    <row r="1126" spans="1:9" ht="15.75" customHeight="1" x14ac:dyDescent="0.2">
      <c r="A1126" s="437"/>
      <c r="B1126" s="437"/>
      <c r="C1126" s="436"/>
      <c r="D1126" s="467">
        <v>46615</v>
      </c>
      <c r="E1126" s="436" t="s">
        <v>598</v>
      </c>
      <c r="F1126" s="436">
        <v>49040041.060000002</v>
      </c>
      <c r="G1126" s="448">
        <v>39356.60000000149</v>
      </c>
      <c r="H1126" s="436">
        <v>0</v>
      </c>
      <c r="I1126" s="449">
        <v>0</v>
      </c>
    </row>
    <row r="1127" spans="1:9" ht="15.75" customHeight="1" x14ac:dyDescent="0.2">
      <c r="A1127" s="437"/>
      <c r="B1127" s="437"/>
      <c r="C1127" s="436"/>
      <c r="D1127" s="467">
        <v>46616</v>
      </c>
      <c r="E1127" s="436" t="s">
        <v>597</v>
      </c>
      <c r="F1127" s="436">
        <v>49079397.670000002</v>
      </c>
      <c r="G1127" s="448">
        <v>39356.609999999404</v>
      </c>
      <c r="H1127" s="436">
        <v>0</v>
      </c>
      <c r="I1127" s="449">
        <v>0</v>
      </c>
    </row>
    <row r="1128" spans="1:9" ht="15.75" customHeight="1" x14ac:dyDescent="0.2">
      <c r="A1128" s="437"/>
      <c r="B1128" s="437"/>
      <c r="C1128" s="436"/>
      <c r="D1128" s="467">
        <v>46617</v>
      </c>
      <c r="E1128" s="436" t="s">
        <v>603</v>
      </c>
      <c r="F1128" s="436">
        <v>49118754.270000003</v>
      </c>
      <c r="G1128" s="448">
        <v>39356.60000000149</v>
      </c>
      <c r="H1128" s="436">
        <v>275496.23000000417</v>
      </c>
      <c r="I1128" s="449">
        <v>0</v>
      </c>
    </row>
    <row r="1129" spans="1:9" ht="15.75" customHeight="1" x14ac:dyDescent="0.2">
      <c r="A1129" s="437"/>
      <c r="B1129" s="437"/>
      <c r="C1129" s="436"/>
      <c r="D1129" s="467">
        <v>46618</v>
      </c>
      <c r="E1129" s="436" t="s">
        <v>602</v>
      </c>
      <c r="F1129" s="436">
        <v>49158110.880000003</v>
      </c>
      <c r="G1129" s="448">
        <v>39356.609999999404</v>
      </c>
      <c r="H1129" s="436">
        <v>0</v>
      </c>
      <c r="I1129" s="449">
        <v>0</v>
      </c>
    </row>
    <row r="1130" spans="1:9" ht="15.75" customHeight="1" x14ac:dyDescent="0.2">
      <c r="A1130" s="437"/>
      <c r="B1130" s="437"/>
      <c r="C1130" s="436"/>
      <c r="D1130" s="467">
        <v>46619</v>
      </c>
      <c r="E1130" s="436" t="s">
        <v>601</v>
      </c>
      <c r="F1130" s="436">
        <v>49197467.479999997</v>
      </c>
      <c r="G1130" s="448">
        <v>39356.59999999404</v>
      </c>
      <c r="H1130" s="436">
        <v>0</v>
      </c>
      <c r="I1130" s="449">
        <v>0</v>
      </c>
    </row>
    <row r="1131" spans="1:9" ht="15.75" customHeight="1" x14ac:dyDescent="0.2">
      <c r="A1131" s="437"/>
      <c r="B1131" s="437"/>
      <c r="C1131" s="436"/>
      <c r="D1131" s="467">
        <v>46620</v>
      </c>
      <c r="E1131" s="436" t="s">
        <v>600</v>
      </c>
      <c r="F1131" s="436">
        <v>49236824.090000004</v>
      </c>
      <c r="G1131" s="448">
        <v>39356.610000006855</v>
      </c>
      <c r="H1131" s="436">
        <v>0</v>
      </c>
      <c r="I1131" s="449">
        <v>0</v>
      </c>
    </row>
    <row r="1132" spans="1:9" ht="15.75" customHeight="1" x14ac:dyDescent="0.2">
      <c r="A1132" s="437"/>
      <c r="B1132" s="437"/>
      <c r="C1132" s="436"/>
      <c r="D1132" s="467">
        <v>46621</v>
      </c>
      <c r="E1132" s="436" t="s">
        <v>599</v>
      </c>
      <c r="F1132" s="436">
        <v>49276180.689999998</v>
      </c>
      <c r="G1132" s="448">
        <v>39356.59999999404</v>
      </c>
      <c r="H1132" s="436">
        <v>0</v>
      </c>
      <c r="I1132" s="449">
        <v>0</v>
      </c>
    </row>
    <row r="1133" spans="1:9" ht="15.75" customHeight="1" x14ac:dyDescent="0.2">
      <c r="A1133" s="437"/>
      <c r="B1133" s="437"/>
      <c r="C1133" s="436"/>
      <c r="D1133" s="467">
        <v>46622</v>
      </c>
      <c r="E1133" s="436" t="s">
        <v>598</v>
      </c>
      <c r="F1133" s="436">
        <v>49315537.299999997</v>
      </c>
      <c r="G1133" s="448">
        <v>39356.609999999404</v>
      </c>
      <c r="H1133" s="436">
        <v>0</v>
      </c>
      <c r="I1133" s="449">
        <v>0</v>
      </c>
    </row>
    <row r="1134" spans="1:9" ht="15.75" customHeight="1" x14ac:dyDescent="0.2">
      <c r="A1134" s="437"/>
      <c r="B1134" s="437"/>
      <c r="C1134" s="436"/>
      <c r="D1134" s="467">
        <v>46623</v>
      </c>
      <c r="E1134" s="436" t="s">
        <v>597</v>
      </c>
      <c r="F1134" s="436">
        <v>49354893.899999999</v>
      </c>
      <c r="G1134" s="448">
        <v>39356.60000000149</v>
      </c>
      <c r="H1134" s="436">
        <v>0</v>
      </c>
      <c r="I1134" s="449">
        <v>0</v>
      </c>
    </row>
    <row r="1135" spans="1:9" ht="15.75" customHeight="1" x14ac:dyDescent="0.2">
      <c r="A1135" s="437"/>
      <c r="B1135" s="437"/>
      <c r="C1135" s="436"/>
      <c r="D1135" s="467">
        <v>46624</v>
      </c>
      <c r="E1135" s="436" t="s">
        <v>603</v>
      </c>
      <c r="F1135" s="436">
        <v>49394250.509999998</v>
      </c>
      <c r="G1135" s="448">
        <v>39356.609999999404</v>
      </c>
      <c r="H1135" s="436">
        <v>275496.23999999464</v>
      </c>
      <c r="I1135" s="449">
        <v>550992.46999999881</v>
      </c>
    </row>
    <row r="1136" spans="1:9" ht="15.75" customHeight="1" x14ac:dyDescent="0.2">
      <c r="A1136" s="437"/>
      <c r="B1136" s="437"/>
      <c r="C1136" s="436"/>
      <c r="D1136" s="467">
        <v>46625</v>
      </c>
      <c r="E1136" s="436" t="s">
        <v>602</v>
      </c>
      <c r="F1136" s="436">
        <v>49433607.109999999</v>
      </c>
      <c r="G1136" s="448">
        <v>39356.60000000149</v>
      </c>
      <c r="H1136" s="436">
        <v>0</v>
      </c>
      <c r="I1136" s="449">
        <v>0</v>
      </c>
    </row>
    <row r="1137" spans="1:9" ht="15.75" customHeight="1" x14ac:dyDescent="0.2">
      <c r="A1137" s="437"/>
      <c r="B1137" s="437"/>
      <c r="C1137" s="436"/>
      <c r="D1137" s="467">
        <v>46626</v>
      </c>
      <c r="E1137" s="436" t="s">
        <v>601</v>
      </c>
      <c r="F1137" s="436">
        <v>49472963.719999999</v>
      </c>
      <c r="G1137" s="448">
        <v>39356.609999999404</v>
      </c>
      <c r="H1137" s="436">
        <v>0</v>
      </c>
      <c r="I1137" s="449">
        <v>0</v>
      </c>
    </row>
    <row r="1138" spans="1:9" ht="15.75" customHeight="1" x14ac:dyDescent="0.2">
      <c r="A1138" s="437"/>
      <c r="B1138" s="437"/>
      <c r="C1138" s="436"/>
      <c r="D1138" s="467">
        <v>46627</v>
      </c>
      <c r="E1138" s="436" t="s">
        <v>600</v>
      </c>
      <c r="F1138" s="436">
        <v>49512320.32</v>
      </c>
      <c r="G1138" s="448">
        <v>39356.60000000149</v>
      </c>
      <c r="H1138" s="436">
        <v>0</v>
      </c>
      <c r="I1138" s="449">
        <v>0</v>
      </c>
    </row>
    <row r="1139" spans="1:9" ht="15.75" customHeight="1" x14ac:dyDescent="0.2">
      <c r="A1139" s="437"/>
      <c r="B1139" s="437"/>
      <c r="C1139" s="436"/>
      <c r="D1139" s="467">
        <v>46628</v>
      </c>
      <c r="E1139" s="436" t="s">
        <v>599</v>
      </c>
      <c r="F1139" s="436">
        <v>49551676.93</v>
      </c>
      <c r="G1139" s="448">
        <v>39356.609999999404</v>
      </c>
      <c r="H1139" s="436">
        <v>0</v>
      </c>
      <c r="I1139" s="449">
        <v>0</v>
      </c>
    </row>
    <row r="1140" spans="1:9" ht="15.75" customHeight="1" x14ac:dyDescent="0.2">
      <c r="A1140" s="437"/>
      <c r="B1140" s="437"/>
      <c r="C1140" s="436"/>
      <c r="D1140" s="467">
        <v>46629</v>
      </c>
      <c r="E1140" s="436" t="s">
        <v>598</v>
      </c>
      <c r="F1140" s="436">
        <v>49591033.530000001</v>
      </c>
      <c r="G1140" s="448">
        <v>39356.60000000149</v>
      </c>
      <c r="H1140" s="436">
        <v>0</v>
      </c>
      <c r="I1140" s="449">
        <v>0</v>
      </c>
    </row>
    <row r="1141" spans="1:9" ht="15.75" customHeight="1" x14ac:dyDescent="0.2">
      <c r="A1141" s="437"/>
      <c r="B1141" s="437"/>
      <c r="C1141" s="436"/>
      <c r="D1141" s="467">
        <v>46630</v>
      </c>
      <c r="E1141" s="436" t="s">
        <v>597</v>
      </c>
      <c r="F1141" s="436">
        <v>49630390.140000001</v>
      </c>
      <c r="G1141" s="448">
        <v>39356.609999999404</v>
      </c>
      <c r="H1141" s="436">
        <v>0</v>
      </c>
      <c r="I1141" s="449">
        <v>0</v>
      </c>
    </row>
    <row r="1142" spans="1:9" ht="15.75" customHeight="1" x14ac:dyDescent="0.2">
      <c r="A1142" s="437"/>
      <c r="B1142" s="437"/>
      <c r="C1142" s="436"/>
      <c r="D1142" s="467">
        <v>46631</v>
      </c>
      <c r="E1142" s="436" t="s">
        <v>603</v>
      </c>
      <c r="F1142" s="436">
        <v>49669746.740000002</v>
      </c>
      <c r="G1142" s="448">
        <v>39356.60000000149</v>
      </c>
      <c r="H1142" s="436">
        <v>275496.23000000417</v>
      </c>
      <c r="I1142" s="449">
        <v>0</v>
      </c>
    </row>
    <row r="1143" spans="1:9" ht="15.75" customHeight="1" x14ac:dyDescent="0.2">
      <c r="A1143" s="437"/>
      <c r="B1143" s="437"/>
      <c r="C1143" s="436"/>
      <c r="D1143" s="467">
        <v>46632</v>
      </c>
      <c r="E1143" s="436" t="s">
        <v>602</v>
      </c>
      <c r="F1143" s="436">
        <v>49709103.350000001</v>
      </c>
      <c r="G1143" s="448">
        <v>39356.609999999404</v>
      </c>
      <c r="H1143" s="436">
        <v>0</v>
      </c>
      <c r="I1143" s="449">
        <v>0</v>
      </c>
    </row>
    <row r="1144" spans="1:9" ht="15.75" customHeight="1" x14ac:dyDescent="0.2">
      <c r="A1144" s="437"/>
      <c r="B1144" s="437"/>
      <c r="C1144" s="436"/>
      <c r="D1144" s="467">
        <v>46633</v>
      </c>
      <c r="E1144" s="436" t="s">
        <v>601</v>
      </c>
      <c r="F1144" s="436">
        <v>49748459.950000003</v>
      </c>
      <c r="G1144" s="448">
        <v>39356.60000000149</v>
      </c>
      <c r="H1144" s="436">
        <v>0</v>
      </c>
      <c r="I1144" s="449">
        <v>0</v>
      </c>
    </row>
    <row r="1145" spans="1:9" ht="15.75" customHeight="1" x14ac:dyDescent="0.2">
      <c r="A1145" s="437"/>
      <c r="B1145" s="437"/>
      <c r="C1145" s="436"/>
      <c r="D1145" s="467">
        <v>46634</v>
      </c>
      <c r="E1145" s="436" t="s">
        <v>600</v>
      </c>
      <c r="F1145" s="436">
        <v>49787816.560000002</v>
      </c>
      <c r="G1145" s="448">
        <v>39356.609999999404</v>
      </c>
      <c r="H1145" s="436">
        <v>0</v>
      </c>
      <c r="I1145" s="449">
        <v>0</v>
      </c>
    </row>
    <row r="1146" spans="1:9" ht="15.75" customHeight="1" x14ac:dyDescent="0.2">
      <c r="A1146" s="437"/>
      <c r="B1146" s="437"/>
      <c r="C1146" s="436"/>
      <c r="D1146" s="467">
        <v>46635</v>
      </c>
      <c r="E1146" s="436" t="s">
        <v>599</v>
      </c>
      <c r="F1146" s="436">
        <v>49827173.159999996</v>
      </c>
      <c r="G1146" s="448">
        <v>39356.59999999404</v>
      </c>
      <c r="H1146" s="436">
        <v>0</v>
      </c>
      <c r="I1146" s="449">
        <v>0</v>
      </c>
    </row>
    <row r="1147" spans="1:9" ht="15.75" customHeight="1" x14ac:dyDescent="0.2">
      <c r="A1147" s="437"/>
      <c r="B1147" s="437"/>
      <c r="C1147" s="436"/>
      <c r="D1147" s="467">
        <v>46636</v>
      </c>
      <c r="E1147" s="436" t="s">
        <v>598</v>
      </c>
      <c r="F1147" s="436">
        <v>49866529.770000003</v>
      </c>
      <c r="G1147" s="448">
        <v>39356.610000006855</v>
      </c>
      <c r="H1147" s="436">
        <v>0</v>
      </c>
      <c r="I1147" s="449">
        <v>0</v>
      </c>
    </row>
    <row r="1148" spans="1:9" ht="15.75" customHeight="1" x14ac:dyDescent="0.2">
      <c r="A1148" s="437"/>
      <c r="B1148" s="437"/>
      <c r="C1148" s="436"/>
      <c r="D1148" s="467">
        <v>46637</v>
      </c>
      <c r="E1148" s="436" t="s">
        <v>597</v>
      </c>
      <c r="F1148" s="436">
        <v>49905886.369999997</v>
      </c>
      <c r="G1148" s="448">
        <v>39356.59999999404</v>
      </c>
      <c r="H1148" s="436">
        <v>0</v>
      </c>
      <c r="I1148" s="449">
        <v>0</v>
      </c>
    </row>
    <row r="1149" spans="1:9" ht="15.75" customHeight="1" x14ac:dyDescent="0.2">
      <c r="A1149" s="437"/>
      <c r="B1149" s="437"/>
      <c r="C1149" s="436"/>
      <c r="D1149" s="467">
        <v>46638</v>
      </c>
      <c r="E1149" s="436" t="s">
        <v>603</v>
      </c>
      <c r="F1149" s="436">
        <v>49945242.979999997</v>
      </c>
      <c r="G1149" s="448">
        <v>39356.609999999404</v>
      </c>
      <c r="H1149" s="436">
        <v>275496.23999999464</v>
      </c>
      <c r="I1149" s="449">
        <v>550992.46999999881</v>
      </c>
    </row>
    <row r="1150" spans="1:9" ht="15.75" customHeight="1" x14ac:dyDescent="0.2">
      <c r="A1150" s="437"/>
      <c r="B1150" s="437"/>
      <c r="C1150" s="436"/>
      <c r="D1150" s="467">
        <v>46639</v>
      </c>
      <c r="E1150" s="436" t="s">
        <v>602</v>
      </c>
      <c r="F1150" s="436">
        <v>49984599.579999998</v>
      </c>
      <c r="G1150" s="448">
        <v>39356.60000000149</v>
      </c>
      <c r="H1150" s="436">
        <v>0</v>
      </c>
      <c r="I1150" s="449">
        <v>0</v>
      </c>
    </row>
    <row r="1151" spans="1:9" ht="15.75" customHeight="1" x14ac:dyDescent="0.2">
      <c r="A1151" s="437"/>
      <c r="B1151" s="437"/>
      <c r="C1151" s="436"/>
      <c r="D1151" s="467">
        <v>46640</v>
      </c>
      <c r="E1151" s="436" t="s">
        <v>601</v>
      </c>
      <c r="F1151" s="436">
        <v>50023956.189999998</v>
      </c>
      <c r="G1151" s="448">
        <v>39356.609999999404</v>
      </c>
      <c r="H1151" s="436">
        <v>0</v>
      </c>
      <c r="I1151" s="449">
        <v>0</v>
      </c>
    </row>
    <row r="1152" spans="1:9" ht="15.75" customHeight="1" x14ac:dyDescent="0.2">
      <c r="A1152" s="437"/>
      <c r="B1152" s="437"/>
      <c r="C1152" s="436"/>
      <c r="D1152" s="467">
        <v>46641</v>
      </c>
      <c r="E1152" s="436" t="s">
        <v>600</v>
      </c>
      <c r="F1152" s="436">
        <v>50063312.789999999</v>
      </c>
      <c r="G1152" s="448">
        <v>39356.60000000149</v>
      </c>
      <c r="H1152" s="436">
        <v>0</v>
      </c>
      <c r="I1152" s="449">
        <v>0</v>
      </c>
    </row>
    <row r="1153" spans="1:9" ht="15.75" customHeight="1" x14ac:dyDescent="0.2">
      <c r="A1153" s="437"/>
      <c r="B1153" s="437"/>
      <c r="C1153" s="436"/>
      <c r="D1153" s="467">
        <v>46642</v>
      </c>
      <c r="E1153" s="436" t="s">
        <v>599</v>
      </c>
      <c r="F1153" s="436">
        <v>50102669.399999999</v>
      </c>
      <c r="G1153" s="448">
        <v>39356.609999999404</v>
      </c>
      <c r="H1153" s="436">
        <v>0</v>
      </c>
      <c r="I1153" s="449">
        <v>0</v>
      </c>
    </row>
    <row r="1154" spans="1:9" ht="15.75" customHeight="1" x14ac:dyDescent="0.2">
      <c r="A1154" s="437"/>
      <c r="B1154" s="437"/>
      <c r="C1154" s="436"/>
      <c r="D1154" s="467">
        <v>46643</v>
      </c>
      <c r="E1154" s="436" t="s">
        <v>598</v>
      </c>
      <c r="F1154" s="436">
        <v>50142026</v>
      </c>
      <c r="G1154" s="448">
        <v>39356.60000000149</v>
      </c>
      <c r="H1154" s="436">
        <v>0</v>
      </c>
      <c r="I1154" s="449">
        <v>0</v>
      </c>
    </row>
    <row r="1155" spans="1:9" ht="15.75" customHeight="1" x14ac:dyDescent="0.2">
      <c r="A1155" s="437"/>
      <c r="B1155" s="437"/>
      <c r="C1155" s="436"/>
      <c r="D1155" s="467">
        <v>46644</v>
      </c>
      <c r="E1155" s="436" t="s">
        <v>597</v>
      </c>
      <c r="F1155" s="436">
        <v>50181382.609999999</v>
      </c>
      <c r="G1155" s="448">
        <v>39356.609999999404</v>
      </c>
      <c r="H1155" s="436">
        <v>0</v>
      </c>
      <c r="I1155" s="449">
        <v>0</v>
      </c>
    </row>
    <row r="1156" spans="1:9" ht="15.75" customHeight="1" x14ac:dyDescent="0.2">
      <c r="A1156" s="437"/>
      <c r="B1156" s="437"/>
      <c r="C1156" s="436"/>
      <c r="D1156" s="467">
        <v>46645</v>
      </c>
      <c r="E1156" s="436" t="s">
        <v>603</v>
      </c>
      <c r="F1156" s="436">
        <v>50220739.210000001</v>
      </c>
      <c r="G1156" s="448">
        <v>39356.60000000149</v>
      </c>
      <c r="H1156" s="436">
        <v>275496.23000000417</v>
      </c>
      <c r="I1156" s="449">
        <v>0</v>
      </c>
    </row>
    <row r="1157" spans="1:9" ht="15.75" customHeight="1" x14ac:dyDescent="0.2">
      <c r="A1157" s="437"/>
      <c r="B1157" s="437"/>
      <c r="C1157" s="436"/>
      <c r="D1157" s="467">
        <v>46646</v>
      </c>
      <c r="E1157" s="436" t="s">
        <v>602</v>
      </c>
      <c r="F1157" s="436">
        <v>50260095.82</v>
      </c>
      <c r="G1157" s="448">
        <v>39356.609999999404</v>
      </c>
      <c r="H1157" s="436">
        <v>0</v>
      </c>
      <c r="I1157" s="449">
        <v>0</v>
      </c>
    </row>
    <row r="1158" spans="1:9" ht="15.75" customHeight="1" x14ac:dyDescent="0.2">
      <c r="A1158" s="437"/>
      <c r="B1158" s="437"/>
      <c r="C1158" s="436"/>
      <c r="D1158" s="467">
        <v>46647</v>
      </c>
      <c r="E1158" s="436" t="s">
        <v>601</v>
      </c>
      <c r="F1158" s="436">
        <v>50299452.420000002</v>
      </c>
      <c r="G1158" s="448">
        <v>39356.60000000149</v>
      </c>
      <c r="H1158" s="436">
        <v>0</v>
      </c>
      <c r="I1158" s="449">
        <v>0</v>
      </c>
    </row>
    <row r="1159" spans="1:9" ht="15.75" customHeight="1" x14ac:dyDescent="0.2">
      <c r="A1159" s="437"/>
      <c r="B1159" s="437"/>
      <c r="C1159" s="436"/>
      <c r="D1159" s="467">
        <v>46648</v>
      </c>
      <c r="E1159" s="436" t="s">
        <v>600</v>
      </c>
      <c r="F1159" s="436">
        <v>50338809.030000001</v>
      </c>
      <c r="G1159" s="448">
        <v>39356.609999999404</v>
      </c>
      <c r="H1159" s="436">
        <v>0</v>
      </c>
      <c r="I1159" s="449">
        <v>0</v>
      </c>
    </row>
    <row r="1160" spans="1:9" ht="15.75" customHeight="1" x14ac:dyDescent="0.2">
      <c r="A1160" s="437"/>
      <c r="B1160" s="437"/>
      <c r="C1160" s="436"/>
      <c r="D1160" s="467">
        <v>46649</v>
      </c>
      <c r="E1160" s="436" t="s">
        <v>599</v>
      </c>
      <c r="F1160" s="436">
        <v>50378165.630000003</v>
      </c>
      <c r="G1160" s="448">
        <v>39356.60000000149</v>
      </c>
      <c r="H1160" s="436">
        <v>0</v>
      </c>
      <c r="I1160" s="449">
        <v>0</v>
      </c>
    </row>
    <row r="1161" spans="1:9" ht="15.75" customHeight="1" x14ac:dyDescent="0.2">
      <c r="A1161" s="437"/>
      <c r="B1161" s="437"/>
      <c r="C1161" s="436"/>
      <c r="D1161" s="467">
        <v>46650</v>
      </c>
      <c r="E1161" s="436" t="s">
        <v>598</v>
      </c>
      <c r="F1161" s="436">
        <v>50417522.240000002</v>
      </c>
      <c r="G1161" s="448">
        <v>39356.609999999404</v>
      </c>
      <c r="H1161" s="436">
        <v>0</v>
      </c>
      <c r="I1161" s="449">
        <v>0</v>
      </c>
    </row>
    <row r="1162" spans="1:9" ht="15.75" customHeight="1" x14ac:dyDescent="0.2">
      <c r="A1162" s="437"/>
      <c r="B1162" s="437"/>
      <c r="C1162" s="436"/>
      <c r="D1162" s="467">
        <v>46651</v>
      </c>
      <c r="E1162" s="436" t="s">
        <v>597</v>
      </c>
      <c r="F1162" s="436">
        <v>50456878.850000001</v>
      </c>
      <c r="G1162" s="448">
        <v>39356.609999999404</v>
      </c>
      <c r="H1162" s="436">
        <v>0</v>
      </c>
      <c r="I1162" s="449">
        <v>0</v>
      </c>
    </row>
    <row r="1163" spans="1:9" ht="15.75" customHeight="1" x14ac:dyDescent="0.2">
      <c r="A1163" s="437"/>
      <c r="B1163" s="437"/>
      <c r="C1163" s="436"/>
      <c r="D1163" s="467">
        <v>46652</v>
      </c>
      <c r="E1163" s="436" t="s">
        <v>603</v>
      </c>
      <c r="F1163" s="436">
        <v>50496235.450000003</v>
      </c>
      <c r="G1163" s="448">
        <v>39356.60000000149</v>
      </c>
      <c r="H1163" s="436">
        <v>275496.24000000209</v>
      </c>
      <c r="I1163" s="449">
        <v>550992.47000000626</v>
      </c>
    </row>
    <row r="1164" spans="1:9" ht="15.75" customHeight="1" x14ac:dyDescent="0.2">
      <c r="A1164" s="437"/>
      <c r="B1164" s="437"/>
      <c r="C1164" s="436"/>
      <c r="D1164" s="467">
        <v>46653</v>
      </c>
      <c r="E1164" s="436" t="s">
        <v>602</v>
      </c>
      <c r="F1164" s="436">
        <v>50535592.060000002</v>
      </c>
      <c r="G1164" s="448">
        <v>39356.609999999404</v>
      </c>
      <c r="H1164" s="436">
        <v>0</v>
      </c>
      <c r="I1164" s="449">
        <v>0</v>
      </c>
    </row>
    <row r="1165" spans="1:9" ht="15.75" customHeight="1" x14ac:dyDescent="0.2">
      <c r="A1165" s="437"/>
      <c r="B1165" s="437"/>
      <c r="C1165" s="436"/>
      <c r="D1165" s="467">
        <v>46654</v>
      </c>
      <c r="E1165" s="436" t="s">
        <v>601</v>
      </c>
      <c r="F1165" s="436">
        <v>50574948.659999996</v>
      </c>
      <c r="G1165" s="448">
        <v>39356.59999999404</v>
      </c>
      <c r="H1165" s="436">
        <v>0</v>
      </c>
      <c r="I1165" s="449">
        <v>0</v>
      </c>
    </row>
    <row r="1166" spans="1:9" ht="15.75" customHeight="1" x14ac:dyDescent="0.2">
      <c r="A1166" s="437"/>
      <c r="B1166" s="437"/>
      <c r="C1166" s="436"/>
      <c r="D1166" s="467">
        <v>46655</v>
      </c>
      <c r="E1166" s="436" t="s">
        <v>600</v>
      </c>
      <c r="F1166" s="436">
        <v>50614305.270000003</v>
      </c>
      <c r="G1166" s="448">
        <v>39356.610000006855</v>
      </c>
      <c r="H1166" s="436">
        <v>0</v>
      </c>
      <c r="I1166" s="449">
        <v>0</v>
      </c>
    </row>
    <row r="1167" spans="1:9" ht="15.75" customHeight="1" x14ac:dyDescent="0.2">
      <c r="A1167" s="437"/>
      <c r="B1167" s="437"/>
      <c r="C1167" s="436"/>
      <c r="D1167" s="467">
        <v>46656</v>
      </c>
      <c r="E1167" s="436" t="s">
        <v>599</v>
      </c>
      <c r="F1167" s="436">
        <v>50653661.869999997</v>
      </c>
      <c r="G1167" s="448">
        <v>39356.59999999404</v>
      </c>
      <c r="H1167" s="436">
        <v>0</v>
      </c>
      <c r="I1167" s="449">
        <v>0</v>
      </c>
    </row>
    <row r="1168" spans="1:9" ht="15.75" customHeight="1" x14ac:dyDescent="0.2">
      <c r="A1168" s="437"/>
      <c r="B1168" s="437"/>
      <c r="C1168" s="436"/>
      <c r="D1168" s="467">
        <v>46657</v>
      </c>
      <c r="E1168" s="436" t="s">
        <v>598</v>
      </c>
      <c r="F1168" s="436">
        <v>50693018.479999997</v>
      </c>
      <c r="G1168" s="448">
        <v>39356.609999999404</v>
      </c>
      <c r="H1168" s="436">
        <v>0</v>
      </c>
      <c r="I1168" s="449">
        <v>0</v>
      </c>
    </row>
    <row r="1169" spans="1:9" ht="15.75" customHeight="1" x14ac:dyDescent="0.2">
      <c r="A1169" s="437"/>
      <c r="B1169" s="437"/>
      <c r="C1169" s="436"/>
      <c r="D1169" s="467">
        <v>46658</v>
      </c>
      <c r="E1169" s="436" t="s">
        <v>597</v>
      </c>
      <c r="F1169" s="436">
        <v>50732375.079999998</v>
      </c>
      <c r="G1169" s="448">
        <v>39356.60000000149</v>
      </c>
      <c r="H1169" s="436">
        <v>0</v>
      </c>
      <c r="I1169" s="449">
        <v>0</v>
      </c>
    </row>
    <row r="1170" spans="1:9" ht="15.75" customHeight="1" x14ac:dyDescent="0.2">
      <c r="A1170" s="437"/>
      <c r="B1170" s="437"/>
      <c r="C1170" s="436"/>
      <c r="D1170" s="467">
        <v>46659</v>
      </c>
      <c r="E1170" s="436" t="s">
        <v>603</v>
      </c>
      <c r="F1170" s="436">
        <v>50771731.689999998</v>
      </c>
      <c r="G1170" s="448">
        <v>39356.609999999404</v>
      </c>
      <c r="H1170" s="436">
        <v>275496.23999999464</v>
      </c>
      <c r="I1170" s="449">
        <v>0</v>
      </c>
    </row>
    <row r="1171" spans="1:9" ht="15.75" customHeight="1" x14ac:dyDescent="0.2">
      <c r="A1171" s="437"/>
      <c r="B1171" s="437"/>
      <c r="C1171" s="436"/>
      <c r="D1171" s="467">
        <v>46660</v>
      </c>
      <c r="E1171" s="436" t="s">
        <v>602</v>
      </c>
      <c r="F1171" s="436">
        <v>50811088.289999999</v>
      </c>
      <c r="G1171" s="448">
        <v>39356.60000000149</v>
      </c>
      <c r="H1171" s="436">
        <v>0</v>
      </c>
      <c r="I1171" s="449">
        <v>0</v>
      </c>
    </row>
    <row r="1172" spans="1:9" ht="15.75" customHeight="1" x14ac:dyDescent="0.2">
      <c r="A1172" s="437"/>
      <c r="B1172" s="437"/>
      <c r="C1172" s="436"/>
      <c r="D1172" s="467">
        <v>46661</v>
      </c>
      <c r="E1172" s="436" t="s">
        <v>601</v>
      </c>
      <c r="F1172" s="436">
        <v>50850444.899999999</v>
      </c>
      <c r="G1172" s="448">
        <v>39356.609999999404</v>
      </c>
      <c r="H1172" s="436">
        <v>0</v>
      </c>
      <c r="I1172" s="449">
        <v>0</v>
      </c>
    </row>
    <row r="1173" spans="1:9" ht="15.75" customHeight="1" x14ac:dyDescent="0.2">
      <c r="A1173" s="437"/>
      <c r="B1173" s="437"/>
      <c r="C1173" s="436"/>
      <c r="D1173" s="467">
        <v>46662</v>
      </c>
      <c r="E1173" s="436" t="s">
        <v>600</v>
      </c>
      <c r="F1173" s="436">
        <v>50889801.5</v>
      </c>
      <c r="G1173" s="448">
        <v>39356.60000000149</v>
      </c>
      <c r="H1173" s="436">
        <v>0</v>
      </c>
      <c r="I1173" s="449">
        <v>0</v>
      </c>
    </row>
    <row r="1174" spans="1:9" ht="15.75" customHeight="1" x14ac:dyDescent="0.2">
      <c r="A1174" s="437"/>
      <c r="B1174" s="437"/>
      <c r="C1174" s="436"/>
      <c r="D1174" s="467">
        <v>46663</v>
      </c>
      <c r="E1174" s="436" t="s">
        <v>599</v>
      </c>
      <c r="F1174" s="436">
        <v>50929158.109999999</v>
      </c>
      <c r="G1174" s="448">
        <v>39356.609999999404</v>
      </c>
      <c r="H1174" s="436">
        <v>0</v>
      </c>
      <c r="I1174" s="449">
        <v>0</v>
      </c>
    </row>
    <row r="1175" spans="1:9" ht="15.75" customHeight="1" x14ac:dyDescent="0.2">
      <c r="A1175" s="437"/>
      <c r="B1175" s="437"/>
      <c r="C1175" s="436"/>
      <c r="D1175" s="467">
        <v>46664</v>
      </c>
      <c r="E1175" s="436" t="s">
        <v>598</v>
      </c>
      <c r="F1175" s="436">
        <v>50968514.710000001</v>
      </c>
      <c r="G1175" s="448">
        <v>39356.60000000149</v>
      </c>
      <c r="H1175" s="436">
        <v>0</v>
      </c>
      <c r="I1175" s="449">
        <v>0</v>
      </c>
    </row>
    <row r="1176" spans="1:9" ht="15.75" customHeight="1" x14ac:dyDescent="0.2">
      <c r="A1176" s="437"/>
      <c r="B1176" s="437"/>
      <c r="C1176" s="436"/>
      <c r="D1176" s="467">
        <v>46665</v>
      </c>
      <c r="E1176" s="436" t="s">
        <v>597</v>
      </c>
      <c r="F1176" s="436">
        <v>51007871.32</v>
      </c>
      <c r="G1176" s="448">
        <v>39356.609999999404</v>
      </c>
      <c r="H1176" s="436">
        <v>0</v>
      </c>
      <c r="I1176" s="449">
        <v>0</v>
      </c>
    </row>
    <row r="1177" spans="1:9" ht="15.75" customHeight="1" x14ac:dyDescent="0.2">
      <c r="A1177" s="437"/>
      <c r="B1177" s="437"/>
      <c r="C1177" s="436"/>
      <c r="D1177" s="467">
        <v>46666</v>
      </c>
      <c r="E1177" s="436" t="s">
        <v>603</v>
      </c>
      <c r="F1177" s="436">
        <v>51047227.920000002</v>
      </c>
      <c r="G1177" s="448">
        <v>39356.60000000149</v>
      </c>
      <c r="H1177" s="436">
        <v>275496.23000000417</v>
      </c>
      <c r="I1177" s="449">
        <v>550992.46999999881</v>
      </c>
    </row>
    <row r="1178" spans="1:9" ht="15.75" customHeight="1" x14ac:dyDescent="0.2">
      <c r="A1178" s="437"/>
      <c r="B1178" s="437"/>
      <c r="C1178" s="436"/>
      <c r="D1178" s="467">
        <v>46667</v>
      </c>
      <c r="E1178" s="436" t="s">
        <v>602</v>
      </c>
      <c r="F1178" s="436">
        <v>51086584.530000001</v>
      </c>
      <c r="G1178" s="448">
        <v>39356.609999999404</v>
      </c>
      <c r="H1178" s="436">
        <v>0</v>
      </c>
      <c r="I1178" s="449">
        <v>0</v>
      </c>
    </row>
    <row r="1179" spans="1:9" ht="15.75" customHeight="1" x14ac:dyDescent="0.2">
      <c r="A1179" s="437"/>
      <c r="B1179" s="437"/>
      <c r="C1179" s="436"/>
      <c r="D1179" s="467">
        <v>46668</v>
      </c>
      <c r="E1179" s="436" t="s">
        <v>601</v>
      </c>
      <c r="F1179" s="436">
        <v>51125941.130000003</v>
      </c>
      <c r="G1179" s="448">
        <v>39356.60000000149</v>
      </c>
      <c r="H1179" s="436">
        <v>0</v>
      </c>
      <c r="I1179" s="449">
        <v>0</v>
      </c>
    </row>
    <row r="1180" spans="1:9" ht="15.75" customHeight="1" x14ac:dyDescent="0.2">
      <c r="A1180" s="437"/>
      <c r="B1180" s="437"/>
      <c r="C1180" s="436"/>
      <c r="D1180" s="467">
        <v>46669</v>
      </c>
      <c r="E1180" s="436" t="s">
        <v>600</v>
      </c>
      <c r="F1180" s="436">
        <v>51165297.740000002</v>
      </c>
      <c r="G1180" s="448">
        <v>39356.609999999404</v>
      </c>
      <c r="H1180" s="436">
        <v>0</v>
      </c>
      <c r="I1180" s="449">
        <v>0</v>
      </c>
    </row>
    <row r="1181" spans="1:9" ht="15.75" customHeight="1" x14ac:dyDescent="0.2">
      <c r="A1181" s="437"/>
      <c r="B1181" s="437"/>
      <c r="C1181" s="436"/>
      <c r="D1181" s="467">
        <v>46670</v>
      </c>
      <c r="E1181" s="436" t="s">
        <v>599</v>
      </c>
      <c r="F1181" s="436">
        <v>51204654.340000004</v>
      </c>
      <c r="G1181" s="448">
        <v>39356.60000000149</v>
      </c>
      <c r="H1181" s="436">
        <v>0</v>
      </c>
      <c r="I1181" s="449">
        <v>0</v>
      </c>
    </row>
    <row r="1182" spans="1:9" ht="15.75" customHeight="1" x14ac:dyDescent="0.2">
      <c r="A1182" s="437"/>
      <c r="B1182" s="437"/>
      <c r="C1182" s="436"/>
      <c r="D1182" s="467">
        <v>46671</v>
      </c>
      <c r="E1182" s="436" t="s">
        <v>598</v>
      </c>
      <c r="F1182" s="436">
        <v>51244010.950000003</v>
      </c>
      <c r="G1182" s="448">
        <v>39356.609999999404</v>
      </c>
      <c r="H1182" s="436">
        <v>0</v>
      </c>
      <c r="I1182" s="449">
        <v>0</v>
      </c>
    </row>
    <row r="1183" spans="1:9" ht="15.75" customHeight="1" x14ac:dyDescent="0.2">
      <c r="A1183" s="437"/>
      <c r="B1183" s="437"/>
      <c r="C1183" s="436"/>
      <c r="D1183" s="467">
        <v>46672</v>
      </c>
      <c r="E1183" s="436" t="s">
        <v>597</v>
      </c>
      <c r="F1183" s="436">
        <v>51283367.549999997</v>
      </c>
      <c r="G1183" s="448">
        <v>39356.59999999404</v>
      </c>
      <c r="H1183" s="436">
        <v>0</v>
      </c>
      <c r="I1183" s="449">
        <v>0</v>
      </c>
    </row>
    <row r="1184" spans="1:9" ht="15.75" customHeight="1" x14ac:dyDescent="0.2">
      <c r="A1184" s="437"/>
      <c r="B1184" s="437"/>
      <c r="C1184" s="436"/>
      <c r="D1184" s="467">
        <v>46673</v>
      </c>
      <c r="E1184" s="436" t="s">
        <v>603</v>
      </c>
      <c r="F1184" s="436">
        <v>51322724.159999996</v>
      </c>
      <c r="G1184" s="448">
        <v>39356.609999999404</v>
      </c>
      <c r="H1184" s="436">
        <v>275496.23999999464</v>
      </c>
      <c r="I1184" s="449">
        <v>0</v>
      </c>
    </row>
    <row r="1185" spans="1:9" ht="15.75" customHeight="1" x14ac:dyDescent="0.2">
      <c r="A1185" s="437"/>
      <c r="B1185" s="437"/>
      <c r="C1185" s="436"/>
      <c r="D1185" s="467">
        <v>46674</v>
      </c>
      <c r="E1185" s="436" t="s">
        <v>602</v>
      </c>
      <c r="F1185" s="436">
        <v>51362080.759999998</v>
      </c>
      <c r="G1185" s="448">
        <v>39356.60000000149</v>
      </c>
      <c r="H1185" s="436">
        <v>0</v>
      </c>
      <c r="I1185" s="449">
        <v>0</v>
      </c>
    </row>
    <row r="1186" spans="1:9" ht="15.75" customHeight="1" x14ac:dyDescent="0.2">
      <c r="A1186" s="437"/>
      <c r="B1186" s="437"/>
      <c r="C1186" s="436"/>
      <c r="D1186" s="467">
        <v>46675</v>
      </c>
      <c r="E1186" s="436" t="s">
        <v>601</v>
      </c>
      <c r="F1186" s="436">
        <v>51401437.369999997</v>
      </c>
      <c r="G1186" s="448">
        <v>39356.609999999404</v>
      </c>
      <c r="H1186" s="436">
        <v>0</v>
      </c>
      <c r="I1186" s="449">
        <v>0</v>
      </c>
    </row>
    <row r="1187" spans="1:9" ht="15.75" customHeight="1" x14ac:dyDescent="0.2">
      <c r="A1187" s="437"/>
      <c r="B1187" s="437"/>
      <c r="C1187" s="436"/>
      <c r="D1187" s="467">
        <v>46676</v>
      </c>
      <c r="E1187" s="436" t="s">
        <v>600</v>
      </c>
      <c r="F1187" s="436">
        <v>51440793.969999999</v>
      </c>
      <c r="G1187" s="448">
        <v>39356.60000000149</v>
      </c>
      <c r="H1187" s="436">
        <v>0</v>
      </c>
      <c r="I1187" s="449">
        <v>0</v>
      </c>
    </row>
    <row r="1188" spans="1:9" ht="15.75" customHeight="1" x14ac:dyDescent="0.2">
      <c r="A1188" s="437"/>
      <c r="B1188" s="437"/>
      <c r="C1188" s="436"/>
      <c r="D1188" s="467">
        <v>46677</v>
      </c>
      <c r="E1188" s="436" t="s">
        <v>599</v>
      </c>
      <c r="F1188" s="436">
        <v>51480150.579999998</v>
      </c>
      <c r="G1188" s="448">
        <v>39356.609999999404</v>
      </c>
      <c r="H1188" s="436">
        <v>0</v>
      </c>
      <c r="I1188" s="449">
        <v>0</v>
      </c>
    </row>
    <row r="1189" spans="1:9" ht="15.75" customHeight="1" x14ac:dyDescent="0.2">
      <c r="A1189" s="437"/>
      <c r="B1189" s="437"/>
      <c r="C1189" s="436"/>
      <c r="D1189" s="467">
        <v>46678</v>
      </c>
      <c r="E1189" s="436" t="s">
        <v>598</v>
      </c>
      <c r="F1189" s="436">
        <v>51519507.18</v>
      </c>
      <c r="G1189" s="448">
        <v>39356.60000000149</v>
      </c>
      <c r="H1189" s="436">
        <v>0</v>
      </c>
      <c r="I1189" s="449">
        <v>0</v>
      </c>
    </row>
    <row r="1190" spans="1:9" ht="15.75" customHeight="1" x14ac:dyDescent="0.2">
      <c r="A1190" s="437"/>
      <c r="B1190" s="437"/>
      <c r="C1190" s="436"/>
      <c r="D1190" s="467">
        <v>46679</v>
      </c>
      <c r="E1190" s="436" t="s">
        <v>597</v>
      </c>
      <c r="F1190" s="436">
        <v>51558863.789999999</v>
      </c>
      <c r="G1190" s="448">
        <v>39356.609999999404</v>
      </c>
      <c r="H1190" s="436">
        <v>0</v>
      </c>
      <c r="I1190" s="449">
        <v>0</v>
      </c>
    </row>
    <row r="1191" spans="1:9" ht="15.75" customHeight="1" x14ac:dyDescent="0.2">
      <c r="A1191" s="437"/>
      <c r="B1191" s="437"/>
      <c r="C1191" s="436"/>
      <c r="D1191" s="467">
        <v>46680</v>
      </c>
      <c r="E1191" s="436" t="s">
        <v>603</v>
      </c>
      <c r="F1191" s="436">
        <v>51598220.390000001</v>
      </c>
      <c r="G1191" s="448">
        <v>39356.60000000149</v>
      </c>
      <c r="H1191" s="436">
        <v>275496.23000000417</v>
      </c>
      <c r="I1191" s="449">
        <v>550992.46999999881</v>
      </c>
    </row>
    <row r="1192" spans="1:9" ht="15.75" customHeight="1" x14ac:dyDescent="0.2">
      <c r="A1192" s="437"/>
      <c r="B1192" s="437"/>
      <c r="C1192" s="436"/>
      <c r="D1192" s="467">
        <v>46681</v>
      </c>
      <c r="E1192" s="436" t="s">
        <v>602</v>
      </c>
      <c r="F1192" s="436">
        <v>51637577</v>
      </c>
      <c r="G1192" s="448">
        <v>39356.609999999404</v>
      </c>
      <c r="H1192" s="436">
        <v>0</v>
      </c>
      <c r="I1192" s="449">
        <v>0</v>
      </c>
    </row>
    <row r="1193" spans="1:9" ht="15.75" customHeight="1" x14ac:dyDescent="0.2">
      <c r="A1193" s="437"/>
      <c r="B1193" s="437"/>
      <c r="C1193" s="436"/>
      <c r="D1193" s="467">
        <v>46682</v>
      </c>
      <c r="E1193" s="436" t="s">
        <v>601</v>
      </c>
      <c r="F1193" s="436">
        <v>51676933.600000001</v>
      </c>
      <c r="G1193" s="448">
        <v>39356.60000000149</v>
      </c>
      <c r="H1193" s="436">
        <v>0</v>
      </c>
      <c r="I1193" s="449">
        <v>0</v>
      </c>
    </row>
    <row r="1194" spans="1:9" ht="15.75" customHeight="1" x14ac:dyDescent="0.2">
      <c r="A1194" s="437"/>
      <c r="B1194" s="437"/>
      <c r="C1194" s="436"/>
      <c r="D1194" s="467">
        <v>46683</v>
      </c>
      <c r="E1194" s="436" t="s">
        <v>600</v>
      </c>
      <c r="F1194" s="436">
        <v>51716290.210000001</v>
      </c>
      <c r="G1194" s="448">
        <v>39356.609999999404</v>
      </c>
      <c r="H1194" s="436">
        <v>0</v>
      </c>
      <c r="I1194" s="449">
        <v>0</v>
      </c>
    </row>
    <row r="1195" spans="1:9" ht="15.75" customHeight="1" x14ac:dyDescent="0.2">
      <c r="A1195" s="437"/>
      <c r="B1195" s="437"/>
      <c r="C1195" s="436"/>
      <c r="D1195" s="467">
        <v>46684</v>
      </c>
      <c r="E1195" s="436" t="s">
        <v>599</v>
      </c>
      <c r="F1195" s="436">
        <v>51755646.810000002</v>
      </c>
      <c r="G1195" s="448">
        <v>39356.60000000149</v>
      </c>
      <c r="H1195" s="436">
        <v>0</v>
      </c>
      <c r="I1195" s="449">
        <v>0</v>
      </c>
    </row>
    <row r="1196" spans="1:9" ht="15.75" customHeight="1" x14ac:dyDescent="0.2">
      <c r="A1196" s="437"/>
      <c r="B1196" s="437"/>
      <c r="C1196" s="436"/>
      <c r="D1196" s="467">
        <v>46685</v>
      </c>
      <c r="E1196" s="436" t="s">
        <v>598</v>
      </c>
      <c r="F1196" s="436">
        <v>51795003.420000002</v>
      </c>
      <c r="G1196" s="448">
        <v>39356.609999999404</v>
      </c>
      <c r="H1196" s="436">
        <v>0</v>
      </c>
      <c r="I1196" s="449">
        <v>0</v>
      </c>
    </row>
    <row r="1197" spans="1:9" ht="15.75" customHeight="1" x14ac:dyDescent="0.2">
      <c r="A1197" s="437"/>
      <c r="B1197" s="437"/>
      <c r="C1197" s="436"/>
      <c r="D1197" s="467">
        <v>46686</v>
      </c>
      <c r="E1197" s="436" t="s">
        <v>597</v>
      </c>
      <c r="F1197" s="436">
        <v>51834360.020000003</v>
      </c>
      <c r="G1197" s="448">
        <v>39356.60000000149</v>
      </c>
      <c r="H1197" s="436">
        <v>0</v>
      </c>
      <c r="I1197" s="449">
        <v>0</v>
      </c>
    </row>
    <row r="1198" spans="1:9" ht="15.75" customHeight="1" x14ac:dyDescent="0.2">
      <c r="A1198" s="437"/>
      <c r="B1198" s="437"/>
      <c r="C1198" s="436"/>
      <c r="D1198" s="467">
        <v>46687</v>
      </c>
      <c r="E1198" s="436" t="s">
        <v>603</v>
      </c>
      <c r="F1198" s="436">
        <v>51873716.630000003</v>
      </c>
      <c r="G1198" s="448">
        <v>39356.609999999404</v>
      </c>
      <c r="H1198" s="436">
        <v>275496.24000000209</v>
      </c>
      <c r="I1198" s="449">
        <v>0</v>
      </c>
    </row>
    <row r="1199" spans="1:9" ht="15.75" customHeight="1" x14ac:dyDescent="0.2">
      <c r="A1199" s="437"/>
      <c r="B1199" s="437"/>
      <c r="C1199" s="436"/>
      <c r="D1199" s="467">
        <v>46688</v>
      </c>
      <c r="E1199" s="436" t="s">
        <v>602</v>
      </c>
      <c r="F1199" s="436">
        <v>51913073.229999997</v>
      </c>
      <c r="G1199" s="448">
        <v>39356.59999999404</v>
      </c>
      <c r="H1199" s="436">
        <v>0</v>
      </c>
      <c r="I1199" s="449">
        <v>0</v>
      </c>
    </row>
    <row r="1200" spans="1:9" ht="15.75" customHeight="1" x14ac:dyDescent="0.2">
      <c r="A1200" s="437"/>
      <c r="B1200" s="437"/>
      <c r="C1200" s="436"/>
      <c r="D1200" s="467">
        <v>46689</v>
      </c>
      <c r="E1200" s="436" t="s">
        <v>601</v>
      </c>
      <c r="F1200" s="436">
        <v>51952429.840000004</v>
      </c>
      <c r="G1200" s="448">
        <v>39356.610000006855</v>
      </c>
      <c r="H1200" s="436">
        <v>0</v>
      </c>
      <c r="I1200" s="449">
        <v>0</v>
      </c>
    </row>
    <row r="1201" spans="1:9" ht="15.75" customHeight="1" x14ac:dyDescent="0.2">
      <c r="A1201" s="437"/>
      <c r="B1201" s="437"/>
      <c r="C1201" s="436"/>
      <c r="D1201" s="467">
        <v>46690</v>
      </c>
      <c r="E1201" s="436" t="s">
        <v>600</v>
      </c>
      <c r="F1201" s="436">
        <v>51991786.439999998</v>
      </c>
      <c r="G1201" s="448">
        <v>39356.59999999404</v>
      </c>
      <c r="H1201" s="436">
        <v>0</v>
      </c>
      <c r="I1201" s="449">
        <v>0</v>
      </c>
    </row>
    <row r="1202" spans="1:9" ht="15.75" customHeight="1" x14ac:dyDescent="0.2">
      <c r="A1202" s="437"/>
      <c r="B1202" s="437"/>
      <c r="C1202" s="436"/>
      <c r="D1202" s="467">
        <v>46691</v>
      </c>
      <c r="E1202" s="436" t="s">
        <v>599</v>
      </c>
      <c r="F1202" s="436">
        <v>52031143.049999997</v>
      </c>
      <c r="G1202" s="448">
        <v>39356.609999999404</v>
      </c>
      <c r="H1202" s="436">
        <v>0</v>
      </c>
      <c r="I1202" s="449">
        <v>0</v>
      </c>
    </row>
    <row r="1203" spans="1:9" ht="15.75" customHeight="1" x14ac:dyDescent="0.2">
      <c r="A1203" s="437"/>
      <c r="B1203" s="437"/>
      <c r="C1203" s="436"/>
      <c r="D1203" s="467">
        <v>46692</v>
      </c>
      <c r="E1203" s="436" t="s">
        <v>598</v>
      </c>
      <c r="F1203" s="436">
        <v>52070499.649999999</v>
      </c>
      <c r="G1203" s="448">
        <v>39356.60000000149</v>
      </c>
      <c r="H1203" s="436">
        <v>0</v>
      </c>
      <c r="I1203" s="449">
        <v>0</v>
      </c>
    </row>
    <row r="1204" spans="1:9" ht="15.75" customHeight="1" x14ac:dyDescent="0.2">
      <c r="A1204" s="437"/>
      <c r="B1204" s="437"/>
      <c r="C1204" s="436"/>
      <c r="D1204" s="467">
        <v>46693</v>
      </c>
      <c r="E1204" s="436" t="s">
        <v>597</v>
      </c>
      <c r="F1204" s="436">
        <v>52109856.259999998</v>
      </c>
      <c r="G1204" s="448">
        <v>39356.609999999404</v>
      </c>
      <c r="H1204" s="436">
        <v>0</v>
      </c>
      <c r="I1204" s="449">
        <v>0</v>
      </c>
    </row>
    <row r="1205" spans="1:9" ht="15.75" customHeight="1" x14ac:dyDescent="0.2">
      <c r="A1205" s="437"/>
      <c r="B1205" s="437"/>
      <c r="C1205" s="436"/>
      <c r="D1205" s="467">
        <v>46694</v>
      </c>
      <c r="E1205" s="436" t="s">
        <v>603</v>
      </c>
      <c r="F1205" s="436">
        <v>52149212.859999999</v>
      </c>
      <c r="G1205" s="448">
        <v>39356.60000000149</v>
      </c>
      <c r="H1205" s="436">
        <v>275496.22999999672</v>
      </c>
      <c r="I1205" s="449">
        <v>550992.46999999881</v>
      </c>
    </row>
    <row r="1206" spans="1:9" ht="15.75" customHeight="1" x14ac:dyDescent="0.2">
      <c r="A1206" s="437"/>
      <c r="B1206" s="437"/>
      <c r="C1206" s="436"/>
      <c r="D1206" s="467">
        <v>46695</v>
      </c>
      <c r="E1206" s="436" t="s">
        <v>602</v>
      </c>
      <c r="F1206" s="436">
        <v>52188569.469999999</v>
      </c>
      <c r="G1206" s="448">
        <v>39356.609999999404</v>
      </c>
      <c r="H1206" s="436">
        <v>0</v>
      </c>
      <c r="I1206" s="449">
        <v>0</v>
      </c>
    </row>
    <row r="1207" spans="1:9" ht="15.75" customHeight="1" x14ac:dyDescent="0.2">
      <c r="A1207" s="437"/>
      <c r="B1207" s="437"/>
      <c r="C1207" s="436"/>
      <c r="D1207" s="467">
        <v>46696</v>
      </c>
      <c r="E1207" s="436" t="s">
        <v>601</v>
      </c>
      <c r="F1207" s="436">
        <v>52227926.07</v>
      </c>
      <c r="G1207" s="448">
        <v>39356.60000000149</v>
      </c>
      <c r="H1207" s="436">
        <v>0</v>
      </c>
      <c r="I1207" s="449">
        <v>0</v>
      </c>
    </row>
    <row r="1208" spans="1:9" ht="15.75" customHeight="1" x14ac:dyDescent="0.2">
      <c r="A1208" s="437"/>
      <c r="B1208" s="437"/>
      <c r="C1208" s="436"/>
      <c r="D1208" s="467">
        <v>46697</v>
      </c>
      <c r="E1208" s="436" t="s">
        <v>600</v>
      </c>
      <c r="F1208" s="436">
        <v>52267282.68</v>
      </c>
      <c r="G1208" s="448">
        <v>39356.609999999404</v>
      </c>
      <c r="H1208" s="436">
        <v>0</v>
      </c>
      <c r="I1208" s="449">
        <v>0</v>
      </c>
    </row>
    <row r="1209" spans="1:9" ht="15.75" customHeight="1" x14ac:dyDescent="0.2">
      <c r="A1209" s="437"/>
      <c r="B1209" s="437"/>
      <c r="C1209" s="436"/>
      <c r="D1209" s="467">
        <v>46698</v>
      </c>
      <c r="E1209" s="436" t="s">
        <v>599</v>
      </c>
      <c r="F1209" s="436">
        <v>52306639.280000001</v>
      </c>
      <c r="G1209" s="448">
        <v>39356.60000000149</v>
      </c>
      <c r="H1209" s="436">
        <v>0</v>
      </c>
      <c r="I1209" s="449">
        <v>0</v>
      </c>
    </row>
    <row r="1210" spans="1:9" ht="15.75" customHeight="1" x14ac:dyDescent="0.2">
      <c r="A1210" s="437"/>
      <c r="B1210" s="437"/>
      <c r="C1210" s="436"/>
      <c r="D1210" s="467">
        <v>46699</v>
      </c>
      <c r="E1210" s="436" t="s">
        <v>598</v>
      </c>
      <c r="F1210" s="436">
        <v>52345995.890000001</v>
      </c>
      <c r="G1210" s="448">
        <v>39356.609999999404</v>
      </c>
      <c r="H1210" s="436">
        <v>0</v>
      </c>
      <c r="I1210" s="449">
        <v>0</v>
      </c>
    </row>
    <row r="1211" spans="1:9" ht="15.75" customHeight="1" x14ac:dyDescent="0.2">
      <c r="A1211" s="437"/>
      <c r="B1211" s="437"/>
      <c r="C1211" s="436"/>
      <c r="D1211" s="467">
        <v>46700</v>
      </c>
      <c r="E1211" s="436" t="s">
        <v>597</v>
      </c>
      <c r="F1211" s="436">
        <v>52385352.490000002</v>
      </c>
      <c r="G1211" s="448">
        <v>39356.60000000149</v>
      </c>
      <c r="H1211" s="436">
        <v>0</v>
      </c>
      <c r="I1211" s="449">
        <v>0</v>
      </c>
    </row>
    <row r="1212" spans="1:9" ht="15.75" customHeight="1" x14ac:dyDescent="0.2">
      <c r="A1212" s="437"/>
      <c r="B1212" s="437"/>
      <c r="C1212" s="436"/>
      <c r="D1212" s="467">
        <v>46701</v>
      </c>
      <c r="E1212" s="436" t="s">
        <v>603</v>
      </c>
      <c r="F1212" s="436">
        <v>52424709.100000001</v>
      </c>
      <c r="G1212" s="448">
        <v>39356.609999999404</v>
      </c>
      <c r="H1212" s="436">
        <v>275496.24000000209</v>
      </c>
      <c r="I1212" s="449">
        <v>0</v>
      </c>
    </row>
    <row r="1213" spans="1:9" ht="15.75" customHeight="1" x14ac:dyDescent="0.2">
      <c r="A1213" s="437"/>
      <c r="B1213" s="437"/>
      <c r="C1213" s="436"/>
      <c r="D1213" s="467">
        <v>46702</v>
      </c>
      <c r="E1213" s="436" t="s">
        <v>602</v>
      </c>
      <c r="F1213" s="436">
        <v>52464065.700000003</v>
      </c>
      <c r="G1213" s="448">
        <v>39356.60000000149</v>
      </c>
      <c r="H1213" s="436">
        <v>0</v>
      </c>
      <c r="I1213" s="449">
        <v>0</v>
      </c>
    </row>
    <row r="1214" spans="1:9" ht="15.75" customHeight="1" x14ac:dyDescent="0.2">
      <c r="A1214" s="437"/>
      <c r="B1214" s="437"/>
      <c r="C1214" s="436"/>
      <c r="D1214" s="467">
        <v>46703</v>
      </c>
      <c r="E1214" s="436" t="s">
        <v>601</v>
      </c>
      <c r="F1214" s="436">
        <v>52503422.310000002</v>
      </c>
      <c r="G1214" s="448">
        <v>39356.609999999404</v>
      </c>
      <c r="H1214" s="436">
        <v>0</v>
      </c>
      <c r="I1214" s="449">
        <v>0</v>
      </c>
    </row>
    <row r="1215" spans="1:9" ht="15.75" customHeight="1" x14ac:dyDescent="0.2">
      <c r="A1215" s="437"/>
      <c r="B1215" s="437"/>
      <c r="C1215" s="436"/>
      <c r="D1215" s="467">
        <v>46704</v>
      </c>
      <c r="E1215" s="436" t="s">
        <v>600</v>
      </c>
      <c r="F1215" s="436">
        <v>52542778.909999996</v>
      </c>
      <c r="G1215" s="448">
        <v>39356.59999999404</v>
      </c>
      <c r="H1215" s="436">
        <v>0</v>
      </c>
      <c r="I1215" s="449">
        <v>0</v>
      </c>
    </row>
    <row r="1216" spans="1:9" ht="15.75" customHeight="1" x14ac:dyDescent="0.2">
      <c r="A1216" s="437"/>
      <c r="B1216" s="437"/>
      <c r="C1216" s="436"/>
      <c r="D1216" s="467">
        <v>46705</v>
      </c>
      <c r="E1216" s="436" t="s">
        <v>599</v>
      </c>
      <c r="F1216" s="436">
        <v>52582135.520000003</v>
      </c>
      <c r="G1216" s="448">
        <v>39356.610000006855</v>
      </c>
      <c r="H1216" s="436">
        <v>0</v>
      </c>
      <c r="I1216" s="449">
        <v>0</v>
      </c>
    </row>
    <row r="1217" spans="1:9" ht="15.75" customHeight="1" x14ac:dyDescent="0.2">
      <c r="A1217" s="437"/>
      <c r="B1217" s="437"/>
      <c r="C1217" s="436"/>
      <c r="D1217" s="467">
        <v>46706</v>
      </c>
      <c r="E1217" s="436" t="s">
        <v>598</v>
      </c>
      <c r="F1217" s="436">
        <v>52621492.119999997</v>
      </c>
      <c r="G1217" s="448">
        <v>39356.59999999404</v>
      </c>
      <c r="H1217" s="436">
        <v>0</v>
      </c>
      <c r="I1217" s="449">
        <v>0</v>
      </c>
    </row>
    <row r="1218" spans="1:9" ht="15.75" customHeight="1" x14ac:dyDescent="0.2">
      <c r="A1218" s="437"/>
      <c r="B1218" s="437"/>
      <c r="C1218" s="436"/>
      <c r="D1218" s="467">
        <v>46707</v>
      </c>
      <c r="E1218" s="436" t="s">
        <v>597</v>
      </c>
      <c r="F1218" s="436">
        <v>52660848.729999997</v>
      </c>
      <c r="G1218" s="448">
        <v>39356.609999999404</v>
      </c>
      <c r="H1218" s="436">
        <v>0</v>
      </c>
      <c r="I1218" s="449">
        <v>0</v>
      </c>
    </row>
    <row r="1219" spans="1:9" ht="15.75" customHeight="1" x14ac:dyDescent="0.2">
      <c r="A1219" s="437"/>
      <c r="B1219" s="437"/>
      <c r="C1219" s="436"/>
      <c r="D1219" s="467">
        <v>46708</v>
      </c>
      <c r="E1219" s="436" t="s">
        <v>603</v>
      </c>
      <c r="F1219" s="436">
        <v>52700205.329999998</v>
      </c>
      <c r="G1219" s="448">
        <v>39356.60000000149</v>
      </c>
      <c r="H1219" s="436">
        <v>275496.22999999672</v>
      </c>
      <c r="I1219" s="449">
        <v>550992.46999999881</v>
      </c>
    </row>
    <row r="1220" spans="1:9" ht="15.75" customHeight="1" x14ac:dyDescent="0.2">
      <c r="A1220" s="437"/>
      <c r="B1220" s="437"/>
      <c r="C1220" s="436"/>
      <c r="D1220" s="467">
        <v>46709</v>
      </c>
      <c r="E1220" s="436" t="s">
        <v>602</v>
      </c>
      <c r="F1220" s="436">
        <v>52739561.939999998</v>
      </c>
      <c r="G1220" s="448">
        <v>39356.609999999404</v>
      </c>
      <c r="H1220" s="436">
        <v>0</v>
      </c>
      <c r="I1220" s="449">
        <v>0</v>
      </c>
    </row>
    <row r="1221" spans="1:9" ht="15.75" customHeight="1" x14ac:dyDescent="0.2">
      <c r="A1221" s="437"/>
      <c r="B1221" s="437"/>
      <c r="C1221" s="436"/>
      <c r="D1221" s="467">
        <v>46710</v>
      </c>
      <c r="E1221" s="436" t="s">
        <v>601</v>
      </c>
      <c r="F1221" s="436">
        <v>52778918.539999999</v>
      </c>
      <c r="G1221" s="448">
        <v>39356.60000000149</v>
      </c>
      <c r="H1221" s="436">
        <v>0</v>
      </c>
      <c r="I1221" s="449">
        <v>0</v>
      </c>
    </row>
    <row r="1222" spans="1:9" ht="15.75" customHeight="1" x14ac:dyDescent="0.2">
      <c r="A1222" s="437"/>
      <c r="B1222" s="437"/>
      <c r="C1222" s="436"/>
      <c r="D1222" s="467">
        <v>46711</v>
      </c>
      <c r="E1222" s="436" t="s">
        <v>600</v>
      </c>
      <c r="F1222" s="436">
        <v>52818275.149999999</v>
      </c>
      <c r="G1222" s="448">
        <v>39356.609999999404</v>
      </c>
      <c r="H1222" s="436">
        <v>0</v>
      </c>
      <c r="I1222" s="449">
        <v>0</v>
      </c>
    </row>
    <row r="1223" spans="1:9" ht="15.75" customHeight="1" x14ac:dyDescent="0.2">
      <c r="A1223" s="437"/>
      <c r="B1223" s="437"/>
      <c r="C1223" s="436"/>
      <c r="D1223" s="467">
        <v>46712</v>
      </c>
      <c r="E1223" s="436" t="s">
        <v>599</v>
      </c>
      <c r="F1223" s="436">
        <v>52857631.75</v>
      </c>
      <c r="G1223" s="448">
        <v>39356.60000000149</v>
      </c>
      <c r="H1223" s="436">
        <v>0</v>
      </c>
      <c r="I1223" s="449">
        <v>0</v>
      </c>
    </row>
    <row r="1224" spans="1:9" ht="15.75" customHeight="1" x14ac:dyDescent="0.2">
      <c r="A1224" s="437"/>
      <c r="B1224" s="437"/>
      <c r="C1224" s="436"/>
      <c r="D1224" s="467">
        <v>46713</v>
      </c>
      <c r="E1224" s="436" t="s">
        <v>598</v>
      </c>
      <c r="F1224" s="436">
        <v>52896988.359999999</v>
      </c>
      <c r="G1224" s="448">
        <v>39356.609999999404</v>
      </c>
      <c r="H1224" s="436">
        <v>0</v>
      </c>
      <c r="I1224" s="449">
        <v>0</v>
      </c>
    </row>
    <row r="1225" spans="1:9" ht="15.75" customHeight="1" x14ac:dyDescent="0.2">
      <c r="A1225" s="437"/>
      <c r="B1225" s="437"/>
      <c r="C1225" s="436"/>
      <c r="D1225" s="467">
        <v>46714</v>
      </c>
      <c r="E1225" s="436" t="s">
        <v>597</v>
      </c>
      <c r="F1225" s="436">
        <v>52936344.960000001</v>
      </c>
      <c r="G1225" s="448">
        <v>39356.60000000149</v>
      </c>
      <c r="H1225" s="436">
        <v>0</v>
      </c>
      <c r="I1225" s="449">
        <v>0</v>
      </c>
    </row>
    <row r="1226" spans="1:9" ht="15.75" customHeight="1" x14ac:dyDescent="0.2">
      <c r="A1226" s="437"/>
      <c r="B1226" s="437"/>
      <c r="C1226" s="436"/>
      <c r="D1226" s="467">
        <v>46715</v>
      </c>
      <c r="E1226" s="436" t="s">
        <v>603</v>
      </c>
      <c r="F1226" s="436">
        <v>52975701.57</v>
      </c>
      <c r="G1226" s="448">
        <v>39356.609999999404</v>
      </c>
      <c r="H1226" s="436">
        <v>275496.24000000209</v>
      </c>
      <c r="I1226" s="449">
        <v>0</v>
      </c>
    </row>
    <row r="1227" spans="1:9" ht="15.75" customHeight="1" x14ac:dyDescent="0.2">
      <c r="A1227" s="437"/>
      <c r="B1227" s="437"/>
      <c r="C1227" s="436"/>
      <c r="D1227" s="467">
        <v>46716</v>
      </c>
      <c r="E1227" s="436" t="s">
        <v>602</v>
      </c>
      <c r="F1227" s="436">
        <v>53015058.170000002</v>
      </c>
      <c r="G1227" s="448">
        <v>39356.60000000149</v>
      </c>
      <c r="H1227" s="436">
        <v>0</v>
      </c>
      <c r="I1227" s="449">
        <v>0</v>
      </c>
    </row>
    <row r="1228" spans="1:9" ht="15.75" customHeight="1" x14ac:dyDescent="0.2">
      <c r="A1228" s="437"/>
      <c r="B1228" s="437"/>
      <c r="C1228" s="436"/>
      <c r="D1228" s="467">
        <v>46717</v>
      </c>
      <c r="E1228" s="436" t="s">
        <v>601</v>
      </c>
      <c r="F1228" s="436">
        <v>53054414.780000001</v>
      </c>
      <c r="G1228" s="448">
        <v>39356.609999999404</v>
      </c>
      <c r="H1228" s="436">
        <v>0</v>
      </c>
      <c r="I1228" s="449">
        <v>0</v>
      </c>
    </row>
    <row r="1229" spans="1:9" ht="15.75" customHeight="1" x14ac:dyDescent="0.2">
      <c r="A1229" s="437"/>
      <c r="B1229" s="437"/>
      <c r="C1229" s="436"/>
      <c r="D1229" s="467">
        <v>46718</v>
      </c>
      <c r="E1229" s="436" t="s">
        <v>600</v>
      </c>
      <c r="F1229" s="436">
        <v>53093771.380000003</v>
      </c>
      <c r="G1229" s="448">
        <v>39356.60000000149</v>
      </c>
      <c r="H1229" s="436">
        <v>0</v>
      </c>
      <c r="I1229" s="449">
        <v>0</v>
      </c>
    </row>
    <row r="1230" spans="1:9" ht="15.75" customHeight="1" x14ac:dyDescent="0.2">
      <c r="A1230" s="437"/>
      <c r="B1230" s="437"/>
      <c r="C1230" s="436"/>
      <c r="D1230" s="467">
        <v>46719</v>
      </c>
      <c r="E1230" s="436" t="s">
        <v>599</v>
      </c>
      <c r="F1230" s="436">
        <v>53133127.990000002</v>
      </c>
      <c r="G1230" s="448">
        <v>39356.609999999404</v>
      </c>
      <c r="H1230" s="436">
        <v>0</v>
      </c>
      <c r="I1230" s="449">
        <v>0</v>
      </c>
    </row>
    <row r="1231" spans="1:9" ht="15.75" customHeight="1" x14ac:dyDescent="0.2">
      <c r="A1231" s="437"/>
      <c r="B1231" s="437"/>
      <c r="C1231" s="436"/>
      <c r="D1231" s="467">
        <v>46720</v>
      </c>
      <c r="E1231" s="436" t="s">
        <v>598</v>
      </c>
      <c r="F1231" s="436">
        <v>53172484.590000004</v>
      </c>
      <c r="G1231" s="448">
        <v>39356.60000000149</v>
      </c>
      <c r="H1231" s="436">
        <v>0</v>
      </c>
      <c r="I1231" s="449">
        <v>0</v>
      </c>
    </row>
    <row r="1232" spans="1:9" ht="15.75" customHeight="1" x14ac:dyDescent="0.2">
      <c r="A1232" s="437"/>
      <c r="B1232" s="437"/>
      <c r="C1232" s="436"/>
      <c r="D1232" s="467">
        <v>46721</v>
      </c>
      <c r="E1232" s="436" t="s">
        <v>597</v>
      </c>
      <c r="F1232" s="436">
        <v>53211841.200000003</v>
      </c>
      <c r="G1232" s="448">
        <v>39356.609999999404</v>
      </c>
      <c r="H1232" s="436">
        <v>0</v>
      </c>
      <c r="I1232" s="449">
        <v>0</v>
      </c>
    </row>
    <row r="1233" spans="1:9" ht="15.75" customHeight="1" x14ac:dyDescent="0.2">
      <c r="A1233" s="437"/>
      <c r="B1233" s="437"/>
      <c r="C1233" s="436"/>
      <c r="D1233" s="467">
        <v>46722</v>
      </c>
      <c r="E1233" s="436" t="s">
        <v>603</v>
      </c>
      <c r="F1233" s="436">
        <v>53251197.799999997</v>
      </c>
      <c r="G1233" s="448">
        <v>39356.59999999404</v>
      </c>
      <c r="H1233" s="436">
        <v>275496.22999999672</v>
      </c>
      <c r="I1233" s="449">
        <v>550992.46999999881</v>
      </c>
    </row>
    <row r="1234" spans="1:9" ht="15.75" customHeight="1" x14ac:dyDescent="0.2">
      <c r="A1234" s="437"/>
      <c r="B1234" s="437"/>
      <c r="C1234" s="436"/>
      <c r="D1234" s="467">
        <v>46723</v>
      </c>
      <c r="E1234" s="436" t="s">
        <v>602</v>
      </c>
      <c r="F1234" s="436">
        <v>53290554.409999996</v>
      </c>
      <c r="G1234" s="448">
        <v>39356.609999999404</v>
      </c>
      <c r="H1234" s="436">
        <v>0</v>
      </c>
      <c r="I1234" s="449">
        <v>0</v>
      </c>
    </row>
    <row r="1235" spans="1:9" ht="15.75" customHeight="1" x14ac:dyDescent="0.2">
      <c r="A1235" s="437"/>
      <c r="B1235" s="437"/>
      <c r="C1235" s="436"/>
      <c r="D1235" s="467">
        <v>46724</v>
      </c>
      <c r="E1235" s="436" t="s">
        <v>601</v>
      </c>
      <c r="F1235" s="436">
        <v>53329911.009999998</v>
      </c>
      <c r="G1235" s="448">
        <v>39356.60000000149</v>
      </c>
      <c r="H1235" s="436">
        <v>0</v>
      </c>
      <c r="I1235" s="449">
        <v>0</v>
      </c>
    </row>
    <row r="1236" spans="1:9" ht="15.75" customHeight="1" x14ac:dyDescent="0.2">
      <c r="A1236" s="437"/>
      <c r="B1236" s="437"/>
      <c r="C1236" s="436"/>
      <c r="D1236" s="467">
        <v>46725</v>
      </c>
      <c r="E1236" s="436" t="s">
        <v>600</v>
      </c>
      <c r="F1236" s="436">
        <v>53369267.619999997</v>
      </c>
      <c r="G1236" s="448">
        <v>39356.609999999404</v>
      </c>
      <c r="H1236" s="436">
        <v>0</v>
      </c>
      <c r="I1236" s="449">
        <v>0</v>
      </c>
    </row>
    <row r="1237" spans="1:9" ht="15.75" customHeight="1" x14ac:dyDescent="0.2">
      <c r="A1237" s="437"/>
      <c r="B1237" s="437"/>
      <c r="C1237" s="436"/>
      <c r="D1237" s="467">
        <v>46726</v>
      </c>
      <c r="E1237" s="436" t="s">
        <v>599</v>
      </c>
      <c r="F1237" s="436">
        <v>53408624.219999999</v>
      </c>
      <c r="G1237" s="448">
        <v>39356.60000000149</v>
      </c>
      <c r="H1237" s="436">
        <v>0</v>
      </c>
      <c r="I1237" s="449">
        <v>0</v>
      </c>
    </row>
    <row r="1238" spans="1:9" ht="15.75" customHeight="1" x14ac:dyDescent="0.2">
      <c r="A1238" s="437"/>
      <c r="B1238" s="437"/>
      <c r="C1238" s="436"/>
      <c r="D1238" s="467">
        <v>46727</v>
      </c>
      <c r="E1238" s="436" t="s">
        <v>598</v>
      </c>
      <c r="F1238" s="436">
        <v>53447980.829999998</v>
      </c>
      <c r="G1238" s="448">
        <v>39356.609999999404</v>
      </c>
      <c r="H1238" s="436">
        <v>0</v>
      </c>
      <c r="I1238" s="449">
        <v>0</v>
      </c>
    </row>
    <row r="1239" spans="1:9" ht="15.75" customHeight="1" x14ac:dyDescent="0.2">
      <c r="A1239" s="437"/>
      <c r="B1239" s="437"/>
      <c r="C1239" s="436"/>
      <c r="D1239" s="467">
        <v>46728</v>
      </c>
      <c r="E1239" s="436" t="s">
        <v>597</v>
      </c>
      <c r="F1239" s="436">
        <v>53487337.439999998</v>
      </c>
      <c r="G1239" s="448">
        <v>39356.609999999404</v>
      </c>
      <c r="H1239" s="436">
        <v>0</v>
      </c>
      <c r="I1239" s="449">
        <v>0</v>
      </c>
    </row>
    <row r="1240" spans="1:9" ht="15.75" customHeight="1" x14ac:dyDescent="0.2">
      <c r="A1240" s="437"/>
      <c r="B1240" s="437"/>
      <c r="C1240" s="436"/>
      <c r="D1240" s="467">
        <v>46729</v>
      </c>
      <c r="E1240" s="436" t="s">
        <v>603</v>
      </c>
      <c r="F1240" s="436">
        <v>53526694.039999999</v>
      </c>
      <c r="G1240" s="448">
        <v>39356.60000000149</v>
      </c>
      <c r="H1240" s="436">
        <v>275496.24000000209</v>
      </c>
      <c r="I1240" s="449">
        <v>0</v>
      </c>
    </row>
    <row r="1241" spans="1:9" ht="15.75" customHeight="1" x14ac:dyDescent="0.2">
      <c r="A1241" s="437"/>
      <c r="B1241" s="437"/>
      <c r="C1241" s="436"/>
      <c r="D1241" s="467">
        <v>46730</v>
      </c>
      <c r="E1241" s="436" t="s">
        <v>602</v>
      </c>
      <c r="F1241" s="436">
        <v>53566050.649999999</v>
      </c>
      <c r="G1241" s="448">
        <v>39356.609999999404</v>
      </c>
      <c r="H1241" s="436">
        <v>0</v>
      </c>
      <c r="I1241" s="449">
        <v>0</v>
      </c>
    </row>
    <row r="1242" spans="1:9" ht="15.75" customHeight="1" x14ac:dyDescent="0.2">
      <c r="A1242" s="437"/>
      <c r="B1242" s="437"/>
      <c r="C1242" s="436"/>
      <c r="D1242" s="467">
        <v>46731</v>
      </c>
      <c r="E1242" s="436" t="s">
        <v>601</v>
      </c>
      <c r="F1242" s="436">
        <v>53605407.25</v>
      </c>
      <c r="G1242" s="448">
        <v>39356.60000000149</v>
      </c>
      <c r="H1242" s="436">
        <v>0</v>
      </c>
      <c r="I1242" s="449">
        <v>0</v>
      </c>
    </row>
    <row r="1243" spans="1:9" ht="15.75" customHeight="1" x14ac:dyDescent="0.2">
      <c r="A1243" s="437"/>
      <c r="B1243" s="437"/>
      <c r="C1243" s="436"/>
      <c r="D1243" s="467">
        <v>46732</v>
      </c>
      <c r="E1243" s="436" t="s">
        <v>600</v>
      </c>
      <c r="F1243" s="436">
        <v>53644763.859999999</v>
      </c>
      <c r="G1243" s="448">
        <v>39356.609999999404</v>
      </c>
      <c r="H1243" s="436">
        <v>0</v>
      </c>
      <c r="I1243" s="449">
        <v>0</v>
      </c>
    </row>
    <row r="1244" spans="1:9" ht="15.75" customHeight="1" x14ac:dyDescent="0.2">
      <c r="A1244" s="437"/>
      <c r="B1244" s="437"/>
      <c r="C1244" s="436"/>
      <c r="D1244" s="467">
        <v>46733</v>
      </c>
      <c r="E1244" s="436" t="s">
        <v>599</v>
      </c>
      <c r="F1244" s="436">
        <v>53684120.460000001</v>
      </c>
      <c r="G1244" s="448">
        <v>39356.60000000149</v>
      </c>
      <c r="H1244" s="436">
        <v>0</v>
      </c>
      <c r="I1244" s="449">
        <v>0</v>
      </c>
    </row>
    <row r="1245" spans="1:9" ht="15.75" customHeight="1" x14ac:dyDescent="0.2">
      <c r="A1245" s="437"/>
      <c r="B1245" s="437"/>
      <c r="C1245" s="436"/>
      <c r="D1245" s="467">
        <v>46734</v>
      </c>
      <c r="E1245" s="436" t="s">
        <v>598</v>
      </c>
      <c r="F1245" s="436">
        <v>53723477.07</v>
      </c>
      <c r="G1245" s="448">
        <v>39356.609999999404</v>
      </c>
      <c r="H1245" s="436">
        <v>0</v>
      </c>
      <c r="I1245" s="449">
        <v>0</v>
      </c>
    </row>
    <row r="1246" spans="1:9" ht="15.75" customHeight="1" x14ac:dyDescent="0.2">
      <c r="A1246" s="437"/>
      <c r="B1246" s="437"/>
      <c r="C1246" s="436"/>
      <c r="D1246" s="467">
        <v>46735</v>
      </c>
      <c r="E1246" s="436" t="s">
        <v>597</v>
      </c>
      <c r="F1246" s="436">
        <v>53762833.670000002</v>
      </c>
      <c r="G1246" s="448">
        <v>39356.60000000149</v>
      </c>
      <c r="H1246" s="436">
        <v>0</v>
      </c>
      <c r="I1246" s="449">
        <v>0</v>
      </c>
    </row>
    <row r="1247" spans="1:9" ht="15.75" customHeight="1" x14ac:dyDescent="0.2">
      <c r="A1247" s="437"/>
      <c r="B1247" s="437"/>
      <c r="C1247" s="436"/>
      <c r="D1247" s="467">
        <v>46736</v>
      </c>
      <c r="E1247" s="436" t="s">
        <v>603</v>
      </c>
      <c r="F1247" s="436">
        <v>53802190.280000001</v>
      </c>
      <c r="G1247" s="448">
        <v>39356.609999999404</v>
      </c>
      <c r="H1247" s="436">
        <v>275496.24000000209</v>
      </c>
      <c r="I1247" s="449">
        <v>550992.48000000417</v>
      </c>
    </row>
    <row r="1248" spans="1:9" ht="15.75" customHeight="1" x14ac:dyDescent="0.2">
      <c r="A1248" s="437"/>
      <c r="B1248" s="437"/>
      <c r="C1248" s="436"/>
      <c r="D1248" s="467">
        <v>46737</v>
      </c>
      <c r="E1248" s="436" t="s">
        <v>602</v>
      </c>
      <c r="F1248" s="436">
        <v>53841546.880000003</v>
      </c>
      <c r="G1248" s="448">
        <v>39356.60000000149</v>
      </c>
      <c r="H1248" s="436">
        <v>0</v>
      </c>
      <c r="I1248" s="449">
        <v>0</v>
      </c>
    </row>
    <row r="1249" spans="1:9" ht="15.75" customHeight="1" x14ac:dyDescent="0.2">
      <c r="A1249" s="437"/>
      <c r="B1249" s="437"/>
      <c r="C1249" s="436"/>
      <c r="D1249" s="467">
        <v>46738</v>
      </c>
      <c r="E1249" s="436" t="s">
        <v>601</v>
      </c>
      <c r="F1249" s="436">
        <v>53880903.490000002</v>
      </c>
      <c r="G1249" s="448">
        <v>39356.609999999404</v>
      </c>
      <c r="H1249" s="436">
        <v>0</v>
      </c>
      <c r="I1249" s="449">
        <v>0</v>
      </c>
    </row>
    <row r="1250" spans="1:9" ht="15.75" customHeight="1" x14ac:dyDescent="0.2">
      <c r="A1250" s="437"/>
      <c r="B1250" s="437"/>
      <c r="C1250" s="436"/>
      <c r="D1250" s="467">
        <v>46739</v>
      </c>
      <c r="E1250" s="436" t="s">
        <v>600</v>
      </c>
      <c r="F1250" s="436">
        <v>53920260.090000004</v>
      </c>
      <c r="G1250" s="448">
        <v>39356.60000000149</v>
      </c>
      <c r="H1250" s="436">
        <v>0</v>
      </c>
      <c r="I1250" s="449">
        <v>0</v>
      </c>
    </row>
    <row r="1251" spans="1:9" ht="15.75" customHeight="1" x14ac:dyDescent="0.2">
      <c r="A1251" s="437"/>
      <c r="B1251" s="437"/>
      <c r="C1251" s="436"/>
      <c r="D1251" s="467">
        <v>46740</v>
      </c>
      <c r="E1251" s="436" t="s">
        <v>599</v>
      </c>
      <c r="F1251" s="436">
        <v>53959616.700000003</v>
      </c>
      <c r="G1251" s="448">
        <v>39356.609999999404</v>
      </c>
      <c r="H1251" s="436">
        <v>0</v>
      </c>
      <c r="I1251" s="449">
        <v>0</v>
      </c>
    </row>
    <row r="1252" spans="1:9" ht="15.75" customHeight="1" x14ac:dyDescent="0.2">
      <c r="A1252" s="437"/>
      <c r="B1252" s="437"/>
      <c r="C1252" s="436"/>
      <c r="D1252" s="467">
        <v>46741</v>
      </c>
      <c r="E1252" s="436" t="s">
        <v>598</v>
      </c>
      <c r="F1252" s="436">
        <v>53998973.299999997</v>
      </c>
      <c r="G1252" s="448">
        <v>39356.59999999404</v>
      </c>
      <c r="H1252" s="436">
        <v>0</v>
      </c>
      <c r="I1252" s="449">
        <v>0</v>
      </c>
    </row>
    <row r="1253" spans="1:9" ht="15.75" customHeight="1" x14ac:dyDescent="0.2">
      <c r="A1253" s="437"/>
      <c r="B1253" s="437"/>
      <c r="C1253" s="436"/>
      <c r="D1253" s="467">
        <v>46742</v>
      </c>
      <c r="E1253" s="436" t="s">
        <v>597</v>
      </c>
      <c r="F1253" s="436">
        <v>54038329.909999996</v>
      </c>
      <c r="G1253" s="448">
        <v>39356.609999999404</v>
      </c>
      <c r="H1253" s="436">
        <v>0</v>
      </c>
      <c r="I1253" s="449">
        <v>0</v>
      </c>
    </row>
    <row r="1254" spans="1:9" ht="15.75" customHeight="1" x14ac:dyDescent="0.2">
      <c r="A1254" s="437"/>
      <c r="B1254" s="437"/>
      <c r="C1254" s="436"/>
      <c r="D1254" s="467">
        <v>46743</v>
      </c>
      <c r="E1254" s="436" t="s">
        <v>603</v>
      </c>
      <c r="F1254" s="436">
        <v>54077686.509999998</v>
      </c>
      <c r="G1254" s="448">
        <v>39356.60000000149</v>
      </c>
      <c r="H1254" s="436">
        <v>275496.22999999672</v>
      </c>
      <c r="I1254" s="449">
        <v>0</v>
      </c>
    </row>
    <row r="1255" spans="1:9" ht="15.75" customHeight="1" x14ac:dyDescent="0.2">
      <c r="A1255" s="437"/>
      <c r="B1255" s="437"/>
      <c r="C1255" s="436"/>
      <c r="D1255" s="467">
        <v>46744</v>
      </c>
      <c r="E1255" s="436" t="s">
        <v>602</v>
      </c>
      <c r="F1255" s="436">
        <v>54117043.119999997</v>
      </c>
      <c r="G1255" s="448">
        <v>39356.609999999404</v>
      </c>
      <c r="H1255" s="436">
        <v>0</v>
      </c>
      <c r="I1255" s="449">
        <v>0</v>
      </c>
    </row>
    <row r="1256" spans="1:9" ht="15.75" customHeight="1" x14ac:dyDescent="0.2">
      <c r="A1256" s="437"/>
      <c r="B1256" s="437"/>
      <c r="C1256" s="436"/>
      <c r="D1256" s="467">
        <v>46745</v>
      </c>
      <c r="E1256" s="436" t="s">
        <v>601</v>
      </c>
      <c r="F1256" s="436">
        <v>54156399.719999999</v>
      </c>
      <c r="G1256" s="448">
        <v>39356.60000000149</v>
      </c>
      <c r="H1256" s="436">
        <v>0</v>
      </c>
      <c r="I1256" s="449">
        <v>0</v>
      </c>
    </row>
    <row r="1257" spans="1:9" ht="15.75" customHeight="1" x14ac:dyDescent="0.2">
      <c r="A1257" s="437"/>
      <c r="B1257" s="437"/>
      <c r="C1257" s="436"/>
      <c r="D1257" s="467">
        <v>46746</v>
      </c>
      <c r="E1257" s="436" t="s">
        <v>600</v>
      </c>
      <c r="F1257" s="436">
        <v>54195756.329999998</v>
      </c>
      <c r="G1257" s="448">
        <v>39356.609999999404</v>
      </c>
      <c r="H1257" s="436">
        <v>0</v>
      </c>
      <c r="I1257" s="449">
        <v>0</v>
      </c>
    </row>
    <row r="1258" spans="1:9" ht="15.75" customHeight="1" x14ac:dyDescent="0.2">
      <c r="A1258" s="437"/>
      <c r="B1258" s="437"/>
      <c r="C1258" s="436"/>
      <c r="D1258" s="467">
        <v>46747</v>
      </c>
      <c r="E1258" s="436" t="s">
        <v>599</v>
      </c>
      <c r="F1258" s="436">
        <v>54235112.93</v>
      </c>
      <c r="G1258" s="448">
        <v>39356.60000000149</v>
      </c>
      <c r="H1258" s="436">
        <v>0</v>
      </c>
      <c r="I1258" s="449">
        <v>0</v>
      </c>
    </row>
    <row r="1259" spans="1:9" ht="15.75" customHeight="1" x14ac:dyDescent="0.2">
      <c r="A1259" s="437"/>
      <c r="B1259" s="437"/>
      <c r="C1259" s="436"/>
      <c r="D1259" s="467">
        <v>46748</v>
      </c>
      <c r="E1259" s="436" t="s">
        <v>598</v>
      </c>
      <c r="F1259" s="436">
        <v>54274469.539999999</v>
      </c>
      <c r="G1259" s="448">
        <v>39356.609999999404</v>
      </c>
      <c r="H1259" s="436">
        <v>0</v>
      </c>
      <c r="I1259" s="449">
        <v>0</v>
      </c>
    </row>
    <row r="1260" spans="1:9" ht="15.75" customHeight="1" x14ac:dyDescent="0.2">
      <c r="A1260" s="437"/>
      <c r="B1260" s="437"/>
      <c r="C1260" s="436"/>
      <c r="D1260" s="467">
        <v>46749</v>
      </c>
      <c r="E1260" s="436" t="s">
        <v>597</v>
      </c>
      <c r="F1260" s="436">
        <v>54313826.140000001</v>
      </c>
      <c r="G1260" s="448">
        <v>39356.60000000149</v>
      </c>
      <c r="H1260" s="436">
        <v>0</v>
      </c>
      <c r="I1260" s="449">
        <v>0</v>
      </c>
    </row>
    <row r="1261" spans="1:9" ht="15.75" customHeight="1" x14ac:dyDescent="0.2">
      <c r="A1261" s="437"/>
      <c r="B1261" s="437"/>
      <c r="C1261" s="436"/>
      <c r="D1261" s="467">
        <v>46750</v>
      </c>
      <c r="E1261" s="436" t="s">
        <v>603</v>
      </c>
      <c r="F1261" s="436">
        <v>54353182.75</v>
      </c>
      <c r="G1261" s="448">
        <v>39356.609999999404</v>
      </c>
      <c r="H1261" s="436">
        <v>275496.24000000209</v>
      </c>
      <c r="I1261" s="449">
        <v>550992.46999999881</v>
      </c>
    </row>
    <row r="1262" spans="1:9" ht="15.75" customHeight="1" x14ac:dyDescent="0.2">
      <c r="A1262" s="437"/>
      <c r="B1262" s="437"/>
      <c r="C1262" s="436"/>
      <c r="D1262" s="467">
        <v>46751</v>
      </c>
      <c r="E1262" s="436" t="s">
        <v>602</v>
      </c>
      <c r="F1262" s="436">
        <v>54392539.350000001</v>
      </c>
      <c r="G1262" s="448">
        <v>39356.60000000149</v>
      </c>
      <c r="H1262" s="436">
        <v>0</v>
      </c>
      <c r="I1262" s="449">
        <v>0</v>
      </c>
    </row>
    <row r="1263" spans="1:9" ht="15.75" customHeight="1" x14ac:dyDescent="0.2">
      <c r="A1263" s="437"/>
      <c r="B1263" s="437"/>
      <c r="C1263" s="436"/>
      <c r="D1263" s="467">
        <v>46752</v>
      </c>
      <c r="E1263" s="436" t="s">
        <v>601</v>
      </c>
      <c r="F1263" s="436">
        <v>54431895.960000001</v>
      </c>
      <c r="G1263" s="448">
        <v>39356.609999999404</v>
      </c>
      <c r="H1263" s="436">
        <v>0</v>
      </c>
      <c r="I1263" s="449">
        <v>0</v>
      </c>
    </row>
    <row r="1264" spans="1:9" ht="15.75" customHeight="1" x14ac:dyDescent="0.2">
      <c r="A1264" s="437"/>
      <c r="B1264" s="437"/>
      <c r="C1264" s="436"/>
      <c r="D1264" s="467">
        <v>46753</v>
      </c>
      <c r="E1264" s="436" t="s">
        <v>600</v>
      </c>
      <c r="F1264" s="436">
        <v>54471252.560000002</v>
      </c>
      <c r="G1264" s="448">
        <v>39356.60000000149</v>
      </c>
      <c r="H1264" s="436">
        <v>0</v>
      </c>
      <c r="I1264" s="449">
        <v>0</v>
      </c>
    </row>
    <row r="1265" spans="1:9" ht="15.75" customHeight="1" x14ac:dyDescent="0.2">
      <c r="A1265" s="437"/>
      <c r="B1265" s="437"/>
      <c r="C1265" s="436"/>
      <c r="D1265" s="467">
        <v>46754</v>
      </c>
      <c r="E1265" s="436" t="s">
        <v>599</v>
      </c>
      <c r="F1265" s="436">
        <v>54510609.170000002</v>
      </c>
      <c r="G1265" s="448">
        <v>39356.609999999404</v>
      </c>
      <c r="H1265" s="436">
        <v>0</v>
      </c>
      <c r="I1265" s="449">
        <v>0</v>
      </c>
    </row>
    <row r="1266" spans="1:9" ht="15.75" customHeight="1" x14ac:dyDescent="0.2">
      <c r="A1266" s="437"/>
      <c r="B1266" s="437"/>
      <c r="C1266" s="436"/>
      <c r="D1266" s="467">
        <v>46755</v>
      </c>
      <c r="E1266" s="436" t="s">
        <v>598</v>
      </c>
      <c r="F1266" s="436">
        <v>54549965.770000003</v>
      </c>
      <c r="G1266" s="448">
        <v>39356.60000000149</v>
      </c>
      <c r="H1266" s="436">
        <v>0</v>
      </c>
      <c r="I1266" s="449">
        <v>0</v>
      </c>
    </row>
    <row r="1267" spans="1:9" ht="15.75" customHeight="1" x14ac:dyDescent="0.2">
      <c r="A1267" s="437"/>
      <c r="B1267" s="437"/>
      <c r="C1267" s="436"/>
      <c r="D1267" s="467">
        <v>46756</v>
      </c>
      <c r="E1267" s="436" t="s">
        <v>597</v>
      </c>
      <c r="F1267" s="436">
        <v>54589322.380000003</v>
      </c>
      <c r="G1267" s="448">
        <v>39356.609999999404</v>
      </c>
      <c r="H1267" s="436">
        <v>0</v>
      </c>
      <c r="I1267" s="449">
        <v>0</v>
      </c>
    </row>
    <row r="1268" spans="1:9" ht="15.75" customHeight="1" x14ac:dyDescent="0.2">
      <c r="A1268" s="437"/>
      <c r="B1268" s="437"/>
      <c r="C1268" s="436"/>
      <c r="D1268" s="467">
        <v>46757</v>
      </c>
      <c r="E1268" s="436" t="s">
        <v>603</v>
      </c>
      <c r="F1268" s="436">
        <v>54628678.979999997</v>
      </c>
      <c r="G1268" s="448">
        <v>39356.59999999404</v>
      </c>
      <c r="H1268" s="436">
        <v>275496.22999999672</v>
      </c>
      <c r="I1268" s="449">
        <v>0</v>
      </c>
    </row>
    <row r="1269" spans="1:9" ht="15.75" customHeight="1" x14ac:dyDescent="0.2">
      <c r="A1269" s="437"/>
      <c r="B1269" s="437"/>
      <c r="C1269" s="436"/>
      <c r="D1269" s="467">
        <v>46758</v>
      </c>
      <c r="E1269" s="436" t="s">
        <v>602</v>
      </c>
      <c r="F1269" s="436">
        <v>54668035.590000004</v>
      </c>
      <c r="G1269" s="448">
        <v>39356.610000006855</v>
      </c>
      <c r="H1269" s="436">
        <v>0</v>
      </c>
      <c r="I1269" s="449">
        <v>0</v>
      </c>
    </row>
    <row r="1270" spans="1:9" ht="15.75" customHeight="1" x14ac:dyDescent="0.2">
      <c r="A1270" s="437"/>
      <c r="B1270" s="437"/>
      <c r="C1270" s="436"/>
      <c r="D1270" s="467">
        <v>46759</v>
      </c>
      <c r="E1270" s="436" t="s">
        <v>601</v>
      </c>
      <c r="F1270" s="436">
        <v>54707392.189999998</v>
      </c>
      <c r="G1270" s="448">
        <v>39356.59999999404</v>
      </c>
      <c r="H1270" s="436">
        <v>0</v>
      </c>
      <c r="I1270" s="449">
        <v>0</v>
      </c>
    </row>
    <row r="1271" spans="1:9" ht="15.75" customHeight="1" x14ac:dyDescent="0.2">
      <c r="A1271" s="437"/>
      <c r="B1271" s="437"/>
      <c r="C1271" s="436"/>
      <c r="D1271" s="467">
        <v>46760</v>
      </c>
      <c r="E1271" s="436" t="s">
        <v>600</v>
      </c>
      <c r="F1271" s="436">
        <v>54746748.799999997</v>
      </c>
      <c r="G1271" s="448">
        <v>39356.609999999404</v>
      </c>
      <c r="H1271" s="436">
        <v>0</v>
      </c>
      <c r="I1271" s="449">
        <v>0</v>
      </c>
    </row>
    <row r="1272" spans="1:9" ht="15.75" customHeight="1" x14ac:dyDescent="0.2">
      <c r="A1272" s="437"/>
      <c r="B1272" s="437"/>
      <c r="C1272" s="436"/>
      <c r="D1272" s="467">
        <v>46761</v>
      </c>
      <c r="E1272" s="436" t="s">
        <v>599</v>
      </c>
      <c r="F1272" s="436">
        <v>54786105.399999999</v>
      </c>
      <c r="G1272" s="448">
        <v>39356.60000000149</v>
      </c>
      <c r="H1272" s="436">
        <v>0</v>
      </c>
      <c r="I1272" s="449">
        <v>0</v>
      </c>
    </row>
    <row r="1273" spans="1:9" ht="15.75" customHeight="1" x14ac:dyDescent="0.2">
      <c r="A1273" s="437"/>
      <c r="B1273" s="437"/>
      <c r="C1273" s="436"/>
      <c r="D1273" s="467">
        <v>46762</v>
      </c>
      <c r="E1273" s="436" t="s">
        <v>598</v>
      </c>
      <c r="F1273" s="436">
        <v>54825462.009999998</v>
      </c>
      <c r="G1273" s="448">
        <v>39356.609999999404</v>
      </c>
      <c r="H1273" s="436">
        <v>0</v>
      </c>
      <c r="I1273" s="449">
        <v>0</v>
      </c>
    </row>
    <row r="1274" spans="1:9" ht="15.75" customHeight="1" x14ac:dyDescent="0.2">
      <c r="A1274" s="437"/>
      <c r="B1274" s="437"/>
      <c r="C1274" s="436"/>
      <c r="D1274" s="467">
        <v>46763</v>
      </c>
      <c r="E1274" s="436" t="s">
        <v>597</v>
      </c>
      <c r="F1274" s="436">
        <v>54864818.609999999</v>
      </c>
      <c r="G1274" s="448">
        <v>39356.60000000149</v>
      </c>
      <c r="H1274" s="436">
        <v>0</v>
      </c>
      <c r="I1274" s="449">
        <v>0</v>
      </c>
    </row>
    <row r="1275" spans="1:9" ht="15.75" customHeight="1" x14ac:dyDescent="0.2">
      <c r="A1275" s="437"/>
      <c r="B1275" s="437"/>
      <c r="C1275" s="436"/>
      <c r="D1275" s="467">
        <v>46764</v>
      </c>
      <c r="E1275" s="436" t="s">
        <v>603</v>
      </c>
      <c r="F1275" s="436">
        <v>54904175.219999999</v>
      </c>
      <c r="G1275" s="448">
        <v>39356.609999999404</v>
      </c>
      <c r="H1275" s="436">
        <v>275496.24000000209</v>
      </c>
      <c r="I1275" s="449">
        <v>550992.46999999881</v>
      </c>
    </row>
    <row r="1276" spans="1:9" ht="15.75" customHeight="1" x14ac:dyDescent="0.2">
      <c r="A1276" s="437"/>
      <c r="B1276" s="437"/>
      <c r="C1276" s="436"/>
      <c r="D1276" s="467">
        <v>46765</v>
      </c>
      <c r="E1276" s="436" t="s">
        <v>602</v>
      </c>
      <c r="F1276" s="436">
        <v>54943531.82</v>
      </c>
      <c r="G1276" s="448">
        <v>39356.60000000149</v>
      </c>
      <c r="H1276" s="436">
        <v>0</v>
      </c>
      <c r="I1276" s="449">
        <v>0</v>
      </c>
    </row>
    <row r="1277" spans="1:9" ht="15.75" customHeight="1" x14ac:dyDescent="0.2">
      <c r="A1277" s="437"/>
      <c r="B1277" s="437"/>
      <c r="C1277" s="436"/>
      <c r="D1277" s="467">
        <v>46766</v>
      </c>
      <c r="E1277" s="436" t="s">
        <v>601</v>
      </c>
      <c r="F1277" s="436">
        <v>54982888.43</v>
      </c>
      <c r="G1277" s="448">
        <v>39356.609999999404</v>
      </c>
      <c r="H1277" s="436">
        <v>0</v>
      </c>
      <c r="I1277" s="449">
        <v>0</v>
      </c>
    </row>
    <row r="1278" spans="1:9" ht="15.75" customHeight="1" x14ac:dyDescent="0.2">
      <c r="A1278" s="437"/>
      <c r="B1278" s="437"/>
      <c r="C1278" s="436"/>
      <c r="D1278" s="467">
        <v>46767</v>
      </c>
      <c r="E1278" s="436" t="s">
        <v>600</v>
      </c>
      <c r="F1278" s="436">
        <v>55022245.030000001</v>
      </c>
      <c r="G1278" s="448">
        <v>39356.60000000149</v>
      </c>
      <c r="H1278" s="436">
        <v>0</v>
      </c>
      <c r="I1278" s="449">
        <v>0</v>
      </c>
    </row>
    <row r="1279" spans="1:9" ht="15.75" customHeight="1" x14ac:dyDescent="0.2">
      <c r="A1279" s="437"/>
      <c r="B1279" s="437"/>
      <c r="C1279" s="436"/>
      <c r="D1279" s="467">
        <v>46768</v>
      </c>
      <c r="E1279" s="436" t="s">
        <v>599</v>
      </c>
      <c r="F1279" s="436">
        <v>55061601.640000001</v>
      </c>
      <c r="G1279" s="448">
        <v>39356.609999999404</v>
      </c>
      <c r="H1279" s="436">
        <v>0</v>
      </c>
      <c r="I1279" s="449">
        <v>0</v>
      </c>
    </row>
    <row r="1280" spans="1:9" ht="15.75" customHeight="1" x14ac:dyDescent="0.2">
      <c r="A1280" s="437"/>
      <c r="B1280" s="437"/>
      <c r="C1280" s="436"/>
      <c r="D1280" s="467">
        <v>46769</v>
      </c>
      <c r="E1280" s="436" t="s">
        <v>598</v>
      </c>
      <c r="F1280" s="436">
        <v>55100958.240000002</v>
      </c>
      <c r="G1280" s="448">
        <v>39356.60000000149</v>
      </c>
      <c r="H1280" s="436">
        <v>0</v>
      </c>
      <c r="I1280" s="449">
        <v>0</v>
      </c>
    </row>
    <row r="1281" spans="1:9" ht="15.75" customHeight="1" x14ac:dyDescent="0.2">
      <c r="A1281" s="437"/>
      <c r="B1281" s="437"/>
      <c r="C1281" s="436"/>
      <c r="D1281" s="467">
        <v>46770</v>
      </c>
      <c r="E1281" s="436" t="s">
        <v>597</v>
      </c>
      <c r="F1281" s="436">
        <v>55140314.850000001</v>
      </c>
      <c r="G1281" s="448">
        <v>39356.609999999404</v>
      </c>
      <c r="H1281" s="436">
        <v>0</v>
      </c>
      <c r="I1281" s="449">
        <v>0</v>
      </c>
    </row>
    <row r="1282" spans="1:9" ht="15.75" customHeight="1" x14ac:dyDescent="0.2">
      <c r="A1282" s="437"/>
      <c r="B1282" s="437"/>
      <c r="C1282" s="436"/>
      <c r="D1282" s="467">
        <v>46771</v>
      </c>
      <c r="E1282" s="436" t="s">
        <v>603</v>
      </c>
      <c r="F1282" s="436">
        <v>55179671.450000003</v>
      </c>
      <c r="G1282" s="448">
        <v>39356.60000000149</v>
      </c>
      <c r="H1282" s="436">
        <v>275496.23000000417</v>
      </c>
      <c r="I1282" s="449">
        <v>0</v>
      </c>
    </row>
    <row r="1283" spans="1:9" ht="15.75" customHeight="1" x14ac:dyDescent="0.2">
      <c r="A1283" s="437"/>
      <c r="B1283" s="437"/>
      <c r="C1283" s="436"/>
      <c r="D1283" s="467">
        <v>46772</v>
      </c>
      <c r="E1283" s="436" t="s">
        <v>602</v>
      </c>
      <c r="F1283" s="436">
        <v>55219028.060000002</v>
      </c>
      <c r="G1283" s="448">
        <v>39356.609999999404</v>
      </c>
      <c r="H1283" s="436">
        <v>0</v>
      </c>
      <c r="I1283" s="449">
        <v>0</v>
      </c>
    </row>
    <row r="1284" spans="1:9" ht="15.75" customHeight="1" x14ac:dyDescent="0.2">
      <c r="A1284" s="437"/>
      <c r="B1284" s="437"/>
      <c r="C1284" s="436"/>
      <c r="D1284" s="467">
        <v>46773</v>
      </c>
      <c r="E1284" s="436" t="s">
        <v>601</v>
      </c>
      <c r="F1284" s="436">
        <v>55258384.659999996</v>
      </c>
      <c r="G1284" s="448">
        <v>39356.59999999404</v>
      </c>
      <c r="H1284" s="436">
        <v>0</v>
      </c>
      <c r="I1284" s="449">
        <v>0</v>
      </c>
    </row>
    <row r="1285" spans="1:9" ht="15.75" customHeight="1" x14ac:dyDescent="0.2">
      <c r="A1285" s="437"/>
      <c r="B1285" s="437"/>
      <c r="C1285" s="436"/>
      <c r="D1285" s="467">
        <v>46774</v>
      </c>
      <c r="E1285" s="436" t="s">
        <v>600</v>
      </c>
      <c r="F1285" s="436">
        <v>55297741.270000003</v>
      </c>
      <c r="G1285" s="448">
        <v>39356.610000006855</v>
      </c>
      <c r="H1285" s="436">
        <v>0</v>
      </c>
      <c r="I1285" s="449">
        <v>0</v>
      </c>
    </row>
    <row r="1286" spans="1:9" ht="15.75" customHeight="1" x14ac:dyDescent="0.2">
      <c r="A1286" s="437"/>
      <c r="B1286" s="437"/>
      <c r="C1286" s="436"/>
      <c r="D1286" s="467">
        <v>46775</v>
      </c>
      <c r="E1286" s="436" t="s">
        <v>599</v>
      </c>
      <c r="F1286" s="436">
        <v>55337097.869999997</v>
      </c>
      <c r="G1286" s="448">
        <v>39356.59999999404</v>
      </c>
      <c r="H1286" s="436">
        <v>0</v>
      </c>
      <c r="I1286" s="449">
        <v>0</v>
      </c>
    </row>
    <row r="1287" spans="1:9" ht="15.75" customHeight="1" x14ac:dyDescent="0.2">
      <c r="A1287" s="437"/>
      <c r="B1287" s="437"/>
      <c r="C1287" s="436"/>
      <c r="D1287" s="467">
        <v>46776</v>
      </c>
      <c r="E1287" s="436" t="s">
        <v>598</v>
      </c>
      <c r="F1287" s="436">
        <v>55376454.479999997</v>
      </c>
      <c r="G1287" s="448">
        <v>39356.609999999404</v>
      </c>
      <c r="H1287" s="436">
        <v>0</v>
      </c>
      <c r="I1287" s="449">
        <v>0</v>
      </c>
    </row>
    <row r="1288" spans="1:9" ht="15.75" customHeight="1" x14ac:dyDescent="0.2">
      <c r="A1288" s="437"/>
      <c r="B1288" s="437"/>
      <c r="C1288" s="436"/>
      <c r="D1288" s="467">
        <v>46777</v>
      </c>
      <c r="E1288" s="436" t="s">
        <v>597</v>
      </c>
      <c r="F1288" s="436">
        <v>55415811.079999998</v>
      </c>
      <c r="G1288" s="448">
        <v>39356.60000000149</v>
      </c>
      <c r="H1288" s="436">
        <v>0</v>
      </c>
      <c r="I1288" s="449">
        <v>0</v>
      </c>
    </row>
    <row r="1289" spans="1:9" ht="15.75" customHeight="1" x14ac:dyDescent="0.2">
      <c r="A1289" s="437"/>
      <c r="B1289" s="437"/>
      <c r="C1289" s="436"/>
      <c r="D1289" s="467">
        <v>46778</v>
      </c>
      <c r="E1289" s="436" t="s">
        <v>603</v>
      </c>
      <c r="F1289" s="436">
        <v>55455167.689999998</v>
      </c>
      <c r="G1289" s="448">
        <v>39356.609999999404</v>
      </c>
      <c r="H1289" s="436">
        <v>275496.23999999464</v>
      </c>
      <c r="I1289" s="449">
        <v>550992.46999999881</v>
      </c>
    </row>
    <row r="1290" spans="1:9" ht="15.75" customHeight="1" x14ac:dyDescent="0.2">
      <c r="A1290" s="437"/>
      <c r="B1290" s="437"/>
      <c r="C1290" s="436"/>
      <c r="D1290" s="467">
        <v>46779</v>
      </c>
      <c r="E1290" s="436" t="s">
        <v>602</v>
      </c>
      <c r="F1290" s="436">
        <v>55494524.289999999</v>
      </c>
      <c r="G1290" s="448">
        <v>39356.60000000149</v>
      </c>
      <c r="H1290" s="436">
        <v>0</v>
      </c>
      <c r="I1290" s="449">
        <v>0</v>
      </c>
    </row>
    <row r="1291" spans="1:9" ht="15.75" customHeight="1" x14ac:dyDescent="0.2">
      <c r="A1291" s="437"/>
      <c r="B1291" s="437"/>
      <c r="C1291" s="436"/>
      <c r="D1291" s="467">
        <v>46780</v>
      </c>
      <c r="E1291" s="436" t="s">
        <v>601</v>
      </c>
      <c r="F1291" s="436">
        <v>55533880.899999999</v>
      </c>
      <c r="G1291" s="448">
        <v>39356.609999999404</v>
      </c>
      <c r="H1291" s="436">
        <v>0</v>
      </c>
      <c r="I1291" s="449">
        <v>0</v>
      </c>
    </row>
    <row r="1292" spans="1:9" ht="15.75" customHeight="1" x14ac:dyDescent="0.2">
      <c r="A1292" s="437"/>
      <c r="B1292" s="437"/>
      <c r="C1292" s="436"/>
      <c r="D1292" s="467">
        <v>46781</v>
      </c>
      <c r="E1292" s="436" t="s">
        <v>600</v>
      </c>
      <c r="F1292" s="436">
        <v>55573237.5</v>
      </c>
      <c r="G1292" s="448">
        <v>39356.60000000149</v>
      </c>
      <c r="H1292" s="436">
        <v>0</v>
      </c>
      <c r="I1292" s="449">
        <v>0</v>
      </c>
    </row>
    <row r="1293" spans="1:9" ht="15.75" customHeight="1" x14ac:dyDescent="0.2">
      <c r="A1293" s="437"/>
      <c r="B1293" s="437"/>
      <c r="C1293" s="436"/>
      <c r="D1293" s="467">
        <v>46782</v>
      </c>
      <c r="E1293" s="436" t="s">
        <v>599</v>
      </c>
      <c r="F1293" s="436">
        <v>55612594.109999999</v>
      </c>
      <c r="G1293" s="448">
        <v>39356.609999999404</v>
      </c>
      <c r="H1293" s="436">
        <v>0</v>
      </c>
      <c r="I1293" s="449">
        <v>0</v>
      </c>
    </row>
    <row r="1294" spans="1:9" ht="15.75" customHeight="1" x14ac:dyDescent="0.2">
      <c r="A1294" s="437"/>
      <c r="B1294" s="437"/>
      <c r="C1294" s="436"/>
      <c r="D1294" s="467">
        <v>46783</v>
      </c>
      <c r="E1294" s="436" t="s">
        <v>598</v>
      </c>
      <c r="F1294" s="436">
        <v>55651950.710000001</v>
      </c>
      <c r="G1294" s="448">
        <v>39356.60000000149</v>
      </c>
      <c r="H1294" s="436">
        <v>0</v>
      </c>
      <c r="I1294" s="449">
        <v>0</v>
      </c>
    </row>
    <row r="1295" spans="1:9" ht="15.75" customHeight="1" x14ac:dyDescent="0.2">
      <c r="A1295" s="437"/>
      <c r="B1295" s="437"/>
      <c r="C1295" s="436"/>
      <c r="D1295" s="467">
        <v>46784</v>
      </c>
      <c r="E1295" s="436" t="s">
        <v>597</v>
      </c>
      <c r="F1295" s="436">
        <v>55691307.32</v>
      </c>
      <c r="G1295" s="448">
        <v>39356.609999999404</v>
      </c>
      <c r="H1295" s="436">
        <v>0</v>
      </c>
      <c r="I1295" s="449">
        <v>0</v>
      </c>
    </row>
    <row r="1296" spans="1:9" ht="15.75" customHeight="1" x14ac:dyDescent="0.2">
      <c r="A1296" s="437"/>
      <c r="B1296" s="437"/>
      <c r="C1296" s="436"/>
      <c r="D1296" s="467">
        <v>46785</v>
      </c>
      <c r="E1296" s="436" t="s">
        <v>603</v>
      </c>
      <c r="F1296" s="436">
        <v>55730663.920000002</v>
      </c>
      <c r="G1296" s="448">
        <v>39356.60000000149</v>
      </c>
      <c r="H1296" s="436">
        <v>275496.23000000417</v>
      </c>
      <c r="I1296" s="449">
        <v>0</v>
      </c>
    </row>
    <row r="1297" spans="1:9" ht="15.75" customHeight="1" x14ac:dyDescent="0.2">
      <c r="A1297" s="437"/>
      <c r="B1297" s="437"/>
      <c r="C1297" s="436"/>
      <c r="D1297" s="467">
        <v>46786</v>
      </c>
      <c r="E1297" s="436" t="s">
        <v>602</v>
      </c>
      <c r="F1297" s="436">
        <v>55770020.530000001</v>
      </c>
      <c r="G1297" s="448">
        <v>39356.609999999404</v>
      </c>
      <c r="H1297" s="436">
        <v>0</v>
      </c>
      <c r="I1297" s="449">
        <v>0</v>
      </c>
    </row>
    <row r="1298" spans="1:9" ht="15.75" customHeight="1" x14ac:dyDescent="0.2">
      <c r="A1298" s="437"/>
      <c r="B1298" s="437"/>
      <c r="C1298" s="436"/>
      <c r="D1298" s="467">
        <v>46787</v>
      </c>
      <c r="E1298" s="436" t="s">
        <v>601</v>
      </c>
      <c r="F1298" s="436">
        <v>55809377.130000003</v>
      </c>
      <c r="G1298" s="448">
        <v>39356.60000000149</v>
      </c>
      <c r="H1298" s="436">
        <v>0</v>
      </c>
      <c r="I1298" s="449">
        <v>0</v>
      </c>
    </row>
    <row r="1299" spans="1:9" ht="15.75" customHeight="1" x14ac:dyDescent="0.2">
      <c r="A1299" s="437"/>
      <c r="B1299" s="437"/>
      <c r="C1299" s="436"/>
      <c r="D1299" s="467">
        <v>46788</v>
      </c>
      <c r="E1299" s="436" t="s">
        <v>600</v>
      </c>
      <c r="F1299" s="436">
        <v>55848733.740000002</v>
      </c>
      <c r="G1299" s="448">
        <v>39356.609999999404</v>
      </c>
      <c r="H1299" s="436">
        <v>0</v>
      </c>
      <c r="I1299" s="449">
        <v>0</v>
      </c>
    </row>
    <row r="1300" spans="1:9" ht="15.75" customHeight="1" x14ac:dyDescent="0.2">
      <c r="A1300" s="437"/>
      <c r="B1300" s="437"/>
      <c r="C1300" s="436"/>
      <c r="D1300" s="467">
        <v>46789</v>
      </c>
      <c r="E1300" s="436" t="s">
        <v>599</v>
      </c>
      <c r="F1300" s="436">
        <v>55888090.340000004</v>
      </c>
      <c r="G1300" s="448">
        <v>39356.60000000149</v>
      </c>
      <c r="H1300" s="436">
        <v>0</v>
      </c>
      <c r="I1300" s="449">
        <v>0</v>
      </c>
    </row>
    <row r="1301" spans="1:9" ht="15.75" customHeight="1" x14ac:dyDescent="0.2">
      <c r="A1301" s="437"/>
      <c r="B1301" s="437"/>
      <c r="C1301" s="436"/>
      <c r="D1301" s="467">
        <v>46790</v>
      </c>
      <c r="E1301" s="436" t="s">
        <v>598</v>
      </c>
      <c r="F1301" s="436">
        <v>55927446.950000003</v>
      </c>
      <c r="G1301" s="448">
        <v>39356.609999999404</v>
      </c>
      <c r="H1301" s="436">
        <v>0</v>
      </c>
      <c r="I1301" s="449">
        <v>0</v>
      </c>
    </row>
    <row r="1302" spans="1:9" ht="15.75" customHeight="1" x14ac:dyDescent="0.2">
      <c r="A1302" s="437"/>
      <c r="B1302" s="437"/>
      <c r="C1302" s="436"/>
      <c r="D1302" s="467">
        <v>46791</v>
      </c>
      <c r="E1302" s="436" t="s">
        <v>597</v>
      </c>
      <c r="F1302" s="436">
        <v>55966803.549999997</v>
      </c>
      <c r="G1302" s="448">
        <v>39356.59999999404</v>
      </c>
      <c r="H1302" s="436">
        <v>0</v>
      </c>
      <c r="I1302" s="449">
        <v>0</v>
      </c>
    </row>
    <row r="1303" spans="1:9" ht="15.75" customHeight="1" x14ac:dyDescent="0.2">
      <c r="A1303" s="437"/>
      <c r="B1303" s="437"/>
      <c r="C1303" s="436"/>
      <c r="D1303" s="467">
        <v>46792</v>
      </c>
      <c r="E1303" s="436" t="s">
        <v>603</v>
      </c>
      <c r="F1303" s="436">
        <v>56006160.159999996</v>
      </c>
      <c r="G1303" s="448">
        <v>39356.609999999404</v>
      </c>
      <c r="H1303" s="436">
        <v>275496.23999999464</v>
      </c>
      <c r="I1303" s="449">
        <v>550992.46999999881</v>
      </c>
    </row>
    <row r="1304" spans="1:9" ht="15.75" customHeight="1" x14ac:dyDescent="0.2">
      <c r="A1304" s="437"/>
      <c r="B1304" s="437"/>
      <c r="C1304" s="436"/>
      <c r="D1304" s="467">
        <v>46793</v>
      </c>
      <c r="E1304" s="436" t="s">
        <v>602</v>
      </c>
      <c r="F1304" s="436">
        <v>56045516.759999998</v>
      </c>
      <c r="G1304" s="448">
        <v>39356.60000000149</v>
      </c>
      <c r="H1304" s="436">
        <v>0</v>
      </c>
      <c r="I1304" s="449">
        <v>0</v>
      </c>
    </row>
    <row r="1305" spans="1:9" ht="15.75" customHeight="1" x14ac:dyDescent="0.2">
      <c r="A1305" s="437"/>
      <c r="B1305" s="437"/>
      <c r="C1305" s="436"/>
      <c r="D1305" s="467">
        <v>46794</v>
      </c>
      <c r="E1305" s="436" t="s">
        <v>601</v>
      </c>
      <c r="F1305" s="436">
        <v>56084873.369999997</v>
      </c>
      <c r="G1305" s="448">
        <v>39356.609999999404</v>
      </c>
      <c r="H1305" s="436">
        <v>0</v>
      </c>
      <c r="I1305" s="449">
        <v>0</v>
      </c>
    </row>
    <row r="1306" spans="1:9" ht="15.75" customHeight="1" x14ac:dyDescent="0.2">
      <c r="A1306" s="437"/>
      <c r="B1306" s="437"/>
      <c r="C1306" s="436"/>
      <c r="D1306" s="467">
        <v>46795</v>
      </c>
      <c r="E1306" s="436" t="s">
        <v>600</v>
      </c>
      <c r="F1306" s="436">
        <v>56124229.969999999</v>
      </c>
      <c r="G1306" s="448">
        <v>39356.60000000149</v>
      </c>
      <c r="H1306" s="436">
        <v>0</v>
      </c>
      <c r="I1306" s="449">
        <v>0</v>
      </c>
    </row>
    <row r="1307" spans="1:9" ht="15.75" customHeight="1" x14ac:dyDescent="0.2">
      <c r="A1307" s="437"/>
      <c r="B1307" s="437"/>
      <c r="C1307" s="436"/>
      <c r="D1307" s="467">
        <v>46796</v>
      </c>
      <c r="E1307" s="436" t="s">
        <v>599</v>
      </c>
      <c r="F1307" s="436">
        <v>56163586.579999998</v>
      </c>
      <c r="G1307" s="448">
        <v>39356.609999999404</v>
      </c>
      <c r="H1307" s="436">
        <v>0</v>
      </c>
      <c r="I1307" s="449">
        <v>0</v>
      </c>
    </row>
    <row r="1308" spans="1:9" ht="15.75" customHeight="1" x14ac:dyDescent="0.2">
      <c r="A1308" s="437"/>
      <c r="B1308" s="437"/>
      <c r="C1308" s="436"/>
      <c r="D1308" s="467">
        <v>46797</v>
      </c>
      <c r="E1308" s="436" t="s">
        <v>598</v>
      </c>
      <c r="F1308" s="436">
        <v>56202943.18</v>
      </c>
      <c r="G1308" s="448">
        <v>39356.60000000149</v>
      </c>
      <c r="H1308" s="436">
        <v>0</v>
      </c>
      <c r="I1308" s="449">
        <v>0</v>
      </c>
    </row>
    <row r="1309" spans="1:9" ht="15.75" customHeight="1" x14ac:dyDescent="0.2">
      <c r="A1309" s="437"/>
      <c r="B1309" s="437"/>
      <c r="C1309" s="436"/>
      <c r="D1309" s="467">
        <v>46798</v>
      </c>
      <c r="E1309" s="436" t="s">
        <v>597</v>
      </c>
      <c r="F1309" s="436">
        <v>56242299.789999999</v>
      </c>
      <c r="G1309" s="448">
        <v>39356.609999999404</v>
      </c>
      <c r="H1309" s="436">
        <v>0</v>
      </c>
      <c r="I1309" s="449">
        <v>0</v>
      </c>
    </row>
    <row r="1310" spans="1:9" ht="15.75" customHeight="1" x14ac:dyDescent="0.2">
      <c r="A1310" s="437"/>
      <c r="B1310" s="437"/>
      <c r="C1310" s="436"/>
      <c r="D1310" s="467">
        <v>46799</v>
      </c>
      <c r="E1310" s="436" t="s">
        <v>603</v>
      </c>
      <c r="F1310" s="436">
        <v>56281656.390000001</v>
      </c>
      <c r="G1310" s="448">
        <v>39356.60000000149</v>
      </c>
      <c r="H1310" s="436">
        <v>275496.23000000417</v>
      </c>
      <c r="I1310" s="449">
        <v>0</v>
      </c>
    </row>
    <row r="1311" spans="1:9" ht="15.75" customHeight="1" x14ac:dyDescent="0.2">
      <c r="A1311" s="437"/>
      <c r="B1311" s="437"/>
      <c r="C1311" s="436"/>
      <c r="D1311" s="467">
        <v>46800</v>
      </c>
      <c r="E1311" s="436" t="s">
        <v>602</v>
      </c>
      <c r="F1311" s="436">
        <v>56321013</v>
      </c>
      <c r="G1311" s="448">
        <v>39356.609999999404</v>
      </c>
      <c r="H1311" s="436">
        <v>0</v>
      </c>
      <c r="I1311" s="449">
        <v>0</v>
      </c>
    </row>
    <row r="1312" spans="1:9" ht="15.75" customHeight="1" x14ac:dyDescent="0.2">
      <c r="A1312" s="437"/>
      <c r="B1312" s="437"/>
      <c r="C1312" s="436"/>
      <c r="D1312" s="467">
        <v>46801</v>
      </c>
      <c r="E1312" s="436" t="s">
        <v>601</v>
      </c>
      <c r="F1312" s="436">
        <v>56360369.600000001</v>
      </c>
      <c r="G1312" s="448">
        <v>39356.60000000149</v>
      </c>
      <c r="H1312" s="436">
        <v>0</v>
      </c>
      <c r="I1312" s="449">
        <v>0</v>
      </c>
    </row>
    <row r="1313" spans="1:9" ht="15.75" customHeight="1" x14ac:dyDescent="0.2">
      <c r="A1313" s="437"/>
      <c r="B1313" s="437"/>
      <c r="C1313" s="436"/>
      <c r="D1313" s="467">
        <v>46802</v>
      </c>
      <c r="E1313" s="436" t="s">
        <v>600</v>
      </c>
      <c r="F1313" s="436">
        <v>56399726.210000001</v>
      </c>
      <c r="G1313" s="448">
        <v>39356.609999999404</v>
      </c>
      <c r="H1313" s="436">
        <v>0</v>
      </c>
      <c r="I1313" s="449">
        <v>0</v>
      </c>
    </row>
    <row r="1314" spans="1:9" ht="15.75" customHeight="1" x14ac:dyDescent="0.2">
      <c r="A1314" s="437"/>
      <c r="B1314" s="437"/>
      <c r="C1314" s="436"/>
      <c r="D1314" s="467">
        <v>46803</v>
      </c>
      <c r="E1314" s="436" t="s">
        <v>599</v>
      </c>
      <c r="F1314" s="436">
        <v>56439082.810000002</v>
      </c>
      <c r="G1314" s="448">
        <v>39356.60000000149</v>
      </c>
      <c r="H1314" s="436">
        <v>0</v>
      </c>
      <c r="I1314" s="449">
        <v>0</v>
      </c>
    </row>
    <row r="1315" spans="1:9" ht="15.75" customHeight="1" x14ac:dyDescent="0.2">
      <c r="A1315" s="437"/>
      <c r="B1315" s="437"/>
      <c r="C1315" s="436"/>
      <c r="D1315" s="467">
        <v>46804</v>
      </c>
      <c r="E1315" s="436" t="s">
        <v>598</v>
      </c>
      <c r="F1315" s="436">
        <v>56478439.420000002</v>
      </c>
      <c r="G1315" s="448">
        <v>39356.609999999404</v>
      </c>
      <c r="H1315" s="436">
        <v>0</v>
      </c>
      <c r="I1315" s="449">
        <v>0</v>
      </c>
    </row>
    <row r="1316" spans="1:9" ht="15.75" customHeight="1" x14ac:dyDescent="0.2">
      <c r="A1316" s="437"/>
      <c r="B1316" s="437"/>
      <c r="C1316" s="436"/>
      <c r="D1316" s="467">
        <v>46805</v>
      </c>
      <c r="E1316" s="436" t="s">
        <v>597</v>
      </c>
      <c r="F1316" s="436">
        <v>56517796.030000001</v>
      </c>
      <c r="G1316" s="448">
        <v>39356.609999999404</v>
      </c>
      <c r="H1316" s="436">
        <v>0</v>
      </c>
      <c r="I1316" s="449">
        <v>0</v>
      </c>
    </row>
    <row r="1317" spans="1:9" ht="15.75" customHeight="1" x14ac:dyDescent="0.2">
      <c r="A1317" s="437"/>
      <c r="B1317" s="437"/>
      <c r="C1317" s="436"/>
      <c r="D1317" s="467">
        <v>46806</v>
      </c>
      <c r="E1317" s="436" t="s">
        <v>603</v>
      </c>
      <c r="F1317" s="436">
        <v>56557152.630000003</v>
      </c>
      <c r="G1317" s="448">
        <v>39356.60000000149</v>
      </c>
      <c r="H1317" s="436">
        <v>275496.24000000209</v>
      </c>
      <c r="I1317" s="449">
        <v>550992.47000000626</v>
      </c>
    </row>
    <row r="1318" spans="1:9" ht="15.75" customHeight="1" x14ac:dyDescent="0.2">
      <c r="A1318" s="437"/>
      <c r="B1318" s="437"/>
      <c r="C1318" s="436"/>
      <c r="D1318" s="467">
        <v>46807</v>
      </c>
      <c r="E1318" s="436" t="s">
        <v>602</v>
      </c>
      <c r="F1318" s="436">
        <v>56596509.240000002</v>
      </c>
      <c r="G1318" s="448">
        <v>39356.609999999404</v>
      </c>
      <c r="H1318" s="436">
        <v>0</v>
      </c>
      <c r="I1318" s="449">
        <v>0</v>
      </c>
    </row>
    <row r="1319" spans="1:9" ht="15.75" customHeight="1" x14ac:dyDescent="0.2">
      <c r="A1319" s="437"/>
      <c r="B1319" s="437"/>
      <c r="C1319" s="436"/>
      <c r="D1319" s="467">
        <v>46808</v>
      </c>
      <c r="E1319" s="436" t="s">
        <v>601</v>
      </c>
      <c r="F1319" s="436">
        <v>56635865.840000004</v>
      </c>
      <c r="G1319" s="448">
        <v>39356.60000000149</v>
      </c>
      <c r="H1319" s="436">
        <v>0</v>
      </c>
      <c r="I1319" s="449">
        <v>0</v>
      </c>
    </row>
    <row r="1320" spans="1:9" ht="15.75" customHeight="1" x14ac:dyDescent="0.2">
      <c r="A1320" s="437"/>
      <c r="B1320" s="437"/>
      <c r="C1320" s="436"/>
      <c r="D1320" s="467">
        <v>46809</v>
      </c>
      <c r="E1320" s="436" t="s">
        <v>600</v>
      </c>
      <c r="F1320" s="436">
        <v>56675222.450000003</v>
      </c>
      <c r="G1320" s="448">
        <v>39356.609999999404</v>
      </c>
      <c r="H1320" s="436">
        <v>0</v>
      </c>
      <c r="I1320" s="449">
        <v>0</v>
      </c>
    </row>
    <row r="1321" spans="1:9" ht="15.75" customHeight="1" x14ac:dyDescent="0.2">
      <c r="A1321" s="437"/>
      <c r="B1321" s="437"/>
      <c r="C1321" s="436"/>
      <c r="D1321" s="467">
        <v>46810</v>
      </c>
      <c r="E1321" s="436" t="s">
        <v>599</v>
      </c>
      <c r="F1321" s="436">
        <v>56714579.049999997</v>
      </c>
      <c r="G1321" s="448">
        <v>39356.59999999404</v>
      </c>
      <c r="H1321" s="436">
        <v>0</v>
      </c>
      <c r="I1321" s="449">
        <v>0</v>
      </c>
    </row>
    <row r="1322" spans="1:9" ht="15.75" customHeight="1" x14ac:dyDescent="0.2">
      <c r="A1322" s="437"/>
      <c r="B1322" s="437"/>
      <c r="C1322" s="436"/>
      <c r="D1322" s="467">
        <v>46811</v>
      </c>
      <c r="E1322" s="436" t="s">
        <v>598</v>
      </c>
      <c r="F1322" s="436">
        <v>56753935.659999996</v>
      </c>
      <c r="G1322" s="448">
        <v>39356.609999999404</v>
      </c>
      <c r="H1322" s="436">
        <v>0</v>
      </c>
      <c r="I1322" s="449">
        <v>0</v>
      </c>
    </row>
    <row r="1323" spans="1:9" ht="15.75" customHeight="1" x14ac:dyDescent="0.2">
      <c r="A1323" s="437"/>
      <c r="B1323" s="437"/>
      <c r="C1323" s="436"/>
      <c r="D1323" s="467">
        <v>46812</v>
      </c>
      <c r="E1323" s="436" t="s">
        <v>597</v>
      </c>
      <c r="F1323" s="436">
        <v>56793292.259999998</v>
      </c>
      <c r="G1323" s="448">
        <v>39356.60000000149</v>
      </c>
      <c r="H1323" s="436">
        <v>0</v>
      </c>
      <c r="I1323" s="449">
        <v>0</v>
      </c>
    </row>
    <row r="1324" spans="1:9" ht="15.75" customHeight="1" x14ac:dyDescent="0.2">
      <c r="A1324" s="437"/>
      <c r="B1324" s="437"/>
      <c r="C1324" s="436"/>
      <c r="D1324" s="467">
        <v>46813</v>
      </c>
      <c r="E1324" s="436" t="s">
        <v>603</v>
      </c>
      <c r="F1324" s="436">
        <v>56832648.869999997</v>
      </c>
      <c r="G1324" s="448">
        <v>39356.609999999404</v>
      </c>
      <c r="H1324" s="436">
        <v>275496.23999999464</v>
      </c>
      <c r="I1324" s="449">
        <v>0</v>
      </c>
    </row>
    <row r="1325" spans="1:9" ht="15.75" customHeight="1" x14ac:dyDescent="0.2">
      <c r="A1325" s="437"/>
      <c r="B1325" s="437"/>
      <c r="C1325" s="436"/>
      <c r="D1325" s="467">
        <v>46814</v>
      </c>
      <c r="E1325" s="436" t="s">
        <v>602</v>
      </c>
      <c r="F1325" s="436">
        <v>56872005.469999999</v>
      </c>
      <c r="G1325" s="448">
        <v>39356.60000000149</v>
      </c>
      <c r="H1325" s="436">
        <v>0</v>
      </c>
      <c r="I1325" s="449">
        <v>0</v>
      </c>
    </row>
    <row r="1326" spans="1:9" ht="15.75" customHeight="1" x14ac:dyDescent="0.2">
      <c r="A1326" s="437"/>
      <c r="B1326" s="437"/>
      <c r="C1326" s="436"/>
      <c r="D1326" s="467">
        <v>46815</v>
      </c>
      <c r="E1326" s="436" t="s">
        <v>601</v>
      </c>
      <c r="F1326" s="436">
        <v>56911362.079999998</v>
      </c>
      <c r="G1326" s="448">
        <v>39356.609999999404</v>
      </c>
      <c r="H1326" s="436">
        <v>0</v>
      </c>
      <c r="I1326" s="449">
        <v>0</v>
      </c>
    </row>
    <row r="1327" spans="1:9" ht="15.75" customHeight="1" x14ac:dyDescent="0.2">
      <c r="A1327" s="437"/>
      <c r="B1327" s="437"/>
      <c r="C1327" s="436"/>
      <c r="D1327" s="467">
        <v>46816</v>
      </c>
      <c r="E1327" s="436" t="s">
        <v>600</v>
      </c>
      <c r="F1327" s="436">
        <v>56950718.68</v>
      </c>
      <c r="G1327" s="448">
        <v>39356.60000000149</v>
      </c>
      <c r="H1327" s="436">
        <v>0</v>
      </c>
      <c r="I1327" s="449">
        <v>0</v>
      </c>
    </row>
    <row r="1328" spans="1:9" ht="15.75" customHeight="1" x14ac:dyDescent="0.2">
      <c r="A1328" s="437"/>
      <c r="B1328" s="437"/>
      <c r="C1328" s="436"/>
      <c r="D1328" s="467">
        <v>46817</v>
      </c>
      <c r="E1328" s="436" t="s">
        <v>599</v>
      </c>
      <c r="F1328" s="436">
        <v>56990075.289999999</v>
      </c>
      <c r="G1328" s="448">
        <v>39356.609999999404</v>
      </c>
      <c r="H1328" s="436">
        <v>0</v>
      </c>
      <c r="I1328" s="449">
        <v>0</v>
      </c>
    </row>
    <row r="1329" spans="1:9" ht="15.75" customHeight="1" x14ac:dyDescent="0.2">
      <c r="A1329" s="437"/>
      <c r="B1329" s="437"/>
      <c r="C1329" s="436"/>
      <c r="D1329" s="467">
        <v>46818</v>
      </c>
      <c r="E1329" s="436" t="s">
        <v>598</v>
      </c>
      <c r="F1329" s="436">
        <v>57029431.890000001</v>
      </c>
      <c r="G1329" s="448">
        <v>39356.60000000149</v>
      </c>
      <c r="H1329" s="436">
        <v>0</v>
      </c>
      <c r="I1329" s="449">
        <v>0</v>
      </c>
    </row>
    <row r="1330" spans="1:9" ht="15.75" customHeight="1" x14ac:dyDescent="0.2">
      <c r="A1330" s="437"/>
      <c r="B1330" s="437"/>
      <c r="C1330" s="436"/>
      <c r="D1330" s="467">
        <v>46819</v>
      </c>
      <c r="E1330" s="436" t="s">
        <v>597</v>
      </c>
      <c r="F1330" s="436">
        <v>57068788.5</v>
      </c>
      <c r="G1330" s="448">
        <v>39356.609999999404</v>
      </c>
      <c r="H1330" s="436">
        <v>0</v>
      </c>
      <c r="I1330" s="449">
        <v>0</v>
      </c>
    </row>
    <row r="1331" spans="1:9" ht="15.75" customHeight="1" x14ac:dyDescent="0.2">
      <c r="A1331" s="437"/>
      <c r="B1331" s="437"/>
      <c r="C1331" s="436"/>
      <c r="D1331" s="467">
        <v>46820</v>
      </c>
      <c r="E1331" s="436" t="s">
        <v>603</v>
      </c>
      <c r="F1331" s="436">
        <v>57108145.100000001</v>
      </c>
      <c r="G1331" s="448">
        <v>39356.60000000149</v>
      </c>
      <c r="H1331" s="436">
        <v>275496.23000000417</v>
      </c>
      <c r="I1331" s="449">
        <v>550992.46999999881</v>
      </c>
    </row>
    <row r="1332" spans="1:9" ht="15.75" customHeight="1" x14ac:dyDescent="0.2">
      <c r="A1332" s="437"/>
      <c r="B1332" s="437"/>
      <c r="C1332" s="436"/>
      <c r="D1332" s="467">
        <v>46821</v>
      </c>
      <c r="E1332" s="436" t="s">
        <v>602</v>
      </c>
      <c r="F1332" s="436">
        <v>57147501.710000001</v>
      </c>
      <c r="G1332" s="448">
        <v>39356.609999999404</v>
      </c>
      <c r="H1332" s="436">
        <v>0</v>
      </c>
      <c r="I1332" s="449">
        <v>0</v>
      </c>
    </row>
    <row r="1333" spans="1:9" ht="15.75" customHeight="1" x14ac:dyDescent="0.2">
      <c r="A1333" s="437"/>
      <c r="B1333" s="437"/>
      <c r="C1333" s="436"/>
      <c r="D1333" s="467">
        <v>46822</v>
      </c>
      <c r="E1333" s="436" t="s">
        <v>601</v>
      </c>
      <c r="F1333" s="436">
        <v>57186858.310000002</v>
      </c>
      <c r="G1333" s="448">
        <v>39356.60000000149</v>
      </c>
      <c r="H1333" s="436">
        <v>0</v>
      </c>
      <c r="I1333" s="449">
        <v>0</v>
      </c>
    </row>
    <row r="1334" spans="1:9" ht="15.75" customHeight="1" x14ac:dyDescent="0.2">
      <c r="A1334" s="437"/>
      <c r="B1334" s="437"/>
      <c r="C1334" s="436"/>
      <c r="D1334" s="467">
        <v>46823</v>
      </c>
      <c r="E1334" s="436" t="s">
        <v>600</v>
      </c>
      <c r="F1334" s="436">
        <v>57226214.920000002</v>
      </c>
      <c r="G1334" s="448">
        <v>39356.609999999404</v>
      </c>
      <c r="H1334" s="436">
        <v>0</v>
      </c>
      <c r="I1334" s="449">
        <v>0</v>
      </c>
    </row>
    <row r="1335" spans="1:9" ht="15.75" customHeight="1" x14ac:dyDescent="0.2">
      <c r="A1335" s="437"/>
      <c r="B1335" s="437"/>
      <c r="C1335" s="436"/>
      <c r="D1335" s="467">
        <v>46824</v>
      </c>
      <c r="E1335" s="436" t="s">
        <v>599</v>
      </c>
      <c r="F1335" s="436">
        <v>57265571.520000003</v>
      </c>
      <c r="G1335" s="448">
        <v>39356.60000000149</v>
      </c>
      <c r="H1335" s="436">
        <v>0</v>
      </c>
      <c r="I1335" s="449">
        <v>0</v>
      </c>
    </row>
    <row r="1336" spans="1:9" ht="15.75" customHeight="1" x14ac:dyDescent="0.2">
      <c r="A1336" s="437"/>
      <c r="B1336" s="437"/>
      <c r="C1336" s="436"/>
      <c r="D1336" s="467">
        <v>46825</v>
      </c>
      <c r="E1336" s="436" t="s">
        <v>598</v>
      </c>
      <c r="F1336" s="436">
        <v>57304928.130000003</v>
      </c>
      <c r="G1336" s="448">
        <v>39356.609999999404</v>
      </c>
      <c r="H1336" s="436">
        <v>0</v>
      </c>
      <c r="I1336" s="449">
        <v>0</v>
      </c>
    </row>
    <row r="1337" spans="1:9" ht="15.75" customHeight="1" x14ac:dyDescent="0.2">
      <c r="A1337" s="437"/>
      <c r="B1337" s="437"/>
      <c r="C1337" s="436"/>
      <c r="D1337" s="467">
        <v>46826</v>
      </c>
      <c r="E1337" s="436" t="s">
        <v>597</v>
      </c>
      <c r="F1337" s="436">
        <v>57344284.729999997</v>
      </c>
      <c r="G1337" s="448">
        <v>39356.59999999404</v>
      </c>
      <c r="H1337" s="436">
        <v>0</v>
      </c>
      <c r="I1337" s="449">
        <v>0</v>
      </c>
    </row>
    <row r="1338" spans="1:9" ht="15.75" customHeight="1" x14ac:dyDescent="0.2">
      <c r="A1338" s="437"/>
      <c r="B1338" s="437"/>
      <c r="C1338" s="436"/>
      <c r="D1338" s="467">
        <v>46827</v>
      </c>
      <c r="E1338" s="436" t="s">
        <v>603</v>
      </c>
      <c r="F1338" s="436">
        <v>57383641.340000004</v>
      </c>
      <c r="G1338" s="448">
        <v>39356.610000006855</v>
      </c>
      <c r="H1338" s="436">
        <v>275496.24000000209</v>
      </c>
      <c r="I1338" s="449">
        <v>0</v>
      </c>
    </row>
    <row r="1339" spans="1:9" ht="15.75" customHeight="1" x14ac:dyDescent="0.2">
      <c r="A1339" s="437"/>
      <c r="B1339" s="437"/>
      <c r="C1339" s="436"/>
      <c r="D1339" s="467">
        <v>46828</v>
      </c>
      <c r="E1339" s="436" t="s">
        <v>602</v>
      </c>
      <c r="F1339" s="436">
        <v>57422997.939999998</v>
      </c>
      <c r="G1339" s="448">
        <v>39356.59999999404</v>
      </c>
      <c r="H1339" s="436">
        <v>0</v>
      </c>
      <c r="I1339" s="449">
        <v>0</v>
      </c>
    </row>
    <row r="1340" spans="1:9" ht="15.75" customHeight="1" x14ac:dyDescent="0.2">
      <c r="A1340" s="437"/>
      <c r="B1340" s="437"/>
      <c r="C1340" s="436"/>
      <c r="D1340" s="467">
        <v>46829</v>
      </c>
      <c r="E1340" s="436" t="s">
        <v>601</v>
      </c>
      <c r="F1340" s="436">
        <v>57462354.549999997</v>
      </c>
      <c r="G1340" s="448">
        <v>39356.609999999404</v>
      </c>
      <c r="H1340" s="436">
        <v>0</v>
      </c>
      <c r="I1340" s="449">
        <v>0</v>
      </c>
    </row>
    <row r="1341" spans="1:9" ht="15.75" customHeight="1" x14ac:dyDescent="0.2">
      <c r="A1341" s="437"/>
      <c r="B1341" s="437"/>
      <c r="C1341" s="436"/>
      <c r="D1341" s="467">
        <v>46830</v>
      </c>
      <c r="E1341" s="436" t="s">
        <v>600</v>
      </c>
      <c r="F1341" s="436">
        <v>57501711.149999999</v>
      </c>
      <c r="G1341" s="448">
        <v>39356.60000000149</v>
      </c>
      <c r="H1341" s="436">
        <v>0</v>
      </c>
      <c r="I1341" s="449">
        <v>0</v>
      </c>
    </row>
    <row r="1342" spans="1:9" ht="15.75" customHeight="1" x14ac:dyDescent="0.2">
      <c r="A1342" s="437"/>
      <c r="B1342" s="437"/>
      <c r="C1342" s="436"/>
      <c r="D1342" s="467">
        <v>46831</v>
      </c>
      <c r="E1342" s="436" t="s">
        <v>599</v>
      </c>
      <c r="F1342" s="436">
        <v>57541067.759999998</v>
      </c>
      <c r="G1342" s="448">
        <v>39356.609999999404</v>
      </c>
      <c r="H1342" s="436">
        <v>0</v>
      </c>
      <c r="I1342" s="449">
        <v>0</v>
      </c>
    </row>
    <row r="1343" spans="1:9" ht="15.75" customHeight="1" x14ac:dyDescent="0.2">
      <c r="A1343" s="437"/>
      <c r="B1343" s="437"/>
      <c r="C1343" s="436"/>
      <c r="D1343" s="467">
        <v>46832</v>
      </c>
      <c r="E1343" s="436" t="s">
        <v>598</v>
      </c>
      <c r="F1343" s="436">
        <v>57580424.359999999</v>
      </c>
      <c r="G1343" s="448">
        <v>39356.60000000149</v>
      </c>
      <c r="H1343" s="436">
        <v>0</v>
      </c>
      <c r="I1343" s="449">
        <v>0</v>
      </c>
    </row>
    <row r="1344" spans="1:9" ht="15.75" customHeight="1" x14ac:dyDescent="0.2">
      <c r="A1344" s="437"/>
      <c r="B1344" s="437"/>
      <c r="C1344" s="436"/>
      <c r="D1344" s="467">
        <v>46833</v>
      </c>
      <c r="E1344" s="436" t="s">
        <v>597</v>
      </c>
      <c r="F1344" s="436">
        <v>57619780.969999999</v>
      </c>
      <c r="G1344" s="448">
        <v>39356.609999999404</v>
      </c>
      <c r="H1344" s="436">
        <v>0</v>
      </c>
      <c r="I1344" s="449">
        <v>0</v>
      </c>
    </row>
    <row r="1345" spans="1:9" ht="15.75" customHeight="1" x14ac:dyDescent="0.2">
      <c r="A1345" s="437"/>
      <c r="B1345" s="437"/>
      <c r="C1345" s="436"/>
      <c r="D1345" s="467">
        <v>46834</v>
      </c>
      <c r="E1345" s="436" t="s">
        <v>603</v>
      </c>
      <c r="F1345" s="436">
        <v>57659137.57</v>
      </c>
      <c r="G1345" s="448">
        <v>39356.60000000149</v>
      </c>
      <c r="H1345" s="436">
        <v>275496.22999999672</v>
      </c>
      <c r="I1345" s="449">
        <v>550992.46999999881</v>
      </c>
    </row>
    <row r="1346" spans="1:9" ht="15.75" customHeight="1" x14ac:dyDescent="0.2">
      <c r="A1346" s="437"/>
      <c r="B1346" s="437"/>
      <c r="C1346" s="436"/>
      <c r="D1346" s="467">
        <v>46835</v>
      </c>
      <c r="E1346" s="436" t="s">
        <v>602</v>
      </c>
      <c r="F1346" s="436">
        <v>57698494.18</v>
      </c>
      <c r="G1346" s="448">
        <v>39356.609999999404</v>
      </c>
      <c r="H1346" s="436">
        <v>0</v>
      </c>
      <c r="I1346" s="449">
        <v>0</v>
      </c>
    </row>
    <row r="1347" spans="1:9" ht="15.75" customHeight="1" x14ac:dyDescent="0.2">
      <c r="A1347" s="437"/>
      <c r="B1347" s="437"/>
      <c r="C1347" s="436"/>
      <c r="D1347" s="467">
        <v>46836</v>
      </c>
      <c r="E1347" s="436" t="s">
        <v>601</v>
      </c>
      <c r="F1347" s="436">
        <v>57737850.780000001</v>
      </c>
      <c r="G1347" s="448">
        <v>39356.60000000149</v>
      </c>
      <c r="H1347" s="436">
        <v>0</v>
      </c>
      <c r="I1347" s="449">
        <v>0</v>
      </c>
    </row>
    <row r="1348" spans="1:9" ht="15.75" customHeight="1" x14ac:dyDescent="0.2">
      <c r="A1348" s="437"/>
      <c r="B1348" s="437"/>
      <c r="C1348" s="436"/>
      <c r="D1348" s="467">
        <v>46837</v>
      </c>
      <c r="E1348" s="436" t="s">
        <v>600</v>
      </c>
      <c r="F1348" s="436">
        <v>57777207.390000001</v>
      </c>
      <c r="G1348" s="448">
        <v>39356.609999999404</v>
      </c>
      <c r="H1348" s="436">
        <v>0</v>
      </c>
      <c r="I1348" s="449">
        <v>0</v>
      </c>
    </row>
    <row r="1349" spans="1:9" ht="15.75" customHeight="1" x14ac:dyDescent="0.2">
      <c r="A1349" s="437"/>
      <c r="B1349" s="437"/>
      <c r="C1349" s="436"/>
      <c r="D1349" s="467">
        <v>46838</v>
      </c>
      <c r="E1349" s="436" t="s">
        <v>599</v>
      </c>
      <c r="F1349" s="436">
        <v>57816563.990000002</v>
      </c>
      <c r="G1349" s="448">
        <v>39356.60000000149</v>
      </c>
      <c r="H1349" s="436">
        <v>0</v>
      </c>
      <c r="I1349" s="449">
        <v>0</v>
      </c>
    </row>
    <row r="1350" spans="1:9" ht="15.75" customHeight="1" x14ac:dyDescent="0.2">
      <c r="A1350" s="437"/>
      <c r="B1350" s="437"/>
      <c r="C1350" s="436"/>
      <c r="D1350" s="467">
        <v>46839</v>
      </c>
      <c r="E1350" s="436" t="s">
        <v>598</v>
      </c>
      <c r="F1350" s="436">
        <v>57855920.600000001</v>
      </c>
      <c r="G1350" s="448">
        <v>39356.609999999404</v>
      </c>
      <c r="H1350" s="436">
        <v>0</v>
      </c>
      <c r="I1350" s="449">
        <v>0</v>
      </c>
    </row>
    <row r="1351" spans="1:9" ht="15.75" customHeight="1" x14ac:dyDescent="0.2">
      <c r="A1351" s="437"/>
      <c r="B1351" s="437"/>
      <c r="C1351" s="436"/>
      <c r="D1351" s="467">
        <v>46840</v>
      </c>
      <c r="E1351" s="436" t="s">
        <v>597</v>
      </c>
      <c r="F1351" s="436">
        <v>57895277.200000003</v>
      </c>
      <c r="G1351" s="448">
        <v>39356.60000000149</v>
      </c>
      <c r="H1351" s="436">
        <v>0</v>
      </c>
      <c r="I1351" s="449">
        <v>0</v>
      </c>
    </row>
    <row r="1352" spans="1:9" ht="15.75" customHeight="1" x14ac:dyDescent="0.2">
      <c r="A1352" s="437"/>
      <c r="B1352" s="437"/>
      <c r="C1352" s="436"/>
      <c r="D1352" s="467">
        <v>46841</v>
      </c>
      <c r="E1352" s="436" t="s">
        <v>603</v>
      </c>
      <c r="F1352" s="436">
        <v>57934633.810000002</v>
      </c>
      <c r="G1352" s="448">
        <v>39356.609999999404</v>
      </c>
      <c r="H1352" s="436">
        <v>275496.24000000209</v>
      </c>
      <c r="I1352" s="449">
        <v>0</v>
      </c>
    </row>
    <row r="1353" spans="1:9" ht="15.75" customHeight="1" x14ac:dyDescent="0.2">
      <c r="A1353" s="437"/>
      <c r="B1353" s="437"/>
      <c r="C1353" s="436"/>
      <c r="D1353" s="467">
        <v>46842</v>
      </c>
      <c r="E1353" s="436" t="s">
        <v>602</v>
      </c>
      <c r="F1353" s="436">
        <v>57973990.409999996</v>
      </c>
      <c r="G1353" s="448">
        <v>39356.59999999404</v>
      </c>
      <c r="H1353" s="436">
        <v>0</v>
      </c>
      <c r="I1353" s="449">
        <v>0</v>
      </c>
    </row>
    <row r="1354" spans="1:9" ht="15.75" customHeight="1" x14ac:dyDescent="0.2">
      <c r="A1354" s="437"/>
      <c r="B1354" s="437"/>
      <c r="C1354" s="436"/>
      <c r="D1354" s="467">
        <v>46843</v>
      </c>
      <c r="E1354" s="436" t="s">
        <v>601</v>
      </c>
      <c r="F1354" s="436">
        <v>58013347.020000003</v>
      </c>
      <c r="G1354" s="448">
        <v>39356.610000006855</v>
      </c>
      <c r="H1354" s="436">
        <v>0</v>
      </c>
      <c r="I1354" s="449">
        <v>0</v>
      </c>
    </row>
    <row r="1355" spans="1:9" ht="15.75" customHeight="1" x14ac:dyDescent="0.2">
      <c r="A1355" s="437"/>
      <c r="B1355" s="437"/>
      <c r="C1355" s="436"/>
      <c r="D1355" s="467">
        <v>46844</v>
      </c>
      <c r="E1355" s="436" t="s">
        <v>600</v>
      </c>
      <c r="F1355" s="436">
        <v>58052703.619999997</v>
      </c>
      <c r="G1355" s="448">
        <v>39356.59999999404</v>
      </c>
      <c r="H1355" s="436">
        <v>0</v>
      </c>
      <c r="I1355" s="449">
        <v>0</v>
      </c>
    </row>
    <row r="1356" spans="1:9" ht="15.75" customHeight="1" x14ac:dyDescent="0.2">
      <c r="A1356" s="437"/>
      <c r="B1356" s="437"/>
      <c r="C1356" s="436"/>
      <c r="D1356" s="467">
        <v>46845</v>
      </c>
      <c r="E1356" s="436" t="s">
        <v>599</v>
      </c>
      <c r="F1356" s="436">
        <v>58092060.229999997</v>
      </c>
      <c r="G1356" s="448">
        <v>39356.609999999404</v>
      </c>
      <c r="H1356" s="436">
        <v>0</v>
      </c>
      <c r="I1356" s="449">
        <v>0</v>
      </c>
    </row>
    <row r="1357" spans="1:9" ht="15.75" customHeight="1" x14ac:dyDescent="0.2">
      <c r="A1357" s="437"/>
      <c r="B1357" s="437"/>
      <c r="C1357" s="436"/>
      <c r="D1357" s="467">
        <v>46846</v>
      </c>
      <c r="E1357" s="436" t="s">
        <v>598</v>
      </c>
      <c r="F1357" s="436">
        <v>58131416.829999998</v>
      </c>
      <c r="G1357" s="448">
        <v>39356.60000000149</v>
      </c>
      <c r="H1357" s="436">
        <v>0</v>
      </c>
      <c r="I1357" s="449">
        <v>0</v>
      </c>
    </row>
    <row r="1358" spans="1:9" ht="15.75" customHeight="1" x14ac:dyDescent="0.2">
      <c r="A1358" s="437"/>
      <c r="B1358" s="437"/>
      <c r="C1358" s="436"/>
      <c r="D1358" s="467">
        <v>46847</v>
      </c>
      <c r="E1358" s="436" t="s">
        <v>597</v>
      </c>
      <c r="F1358" s="436">
        <v>58170773.439999998</v>
      </c>
      <c r="G1358" s="448">
        <v>39356.609999999404</v>
      </c>
      <c r="H1358" s="436">
        <v>0</v>
      </c>
      <c r="I1358" s="449">
        <v>0</v>
      </c>
    </row>
    <row r="1359" spans="1:9" ht="15.75" customHeight="1" x14ac:dyDescent="0.2">
      <c r="A1359" s="437"/>
      <c r="B1359" s="437"/>
      <c r="C1359" s="436"/>
      <c r="D1359" s="467">
        <v>46848</v>
      </c>
      <c r="E1359" s="436" t="s">
        <v>603</v>
      </c>
      <c r="F1359" s="436">
        <v>58210130.039999999</v>
      </c>
      <c r="G1359" s="448">
        <v>39356.60000000149</v>
      </c>
      <c r="H1359" s="436">
        <v>275496.22999999672</v>
      </c>
      <c r="I1359" s="449">
        <v>550992.46999999881</v>
      </c>
    </row>
    <row r="1360" spans="1:9" ht="15.75" customHeight="1" x14ac:dyDescent="0.2">
      <c r="A1360" s="437"/>
      <c r="B1360" s="437"/>
      <c r="C1360" s="436"/>
      <c r="D1360" s="467">
        <v>46849</v>
      </c>
      <c r="E1360" s="436" t="s">
        <v>602</v>
      </c>
      <c r="F1360" s="436">
        <v>58249486.649999999</v>
      </c>
      <c r="G1360" s="448">
        <v>39356.609999999404</v>
      </c>
      <c r="H1360" s="436">
        <v>0</v>
      </c>
      <c r="I1360" s="449">
        <v>0</v>
      </c>
    </row>
    <row r="1361" spans="1:9" ht="15.75" customHeight="1" x14ac:dyDescent="0.2">
      <c r="A1361" s="437"/>
      <c r="B1361" s="437"/>
      <c r="C1361" s="436"/>
      <c r="D1361" s="467">
        <v>46850</v>
      </c>
      <c r="E1361" s="436" t="s">
        <v>601</v>
      </c>
      <c r="F1361" s="436">
        <v>58288843.25</v>
      </c>
      <c r="G1361" s="448">
        <v>39356.60000000149</v>
      </c>
      <c r="H1361" s="436">
        <v>0</v>
      </c>
      <c r="I1361" s="449">
        <v>0</v>
      </c>
    </row>
    <row r="1362" spans="1:9" ht="15.75" customHeight="1" x14ac:dyDescent="0.2">
      <c r="A1362" s="437"/>
      <c r="B1362" s="437"/>
      <c r="C1362" s="436"/>
      <c r="D1362" s="467">
        <v>46851</v>
      </c>
      <c r="E1362" s="436" t="s">
        <v>600</v>
      </c>
      <c r="F1362" s="436">
        <v>58328199.859999999</v>
      </c>
      <c r="G1362" s="448">
        <v>39356.609999999404</v>
      </c>
      <c r="H1362" s="436">
        <v>0</v>
      </c>
      <c r="I1362" s="449">
        <v>0</v>
      </c>
    </row>
    <row r="1363" spans="1:9" ht="15.75" customHeight="1" x14ac:dyDescent="0.2">
      <c r="A1363" s="437"/>
      <c r="B1363" s="437"/>
      <c r="C1363" s="436"/>
      <c r="D1363" s="467">
        <v>46852</v>
      </c>
      <c r="E1363" s="436" t="s">
        <v>599</v>
      </c>
      <c r="F1363" s="436">
        <v>58367556.460000001</v>
      </c>
      <c r="G1363" s="448">
        <v>39356.60000000149</v>
      </c>
      <c r="H1363" s="436">
        <v>0</v>
      </c>
      <c r="I1363" s="449">
        <v>0</v>
      </c>
    </row>
    <row r="1364" spans="1:9" ht="15.75" customHeight="1" x14ac:dyDescent="0.2">
      <c r="A1364" s="437"/>
      <c r="B1364" s="437"/>
      <c r="C1364" s="436"/>
      <c r="D1364" s="467">
        <v>46853</v>
      </c>
      <c r="E1364" s="436" t="s">
        <v>598</v>
      </c>
      <c r="F1364" s="436">
        <v>58406913.07</v>
      </c>
      <c r="G1364" s="448">
        <v>39356.609999999404</v>
      </c>
      <c r="H1364" s="436">
        <v>0</v>
      </c>
      <c r="I1364" s="449">
        <v>0</v>
      </c>
    </row>
    <row r="1365" spans="1:9" ht="15.75" customHeight="1" x14ac:dyDescent="0.2">
      <c r="A1365" s="437"/>
      <c r="B1365" s="437"/>
      <c r="C1365" s="436"/>
      <c r="D1365" s="467">
        <v>46854</v>
      </c>
      <c r="E1365" s="436" t="s">
        <v>597</v>
      </c>
      <c r="F1365" s="436">
        <v>58446269.670000002</v>
      </c>
      <c r="G1365" s="448">
        <v>39356.60000000149</v>
      </c>
      <c r="H1365" s="436">
        <v>0</v>
      </c>
      <c r="I1365" s="449">
        <v>0</v>
      </c>
    </row>
    <row r="1366" spans="1:9" ht="15.75" customHeight="1" x14ac:dyDescent="0.2">
      <c r="A1366" s="437"/>
      <c r="B1366" s="437"/>
      <c r="C1366" s="436"/>
      <c r="D1366" s="467">
        <v>46855</v>
      </c>
      <c r="E1366" s="436" t="s">
        <v>603</v>
      </c>
      <c r="F1366" s="436">
        <v>58485626.280000001</v>
      </c>
      <c r="G1366" s="448">
        <v>39356.609999999404</v>
      </c>
      <c r="H1366" s="436">
        <v>275496.24000000209</v>
      </c>
      <c r="I1366" s="449">
        <v>0</v>
      </c>
    </row>
    <row r="1367" spans="1:9" ht="15.75" customHeight="1" x14ac:dyDescent="0.2">
      <c r="A1367" s="437"/>
      <c r="B1367" s="437"/>
      <c r="C1367" s="436"/>
      <c r="D1367" s="467">
        <v>46856</v>
      </c>
      <c r="E1367" s="436" t="s">
        <v>602</v>
      </c>
      <c r="F1367" s="436">
        <v>58524982.880000003</v>
      </c>
      <c r="G1367" s="448">
        <v>39356.60000000149</v>
      </c>
      <c r="H1367" s="436">
        <v>0</v>
      </c>
      <c r="I1367" s="449">
        <v>0</v>
      </c>
    </row>
    <row r="1368" spans="1:9" ht="15.75" customHeight="1" x14ac:dyDescent="0.2">
      <c r="A1368" s="437"/>
      <c r="B1368" s="437"/>
      <c r="C1368" s="436"/>
      <c r="D1368" s="467">
        <v>46857</v>
      </c>
      <c r="E1368" s="436" t="s">
        <v>601</v>
      </c>
      <c r="F1368" s="436">
        <v>58564339.490000002</v>
      </c>
      <c r="G1368" s="448">
        <v>39356.609999999404</v>
      </c>
      <c r="H1368" s="436">
        <v>0</v>
      </c>
      <c r="I1368" s="449">
        <v>0</v>
      </c>
    </row>
    <row r="1369" spans="1:9" ht="15.75" customHeight="1" x14ac:dyDescent="0.2">
      <c r="A1369" s="437"/>
      <c r="B1369" s="437"/>
      <c r="C1369" s="436"/>
      <c r="D1369" s="467">
        <v>46858</v>
      </c>
      <c r="E1369" s="436" t="s">
        <v>600</v>
      </c>
      <c r="F1369" s="436">
        <v>58603696.090000004</v>
      </c>
      <c r="G1369" s="448">
        <v>39356.60000000149</v>
      </c>
      <c r="H1369" s="436">
        <v>0</v>
      </c>
      <c r="I1369" s="449">
        <v>0</v>
      </c>
    </row>
    <row r="1370" spans="1:9" ht="15.75" customHeight="1" x14ac:dyDescent="0.2">
      <c r="A1370" s="437"/>
      <c r="B1370" s="437"/>
      <c r="C1370" s="436"/>
      <c r="D1370" s="467">
        <v>46859</v>
      </c>
      <c r="E1370" s="436" t="s">
        <v>599</v>
      </c>
      <c r="F1370" s="436">
        <v>58643052.700000003</v>
      </c>
      <c r="G1370" s="448">
        <v>39356.609999999404</v>
      </c>
      <c r="H1370" s="436">
        <v>0</v>
      </c>
      <c r="I1370" s="449">
        <v>0</v>
      </c>
    </row>
    <row r="1371" spans="1:9" ht="15.75" customHeight="1" x14ac:dyDescent="0.2">
      <c r="A1371" s="437"/>
      <c r="B1371" s="437"/>
      <c r="C1371" s="436"/>
      <c r="D1371" s="467">
        <v>46860</v>
      </c>
      <c r="E1371" s="436" t="s">
        <v>598</v>
      </c>
      <c r="F1371" s="436">
        <v>58682409.299999997</v>
      </c>
      <c r="G1371" s="448">
        <v>39356.59999999404</v>
      </c>
      <c r="H1371" s="436">
        <v>0</v>
      </c>
      <c r="I1371" s="449">
        <v>0</v>
      </c>
    </row>
    <row r="1372" spans="1:9" ht="15.75" customHeight="1" x14ac:dyDescent="0.2">
      <c r="A1372" s="437"/>
      <c r="B1372" s="437"/>
      <c r="C1372" s="436"/>
      <c r="D1372" s="467">
        <v>46861</v>
      </c>
      <c r="E1372" s="436" t="s">
        <v>597</v>
      </c>
      <c r="F1372" s="436">
        <v>58721765.909999996</v>
      </c>
      <c r="G1372" s="448">
        <v>39356.609999999404</v>
      </c>
      <c r="H1372" s="436">
        <v>0</v>
      </c>
      <c r="I1372" s="449">
        <v>0</v>
      </c>
    </row>
    <row r="1373" spans="1:9" ht="15.75" customHeight="1" x14ac:dyDescent="0.2">
      <c r="A1373" s="437"/>
      <c r="B1373" s="437"/>
      <c r="C1373" s="436"/>
      <c r="D1373" s="467">
        <v>46862</v>
      </c>
      <c r="E1373" s="436" t="s">
        <v>603</v>
      </c>
      <c r="F1373" s="436">
        <v>58761122.509999998</v>
      </c>
      <c r="G1373" s="448">
        <v>39356.60000000149</v>
      </c>
      <c r="H1373" s="436">
        <v>275496.22999999672</v>
      </c>
      <c r="I1373" s="449">
        <v>550992.46999999881</v>
      </c>
    </row>
    <row r="1374" spans="1:9" ht="15.75" customHeight="1" x14ac:dyDescent="0.2">
      <c r="A1374" s="437"/>
      <c r="B1374" s="437"/>
      <c r="C1374" s="436"/>
      <c r="D1374" s="467">
        <v>46863</v>
      </c>
      <c r="E1374" s="436" t="s">
        <v>602</v>
      </c>
      <c r="F1374" s="436">
        <v>58800479.119999997</v>
      </c>
      <c r="G1374" s="448">
        <v>39356.609999999404</v>
      </c>
      <c r="H1374" s="436">
        <v>0</v>
      </c>
      <c r="I1374" s="449">
        <v>0</v>
      </c>
    </row>
    <row r="1375" spans="1:9" ht="15.75" customHeight="1" x14ac:dyDescent="0.2">
      <c r="A1375" s="437"/>
      <c r="B1375" s="437"/>
      <c r="C1375" s="436"/>
      <c r="D1375" s="467">
        <v>46864</v>
      </c>
      <c r="E1375" s="436" t="s">
        <v>601</v>
      </c>
      <c r="F1375" s="436">
        <v>58839835.719999999</v>
      </c>
      <c r="G1375" s="448">
        <v>39356.60000000149</v>
      </c>
      <c r="H1375" s="436">
        <v>0</v>
      </c>
      <c r="I1375" s="449">
        <v>0</v>
      </c>
    </row>
    <row r="1376" spans="1:9" ht="15.75" customHeight="1" x14ac:dyDescent="0.2">
      <c r="A1376" s="437"/>
      <c r="B1376" s="437"/>
      <c r="C1376" s="436"/>
      <c r="D1376" s="467">
        <v>46865</v>
      </c>
      <c r="E1376" s="436" t="s">
        <v>600</v>
      </c>
      <c r="F1376" s="436">
        <v>58879192.329999998</v>
      </c>
      <c r="G1376" s="448">
        <v>39356.609999999404</v>
      </c>
      <c r="H1376" s="436">
        <v>0</v>
      </c>
      <c r="I1376" s="449">
        <v>0</v>
      </c>
    </row>
    <row r="1377" spans="1:9" ht="15.75" customHeight="1" x14ac:dyDescent="0.2">
      <c r="A1377" s="437"/>
      <c r="B1377" s="437"/>
      <c r="C1377" s="436"/>
      <c r="D1377" s="467">
        <v>46866</v>
      </c>
      <c r="E1377" s="436" t="s">
        <v>599</v>
      </c>
      <c r="F1377" s="436">
        <v>58918548.93</v>
      </c>
      <c r="G1377" s="448">
        <v>39356.60000000149</v>
      </c>
      <c r="H1377" s="436">
        <v>0</v>
      </c>
      <c r="I1377" s="449">
        <v>0</v>
      </c>
    </row>
    <row r="1378" spans="1:9" ht="15.75" customHeight="1" x14ac:dyDescent="0.2">
      <c r="A1378" s="437"/>
      <c r="B1378" s="437"/>
      <c r="C1378" s="436"/>
      <c r="D1378" s="467">
        <v>46867</v>
      </c>
      <c r="E1378" s="436" t="s">
        <v>598</v>
      </c>
      <c r="F1378" s="436">
        <v>58957905.539999999</v>
      </c>
      <c r="G1378" s="448">
        <v>39356.609999999404</v>
      </c>
      <c r="H1378" s="436">
        <v>0</v>
      </c>
      <c r="I1378" s="449">
        <v>0</v>
      </c>
    </row>
    <row r="1379" spans="1:9" ht="15.75" customHeight="1" x14ac:dyDescent="0.2">
      <c r="A1379" s="437"/>
      <c r="B1379" s="437"/>
      <c r="C1379" s="436"/>
      <c r="D1379" s="467">
        <v>46868</v>
      </c>
      <c r="E1379" s="436" t="s">
        <v>597</v>
      </c>
      <c r="F1379" s="436">
        <v>58997262.140000001</v>
      </c>
      <c r="G1379" s="448">
        <v>39356.60000000149</v>
      </c>
      <c r="H1379" s="436">
        <v>0</v>
      </c>
      <c r="I1379" s="449">
        <v>0</v>
      </c>
    </row>
    <row r="1380" spans="1:9" ht="15.75" customHeight="1" x14ac:dyDescent="0.2">
      <c r="A1380" s="437"/>
      <c r="B1380" s="437"/>
      <c r="C1380" s="436"/>
      <c r="D1380" s="467">
        <v>46869</v>
      </c>
      <c r="E1380" s="436" t="s">
        <v>603</v>
      </c>
      <c r="F1380" s="436">
        <v>59036618.75</v>
      </c>
      <c r="G1380" s="448">
        <v>39356.609999999404</v>
      </c>
      <c r="H1380" s="436">
        <v>275496.24000000209</v>
      </c>
      <c r="I1380" s="449">
        <v>0</v>
      </c>
    </row>
    <row r="1381" spans="1:9" ht="15.75" customHeight="1" x14ac:dyDescent="0.2">
      <c r="A1381" s="437"/>
      <c r="B1381" s="437"/>
      <c r="C1381" s="436"/>
      <c r="D1381" s="467">
        <v>46870</v>
      </c>
      <c r="E1381" s="436" t="s">
        <v>602</v>
      </c>
      <c r="F1381" s="436">
        <v>59075975.350000001</v>
      </c>
      <c r="G1381" s="448">
        <v>39356.60000000149</v>
      </c>
      <c r="H1381" s="436">
        <v>0</v>
      </c>
      <c r="I1381" s="449">
        <v>0</v>
      </c>
    </row>
    <row r="1382" spans="1:9" ht="15.75" customHeight="1" x14ac:dyDescent="0.2">
      <c r="A1382" s="437"/>
      <c r="B1382" s="437"/>
      <c r="C1382" s="436"/>
      <c r="D1382" s="467">
        <v>46871</v>
      </c>
      <c r="E1382" s="436" t="s">
        <v>601</v>
      </c>
      <c r="F1382" s="436">
        <v>59115331.960000001</v>
      </c>
      <c r="G1382" s="448">
        <v>39356.609999999404</v>
      </c>
      <c r="H1382" s="436">
        <v>0</v>
      </c>
      <c r="I1382" s="449">
        <v>0</v>
      </c>
    </row>
    <row r="1383" spans="1:9" ht="15.75" customHeight="1" x14ac:dyDescent="0.2">
      <c r="A1383" s="437"/>
      <c r="B1383" s="437"/>
      <c r="C1383" s="436"/>
      <c r="D1383" s="467">
        <v>46872</v>
      </c>
      <c r="E1383" s="436" t="s">
        <v>600</v>
      </c>
      <c r="F1383" s="436">
        <v>59154688.560000002</v>
      </c>
      <c r="G1383" s="448">
        <v>39356.60000000149</v>
      </c>
      <c r="H1383" s="436">
        <v>0</v>
      </c>
      <c r="I1383" s="449">
        <v>0</v>
      </c>
    </row>
    <row r="1384" spans="1:9" ht="15.75" customHeight="1" x14ac:dyDescent="0.2">
      <c r="A1384" s="437"/>
      <c r="B1384" s="437"/>
      <c r="C1384" s="436"/>
      <c r="D1384" s="467">
        <v>46873</v>
      </c>
      <c r="E1384" s="436" t="s">
        <v>599</v>
      </c>
      <c r="F1384" s="436">
        <v>59194045.170000002</v>
      </c>
      <c r="G1384" s="448">
        <v>39356.609999999404</v>
      </c>
      <c r="H1384" s="436">
        <v>0</v>
      </c>
      <c r="I1384" s="449">
        <v>0</v>
      </c>
    </row>
    <row r="1385" spans="1:9" ht="15.75" customHeight="1" x14ac:dyDescent="0.2">
      <c r="A1385" s="437"/>
      <c r="B1385" s="437"/>
      <c r="C1385" s="436"/>
      <c r="D1385" s="467">
        <v>46874</v>
      </c>
      <c r="E1385" s="436" t="s">
        <v>598</v>
      </c>
      <c r="F1385" s="436">
        <v>59233401.770000003</v>
      </c>
      <c r="G1385" s="448">
        <v>39356.60000000149</v>
      </c>
      <c r="H1385" s="436">
        <v>0</v>
      </c>
      <c r="I1385" s="449">
        <v>0</v>
      </c>
    </row>
    <row r="1386" spans="1:9" ht="15.75" customHeight="1" x14ac:dyDescent="0.2">
      <c r="A1386" s="437"/>
      <c r="B1386" s="437"/>
      <c r="C1386" s="436"/>
      <c r="D1386" s="467">
        <v>46875</v>
      </c>
      <c r="E1386" s="436" t="s">
        <v>597</v>
      </c>
      <c r="F1386" s="436">
        <v>59272758.380000003</v>
      </c>
      <c r="G1386" s="448">
        <v>39356.609999999404</v>
      </c>
      <c r="H1386" s="436">
        <v>0</v>
      </c>
      <c r="I1386" s="449">
        <v>0</v>
      </c>
    </row>
    <row r="1387" spans="1:9" ht="15.75" customHeight="1" x14ac:dyDescent="0.2">
      <c r="A1387" s="437"/>
      <c r="B1387" s="437"/>
      <c r="C1387" s="436"/>
      <c r="D1387" s="467">
        <v>46876</v>
      </c>
      <c r="E1387" s="436" t="s">
        <v>603</v>
      </c>
      <c r="F1387" s="436">
        <v>59312114.979999997</v>
      </c>
      <c r="G1387" s="448">
        <v>39356.59999999404</v>
      </c>
      <c r="H1387" s="436">
        <v>275496.22999999672</v>
      </c>
      <c r="I1387" s="449">
        <v>550992.46999999881</v>
      </c>
    </row>
    <row r="1388" spans="1:9" ht="15.75" customHeight="1" x14ac:dyDescent="0.2">
      <c r="A1388" s="437"/>
      <c r="B1388" s="437"/>
      <c r="C1388" s="436"/>
      <c r="D1388" s="467">
        <v>46877</v>
      </c>
      <c r="E1388" s="436" t="s">
        <v>602</v>
      </c>
      <c r="F1388" s="436">
        <v>59351471.590000004</v>
      </c>
      <c r="G1388" s="448">
        <v>39356.610000006855</v>
      </c>
      <c r="H1388" s="436">
        <v>0</v>
      </c>
      <c r="I1388" s="449">
        <v>0</v>
      </c>
    </row>
    <row r="1389" spans="1:9" ht="15.75" customHeight="1" x14ac:dyDescent="0.2">
      <c r="A1389" s="437"/>
      <c r="B1389" s="437"/>
      <c r="C1389" s="436"/>
      <c r="D1389" s="467">
        <v>46878</v>
      </c>
      <c r="E1389" s="436" t="s">
        <v>601</v>
      </c>
      <c r="F1389" s="436">
        <v>59390828.189999998</v>
      </c>
      <c r="G1389" s="448">
        <v>39356.59999999404</v>
      </c>
      <c r="H1389" s="436">
        <v>0</v>
      </c>
      <c r="I1389" s="449">
        <v>0</v>
      </c>
    </row>
    <row r="1390" spans="1:9" ht="15.75" customHeight="1" x14ac:dyDescent="0.2">
      <c r="A1390" s="437"/>
      <c r="B1390" s="437"/>
      <c r="C1390" s="436"/>
      <c r="D1390" s="467">
        <v>46879</v>
      </c>
      <c r="E1390" s="436" t="s">
        <v>600</v>
      </c>
      <c r="F1390" s="436">
        <v>59430184.799999997</v>
      </c>
      <c r="G1390" s="448">
        <v>39356.609999999404</v>
      </c>
      <c r="H1390" s="436">
        <v>0</v>
      </c>
      <c r="I1390" s="449">
        <v>0</v>
      </c>
    </row>
    <row r="1391" spans="1:9" ht="15.75" customHeight="1" x14ac:dyDescent="0.2">
      <c r="A1391" s="437"/>
      <c r="B1391" s="437"/>
      <c r="C1391" s="436"/>
      <c r="D1391" s="467">
        <v>46880</v>
      </c>
      <c r="E1391" s="436" t="s">
        <v>599</v>
      </c>
      <c r="F1391" s="436">
        <v>59469541.399999999</v>
      </c>
      <c r="G1391" s="448">
        <v>39356.60000000149</v>
      </c>
      <c r="H1391" s="436">
        <v>0</v>
      </c>
      <c r="I1391" s="449">
        <v>0</v>
      </c>
    </row>
    <row r="1392" spans="1:9" ht="15.75" customHeight="1" x14ac:dyDescent="0.2">
      <c r="A1392" s="437"/>
      <c r="B1392" s="437"/>
      <c r="C1392" s="436"/>
      <c r="D1392" s="467">
        <v>46881</v>
      </c>
      <c r="E1392" s="436" t="s">
        <v>598</v>
      </c>
      <c r="F1392" s="436">
        <v>59508898.009999998</v>
      </c>
      <c r="G1392" s="448">
        <v>39356.609999999404</v>
      </c>
      <c r="H1392" s="436">
        <v>0</v>
      </c>
      <c r="I1392" s="449">
        <v>0</v>
      </c>
    </row>
    <row r="1393" spans="1:9" ht="15.75" customHeight="1" x14ac:dyDescent="0.2">
      <c r="A1393" s="437"/>
      <c r="B1393" s="437"/>
      <c r="C1393" s="436"/>
      <c r="D1393" s="467">
        <v>46882</v>
      </c>
      <c r="E1393" s="436" t="s">
        <v>597</v>
      </c>
      <c r="F1393" s="436">
        <v>59548254.619999997</v>
      </c>
      <c r="G1393" s="448">
        <v>39356.609999999404</v>
      </c>
      <c r="H1393" s="436">
        <v>0</v>
      </c>
      <c r="I1393" s="449">
        <v>0</v>
      </c>
    </row>
    <row r="1394" spans="1:9" ht="15.75" customHeight="1" x14ac:dyDescent="0.2">
      <c r="A1394" s="437"/>
      <c r="B1394" s="437"/>
      <c r="C1394" s="436"/>
      <c r="D1394" s="467">
        <v>46883</v>
      </c>
      <c r="E1394" s="436" t="s">
        <v>603</v>
      </c>
      <c r="F1394" s="436">
        <v>59587611.219999999</v>
      </c>
      <c r="G1394" s="448">
        <v>39356.60000000149</v>
      </c>
      <c r="H1394" s="436">
        <v>275496.24000000209</v>
      </c>
      <c r="I1394" s="449">
        <v>0</v>
      </c>
    </row>
    <row r="1395" spans="1:9" ht="15.75" customHeight="1" x14ac:dyDescent="0.2">
      <c r="A1395" s="437"/>
      <c r="B1395" s="437"/>
      <c r="C1395" s="436"/>
      <c r="D1395" s="467">
        <v>46884</v>
      </c>
      <c r="E1395" s="436" t="s">
        <v>602</v>
      </c>
      <c r="F1395" s="436">
        <v>59626967.829999998</v>
      </c>
      <c r="G1395" s="448">
        <v>39356.609999999404</v>
      </c>
      <c r="H1395" s="436">
        <v>0</v>
      </c>
      <c r="I1395" s="449">
        <v>0</v>
      </c>
    </row>
    <row r="1396" spans="1:9" ht="15.75" customHeight="1" x14ac:dyDescent="0.2">
      <c r="A1396" s="437"/>
      <c r="B1396" s="437"/>
      <c r="C1396" s="436"/>
      <c r="D1396" s="467">
        <v>46885</v>
      </c>
      <c r="E1396" s="436" t="s">
        <v>601</v>
      </c>
      <c r="F1396" s="436">
        <v>59666324.43</v>
      </c>
      <c r="G1396" s="448">
        <v>39356.60000000149</v>
      </c>
      <c r="H1396" s="436">
        <v>0</v>
      </c>
      <c r="I1396" s="449">
        <v>0</v>
      </c>
    </row>
    <row r="1397" spans="1:9" ht="15.75" customHeight="1" x14ac:dyDescent="0.2">
      <c r="A1397" s="437"/>
      <c r="B1397" s="437"/>
      <c r="C1397" s="436"/>
      <c r="D1397" s="467">
        <v>46886</v>
      </c>
      <c r="E1397" s="436" t="s">
        <v>600</v>
      </c>
      <c r="F1397" s="436">
        <v>59705681.039999999</v>
      </c>
      <c r="G1397" s="448">
        <v>39356.609999999404</v>
      </c>
      <c r="H1397" s="436">
        <v>0</v>
      </c>
      <c r="I1397" s="449">
        <v>0</v>
      </c>
    </row>
    <row r="1398" spans="1:9" ht="15.75" customHeight="1" x14ac:dyDescent="0.2">
      <c r="A1398" s="437"/>
      <c r="B1398" s="437"/>
      <c r="C1398" s="436"/>
      <c r="D1398" s="467">
        <v>46887</v>
      </c>
      <c r="E1398" s="436" t="s">
        <v>599</v>
      </c>
      <c r="F1398" s="436">
        <v>59745037.640000001</v>
      </c>
      <c r="G1398" s="448">
        <v>39356.60000000149</v>
      </c>
      <c r="H1398" s="436">
        <v>0</v>
      </c>
      <c r="I1398" s="449">
        <v>0</v>
      </c>
    </row>
    <row r="1399" spans="1:9" ht="15.75" customHeight="1" x14ac:dyDescent="0.2">
      <c r="A1399" s="437"/>
      <c r="B1399" s="437"/>
      <c r="C1399" s="436"/>
      <c r="D1399" s="467">
        <v>46888</v>
      </c>
      <c r="E1399" s="436" t="s">
        <v>598</v>
      </c>
      <c r="F1399" s="436">
        <v>59784394.25</v>
      </c>
      <c r="G1399" s="448">
        <v>39356.609999999404</v>
      </c>
      <c r="H1399" s="436">
        <v>0</v>
      </c>
      <c r="I1399" s="449">
        <v>0</v>
      </c>
    </row>
    <row r="1400" spans="1:9" ht="15.75" customHeight="1" x14ac:dyDescent="0.2">
      <c r="A1400" s="437"/>
      <c r="B1400" s="437"/>
      <c r="C1400" s="436"/>
      <c r="D1400" s="467">
        <v>46889</v>
      </c>
      <c r="E1400" s="436" t="s">
        <v>597</v>
      </c>
      <c r="F1400" s="436">
        <v>59823750.850000001</v>
      </c>
      <c r="G1400" s="448">
        <v>39356.60000000149</v>
      </c>
      <c r="H1400" s="436">
        <v>0</v>
      </c>
      <c r="I1400" s="449">
        <v>0</v>
      </c>
    </row>
    <row r="1401" spans="1:9" ht="15.75" customHeight="1" x14ac:dyDescent="0.2">
      <c r="A1401" s="437"/>
      <c r="B1401" s="437"/>
      <c r="C1401" s="436"/>
      <c r="D1401" s="467">
        <v>46890</v>
      </c>
      <c r="E1401" s="436" t="s">
        <v>603</v>
      </c>
      <c r="F1401" s="436">
        <v>59863107.460000001</v>
      </c>
      <c r="G1401" s="448">
        <v>39356.609999999404</v>
      </c>
      <c r="H1401" s="436">
        <v>275496.24000000209</v>
      </c>
      <c r="I1401" s="449">
        <v>550992.48000000417</v>
      </c>
    </row>
    <row r="1402" spans="1:9" ht="15.75" customHeight="1" x14ac:dyDescent="0.2">
      <c r="A1402" s="437"/>
      <c r="B1402" s="437"/>
      <c r="C1402" s="436"/>
      <c r="D1402" s="467">
        <v>46891</v>
      </c>
      <c r="E1402" s="436" t="s">
        <v>602</v>
      </c>
      <c r="F1402" s="436">
        <v>59902464.060000002</v>
      </c>
      <c r="G1402" s="448">
        <v>39356.60000000149</v>
      </c>
      <c r="H1402" s="436">
        <v>0</v>
      </c>
      <c r="I1402" s="449">
        <v>0</v>
      </c>
    </row>
    <row r="1403" spans="1:9" ht="15.75" customHeight="1" x14ac:dyDescent="0.2">
      <c r="A1403" s="437"/>
      <c r="B1403" s="437"/>
      <c r="C1403" s="436"/>
      <c r="D1403" s="467">
        <v>46892</v>
      </c>
      <c r="E1403" s="436" t="s">
        <v>601</v>
      </c>
      <c r="F1403" s="436">
        <v>59941820.670000002</v>
      </c>
      <c r="G1403" s="448">
        <v>39356.609999999404</v>
      </c>
      <c r="H1403" s="436">
        <v>0</v>
      </c>
      <c r="I1403" s="449">
        <v>0</v>
      </c>
    </row>
    <row r="1404" spans="1:9" ht="15.75" customHeight="1" x14ac:dyDescent="0.2">
      <c r="A1404" s="437"/>
      <c r="B1404" s="437"/>
      <c r="C1404" s="436"/>
      <c r="D1404" s="467">
        <v>46893</v>
      </c>
      <c r="E1404" s="436" t="s">
        <v>600</v>
      </c>
      <c r="F1404" s="436">
        <v>59981177.270000003</v>
      </c>
      <c r="G1404" s="448">
        <v>39356.60000000149</v>
      </c>
      <c r="H1404" s="436">
        <v>0</v>
      </c>
      <c r="I1404" s="449">
        <v>0</v>
      </c>
    </row>
    <row r="1405" spans="1:9" ht="15.75" customHeight="1" x14ac:dyDescent="0.2">
      <c r="A1405" s="437"/>
      <c r="B1405" s="437"/>
      <c r="C1405" s="436"/>
      <c r="D1405" s="467">
        <v>46894</v>
      </c>
      <c r="E1405" s="436" t="s">
        <v>599</v>
      </c>
      <c r="F1405" s="436">
        <v>60020533.880000003</v>
      </c>
      <c r="G1405" s="448">
        <v>39356.609999999404</v>
      </c>
      <c r="H1405" s="436">
        <v>0</v>
      </c>
      <c r="I1405" s="449">
        <v>0</v>
      </c>
    </row>
    <row r="1406" spans="1:9" ht="15.75" customHeight="1" x14ac:dyDescent="0.2">
      <c r="A1406" s="437"/>
      <c r="B1406" s="437"/>
      <c r="C1406" s="436"/>
      <c r="D1406" s="467">
        <v>46895</v>
      </c>
      <c r="E1406" s="436" t="s">
        <v>598</v>
      </c>
      <c r="F1406" s="436">
        <v>60059890.479999997</v>
      </c>
      <c r="G1406" s="448">
        <v>39356.59999999404</v>
      </c>
      <c r="H1406" s="436">
        <v>0</v>
      </c>
      <c r="I1406" s="449">
        <v>0</v>
      </c>
    </row>
    <row r="1407" spans="1:9" ht="15.75" customHeight="1" x14ac:dyDescent="0.2">
      <c r="A1407" s="437"/>
      <c r="B1407" s="437"/>
      <c r="C1407" s="436"/>
      <c r="D1407" s="467">
        <v>46896</v>
      </c>
      <c r="E1407" s="436" t="s">
        <v>597</v>
      </c>
      <c r="F1407" s="436">
        <v>60099247.090000004</v>
      </c>
      <c r="G1407" s="448">
        <v>39356.610000006855</v>
      </c>
      <c r="H1407" s="436">
        <v>0</v>
      </c>
      <c r="I1407" s="449">
        <v>0</v>
      </c>
    </row>
    <row r="1408" spans="1:9" ht="15.75" customHeight="1" x14ac:dyDescent="0.2">
      <c r="A1408" s="437"/>
      <c r="B1408" s="437"/>
      <c r="C1408" s="436"/>
      <c r="D1408" s="467">
        <v>46897</v>
      </c>
      <c r="E1408" s="436" t="s">
        <v>603</v>
      </c>
      <c r="F1408" s="436">
        <v>60138603.689999998</v>
      </c>
      <c r="G1408" s="448">
        <v>39356.59999999404</v>
      </c>
      <c r="H1408" s="436">
        <v>275496.22999999672</v>
      </c>
      <c r="I1408" s="449">
        <v>0</v>
      </c>
    </row>
    <row r="1409" spans="1:9" ht="15.75" customHeight="1" x14ac:dyDescent="0.2">
      <c r="A1409" s="437"/>
      <c r="B1409" s="437"/>
      <c r="C1409" s="436"/>
      <c r="D1409" s="467">
        <v>46898</v>
      </c>
      <c r="E1409" s="436" t="s">
        <v>602</v>
      </c>
      <c r="F1409" s="436">
        <v>60177960.299999997</v>
      </c>
      <c r="G1409" s="448">
        <v>39356.609999999404</v>
      </c>
      <c r="H1409" s="436">
        <v>0</v>
      </c>
      <c r="I1409" s="449">
        <v>0</v>
      </c>
    </row>
    <row r="1410" spans="1:9" ht="15.75" customHeight="1" x14ac:dyDescent="0.2">
      <c r="A1410" s="437"/>
      <c r="B1410" s="437"/>
      <c r="C1410" s="436"/>
      <c r="D1410" s="467">
        <v>46899</v>
      </c>
      <c r="E1410" s="436" t="s">
        <v>601</v>
      </c>
      <c r="F1410" s="436">
        <v>60217316.899999999</v>
      </c>
      <c r="G1410" s="448">
        <v>39356.60000000149</v>
      </c>
      <c r="H1410" s="436">
        <v>0</v>
      </c>
      <c r="I1410" s="449">
        <v>0</v>
      </c>
    </row>
    <row r="1411" spans="1:9" ht="15.75" customHeight="1" x14ac:dyDescent="0.2">
      <c r="A1411" s="437"/>
      <c r="B1411" s="437"/>
      <c r="C1411" s="436"/>
      <c r="D1411" s="467">
        <v>46900</v>
      </c>
      <c r="E1411" s="436" t="s">
        <v>600</v>
      </c>
      <c r="F1411" s="436">
        <v>60256673.509999998</v>
      </c>
      <c r="G1411" s="448">
        <v>39356.609999999404</v>
      </c>
      <c r="H1411" s="436">
        <v>0</v>
      </c>
      <c r="I1411" s="449">
        <v>0</v>
      </c>
    </row>
    <row r="1412" spans="1:9" ht="15.75" customHeight="1" x14ac:dyDescent="0.2">
      <c r="A1412" s="437"/>
      <c r="B1412" s="437"/>
      <c r="C1412" s="436"/>
      <c r="D1412" s="467">
        <v>46901</v>
      </c>
      <c r="E1412" s="436" t="s">
        <v>599</v>
      </c>
      <c r="F1412" s="436">
        <v>60296030.109999999</v>
      </c>
      <c r="G1412" s="448">
        <v>39356.60000000149</v>
      </c>
      <c r="H1412" s="436">
        <v>0</v>
      </c>
      <c r="I1412" s="449">
        <v>0</v>
      </c>
    </row>
    <row r="1413" spans="1:9" ht="15.75" customHeight="1" x14ac:dyDescent="0.2">
      <c r="A1413" s="437"/>
      <c r="B1413" s="437"/>
      <c r="C1413" s="436"/>
      <c r="D1413" s="467">
        <v>46902</v>
      </c>
      <c r="E1413" s="436" t="s">
        <v>598</v>
      </c>
      <c r="F1413" s="436">
        <v>60335386.719999999</v>
      </c>
      <c r="G1413" s="448">
        <v>39356.609999999404</v>
      </c>
      <c r="H1413" s="436">
        <v>0</v>
      </c>
      <c r="I1413" s="449">
        <v>0</v>
      </c>
    </row>
    <row r="1414" spans="1:9" ht="15.75" customHeight="1" x14ac:dyDescent="0.2">
      <c r="A1414" s="437"/>
      <c r="B1414" s="437"/>
      <c r="C1414" s="436"/>
      <c r="D1414" s="467">
        <v>46903</v>
      </c>
      <c r="E1414" s="436" t="s">
        <v>597</v>
      </c>
      <c r="F1414" s="436">
        <v>60374743.32</v>
      </c>
      <c r="G1414" s="448">
        <v>39356.60000000149</v>
      </c>
      <c r="H1414" s="436">
        <v>0</v>
      </c>
      <c r="I1414" s="449">
        <v>0</v>
      </c>
    </row>
    <row r="1415" spans="1:9" ht="15.75" customHeight="1" x14ac:dyDescent="0.2">
      <c r="A1415" s="437"/>
      <c r="B1415" s="437"/>
      <c r="C1415" s="436"/>
      <c r="D1415" s="467">
        <v>46904</v>
      </c>
      <c r="E1415" s="436" t="s">
        <v>603</v>
      </c>
      <c r="F1415" s="436">
        <v>60414099.93</v>
      </c>
      <c r="G1415" s="448">
        <v>39356.609999999404</v>
      </c>
      <c r="H1415" s="436">
        <v>275496.24000000209</v>
      </c>
      <c r="I1415" s="449">
        <v>550992.46999999881</v>
      </c>
    </row>
    <row r="1416" spans="1:9" ht="15.75" customHeight="1" x14ac:dyDescent="0.2">
      <c r="A1416" s="437"/>
      <c r="B1416" s="437"/>
      <c r="C1416" s="436"/>
      <c r="D1416" s="467">
        <v>46905</v>
      </c>
      <c r="E1416" s="436" t="s">
        <v>602</v>
      </c>
      <c r="F1416" s="436">
        <v>60453456.530000001</v>
      </c>
      <c r="G1416" s="448">
        <v>39356.60000000149</v>
      </c>
      <c r="H1416" s="436">
        <v>0</v>
      </c>
      <c r="I1416" s="449">
        <v>0</v>
      </c>
    </row>
    <row r="1417" spans="1:9" ht="15.75" customHeight="1" x14ac:dyDescent="0.2">
      <c r="A1417" s="437"/>
      <c r="B1417" s="437"/>
      <c r="C1417" s="436"/>
      <c r="D1417" s="467">
        <v>46906</v>
      </c>
      <c r="E1417" s="436" t="s">
        <v>601</v>
      </c>
      <c r="F1417" s="436">
        <v>60492813.140000001</v>
      </c>
      <c r="G1417" s="448">
        <v>39356.609999999404</v>
      </c>
      <c r="H1417" s="436">
        <v>0</v>
      </c>
      <c r="I1417" s="449">
        <v>0</v>
      </c>
    </row>
    <row r="1418" spans="1:9" ht="15.75" customHeight="1" x14ac:dyDescent="0.2">
      <c r="A1418" s="437"/>
      <c r="B1418" s="437"/>
      <c r="C1418" s="436"/>
      <c r="D1418" s="467">
        <v>46907</v>
      </c>
      <c r="E1418" s="436" t="s">
        <v>600</v>
      </c>
      <c r="F1418" s="436">
        <v>60532169.740000002</v>
      </c>
      <c r="G1418" s="448">
        <v>39356.60000000149</v>
      </c>
      <c r="H1418" s="436">
        <v>0</v>
      </c>
      <c r="I1418" s="449">
        <v>0</v>
      </c>
    </row>
    <row r="1419" spans="1:9" ht="15.75" customHeight="1" x14ac:dyDescent="0.2">
      <c r="A1419" s="437"/>
      <c r="B1419" s="437"/>
      <c r="C1419" s="436"/>
      <c r="D1419" s="467">
        <v>46908</v>
      </c>
      <c r="E1419" s="436" t="s">
        <v>599</v>
      </c>
      <c r="F1419" s="436">
        <v>60571526.350000001</v>
      </c>
      <c r="G1419" s="448">
        <v>39356.609999999404</v>
      </c>
      <c r="H1419" s="436">
        <v>0</v>
      </c>
      <c r="I1419" s="449">
        <v>0</v>
      </c>
    </row>
    <row r="1420" spans="1:9" ht="15.75" customHeight="1" x14ac:dyDescent="0.2">
      <c r="A1420" s="437"/>
      <c r="B1420" s="437"/>
      <c r="C1420" s="436"/>
      <c r="D1420" s="467">
        <v>46909</v>
      </c>
      <c r="E1420" s="436" t="s">
        <v>598</v>
      </c>
      <c r="F1420" s="436">
        <v>60610882.950000003</v>
      </c>
      <c r="G1420" s="448">
        <v>39356.60000000149</v>
      </c>
      <c r="H1420" s="436">
        <v>0</v>
      </c>
      <c r="I1420" s="449">
        <v>0</v>
      </c>
    </row>
    <row r="1421" spans="1:9" ht="15.75" customHeight="1" x14ac:dyDescent="0.2">
      <c r="A1421" s="437"/>
      <c r="B1421" s="437"/>
      <c r="C1421" s="436"/>
      <c r="D1421" s="467">
        <v>46910</v>
      </c>
      <c r="E1421" s="436" t="s">
        <v>597</v>
      </c>
      <c r="F1421" s="436">
        <v>60650239.560000002</v>
      </c>
      <c r="G1421" s="448">
        <v>39356.609999999404</v>
      </c>
      <c r="H1421" s="436">
        <v>0</v>
      </c>
      <c r="I1421" s="449">
        <v>0</v>
      </c>
    </row>
    <row r="1422" spans="1:9" ht="15.75" customHeight="1" x14ac:dyDescent="0.2">
      <c r="A1422" s="437"/>
      <c r="B1422" s="437"/>
      <c r="C1422" s="436"/>
      <c r="D1422" s="467">
        <v>46911</v>
      </c>
      <c r="E1422" s="436" t="s">
        <v>603</v>
      </c>
      <c r="F1422" s="436">
        <v>60689596.159999996</v>
      </c>
      <c r="G1422" s="448">
        <v>39356.59999999404</v>
      </c>
      <c r="H1422" s="436">
        <v>275496.22999999672</v>
      </c>
      <c r="I1422" s="449">
        <v>0</v>
      </c>
    </row>
    <row r="1423" spans="1:9" ht="15.75" customHeight="1" x14ac:dyDescent="0.2">
      <c r="A1423" s="437"/>
      <c r="B1423" s="437"/>
      <c r="C1423" s="436"/>
      <c r="D1423" s="467">
        <v>46912</v>
      </c>
      <c r="E1423" s="436" t="s">
        <v>602</v>
      </c>
      <c r="F1423" s="436">
        <v>60728952.770000003</v>
      </c>
      <c r="G1423" s="448">
        <v>39356.610000006855</v>
      </c>
      <c r="H1423" s="436">
        <v>0</v>
      </c>
      <c r="I1423" s="449">
        <v>0</v>
      </c>
    </row>
    <row r="1424" spans="1:9" ht="15.75" customHeight="1" x14ac:dyDescent="0.2">
      <c r="A1424" s="437"/>
      <c r="B1424" s="437"/>
      <c r="C1424" s="436"/>
      <c r="D1424" s="467">
        <v>46913</v>
      </c>
      <c r="E1424" s="436" t="s">
        <v>601</v>
      </c>
      <c r="F1424" s="436">
        <v>60768309.369999997</v>
      </c>
      <c r="G1424" s="448">
        <v>39356.59999999404</v>
      </c>
      <c r="H1424" s="436">
        <v>0</v>
      </c>
      <c r="I1424" s="449">
        <v>0</v>
      </c>
    </row>
    <row r="1425" spans="1:9" ht="15.75" customHeight="1" x14ac:dyDescent="0.2">
      <c r="A1425" s="437"/>
      <c r="B1425" s="437"/>
      <c r="C1425" s="436"/>
      <c r="D1425" s="467">
        <v>46914</v>
      </c>
      <c r="E1425" s="436" t="s">
        <v>600</v>
      </c>
      <c r="F1425" s="436">
        <v>60807665.979999997</v>
      </c>
      <c r="G1425" s="448">
        <v>39356.609999999404</v>
      </c>
      <c r="H1425" s="436">
        <v>0</v>
      </c>
      <c r="I1425" s="449">
        <v>0</v>
      </c>
    </row>
    <row r="1426" spans="1:9" ht="15.75" customHeight="1" x14ac:dyDescent="0.2">
      <c r="A1426" s="437"/>
      <c r="B1426" s="437"/>
      <c r="C1426" s="436"/>
      <c r="D1426" s="467">
        <v>46915</v>
      </c>
      <c r="E1426" s="436" t="s">
        <v>599</v>
      </c>
      <c r="F1426" s="436">
        <v>60847022.579999998</v>
      </c>
      <c r="G1426" s="448">
        <v>39356.60000000149</v>
      </c>
      <c r="H1426" s="436">
        <v>0</v>
      </c>
      <c r="I1426" s="449">
        <v>0</v>
      </c>
    </row>
    <row r="1427" spans="1:9" ht="15.75" customHeight="1" x14ac:dyDescent="0.2">
      <c r="A1427" s="437"/>
      <c r="B1427" s="437"/>
      <c r="C1427" s="436"/>
      <c r="D1427" s="467">
        <v>46916</v>
      </c>
      <c r="E1427" s="436" t="s">
        <v>598</v>
      </c>
      <c r="F1427" s="436">
        <v>60886379.189999998</v>
      </c>
      <c r="G1427" s="448">
        <v>39356.609999999404</v>
      </c>
      <c r="H1427" s="436">
        <v>0</v>
      </c>
      <c r="I1427" s="449">
        <v>0</v>
      </c>
    </row>
    <row r="1428" spans="1:9" ht="15.75" customHeight="1" x14ac:dyDescent="0.2">
      <c r="A1428" s="437"/>
      <c r="B1428" s="437"/>
      <c r="C1428" s="436"/>
      <c r="D1428" s="467">
        <v>46917</v>
      </c>
      <c r="E1428" s="436" t="s">
        <v>597</v>
      </c>
      <c r="F1428" s="436">
        <v>60925735.789999999</v>
      </c>
      <c r="G1428" s="448">
        <v>39356.60000000149</v>
      </c>
      <c r="H1428" s="436">
        <v>0</v>
      </c>
      <c r="I1428" s="449">
        <v>0</v>
      </c>
    </row>
    <row r="1429" spans="1:9" ht="15.75" customHeight="1" x14ac:dyDescent="0.2">
      <c r="A1429" s="437"/>
      <c r="B1429" s="437"/>
      <c r="C1429" s="436"/>
      <c r="D1429" s="467">
        <v>46918</v>
      </c>
      <c r="E1429" s="436" t="s">
        <v>603</v>
      </c>
      <c r="F1429" s="436">
        <v>60965092.399999999</v>
      </c>
      <c r="G1429" s="448">
        <v>39356.609999999404</v>
      </c>
      <c r="H1429" s="436">
        <v>275496.24000000209</v>
      </c>
      <c r="I1429" s="449">
        <v>550992.46999999881</v>
      </c>
    </row>
    <row r="1430" spans="1:9" ht="15.75" customHeight="1" x14ac:dyDescent="0.2">
      <c r="A1430" s="437"/>
      <c r="B1430" s="437"/>
      <c r="C1430" s="436"/>
      <c r="D1430" s="467">
        <v>46919</v>
      </c>
      <c r="E1430" s="436" t="s">
        <v>602</v>
      </c>
      <c r="F1430" s="436">
        <v>61004449</v>
      </c>
      <c r="G1430" s="448">
        <v>39356.60000000149</v>
      </c>
      <c r="H1430" s="436">
        <v>0</v>
      </c>
      <c r="I1430" s="449">
        <v>0</v>
      </c>
    </row>
    <row r="1431" spans="1:9" ht="15.75" customHeight="1" x14ac:dyDescent="0.2">
      <c r="A1431" s="437"/>
      <c r="B1431" s="437"/>
      <c r="C1431" s="436"/>
      <c r="D1431" s="467">
        <v>46920</v>
      </c>
      <c r="E1431" s="436" t="s">
        <v>601</v>
      </c>
      <c r="F1431" s="436">
        <v>61043805.609999999</v>
      </c>
      <c r="G1431" s="448">
        <v>39356.609999999404</v>
      </c>
      <c r="H1431" s="436">
        <v>0</v>
      </c>
      <c r="I1431" s="449">
        <v>0</v>
      </c>
    </row>
    <row r="1432" spans="1:9" ht="15.75" customHeight="1" x14ac:dyDescent="0.2">
      <c r="A1432" s="437"/>
      <c r="B1432" s="437"/>
      <c r="C1432" s="436"/>
      <c r="D1432" s="467">
        <v>46921</v>
      </c>
      <c r="E1432" s="436" t="s">
        <v>600</v>
      </c>
      <c r="F1432" s="436">
        <v>61083162.210000001</v>
      </c>
      <c r="G1432" s="448">
        <v>39356.60000000149</v>
      </c>
      <c r="H1432" s="436">
        <v>0</v>
      </c>
      <c r="I1432" s="449">
        <v>0</v>
      </c>
    </row>
    <row r="1433" spans="1:9" ht="15.75" customHeight="1" x14ac:dyDescent="0.2">
      <c r="A1433" s="437"/>
      <c r="B1433" s="437"/>
      <c r="C1433" s="436"/>
      <c r="D1433" s="467">
        <v>46922</v>
      </c>
      <c r="E1433" s="436" t="s">
        <v>599</v>
      </c>
      <c r="F1433" s="436">
        <v>61122518.82</v>
      </c>
      <c r="G1433" s="448">
        <v>39356.609999999404</v>
      </c>
      <c r="H1433" s="436">
        <v>0</v>
      </c>
      <c r="I1433" s="449">
        <v>0</v>
      </c>
    </row>
    <row r="1434" spans="1:9" ht="15.75" customHeight="1" x14ac:dyDescent="0.2">
      <c r="A1434" s="437"/>
      <c r="B1434" s="437"/>
      <c r="C1434" s="436"/>
      <c r="D1434" s="467">
        <v>46923</v>
      </c>
      <c r="E1434" s="436" t="s">
        <v>598</v>
      </c>
      <c r="F1434" s="436">
        <v>61161875.420000002</v>
      </c>
      <c r="G1434" s="448">
        <v>39356.60000000149</v>
      </c>
      <c r="H1434" s="436">
        <v>0</v>
      </c>
      <c r="I1434" s="449">
        <v>0</v>
      </c>
    </row>
    <row r="1435" spans="1:9" ht="15.75" customHeight="1" x14ac:dyDescent="0.2">
      <c r="A1435" s="437"/>
      <c r="B1435" s="437"/>
      <c r="C1435" s="436"/>
      <c r="D1435" s="467">
        <v>46924</v>
      </c>
      <c r="E1435" s="436" t="s">
        <v>597</v>
      </c>
      <c r="F1435" s="436">
        <v>61201232.030000001</v>
      </c>
      <c r="G1435" s="448">
        <v>39356.609999999404</v>
      </c>
      <c r="H1435" s="436">
        <v>0</v>
      </c>
      <c r="I1435" s="449">
        <v>0</v>
      </c>
    </row>
    <row r="1436" spans="1:9" ht="15.75" customHeight="1" x14ac:dyDescent="0.2">
      <c r="A1436" s="437"/>
      <c r="B1436" s="437"/>
      <c r="C1436" s="436"/>
      <c r="D1436" s="467">
        <v>46925</v>
      </c>
      <c r="E1436" s="436" t="s">
        <v>603</v>
      </c>
      <c r="F1436" s="436">
        <v>61240588.630000003</v>
      </c>
      <c r="G1436" s="448">
        <v>39356.60000000149</v>
      </c>
      <c r="H1436" s="436">
        <v>275496.23000000417</v>
      </c>
      <c r="I1436" s="449">
        <v>0</v>
      </c>
    </row>
    <row r="1437" spans="1:9" ht="15.75" customHeight="1" x14ac:dyDescent="0.2">
      <c r="A1437" s="437"/>
      <c r="B1437" s="437"/>
      <c r="C1437" s="436"/>
      <c r="D1437" s="467">
        <v>46926</v>
      </c>
      <c r="E1437" s="436" t="s">
        <v>602</v>
      </c>
      <c r="F1437" s="436">
        <v>61279945.240000002</v>
      </c>
      <c r="G1437" s="448">
        <v>39356.609999999404</v>
      </c>
      <c r="H1437" s="436">
        <v>0</v>
      </c>
      <c r="I1437" s="449">
        <v>0</v>
      </c>
    </row>
    <row r="1438" spans="1:9" ht="15.75" customHeight="1" x14ac:dyDescent="0.2">
      <c r="A1438" s="437"/>
      <c r="B1438" s="437"/>
      <c r="C1438" s="436"/>
      <c r="D1438" s="467">
        <v>46927</v>
      </c>
      <c r="E1438" s="436" t="s">
        <v>601</v>
      </c>
      <c r="F1438" s="436">
        <v>61319301.840000004</v>
      </c>
      <c r="G1438" s="448">
        <v>39356.60000000149</v>
      </c>
      <c r="H1438" s="436">
        <v>0</v>
      </c>
      <c r="I1438" s="449">
        <v>0</v>
      </c>
    </row>
    <row r="1439" spans="1:9" ht="15.75" customHeight="1" x14ac:dyDescent="0.2">
      <c r="A1439" s="437"/>
      <c r="B1439" s="437"/>
      <c r="C1439" s="436"/>
      <c r="D1439" s="467">
        <v>46928</v>
      </c>
      <c r="E1439" s="436" t="s">
        <v>600</v>
      </c>
      <c r="F1439" s="436">
        <v>61358658.450000003</v>
      </c>
      <c r="G1439" s="448">
        <v>39356.609999999404</v>
      </c>
      <c r="H1439" s="436">
        <v>0</v>
      </c>
      <c r="I1439" s="449">
        <v>0</v>
      </c>
    </row>
    <row r="1440" spans="1:9" ht="15.75" customHeight="1" x14ac:dyDescent="0.2">
      <c r="A1440" s="437"/>
      <c r="B1440" s="437"/>
      <c r="C1440" s="436"/>
      <c r="D1440" s="467">
        <v>46929</v>
      </c>
      <c r="E1440" s="436" t="s">
        <v>599</v>
      </c>
      <c r="F1440" s="436">
        <v>61398015.049999997</v>
      </c>
      <c r="G1440" s="448">
        <v>39356.59999999404</v>
      </c>
      <c r="H1440" s="436">
        <v>0</v>
      </c>
      <c r="I1440" s="449">
        <v>0</v>
      </c>
    </row>
    <row r="1441" spans="1:9" ht="15.75" customHeight="1" x14ac:dyDescent="0.2">
      <c r="A1441" s="437"/>
      <c r="B1441" s="437"/>
      <c r="C1441" s="436"/>
      <c r="D1441" s="467">
        <v>46930</v>
      </c>
      <c r="E1441" s="436" t="s">
        <v>598</v>
      </c>
      <c r="F1441" s="436">
        <v>61437371.659999996</v>
      </c>
      <c r="G1441" s="448">
        <v>39356.609999999404</v>
      </c>
      <c r="H1441" s="436">
        <v>0</v>
      </c>
      <c r="I1441" s="449">
        <v>0</v>
      </c>
    </row>
    <row r="1442" spans="1:9" ht="15.75" customHeight="1" x14ac:dyDescent="0.2">
      <c r="A1442" s="437"/>
      <c r="B1442" s="437"/>
      <c r="C1442" s="436"/>
      <c r="D1442" s="467">
        <v>46931</v>
      </c>
      <c r="E1442" s="436" t="s">
        <v>597</v>
      </c>
      <c r="F1442" s="436">
        <v>61476728.259999998</v>
      </c>
      <c r="G1442" s="448">
        <v>39356.60000000149</v>
      </c>
      <c r="H1442" s="436">
        <v>0</v>
      </c>
      <c r="I1442" s="449">
        <v>0</v>
      </c>
    </row>
    <row r="1443" spans="1:9" ht="15.75" customHeight="1" x14ac:dyDescent="0.2">
      <c r="A1443" s="437"/>
      <c r="B1443" s="437"/>
      <c r="C1443" s="436"/>
      <c r="D1443" s="467">
        <v>46932</v>
      </c>
      <c r="E1443" s="436" t="s">
        <v>603</v>
      </c>
      <c r="F1443" s="436">
        <v>61516084.869999997</v>
      </c>
      <c r="G1443" s="448">
        <v>39356.609999999404</v>
      </c>
      <c r="H1443" s="436">
        <v>275496.23999999464</v>
      </c>
      <c r="I1443" s="449">
        <v>550992.46999999881</v>
      </c>
    </row>
    <row r="1444" spans="1:9" ht="15.75" customHeight="1" x14ac:dyDescent="0.2">
      <c r="A1444" s="437"/>
      <c r="B1444" s="437"/>
      <c r="C1444" s="436"/>
      <c r="D1444" s="467">
        <v>46933</v>
      </c>
      <c r="E1444" s="436" t="s">
        <v>602</v>
      </c>
      <c r="F1444" s="436">
        <v>61555441.469999999</v>
      </c>
      <c r="G1444" s="448">
        <v>39356.60000000149</v>
      </c>
      <c r="H1444" s="436">
        <v>0</v>
      </c>
      <c r="I1444" s="449">
        <v>0</v>
      </c>
    </row>
    <row r="1445" spans="1:9" ht="15.75" customHeight="1" x14ac:dyDescent="0.2">
      <c r="A1445" s="437"/>
      <c r="B1445" s="437"/>
      <c r="C1445" s="436"/>
      <c r="D1445" s="467">
        <v>46934</v>
      </c>
      <c r="E1445" s="436" t="s">
        <v>601</v>
      </c>
      <c r="F1445" s="436">
        <v>61594798.079999998</v>
      </c>
      <c r="G1445" s="448">
        <v>39356.609999999404</v>
      </c>
      <c r="H1445" s="436">
        <v>0</v>
      </c>
      <c r="I1445" s="449">
        <v>0</v>
      </c>
    </row>
    <row r="1446" spans="1:9" ht="15.75" customHeight="1" x14ac:dyDescent="0.2">
      <c r="A1446" s="437"/>
      <c r="B1446" s="437"/>
      <c r="C1446" s="436"/>
      <c r="D1446" s="467">
        <v>46935</v>
      </c>
      <c r="E1446" s="436" t="s">
        <v>600</v>
      </c>
      <c r="F1446" s="436">
        <v>61634154.68</v>
      </c>
      <c r="G1446" s="448">
        <v>39356.60000000149</v>
      </c>
      <c r="H1446" s="436">
        <v>0</v>
      </c>
      <c r="I1446" s="449">
        <v>0</v>
      </c>
    </row>
    <row r="1447" spans="1:9" ht="15.75" customHeight="1" x14ac:dyDescent="0.2">
      <c r="A1447" s="437"/>
      <c r="B1447" s="437"/>
      <c r="C1447" s="436"/>
      <c r="D1447" s="467">
        <v>46936</v>
      </c>
      <c r="E1447" s="436" t="s">
        <v>599</v>
      </c>
      <c r="F1447" s="436">
        <v>61673511.289999999</v>
      </c>
      <c r="G1447" s="448">
        <v>39356.609999999404</v>
      </c>
      <c r="H1447" s="436">
        <v>0</v>
      </c>
      <c r="I1447" s="449">
        <v>0</v>
      </c>
    </row>
    <row r="1448" spans="1:9" ht="15.75" customHeight="1" x14ac:dyDescent="0.2">
      <c r="A1448" s="437"/>
      <c r="B1448" s="437"/>
      <c r="C1448" s="436"/>
      <c r="D1448" s="467">
        <v>46937</v>
      </c>
      <c r="E1448" s="436" t="s">
        <v>598</v>
      </c>
      <c r="F1448" s="436">
        <v>61712867.890000001</v>
      </c>
      <c r="G1448" s="448">
        <v>39356.60000000149</v>
      </c>
      <c r="H1448" s="436">
        <v>0</v>
      </c>
      <c r="I1448" s="449">
        <v>0</v>
      </c>
    </row>
    <row r="1449" spans="1:9" ht="15.75" customHeight="1" x14ac:dyDescent="0.2">
      <c r="A1449" s="437"/>
      <c r="B1449" s="437"/>
      <c r="C1449" s="436"/>
      <c r="D1449" s="467">
        <v>46938</v>
      </c>
      <c r="E1449" s="436" t="s">
        <v>597</v>
      </c>
      <c r="F1449" s="436">
        <v>61752224.5</v>
      </c>
      <c r="G1449" s="448">
        <v>39356.609999999404</v>
      </c>
      <c r="H1449" s="436">
        <v>0</v>
      </c>
      <c r="I1449" s="449">
        <v>0</v>
      </c>
    </row>
    <row r="1450" spans="1:9" ht="15.75" customHeight="1" x14ac:dyDescent="0.2">
      <c r="A1450" s="437"/>
      <c r="B1450" s="437"/>
      <c r="C1450" s="436"/>
      <c r="D1450" s="467">
        <v>46939</v>
      </c>
      <c r="E1450" s="436" t="s">
        <v>603</v>
      </c>
      <c r="F1450" s="436">
        <v>61791581.100000001</v>
      </c>
      <c r="G1450" s="448">
        <v>39356.60000000149</v>
      </c>
      <c r="H1450" s="436">
        <v>275496.23000000417</v>
      </c>
      <c r="I1450" s="449">
        <v>0</v>
      </c>
    </row>
    <row r="1451" spans="1:9" ht="15.75" customHeight="1" x14ac:dyDescent="0.2">
      <c r="A1451" s="437"/>
      <c r="B1451" s="437"/>
      <c r="C1451" s="436"/>
      <c r="D1451" s="467">
        <v>46940</v>
      </c>
      <c r="E1451" s="436" t="s">
        <v>602</v>
      </c>
      <c r="F1451" s="436">
        <v>61830937.710000001</v>
      </c>
      <c r="G1451" s="448">
        <v>39356.609999999404</v>
      </c>
      <c r="H1451" s="436">
        <v>0</v>
      </c>
      <c r="I1451" s="449">
        <v>0</v>
      </c>
    </row>
    <row r="1452" spans="1:9" ht="15.75" customHeight="1" x14ac:dyDescent="0.2">
      <c r="A1452" s="437"/>
      <c r="B1452" s="437"/>
      <c r="C1452" s="436"/>
      <c r="D1452" s="467">
        <v>46941</v>
      </c>
      <c r="E1452" s="436" t="s">
        <v>601</v>
      </c>
      <c r="F1452" s="436">
        <v>61870294.310000002</v>
      </c>
      <c r="G1452" s="448">
        <v>39356.60000000149</v>
      </c>
      <c r="H1452" s="436">
        <v>0</v>
      </c>
      <c r="I1452" s="449">
        <v>0</v>
      </c>
    </row>
    <row r="1453" spans="1:9" ht="15.75" customHeight="1" x14ac:dyDescent="0.2">
      <c r="A1453" s="437"/>
      <c r="B1453" s="437"/>
      <c r="C1453" s="436"/>
      <c r="D1453" s="467">
        <v>46942</v>
      </c>
      <c r="E1453" s="436" t="s">
        <v>600</v>
      </c>
      <c r="F1453" s="436">
        <v>61909650.920000002</v>
      </c>
      <c r="G1453" s="448">
        <v>39356.609999999404</v>
      </c>
      <c r="H1453" s="436">
        <v>0</v>
      </c>
      <c r="I1453" s="449">
        <v>0</v>
      </c>
    </row>
    <row r="1454" spans="1:9" ht="15.75" customHeight="1" x14ac:dyDescent="0.2">
      <c r="A1454" s="437"/>
      <c r="B1454" s="437"/>
      <c r="C1454" s="436"/>
      <c r="D1454" s="467">
        <v>46943</v>
      </c>
      <c r="E1454" s="436" t="s">
        <v>599</v>
      </c>
      <c r="F1454" s="436">
        <v>61949007.520000003</v>
      </c>
      <c r="G1454" s="448">
        <v>39356.60000000149</v>
      </c>
      <c r="H1454" s="436">
        <v>0</v>
      </c>
      <c r="I1454" s="449">
        <v>0</v>
      </c>
    </row>
    <row r="1455" spans="1:9" ht="15.75" customHeight="1" x14ac:dyDescent="0.2">
      <c r="A1455" s="437"/>
      <c r="B1455" s="437"/>
      <c r="C1455" s="436"/>
      <c r="D1455" s="467">
        <v>46944</v>
      </c>
      <c r="E1455" s="436" t="s">
        <v>598</v>
      </c>
      <c r="F1455" s="436">
        <v>61988364.130000003</v>
      </c>
      <c r="G1455" s="448">
        <v>39356.609999999404</v>
      </c>
      <c r="H1455" s="436">
        <v>0</v>
      </c>
      <c r="I1455" s="449">
        <v>0</v>
      </c>
    </row>
    <row r="1456" spans="1:9" ht="15.75" customHeight="1" x14ac:dyDescent="0.2">
      <c r="A1456" s="437"/>
      <c r="B1456" s="437"/>
      <c r="C1456" s="436"/>
      <c r="D1456" s="467">
        <v>46945</v>
      </c>
      <c r="E1456" s="436" t="s">
        <v>597</v>
      </c>
      <c r="F1456" s="436">
        <v>62027720.729999997</v>
      </c>
      <c r="G1456" s="448">
        <v>39356.59999999404</v>
      </c>
      <c r="H1456" s="436">
        <v>0</v>
      </c>
      <c r="I1456" s="449">
        <v>0</v>
      </c>
    </row>
    <row r="1457" spans="1:9" ht="15.75" customHeight="1" x14ac:dyDescent="0.2">
      <c r="A1457" s="437"/>
      <c r="B1457" s="437"/>
      <c r="C1457" s="436"/>
      <c r="D1457" s="467">
        <v>46946</v>
      </c>
      <c r="E1457" s="436" t="s">
        <v>603</v>
      </c>
      <c r="F1457" s="436">
        <v>62067077.340000004</v>
      </c>
      <c r="G1457" s="448">
        <v>39356.610000006855</v>
      </c>
      <c r="H1457" s="436">
        <v>275496.24000000209</v>
      </c>
      <c r="I1457" s="449">
        <v>550992.47000000626</v>
      </c>
    </row>
    <row r="1458" spans="1:9" ht="15.75" customHeight="1" x14ac:dyDescent="0.2">
      <c r="A1458" s="437"/>
      <c r="B1458" s="437"/>
      <c r="C1458" s="436"/>
      <c r="D1458" s="467">
        <v>46947</v>
      </c>
      <c r="E1458" s="436" t="s">
        <v>602</v>
      </c>
      <c r="F1458" s="436">
        <v>62106433.939999998</v>
      </c>
      <c r="G1458" s="448">
        <v>39356.59999999404</v>
      </c>
      <c r="H1458" s="436">
        <v>0</v>
      </c>
      <c r="I1458" s="449">
        <v>0</v>
      </c>
    </row>
    <row r="1459" spans="1:9" ht="15.75" customHeight="1" x14ac:dyDescent="0.2">
      <c r="A1459" s="437"/>
      <c r="B1459" s="437"/>
      <c r="C1459" s="436"/>
      <c r="D1459" s="467">
        <v>46948</v>
      </c>
      <c r="E1459" s="436" t="s">
        <v>601</v>
      </c>
      <c r="F1459" s="436">
        <v>62145790.549999997</v>
      </c>
      <c r="G1459" s="448">
        <v>39356.609999999404</v>
      </c>
      <c r="H1459" s="436">
        <v>0</v>
      </c>
      <c r="I1459" s="449">
        <v>0</v>
      </c>
    </row>
    <row r="1460" spans="1:9" ht="15.75" customHeight="1" x14ac:dyDescent="0.2">
      <c r="A1460" s="437"/>
      <c r="B1460" s="437"/>
      <c r="C1460" s="436"/>
      <c r="D1460" s="467">
        <v>46949</v>
      </c>
      <c r="E1460" s="436" t="s">
        <v>600</v>
      </c>
      <c r="F1460" s="436">
        <v>62185147.149999999</v>
      </c>
      <c r="G1460" s="448">
        <v>39356.60000000149</v>
      </c>
      <c r="H1460" s="436">
        <v>0</v>
      </c>
      <c r="I1460" s="449">
        <v>0</v>
      </c>
    </row>
    <row r="1461" spans="1:9" ht="15.75" customHeight="1" x14ac:dyDescent="0.2">
      <c r="A1461" s="437"/>
      <c r="B1461" s="437"/>
      <c r="C1461" s="436"/>
      <c r="D1461" s="467">
        <v>46950</v>
      </c>
      <c r="E1461" s="436" t="s">
        <v>599</v>
      </c>
      <c r="F1461" s="436">
        <v>62224503.759999998</v>
      </c>
      <c r="G1461" s="448">
        <v>39356.609999999404</v>
      </c>
      <c r="H1461" s="436">
        <v>0</v>
      </c>
      <c r="I1461" s="449">
        <v>0</v>
      </c>
    </row>
    <row r="1462" spans="1:9" ht="15.75" customHeight="1" x14ac:dyDescent="0.2">
      <c r="A1462" s="437"/>
      <c r="B1462" s="437"/>
      <c r="C1462" s="436"/>
      <c r="D1462" s="467">
        <v>46951</v>
      </c>
      <c r="E1462" s="436" t="s">
        <v>598</v>
      </c>
      <c r="F1462" s="436">
        <v>62263860.359999999</v>
      </c>
      <c r="G1462" s="448">
        <v>39356.60000000149</v>
      </c>
      <c r="H1462" s="436">
        <v>0</v>
      </c>
      <c r="I1462" s="449">
        <v>0</v>
      </c>
    </row>
    <row r="1463" spans="1:9" ht="15.75" customHeight="1" x14ac:dyDescent="0.2">
      <c r="A1463" s="437"/>
      <c r="B1463" s="437"/>
      <c r="C1463" s="436"/>
      <c r="D1463" s="467">
        <v>46952</v>
      </c>
      <c r="E1463" s="436" t="s">
        <v>597</v>
      </c>
      <c r="F1463" s="436">
        <v>62303216.969999999</v>
      </c>
      <c r="G1463" s="448">
        <v>39356.609999999404</v>
      </c>
      <c r="H1463" s="436">
        <v>0</v>
      </c>
      <c r="I1463" s="449">
        <v>0</v>
      </c>
    </row>
    <row r="1464" spans="1:9" ht="15.75" customHeight="1" x14ac:dyDescent="0.2">
      <c r="A1464" s="437"/>
      <c r="B1464" s="437"/>
      <c r="C1464" s="436"/>
      <c r="D1464" s="467">
        <v>46953</v>
      </c>
      <c r="E1464" s="436" t="s">
        <v>603</v>
      </c>
      <c r="F1464" s="436">
        <v>62342573.57</v>
      </c>
      <c r="G1464" s="448">
        <v>39356.60000000149</v>
      </c>
      <c r="H1464" s="436">
        <v>275496.22999999672</v>
      </c>
      <c r="I1464" s="449">
        <v>0</v>
      </c>
    </row>
    <row r="1465" spans="1:9" ht="15.75" customHeight="1" x14ac:dyDescent="0.2">
      <c r="A1465" s="437"/>
      <c r="B1465" s="437"/>
      <c r="C1465" s="436"/>
      <c r="D1465" s="467">
        <v>46954</v>
      </c>
      <c r="E1465" s="436" t="s">
        <v>602</v>
      </c>
      <c r="F1465" s="436">
        <v>62381930.18</v>
      </c>
      <c r="G1465" s="448">
        <v>39356.609999999404</v>
      </c>
      <c r="H1465" s="436">
        <v>0</v>
      </c>
      <c r="I1465" s="449">
        <v>0</v>
      </c>
    </row>
    <row r="1466" spans="1:9" ht="15.75" customHeight="1" x14ac:dyDescent="0.2">
      <c r="A1466" s="437"/>
      <c r="B1466" s="437"/>
      <c r="C1466" s="436"/>
      <c r="D1466" s="467">
        <v>46955</v>
      </c>
      <c r="E1466" s="436" t="s">
        <v>601</v>
      </c>
      <c r="F1466" s="436">
        <v>62421286.780000001</v>
      </c>
      <c r="G1466" s="448">
        <v>39356.60000000149</v>
      </c>
      <c r="H1466" s="436">
        <v>0</v>
      </c>
      <c r="I1466" s="449">
        <v>0</v>
      </c>
    </row>
    <row r="1467" spans="1:9" ht="15.75" customHeight="1" x14ac:dyDescent="0.2">
      <c r="A1467" s="437"/>
      <c r="B1467" s="437"/>
      <c r="C1467" s="436"/>
      <c r="D1467" s="467">
        <v>46956</v>
      </c>
      <c r="E1467" s="436" t="s">
        <v>600</v>
      </c>
      <c r="F1467" s="436">
        <v>62460643.390000001</v>
      </c>
      <c r="G1467" s="448">
        <v>39356.609999999404</v>
      </c>
      <c r="H1467" s="436">
        <v>0</v>
      </c>
      <c r="I1467" s="449">
        <v>0</v>
      </c>
    </row>
    <row r="1468" spans="1:9" ht="15.75" customHeight="1" x14ac:dyDescent="0.2">
      <c r="A1468" s="437"/>
      <c r="B1468" s="437"/>
      <c r="C1468" s="436"/>
      <c r="D1468" s="467">
        <v>46957</v>
      </c>
      <c r="E1468" s="436" t="s">
        <v>599</v>
      </c>
      <c r="F1468" s="436">
        <v>62500000</v>
      </c>
      <c r="G1468" s="448">
        <v>39356.609999999404</v>
      </c>
      <c r="H1468" s="436">
        <v>0</v>
      </c>
      <c r="I1468" s="449">
        <v>0</v>
      </c>
    </row>
    <row r="1469" spans="1:9" ht="15.75" customHeight="1" x14ac:dyDescent="0.2">
      <c r="A1469" s="437"/>
      <c r="B1469" s="437"/>
      <c r="C1469" s="436"/>
      <c r="D1469" s="467">
        <v>46958</v>
      </c>
      <c r="E1469" s="436" t="s">
        <v>598</v>
      </c>
      <c r="F1469" s="436">
        <v>62500000</v>
      </c>
      <c r="G1469" s="448">
        <v>0</v>
      </c>
      <c r="H1469" s="436">
        <v>0</v>
      </c>
      <c r="I1469" s="449">
        <v>0</v>
      </c>
    </row>
    <row r="1470" spans="1:9" ht="15.75" customHeight="1" x14ac:dyDescent="0.2">
      <c r="A1470" s="437"/>
      <c r="B1470" s="437"/>
      <c r="C1470" s="436"/>
      <c r="D1470" s="467">
        <v>46959</v>
      </c>
      <c r="E1470" s="436" t="s">
        <v>597</v>
      </c>
      <c r="F1470" s="436">
        <v>62500000</v>
      </c>
      <c r="G1470" s="448">
        <v>0</v>
      </c>
      <c r="H1470" s="436">
        <v>0</v>
      </c>
      <c r="I1470" s="449">
        <v>0</v>
      </c>
    </row>
    <row r="1471" spans="1:9" ht="15.75" customHeight="1" x14ac:dyDescent="0.2">
      <c r="A1471" s="437"/>
      <c r="B1471" s="437"/>
      <c r="C1471" s="436"/>
      <c r="D1471" s="467">
        <v>46960</v>
      </c>
      <c r="E1471" s="436" t="s">
        <v>603</v>
      </c>
      <c r="F1471" s="436">
        <v>62500000</v>
      </c>
      <c r="G1471" s="448">
        <v>0</v>
      </c>
      <c r="H1471" s="436">
        <v>157426.4299999997</v>
      </c>
      <c r="I1471" s="449">
        <v>432922.65999999642</v>
      </c>
    </row>
    <row r="1472" spans="1:9" ht="15.75" customHeight="1" x14ac:dyDescent="0.2">
      <c r="A1472" s="437"/>
      <c r="B1472" s="437"/>
      <c r="C1472" s="436"/>
      <c r="D1472" s="467">
        <v>46961</v>
      </c>
      <c r="E1472" s="436" t="s">
        <v>602</v>
      </c>
      <c r="F1472" s="436">
        <v>62500000</v>
      </c>
      <c r="G1472" s="448">
        <v>0</v>
      </c>
      <c r="H1472" s="436">
        <v>0</v>
      </c>
      <c r="I1472" s="449">
        <v>0</v>
      </c>
    </row>
    <row r="1473" spans="1:9" ht="15.75" customHeight="1" x14ac:dyDescent="0.2">
      <c r="A1473" s="437"/>
      <c r="B1473" s="437"/>
      <c r="C1473" s="436"/>
      <c r="D1473" s="467">
        <v>46962</v>
      </c>
      <c r="E1473" s="436" t="s">
        <v>601</v>
      </c>
      <c r="F1473" s="436">
        <v>62500000</v>
      </c>
      <c r="G1473" s="448">
        <v>0</v>
      </c>
      <c r="H1473" s="436">
        <v>0</v>
      </c>
      <c r="I1473" s="449">
        <v>0</v>
      </c>
    </row>
    <row r="1474" spans="1:9" ht="15.75" customHeight="1" x14ac:dyDescent="0.2">
      <c r="A1474" s="437"/>
      <c r="B1474" s="437"/>
      <c r="C1474" s="436"/>
      <c r="D1474" s="467">
        <v>46963</v>
      </c>
      <c r="E1474" s="436" t="s">
        <v>600</v>
      </c>
      <c r="F1474" s="436">
        <v>62500000</v>
      </c>
      <c r="G1474" s="448">
        <v>0</v>
      </c>
      <c r="H1474" s="436">
        <v>0</v>
      </c>
      <c r="I1474" s="449">
        <v>0</v>
      </c>
    </row>
    <row r="1475" spans="1:9" ht="15.75" customHeight="1" x14ac:dyDescent="0.2">
      <c r="A1475" s="437"/>
      <c r="B1475" s="437"/>
      <c r="C1475" s="436"/>
      <c r="D1475" s="467">
        <v>46964</v>
      </c>
      <c r="E1475" s="436" t="s">
        <v>599</v>
      </c>
      <c r="F1475" s="436">
        <v>62500000</v>
      </c>
      <c r="G1475" s="448">
        <v>0</v>
      </c>
      <c r="H1475" s="436">
        <v>0</v>
      </c>
      <c r="I1475" s="449">
        <v>0</v>
      </c>
    </row>
    <row r="1476" spans="1:9" ht="15.75" customHeight="1" x14ac:dyDescent="0.2">
      <c r="A1476" s="437"/>
      <c r="B1476" s="437"/>
      <c r="C1476" s="436"/>
      <c r="D1476" s="467">
        <v>46965</v>
      </c>
      <c r="E1476" s="436" t="s">
        <v>598</v>
      </c>
      <c r="F1476" s="436">
        <v>62500000</v>
      </c>
      <c r="G1476" s="448">
        <v>0</v>
      </c>
      <c r="H1476" s="436">
        <v>0</v>
      </c>
      <c r="I1476" s="449">
        <v>0</v>
      </c>
    </row>
    <row r="1477" spans="1:9" ht="15.75" customHeight="1" x14ac:dyDescent="0.2">
      <c r="A1477" s="437"/>
      <c r="B1477" s="437"/>
      <c r="C1477" s="436"/>
      <c r="D1477" s="467">
        <v>46966</v>
      </c>
      <c r="E1477" s="436" t="s">
        <v>597</v>
      </c>
      <c r="F1477" s="436">
        <v>62500000</v>
      </c>
      <c r="G1477" s="448">
        <v>0</v>
      </c>
      <c r="H1477" s="436">
        <v>0</v>
      </c>
      <c r="I1477" s="449">
        <v>0</v>
      </c>
    </row>
    <row r="1478" spans="1:9" ht="15.75" customHeight="1" x14ac:dyDescent="0.2">
      <c r="A1478" s="437"/>
      <c r="B1478" s="437"/>
      <c r="C1478" s="436"/>
      <c r="D1478" s="467">
        <v>46967</v>
      </c>
      <c r="E1478" s="436" t="s">
        <v>603</v>
      </c>
      <c r="F1478" s="436">
        <v>62500000</v>
      </c>
      <c r="G1478" s="448">
        <v>0</v>
      </c>
      <c r="H1478" s="436">
        <v>0</v>
      </c>
      <c r="I1478" s="449">
        <v>0</v>
      </c>
    </row>
    <row r="1479" spans="1:9" ht="15.75" customHeight="1" x14ac:dyDescent="0.2">
      <c r="A1479" s="437"/>
      <c r="B1479" s="437"/>
      <c r="C1479" s="436"/>
      <c r="D1479" s="467">
        <v>46968</v>
      </c>
      <c r="E1479" s="436" t="s">
        <v>602</v>
      </c>
      <c r="F1479" s="436">
        <v>62500000</v>
      </c>
      <c r="G1479" s="448">
        <v>0</v>
      </c>
      <c r="H1479" s="436">
        <v>0</v>
      </c>
      <c r="I1479" s="449">
        <v>0</v>
      </c>
    </row>
    <row r="1480" spans="1:9" ht="15.75" customHeight="1" x14ac:dyDescent="0.2">
      <c r="A1480" s="437"/>
      <c r="B1480" s="437"/>
      <c r="C1480" s="436"/>
      <c r="D1480" s="467">
        <v>46969</v>
      </c>
      <c r="E1480" s="436" t="s">
        <v>601</v>
      </c>
      <c r="F1480" s="436">
        <v>62500000</v>
      </c>
      <c r="G1480" s="448">
        <v>0</v>
      </c>
      <c r="H1480" s="436">
        <v>0</v>
      </c>
      <c r="I1480" s="449">
        <v>0</v>
      </c>
    </row>
    <row r="1481" spans="1:9" ht="15.75" customHeight="1" x14ac:dyDescent="0.2">
      <c r="A1481" s="437"/>
      <c r="B1481" s="437"/>
      <c r="C1481" s="436"/>
      <c r="D1481" s="467">
        <v>46970</v>
      </c>
      <c r="E1481" s="436" t="s">
        <v>600</v>
      </c>
      <c r="F1481" s="436">
        <v>62500000</v>
      </c>
      <c r="G1481" s="448">
        <v>0</v>
      </c>
      <c r="H1481" s="436">
        <v>0</v>
      </c>
      <c r="I1481" s="449">
        <v>0</v>
      </c>
    </row>
    <row r="1482" spans="1:9" ht="15.75" customHeight="1" x14ac:dyDescent="0.2">
      <c r="A1482" s="437"/>
      <c r="B1482" s="437"/>
      <c r="C1482" s="436"/>
      <c r="D1482" s="467">
        <v>46971</v>
      </c>
      <c r="E1482" s="436" t="s">
        <v>599</v>
      </c>
      <c r="F1482" s="436">
        <v>62500000</v>
      </c>
      <c r="G1482" s="448">
        <v>0</v>
      </c>
      <c r="H1482" s="436">
        <v>0</v>
      </c>
      <c r="I1482" s="449">
        <v>0</v>
      </c>
    </row>
    <row r="1483" spans="1:9" ht="15.75" customHeight="1" x14ac:dyDescent="0.2">
      <c r="A1483" s="437"/>
      <c r="B1483" s="437"/>
      <c r="C1483" s="436"/>
      <c r="D1483" s="467">
        <v>46972</v>
      </c>
      <c r="E1483" s="436" t="s">
        <v>598</v>
      </c>
      <c r="F1483" s="436">
        <v>62500000</v>
      </c>
      <c r="G1483" s="448">
        <v>0</v>
      </c>
      <c r="H1483" s="436">
        <v>0</v>
      </c>
      <c r="I1483" s="449">
        <v>0</v>
      </c>
    </row>
    <row r="1484" spans="1:9" ht="15.75" customHeight="1" x14ac:dyDescent="0.2">
      <c r="A1484" s="437"/>
      <c r="B1484" s="437"/>
      <c r="C1484" s="436"/>
      <c r="D1484" s="467">
        <v>46973</v>
      </c>
      <c r="E1484" s="436" t="s">
        <v>597</v>
      </c>
      <c r="F1484" s="436">
        <v>62500000</v>
      </c>
      <c r="G1484" s="448">
        <v>0</v>
      </c>
      <c r="H1484" s="436">
        <v>0</v>
      </c>
      <c r="I1484" s="449">
        <v>0</v>
      </c>
    </row>
    <row r="1485" spans="1:9" ht="15.75" customHeight="1" x14ac:dyDescent="0.2">
      <c r="A1485" s="437"/>
      <c r="B1485" s="437"/>
      <c r="C1485" s="436"/>
      <c r="D1485" s="467">
        <v>46974</v>
      </c>
      <c r="E1485" s="436" t="s">
        <v>603</v>
      </c>
      <c r="F1485" s="436">
        <v>62500000</v>
      </c>
      <c r="G1485" s="448">
        <v>0</v>
      </c>
      <c r="H1485" s="436">
        <v>0</v>
      </c>
      <c r="I1485" s="449">
        <v>0</v>
      </c>
    </row>
    <row r="1486" spans="1:9" ht="15.75" customHeight="1" x14ac:dyDescent="0.2">
      <c r="A1486" s="437"/>
      <c r="B1486" s="437"/>
      <c r="C1486" s="436"/>
      <c r="D1486" s="467">
        <v>46975</v>
      </c>
      <c r="E1486" s="436" t="s">
        <v>602</v>
      </c>
      <c r="F1486" s="436">
        <v>62500000</v>
      </c>
      <c r="G1486" s="448">
        <v>0</v>
      </c>
      <c r="H1486" s="436">
        <v>0</v>
      </c>
      <c r="I1486" s="449">
        <v>0</v>
      </c>
    </row>
    <row r="1487" spans="1:9" ht="15.75" customHeight="1" x14ac:dyDescent="0.2">
      <c r="A1487" s="437"/>
      <c r="B1487" s="437"/>
      <c r="C1487" s="436"/>
      <c r="D1487" s="467">
        <v>46976</v>
      </c>
      <c r="E1487" s="436" t="s">
        <v>601</v>
      </c>
      <c r="F1487" s="436">
        <v>62500000</v>
      </c>
      <c r="G1487" s="448">
        <v>0</v>
      </c>
      <c r="H1487" s="436">
        <v>0</v>
      </c>
      <c r="I1487" s="449">
        <v>0</v>
      </c>
    </row>
    <row r="1488" spans="1:9" ht="15.75" customHeight="1" x14ac:dyDescent="0.2">
      <c r="A1488" s="437"/>
      <c r="B1488" s="437"/>
      <c r="C1488" s="436"/>
      <c r="D1488" s="467">
        <v>46977</v>
      </c>
      <c r="E1488" s="436" t="s">
        <v>600</v>
      </c>
      <c r="F1488" s="436">
        <v>62500000</v>
      </c>
      <c r="G1488" s="448">
        <v>0</v>
      </c>
      <c r="H1488" s="436">
        <v>0</v>
      </c>
      <c r="I1488" s="449">
        <v>0</v>
      </c>
    </row>
    <row r="1489" spans="1:9" ht="15.75" customHeight="1" x14ac:dyDescent="0.2">
      <c r="A1489" s="437"/>
      <c r="B1489" s="437"/>
      <c r="C1489" s="436"/>
      <c r="D1489" s="467">
        <v>46978</v>
      </c>
      <c r="E1489" s="436" t="s">
        <v>599</v>
      </c>
      <c r="F1489" s="436">
        <v>62500000</v>
      </c>
      <c r="G1489" s="448">
        <v>0</v>
      </c>
      <c r="H1489" s="436">
        <v>0</v>
      </c>
      <c r="I1489" s="449">
        <v>0</v>
      </c>
    </row>
    <row r="1490" spans="1:9" ht="15.75" customHeight="1" x14ac:dyDescent="0.2">
      <c r="A1490" s="437"/>
      <c r="B1490" s="437"/>
      <c r="C1490" s="436"/>
      <c r="D1490" s="467">
        <v>46979</v>
      </c>
      <c r="E1490" s="436" t="s">
        <v>598</v>
      </c>
      <c r="F1490" s="436">
        <v>62500000</v>
      </c>
      <c r="G1490" s="448">
        <v>0</v>
      </c>
      <c r="H1490" s="436">
        <v>0</v>
      </c>
      <c r="I1490" s="449">
        <v>0</v>
      </c>
    </row>
    <row r="1491" spans="1:9" ht="15.75" customHeight="1" x14ac:dyDescent="0.2">
      <c r="A1491" s="437"/>
      <c r="B1491" s="437"/>
      <c r="C1491" s="436"/>
      <c r="D1491" s="467">
        <v>46980</v>
      </c>
      <c r="E1491" s="436" t="s">
        <v>597</v>
      </c>
      <c r="F1491" s="436">
        <v>62500000</v>
      </c>
      <c r="G1491" s="448">
        <v>0</v>
      </c>
      <c r="H1491" s="436">
        <v>0</v>
      </c>
      <c r="I1491" s="449">
        <v>0</v>
      </c>
    </row>
    <row r="1492" spans="1:9" ht="15.75" customHeight="1" x14ac:dyDescent="0.2">
      <c r="A1492" s="437"/>
      <c r="B1492" s="437"/>
      <c r="C1492" s="436"/>
      <c r="D1492" s="467">
        <v>46981</v>
      </c>
      <c r="E1492" s="436" t="s">
        <v>603</v>
      </c>
      <c r="F1492" s="436">
        <v>62500000</v>
      </c>
      <c r="G1492" s="448">
        <v>0</v>
      </c>
      <c r="H1492" s="436">
        <v>0</v>
      </c>
      <c r="I1492" s="449">
        <v>0</v>
      </c>
    </row>
    <row r="1493" spans="1:9" ht="15.75" customHeight="1" x14ac:dyDescent="0.2">
      <c r="A1493" s="437"/>
      <c r="B1493" s="437"/>
      <c r="C1493" s="436"/>
      <c r="D1493" s="467">
        <v>46982</v>
      </c>
      <c r="E1493" s="436" t="s">
        <v>602</v>
      </c>
      <c r="F1493" s="436">
        <v>62500000</v>
      </c>
      <c r="G1493" s="448">
        <v>0</v>
      </c>
      <c r="H1493" s="436">
        <v>0</v>
      </c>
      <c r="I1493" s="449">
        <v>0</v>
      </c>
    </row>
    <row r="1494" spans="1:9" ht="15.75" customHeight="1" x14ac:dyDescent="0.2">
      <c r="A1494" s="437"/>
      <c r="B1494" s="437"/>
      <c r="C1494" s="436"/>
      <c r="D1494" s="467">
        <v>46983</v>
      </c>
      <c r="E1494" s="436" t="s">
        <v>601</v>
      </c>
      <c r="F1494" s="436">
        <v>62500000</v>
      </c>
      <c r="G1494" s="448">
        <v>0</v>
      </c>
      <c r="H1494" s="436">
        <v>0</v>
      </c>
      <c r="I1494" s="449">
        <v>0</v>
      </c>
    </row>
    <row r="1495" spans="1:9" ht="15.75" customHeight="1" x14ac:dyDescent="0.2">
      <c r="A1495" s="437"/>
      <c r="B1495" s="437"/>
      <c r="C1495" s="436"/>
      <c r="D1495" s="467">
        <v>46984</v>
      </c>
      <c r="E1495" s="436" t="s">
        <v>600</v>
      </c>
      <c r="F1495" s="436">
        <v>62500000</v>
      </c>
      <c r="G1495" s="448">
        <v>0</v>
      </c>
      <c r="H1495" s="436">
        <v>0</v>
      </c>
      <c r="I1495" s="449">
        <v>0</v>
      </c>
    </row>
    <row r="1496" spans="1:9" ht="15.75" customHeight="1" x14ac:dyDescent="0.2">
      <c r="A1496" s="437"/>
      <c r="B1496" s="437"/>
      <c r="C1496" s="436"/>
      <c r="D1496" s="467">
        <v>46985</v>
      </c>
      <c r="E1496" s="436" t="s">
        <v>599</v>
      </c>
      <c r="F1496" s="436">
        <v>62500000</v>
      </c>
      <c r="G1496" s="448">
        <v>0</v>
      </c>
      <c r="H1496" s="436">
        <v>0</v>
      </c>
      <c r="I1496" s="449">
        <v>0</v>
      </c>
    </row>
    <row r="1497" spans="1:9" ht="15.75" customHeight="1" x14ac:dyDescent="0.2">
      <c r="A1497" s="437"/>
      <c r="B1497" s="437"/>
      <c r="C1497" s="436"/>
      <c r="D1497" s="467">
        <v>46986</v>
      </c>
      <c r="E1497" s="436" t="s">
        <v>598</v>
      </c>
      <c r="F1497" s="436">
        <v>62500000</v>
      </c>
      <c r="G1497" s="448">
        <v>0</v>
      </c>
      <c r="H1497" s="436">
        <v>0</v>
      </c>
      <c r="I1497" s="449">
        <v>0</v>
      </c>
    </row>
    <row r="1498" spans="1:9" ht="15.75" customHeight="1" x14ac:dyDescent="0.2">
      <c r="A1498" s="437"/>
      <c r="B1498" s="437"/>
      <c r="C1498" s="436"/>
      <c r="D1498" s="467">
        <v>46987</v>
      </c>
      <c r="E1498" s="436" t="s">
        <v>597</v>
      </c>
      <c r="F1498" s="436">
        <v>62500000</v>
      </c>
      <c r="G1498" s="448">
        <v>0</v>
      </c>
      <c r="H1498" s="436">
        <v>0</v>
      </c>
      <c r="I1498" s="449">
        <v>0</v>
      </c>
    </row>
    <row r="1499" spans="1:9" ht="15.75" customHeight="1" x14ac:dyDescent="0.2">
      <c r="A1499" s="437"/>
      <c r="B1499" s="437"/>
      <c r="C1499" s="436"/>
      <c r="D1499" s="467">
        <v>46988</v>
      </c>
      <c r="E1499" s="436" t="s">
        <v>603</v>
      </c>
      <c r="F1499" s="436">
        <v>62500000</v>
      </c>
      <c r="G1499" s="448">
        <v>0</v>
      </c>
      <c r="H1499" s="436">
        <v>0</v>
      </c>
      <c r="I1499" s="449">
        <v>0</v>
      </c>
    </row>
    <row r="1500" spans="1:9" ht="15.75" customHeight="1" x14ac:dyDescent="0.2">
      <c r="A1500" s="437"/>
      <c r="B1500" s="437"/>
      <c r="C1500" s="436"/>
      <c r="D1500" s="467">
        <v>46989</v>
      </c>
      <c r="E1500" s="436" t="s">
        <v>602</v>
      </c>
      <c r="F1500" s="436">
        <v>62500000</v>
      </c>
      <c r="G1500" s="448">
        <v>0</v>
      </c>
      <c r="H1500" s="436">
        <v>0</v>
      </c>
      <c r="I1500" s="449">
        <v>0</v>
      </c>
    </row>
    <row r="1501" spans="1:9" ht="15.75" customHeight="1" x14ac:dyDescent="0.2">
      <c r="A1501" s="437"/>
      <c r="B1501" s="437"/>
      <c r="C1501" s="436"/>
      <c r="D1501" s="467">
        <v>46990</v>
      </c>
      <c r="E1501" s="436" t="s">
        <v>601</v>
      </c>
      <c r="F1501" s="436">
        <v>62500000</v>
      </c>
      <c r="G1501" s="448">
        <v>0</v>
      </c>
      <c r="H1501" s="436">
        <v>0</v>
      </c>
      <c r="I1501" s="449">
        <v>0</v>
      </c>
    </row>
    <row r="1502" spans="1:9" ht="15.75" customHeight="1" x14ac:dyDescent="0.2">
      <c r="A1502" s="437"/>
      <c r="B1502" s="437"/>
      <c r="C1502" s="436"/>
      <c r="D1502" s="467">
        <v>46991</v>
      </c>
      <c r="E1502" s="436" t="s">
        <v>600</v>
      </c>
      <c r="F1502" s="436">
        <v>62500000</v>
      </c>
      <c r="G1502" s="448">
        <v>0</v>
      </c>
      <c r="H1502" s="436">
        <v>0</v>
      </c>
      <c r="I1502" s="449">
        <v>0</v>
      </c>
    </row>
    <row r="1503" spans="1:9" ht="15.75" customHeight="1" x14ac:dyDescent="0.2">
      <c r="A1503" s="437"/>
      <c r="B1503" s="437"/>
      <c r="C1503" s="436"/>
      <c r="D1503" s="467">
        <v>46992</v>
      </c>
      <c r="E1503" s="436" t="s">
        <v>599</v>
      </c>
      <c r="F1503" s="436">
        <v>62500000</v>
      </c>
      <c r="G1503" s="448">
        <v>0</v>
      </c>
      <c r="H1503" s="436">
        <v>0</v>
      </c>
      <c r="I1503" s="449">
        <v>0</v>
      </c>
    </row>
    <row r="1504" spans="1:9" ht="15.75" customHeight="1" x14ac:dyDescent="0.2">
      <c r="A1504" s="437"/>
      <c r="B1504" s="437"/>
      <c r="C1504" s="436"/>
      <c r="D1504" s="467">
        <v>46993</v>
      </c>
      <c r="E1504" s="436" t="s">
        <v>598</v>
      </c>
      <c r="F1504" s="436">
        <v>62500000</v>
      </c>
      <c r="G1504" s="448">
        <v>0</v>
      </c>
      <c r="H1504" s="436">
        <v>0</v>
      </c>
      <c r="I1504" s="449">
        <v>0</v>
      </c>
    </row>
    <row r="1505" spans="1:9" ht="15.75" customHeight="1" x14ac:dyDescent="0.2">
      <c r="A1505" s="437"/>
      <c r="B1505" s="437"/>
      <c r="C1505" s="436"/>
      <c r="D1505" s="467">
        <v>46994</v>
      </c>
      <c r="E1505" s="436" t="s">
        <v>597</v>
      </c>
      <c r="F1505" s="436">
        <v>62500000</v>
      </c>
      <c r="G1505" s="448">
        <v>0</v>
      </c>
      <c r="H1505" s="436">
        <v>0</v>
      </c>
      <c r="I1505" s="449">
        <v>0</v>
      </c>
    </row>
    <row r="1506" spans="1:9" ht="15.75" customHeight="1" x14ac:dyDescent="0.2">
      <c r="A1506" s="437"/>
      <c r="B1506" s="437"/>
      <c r="C1506" s="436"/>
      <c r="D1506" s="467">
        <v>46995</v>
      </c>
      <c r="E1506" s="436" t="s">
        <v>603</v>
      </c>
      <c r="F1506" s="436">
        <v>62500000</v>
      </c>
      <c r="G1506" s="448">
        <v>0</v>
      </c>
      <c r="H1506" s="436">
        <v>0</v>
      </c>
      <c r="I1506" s="449">
        <v>0</v>
      </c>
    </row>
    <row r="1507" spans="1:9" ht="15.75" customHeight="1" x14ac:dyDescent="0.2">
      <c r="A1507" s="437"/>
      <c r="B1507" s="437"/>
      <c r="C1507" s="436"/>
      <c r="D1507" s="467">
        <v>46996</v>
      </c>
      <c r="E1507" s="436" t="s">
        <v>602</v>
      </c>
      <c r="F1507" s="436">
        <v>62500000</v>
      </c>
      <c r="G1507" s="448">
        <v>0</v>
      </c>
      <c r="H1507" s="436">
        <v>0</v>
      </c>
      <c r="I1507" s="449">
        <v>0</v>
      </c>
    </row>
    <row r="1508" spans="1:9" ht="15.75" customHeight="1" x14ac:dyDescent="0.2">
      <c r="A1508" s="437"/>
      <c r="B1508" s="437"/>
      <c r="C1508" s="436"/>
      <c r="D1508" s="467">
        <v>46997</v>
      </c>
      <c r="E1508" s="436" t="s">
        <v>601</v>
      </c>
      <c r="F1508" s="436">
        <v>62500000</v>
      </c>
      <c r="G1508" s="448">
        <v>0</v>
      </c>
      <c r="H1508" s="436">
        <v>0</v>
      </c>
      <c r="I1508" s="449">
        <v>0</v>
      </c>
    </row>
    <row r="1509" spans="1:9" ht="15.75" customHeight="1" x14ac:dyDescent="0.2">
      <c r="A1509" s="437"/>
      <c r="B1509" s="437"/>
      <c r="C1509" s="436"/>
      <c r="D1509" s="467">
        <v>46998</v>
      </c>
      <c r="E1509" s="436" t="s">
        <v>600</v>
      </c>
      <c r="F1509" s="436">
        <v>62500000</v>
      </c>
      <c r="G1509" s="448">
        <v>0</v>
      </c>
      <c r="H1509" s="436">
        <v>0</v>
      </c>
      <c r="I1509" s="449">
        <v>0</v>
      </c>
    </row>
    <row r="1510" spans="1:9" ht="15.75" customHeight="1" x14ac:dyDescent="0.2">
      <c r="A1510" s="437"/>
      <c r="B1510" s="437"/>
      <c r="C1510" s="436"/>
      <c r="D1510" s="467">
        <v>46999</v>
      </c>
      <c r="E1510" s="436" t="s">
        <v>599</v>
      </c>
      <c r="F1510" s="436">
        <v>62500000</v>
      </c>
      <c r="G1510" s="448">
        <v>0</v>
      </c>
      <c r="H1510" s="436">
        <v>0</v>
      </c>
      <c r="I1510" s="449">
        <v>0</v>
      </c>
    </row>
    <row r="1511" spans="1:9" ht="15.75" customHeight="1" x14ac:dyDescent="0.2">
      <c r="A1511" s="437"/>
      <c r="B1511" s="437"/>
      <c r="C1511" s="436"/>
      <c r="D1511" s="467">
        <v>47000</v>
      </c>
      <c r="E1511" s="436" t="s">
        <v>598</v>
      </c>
      <c r="F1511" s="436">
        <v>62500000</v>
      </c>
      <c r="G1511" s="448">
        <v>0</v>
      </c>
      <c r="H1511" s="436">
        <v>0</v>
      </c>
      <c r="I1511" s="449">
        <v>0</v>
      </c>
    </row>
    <row r="1512" spans="1:9" ht="15.75" customHeight="1" x14ac:dyDescent="0.2">
      <c r="A1512" s="437"/>
      <c r="B1512" s="437"/>
      <c r="C1512" s="436"/>
      <c r="D1512" s="467">
        <v>47001</v>
      </c>
      <c r="E1512" s="436" t="s">
        <v>597</v>
      </c>
      <c r="F1512" s="436">
        <v>62500000</v>
      </c>
      <c r="G1512" s="448">
        <v>0</v>
      </c>
      <c r="H1512" s="436">
        <v>0</v>
      </c>
      <c r="I1512" s="449">
        <v>0</v>
      </c>
    </row>
    <row r="1513" spans="1:9" ht="15.75" customHeight="1" x14ac:dyDescent="0.2">
      <c r="A1513" s="437"/>
      <c r="B1513" s="437"/>
      <c r="C1513" s="436"/>
      <c r="D1513" s="467">
        <v>47002</v>
      </c>
      <c r="E1513" s="436" t="s">
        <v>603</v>
      </c>
      <c r="F1513" s="436">
        <v>62500000</v>
      </c>
      <c r="G1513" s="448">
        <v>0</v>
      </c>
      <c r="H1513" s="436">
        <v>0</v>
      </c>
      <c r="I1513" s="449">
        <v>0</v>
      </c>
    </row>
    <row r="1514" spans="1:9" ht="15.75" customHeight="1" x14ac:dyDescent="0.2">
      <c r="A1514" s="437"/>
      <c r="B1514" s="437"/>
      <c r="C1514" s="436"/>
      <c r="D1514" s="467">
        <v>47003</v>
      </c>
      <c r="E1514" s="436" t="s">
        <v>602</v>
      </c>
      <c r="F1514" s="436">
        <v>62500000</v>
      </c>
      <c r="G1514" s="448">
        <v>0</v>
      </c>
      <c r="H1514" s="436">
        <v>0</v>
      </c>
      <c r="I1514" s="449">
        <v>0</v>
      </c>
    </row>
    <row r="1515" spans="1:9" ht="15.75" customHeight="1" x14ac:dyDescent="0.2">
      <c r="A1515" s="437"/>
      <c r="B1515" s="437"/>
      <c r="C1515" s="436"/>
      <c r="D1515" s="467">
        <v>47004</v>
      </c>
      <c r="E1515" s="436" t="s">
        <v>601</v>
      </c>
      <c r="F1515" s="436">
        <v>62500000</v>
      </c>
      <c r="G1515" s="448">
        <v>0</v>
      </c>
      <c r="H1515" s="436">
        <v>0</v>
      </c>
      <c r="I1515" s="449">
        <v>0</v>
      </c>
    </row>
    <row r="1516" spans="1:9" ht="15.75" customHeight="1" x14ac:dyDescent="0.2">
      <c r="A1516" s="437"/>
      <c r="B1516" s="437"/>
      <c r="C1516" s="436"/>
      <c r="D1516" s="467">
        <v>47005</v>
      </c>
      <c r="E1516" s="436" t="s">
        <v>600</v>
      </c>
      <c r="F1516" s="436">
        <v>62500000</v>
      </c>
      <c r="G1516" s="448">
        <v>0</v>
      </c>
      <c r="H1516" s="436">
        <v>0</v>
      </c>
      <c r="I1516" s="449">
        <v>0</v>
      </c>
    </row>
    <row r="1517" spans="1:9" ht="15.75" customHeight="1" x14ac:dyDescent="0.2">
      <c r="A1517" s="437"/>
      <c r="B1517" s="437"/>
      <c r="C1517" s="436"/>
      <c r="D1517" s="467">
        <v>47006</v>
      </c>
      <c r="E1517" s="436" t="s">
        <v>599</v>
      </c>
      <c r="F1517" s="436">
        <v>62500000</v>
      </c>
      <c r="G1517" s="448">
        <v>0</v>
      </c>
      <c r="H1517" s="436">
        <v>0</v>
      </c>
      <c r="I1517" s="449">
        <v>0</v>
      </c>
    </row>
    <row r="1518" spans="1:9" ht="15.75" customHeight="1" x14ac:dyDescent="0.2">
      <c r="A1518" s="437"/>
      <c r="B1518" s="437"/>
      <c r="C1518" s="436"/>
      <c r="D1518" s="467">
        <v>47007</v>
      </c>
      <c r="E1518" s="436" t="s">
        <v>598</v>
      </c>
      <c r="F1518" s="436">
        <v>62500000</v>
      </c>
      <c r="G1518" s="448">
        <v>0</v>
      </c>
      <c r="H1518" s="436">
        <v>0</v>
      </c>
      <c r="I1518" s="449">
        <v>0</v>
      </c>
    </row>
    <row r="1519" spans="1:9" ht="15.75" customHeight="1" x14ac:dyDescent="0.2">
      <c r="A1519" s="437"/>
      <c r="B1519" s="437"/>
      <c r="C1519" s="436"/>
      <c r="D1519" s="467">
        <v>47008</v>
      </c>
      <c r="E1519" s="436" t="s">
        <v>597</v>
      </c>
      <c r="F1519" s="436">
        <v>62500000</v>
      </c>
      <c r="G1519" s="448">
        <v>0</v>
      </c>
      <c r="H1519" s="436">
        <v>0</v>
      </c>
      <c r="I1519" s="449">
        <v>0</v>
      </c>
    </row>
    <row r="1520" spans="1:9" ht="15.75" customHeight="1" x14ac:dyDescent="0.2">
      <c r="A1520" s="437"/>
      <c r="B1520" s="437"/>
      <c r="C1520" s="436"/>
      <c r="D1520" s="467">
        <v>47009</v>
      </c>
      <c r="E1520" s="436" t="s">
        <v>603</v>
      </c>
      <c r="F1520" s="436">
        <v>62500000</v>
      </c>
      <c r="G1520" s="448">
        <v>0</v>
      </c>
      <c r="H1520" s="436">
        <v>0</v>
      </c>
      <c r="I1520" s="449">
        <v>0</v>
      </c>
    </row>
    <row r="1521" spans="1:9" ht="15.75" customHeight="1" x14ac:dyDescent="0.2">
      <c r="A1521" s="437"/>
      <c r="B1521" s="437"/>
      <c r="C1521" s="436"/>
      <c r="D1521" s="467">
        <v>47010</v>
      </c>
      <c r="E1521" s="436" t="s">
        <v>602</v>
      </c>
      <c r="F1521" s="436">
        <v>62500000</v>
      </c>
      <c r="G1521" s="448">
        <v>0</v>
      </c>
      <c r="H1521" s="436">
        <v>0</v>
      </c>
      <c r="I1521" s="449">
        <v>0</v>
      </c>
    </row>
    <row r="1522" spans="1:9" ht="15.75" customHeight="1" x14ac:dyDescent="0.2">
      <c r="A1522" s="437"/>
      <c r="B1522" s="437"/>
      <c r="C1522" s="436"/>
      <c r="D1522" s="467">
        <v>47011</v>
      </c>
      <c r="E1522" s="436" t="s">
        <v>601</v>
      </c>
      <c r="F1522" s="436">
        <v>62500000</v>
      </c>
      <c r="G1522" s="448">
        <v>0</v>
      </c>
      <c r="H1522" s="436">
        <v>0</v>
      </c>
      <c r="I1522" s="449">
        <v>0</v>
      </c>
    </row>
    <row r="1523" spans="1:9" ht="15.75" customHeight="1" x14ac:dyDescent="0.2">
      <c r="A1523" s="437"/>
      <c r="B1523" s="437"/>
      <c r="C1523" s="436"/>
      <c r="D1523" s="467">
        <v>47012</v>
      </c>
      <c r="E1523" s="436" t="s">
        <v>600</v>
      </c>
      <c r="F1523" s="436">
        <v>62500000</v>
      </c>
      <c r="G1523" s="448">
        <v>0</v>
      </c>
      <c r="H1523" s="436">
        <v>0</v>
      </c>
      <c r="I1523" s="449">
        <v>0</v>
      </c>
    </row>
    <row r="1524" spans="1:9" ht="15.75" customHeight="1" x14ac:dyDescent="0.2">
      <c r="A1524" s="437"/>
      <c r="B1524" s="437"/>
      <c r="C1524" s="436"/>
      <c r="D1524" s="467">
        <v>47013</v>
      </c>
      <c r="E1524" s="436" t="s">
        <v>599</v>
      </c>
      <c r="F1524" s="436">
        <v>62500000</v>
      </c>
      <c r="G1524" s="448">
        <v>0</v>
      </c>
      <c r="H1524" s="436">
        <v>0</v>
      </c>
      <c r="I1524" s="449">
        <v>0</v>
      </c>
    </row>
    <row r="1525" spans="1:9" ht="15.75" customHeight="1" x14ac:dyDescent="0.2">
      <c r="A1525" s="437"/>
      <c r="B1525" s="437"/>
      <c r="C1525" s="436"/>
      <c r="D1525" s="467">
        <v>47014</v>
      </c>
      <c r="E1525" s="436" t="s">
        <v>598</v>
      </c>
      <c r="F1525" s="436">
        <v>62500000</v>
      </c>
      <c r="G1525" s="448">
        <v>0</v>
      </c>
      <c r="H1525" s="436">
        <v>0</v>
      </c>
      <c r="I1525" s="449">
        <v>0</v>
      </c>
    </row>
    <row r="1526" spans="1:9" ht="15.75" customHeight="1" x14ac:dyDescent="0.2">
      <c r="A1526" s="437"/>
      <c r="B1526" s="437"/>
      <c r="C1526" s="436"/>
      <c r="D1526" s="467">
        <v>47015</v>
      </c>
      <c r="E1526" s="436" t="s">
        <v>597</v>
      </c>
      <c r="F1526" s="436">
        <v>62500000</v>
      </c>
      <c r="G1526" s="448">
        <v>0</v>
      </c>
      <c r="H1526" s="436">
        <v>0</v>
      </c>
      <c r="I1526" s="449">
        <v>0</v>
      </c>
    </row>
    <row r="1527" spans="1:9" ht="15.75" customHeight="1" x14ac:dyDescent="0.2">
      <c r="A1527" s="437"/>
      <c r="B1527" s="437"/>
      <c r="C1527" s="436"/>
      <c r="D1527" s="467">
        <v>47016</v>
      </c>
      <c r="E1527" s="436" t="s">
        <v>603</v>
      </c>
      <c r="F1527" s="436">
        <v>62500000</v>
      </c>
      <c r="G1527" s="448">
        <v>0</v>
      </c>
      <c r="H1527" s="436">
        <v>0</v>
      </c>
      <c r="I1527" s="449">
        <v>0</v>
      </c>
    </row>
    <row r="1528" spans="1:9" ht="15.75" customHeight="1" x14ac:dyDescent="0.2">
      <c r="A1528" s="437"/>
      <c r="B1528" s="437"/>
      <c r="C1528" s="436"/>
      <c r="D1528" s="467">
        <v>47017</v>
      </c>
      <c r="E1528" s="436" t="s">
        <v>602</v>
      </c>
      <c r="F1528" s="436">
        <v>62500000</v>
      </c>
      <c r="G1528" s="448">
        <v>0</v>
      </c>
      <c r="H1528" s="436">
        <v>0</v>
      </c>
      <c r="I1528" s="449">
        <v>0</v>
      </c>
    </row>
    <row r="1529" spans="1:9" ht="15.75" customHeight="1" x14ac:dyDescent="0.2">
      <c r="A1529" s="437"/>
      <c r="B1529" s="437"/>
      <c r="C1529" s="436"/>
      <c r="D1529" s="467">
        <v>47018</v>
      </c>
      <c r="E1529" s="436" t="s">
        <v>601</v>
      </c>
      <c r="F1529" s="436">
        <v>62500000</v>
      </c>
      <c r="G1529" s="448">
        <v>0</v>
      </c>
      <c r="H1529" s="436">
        <v>0</v>
      </c>
      <c r="I1529" s="449">
        <v>0</v>
      </c>
    </row>
    <row r="1530" spans="1:9" ht="15.75" customHeight="1" x14ac:dyDescent="0.2">
      <c r="A1530" s="437"/>
      <c r="B1530" s="437"/>
      <c r="C1530" s="436"/>
      <c r="D1530" s="467">
        <v>47019</v>
      </c>
      <c r="E1530" s="436" t="s">
        <v>600</v>
      </c>
      <c r="F1530" s="436">
        <v>62500000</v>
      </c>
      <c r="G1530" s="448">
        <v>0</v>
      </c>
      <c r="H1530" s="436">
        <v>0</v>
      </c>
      <c r="I1530" s="449">
        <v>0</v>
      </c>
    </row>
    <row r="1531" spans="1:9" ht="15.75" customHeight="1" x14ac:dyDescent="0.2">
      <c r="A1531" s="437"/>
      <c r="B1531" s="437"/>
      <c r="C1531" s="436"/>
      <c r="D1531" s="467">
        <v>47020</v>
      </c>
      <c r="E1531" s="436" t="s">
        <v>599</v>
      </c>
      <c r="F1531" s="436">
        <v>62500000</v>
      </c>
      <c r="G1531" s="448">
        <v>0</v>
      </c>
      <c r="H1531" s="436">
        <v>0</v>
      </c>
      <c r="I1531" s="449">
        <v>0</v>
      </c>
    </row>
    <row r="1532" spans="1:9" ht="15.75" customHeight="1" x14ac:dyDescent="0.2">
      <c r="A1532" s="437"/>
      <c r="B1532" s="437"/>
      <c r="C1532" s="436"/>
      <c r="D1532" s="467">
        <v>47021</v>
      </c>
      <c r="E1532" s="436" t="s">
        <v>598</v>
      </c>
      <c r="F1532" s="436">
        <v>62500000</v>
      </c>
      <c r="G1532" s="448">
        <v>0</v>
      </c>
      <c r="H1532" s="436">
        <v>0</v>
      </c>
      <c r="I1532" s="449">
        <v>0</v>
      </c>
    </row>
    <row r="1533" spans="1:9" ht="15.75" customHeight="1" x14ac:dyDescent="0.2">
      <c r="A1533" s="437"/>
      <c r="B1533" s="437"/>
      <c r="C1533" s="436"/>
      <c r="D1533" s="467">
        <v>47022</v>
      </c>
      <c r="E1533" s="436" t="s">
        <v>597</v>
      </c>
      <c r="F1533" s="436">
        <v>62500000</v>
      </c>
      <c r="G1533" s="448">
        <v>0</v>
      </c>
      <c r="H1533" s="436">
        <v>0</v>
      </c>
      <c r="I1533" s="449">
        <v>0</v>
      </c>
    </row>
    <row r="1534" spans="1:9" ht="15.75" customHeight="1" x14ac:dyDescent="0.2">
      <c r="A1534" s="437"/>
      <c r="B1534" s="437"/>
      <c r="C1534" s="436"/>
      <c r="D1534" s="467">
        <v>47023</v>
      </c>
      <c r="E1534" s="436" t="s">
        <v>603</v>
      </c>
      <c r="F1534" s="436">
        <v>62500000</v>
      </c>
      <c r="G1534" s="448">
        <v>0</v>
      </c>
      <c r="H1534" s="436">
        <v>0</v>
      </c>
      <c r="I1534" s="449">
        <v>0</v>
      </c>
    </row>
    <row r="1535" spans="1:9" ht="15.75" customHeight="1" x14ac:dyDescent="0.2">
      <c r="A1535" s="437"/>
      <c r="B1535" s="437"/>
      <c r="C1535" s="436"/>
      <c r="D1535" s="467">
        <v>47024</v>
      </c>
      <c r="E1535" s="436" t="s">
        <v>602</v>
      </c>
      <c r="F1535" s="436">
        <v>62500000</v>
      </c>
      <c r="G1535" s="448">
        <v>0</v>
      </c>
      <c r="H1535" s="436">
        <v>0</v>
      </c>
      <c r="I1535" s="449">
        <v>0</v>
      </c>
    </row>
    <row r="1536" spans="1:9" ht="15.75" customHeight="1" x14ac:dyDescent="0.2">
      <c r="A1536" s="437"/>
      <c r="B1536" s="437"/>
      <c r="C1536" s="436"/>
      <c r="D1536" s="467">
        <v>47025</v>
      </c>
      <c r="E1536" s="436" t="s">
        <v>601</v>
      </c>
      <c r="F1536" s="436">
        <v>62500000</v>
      </c>
      <c r="G1536" s="448">
        <v>0</v>
      </c>
      <c r="H1536" s="436">
        <v>0</v>
      </c>
      <c r="I1536" s="449">
        <v>0</v>
      </c>
    </row>
    <row r="1537" spans="1:9" ht="15.75" customHeight="1" x14ac:dyDescent="0.2">
      <c r="A1537" s="437"/>
      <c r="B1537" s="437"/>
      <c r="C1537" s="436"/>
      <c r="D1537" s="467">
        <v>47026</v>
      </c>
      <c r="E1537" s="436" t="s">
        <v>600</v>
      </c>
      <c r="F1537" s="436">
        <v>62500000</v>
      </c>
      <c r="G1537" s="448">
        <v>0</v>
      </c>
      <c r="H1537" s="436">
        <v>0</v>
      </c>
      <c r="I1537" s="449">
        <v>0</v>
      </c>
    </row>
    <row r="1538" spans="1:9" ht="15.75" customHeight="1" x14ac:dyDescent="0.2">
      <c r="A1538" s="437"/>
      <c r="B1538" s="437"/>
      <c r="C1538" s="436"/>
      <c r="D1538" s="467">
        <v>47027</v>
      </c>
      <c r="E1538" s="436" t="s">
        <v>599</v>
      </c>
      <c r="F1538" s="436">
        <v>62500000</v>
      </c>
      <c r="G1538" s="448">
        <v>0</v>
      </c>
      <c r="H1538" s="436">
        <v>0</v>
      </c>
      <c r="I1538" s="449">
        <v>0</v>
      </c>
    </row>
    <row r="1539" spans="1:9" ht="15.75" customHeight="1" x14ac:dyDescent="0.2">
      <c r="A1539" s="437"/>
      <c r="B1539" s="437"/>
      <c r="C1539" s="436"/>
      <c r="D1539" s="467">
        <v>47028</v>
      </c>
      <c r="E1539" s="436" t="s">
        <v>598</v>
      </c>
      <c r="F1539" s="436">
        <v>62500000</v>
      </c>
      <c r="G1539" s="448">
        <v>0</v>
      </c>
      <c r="H1539" s="436">
        <v>0</v>
      </c>
      <c r="I1539" s="449">
        <v>0</v>
      </c>
    </row>
    <row r="1540" spans="1:9" ht="15.75" customHeight="1" x14ac:dyDescent="0.2">
      <c r="A1540" s="437"/>
      <c r="B1540" s="437"/>
      <c r="C1540" s="436"/>
      <c r="D1540" s="467">
        <v>47029</v>
      </c>
      <c r="E1540" s="436" t="s">
        <v>597</v>
      </c>
      <c r="F1540" s="436">
        <v>62500000</v>
      </c>
      <c r="G1540" s="448">
        <v>0</v>
      </c>
      <c r="H1540" s="436">
        <v>0</v>
      </c>
      <c r="I1540" s="449">
        <v>0</v>
      </c>
    </row>
    <row r="1541" spans="1:9" ht="15.75" customHeight="1" x14ac:dyDescent="0.2">
      <c r="A1541" s="437"/>
      <c r="B1541" s="437"/>
      <c r="C1541" s="436"/>
      <c r="D1541" s="467">
        <v>47030</v>
      </c>
      <c r="E1541" s="436" t="s">
        <v>603</v>
      </c>
      <c r="F1541" s="436">
        <v>62500000</v>
      </c>
      <c r="G1541" s="448">
        <v>0</v>
      </c>
      <c r="H1541" s="436">
        <v>0</v>
      </c>
      <c r="I1541" s="449">
        <v>0</v>
      </c>
    </row>
    <row r="1542" spans="1:9" ht="15.75" customHeight="1" x14ac:dyDescent="0.2">
      <c r="A1542" s="437"/>
      <c r="B1542" s="437"/>
      <c r="C1542" s="436"/>
      <c r="D1542" s="467">
        <v>47031</v>
      </c>
      <c r="E1542" s="436" t="s">
        <v>602</v>
      </c>
      <c r="F1542" s="436">
        <v>62500000</v>
      </c>
      <c r="G1542" s="448">
        <v>0</v>
      </c>
      <c r="H1542" s="436">
        <v>0</v>
      </c>
      <c r="I1542" s="449">
        <v>0</v>
      </c>
    </row>
    <row r="1543" spans="1:9" ht="15.75" customHeight="1" x14ac:dyDescent="0.2">
      <c r="A1543" s="437"/>
      <c r="B1543" s="437"/>
      <c r="C1543" s="436"/>
      <c r="D1543" s="467">
        <v>47032</v>
      </c>
      <c r="E1543" s="436" t="s">
        <v>601</v>
      </c>
      <c r="F1543" s="436">
        <v>62500000</v>
      </c>
      <c r="G1543" s="448">
        <v>0</v>
      </c>
      <c r="H1543" s="436">
        <v>0</v>
      </c>
      <c r="I1543" s="449">
        <v>0</v>
      </c>
    </row>
    <row r="1544" spans="1:9" ht="15.75" customHeight="1" x14ac:dyDescent="0.2">
      <c r="A1544" s="437"/>
      <c r="B1544" s="437"/>
      <c r="C1544" s="436"/>
      <c r="D1544" s="467">
        <v>47033</v>
      </c>
      <c r="E1544" s="436" t="s">
        <v>600</v>
      </c>
      <c r="F1544" s="436">
        <v>62500000</v>
      </c>
      <c r="G1544" s="448">
        <v>0</v>
      </c>
      <c r="H1544" s="436">
        <v>0</v>
      </c>
      <c r="I1544" s="449">
        <v>0</v>
      </c>
    </row>
    <row r="1545" spans="1:9" ht="15.75" customHeight="1" x14ac:dyDescent="0.2">
      <c r="A1545" s="437"/>
      <c r="B1545" s="437"/>
      <c r="C1545" s="436"/>
      <c r="D1545" s="467">
        <v>47034</v>
      </c>
      <c r="E1545" s="436" t="s">
        <v>599</v>
      </c>
      <c r="F1545" s="436">
        <v>62500000</v>
      </c>
      <c r="G1545" s="448">
        <v>0</v>
      </c>
      <c r="H1545" s="436">
        <v>0</v>
      </c>
      <c r="I1545" s="449">
        <v>0</v>
      </c>
    </row>
    <row r="1546" spans="1:9" ht="15.75" customHeight="1" x14ac:dyDescent="0.2">
      <c r="A1546" s="437"/>
      <c r="B1546" s="437"/>
      <c r="C1546" s="436"/>
      <c r="D1546" s="467">
        <v>47035</v>
      </c>
      <c r="E1546" s="436" t="s">
        <v>598</v>
      </c>
      <c r="F1546" s="436">
        <v>62500000</v>
      </c>
      <c r="G1546" s="448">
        <v>0</v>
      </c>
      <c r="H1546" s="436">
        <v>0</v>
      </c>
      <c r="I1546" s="449">
        <v>0</v>
      </c>
    </row>
    <row r="1547" spans="1:9" ht="15.75" customHeight="1" x14ac:dyDescent="0.2">
      <c r="A1547" s="437"/>
      <c r="B1547" s="437"/>
      <c r="C1547" s="436"/>
      <c r="D1547" s="467">
        <v>47036</v>
      </c>
      <c r="E1547" s="436" t="s">
        <v>597</v>
      </c>
      <c r="F1547" s="436">
        <v>62500000</v>
      </c>
      <c r="G1547" s="448">
        <v>0</v>
      </c>
      <c r="H1547" s="436">
        <v>0</v>
      </c>
      <c r="I1547" s="449">
        <v>0</v>
      </c>
    </row>
    <row r="1548" spans="1:9" ht="15.75" customHeight="1" x14ac:dyDescent="0.2">
      <c r="A1548" s="437"/>
      <c r="B1548" s="437"/>
      <c r="C1548" s="436"/>
      <c r="D1548" s="467">
        <v>47037</v>
      </c>
      <c r="E1548" s="436" t="s">
        <v>603</v>
      </c>
      <c r="F1548" s="436">
        <v>62500000</v>
      </c>
      <c r="G1548" s="448">
        <v>0</v>
      </c>
      <c r="H1548" s="436">
        <v>0</v>
      </c>
      <c r="I1548" s="449">
        <v>0</v>
      </c>
    </row>
    <row r="1549" spans="1:9" ht="15.75" customHeight="1" x14ac:dyDescent="0.2">
      <c r="A1549" s="437"/>
      <c r="B1549" s="437"/>
      <c r="C1549" s="436"/>
      <c r="D1549" s="467">
        <v>47038</v>
      </c>
      <c r="E1549" s="436" t="s">
        <v>602</v>
      </c>
      <c r="F1549" s="436">
        <v>62500000</v>
      </c>
      <c r="G1549" s="448">
        <v>0</v>
      </c>
      <c r="H1549" s="436">
        <v>0</v>
      </c>
      <c r="I1549" s="449">
        <v>0</v>
      </c>
    </row>
    <row r="1550" spans="1:9" ht="15.75" customHeight="1" x14ac:dyDescent="0.2">
      <c r="A1550" s="437"/>
      <c r="B1550" s="437"/>
      <c r="C1550" s="436"/>
      <c r="D1550" s="467">
        <v>47039</v>
      </c>
      <c r="E1550" s="436" t="s">
        <v>601</v>
      </c>
      <c r="F1550" s="436">
        <v>62500000</v>
      </c>
      <c r="G1550" s="448">
        <v>0</v>
      </c>
      <c r="H1550" s="436">
        <v>0</v>
      </c>
      <c r="I1550" s="449">
        <v>0</v>
      </c>
    </row>
    <row r="1551" spans="1:9" ht="15.75" customHeight="1" x14ac:dyDescent="0.2">
      <c r="A1551" s="437"/>
      <c r="B1551" s="437"/>
      <c r="C1551" s="436"/>
      <c r="D1551" s="467">
        <v>47040</v>
      </c>
      <c r="E1551" s="436" t="s">
        <v>600</v>
      </c>
      <c r="F1551" s="436">
        <v>62500000</v>
      </c>
      <c r="G1551" s="448">
        <v>0</v>
      </c>
      <c r="H1551" s="436">
        <v>0</v>
      </c>
      <c r="I1551" s="449">
        <v>0</v>
      </c>
    </row>
    <row r="1552" spans="1:9" ht="15.75" customHeight="1" x14ac:dyDescent="0.2">
      <c r="A1552" s="437"/>
      <c r="B1552" s="437"/>
      <c r="C1552" s="436"/>
      <c r="D1552" s="467">
        <v>47041</v>
      </c>
      <c r="E1552" s="436" t="s">
        <v>599</v>
      </c>
      <c r="F1552" s="436">
        <v>62500000</v>
      </c>
      <c r="G1552" s="448">
        <v>0</v>
      </c>
      <c r="H1552" s="436">
        <v>0</v>
      </c>
      <c r="I1552" s="449">
        <v>0</v>
      </c>
    </row>
    <row r="1553" spans="1:9" ht="15.75" customHeight="1" x14ac:dyDescent="0.2">
      <c r="A1553" s="437"/>
      <c r="B1553" s="437"/>
      <c r="C1553" s="436"/>
      <c r="D1553" s="467">
        <v>47042</v>
      </c>
      <c r="E1553" s="436" t="s">
        <v>598</v>
      </c>
      <c r="F1553" s="436">
        <v>62500000</v>
      </c>
      <c r="G1553" s="448">
        <v>0</v>
      </c>
      <c r="H1553" s="436">
        <v>0</v>
      </c>
      <c r="I1553" s="449">
        <v>0</v>
      </c>
    </row>
    <row r="1554" spans="1:9" ht="15.75" customHeight="1" x14ac:dyDescent="0.2">
      <c r="A1554" s="437"/>
      <c r="B1554" s="437"/>
      <c r="C1554" s="436"/>
      <c r="D1554" s="467">
        <v>47043</v>
      </c>
      <c r="E1554" s="436" t="s">
        <v>597</v>
      </c>
      <c r="F1554" s="436">
        <v>62500000</v>
      </c>
      <c r="G1554" s="448">
        <v>0</v>
      </c>
      <c r="H1554" s="436">
        <v>0</v>
      </c>
      <c r="I1554" s="449">
        <v>0</v>
      </c>
    </row>
    <row r="1555" spans="1:9" ht="15.75" customHeight="1" x14ac:dyDescent="0.2">
      <c r="A1555" s="437"/>
      <c r="B1555" s="437"/>
      <c r="C1555" s="436"/>
      <c r="D1555" s="467">
        <v>47044</v>
      </c>
      <c r="E1555" s="436" t="s">
        <v>603</v>
      </c>
      <c r="F1555" s="436">
        <v>62500000</v>
      </c>
      <c r="G1555" s="448">
        <v>0</v>
      </c>
      <c r="H1555" s="436">
        <v>0</v>
      </c>
      <c r="I1555" s="449">
        <v>0</v>
      </c>
    </row>
    <row r="1556" spans="1:9" ht="15.75" customHeight="1" x14ac:dyDescent="0.2">
      <c r="A1556" s="437"/>
      <c r="B1556" s="437"/>
      <c r="C1556" s="436"/>
      <c r="D1556" s="467">
        <v>47045</v>
      </c>
      <c r="E1556" s="436" t="s">
        <v>602</v>
      </c>
      <c r="F1556" s="436">
        <v>62500000</v>
      </c>
      <c r="G1556" s="448">
        <v>0</v>
      </c>
      <c r="H1556" s="436">
        <v>0</v>
      </c>
      <c r="I1556" s="449">
        <v>0</v>
      </c>
    </row>
    <row r="1557" spans="1:9" ht="15.75" customHeight="1" x14ac:dyDescent="0.2">
      <c r="A1557" s="437"/>
      <c r="B1557" s="437"/>
      <c r="C1557" s="436"/>
      <c r="D1557" s="467">
        <v>47046</v>
      </c>
      <c r="E1557" s="436" t="s">
        <v>601</v>
      </c>
      <c r="F1557" s="436">
        <v>62500000</v>
      </c>
      <c r="G1557" s="448">
        <v>0</v>
      </c>
      <c r="H1557" s="436">
        <v>0</v>
      </c>
      <c r="I1557" s="449">
        <v>0</v>
      </c>
    </row>
    <row r="1558" spans="1:9" ht="15.75" customHeight="1" x14ac:dyDescent="0.2">
      <c r="A1558" s="437"/>
      <c r="B1558" s="437"/>
      <c r="C1558" s="436"/>
      <c r="D1558" s="467">
        <v>47047</v>
      </c>
      <c r="E1558" s="436" t="s">
        <v>600</v>
      </c>
      <c r="F1558" s="436">
        <v>62500000</v>
      </c>
      <c r="G1558" s="448">
        <v>0</v>
      </c>
      <c r="H1558" s="436">
        <v>0</v>
      </c>
      <c r="I1558" s="449">
        <v>0</v>
      </c>
    </row>
    <row r="1559" spans="1:9" ht="15.75" customHeight="1" x14ac:dyDescent="0.2">
      <c r="A1559" s="437"/>
      <c r="B1559" s="437"/>
      <c r="C1559" s="436"/>
      <c r="D1559" s="467">
        <v>47048</v>
      </c>
      <c r="E1559" s="436" t="s">
        <v>599</v>
      </c>
      <c r="F1559" s="436">
        <v>62500000</v>
      </c>
      <c r="G1559" s="448">
        <v>0</v>
      </c>
      <c r="H1559" s="436">
        <v>0</v>
      </c>
      <c r="I1559" s="449">
        <v>0</v>
      </c>
    </row>
    <row r="1560" spans="1:9" ht="15.75" customHeight="1" x14ac:dyDescent="0.2">
      <c r="A1560" s="437"/>
      <c r="B1560" s="437"/>
      <c r="C1560" s="436"/>
      <c r="D1560" s="467">
        <v>47049</v>
      </c>
      <c r="E1560" s="436" t="s">
        <v>598</v>
      </c>
      <c r="F1560" s="436">
        <v>62500000</v>
      </c>
      <c r="G1560" s="448">
        <v>0</v>
      </c>
      <c r="H1560" s="436">
        <v>0</v>
      </c>
      <c r="I1560" s="449">
        <v>0</v>
      </c>
    </row>
    <row r="1561" spans="1:9" ht="15.75" customHeight="1" x14ac:dyDescent="0.2">
      <c r="A1561" s="437"/>
      <c r="B1561" s="437"/>
      <c r="C1561" s="436"/>
      <c r="D1561" s="467">
        <v>47050</v>
      </c>
      <c r="E1561" s="436" t="s">
        <v>597</v>
      </c>
      <c r="F1561" s="436">
        <v>62500000</v>
      </c>
      <c r="G1561" s="448">
        <v>0</v>
      </c>
      <c r="H1561" s="436">
        <v>0</v>
      </c>
      <c r="I1561" s="449">
        <v>0</v>
      </c>
    </row>
    <row r="1562" spans="1:9" ht="15.75" customHeight="1" x14ac:dyDescent="0.2">
      <c r="A1562" s="437"/>
      <c r="B1562" s="437"/>
      <c r="C1562" s="436"/>
      <c r="D1562" s="467">
        <v>47051</v>
      </c>
      <c r="E1562" s="436" t="s">
        <v>603</v>
      </c>
      <c r="F1562" s="436">
        <v>62500000</v>
      </c>
      <c r="G1562" s="448">
        <v>0</v>
      </c>
      <c r="H1562" s="436">
        <v>0</v>
      </c>
      <c r="I1562" s="449">
        <v>0</v>
      </c>
    </row>
    <row r="1563" spans="1:9" ht="15.75" customHeight="1" x14ac:dyDescent="0.2">
      <c r="A1563" s="437"/>
      <c r="B1563" s="437"/>
      <c r="C1563" s="436"/>
      <c r="D1563" s="467">
        <v>47052</v>
      </c>
      <c r="E1563" s="436" t="s">
        <v>602</v>
      </c>
      <c r="F1563" s="436">
        <v>62500000</v>
      </c>
      <c r="G1563" s="448">
        <v>0</v>
      </c>
      <c r="H1563" s="436">
        <v>0</v>
      </c>
      <c r="I1563" s="449">
        <v>0</v>
      </c>
    </row>
    <row r="1564" spans="1:9" ht="15.75" customHeight="1" x14ac:dyDescent="0.2">
      <c r="A1564" s="437"/>
      <c r="B1564" s="437"/>
      <c r="C1564" s="436"/>
      <c r="D1564" s="467">
        <v>47053</v>
      </c>
      <c r="E1564" s="436" t="s">
        <v>601</v>
      </c>
      <c r="F1564" s="436">
        <v>62500000</v>
      </c>
      <c r="G1564" s="448">
        <v>0</v>
      </c>
      <c r="H1564" s="436">
        <v>0</v>
      </c>
      <c r="I1564" s="449">
        <v>0</v>
      </c>
    </row>
    <row r="1565" spans="1:9" ht="15.75" customHeight="1" x14ac:dyDescent="0.2">
      <c r="A1565" s="437"/>
      <c r="B1565" s="437"/>
      <c r="C1565" s="436"/>
      <c r="D1565" s="467">
        <v>47054</v>
      </c>
      <c r="E1565" s="436" t="s">
        <v>600</v>
      </c>
      <c r="F1565" s="436">
        <v>62500000</v>
      </c>
      <c r="G1565" s="448">
        <v>0</v>
      </c>
      <c r="H1565" s="436">
        <v>0</v>
      </c>
      <c r="I1565" s="449">
        <v>0</v>
      </c>
    </row>
    <row r="1566" spans="1:9" ht="15.75" customHeight="1" x14ac:dyDescent="0.2">
      <c r="A1566" s="437"/>
      <c r="B1566" s="437"/>
      <c r="C1566" s="436"/>
      <c r="D1566" s="467">
        <v>47055</v>
      </c>
      <c r="E1566" s="436" t="s">
        <v>599</v>
      </c>
      <c r="F1566" s="436">
        <v>62500000</v>
      </c>
      <c r="G1566" s="448">
        <v>0</v>
      </c>
      <c r="H1566" s="436">
        <v>0</v>
      </c>
      <c r="I1566" s="449">
        <v>0</v>
      </c>
    </row>
    <row r="1567" spans="1:9" ht="15.75" customHeight="1" x14ac:dyDescent="0.2">
      <c r="A1567" s="437"/>
      <c r="B1567" s="437"/>
      <c r="C1567" s="436"/>
      <c r="D1567" s="467">
        <v>47056</v>
      </c>
      <c r="E1567" s="436" t="s">
        <v>598</v>
      </c>
      <c r="F1567" s="436">
        <v>62500000</v>
      </c>
      <c r="G1567" s="448">
        <v>0</v>
      </c>
      <c r="H1567" s="436">
        <v>0</v>
      </c>
      <c r="I1567" s="449">
        <v>0</v>
      </c>
    </row>
    <row r="1568" spans="1:9" ht="15.75" customHeight="1" x14ac:dyDescent="0.2">
      <c r="A1568" s="437"/>
      <c r="B1568" s="437"/>
      <c r="C1568" s="436"/>
      <c r="D1568" s="467">
        <v>47057</v>
      </c>
      <c r="E1568" s="436" t="s">
        <v>597</v>
      </c>
      <c r="F1568" s="436">
        <v>62500000</v>
      </c>
      <c r="G1568" s="448">
        <v>0</v>
      </c>
      <c r="H1568" s="436">
        <v>0</v>
      </c>
      <c r="I1568" s="449">
        <v>0</v>
      </c>
    </row>
    <row r="1569" spans="1:9" ht="15.75" customHeight="1" x14ac:dyDescent="0.2">
      <c r="A1569" s="437"/>
      <c r="B1569" s="437"/>
      <c r="C1569" s="436"/>
      <c r="D1569" s="467">
        <v>47058</v>
      </c>
      <c r="E1569" s="436" t="s">
        <v>603</v>
      </c>
      <c r="F1569" s="436">
        <v>62500000</v>
      </c>
      <c r="G1569" s="448">
        <v>0</v>
      </c>
      <c r="H1569" s="436">
        <v>0</v>
      </c>
      <c r="I1569" s="449">
        <v>0</v>
      </c>
    </row>
    <row r="1570" spans="1:9" ht="15.75" customHeight="1" x14ac:dyDescent="0.2">
      <c r="A1570" s="437"/>
      <c r="B1570" s="437"/>
      <c r="C1570" s="436"/>
      <c r="D1570" s="467">
        <v>47059</v>
      </c>
      <c r="E1570" s="436" t="s">
        <v>602</v>
      </c>
      <c r="F1570" s="436">
        <v>62500000</v>
      </c>
      <c r="G1570" s="448">
        <v>0</v>
      </c>
      <c r="H1570" s="436">
        <v>0</v>
      </c>
      <c r="I1570" s="449">
        <v>0</v>
      </c>
    </row>
    <row r="1571" spans="1:9" ht="15.75" customHeight="1" x14ac:dyDescent="0.2">
      <c r="A1571" s="437"/>
      <c r="B1571" s="437"/>
      <c r="C1571" s="436"/>
      <c r="D1571" s="467">
        <v>47060</v>
      </c>
      <c r="E1571" s="436" t="s">
        <v>601</v>
      </c>
      <c r="F1571" s="436">
        <v>62500000</v>
      </c>
      <c r="G1571" s="448">
        <v>0</v>
      </c>
      <c r="H1571" s="436">
        <v>0</v>
      </c>
      <c r="I1571" s="449">
        <v>0</v>
      </c>
    </row>
    <row r="1572" spans="1:9" ht="15.75" customHeight="1" x14ac:dyDescent="0.2">
      <c r="A1572" s="437"/>
      <c r="B1572" s="437"/>
      <c r="C1572" s="436"/>
      <c r="D1572" s="467">
        <v>47061</v>
      </c>
      <c r="E1572" s="436" t="s">
        <v>600</v>
      </c>
      <c r="F1572" s="436">
        <v>62500000</v>
      </c>
      <c r="G1572" s="448">
        <v>0</v>
      </c>
      <c r="H1572" s="436">
        <v>0</v>
      </c>
      <c r="I1572" s="449">
        <v>0</v>
      </c>
    </row>
    <row r="1573" spans="1:9" ht="15.75" customHeight="1" x14ac:dyDescent="0.2">
      <c r="A1573" s="437"/>
      <c r="B1573" s="437"/>
      <c r="C1573" s="436"/>
      <c r="D1573" s="467">
        <v>47062</v>
      </c>
      <c r="E1573" s="436" t="s">
        <v>599</v>
      </c>
      <c r="F1573" s="436">
        <v>62500000</v>
      </c>
      <c r="G1573" s="448">
        <v>0</v>
      </c>
      <c r="H1573" s="436">
        <v>0</v>
      </c>
      <c r="I1573" s="449">
        <v>0</v>
      </c>
    </row>
    <row r="1574" spans="1:9" ht="15.75" customHeight="1" x14ac:dyDescent="0.2">
      <c r="A1574" s="437"/>
      <c r="B1574" s="437"/>
      <c r="C1574" s="436"/>
      <c r="D1574" s="467">
        <v>47063</v>
      </c>
      <c r="E1574" s="436" t="s">
        <v>598</v>
      </c>
      <c r="F1574" s="436">
        <v>62500000</v>
      </c>
      <c r="G1574" s="448">
        <v>0</v>
      </c>
      <c r="H1574" s="436">
        <v>0</v>
      </c>
      <c r="I1574" s="449">
        <v>0</v>
      </c>
    </row>
    <row r="1575" spans="1:9" ht="15.75" customHeight="1" x14ac:dyDescent="0.2">
      <c r="A1575" s="437"/>
      <c r="B1575" s="437"/>
      <c r="C1575" s="436"/>
      <c r="D1575" s="467">
        <v>47064</v>
      </c>
      <c r="E1575" s="436" t="s">
        <v>597</v>
      </c>
      <c r="F1575" s="436">
        <v>62500000</v>
      </c>
      <c r="G1575" s="448">
        <v>0</v>
      </c>
      <c r="H1575" s="436">
        <v>0</v>
      </c>
      <c r="I1575" s="449">
        <v>0</v>
      </c>
    </row>
    <row r="1576" spans="1:9" ht="15.75" customHeight="1" x14ac:dyDescent="0.2">
      <c r="A1576" s="437"/>
      <c r="B1576" s="437"/>
      <c r="C1576" s="436"/>
      <c r="D1576" s="467">
        <v>47065</v>
      </c>
      <c r="E1576" s="436" t="s">
        <v>603</v>
      </c>
      <c r="F1576" s="436">
        <v>62500000</v>
      </c>
      <c r="G1576" s="448">
        <v>0</v>
      </c>
      <c r="H1576" s="436">
        <v>0</v>
      </c>
      <c r="I1576" s="449">
        <v>0</v>
      </c>
    </row>
    <row r="1577" spans="1:9" ht="15.75" customHeight="1" x14ac:dyDescent="0.2">
      <c r="A1577" s="437"/>
      <c r="B1577" s="437"/>
      <c r="C1577" s="436"/>
      <c r="D1577" s="467">
        <v>47066</v>
      </c>
      <c r="E1577" s="436" t="s">
        <v>602</v>
      </c>
      <c r="F1577" s="436">
        <v>62500000</v>
      </c>
      <c r="G1577" s="448">
        <v>0</v>
      </c>
      <c r="H1577" s="436">
        <v>0</v>
      </c>
      <c r="I1577" s="449">
        <v>0</v>
      </c>
    </row>
    <row r="1578" spans="1:9" ht="15.75" customHeight="1" x14ac:dyDescent="0.2">
      <c r="A1578" s="437"/>
      <c r="B1578" s="437"/>
      <c r="C1578" s="436"/>
      <c r="D1578" s="467">
        <v>47067</v>
      </c>
      <c r="E1578" s="436" t="s">
        <v>601</v>
      </c>
      <c r="F1578" s="436">
        <v>62500000</v>
      </c>
      <c r="G1578" s="448">
        <v>0</v>
      </c>
      <c r="H1578" s="436">
        <v>0</v>
      </c>
      <c r="I1578" s="449">
        <v>0</v>
      </c>
    </row>
    <row r="1579" spans="1:9" ht="15.75" customHeight="1" x14ac:dyDescent="0.2">
      <c r="A1579" s="437"/>
      <c r="B1579" s="437"/>
      <c r="C1579" s="436"/>
      <c r="D1579" s="467">
        <v>47068</v>
      </c>
      <c r="E1579" s="436" t="s">
        <v>600</v>
      </c>
      <c r="F1579" s="436">
        <v>62500000</v>
      </c>
      <c r="G1579" s="448">
        <v>0</v>
      </c>
      <c r="H1579" s="436">
        <v>0</v>
      </c>
      <c r="I1579" s="449">
        <v>0</v>
      </c>
    </row>
    <row r="1580" spans="1:9" ht="15.75" customHeight="1" x14ac:dyDescent="0.2">
      <c r="A1580" s="437"/>
      <c r="B1580" s="437"/>
      <c r="C1580" s="436"/>
      <c r="D1580" s="467">
        <v>47069</v>
      </c>
      <c r="E1580" s="436" t="s">
        <v>599</v>
      </c>
      <c r="F1580" s="436">
        <v>62500000</v>
      </c>
      <c r="G1580" s="448">
        <v>0</v>
      </c>
      <c r="H1580" s="436">
        <v>0</v>
      </c>
      <c r="I1580" s="449">
        <v>0</v>
      </c>
    </row>
    <row r="1581" spans="1:9" ht="15.75" customHeight="1" x14ac:dyDescent="0.2">
      <c r="A1581" s="437"/>
      <c r="B1581" s="437"/>
      <c r="C1581" s="436"/>
      <c r="D1581" s="467">
        <v>47070</v>
      </c>
      <c r="E1581" s="436" t="s">
        <v>598</v>
      </c>
      <c r="F1581" s="436">
        <v>62500000</v>
      </c>
      <c r="G1581" s="448">
        <v>0</v>
      </c>
      <c r="H1581" s="436">
        <v>0</v>
      </c>
      <c r="I1581" s="449">
        <v>0</v>
      </c>
    </row>
    <row r="1582" spans="1:9" ht="15.75" customHeight="1" x14ac:dyDescent="0.2">
      <c r="A1582" s="437"/>
      <c r="B1582" s="437"/>
      <c r="C1582" s="436"/>
      <c r="D1582" s="467">
        <v>47071</v>
      </c>
      <c r="E1582" s="436" t="s">
        <v>597</v>
      </c>
      <c r="F1582" s="436">
        <v>62500000</v>
      </c>
      <c r="G1582" s="448">
        <v>0</v>
      </c>
      <c r="H1582" s="436">
        <v>0</v>
      </c>
      <c r="I1582" s="449">
        <v>0</v>
      </c>
    </row>
    <row r="1583" spans="1:9" ht="15.75" customHeight="1" x14ac:dyDescent="0.2">
      <c r="A1583" s="437"/>
      <c r="B1583" s="437"/>
      <c r="C1583" s="436"/>
      <c r="D1583" s="467">
        <v>47072</v>
      </c>
      <c r="E1583" s="436" t="s">
        <v>603</v>
      </c>
      <c r="F1583" s="436">
        <v>62500000</v>
      </c>
      <c r="G1583" s="448">
        <v>0</v>
      </c>
      <c r="H1583" s="436">
        <v>0</v>
      </c>
      <c r="I1583" s="449">
        <v>0</v>
      </c>
    </row>
    <row r="1584" spans="1:9" ht="15.75" customHeight="1" x14ac:dyDescent="0.2">
      <c r="A1584" s="437"/>
      <c r="B1584" s="437"/>
      <c r="C1584" s="436"/>
      <c r="D1584" s="467">
        <v>47073</v>
      </c>
      <c r="E1584" s="436" t="s">
        <v>602</v>
      </c>
      <c r="F1584" s="436">
        <v>62500000</v>
      </c>
      <c r="G1584" s="448">
        <v>0</v>
      </c>
      <c r="H1584" s="436">
        <v>0</v>
      </c>
      <c r="I1584" s="449">
        <v>0</v>
      </c>
    </row>
    <row r="1585" spans="1:9" ht="15.75" customHeight="1" x14ac:dyDescent="0.2">
      <c r="A1585" s="437"/>
      <c r="B1585" s="437"/>
      <c r="C1585" s="436"/>
      <c r="D1585" s="467">
        <v>47074</v>
      </c>
      <c r="E1585" s="436" t="s">
        <v>601</v>
      </c>
      <c r="F1585" s="436">
        <v>62500000</v>
      </c>
      <c r="G1585" s="448">
        <v>0</v>
      </c>
      <c r="H1585" s="436">
        <v>0</v>
      </c>
      <c r="I1585" s="449">
        <v>0</v>
      </c>
    </row>
    <row r="1586" spans="1:9" ht="15.75" customHeight="1" x14ac:dyDescent="0.2">
      <c r="A1586" s="437"/>
      <c r="B1586" s="437"/>
      <c r="C1586" s="436"/>
      <c r="D1586" s="467">
        <v>47075</v>
      </c>
      <c r="E1586" s="436" t="s">
        <v>600</v>
      </c>
      <c r="F1586" s="436">
        <v>62500000</v>
      </c>
      <c r="G1586" s="448">
        <v>0</v>
      </c>
      <c r="H1586" s="436">
        <v>0</v>
      </c>
      <c r="I1586" s="449">
        <v>0</v>
      </c>
    </row>
    <row r="1587" spans="1:9" ht="15.75" customHeight="1" x14ac:dyDescent="0.2">
      <c r="A1587" s="437"/>
      <c r="B1587" s="437"/>
      <c r="C1587" s="436"/>
      <c r="D1587" s="467">
        <v>47076</v>
      </c>
      <c r="E1587" s="436" t="s">
        <v>599</v>
      </c>
      <c r="F1587" s="436">
        <v>62500000</v>
      </c>
      <c r="G1587" s="448">
        <v>0</v>
      </c>
      <c r="H1587" s="436">
        <v>0</v>
      </c>
      <c r="I1587" s="449">
        <v>0</v>
      </c>
    </row>
    <row r="1588" spans="1:9" ht="15.75" customHeight="1" x14ac:dyDescent="0.2">
      <c r="A1588" s="437"/>
      <c r="B1588" s="437"/>
      <c r="C1588" s="436"/>
      <c r="D1588" s="467">
        <v>47077</v>
      </c>
      <c r="E1588" s="436" t="s">
        <v>598</v>
      </c>
      <c r="F1588" s="436">
        <v>62500000</v>
      </c>
      <c r="G1588" s="448">
        <v>0</v>
      </c>
      <c r="H1588" s="436">
        <v>0</v>
      </c>
      <c r="I1588" s="449">
        <v>0</v>
      </c>
    </row>
    <row r="1589" spans="1:9" ht="15.75" customHeight="1" x14ac:dyDescent="0.2">
      <c r="A1589" s="437"/>
      <c r="B1589" s="437"/>
      <c r="C1589" s="436"/>
      <c r="D1589" s="467">
        <v>47078</v>
      </c>
      <c r="E1589" s="436" t="s">
        <v>597</v>
      </c>
      <c r="F1589" s="436">
        <v>62500000</v>
      </c>
      <c r="G1589" s="448">
        <v>0</v>
      </c>
      <c r="H1589" s="436">
        <v>0</v>
      </c>
      <c r="I1589" s="449">
        <v>0</v>
      </c>
    </row>
    <row r="1590" spans="1:9" ht="15.75" customHeight="1" x14ac:dyDescent="0.2">
      <c r="A1590" s="437"/>
      <c r="B1590" s="437"/>
      <c r="C1590" s="436"/>
      <c r="D1590" s="467">
        <v>47079</v>
      </c>
      <c r="E1590" s="436" t="s">
        <v>603</v>
      </c>
      <c r="F1590" s="436">
        <v>62500000</v>
      </c>
      <c r="G1590" s="448">
        <v>0</v>
      </c>
      <c r="H1590" s="436">
        <v>0</v>
      </c>
      <c r="I1590" s="449">
        <v>0</v>
      </c>
    </row>
    <row r="1591" spans="1:9" ht="15.75" customHeight="1" x14ac:dyDescent="0.2">
      <c r="A1591" s="437"/>
      <c r="B1591" s="437"/>
      <c r="C1591" s="436"/>
      <c r="D1591" s="467">
        <v>47080</v>
      </c>
      <c r="E1591" s="436" t="s">
        <v>602</v>
      </c>
      <c r="F1591" s="436">
        <v>62500000</v>
      </c>
      <c r="G1591" s="448">
        <v>0</v>
      </c>
      <c r="H1591" s="436">
        <v>0</v>
      </c>
      <c r="I1591" s="449">
        <v>0</v>
      </c>
    </row>
    <row r="1592" spans="1:9" ht="15.75" customHeight="1" x14ac:dyDescent="0.2">
      <c r="A1592" s="437"/>
      <c r="B1592" s="437"/>
      <c r="C1592" s="436"/>
      <c r="D1592" s="467">
        <v>47081</v>
      </c>
      <c r="E1592" s="436" t="s">
        <v>601</v>
      </c>
      <c r="F1592" s="436">
        <v>62500000</v>
      </c>
      <c r="G1592" s="448">
        <v>0</v>
      </c>
      <c r="H1592" s="436">
        <v>0</v>
      </c>
      <c r="I1592" s="449">
        <v>0</v>
      </c>
    </row>
    <row r="1593" spans="1:9" ht="15.75" customHeight="1" x14ac:dyDescent="0.2">
      <c r="A1593" s="437"/>
      <c r="B1593" s="437"/>
      <c r="C1593" s="436"/>
      <c r="D1593" s="467">
        <v>47082</v>
      </c>
      <c r="E1593" s="436" t="s">
        <v>600</v>
      </c>
      <c r="F1593" s="436">
        <v>62500000</v>
      </c>
      <c r="G1593" s="448">
        <v>0</v>
      </c>
      <c r="H1593" s="436">
        <v>0</v>
      </c>
      <c r="I1593" s="449">
        <v>0</v>
      </c>
    </row>
    <row r="1594" spans="1:9" ht="15.75" customHeight="1" x14ac:dyDescent="0.2">
      <c r="A1594" s="437"/>
      <c r="B1594" s="437"/>
      <c r="C1594" s="436"/>
      <c r="D1594" s="467">
        <v>47083</v>
      </c>
      <c r="E1594" s="436" t="s">
        <v>599</v>
      </c>
      <c r="F1594" s="436">
        <v>62500000</v>
      </c>
      <c r="G1594" s="448">
        <v>0</v>
      </c>
      <c r="H1594" s="436">
        <v>0</v>
      </c>
      <c r="I1594" s="449">
        <v>0</v>
      </c>
    </row>
    <row r="1595" spans="1:9" ht="15.75" customHeight="1" x14ac:dyDescent="0.2">
      <c r="A1595" s="437"/>
      <c r="B1595" s="437"/>
      <c r="C1595" s="436"/>
      <c r="D1595" s="467">
        <v>47084</v>
      </c>
      <c r="E1595" s="436" t="s">
        <v>598</v>
      </c>
      <c r="F1595" s="436">
        <v>62500000</v>
      </c>
      <c r="G1595" s="448">
        <v>0</v>
      </c>
      <c r="H1595" s="436">
        <v>0</v>
      </c>
      <c r="I1595" s="449">
        <v>0</v>
      </c>
    </row>
    <row r="1596" spans="1:9" ht="15.75" customHeight="1" x14ac:dyDescent="0.2">
      <c r="A1596" s="437"/>
      <c r="B1596" s="437"/>
      <c r="C1596" s="436"/>
      <c r="D1596" s="467">
        <v>47085</v>
      </c>
      <c r="E1596" s="436" t="s">
        <v>597</v>
      </c>
      <c r="F1596" s="436">
        <v>62500000</v>
      </c>
      <c r="G1596" s="448">
        <v>0</v>
      </c>
      <c r="H1596" s="436">
        <v>0</v>
      </c>
      <c r="I1596" s="449">
        <v>0</v>
      </c>
    </row>
    <row r="1597" spans="1:9" ht="15.75" customHeight="1" x14ac:dyDescent="0.2">
      <c r="A1597" s="437"/>
      <c r="B1597" s="437"/>
      <c r="C1597" s="436"/>
      <c r="D1597" s="467">
        <v>47086</v>
      </c>
      <c r="E1597" s="436" t="s">
        <v>603</v>
      </c>
      <c r="F1597" s="436">
        <v>62500000</v>
      </c>
      <c r="G1597" s="448">
        <v>0</v>
      </c>
      <c r="H1597" s="436">
        <v>0</v>
      </c>
      <c r="I1597" s="449">
        <v>0</v>
      </c>
    </row>
    <row r="1598" spans="1:9" ht="15.75" customHeight="1" x14ac:dyDescent="0.2">
      <c r="A1598" s="437"/>
      <c r="B1598" s="437"/>
      <c r="C1598" s="436"/>
      <c r="D1598" s="467">
        <v>47087</v>
      </c>
      <c r="E1598" s="436" t="s">
        <v>602</v>
      </c>
      <c r="F1598" s="436">
        <v>62500000</v>
      </c>
      <c r="G1598" s="448">
        <v>0</v>
      </c>
      <c r="H1598" s="436">
        <v>0</v>
      </c>
      <c r="I1598" s="449">
        <v>0</v>
      </c>
    </row>
    <row r="1599" spans="1:9" ht="15.75" customHeight="1" x14ac:dyDescent="0.2">
      <c r="A1599" s="437"/>
      <c r="B1599" s="437"/>
      <c r="C1599" s="436"/>
      <c r="D1599" s="467">
        <v>47088</v>
      </c>
      <c r="E1599" s="436" t="s">
        <v>601</v>
      </c>
      <c r="F1599" s="436">
        <v>62500000</v>
      </c>
      <c r="G1599" s="448">
        <v>0</v>
      </c>
      <c r="H1599" s="436">
        <v>0</v>
      </c>
      <c r="I1599" s="449">
        <v>0</v>
      </c>
    </row>
    <row r="1600" spans="1:9" ht="15.75" customHeight="1" x14ac:dyDescent="0.2">
      <c r="A1600" s="437"/>
      <c r="B1600" s="437"/>
      <c r="C1600" s="436"/>
      <c r="D1600" s="467">
        <v>47089</v>
      </c>
      <c r="E1600" s="436" t="s">
        <v>600</v>
      </c>
      <c r="F1600" s="436">
        <v>62500000</v>
      </c>
      <c r="G1600" s="448">
        <v>0</v>
      </c>
      <c r="H1600" s="436">
        <v>0</v>
      </c>
      <c r="I1600" s="449">
        <v>0</v>
      </c>
    </row>
    <row r="1601" spans="1:9" ht="15.75" customHeight="1" x14ac:dyDescent="0.2">
      <c r="A1601" s="437"/>
      <c r="B1601" s="437"/>
      <c r="C1601" s="436"/>
      <c r="D1601" s="467">
        <v>47090</v>
      </c>
      <c r="E1601" s="436" t="s">
        <v>599</v>
      </c>
      <c r="F1601" s="436">
        <v>62500000</v>
      </c>
      <c r="G1601" s="448">
        <v>0</v>
      </c>
      <c r="H1601" s="436">
        <v>0</v>
      </c>
      <c r="I1601" s="449">
        <v>0</v>
      </c>
    </row>
    <row r="1602" spans="1:9" ht="15.75" customHeight="1" x14ac:dyDescent="0.2">
      <c r="A1602" s="437"/>
      <c r="B1602" s="437"/>
      <c r="C1602" s="436"/>
      <c r="D1602" s="467">
        <v>47091</v>
      </c>
      <c r="E1602" s="436" t="s">
        <v>598</v>
      </c>
      <c r="F1602" s="436">
        <v>62500000</v>
      </c>
      <c r="G1602" s="448">
        <v>0</v>
      </c>
      <c r="H1602" s="436">
        <v>0</v>
      </c>
      <c r="I1602" s="449">
        <v>0</v>
      </c>
    </row>
    <row r="1603" spans="1:9" ht="15.75" customHeight="1" x14ac:dyDescent="0.2">
      <c r="A1603" s="437"/>
      <c r="B1603" s="437"/>
      <c r="C1603" s="436"/>
      <c r="D1603" s="467">
        <v>47092</v>
      </c>
      <c r="E1603" s="436" t="s">
        <v>597</v>
      </c>
      <c r="F1603" s="436">
        <v>62500000</v>
      </c>
      <c r="G1603" s="448">
        <v>0</v>
      </c>
      <c r="H1603" s="436">
        <v>0</v>
      </c>
      <c r="I1603" s="449">
        <v>0</v>
      </c>
    </row>
    <row r="1604" spans="1:9" ht="15.75" customHeight="1" x14ac:dyDescent="0.2">
      <c r="A1604" s="437"/>
      <c r="B1604" s="437"/>
      <c r="C1604" s="436"/>
      <c r="D1604" s="467">
        <v>47093</v>
      </c>
      <c r="E1604" s="436" t="s">
        <v>603</v>
      </c>
      <c r="F1604" s="436">
        <v>62500000</v>
      </c>
      <c r="G1604" s="448">
        <v>0</v>
      </c>
      <c r="H1604" s="436">
        <v>0</v>
      </c>
      <c r="I1604" s="449">
        <v>0</v>
      </c>
    </row>
    <row r="1605" spans="1:9" ht="15.75" customHeight="1" x14ac:dyDescent="0.2">
      <c r="A1605" s="437"/>
      <c r="B1605" s="437"/>
      <c r="C1605" s="436"/>
      <c r="D1605" s="467">
        <v>47094</v>
      </c>
      <c r="E1605" s="436" t="s">
        <v>602</v>
      </c>
      <c r="F1605" s="436">
        <v>62500000</v>
      </c>
      <c r="G1605" s="448">
        <v>0</v>
      </c>
      <c r="H1605" s="436">
        <v>0</v>
      </c>
      <c r="I1605" s="449">
        <v>0</v>
      </c>
    </row>
    <row r="1606" spans="1:9" ht="15.75" customHeight="1" x14ac:dyDescent="0.2">
      <c r="A1606" s="437"/>
      <c r="B1606" s="437"/>
      <c r="C1606" s="436"/>
      <c r="D1606" s="467">
        <v>47095</v>
      </c>
      <c r="E1606" s="436" t="s">
        <v>601</v>
      </c>
      <c r="F1606" s="436">
        <v>62500000</v>
      </c>
      <c r="G1606" s="448">
        <v>0</v>
      </c>
      <c r="H1606" s="436">
        <v>0</v>
      </c>
      <c r="I1606" s="449">
        <v>0</v>
      </c>
    </row>
    <row r="1607" spans="1:9" ht="15.75" customHeight="1" x14ac:dyDescent="0.2">
      <c r="A1607" s="437"/>
      <c r="B1607" s="437"/>
      <c r="C1607" s="436"/>
      <c r="D1607" s="467">
        <v>47096</v>
      </c>
      <c r="E1607" s="436" t="s">
        <v>600</v>
      </c>
      <c r="F1607" s="436">
        <v>62500000</v>
      </c>
      <c r="G1607" s="448">
        <v>0</v>
      </c>
      <c r="H1607" s="436">
        <v>0</v>
      </c>
      <c r="I1607" s="449">
        <v>0</v>
      </c>
    </row>
    <row r="1608" spans="1:9" ht="15.75" customHeight="1" x14ac:dyDescent="0.2">
      <c r="A1608" s="437"/>
      <c r="B1608" s="437"/>
      <c r="C1608" s="436"/>
      <c r="D1608" s="467">
        <v>47097</v>
      </c>
      <c r="E1608" s="436" t="s">
        <v>599</v>
      </c>
      <c r="F1608" s="436">
        <v>62500000</v>
      </c>
      <c r="G1608" s="448">
        <v>0</v>
      </c>
      <c r="H1608" s="436">
        <v>0</v>
      </c>
      <c r="I1608" s="449">
        <v>0</v>
      </c>
    </row>
    <row r="1609" spans="1:9" ht="15.75" customHeight="1" x14ac:dyDescent="0.2">
      <c r="A1609" s="437"/>
      <c r="B1609" s="437"/>
      <c r="C1609" s="436"/>
      <c r="D1609" s="467">
        <v>47098</v>
      </c>
      <c r="E1609" s="436" t="s">
        <v>598</v>
      </c>
      <c r="F1609" s="436">
        <v>62500000</v>
      </c>
      <c r="G1609" s="448">
        <v>0</v>
      </c>
      <c r="H1609" s="436">
        <v>0</v>
      </c>
      <c r="I1609" s="449">
        <v>0</v>
      </c>
    </row>
    <row r="1610" spans="1:9" ht="15.75" customHeight="1" x14ac:dyDescent="0.2">
      <c r="A1610" s="437"/>
      <c r="B1610" s="437"/>
      <c r="C1610" s="436"/>
      <c r="D1610" s="467">
        <v>47099</v>
      </c>
      <c r="E1610" s="436" t="s">
        <v>597</v>
      </c>
      <c r="F1610" s="436">
        <v>62500000</v>
      </c>
      <c r="G1610" s="448">
        <v>0</v>
      </c>
      <c r="H1610" s="436">
        <v>0</v>
      </c>
      <c r="I1610" s="449">
        <v>0</v>
      </c>
    </row>
    <row r="1611" spans="1:9" ht="15.75" customHeight="1" x14ac:dyDescent="0.2">
      <c r="A1611" s="437"/>
      <c r="B1611" s="437"/>
      <c r="C1611" s="436"/>
      <c r="D1611" s="467">
        <v>47100</v>
      </c>
      <c r="E1611" s="436" t="s">
        <v>603</v>
      </c>
      <c r="F1611" s="436">
        <v>62500000</v>
      </c>
      <c r="G1611" s="448">
        <v>0</v>
      </c>
      <c r="H1611" s="436">
        <v>0</v>
      </c>
      <c r="I1611" s="449">
        <v>0</v>
      </c>
    </row>
    <row r="1612" spans="1:9" ht="15.75" customHeight="1" x14ac:dyDescent="0.2">
      <c r="A1612" s="437"/>
      <c r="B1612" s="437"/>
      <c r="C1612" s="436"/>
      <c r="D1612" s="467">
        <v>47101</v>
      </c>
      <c r="E1612" s="436" t="s">
        <v>602</v>
      </c>
      <c r="F1612" s="436">
        <v>62500000</v>
      </c>
      <c r="G1612" s="448">
        <v>0</v>
      </c>
      <c r="H1612" s="436">
        <v>0</v>
      </c>
      <c r="I1612" s="449">
        <v>0</v>
      </c>
    </row>
    <row r="1613" spans="1:9" ht="15.75" customHeight="1" x14ac:dyDescent="0.2">
      <c r="A1613" s="437"/>
      <c r="B1613" s="437"/>
      <c r="C1613" s="436"/>
      <c r="D1613" s="467">
        <v>47102</v>
      </c>
      <c r="E1613" s="436" t="s">
        <v>601</v>
      </c>
      <c r="F1613" s="436">
        <v>62500000</v>
      </c>
      <c r="G1613" s="448">
        <v>0</v>
      </c>
      <c r="H1613" s="436">
        <v>0</v>
      </c>
      <c r="I1613" s="449">
        <v>0</v>
      </c>
    </row>
    <row r="1614" spans="1:9" ht="15.75" customHeight="1" x14ac:dyDescent="0.2">
      <c r="A1614" s="437"/>
      <c r="B1614" s="437"/>
      <c r="C1614" s="436"/>
      <c r="D1614" s="467">
        <v>47103</v>
      </c>
      <c r="E1614" s="436" t="s">
        <v>600</v>
      </c>
      <c r="F1614" s="436">
        <v>62500000</v>
      </c>
      <c r="G1614" s="448">
        <v>0</v>
      </c>
      <c r="H1614" s="436">
        <v>0</v>
      </c>
      <c r="I1614" s="449">
        <v>0</v>
      </c>
    </row>
    <row r="1615" spans="1:9" ht="15.75" customHeight="1" x14ac:dyDescent="0.2">
      <c r="A1615" s="437"/>
      <c r="B1615" s="437"/>
      <c r="C1615" s="436"/>
      <c r="D1615" s="467">
        <v>47104</v>
      </c>
      <c r="E1615" s="436" t="s">
        <v>599</v>
      </c>
      <c r="F1615" s="436">
        <v>62500000</v>
      </c>
      <c r="G1615" s="448">
        <v>0</v>
      </c>
      <c r="H1615" s="436">
        <v>0</v>
      </c>
      <c r="I1615" s="449">
        <v>0</v>
      </c>
    </row>
    <row r="1616" spans="1:9" ht="15.75" customHeight="1" x14ac:dyDescent="0.2">
      <c r="A1616" s="437"/>
      <c r="B1616" s="437"/>
      <c r="C1616" s="436"/>
      <c r="D1616" s="467">
        <v>47105</v>
      </c>
      <c r="E1616" s="436" t="s">
        <v>598</v>
      </c>
      <c r="F1616" s="436">
        <v>62500000</v>
      </c>
      <c r="G1616" s="448">
        <v>0</v>
      </c>
      <c r="H1616" s="436">
        <v>0</v>
      </c>
      <c r="I1616" s="449">
        <v>0</v>
      </c>
    </row>
    <row r="1617" spans="1:9" ht="15.75" customHeight="1" x14ac:dyDescent="0.2">
      <c r="A1617" s="437"/>
      <c r="B1617" s="437"/>
      <c r="C1617" s="436"/>
      <c r="D1617" s="467">
        <v>47106</v>
      </c>
      <c r="E1617" s="436" t="s">
        <v>597</v>
      </c>
      <c r="F1617" s="436">
        <v>62500000</v>
      </c>
      <c r="G1617" s="448">
        <v>0</v>
      </c>
      <c r="H1617" s="436">
        <v>0</v>
      </c>
      <c r="I1617" s="449">
        <v>0</v>
      </c>
    </row>
    <row r="1618" spans="1:9" ht="15.75" customHeight="1" x14ac:dyDescent="0.2">
      <c r="A1618" s="437"/>
      <c r="B1618" s="437"/>
      <c r="C1618" s="436"/>
      <c r="D1618" s="467">
        <v>47107</v>
      </c>
      <c r="E1618" s="436" t="s">
        <v>603</v>
      </c>
      <c r="F1618" s="436">
        <v>62500000</v>
      </c>
      <c r="G1618" s="448">
        <v>0</v>
      </c>
      <c r="H1618" s="436">
        <v>0</v>
      </c>
      <c r="I1618" s="449">
        <v>0</v>
      </c>
    </row>
    <row r="1619" spans="1:9" ht="15.75" customHeight="1" x14ac:dyDescent="0.2">
      <c r="A1619" s="437"/>
      <c r="B1619" s="437"/>
      <c r="C1619" s="436"/>
      <c r="D1619" s="467">
        <v>47108</v>
      </c>
      <c r="E1619" s="436" t="s">
        <v>602</v>
      </c>
      <c r="F1619" s="436">
        <v>62500000</v>
      </c>
      <c r="G1619" s="448">
        <v>0</v>
      </c>
      <c r="H1619" s="436">
        <v>0</v>
      </c>
      <c r="I1619" s="449">
        <v>0</v>
      </c>
    </row>
    <row r="1620" spans="1:9" ht="15.75" customHeight="1" x14ac:dyDescent="0.2">
      <c r="A1620" s="437"/>
      <c r="B1620" s="437"/>
      <c r="C1620" s="436"/>
      <c r="D1620" s="467">
        <v>47109</v>
      </c>
      <c r="E1620" s="436" t="s">
        <v>601</v>
      </c>
      <c r="F1620" s="436">
        <v>62500000</v>
      </c>
      <c r="G1620" s="448">
        <v>0</v>
      </c>
      <c r="H1620" s="436">
        <v>0</v>
      </c>
      <c r="I1620" s="449">
        <v>0</v>
      </c>
    </row>
    <row r="1621" spans="1:9" ht="15.75" customHeight="1" x14ac:dyDescent="0.2">
      <c r="A1621" s="437"/>
      <c r="B1621" s="437"/>
      <c r="C1621" s="436"/>
      <c r="D1621" s="467">
        <v>47110</v>
      </c>
      <c r="E1621" s="436" t="s">
        <v>600</v>
      </c>
      <c r="F1621" s="436">
        <v>62500000</v>
      </c>
      <c r="G1621" s="448">
        <v>0</v>
      </c>
      <c r="H1621" s="436">
        <v>0</v>
      </c>
      <c r="I1621" s="449">
        <v>0</v>
      </c>
    </row>
    <row r="1622" spans="1:9" ht="15.75" customHeight="1" x14ac:dyDescent="0.2">
      <c r="A1622" s="437"/>
      <c r="B1622" s="437"/>
      <c r="C1622" s="436"/>
      <c r="D1622" s="467">
        <v>47111</v>
      </c>
      <c r="E1622" s="436" t="s">
        <v>599</v>
      </c>
      <c r="F1622" s="436">
        <v>62500000</v>
      </c>
      <c r="G1622" s="448">
        <v>0</v>
      </c>
      <c r="H1622" s="436">
        <v>0</v>
      </c>
      <c r="I1622" s="449">
        <v>0</v>
      </c>
    </row>
    <row r="1623" spans="1:9" ht="15.75" customHeight="1" x14ac:dyDescent="0.2">
      <c r="A1623" s="437"/>
      <c r="B1623" s="437"/>
      <c r="C1623" s="436"/>
      <c r="D1623" s="467">
        <v>47112</v>
      </c>
      <c r="E1623" s="436" t="s">
        <v>598</v>
      </c>
      <c r="F1623" s="436">
        <v>62500000</v>
      </c>
      <c r="G1623" s="448">
        <v>0</v>
      </c>
      <c r="H1623" s="436">
        <v>0</v>
      </c>
      <c r="I1623" s="449">
        <v>0</v>
      </c>
    </row>
    <row r="1624" spans="1:9" ht="15.75" customHeight="1" x14ac:dyDescent="0.2">
      <c r="A1624" s="437"/>
      <c r="B1624" s="437"/>
      <c r="C1624" s="436"/>
      <c r="D1624" s="467">
        <v>47113</v>
      </c>
      <c r="E1624" s="436" t="s">
        <v>597</v>
      </c>
      <c r="F1624" s="436">
        <v>62500000</v>
      </c>
      <c r="G1624" s="448">
        <v>0</v>
      </c>
      <c r="H1624" s="436">
        <v>0</v>
      </c>
      <c r="I1624" s="449">
        <v>0</v>
      </c>
    </row>
    <row r="1625" spans="1:9" ht="15.75" customHeight="1" x14ac:dyDescent="0.2">
      <c r="A1625" s="437"/>
      <c r="B1625" s="437"/>
      <c r="C1625" s="436"/>
      <c r="D1625" s="467">
        <v>47114</v>
      </c>
      <c r="E1625" s="436" t="s">
        <v>603</v>
      </c>
      <c r="F1625" s="436">
        <v>62500000</v>
      </c>
      <c r="G1625" s="448">
        <v>0</v>
      </c>
      <c r="H1625" s="436">
        <v>0</v>
      </c>
      <c r="I1625" s="449">
        <v>0</v>
      </c>
    </row>
    <row r="1626" spans="1:9" ht="15.75" customHeight="1" x14ac:dyDescent="0.2">
      <c r="A1626" s="437"/>
      <c r="B1626" s="437"/>
      <c r="C1626" s="436"/>
      <c r="D1626" s="467">
        <v>47115</v>
      </c>
      <c r="E1626" s="436" t="s">
        <v>602</v>
      </c>
      <c r="F1626" s="436">
        <v>62500000</v>
      </c>
      <c r="G1626" s="448">
        <v>0</v>
      </c>
      <c r="H1626" s="436">
        <v>0</v>
      </c>
      <c r="I1626" s="449">
        <v>0</v>
      </c>
    </row>
    <row r="1627" spans="1:9" ht="15.75" customHeight="1" x14ac:dyDescent="0.2">
      <c r="A1627" s="437"/>
      <c r="B1627" s="437"/>
      <c r="C1627" s="436"/>
      <c r="D1627" s="467">
        <v>47116</v>
      </c>
      <c r="E1627" s="436" t="s">
        <v>601</v>
      </c>
      <c r="F1627" s="436">
        <v>62500000</v>
      </c>
      <c r="G1627" s="448">
        <v>0</v>
      </c>
      <c r="H1627" s="436">
        <v>0</v>
      </c>
      <c r="I1627" s="449">
        <v>0</v>
      </c>
    </row>
    <row r="1628" spans="1:9" ht="15.75" customHeight="1" x14ac:dyDescent="0.2">
      <c r="A1628" s="437"/>
      <c r="B1628" s="437"/>
      <c r="C1628" s="436"/>
      <c r="D1628" s="467">
        <v>47117</v>
      </c>
      <c r="E1628" s="436" t="s">
        <v>600</v>
      </c>
      <c r="F1628" s="436">
        <v>62500000</v>
      </c>
      <c r="G1628" s="448">
        <v>0</v>
      </c>
      <c r="H1628" s="436">
        <v>0</v>
      </c>
      <c r="I1628" s="449">
        <v>0</v>
      </c>
    </row>
    <row r="1629" spans="1:9" ht="15.75" customHeight="1" x14ac:dyDescent="0.2">
      <c r="A1629" s="437"/>
      <c r="B1629" s="437"/>
      <c r="C1629" s="436"/>
      <c r="D1629" s="467">
        <v>47118</v>
      </c>
      <c r="E1629" s="436" t="s">
        <v>599</v>
      </c>
      <c r="F1629" s="436">
        <v>62500000</v>
      </c>
      <c r="G1629" s="448">
        <v>0</v>
      </c>
      <c r="H1629" s="436">
        <v>0</v>
      </c>
      <c r="I1629" s="449">
        <v>0</v>
      </c>
    </row>
    <row r="1630" spans="1:9" ht="15.75" customHeight="1" x14ac:dyDescent="0.2">
      <c r="A1630" s="437"/>
      <c r="B1630" s="437"/>
      <c r="C1630" s="436"/>
      <c r="D1630" s="467">
        <v>47119</v>
      </c>
      <c r="E1630" s="436" t="s">
        <v>598</v>
      </c>
      <c r="F1630" s="436">
        <v>62500000</v>
      </c>
      <c r="G1630" s="448">
        <v>0</v>
      </c>
      <c r="H1630" s="436">
        <v>0</v>
      </c>
      <c r="I1630" s="449">
        <v>0</v>
      </c>
    </row>
    <row r="1631" spans="1:9" ht="15.75" customHeight="1" x14ac:dyDescent="0.2">
      <c r="A1631" s="437"/>
      <c r="B1631" s="437"/>
      <c r="C1631" s="436"/>
      <c r="D1631" s="467">
        <v>47120</v>
      </c>
      <c r="E1631" s="436" t="s">
        <v>597</v>
      </c>
      <c r="F1631" s="436">
        <v>62500000</v>
      </c>
      <c r="G1631" s="448">
        <v>0</v>
      </c>
      <c r="H1631" s="436">
        <v>0</v>
      </c>
      <c r="I1631" s="449">
        <v>0</v>
      </c>
    </row>
    <row r="1632" spans="1:9" ht="15.75" customHeight="1" x14ac:dyDescent="0.2">
      <c r="A1632" s="437"/>
      <c r="B1632" s="437"/>
      <c r="C1632" s="436"/>
      <c r="D1632" s="467">
        <v>47121</v>
      </c>
      <c r="E1632" s="436" t="s">
        <v>603</v>
      </c>
      <c r="F1632" s="436">
        <v>62500000</v>
      </c>
      <c r="G1632" s="448">
        <v>0</v>
      </c>
      <c r="H1632" s="436">
        <v>0</v>
      </c>
      <c r="I1632" s="449">
        <v>0</v>
      </c>
    </row>
    <row r="1633" spans="1:9" ht="15.75" customHeight="1" x14ac:dyDescent="0.2">
      <c r="A1633" s="437"/>
      <c r="B1633" s="437"/>
      <c r="C1633" s="436"/>
      <c r="D1633" s="467">
        <v>47122</v>
      </c>
      <c r="E1633" s="436" t="s">
        <v>602</v>
      </c>
      <c r="F1633" s="436">
        <v>62500000</v>
      </c>
      <c r="G1633" s="448">
        <v>0</v>
      </c>
      <c r="H1633" s="436">
        <v>0</v>
      </c>
      <c r="I1633" s="449">
        <v>0</v>
      </c>
    </row>
    <row r="1634" spans="1:9" ht="15.75" customHeight="1" x14ac:dyDescent="0.2">
      <c r="A1634" s="437"/>
      <c r="B1634" s="437"/>
      <c r="C1634" s="436"/>
      <c r="D1634" s="467">
        <v>47123</v>
      </c>
      <c r="E1634" s="436" t="s">
        <v>601</v>
      </c>
      <c r="F1634" s="436">
        <v>62500000</v>
      </c>
      <c r="G1634" s="448">
        <v>0</v>
      </c>
      <c r="H1634" s="436">
        <v>0</v>
      </c>
      <c r="I1634" s="449">
        <v>0</v>
      </c>
    </row>
    <row r="1635" spans="1:9" ht="15.75" customHeight="1" x14ac:dyDescent="0.2">
      <c r="A1635" s="437"/>
      <c r="B1635" s="437"/>
      <c r="C1635" s="436"/>
      <c r="D1635" s="467">
        <v>47124</v>
      </c>
      <c r="E1635" s="436" t="s">
        <v>600</v>
      </c>
      <c r="F1635" s="436">
        <v>62500000</v>
      </c>
      <c r="G1635" s="448">
        <v>0</v>
      </c>
      <c r="H1635" s="436">
        <v>0</v>
      </c>
      <c r="I1635" s="449">
        <v>0</v>
      </c>
    </row>
    <row r="1636" spans="1:9" ht="15.75" customHeight="1" x14ac:dyDescent="0.2">
      <c r="A1636" s="437"/>
      <c r="B1636" s="437"/>
      <c r="C1636" s="436"/>
      <c r="D1636" s="467">
        <v>47125</v>
      </c>
      <c r="E1636" s="436" t="s">
        <v>599</v>
      </c>
      <c r="F1636" s="436">
        <v>62500000</v>
      </c>
      <c r="G1636" s="448">
        <v>0</v>
      </c>
      <c r="H1636" s="436">
        <v>0</v>
      </c>
      <c r="I1636" s="449">
        <v>0</v>
      </c>
    </row>
    <row r="1637" spans="1:9" ht="15.75" customHeight="1" x14ac:dyDescent="0.2">
      <c r="A1637" s="437"/>
      <c r="B1637" s="437"/>
      <c r="C1637" s="436"/>
      <c r="D1637" s="467">
        <v>47126</v>
      </c>
      <c r="E1637" s="436" t="s">
        <v>598</v>
      </c>
      <c r="F1637" s="436">
        <v>62500000</v>
      </c>
      <c r="G1637" s="448">
        <v>0</v>
      </c>
      <c r="H1637" s="436">
        <v>0</v>
      </c>
      <c r="I1637" s="449">
        <v>0</v>
      </c>
    </row>
    <row r="1638" spans="1:9" ht="15.75" customHeight="1" x14ac:dyDescent="0.2">
      <c r="A1638" s="437"/>
      <c r="B1638" s="437"/>
      <c r="C1638" s="436"/>
      <c r="D1638" s="467">
        <v>47127</v>
      </c>
      <c r="E1638" s="436" t="s">
        <v>597</v>
      </c>
      <c r="F1638" s="436">
        <v>62500000</v>
      </c>
      <c r="G1638" s="448">
        <v>0</v>
      </c>
      <c r="H1638" s="436">
        <v>0</v>
      </c>
      <c r="I1638" s="449">
        <v>0</v>
      </c>
    </row>
    <row r="1639" spans="1:9" ht="15.75" customHeight="1" x14ac:dyDescent="0.2">
      <c r="A1639" s="437"/>
      <c r="B1639" s="437"/>
      <c r="C1639" s="436"/>
      <c r="D1639" s="467">
        <v>47128</v>
      </c>
      <c r="E1639" s="436" t="s">
        <v>603</v>
      </c>
      <c r="F1639" s="436">
        <v>62500000</v>
      </c>
      <c r="G1639" s="448">
        <v>0</v>
      </c>
      <c r="H1639" s="436">
        <v>0</v>
      </c>
      <c r="I1639" s="449">
        <v>0</v>
      </c>
    </row>
    <row r="1640" spans="1:9" ht="15.75" customHeight="1" x14ac:dyDescent="0.2">
      <c r="A1640" s="437"/>
      <c r="B1640" s="437"/>
      <c r="C1640" s="436"/>
      <c r="D1640" s="467">
        <v>47129</v>
      </c>
      <c r="E1640" s="436" t="s">
        <v>602</v>
      </c>
      <c r="F1640" s="436">
        <v>62500000</v>
      </c>
      <c r="G1640" s="448">
        <v>0</v>
      </c>
      <c r="H1640" s="436">
        <v>0</v>
      </c>
      <c r="I1640" s="449">
        <v>0</v>
      </c>
    </row>
    <row r="1641" spans="1:9" ht="15.75" customHeight="1" x14ac:dyDescent="0.2">
      <c r="A1641" s="437"/>
      <c r="B1641" s="437"/>
      <c r="C1641" s="436"/>
      <c r="D1641" s="467">
        <v>47130</v>
      </c>
      <c r="E1641" s="436" t="s">
        <v>601</v>
      </c>
      <c r="F1641" s="436">
        <v>62500000</v>
      </c>
      <c r="G1641" s="448">
        <v>0</v>
      </c>
      <c r="H1641" s="436">
        <v>0</v>
      </c>
      <c r="I1641" s="449">
        <v>0</v>
      </c>
    </row>
    <row r="1642" spans="1:9" ht="15.75" customHeight="1" x14ac:dyDescent="0.2">
      <c r="A1642" s="437"/>
      <c r="B1642" s="437"/>
      <c r="C1642" s="436"/>
      <c r="D1642" s="467">
        <v>47131</v>
      </c>
      <c r="E1642" s="436" t="s">
        <v>600</v>
      </c>
      <c r="F1642" s="436">
        <v>62500000</v>
      </c>
      <c r="G1642" s="448">
        <v>0</v>
      </c>
      <c r="H1642" s="436">
        <v>0</v>
      </c>
      <c r="I1642" s="449">
        <v>0</v>
      </c>
    </row>
    <row r="1643" spans="1:9" ht="15.75" customHeight="1" x14ac:dyDescent="0.2">
      <c r="A1643" s="437"/>
      <c r="B1643" s="437"/>
      <c r="C1643" s="436"/>
      <c r="D1643" s="467">
        <v>47132</v>
      </c>
      <c r="E1643" s="436" t="s">
        <v>599</v>
      </c>
      <c r="F1643" s="436">
        <v>62500000</v>
      </c>
      <c r="G1643" s="448">
        <v>0</v>
      </c>
      <c r="H1643" s="436">
        <v>0</v>
      </c>
      <c r="I1643" s="449">
        <v>0</v>
      </c>
    </row>
    <row r="1644" spans="1:9" ht="15.75" customHeight="1" x14ac:dyDescent="0.2">
      <c r="A1644" s="437"/>
      <c r="B1644" s="437"/>
      <c r="C1644" s="436"/>
      <c r="D1644" s="467">
        <v>47133</v>
      </c>
      <c r="E1644" s="436" t="s">
        <v>598</v>
      </c>
      <c r="F1644" s="436">
        <v>62500000</v>
      </c>
      <c r="G1644" s="448">
        <v>0</v>
      </c>
      <c r="H1644" s="436">
        <v>0</v>
      </c>
      <c r="I1644" s="449">
        <v>0</v>
      </c>
    </row>
    <row r="1645" spans="1:9" ht="15.75" customHeight="1" x14ac:dyDescent="0.2">
      <c r="A1645" s="437"/>
      <c r="B1645" s="437"/>
      <c r="C1645" s="436"/>
      <c r="D1645" s="467">
        <v>47134</v>
      </c>
      <c r="E1645" s="436" t="s">
        <v>597</v>
      </c>
      <c r="F1645" s="436">
        <v>62500000</v>
      </c>
      <c r="G1645" s="448">
        <v>0</v>
      </c>
      <c r="H1645" s="436">
        <v>0</v>
      </c>
      <c r="I1645" s="449">
        <v>0</v>
      </c>
    </row>
    <row r="1646" spans="1:9" ht="15.75" customHeight="1" x14ac:dyDescent="0.2">
      <c r="A1646" s="437"/>
      <c r="B1646" s="437"/>
      <c r="C1646" s="436"/>
      <c r="D1646" s="467">
        <v>47135</v>
      </c>
      <c r="E1646" s="436" t="s">
        <v>603</v>
      </c>
      <c r="F1646" s="436">
        <v>62500000</v>
      </c>
      <c r="G1646" s="448">
        <v>0</v>
      </c>
      <c r="H1646" s="436">
        <v>0</v>
      </c>
      <c r="I1646" s="449">
        <v>0</v>
      </c>
    </row>
    <row r="1647" spans="1:9" ht="15.75" customHeight="1" x14ac:dyDescent="0.2">
      <c r="A1647" s="437"/>
      <c r="B1647" s="437"/>
      <c r="C1647" s="436"/>
      <c r="D1647" s="467">
        <v>47136</v>
      </c>
      <c r="E1647" s="436" t="s">
        <v>602</v>
      </c>
      <c r="F1647" s="436">
        <v>62500000</v>
      </c>
      <c r="G1647" s="448">
        <v>0</v>
      </c>
      <c r="H1647" s="436">
        <v>0</v>
      </c>
      <c r="I1647" s="449">
        <v>0</v>
      </c>
    </row>
    <row r="1648" spans="1:9" ht="15.75" customHeight="1" x14ac:dyDescent="0.2">
      <c r="A1648" s="437"/>
      <c r="B1648" s="437"/>
      <c r="C1648" s="436"/>
      <c r="D1648" s="467">
        <v>47137</v>
      </c>
      <c r="E1648" s="436" t="s">
        <v>601</v>
      </c>
      <c r="F1648" s="436">
        <v>62500000</v>
      </c>
      <c r="G1648" s="448">
        <v>0</v>
      </c>
      <c r="H1648" s="436">
        <v>0</v>
      </c>
      <c r="I1648" s="449">
        <v>0</v>
      </c>
    </row>
    <row r="1649" spans="1:9" ht="15.75" customHeight="1" x14ac:dyDescent="0.2">
      <c r="A1649" s="437"/>
      <c r="B1649" s="437"/>
      <c r="C1649" s="436"/>
      <c r="D1649" s="467">
        <v>47138</v>
      </c>
      <c r="E1649" s="436" t="s">
        <v>600</v>
      </c>
      <c r="F1649" s="436">
        <v>62500000</v>
      </c>
      <c r="G1649" s="448">
        <v>0</v>
      </c>
      <c r="H1649" s="436">
        <v>0</v>
      </c>
      <c r="I1649" s="449">
        <v>0</v>
      </c>
    </row>
    <row r="1650" spans="1:9" ht="15.75" customHeight="1" x14ac:dyDescent="0.2">
      <c r="A1650" s="437"/>
      <c r="B1650" s="437"/>
      <c r="C1650" s="436"/>
      <c r="D1650" s="467">
        <v>47139</v>
      </c>
      <c r="E1650" s="436" t="s">
        <v>599</v>
      </c>
      <c r="F1650" s="436">
        <v>62500000</v>
      </c>
      <c r="G1650" s="448">
        <v>0</v>
      </c>
      <c r="H1650" s="436">
        <v>0</v>
      </c>
      <c r="I1650" s="449">
        <v>0</v>
      </c>
    </row>
    <row r="1651" spans="1:9" ht="15.75" customHeight="1" x14ac:dyDescent="0.2">
      <c r="A1651" s="437"/>
      <c r="B1651" s="437"/>
      <c r="C1651" s="436"/>
      <c r="D1651" s="467">
        <v>47140</v>
      </c>
      <c r="E1651" s="436" t="s">
        <v>598</v>
      </c>
      <c r="F1651" s="436">
        <v>62500000</v>
      </c>
      <c r="G1651" s="448">
        <v>0</v>
      </c>
      <c r="H1651" s="436">
        <v>0</v>
      </c>
      <c r="I1651" s="449">
        <v>0</v>
      </c>
    </row>
    <row r="1652" spans="1:9" ht="15.75" customHeight="1" x14ac:dyDescent="0.2">
      <c r="A1652" s="437"/>
      <c r="B1652" s="437"/>
      <c r="C1652" s="436"/>
      <c r="D1652" s="467">
        <v>47141</v>
      </c>
      <c r="E1652" s="436" t="s">
        <v>597</v>
      </c>
      <c r="F1652" s="436">
        <v>62500000</v>
      </c>
      <c r="G1652" s="448">
        <v>0</v>
      </c>
      <c r="H1652" s="436">
        <v>0</v>
      </c>
      <c r="I1652" s="449">
        <v>0</v>
      </c>
    </row>
    <row r="1653" spans="1:9" ht="15.75" customHeight="1" x14ac:dyDescent="0.2">
      <c r="A1653" s="437"/>
      <c r="B1653" s="437"/>
      <c r="C1653" s="436"/>
      <c r="D1653" s="467">
        <v>47142</v>
      </c>
      <c r="E1653" s="436" t="s">
        <v>603</v>
      </c>
      <c r="F1653" s="436">
        <v>62500000</v>
      </c>
      <c r="G1653" s="448">
        <v>0</v>
      </c>
      <c r="H1653" s="436">
        <v>0</v>
      </c>
      <c r="I1653" s="449">
        <v>0</v>
      </c>
    </row>
    <row r="1654" spans="1:9" ht="15.75" customHeight="1" x14ac:dyDescent="0.2">
      <c r="A1654" s="437"/>
      <c r="B1654" s="437"/>
      <c r="C1654" s="436"/>
      <c r="D1654" s="467">
        <v>47143</v>
      </c>
      <c r="E1654" s="436" t="s">
        <v>602</v>
      </c>
      <c r="F1654" s="436">
        <v>62500000</v>
      </c>
      <c r="G1654" s="448">
        <v>0</v>
      </c>
      <c r="H1654" s="436">
        <v>0</v>
      </c>
      <c r="I1654" s="449">
        <v>0</v>
      </c>
    </row>
    <row r="1655" spans="1:9" ht="15.75" customHeight="1" x14ac:dyDescent="0.2">
      <c r="A1655" s="437"/>
      <c r="B1655" s="437"/>
      <c r="C1655" s="436"/>
      <c r="D1655" s="467">
        <v>47144</v>
      </c>
      <c r="E1655" s="436" t="s">
        <v>601</v>
      </c>
      <c r="F1655" s="436">
        <v>62500000</v>
      </c>
      <c r="G1655" s="448">
        <v>0</v>
      </c>
      <c r="H1655" s="436">
        <v>0</v>
      </c>
      <c r="I1655" s="449">
        <v>0</v>
      </c>
    </row>
    <row r="1656" spans="1:9" ht="15.75" customHeight="1" x14ac:dyDescent="0.2">
      <c r="A1656" s="437"/>
      <c r="B1656" s="437"/>
      <c r="C1656" s="436"/>
      <c r="D1656" s="467">
        <v>47145</v>
      </c>
      <c r="E1656" s="436" t="s">
        <v>600</v>
      </c>
      <c r="F1656" s="436">
        <v>62500000</v>
      </c>
      <c r="G1656" s="448">
        <v>0</v>
      </c>
      <c r="H1656" s="436">
        <v>0</v>
      </c>
      <c r="I1656" s="449">
        <v>0</v>
      </c>
    </row>
    <row r="1657" spans="1:9" ht="15.75" customHeight="1" x14ac:dyDescent="0.2">
      <c r="A1657" s="437"/>
      <c r="B1657" s="437"/>
      <c r="C1657" s="436"/>
      <c r="D1657" s="467">
        <v>47146</v>
      </c>
      <c r="E1657" s="436" t="s">
        <v>599</v>
      </c>
      <c r="F1657" s="436">
        <v>62500000</v>
      </c>
      <c r="G1657" s="448">
        <v>0</v>
      </c>
      <c r="H1657" s="436">
        <v>0</v>
      </c>
      <c r="I1657" s="449">
        <v>0</v>
      </c>
    </row>
    <row r="1658" spans="1:9" ht="15.75" customHeight="1" x14ac:dyDescent="0.2">
      <c r="A1658" s="437"/>
      <c r="B1658" s="437"/>
      <c r="C1658" s="436"/>
      <c r="D1658" s="467">
        <v>47147</v>
      </c>
      <c r="E1658" s="436" t="s">
        <v>598</v>
      </c>
      <c r="F1658" s="436">
        <v>62500000</v>
      </c>
      <c r="G1658" s="448">
        <v>0</v>
      </c>
      <c r="H1658" s="436">
        <v>0</v>
      </c>
      <c r="I1658" s="449">
        <v>0</v>
      </c>
    </row>
    <row r="1659" spans="1:9" ht="15.75" customHeight="1" x14ac:dyDescent="0.2">
      <c r="A1659" s="437"/>
      <c r="B1659" s="437"/>
      <c r="C1659" s="436"/>
      <c r="D1659" s="467">
        <v>47148</v>
      </c>
      <c r="E1659" s="436" t="s">
        <v>597</v>
      </c>
      <c r="F1659" s="436">
        <v>62500000</v>
      </c>
      <c r="G1659" s="448">
        <v>0</v>
      </c>
      <c r="H1659" s="436">
        <v>0</v>
      </c>
      <c r="I1659" s="449">
        <v>0</v>
      </c>
    </row>
    <row r="1660" spans="1:9" ht="15.75" customHeight="1" x14ac:dyDescent="0.2">
      <c r="A1660" s="437"/>
      <c r="B1660" s="437"/>
      <c r="C1660" s="436"/>
      <c r="D1660" s="467">
        <v>47149</v>
      </c>
      <c r="E1660" s="436" t="s">
        <v>603</v>
      </c>
      <c r="F1660" s="436">
        <v>62500000</v>
      </c>
      <c r="G1660" s="448">
        <v>0</v>
      </c>
      <c r="H1660" s="436">
        <v>0</v>
      </c>
      <c r="I1660" s="449">
        <v>0</v>
      </c>
    </row>
    <row r="1661" spans="1:9" ht="15.75" customHeight="1" x14ac:dyDescent="0.2">
      <c r="A1661" s="437"/>
      <c r="B1661" s="437"/>
      <c r="C1661" s="436"/>
      <c r="D1661" s="467">
        <v>47150</v>
      </c>
      <c r="E1661" s="436" t="s">
        <v>602</v>
      </c>
      <c r="F1661" s="436">
        <v>62500000</v>
      </c>
      <c r="G1661" s="448">
        <v>0</v>
      </c>
      <c r="H1661" s="436">
        <v>0</v>
      </c>
      <c r="I1661" s="449">
        <v>0</v>
      </c>
    </row>
    <row r="1662" spans="1:9" ht="15.75" customHeight="1" x14ac:dyDescent="0.2">
      <c r="A1662" s="437"/>
      <c r="B1662" s="437"/>
      <c r="C1662" s="436"/>
      <c r="D1662" s="467">
        <v>47151</v>
      </c>
      <c r="E1662" s="436" t="s">
        <v>601</v>
      </c>
      <c r="F1662" s="436">
        <v>62500000</v>
      </c>
      <c r="G1662" s="448">
        <v>0</v>
      </c>
      <c r="H1662" s="436">
        <v>0</v>
      </c>
      <c r="I1662" s="449">
        <v>0</v>
      </c>
    </row>
    <row r="1663" spans="1:9" ht="15.75" customHeight="1" x14ac:dyDescent="0.2">
      <c r="A1663" s="437"/>
      <c r="B1663" s="437"/>
      <c r="C1663" s="436"/>
      <c r="D1663" s="467">
        <v>47152</v>
      </c>
      <c r="E1663" s="436" t="s">
        <v>600</v>
      </c>
      <c r="F1663" s="436">
        <v>62500000</v>
      </c>
      <c r="G1663" s="448">
        <v>0</v>
      </c>
      <c r="H1663" s="436">
        <v>0</v>
      </c>
      <c r="I1663" s="449">
        <v>0</v>
      </c>
    </row>
    <row r="1664" spans="1:9" ht="15.75" customHeight="1" x14ac:dyDescent="0.2">
      <c r="A1664" s="437"/>
      <c r="B1664" s="437"/>
      <c r="C1664" s="436"/>
      <c r="D1664" s="467">
        <v>47153</v>
      </c>
      <c r="E1664" s="436" t="s">
        <v>599</v>
      </c>
      <c r="F1664" s="436">
        <v>62500000</v>
      </c>
      <c r="G1664" s="448">
        <v>0</v>
      </c>
      <c r="H1664" s="436">
        <v>0</v>
      </c>
      <c r="I1664" s="449">
        <v>0</v>
      </c>
    </row>
    <row r="1665" spans="1:9" ht="15.75" customHeight="1" x14ac:dyDescent="0.2">
      <c r="A1665" s="437"/>
      <c r="B1665" s="437"/>
      <c r="C1665" s="436"/>
      <c r="D1665" s="467">
        <v>47154</v>
      </c>
      <c r="E1665" s="436" t="s">
        <v>598</v>
      </c>
      <c r="F1665" s="436">
        <v>62500000</v>
      </c>
      <c r="G1665" s="448">
        <v>0</v>
      </c>
      <c r="H1665" s="436">
        <v>0</v>
      </c>
      <c r="I1665" s="449">
        <v>0</v>
      </c>
    </row>
    <row r="1666" spans="1:9" ht="15.75" customHeight="1" x14ac:dyDescent="0.2">
      <c r="A1666" s="437"/>
      <c r="B1666" s="437"/>
      <c r="C1666" s="436"/>
      <c r="D1666" s="467">
        <v>47155</v>
      </c>
      <c r="E1666" s="436" t="s">
        <v>597</v>
      </c>
      <c r="F1666" s="436">
        <v>62500000</v>
      </c>
      <c r="G1666" s="448">
        <v>0</v>
      </c>
      <c r="H1666" s="436">
        <v>0</v>
      </c>
      <c r="I1666" s="449">
        <v>0</v>
      </c>
    </row>
    <row r="1667" spans="1:9" ht="15.75" customHeight="1" x14ac:dyDescent="0.2">
      <c r="A1667" s="437"/>
      <c r="B1667" s="437"/>
      <c r="C1667" s="436"/>
      <c r="D1667" s="467">
        <v>47156</v>
      </c>
      <c r="E1667" s="436" t="s">
        <v>603</v>
      </c>
      <c r="F1667" s="436">
        <v>62500000</v>
      </c>
      <c r="G1667" s="448">
        <v>0</v>
      </c>
      <c r="H1667" s="436">
        <v>0</v>
      </c>
      <c r="I1667" s="449">
        <v>0</v>
      </c>
    </row>
    <row r="1668" spans="1:9" ht="15.75" customHeight="1" x14ac:dyDescent="0.2">
      <c r="A1668" s="437"/>
      <c r="B1668" s="437"/>
      <c r="C1668" s="436"/>
      <c r="D1668" s="467">
        <v>47157</v>
      </c>
      <c r="E1668" s="436" t="s">
        <v>602</v>
      </c>
      <c r="F1668" s="436">
        <v>62500000</v>
      </c>
      <c r="G1668" s="448">
        <v>0</v>
      </c>
      <c r="H1668" s="436">
        <v>0</v>
      </c>
      <c r="I1668" s="449">
        <v>0</v>
      </c>
    </row>
    <row r="1669" spans="1:9" ht="15.75" customHeight="1" x14ac:dyDescent="0.2">
      <c r="A1669" s="437"/>
      <c r="B1669" s="437"/>
      <c r="C1669" s="436"/>
      <c r="D1669" s="467">
        <v>47158</v>
      </c>
      <c r="E1669" s="436" t="s">
        <v>601</v>
      </c>
      <c r="F1669" s="436">
        <v>62500000</v>
      </c>
      <c r="G1669" s="448">
        <v>0</v>
      </c>
      <c r="H1669" s="436">
        <v>0</v>
      </c>
      <c r="I1669" s="449">
        <v>0</v>
      </c>
    </row>
    <row r="1670" spans="1:9" ht="15.75" customHeight="1" x14ac:dyDescent="0.2">
      <c r="A1670" s="437"/>
      <c r="B1670" s="437"/>
      <c r="C1670" s="436"/>
      <c r="D1670" s="467">
        <v>47159</v>
      </c>
      <c r="E1670" s="436" t="s">
        <v>600</v>
      </c>
      <c r="F1670" s="436">
        <v>62500000</v>
      </c>
      <c r="G1670" s="448">
        <v>0</v>
      </c>
      <c r="H1670" s="436">
        <v>0</v>
      </c>
      <c r="I1670" s="449">
        <v>0</v>
      </c>
    </row>
    <row r="1671" spans="1:9" ht="15.75" customHeight="1" x14ac:dyDescent="0.2">
      <c r="A1671" s="437"/>
      <c r="B1671" s="437"/>
      <c r="C1671" s="436"/>
      <c r="D1671" s="467">
        <v>47160</v>
      </c>
      <c r="E1671" s="436" t="s">
        <v>599</v>
      </c>
      <c r="F1671" s="436">
        <v>62500000</v>
      </c>
      <c r="G1671" s="448">
        <v>0</v>
      </c>
      <c r="H1671" s="436">
        <v>0</v>
      </c>
      <c r="I1671" s="449">
        <v>0</v>
      </c>
    </row>
    <row r="1672" spans="1:9" ht="15.75" customHeight="1" x14ac:dyDescent="0.2">
      <c r="A1672" s="437"/>
      <c r="B1672" s="437"/>
      <c r="C1672" s="436"/>
      <c r="D1672" s="467">
        <v>47161</v>
      </c>
      <c r="E1672" s="436" t="s">
        <v>598</v>
      </c>
      <c r="F1672" s="436">
        <v>62500000</v>
      </c>
      <c r="G1672" s="448">
        <v>0</v>
      </c>
      <c r="H1672" s="436">
        <v>0</v>
      </c>
      <c r="I1672" s="449">
        <v>0</v>
      </c>
    </row>
    <row r="1673" spans="1:9" ht="15.75" customHeight="1" x14ac:dyDescent="0.2">
      <c r="A1673" s="437"/>
      <c r="B1673" s="437"/>
      <c r="C1673" s="436"/>
      <c r="D1673" s="467">
        <v>47162</v>
      </c>
      <c r="E1673" s="436" t="s">
        <v>597</v>
      </c>
      <c r="F1673" s="436">
        <v>62500000</v>
      </c>
      <c r="G1673" s="448">
        <v>0</v>
      </c>
      <c r="H1673" s="436">
        <v>0</v>
      </c>
      <c r="I1673" s="449">
        <v>0</v>
      </c>
    </row>
    <row r="1674" spans="1:9" ht="15.75" customHeight="1" x14ac:dyDescent="0.2">
      <c r="A1674" s="437"/>
      <c r="B1674" s="437"/>
      <c r="C1674" s="436"/>
      <c r="D1674" s="467">
        <v>47163</v>
      </c>
      <c r="E1674" s="436" t="s">
        <v>603</v>
      </c>
      <c r="F1674" s="436">
        <v>62500000</v>
      </c>
      <c r="G1674" s="448">
        <v>0</v>
      </c>
      <c r="H1674" s="436">
        <v>0</v>
      </c>
      <c r="I1674" s="449">
        <v>0</v>
      </c>
    </row>
    <row r="1675" spans="1:9" ht="15.75" customHeight="1" x14ac:dyDescent="0.2">
      <c r="A1675" s="437"/>
      <c r="B1675" s="437"/>
      <c r="C1675" s="436"/>
      <c r="D1675" s="467">
        <v>47164</v>
      </c>
      <c r="E1675" s="436" t="s">
        <v>602</v>
      </c>
      <c r="F1675" s="436">
        <v>62500000</v>
      </c>
      <c r="G1675" s="448">
        <v>0</v>
      </c>
      <c r="H1675" s="436">
        <v>0</v>
      </c>
      <c r="I1675" s="449">
        <v>0</v>
      </c>
    </row>
    <row r="1676" spans="1:9" ht="15.75" customHeight="1" x14ac:dyDescent="0.2">
      <c r="A1676" s="437"/>
      <c r="B1676" s="437"/>
      <c r="C1676" s="436"/>
      <c r="D1676" s="467">
        <v>47165</v>
      </c>
      <c r="E1676" s="436" t="s">
        <v>601</v>
      </c>
      <c r="F1676" s="436">
        <v>62500000</v>
      </c>
      <c r="G1676" s="448">
        <v>0</v>
      </c>
      <c r="H1676" s="436">
        <v>0</v>
      </c>
      <c r="I1676" s="449">
        <v>0</v>
      </c>
    </row>
    <row r="1677" spans="1:9" ht="15.75" customHeight="1" x14ac:dyDescent="0.2">
      <c r="A1677" s="437"/>
      <c r="B1677" s="437"/>
      <c r="C1677" s="436"/>
      <c r="D1677" s="467">
        <v>47166</v>
      </c>
      <c r="E1677" s="436" t="s">
        <v>600</v>
      </c>
      <c r="F1677" s="436">
        <v>62500000</v>
      </c>
      <c r="G1677" s="448">
        <v>0</v>
      </c>
      <c r="H1677" s="436">
        <v>0</v>
      </c>
      <c r="I1677" s="449">
        <v>0</v>
      </c>
    </row>
    <row r="1678" spans="1:9" ht="15.75" customHeight="1" x14ac:dyDescent="0.2">
      <c r="A1678" s="437"/>
      <c r="B1678" s="437"/>
      <c r="C1678" s="436"/>
      <c r="D1678" s="467">
        <v>47167</v>
      </c>
      <c r="E1678" s="436" t="s">
        <v>599</v>
      </c>
      <c r="F1678" s="436">
        <v>62500000</v>
      </c>
      <c r="G1678" s="448">
        <v>0</v>
      </c>
      <c r="H1678" s="436">
        <v>0</v>
      </c>
      <c r="I1678" s="449">
        <v>0</v>
      </c>
    </row>
    <row r="1679" spans="1:9" ht="15.75" customHeight="1" x14ac:dyDescent="0.2">
      <c r="A1679" s="437"/>
      <c r="B1679" s="437"/>
      <c r="C1679" s="436"/>
      <c r="D1679" s="467">
        <v>47168</v>
      </c>
      <c r="E1679" s="436" t="s">
        <v>598</v>
      </c>
      <c r="F1679" s="436">
        <v>62500000</v>
      </c>
      <c r="G1679" s="448">
        <v>0</v>
      </c>
      <c r="H1679" s="436">
        <v>0</v>
      </c>
      <c r="I1679" s="449">
        <v>0</v>
      </c>
    </row>
    <row r="1680" spans="1:9" ht="15.75" customHeight="1" x14ac:dyDescent="0.2">
      <c r="A1680" s="437"/>
      <c r="B1680" s="437"/>
      <c r="C1680" s="436"/>
      <c r="D1680" s="467">
        <v>47169</v>
      </c>
      <c r="E1680" s="436" t="s">
        <v>597</v>
      </c>
      <c r="F1680" s="436">
        <v>62500000</v>
      </c>
      <c r="G1680" s="448">
        <v>0</v>
      </c>
      <c r="H1680" s="436">
        <v>0</v>
      </c>
      <c r="I1680" s="449">
        <v>0</v>
      </c>
    </row>
    <row r="1681" spans="1:9" ht="15.75" customHeight="1" x14ac:dyDescent="0.2">
      <c r="A1681" s="437"/>
      <c r="B1681" s="437"/>
      <c r="C1681" s="436"/>
      <c r="D1681" s="467">
        <v>47170</v>
      </c>
      <c r="E1681" s="436" t="s">
        <v>603</v>
      </c>
      <c r="F1681" s="436">
        <v>62500000</v>
      </c>
      <c r="G1681" s="448">
        <v>0</v>
      </c>
      <c r="H1681" s="436">
        <v>0</v>
      </c>
      <c r="I1681" s="449">
        <v>0</v>
      </c>
    </row>
    <row r="1682" spans="1:9" ht="15.75" customHeight="1" x14ac:dyDescent="0.2">
      <c r="A1682" s="437"/>
      <c r="B1682" s="437"/>
      <c r="C1682" s="436"/>
      <c r="D1682" s="467">
        <v>47171</v>
      </c>
      <c r="E1682" s="436" t="s">
        <v>602</v>
      </c>
      <c r="F1682" s="436">
        <v>62500000</v>
      </c>
      <c r="G1682" s="448">
        <v>0</v>
      </c>
      <c r="H1682" s="436">
        <v>0</v>
      </c>
      <c r="I1682" s="449">
        <v>0</v>
      </c>
    </row>
    <row r="1683" spans="1:9" ht="15.75" customHeight="1" x14ac:dyDescent="0.2">
      <c r="A1683" s="437"/>
      <c r="B1683" s="437"/>
      <c r="C1683" s="436"/>
      <c r="D1683" s="467">
        <v>47172</v>
      </c>
      <c r="E1683" s="436" t="s">
        <v>601</v>
      </c>
      <c r="F1683" s="436">
        <v>62500000</v>
      </c>
      <c r="G1683" s="448">
        <v>0</v>
      </c>
      <c r="H1683" s="436">
        <v>0</v>
      </c>
      <c r="I1683" s="449">
        <v>0</v>
      </c>
    </row>
    <row r="1684" spans="1:9" ht="15.75" customHeight="1" x14ac:dyDescent="0.2">
      <c r="A1684" s="437"/>
      <c r="B1684" s="437"/>
      <c r="C1684" s="436"/>
      <c r="D1684" s="467">
        <v>47173</v>
      </c>
      <c r="E1684" s="436" t="s">
        <v>600</v>
      </c>
      <c r="F1684" s="436">
        <v>62500000</v>
      </c>
      <c r="G1684" s="448">
        <v>0</v>
      </c>
      <c r="H1684" s="436">
        <v>0</v>
      </c>
      <c r="I1684" s="449">
        <v>0</v>
      </c>
    </row>
    <row r="1685" spans="1:9" ht="15.75" customHeight="1" x14ac:dyDescent="0.2">
      <c r="A1685" s="437"/>
      <c r="B1685" s="437"/>
      <c r="C1685" s="436"/>
      <c r="D1685" s="467">
        <v>47174</v>
      </c>
      <c r="E1685" s="436" t="s">
        <v>599</v>
      </c>
      <c r="F1685" s="436">
        <v>62500000</v>
      </c>
      <c r="G1685" s="448">
        <v>0</v>
      </c>
      <c r="H1685" s="436">
        <v>0</v>
      </c>
      <c r="I1685" s="449">
        <v>0</v>
      </c>
    </row>
    <row r="1686" spans="1:9" ht="15.75" customHeight="1" x14ac:dyDescent="0.2">
      <c r="A1686" s="437"/>
      <c r="B1686" s="437"/>
      <c r="C1686" s="436"/>
      <c r="D1686" s="467">
        <v>47175</v>
      </c>
      <c r="E1686" s="436" t="s">
        <v>598</v>
      </c>
      <c r="F1686" s="436">
        <v>62500000</v>
      </c>
      <c r="G1686" s="448">
        <v>0</v>
      </c>
      <c r="H1686" s="436">
        <v>0</v>
      </c>
      <c r="I1686" s="449">
        <v>0</v>
      </c>
    </row>
    <row r="1687" spans="1:9" ht="15.75" customHeight="1" x14ac:dyDescent="0.2">
      <c r="A1687" s="437"/>
      <c r="B1687" s="437"/>
      <c r="C1687" s="436"/>
      <c r="D1687" s="467">
        <v>47176</v>
      </c>
      <c r="E1687" s="436" t="s">
        <v>597</v>
      </c>
      <c r="F1687" s="436">
        <v>62500000</v>
      </c>
      <c r="G1687" s="448">
        <v>0</v>
      </c>
      <c r="H1687" s="436">
        <v>0</v>
      </c>
      <c r="I1687" s="449">
        <v>0</v>
      </c>
    </row>
    <row r="1688" spans="1:9" ht="15.75" customHeight="1" x14ac:dyDescent="0.2">
      <c r="A1688" s="437"/>
      <c r="B1688" s="437"/>
      <c r="C1688" s="436"/>
      <c r="D1688" s="467">
        <v>47177</v>
      </c>
      <c r="E1688" s="436" t="s">
        <v>603</v>
      </c>
      <c r="F1688" s="436">
        <v>62500000</v>
      </c>
      <c r="G1688" s="448">
        <v>0</v>
      </c>
      <c r="H1688" s="436">
        <v>0</v>
      </c>
      <c r="I1688" s="449">
        <v>0</v>
      </c>
    </row>
    <row r="1689" spans="1:9" ht="15.75" customHeight="1" x14ac:dyDescent="0.2">
      <c r="A1689" s="437"/>
      <c r="B1689" s="437"/>
      <c r="C1689" s="436"/>
      <c r="D1689" s="467">
        <v>47178</v>
      </c>
      <c r="E1689" s="436" t="s">
        <v>602</v>
      </c>
      <c r="F1689" s="436">
        <v>62500000</v>
      </c>
      <c r="G1689" s="448">
        <v>0</v>
      </c>
      <c r="H1689" s="436">
        <v>0</v>
      </c>
      <c r="I1689" s="449">
        <v>0</v>
      </c>
    </row>
    <row r="1690" spans="1:9" ht="15.75" customHeight="1" x14ac:dyDescent="0.2">
      <c r="A1690" s="437"/>
      <c r="B1690" s="437"/>
      <c r="C1690" s="436"/>
      <c r="D1690" s="467">
        <v>47179</v>
      </c>
      <c r="E1690" s="436" t="s">
        <v>601</v>
      </c>
      <c r="F1690" s="436">
        <v>62500000</v>
      </c>
      <c r="G1690" s="448">
        <v>0</v>
      </c>
      <c r="H1690" s="436">
        <v>0</v>
      </c>
      <c r="I1690" s="449">
        <v>0</v>
      </c>
    </row>
    <row r="1691" spans="1:9" ht="15.75" customHeight="1" x14ac:dyDescent="0.2">
      <c r="A1691" s="437"/>
      <c r="B1691" s="437"/>
      <c r="C1691" s="436"/>
      <c r="D1691" s="467">
        <v>47180</v>
      </c>
      <c r="E1691" s="436" t="s">
        <v>600</v>
      </c>
      <c r="F1691" s="436">
        <v>62500000</v>
      </c>
      <c r="G1691" s="448">
        <v>0</v>
      </c>
      <c r="H1691" s="436">
        <v>0</v>
      </c>
      <c r="I1691" s="449">
        <v>0</v>
      </c>
    </row>
    <row r="1692" spans="1:9" ht="15.75" customHeight="1" x14ac:dyDescent="0.2">
      <c r="A1692" s="437"/>
      <c r="B1692" s="437"/>
      <c r="C1692" s="436"/>
      <c r="D1692" s="467">
        <v>47181</v>
      </c>
      <c r="E1692" s="436" t="s">
        <v>599</v>
      </c>
      <c r="F1692" s="436">
        <v>62500000</v>
      </c>
      <c r="G1692" s="448">
        <v>0</v>
      </c>
      <c r="H1692" s="436">
        <v>0</v>
      </c>
      <c r="I1692" s="449">
        <v>0</v>
      </c>
    </row>
    <row r="1693" spans="1:9" ht="15.75" customHeight="1" x14ac:dyDescent="0.2">
      <c r="A1693" s="437"/>
      <c r="B1693" s="437"/>
      <c r="C1693" s="436"/>
      <c r="D1693" s="467">
        <v>47182</v>
      </c>
      <c r="E1693" s="436" t="s">
        <v>598</v>
      </c>
      <c r="F1693" s="436">
        <v>62500000</v>
      </c>
      <c r="G1693" s="448">
        <v>0</v>
      </c>
      <c r="H1693" s="436">
        <v>0</v>
      </c>
      <c r="I1693" s="449">
        <v>0</v>
      </c>
    </row>
    <row r="1694" spans="1:9" ht="15.75" customHeight="1" x14ac:dyDescent="0.2">
      <c r="A1694" s="437"/>
      <c r="B1694" s="437"/>
      <c r="C1694" s="436"/>
      <c r="D1694" s="467">
        <v>47183</v>
      </c>
      <c r="E1694" s="436" t="s">
        <v>597</v>
      </c>
      <c r="F1694" s="436">
        <v>62500000</v>
      </c>
      <c r="G1694" s="448">
        <v>0</v>
      </c>
      <c r="H1694" s="436">
        <v>0</v>
      </c>
      <c r="I1694" s="449">
        <v>0</v>
      </c>
    </row>
    <row r="1695" spans="1:9" ht="15.75" customHeight="1" x14ac:dyDescent="0.2">
      <c r="A1695" s="437"/>
      <c r="B1695" s="437"/>
      <c r="C1695" s="436"/>
      <c r="D1695" s="467">
        <v>47184</v>
      </c>
      <c r="E1695" s="436" t="s">
        <v>603</v>
      </c>
      <c r="F1695" s="436">
        <v>62500000</v>
      </c>
      <c r="G1695" s="448">
        <v>0</v>
      </c>
      <c r="H1695" s="436">
        <v>0</v>
      </c>
      <c r="I1695" s="449">
        <v>0</v>
      </c>
    </row>
    <row r="1696" spans="1:9" ht="15.75" customHeight="1" x14ac:dyDescent="0.2">
      <c r="A1696" s="437"/>
      <c r="B1696" s="437"/>
      <c r="C1696" s="436"/>
      <c r="D1696" s="467">
        <v>47185</v>
      </c>
      <c r="E1696" s="436" t="s">
        <v>602</v>
      </c>
      <c r="F1696" s="436">
        <v>62500000</v>
      </c>
      <c r="G1696" s="448">
        <v>0</v>
      </c>
      <c r="H1696" s="436">
        <v>0</v>
      </c>
      <c r="I1696" s="449">
        <v>0</v>
      </c>
    </row>
    <row r="1697" spans="1:9" ht="15.75" customHeight="1" x14ac:dyDescent="0.2">
      <c r="A1697" s="437"/>
      <c r="B1697" s="437"/>
      <c r="C1697" s="436"/>
      <c r="D1697" s="467">
        <v>47186</v>
      </c>
      <c r="E1697" s="436" t="s">
        <v>601</v>
      </c>
      <c r="F1697" s="436">
        <v>62500000</v>
      </c>
      <c r="G1697" s="448">
        <v>0</v>
      </c>
      <c r="H1697" s="436">
        <v>0</v>
      </c>
      <c r="I1697" s="449">
        <v>0</v>
      </c>
    </row>
    <row r="1698" spans="1:9" ht="15.75" customHeight="1" x14ac:dyDescent="0.2">
      <c r="A1698" s="437"/>
      <c r="B1698" s="437"/>
      <c r="C1698" s="436"/>
      <c r="D1698" s="467">
        <v>47187</v>
      </c>
      <c r="E1698" s="436" t="s">
        <v>600</v>
      </c>
      <c r="F1698" s="436">
        <v>62500000</v>
      </c>
      <c r="G1698" s="448">
        <v>0</v>
      </c>
      <c r="H1698" s="436">
        <v>0</v>
      </c>
      <c r="I1698" s="449">
        <v>0</v>
      </c>
    </row>
    <row r="1699" spans="1:9" ht="15.75" customHeight="1" x14ac:dyDescent="0.2">
      <c r="A1699" s="437"/>
      <c r="B1699" s="437"/>
      <c r="C1699" s="436"/>
      <c r="D1699" s="467">
        <v>47188</v>
      </c>
      <c r="E1699" s="436" t="s">
        <v>599</v>
      </c>
      <c r="F1699" s="436">
        <v>62500000</v>
      </c>
      <c r="G1699" s="448">
        <v>0</v>
      </c>
      <c r="H1699" s="436">
        <v>0</v>
      </c>
      <c r="I1699" s="449">
        <v>0</v>
      </c>
    </row>
    <row r="1700" spans="1:9" ht="15.75" customHeight="1" x14ac:dyDescent="0.2">
      <c r="A1700" s="437"/>
      <c r="B1700" s="437"/>
      <c r="C1700" s="436"/>
      <c r="D1700" s="467">
        <v>47189</v>
      </c>
      <c r="E1700" s="436" t="s">
        <v>598</v>
      </c>
      <c r="F1700" s="436">
        <v>62500000</v>
      </c>
      <c r="G1700" s="448">
        <v>0</v>
      </c>
      <c r="H1700" s="436">
        <v>0</v>
      </c>
      <c r="I1700" s="449">
        <v>0</v>
      </c>
    </row>
    <row r="1701" spans="1:9" ht="15.75" customHeight="1" x14ac:dyDescent="0.2">
      <c r="A1701" s="437"/>
      <c r="B1701" s="437"/>
      <c r="C1701" s="436"/>
      <c r="D1701" s="467">
        <v>47190</v>
      </c>
      <c r="E1701" s="436" t="s">
        <v>597</v>
      </c>
      <c r="F1701" s="436">
        <v>62500000</v>
      </c>
      <c r="G1701" s="448">
        <v>0</v>
      </c>
      <c r="H1701" s="436">
        <v>0</v>
      </c>
      <c r="I1701" s="449">
        <v>0</v>
      </c>
    </row>
    <row r="1702" spans="1:9" ht="15.75" customHeight="1" x14ac:dyDescent="0.2">
      <c r="A1702" s="437"/>
      <c r="B1702" s="437"/>
      <c r="C1702" s="436"/>
      <c r="D1702" s="467">
        <v>47191</v>
      </c>
      <c r="E1702" s="436" t="s">
        <v>603</v>
      </c>
      <c r="F1702" s="436">
        <v>62500000</v>
      </c>
      <c r="G1702" s="448">
        <v>0</v>
      </c>
      <c r="H1702" s="436">
        <v>0</v>
      </c>
      <c r="I1702" s="449">
        <v>0</v>
      </c>
    </row>
    <row r="1703" spans="1:9" ht="15.75" customHeight="1" x14ac:dyDescent="0.2">
      <c r="A1703" s="437"/>
      <c r="B1703" s="437"/>
      <c r="C1703" s="436"/>
      <c r="D1703" s="467">
        <v>47192</v>
      </c>
      <c r="E1703" s="436" t="s">
        <v>602</v>
      </c>
      <c r="F1703" s="436">
        <v>62500000</v>
      </c>
      <c r="G1703" s="448">
        <v>0</v>
      </c>
      <c r="H1703" s="436">
        <v>0</v>
      </c>
      <c r="I1703" s="449">
        <v>0</v>
      </c>
    </row>
    <row r="1704" spans="1:9" ht="15.75" customHeight="1" x14ac:dyDescent="0.2">
      <c r="A1704" s="437"/>
      <c r="B1704" s="437"/>
      <c r="C1704" s="436"/>
      <c r="D1704" s="467">
        <v>47193</v>
      </c>
      <c r="E1704" s="436" t="s">
        <v>601</v>
      </c>
      <c r="F1704" s="436">
        <v>62500000</v>
      </c>
      <c r="G1704" s="448">
        <v>0</v>
      </c>
      <c r="H1704" s="436">
        <v>0</v>
      </c>
      <c r="I1704" s="449">
        <v>0</v>
      </c>
    </row>
    <row r="1705" spans="1:9" ht="15.75" customHeight="1" x14ac:dyDescent="0.2">
      <c r="A1705" s="437"/>
      <c r="B1705" s="437"/>
      <c r="C1705" s="436"/>
      <c r="D1705" s="467">
        <v>47194</v>
      </c>
      <c r="E1705" s="436" t="s">
        <v>600</v>
      </c>
      <c r="F1705" s="436">
        <v>62500000</v>
      </c>
      <c r="G1705" s="448">
        <v>0</v>
      </c>
      <c r="H1705" s="436">
        <v>0</v>
      </c>
      <c r="I1705" s="449">
        <v>0</v>
      </c>
    </row>
    <row r="1706" spans="1:9" ht="15.75" customHeight="1" x14ac:dyDescent="0.2">
      <c r="A1706" s="437"/>
      <c r="B1706" s="437"/>
      <c r="C1706" s="436"/>
      <c r="D1706" s="467">
        <v>47195</v>
      </c>
      <c r="E1706" s="436" t="s">
        <v>599</v>
      </c>
      <c r="F1706" s="436">
        <v>62500000</v>
      </c>
      <c r="G1706" s="448">
        <v>0</v>
      </c>
      <c r="H1706" s="436">
        <v>0</v>
      </c>
      <c r="I1706" s="449">
        <v>0</v>
      </c>
    </row>
    <row r="1707" spans="1:9" ht="15.75" customHeight="1" x14ac:dyDescent="0.2">
      <c r="A1707" s="437"/>
      <c r="B1707" s="437"/>
      <c r="C1707" s="436"/>
      <c r="D1707" s="467">
        <v>47196</v>
      </c>
      <c r="E1707" s="436" t="s">
        <v>598</v>
      </c>
      <c r="F1707" s="436">
        <v>62500000</v>
      </c>
      <c r="G1707" s="448">
        <v>0</v>
      </c>
      <c r="H1707" s="436">
        <v>0</v>
      </c>
      <c r="I1707" s="449">
        <v>0</v>
      </c>
    </row>
    <row r="1708" spans="1:9" ht="15.75" customHeight="1" x14ac:dyDescent="0.2">
      <c r="A1708" s="437"/>
      <c r="B1708" s="437"/>
      <c r="C1708" s="436"/>
      <c r="D1708" s="467">
        <v>47197</v>
      </c>
      <c r="E1708" s="436" t="s">
        <v>597</v>
      </c>
      <c r="F1708" s="436">
        <v>62500000</v>
      </c>
      <c r="G1708" s="448">
        <v>0</v>
      </c>
      <c r="H1708" s="436">
        <v>0</v>
      </c>
      <c r="I1708" s="449">
        <v>0</v>
      </c>
    </row>
    <row r="1709" spans="1:9" ht="15.75" customHeight="1" x14ac:dyDescent="0.2">
      <c r="A1709" s="437"/>
      <c r="B1709" s="437"/>
      <c r="C1709" s="436"/>
      <c r="D1709" s="467">
        <v>47198</v>
      </c>
      <c r="E1709" s="436" t="s">
        <v>603</v>
      </c>
      <c r="F1709" s="436">
        <v>62500000</v>
      </c>
      <c r="G1709" s="448">
        <v>0</v>
      </c>
      <c r="H1709" s="436">
        <v>0</v>
      </c>
      <c r="I1709" s="449">
        <v>0</v>
      </c>
    </row>
    <row r="1710" spans="1:9" ht="15.75" customHeight="1" x14ac:dyDescent="0.2">
      <c r="A1710" s="437"/>
      <c r="B1710" s="437"/>
      <c r="C1710" s="436"/>
      <c r="D1710" s="467">
        <v>47199</v>
      </c>
      <c r="E1710" s="436" t="s">
        <v>602</v>
      </c>
      <c r="F1710" s="436">
        <v>62500000</v>
      </c>
      <c r="G1710" s="448">
        <v>0</v>
      </c>
      <c r="H1710" s="436">
        <v>0</v>
      </c>
      <c r="I1710" s="449">
        <v>0</v>
      </c>
    </row>
    <row r="1711" spans="1:9" ht="15.75" customHeight="1" x14ac:dyDescent="0.2">
      <c r="A1711" s="437"/>
      <c r="B1711" s="437"/>
      <c r="C1711" s="436"/>
      <c r="D1711" s="467">
        <v>47200</v>
      </c>
      <c r="E1711" s="436" t="s">
        <v>601</v>
      </c>
      <c r="F1711" s="436">
        <v>62500000</v>
      </c>
      <c r="G1711" s="448">
        <v>0</v>
      </c>
      <c r="H1711" s="436">
        <v>0</v>
      </c>
      <c r="I1711" s="449">
        <v>0</v>
      </c>
    </row>
    <row r="1712" spans="1:9" ht="15.75" customHeight="1" x14ac:dyDescent="0.2">
      <c r="A1712" s="437"/>
      <c r="B1712" s="437"/>
      <c r="C1712" s="436"/>
      <c r="D1712" s="467">
        <v>47201</v>
      </c>
      <c r="E1712" s="436" t="s">
        <v>600</v>
      </c>
      <c r="F1712" s="436">
        <v>62500000</v>
      </c>
      <c r="G1712" s="448">
        <v>0</v>
      </c>
      <c r="H1712" s="436">
        <v>0</v>
      </c>
      <c r="I1712" s="449">
        <v>0</v>
      </c>
    </row>
    <row r="1713" spans="1:9" ht="15.75" customHeight="1" x14ac:dyDescent="0.2">
      <c r="A1713" s="437"/>
      <c r="B1713" s="437"/>
      <c r="C1713" s="436"/>
      <c r="D1713" s="467">
        <v>47202</v>
      </c>
      <c r="E1713" s="436" t="s">
        <v>599</v>
      </c>
      <c r="F1713" s="436">
        <v>62500000</v>
      </c>
      <c r="G1713" s="448">
        <v>0</v>
      </c>
      <c r="H1713" s="436">
        <v>0</v>
      </c>
      <c r="I1713" s="449">
        <v>0</v>
      </c>
    </row>
    <row r="1714" spans="1:9" ht="15.75" customHeight="1" x14ac:dyDescent="0.2">
      <c r="A1714" s="437"/>
      <c r="B1714" s="437"/>
      <c r="C1714" s="436"/>
      <c r="D1714" s="467">
        <v>47203</v>
      </c>
      <c r="E1714" s="436" t="s">
        <v>598</v>
      </c>
      <c r="F1714" s="436">
        <v>62500000</v>
      </c>
      <c r="G1714" s="448">
        <v>0</v>
      </c>
      <c r="H1714" s="436">
        <v>0</v>
      </c>
      <c r="I1714" s="449">
        <v>0</v>
      </c>
    </row>
    <row r="1715" spans="1:9" ht="15.75" customHeight="1" x14ac:dyDescent="0.2">
      <c r="A1715" s="437"/>
      <c r="B1715" s="437"/>
      <c r="C1715" s="436"/>
      <c r="D1715" s="467">
        <v>47204</v>
      </c>
      <c r="E1715" s="436" t="s">
        <v>597</v>
      </c>
      <c r="F1715" s="436">
        <v>62500000</v>
      </c>
      <c r="G1715" s="448">
        <v>0</v>
      </c>
      <c r="H1715" s="436">
        <v>0</v>
      </c>
      <c r="I1715" s="449">
        <v>0</v>
      </c>
    </row>
    <row r="1716" spans="1:9" ht="15.75" customHeight="1" x14ac:dyDescent="0.2">
      <c r="A1716" s="437"/>
      <c r="B1716" s="437"/>
      <c r="C1716" s="436"/>
      <c r="D1716" s="467">
        <v>47205</v>
      </c>
      <c r="E1716" s="436" t="s">
        <v>603</v>
      </c>
      <c r="F1716" s="436">
        <v>62500000</v>
      </c>
      <c r="G1716" s="448">
        <v>0</v>
      </c>
      <c r="H1716" s="436">
        <v>0</v>
      </c>
      <c r="I1716" s="449">
        <v>0</v>
      </c>
    </row>
    <row r="1717" spans="1:9" ht="15.75" customHeight="1" x14ac:dyDescent="0.2">
      <c r="A1717" s="437"/>
      <c r="B1717" s="437"/>
      <c r="C1717" s="436"/>
      <c r="D1717" s="467">
        <v>47206</v>
      </c>
      <c r="E1717" s="436" t="s">
        <v>602</v>
      </c>
      <c r="F1717" s="436">
        <v>62500000</v>
      </c>
      <c r="G1717" s="448">
        <v>0</v>
      </c>
      <c r="H1717" s="436">
        <v>0</v>
      </c>
      <c r="I1717" s="449">
        <v>0</v>
      </c>
    </row>
    <row r="1718" spans="1:9" ht="15.75" customHeight="1" x14ac:dyDescent="0.2">
      <c r="A1718" s="437"/>
      <c r="B1718" s="437"/>
      <c r="C1718" s="436"/>
      <c r="D1718" s="467">
        <v>47207</v>
      </c>
      <c r="E1718" s="436" t="s">
        <v>601</v>
      </c>
      <c r="F1718" s="436">
        <v>62500000</v>
      </c>
      <c r="G1718" s="448">
        <v>0</v>
      </c>
      <c r="H1718" s="436">
        <v>0</v>
      </c>
      <c r="I1718" s="449">
        <v>0</v>
      </c>
    </row>
    <row r="1719" spans="1:9" ht="15.75" customHeight="1" x14ac:dyDescent="0.2">
      <c r="A1719" s="437"/>
      <c r="B1719" s="437"/>
      <c r="C1719" s="436"/>
      <c r="D1719" s="467">
        <v>47208</v>
      </c>
      <c r="E1719" s="436" t="s">
        <v>600</v>
      </c>
      <c r="F1719" s="436">
        <v>62500000</v>
      </c>
      <c r="G1719" s="448">
        <v>0</v>
      </c>
      <c r="H1719" s="436">
        <v>0</v>
      </c>
      <c r="I1719" s="449">
        <v>0</v>
      </c>
    </row>
    <row r="1720" spans="1:9" ht="15.75" customHeight="1" x14ac:dyDescent="0.2">
      <c r="A1720" s="437"/>
      <c r="B1720" s="437"/>
      <c r="C1720" s="436"/>
      <c r="D1720" s="467">
        <v>47209</v>
      </c>
      <c r="E1720" s="436" t="s">
        <v>599</v>
      </c>
      <c r="F1720" s="436">
        <v>62500000</v>
      </c>
      <c r="G1720" s="448">
        <v>0</v>
      </c>
      <c r="H1720" s="436">
        <v>0</v>
      </c>
      <c r="I1720" s="449">
        <v>0</v>
      </c>
    </row>
    <row r="1721" spans="1:9" ht="15.75" customHeight="1" x14ac:dyDescent="0.2">
      <c r="A1721" s="437"/>
      <c r="B1721" s="437"/>
      <c r="C1721" s="436"/>
      <c r="D1721" s="467">
        <v>47210</v>
      </c>
      <c r="E1721" s="436" t="s">
        <v>598</v>
      </c>
      <c r="F1721" s="436">
        <v>62500000</v>
      </c>
      <c r="G1721" s="448">
        <v>0</v>
      </c>
      <c r="H1721" s="436">
        <v>0</v>
      </c>
      <c r="I1721" s="449">
        <v>0</v>
      </c>
    </row>
    <row r="1722" spans="1:9" ht="15.75" customHeight="1" x14ac:dyDescent="0.2">
      <c r="A1722" s="437"/>
      <c r="B1722" s="437"/>
      <c r="C1722" s="436"/>
      <c r="D1722" s="467">
        <v>47211</v>
      </c>
      <c r="E1722" s="436" t="s">
        <v>597</v>
      </c>
      <c r="F1722" s="436">
        <v>62500000</v>
      </c>
      <c r="G1722" s="448">
        <v>0</v>
      </c>
      <c r="H1722" s="436">
        <v>0</v>
      </c>
      <c r="I1722" s="449">
        <v>0</v>
      </c>
    </row>
    <row r="1723" spans="1:9" ht="15.75" customHeight="1" x14ac:dyDescent="0.2">
      <c r="A1723" s="437"/>
      <c r="B1723" s="437"/>
      <c r="C1723" s="436"/>
      <c r="D1723" s="467">
        <v>47212</v>
      </c>
      <c r="E1723" s="436" t="s">
        <v>603</v>
      </c>
      <c r="F1723" s="436">
        <v>62500000</v>
      </c>
      <c r="G1723" s="448">
        <v>0</v>
      </c>
      <c r="H1723" s="436">
        <v>0</v>
      </c>
      <c r="I1723" s="449">
        <v>0</v>
      </c>
    </row>
    <row r="1724" spans="1:9" ht="15.75" customHeight="1" x14ac:dyDescent="0.2">
      <c r="A1724" s="437"/>
      <c r="B1724" s="437"/>
      <c r="C1724" s="436"/>
      <c r="D1724" s="467">
        <v>47213</v>
      </c>
      <c r="E1724" s="436" t="s">
        <v>602</v>
      </c>
      <c r="F1724" s="436">
        <v>62500000</v>
      </c>
      <c r="G1724" s="448">
        <v>0</v>
      </c>
      <c r="H1724" s="436">
        <v>0</v>
      </c>
      <c r="I1724" s="449">
        <v>0</v>
      </c>
    </row>
    <row r="1725" spans="1:9" ht="15.75" customHeight="1" x14ac:dyDescent="0.2">
      <c r="A1725" s="437"/>
      <c r="B1725" s="437"/>
      <c r="C1725" s="436"/>
      <c r="D1725" s="467">
        <v>47214</v>
      </c>
      <c r="E1725" s="436" t="s">
        <v>601</v>
      </c>
      <c r="F1725" s="436">
        <v>62500000</v>
      </c>
      <c r="G1725" s="448">
        <v>0</v>
      </c>
      <c r="H1725" s="436">
        <v>0</v>
      </c>
      <c r="I1725" s="449">
        <v>0</v>
      </c>
    </row>
    <row r="1726" spans="1:9" ht="15.75" customHeight="1" x14ac:dyDescent="0.2">
      <c r="A1726" s="437"/>
      <c r="B1726" s="437"/>
      <c r="C1726" s="436"/>
      <c r="D1726" s="467">
        <v>47215</v>
      </c>
      <c r="E1726" s="436" t="s">
        <v>600</v>
      </c>
      <c r="F1726" s="436">
        <v>62500000</v>
      </c>
      <c r="G1726" s="448">
        <v>0</v>
      </c>
      <c r="H1726" s="436">
        <v>0</v>
      </c>
      <c r="I1726" s="449">
        <v>0</v>
      </c>
    </row>
    <row r="1727" spans="1:9" ht="15.75" customHeight="1" x14ac:dyDescent="0.2">
      <c r="A1727" s="437"/>
      <c r="B1727" s="437"/>
      <c r="C1727" s="436"/>
      <c r="D1727" s="467">
        <v>47216</v>
      </c>
      <c r="E1727" s="436" t="s">
        <v>599</v>
      </c>
      <c r="F1727" s="436">
        <v>62500000</v>
      </c>
      <c r="G1727" s="448">
        <v>0</v>
      </c>
      <c r="H1727" s="436">
        <v>0</v>
      </c>
      <c r="I1727" s="449">
        <v>0</v>
      </c>
    </row>
    <row r="1728" spans="1:9" ht="15.75" customHeight="1" x14ac:dyDescent="0.2">
      <c r="A1728" s="437"/>
      <c r="B1728" s="437"/>
      <c r="C1728" s="436"/>
      <c r="D1728" s="467">
        <v>47217</v>
      </c>
      <c r="E1728" s="436" t="s">
        <v>598</v>
      </c>
      <c r="F1728" s="436">
        <v>62500000</v>
      </c>
      <c r="G1728" s="448">
        <v>0</v>
      </c>
      <c r="H1728" s="436">
        <v>0</v>
      </c>
      <c r="I1728" s="449">
        <v>0</v>
      </c>
    </row>
    <row r="1729" spans="1:9" ht="15.75" customHeight="1" x14ac:dyDescent="0.2">
      <c r="A1729" s="437"/>
      <c r="B1729" s="437"/>
      <c r="C1729" s="436"/>
      <c r="D1729" s="467">
        <v>47218</v>
      </c>
      <c r="E1729" s="436" t="s">
        <v>597</v>
      </c>
      <c r="F1729" s="436">
        <v>62500000</v>
      </c>
      <c r="G1729" s="448">
        <v>0</v>
      </c>
      <c r="H1729" s="436">
        <v>0</v>
      </c>
      <c r="I1729" s="449">
        <v>0</v>
      </c>
    </row>
    <row r="1730" spans="1:9" ht="15.75" customHeight="1" x14ac:dyDescent="0.2">
      <c r="A1730" s="437"/>
      <c r="B1730" s="437"/>
      <c r="C1730" s="436"/>
      <c r="D1730" s="467">
        <v>47219</v>
      </c>
      <c r="E1730" s="436" t="s">
        <v>603</v>
      </c>
      <c r="F1730" s="436">
        <v>62500000</v>
      </c>
      <c r="G1730" s="448">
        <v>0</v>
      </c>
      <c r="H1730" s="436">
        <v>0</v>
      </c>
      <c r="I1730" s="449">
        <v>0</v>
      </c>
    </row>
    <row r="1731" spans="1:9" ht="15.75" customHeight="1" x14ac:dyDescent="0.2">
      <c r="A1731" s="437"/>
      <c r="B1731" s="437"/>
      <c r="C1731" s="436"/>
      <c r="D1731" s="467">
        <v>47220</v>
      </c>
      <c r="E1731" s="436" t="s">
        <v>602</v>
      </c>
      <c r="F1731" s="436">
        <v>62500000</v>
      </c>
      <c r="G1731" s="448">
        <v>0</v>
      </c>
      <c r="H1731" s="436">
        <v>0</v>
      </c>
      <c r="I1731" s="449">
        <v>0</v>
      </c>
    </row>
    <row r="1732" spans="1:9" ht="15.75" customHeight="1" x14ac:dyDescent="0.2">
      <c r="A1732" s="437"/>
      <c r="B1732" s="437"/>
      <c r="C1732" s="436"/>
      <c r="D1732" s="467">
        <v>47221</v>
      </c>
      <c r="E1732" s="436" t="s">
        <v>601</v>
      </c>
      <c r="F1732" s="436">
        <v>62500000</v>
      </c>
      <c r="G1732" s="448">
        <v>0</v>
      </c>
      <c r="H1732" s="436">
        <v>0</v>
      </c>
      <c r="I1732" s="449">
        <v>0</v>
      </c>
    </row>
    <row r="1733" spans="1:9" ht="15.75" customHeight="1" x14ac:dyDescent="0.2">
      <c r="A1733" s="437"/>
      <c r="B1733" s="437"/>
      <c r="C1733" s="436"/>
      <c r="D1733" s="467">
        <v>47222</v>
      </c>
      <c r="E1733" s="436" t="s">
        <v>600</v>
      </c>
      <c r="F1733" s="436">
        <v>62500000</v>
      </c>
      <c r="G1733" s="448">
        <v>0</v>
      </c>
      <c r="H1733" s="436">
        <v>0</v>
      </c>
      <c r="I1733" s="449">
        <v>0</v>
      </c>
    </row>
    <row r="1734" spans="1:9" ht="15.75" customHeight="1" x14ac:dyDescent="0.2">
      <c r="A1734" s="437"/>
      <c r="B1734" s="437"/>
      <c r="C1734" s="436"/>
      <c r="D1734" s="467">
        <v>47223</v>
      </c>
      <c r="E1734" s="436" t="s">
        <v>599</v>
      </c>
      <c r="F1734" s="436">
        <v>62500000</v>
      </c>
      <c r="G1734" s="448">
        <v>0</v>
      </c>
      <c r="H1734" s="436">
        <v>0</v>
      </c>
      <c r="I1734" s="449">
        <v>0</v>
      </c>
    </row>
    <row r="1735" spans="1:9" ht="15.75" customHeight="1" x14ac:dyDescent="0.2">
      <c r="A1735" s="437"/>
      <c r="B1735" s="437"/>
      <c r="C1735" s="436"/>
      <c r="D1735" s="467">
        <v>47224</v>
      </c>
      <c r="E1735" s="436" t="s">
        <v>598</v>
      </c>
      <c r="F1735" s="436">
        <v>62500000</v>
      </c>
      <c r="G1735" s="448">
        <v>0</v>
      </c>
      <c r="H1735" s="436">
        <v>0</v>
      </c>
      <c r="I1735" s="449">
        <v>0</v>
      </c>
    </row>
    <row r="1736" spans="1:9" ht="15.75" customHeight="1" x14ac:dyDescent="0.2">
      <c r="A1736" s="437"/>
      <c r="B1736" s="437"/>
      <c r="C1736" s="436"/>
      <c r="D1736" s="467">
        <v>47225</v>
      </c>
      <c r="E1736" s="436" t="s">
        <v>597</v>
      </c>
      <c r="F1736" s="436">
        <v>62500000</v>
      </c>
      <c r="G1736" s="448">
        <v>0</v>
      </c>
      <c r="H1736" s="436">
        <v>0</v>
      </c>
      <c r="I1736" s="449">
        <v>0</v>
      </c>
    </row>
    <row r="1737" spans="1:9" ht="15.75" customHeight="1" x14ac:dyDescent="0.2">
      <c r="A1737" s="437"/>
      <c r="B1737" s="437"/>
      <c r="C1737" s="436"/>
      <c r="D1737" s="467">
        <v>47226</v>
      </c>
      <c r="E1737" s="436" t="s">
        <v>603</v>
      </c>
      <c r="F1737" s="436">
        <v>62500000</v>
      </c>
      <c r="G1737" s="448">
        <v>0</v>
      </c>
      <c r="H1737" s="436">
        <v>0</v>
      </c>
      <c r="I1737" s="449">
        <v>0</v>
      </c>
    </row>
    <row r="1738" spans="1:9" ht="15.75" customHeight="1" x14ac:dyDescent="0.2">
      <c r="A1738" s="437"/>
      <c r="B1738" s="437"/>
      <c r="C1738" s="436"/>
      <c r="D1738" s="467">
        <v>47227</v>
      </c>
      <c r="E1738" s="436" t="s">
        <v>602</v>
      </c>
      <c r="F1738" s="436">
        <v>62500000</v>
      </c>
      <c r="G1738" s="448">
        <v>0</v>
      </c>
      <c r="H1738" s="436">
        <v>0</v>
      </c>
      <c r="I1738" s="449">
        <v>0</v>
      </c>
    </row>
    <row r="1739" spans="1:9" ht="15.75" customHeight="1" x14ac:dyDescent="0.2">
      <c r="A1739" s="437"/>
      <c r="B1739" s="437"/>
      <c r="C1739" s="436"/>
      <c r="D1739" s="467">
        <v>47228</v>
      </c>
      <c r="E1739" s="436" t="s">
        <v>601</v>
      </c>
      <c r="F1739" s="436">
        <v>62500000</v>
      </c>
      <c r="G1739" s="448">
        <v>0</v>
      </c>
      <c r="H1739" s="436">
        <v>0</v>
      </c>
      <c r="I1739" s="449">
        <v>0</v>
      </c>
    </row>
    <row r="1740" spans="1:9" ht="15.75" customHeight="1" x14ac:dyDescent="0.2">
      <c r="A1740" s="437"/>
      <c r="B1740" s="437"/>
      <c r="C1740" s="436"/>
      <c r="D1740" s="467">
        <v>47229</v>
      </c>
      <c r="E1740" s="436" t="s">
        <v>600</v>
      </c>
      <c r="F1740" s="436">
        <v>62500000</v>
      </c>
      <c r="G1740" s="448">
        <v>0</v>
      </c>
      <c r="H1740" s="436">
        <v>0</v>
      </c>
      <c r="I1740" s="449">
        <v>0</v>
      </c>
    </row>
    <row r="1741" spans="1:9" ht="15.75" customHeight="1" x14ac:dyDescent="0.2">
      <c r="A1741" s="437"/>
      <c r="B1741" s="437"/>
      <c r="C1741" s="436"/>
      <c r="D1741" s="467">
        <v>47230</v>
      </c>
      <c r="E1741" s="436" t="s">
        <v>599</v>
      </c>
      <c r="F1741" s="436">
        <v>62500000</v>
      </c>
      <c r="G1741" s="448">
        <v>0</v>
      </c>
      <c r="H1741" s="436">
        <v>0</v>
      </c>
      <c r="I1741" s="449">
        <v>0</v>
      </c>
    </row>
    <row r="1742" spans="1:9" ht="15.75" customHeight="1" x14ac:dyDescent="0.2">
      <c r="A1742" s="437"/>
      <c r="B1742" s="437"/>
      <c r="C1742" s="436"/>
      <c r="D1742" s="467">
        <v>47231</v>
      </c>
      <c r="E1742" s="436" t="s">
        <v>598</v>
      </c>
      <c r="F1742" s="436">
        <v>62500000</v>
      </c>
      <c r="G1742" s="448">
        <v>0</v>
      </c>
      <c r="H1742" s="436">
        <v>0</v>
      </c>
      <c r="I1742" s="449">
        <v>0</v>
      </c>
    </row>
    <row r="1743" spans="1:9" ht="15.75" customHeight="1" x14ac:dyDescent="0.2">
      <c r="A1743" s="437"/>
      <c r="B1743" s="437"/>
      <c r="C1743" s="436"/>
      <c r="D1743" s="467">
        <v>47232</v>
      </c>
      <c r="E1743" s="436" t="s">
        <v>597</v>
      </c>
      <c r="F1743" s="436">
        <v>62500000</v>
      </c>
      <c r="G1743" s="448">
        <v>0</v>
      </c>
      <c r="H1743" s="436">
        <v>0</v>
      </c>
      <c r="I1743" s="449">
        <v>0</v>
      </c>
    </row>
    <row r="1744" spans="1:9" ht="15.75" customHeight="1" x14ac:dyDescent="0.2">
      <c r="A1744" s="437"/>
      <c r="B1744" s="437"/>
      <c r="C1744" s="436"/>
      <c r="D1744" s="467">
        <v>47233</v>
      </c>
      <c r="E1744" s="436" t="s">
        <v>603</v>
      </c>
      <c r="F1744" s="436">
        <v>62500000</v>
      </c>
      <c r="G1744" s="448">
        <v>0</v>
      </c>
      <c r="H1744" s="436">
        <v>0</v>
      </c>
      <c r="I1744" s="449">
        <v>0</v>
      </c>
    </row>
    <row r="1745" spans="1:9" ht="15.75" customHeight="1" x14ac:dyDescent="0.2">
      <c r="A1745" s="437"/>
      <c r="B1745" s="437"/>
      <c r="C1745" s="436"/>
      <c r="D1745" s="467">
        <v>47234</v>
      </c>
      <c r="E1745" s="436" t="s">
        <v>602</v>
      </c>
      <c r="F1745" s="436">
        <v>62500000</v>
      </c>
      <c r="G1745" s="448">
        <v>0</v>
      </c>
      <c r="H1745" s="436">
        <v>0</v>
      </c>
      <c r="I1745" s="449">
        <v>0</v>
      </c>
    </row>
    <row r="1746" spans="1:9" ht="15.75" customHeight="1" x14ac:dyDescent="0.2">
      <c r="A1746" s="437"/>
      <c r="B1746" s="437"/>
      <c r="C1746" s="436"/>
      <c r="D1746" s="467">
        <v>47235</v>
      </c>
      <c r="E1746" s="436" t="s">
        <v>601</v>
      </c>
      <c r="F1746" s="436">
        <v>62500000</v>
      </c>
      <c r="G1746" s="448">
        <v>0</v>
      </c>
      <c r="H1746" s="436">
        <v>0</v>
      </c>
      <c r="I1746" s="449">
        <v>0</v>
      </c>
    </row>
    <row r="1747" spans="1:9" ht="15.75" customHeight="1" x14ac:dyDescent="0.2">
      <c r="A1747" s="437"/>
      <c r="B1747" s="437"/>
      <c r="C1747" s="436"/>
      <c r="D1747" s="467">
        <v>47236</v>
      </c>
      <c r="E1747" s="436" t="s">
        <v>600</v>
      </c>
      <c r="F1747" s="436">
        <v>62500000</v>
      </c>
      <c r="G1747" s="448">
        <v>0</v>
      </c>
      <c r="H1747" s="436">
        <v>0</v>
      </c>
      <c r="I1747" s="449">
        <v>0</v>
      </c>
    </row>
    <row r="1748" spans="1:9" ht="15.75" customHeight="1" x14ac:dyDescent="0.2">
      <c r="A1748" s="437"/>
      <c r="B1748" s="437"/>
      <c r="C1748" s="436"/>
      <c r="D1748" s="467">
        <v>47237</v>
      </c>
      <c r="E1748" s="436" t="s">
        <v>599</v>
      </c>
      <c r="F1748" s="436">
        <v>62500000</v>
      </c>
      <c r="G1748" s="448">
        <v>0</v>
      </c>
      <c r="H1748" s="436">
        <v>0</v>
      </c>
      <c r="I1748" s="449">
        <v>0</v>
      </c>
    </row>
    <row r="1749" spans="1:9" ht="15.75" customHeight="1" x14ac:dyDescent="0.2">
      <c r="A1749" s="437"/>
      <c r="B1749" s="437"/>
      <c r="C1749" s="436"/>
      <c r="D1749" s="467">
        <v>47238</v>
      </c>
      <c r="E1749" s="436" t="s">
        <v>598</v>
      </c>
      <c r="F1749" s="436">
        <v>62500000</v>
      </c>
      <c r="G1749" s="448">
        <v>0</v>
      </c>
      <c r="H1749" s="436">
        <v>0</v>
      </c>
      <c r="I1749" s="449">
        <v>0</v>
      </c>
    </row>
    <row r="1750" spans="1:9" ht="15.75" customHeight="1" x14ac:dyDescent="0.2">
      <c r="A1750" s="437"/>
      <c r="B1750" s="437"/>
      <c r="C1750" s="436"/>
      <c r="D1750" s="467">
        <v>47239</v>
      </c>
      <c r="E1750" s="436" t="s">
        <v>597</v>
      </c>
      <c r="F1750" s="436">
        <v>62500000</v>
      </c>
      <c r="G1750" s="448">
        <v>0</v>
      </c>
      <c r="H1750" s="436">
        <v>0</v>
      </c>
      <c r="I1750" s="449">
        <v>0</v>
      </c>
    </row>
    <row r="1751" spans="1:9" ht="15.75" customHeight="1" x14ac:dyDescent="0.2">
      <c r="A1751" s="437"/>
      <c r="B1751" s="437"/>
      <c r="C1751" s="436"/>
      <c r="D1751" s="467">
        <v>47240</v>
      </c>
      <c r="E1751" s="436" t="s">
        <v>603</v>
      </c>
      <c r="F1751" s="436">
        <v>62500000</v>
      </c>
      <c r="G1751" s="448">
        <v>0</v>
      </c>
      <c r="H1751" s="436">
        <v>0</v>
      </c>
      <c r="I1751" s="449">
        <v>0</v>
      </c>
    </row>
    <row r="1752" spans="1:9" ht="15.75" customHeight="1" x14ac:dyDescent="0.2">
      <c r="A1752" s="437"/>
      <c r="B1752" s="437"/>
      <c r="C1752" s="436"/>
      <c r="D1752" s="467">
        <v>47241</v>
      </c>
      <c r="E1752" s="436" t="s">
        <v>602</v>
      </c>
      <c r="F1752" s="436">
        <v>62500000</v>
      </c>
      <c r="G1752" s="448">
        <v>0</v>
      </c>
      <c r="H1752" s="436">
        <v>0</v>
      </c>
      <c r="I1752" s="449">
        <v>0</v>
      </c>
    </row>
    <row r="1753" spans="1:9" ht="15.75" customHeight="1" x14ac:dyDescent="0.2">
      <c r="A1753" s="437"/>
      <c r="B1753" s="437"/>
      <c r="C1753" s="436"/>
      <c r="D1753" s="467">
        <v>47242</v>
      </c>
      <c r="E1753" s="436" t="s">
        <v>601</v>
      </c>
      <c r="F1753" s="436">
        <v>62500000</v>
      </c>
      <c r="G1753" s="448">
        <v>0</v>
      </c>
      <c r="H1753" s="436">
        <v>0</v>
      </c>
      <c r="I1753" s="449">
        <v>0</v>
      </c>
    </row>
    <row r="1754" spans="1:9" ht="15.75" customHeight="1" x14ac:dyDescent="0.2">
      <c r="A1754" s="437"/>
      <c r="B1754" s="437"/>
      <c r="C1754" s="436"/>
      <c r="D1754" s="467">
        <v>47243</v>
      </c>
      <c r="E1754" s="436" t="s">
        <v>600</v>
      </c>
      <c r="F1754" s="436">
        <v>62500000</v>
      </c>
      <c r="G1754" s="448">
        <v>0</v>
      </c>
      <c r="H1754" s="436">
        <v>0</v>
      </c>
      <c r="I1754" s="449">
        <v>0</v>
      </c>
    </row>
    <row r="1755" spans="1:9" ht="15.75" customHeight="1" x14ac:dyDescent="0.2">
      <c r="A1755" s="437"/>
      <c r="B1755" s="437"/>
      <c r="C1755" s="436"/>
      <c r="D1755" s="467">
        <v>47244</v>
      </c>
      <c r="E1755" s="436" t="s">
        <v>599</v>
      </c>
      <c r="F1755" s="436">
        <v>62500000</v>
      </c>
      <c r="G1755" s="448">
        <v>0</v>
      </c>
      <c r="H1755" s="436">
        <v>0</v>
      </c>
      <c r="I1755" s="449">
        <v>0</v>
      </c>
    </row>
    <row r="1756" spans="1:9" ht="15.75" customHeight="1" x14ac:dyDescent="0.2">
      <c r="A1756" s="437"/>
      <c r="B1756" s="437"/>
      <c r="C1756" s="436"/>
      <c r="D1756" s="467">
        <v>47245</v>
      </c>
      <c r="E1756" s="436" t="s">
        <v>598</v>
      </c>
      <c r="F1756" s="436">
        <v>62500000</v>
      </c>
      <c r="G1756" s="448">
        <v>0</v>
      </c>
      <c r="H1756" s="436">
        <v>0</v>
      </c>
      <c r="I1756" s="449">
        <v>0</v>
      </c>
    </row>
    <row r="1757" spans="1:9" ht="15.75" customHeight="1" x14ac:dyDescent="0.2">
      <c r="A1757" s="437"/>
      <c r="B1757" s="437"/>
      <c r="C1757" s="436"/>
      <c r="D1757" s="467">
        <v>47246</v>
      </c>
      <c r="E1757" s="436" t="s">
        <v>597</v>
      </c>
      <c r="F1757" s="436">
        <v>62500000</v>
      </c>
      <c r="G1757" s="448">
        <v>0</v>
      </c>
      <c r="H1757" s="436">
        <v>0</v>
      </c>
      <c r="I1757" s="449">
        <v>0</v>
      </c>
    </row>
    <row r="1758" spans="1:9" ht="15.75" customHeight="1" x14ac:dyDescent="0.2">
      <c r="A1758" s="437"/>
      <c r="B1758" s="437"/>
      <c r="C1758" s="436"/>
      <c r="D1758" s="467">
        <v>47247</v>
      </c>
      <c r="E1758" s="436" t="s">
        <v>603</v>
      </c>
      <c r="F1758" s="436">
        <v>62500000</v>
      </c>
      <c r="G1758" s="448">
        <v>0</v>
      </c>
      <c r="H1758" s="436">
        <v>0</v>
      </c>
      <c r="I1758" s="449">
        <v>0</v>
      </c>
    </row>
    <row r="1759" spans="1:9" ht="15.75" customHeight="1" x14ac:dyDescent="0.2">
      <c r="A1759" s="437"/>
      <c r="B1759" s="437"/>
      <c r="C1759" s="436"/>
      <c r="D1759" s="467">
        <v>47248</v>
      </c>
      <c r="E1759" s="436" t="s">
        <v>602</v>
      </c>
      <c r="F1759" s="436">
        <v>62500000</v>
      </c>
      <c r="G1759" s="448">
        <v>0</v>
      </c>
      <c r="H1759" s="436">
        <v>0</v>
      </c>
      <c r="I1759" s="449">
        <v>0</v>
      </c>
    </row>
    <row r="1760" spans="1:9" ht="15.75" customHeight="1" x14ac:dyDescent="0.2">
      <c r="A1760" s="437"/>
      <c r="B1760" s="437"/>
      <c r="C1760" s="436"/>
      <c r="D1760" s="467">
        <v>47249</v>
      </c>
      <c r="E1760" s="436" t="s">
        <v>601</v>
      </c>
      <c r="F1760" s="436">
        <v>62500000</v>
      </c>
      <c r="G1760" s="448">
        <v>0</v>
      </c>
      <c r="H1760" s="436">
        <v>0</v>
      </c>
      <c r="I1760" s="449">
        <v>0</v>
      </c>
    </row>
    <row r="1761" spans="1:9" ht="15.75" customHeight="1" x14ac:dyDescent="0.2">
      <c r="A1761" s="437"/>
      <c r="B1761" s="437"/>
      <c r="C1761" s="436"/>
      <c r="D1761" s="467">
        <v>47250</v>
      </c>
      <c r="E1761" s="436" t="s">
        <v>600</v>
      </c>
      <c r="F1761" s="436">
        <v>62500000</v>
      </c>
      <c r="G1761" s="448">
        <v>0</v>
      </c>
      <c r="H1761" s="436">
        <v>0</v>
      </c>
      <c r="I1761" s="449">
        <v>0</v>
      </c>
    </row>
    <row r="1762" spans="1:9" ht="15.75" customHeight="1" x14ac:dyDescent="0.2">
      <c r="A1762" s="437"/>
      <c r="B1762" s="437"/>
      <c r="C1762" s="436"/>
      <c r="D1762" s="467">
        <v>47251</v>
      </c>
      <c r="E1762" s="436" t="s">
        <v>599</v>
      </c>
      <c r="F1762" s="436">
        <v>62500000</v>
      </c>
      <c r="G1762" s="448">
        <v>0</v>
      </c>
      <c r="H1762" s="436">
        <v>0</v>
      </c>
      <c r="I1762" s="449">
        <v>0</v>
      </c>
    </row>
    <row r="1763" spans="1:9" ht="15.75" customHeight="1" x14ac:dyDescent="0.2">
      <c r="A1763" s="437"/>
      <c r="B1763" s="437"/>
      <c r="C1763" s="436"/>
      <c r="D1763" s="467">
        <v>47252</v>
      </c>
      <c r="E1763" s="436" t="s">
        <v>598</v>
      </c>
      <c r="F1763" s="436">
        <v>62500000</v>
      </c>
      <c r="G1763" s="448">
        <v>0</v>
      </c>
      <c r="H1763" s="436">
        <v>0</v>
      </c>
      <c r="I1763" s="449">
        <v>0</v>
      </c>
    </row>
    <row r="1764" spans="1:9" ht="15.75" customHeight="1" x14ac:dyDescent="0.2">
      <c r="A1764" s="437"/>
      <c r="B1764" s="437"/>
      <c r="C1764" s="436"/>
      <c r="D1764" s="467">
        <v>47253</v>
      </c>
      <c r="E1764" s="436" t="s">
        <v>597</v>
      </c>
      <c r="F1764" s="436">
        <v>62500000</v>
      </c>
      <c r="G1764" s="448">
        <v>0</v>
      </c>
      <c r="H1764" s="436">
        <v>0</v>
      </c>
      <c r="I1764" s="449">
        <v>0</v>
      </c>
    </row>
    <row r="1765" spans="1:9" ht="15.75" customHeight="1" x14ac:dyDescent="0.2">
      <c r="A1765" s="437"/>
      <c r="B1765" s="437"/>
      <c r="C1765" s="436"/>
      <c r="D1765" s="467">
        <v>47254</v>
      </c>
      <c r="E1765" s="436" t="s">
        <v>603</v>
      </c>
      <c r="F1765" s="436">
        <v>62500000</v>
      </c>
      <c r="G1765" s="448">
        <v>0</v>
      </c>
      <c r="H1765" s="436">
        <v>0</v>
      </c>
      <c r="I1765" s="449">
        <v>0</v>
      </c>
    </row>
    <row r="1766" spans="1:9" ht="15.75" customHeight="1" x14ac:dyDescent="0.2">
      <c r="A1766" s="437"/>
      <c r="B1766" s="437"/>
      <c r="C1766" s="436"/>
      <c r="D1766" s="467">
        <v>47255</v>
      </c>
      <c r="E1766" s="436" t="s">
        <v>602</v>
      </c>
      <c r="F1766" s="436">
        <v>62500000</v>
      </c>
      <c r="G1766" s="448">
        <v>0</v>
      </c>
      <c r="H1766" s="436">
        <v>0</v>
      </c>
      <c r="I1766" s="449">
        <v>0</v>
      </c>
    </row>
    <row r="1767" spans="1:9" ht="15.75" customHeight="1" x14ac:dyDescent="0.2">
      <c r="A1767" s="437"/>
      <c r="B1767" s="437"/>
      <c r="C1767" s="436"/>
      <c r="D1767" s="467">
        <v>47256</v>
      </c>
      <c r="E1767" s="436" t="s">
        <v>601</v>
      </c>
      <c r="F1767" s="436">
        <v>62500000</v>
      </c>
      <c r="G1767" s="448">
        <v>0</v>
      </c>
      <c r="H1767" s="436">
        <v>0</v>
      </c>
      <c r="I1767" s="449">
        <v>0</v>
      </c>
    </row>
    <row r="1768" spans="1:9" ht="15.75" customHeight="1" x14ac:dyDescent="0.2">
      <c r="A1768" s="437"/>
      <c r="B1768" s="437"/>
      <c r="C1768" s="436"/>
      <c r="D1768" s="467">
        <v>47257</v>
      </c>
      <c r="E1768" s="436" t="s">
        <v>600</v>
      </c>
      <c r="F1768" s="436">
        <v>62500000</v>
      </c>
      <c r="G1768" s="448">
        <v>0</v>
      </c>
      <c r="H1768" s="436">
        <v>0</v>
      </c>
      <c r="I1768" s="449">
        <v>0</v>
      </c>
    </row>
    <row r="1769" spans="1:9" ht="15.75" customHeight="1" x14ac:dyDescent="0.2">
      <c r="A1769" s="437"/>
      <c r="B1769" s="437"/>
      <c r="C1769" s="436"/>
      <c r="D1769" s="467">
        <v>47258</v>
      </c>
      <c r="E1769" s="436" t="s">
        <v>599</v>
      </c>
      <c r="F1769" s="436">
        <v>62500000</v>
      </c>
      <c r="G1769" s="448">
        <v>0</v>
      </c>
      <c r="H1769" s="436">
        <v>0</v>
      </c>
      <c r="I1769" s="449">
        <v>0</v>
      </c>
    </row>
    <row r="1770" spans="1:9" ht="15.75" customHeight="1" x14ac:dyDescent="0.2">
      <c r="A1770" s="437"/>
      <c r="B1770" s="437"/>
      <c r="C1770" s="436"/>
      <c r="D1770" s="467">
        <v>47259</v>
      </c>
      <c r="E1770" s="436" t="s">
        <v>598</v>
      </c>
      <c r="F1770" s="436">
        <v>62500000</v>
      </c>
      <c r="G1770" s="448">
        <v>0</v>
      </c>
      <c r="H1770" s="436">
        <v>0</v>
      </c>
      <c r="I1770" s="449">
        <v>0</v>
      </c>
    </row>
    <row r="1771" spans="1:9" ht="15.75" customHeight="1" x14ac:dyDescent="0.2">
      <c r="A1771" s="437"/>
      <c r="B1771" s="437"/>
      <c r="C1771" s="436"/>
      <c r="D1771" s="467">
        <v>47260</v>
      </c>
      <c r="E1771" s="436" t="s">
        <v>597</v>
      </c>
      <c r="F1771" s="436">
        <v>62500000</v>
      </c>
      <c r="G1771" s="448">
        <v>0</v>
      </c>
      <c r="H1771" s="436">
        <v>0</v>
      </c>
      <c r="I1771" s="449">
        <v>0</v>
      </c>
    </row>
    <row r="1772" spans="1:9" ht="15.75" customHeight="1" x14ac:dyDescent="0.2">
      <c r="A1772" s="437"/>
      <c r="B1772" s="437"/>
      <c r="C1772" s="436"/>
      <c r="D1772" s="467">
        <v>47261</v>
      </c>
      <c r="E1772" s="436" t="s">
        <v>603</v>
      </c>
      <c r="F1772" s="436">
        <v>62500000</v>
      </c>
      <c r="G1772" s="448">
        <v>0</v>
      </c>
      <c r="H1772" s="436">
        <v>0</v>
      </c>
      <c r="I1772" s="449">
        <v>0</v>
      </c>
    </row>
    <row r="1773" spans="1:9" ht="15.75" customHeight="1" x14ac:dyDescent="0.2">
      <c r="A1773" s="437"/>
      <c r="B1773" s="437"/>
      <c r="C1773" s="436"/>
      <c r="D1773" s="467">
        <v>47262</v>
      </c>
      <c r="E1773" s="436" t="s">
        <v>602</v>
      </c>
      <c r="F1773" s="436">
        <v>62500000</v>
      </c>
      <c r="G1773" s="448">
        <v>0</v>
      </c>
      <c r="H1773" s="436">
        <v>0</v>
      </c>
      <c r="I1773" s="449">
        <v>0</v>
      </c>
    </row>
    <row r="1774" spans="1:9" ht="15.75" customHeight="1" x14ac:dyDescent="0.2">
      <c r="A1774" s="437"/>
      <c r="B1774" s="437"/>
      <c r="C1774" s="436"/>
      <c r="D1774" s="467">
        <v>47263</v>
      </c>
      <c r="E1774" s="436" t="s">
        <v>601</v>
      </c>
      <c r="F1774" s="436">
        <v>62500000</v>
      </c>
      <c r="G1774" s="448">
        <v>0</v>
      </c>
      <c r="H1774" s="436">
        <v>0</v>
      </c>
      <c r="I1774" s="449">
        <v>0</v>
      </c>
    </row>
    <row r="1775" spans="1:9" ht="15.75" customHeight="1" x14ac:dyDescent="0.2">
      <c r="A1775" s="437"/>
      <c r="B1775" s="437"/>
      <c r="C1775" s="436"/>
      <c r="D1775" s="467">
        <v>47264</v>
      </c>
      <c r="E1775" s="436" t="s">
        <v>600</v>
      </c>
      <c r="F1775" s="436">
        <v>62500000</v>
      </c>
      <c r="G1775" s="448">
        <v>0</v>
      </c>
      <c r="H1775" s="436">
        <v>0</v>
      </c>
      <c r="I1775" s="449">
        <v>0</v>
      </c>
    </row>
    <row r="1776" spans="1:9" ht="15.75" customHeight="1" x14ac:dyDescent="0.2">
      <c r="A1776" s="437"/>
      <c r="B1776" s="437"/>
      <c r="C1776" s="436"/>
      <c r="D1776" s="467">
        <v>47265</v>
      </c>
      <c r="E1776" s="436" t="s">
        <v>599</v>
      </c>
      <c r="F1776" s="436">
        <v>62500000</v>
      </c>
      <c r="G1776" s="448">
        <v>0</v>
      </c>
      <c r="H1776" s="436">
        <v>0</v>
      </c>
      <c r="I1776" s="449">
        <v>0</v>
      </c>
    </row>
    <row r="1777" spans="1:9" ht="15.75" customHeight="1" x14ac:dyDescent="0.2">
      <c r="A1777" s="437"/>
      <c r="B1777" s="437"/>
      <c r="C1777" s="436"/>
      <c r="D1777" s="467">
        <v>47266</v>
      </c>
      <c r="E1777" s="436" t="s">
        <v>598</v>
      </c>
      <c r="F1777" s="436">
        <v>62500000</v>
      </c>
      <c r="G1777" s="448">
        <v>0</v>
      </c>
      <c r="H1777" s="436">
        <v>0</v>
      </c>
      <c r="I1777" s="449">
        <v>0</v>
      </c>
    </row>
    <row r="1778" spans="1:9" ht="15.75" customHeight="1" x14ac:dyDescent="0.2">
      <c r="A1778" s="437"/>
      <c r="B1778" s="437"/>
      <c r="C1778" s="436"/>
      <c r="D1778" s="467">
        <v>47267</v>
      </c>
      <c r="E1778" s="436" t="s">
        <v>597</v>
      </c>
      <c r="F1778" s="436">
        <v>62500000</v>
      </c>
      <c r="G1778" s="448">
        <v>0</v>
      </c>
      <c r="H1778" s="436">
        <v>0</v>
      </c>
      <c r="I1778" s="449">
        <v>0</v>
      </c>
    </row>
    <row r="1779" spans="1:9" ht="15.75" customHeight="1" x14ac:dyDescent="0.2">
      <c r="A1779" s="437"/>
      <c r="B1779" s="437"/>
      <c r="C1779" s="436"/>
      <c r="D1779" s="467">
        <v>47268</v>
      </c>
      <c r="E1779" s="436" t="s">
        <v>603</v>
      </c>
      <c r="F1779" s="436">
        <v>62500000</v>
      </c>
      <c r="G1779" s="448">
        <v>0</v>
      </c>
      <c r="H1779" s="436">
        <v>0</v>
      </c>
      <c r="I1779" s="449">
        <v>0</v>
      </c>
    </row>
    <row r="1780" spans="1:9" ht="15.75" customHeight="1" x14ac:dyDescent="0.2">
      <c r="A1780" s="437"/>
      <c r="B1780" s="437"/>
      <c r="C1780" s="436"/>
      <c r="D1780" s="467">
        <v>47269</v>
      </c>
      <c r="E1780" s="436" t="s">
        <v>602</v>
      </c>
      <c r="F1780" s="436">
        <v>62500000</v>
      </c>
      <c r="G1780" s="448">
        <v>0</v>
      </c>
      <c r="H1780" s="436">
        <v>0</v>
      </c>
      <c r="I1780" s="449">
        <v>0</v>
      </c>
    </row>
    <row r="1781" spans="1:9" ht="15.75" customHeight="1" x14ac:dyDescent="0.2">
      <c r="A1781" s="437"/>
      <c r="B1781" s="437"/>
      <c r="C1781" s="436"/>
      <c r="D1781" s="467">
        <v>47270</v>
      </c>
      <c r="E1781" s="436" t="s">
        <v>601</v>
      </c>
      <c r="F1781" s="436">
        <v>62500000</v>
      </c>
      <c r="G1781" s="448">
        <v>0</v>
      </c>
      <c r="H1781" s="436">
        <v>0</v>
      </c>
      <c r="I1781" s="449">
        <v>0</v>
      </c>
    </row>
    <row r="1782" spans="1:9" ht="15.75" customHeight="1" x14ac:dyDescent="0.2">
      <c r="A1782" s="437"/>
      <c r="B1782" s="437"/>
      <c r="C1782" s="436"/>
      <c r="D1782" s="467">
        <v>47271</v>
      </c>
      <c r="E1782" s="436" t="s">
        <v>600</v>
      </c>
      <c r="F1782" s="436">
        <v>62500000</v>
      </c>
      <c r="G1782" s="448">
        <v>0</v>
      </c>
      <c r="H1782" s="436">
        <v>0</v>
      </c>
      <c r="I1782" s="449">
        <v>0</v>
      </c>
    </row>
    <row r="1783" spans="1:9" ht="15.75" customHeight="1" x14ac:dyDescent="0.2">
      <c r="A1783" s="437"/>
      <c r="B1783" s="437"/>
      <c r="C1783" s="436"/>
      <c r="D1783" s="467">
        <v>47272</v>
      </c>
      <c r="E1783" s="436" t="s">
        <v>599</v>
      </c>
      <c r="F1783" s="436">
        <v>62500000</v>
      </c>
      <c r="G1783" s="448">
        <v>0</v>
      </c>
      <c r="H1783" s="436">
        <v>0</v>
      </c>
      <c r="I1783" s="449">
        <v>0</v>
      </c>
    </row>
    <row r="1784" spans="1:9" ht="15.75" customHeight="1" x14ac:dyDescent="0.2">
      <c r="A1784" s="437"/>
      <c r="B1784" s="437"/>
      <c r="C1784" s="436"/>
      <c r="D1784" s="467">
        <v>47273</v>
      </c>
      <c r="E1784" s="436" t="s">
        <v>598</v>
      </c>
      <c r="F1784" s="436">
        <v>62500000</v>
      </c>
      <c r="G1784" s="448">
        <v>0</v>
      </c>
      <c r="H1784" s="436">
        <v>0</v>
      </c>
      <c r="I1784" s="449">
        <v>0</v>
      </c>
    </row>
    <row r="1785" spans="1:9" ht="15.75" customHeight="1" x14ac:dyDescent="0.2">
      <c r="A1785" s="437"/>
      <c r="B1785" s="437"/>
      <c r="C1785" s="436"/>
      <c r="D1785" s="467">
        <v>47274</v>
      </c>
      <c r="E1785" s="436" t="s">
        <v>597</v>
      </c>
      <c r="F1785" s="436">
        <v>62500000</v>
      </c>
      <c r="G1785" s="448">
        <v>0</v>
      </c>
      <c r="H1785" s="436">
        <v>0</v>
      </c>
      <c r="I1785" s="449">
        <v>0</v>
      </c>
    </row>
    <row r="1786" spans="1:9" ht="15.75" customHeight="1" x14ac:dyDescent="0.2">
      <c r="A1786" s="437"/>
      <c r="B1786" s="437"/>
      <c r="C1786" s="436"/>
      <c r="D1786" s="467">
        <v>47275</v>
      </c>
      <c r="E1786" s="436" t="s">
        <v>603</v>
      </c>
      <c r="F1786" s="436">
        <v>62500000</v>
      </c>
      <c r="G1786" s="448">
        <v>0</v>
      </c>
      <c r="H1786" s="436">
        <v>0</v>
      </c>
      <c r="I1786" s="449">
        <v>0</v>
      </c>
    </row>
    <row r="1787" spans="1:9" ht="15.75" customHeight="1" x14ac:dyDescent="0.2">
      <c r="A1787" s="437"/>
      <c r="B1787" s="437"/>
      <c r="C1787" s="436"/>
      <c r="D1787" s="467">
        <v>47276</v>
      </c>
      <c r="E1787" s="436" t="s">
        <v>602</v>
      </c>
      <c r="F1787" s="436">
        <v>62500000</v>
      </c>
      <c r="G1787" s="448">
        <v>0</v>
      </c>
      <c r="H1787" s="436">
        <v>0</v>
      </c>
      <c r="I1787" s="449">
        <v>0</v>
      </c>
    </row>
    <row r="1788" spans="1:9" ht="15.75" customHeight="1" x14ac:dyDescent="0.2">
      <c r="A1788" s="437"/>
      <c r="B1788" s="437"/>
      <c r="C1788" s="436"/>
      <c r="D1788" s="467">
        <v>47277</v>
      </c>
      <c r="E1788" s="436" t="s">
        <v>601</v>
      </c>
      <c r="F1788" s="436">
        <v>62500000</v>
      </c>
      <c r="G1788" s="448">
        <v>0</v>
      </c>
      <c r="H1788" s="436">
        <v>0</v>
      </c>
      <c r="I1788" s="449">
        <v>0</v>
      </c>
    </row>
    <row r="1789" spans="1:9" ht="15.75" customHeight="1" x14ac:dyDescent="0.2">
      <c r="A1789" s="437"/>
      <c r="B1789" s="437"/>
      <c r="C1789" s="436"/>
      <c r="D1789" s="467">
        <v>47278</v>
      </c>
      <c r="E1789" s="436" t="s">
        <v>600</v>
      </c>
      <c r="F1789" s="436">
        <v>62500000</v>
      </c>
      <c r="G1789" s="448">
        <v>0</v>
      </c>
      <c r="H1789" s="436">
        <v>0</v>
      </c>
      <c r="I1789" s="449">
        <v>0</v>
      </c>
    </row>
    <row r="1790" spans="1:9" ht="15.75" customHeight="1" x14ac:dyDescent="0.2">
      <c r="A1790" s="437"/>
      <c r="B1790" s="437"/>
      <c r="C1790" s="436"/>
      <c r="D1790" s="467">
        <v>47279</v>
      </c>
      <c r="E1790" s="436" t="s">
        <v>599</v>
      </c>
      <c r="F1790" s="436">
        <v>62500000</v>
      </c>
      <c r="G1790" s="448">
        <v>0</v>
      </c>
      <c r="H1790" s="436">
        <v>0</v>
      </c>
      <c r="I1790" s="449">
        <v>0</v>
      </c>
    </row>
    <row r="1791" spans="1:9" ht="15.75" customHeight="1" x14ac:dyDescent="0.2">
      <c r="A1791" s="437"/>
      <c r="B1791" s="437"/>
      <c r="C1791" s="436"/>
      <c r="D1791" s="467">
        <v>47280</v>
      </c>
      <c r="E1791" s="436" t="s">
        <v>598</v>
      </c>
      <c r="F1791" s="436">
        <v>62500000</v>
      </c>
      <c r="G1791" s="448">
        <v>0</v>
      </c>
      <c r="H1791" s="436">
        <v>0</v>
      </c>
      <c r="I1791" s="449">
        <v>0</v>
      </c>
    </row>
    <row r="1792" spans="1:9" ht="15.75" customHeight="1" x14ac:dyDescent="0.2">
      <c r="A1792" s="437"/>
      <c r="B1792" s="437"/>
      <c r="C1792" s="436"/>
      <c r="D1792" s="467">
        <v>47281</v>
      </c>
      <c r="E1792" s="436" t="s">
        <v>597</v>
      </c>
      <c r="F1792" s="436">
        <v>62500000</v>
      </c>
      <c r="G1792" s="448">
        <v>0</v>
      </c>
      <c r="H1792" s="436">
        <v>0</v>
      </c>
      <c r="I1792" s="449">
        <v>0</v>
      </c>
    </row>
    <row r="1793" spans="1:9" ht="15.75" customHeight="1" x14ac:dyDescent="0.2">
      <c r="A1793" s="437"/>
      <c r="B1793" s="437"/>
      <c r="C1793" s="436"/>
      <c r="D1793" s="467">
        <v>47282</v>
      </c>
      <c r="E1793" s="436" t="s">
        <v>603</v>
      </c>
      <c r="F1793" s="436">
        <v>62500000</v>
      </c>
      <c r="G1793" s="448">
        <v>0</v>
      </c>
      <c r="H1793" s="436">
        <v>0</v>
      </c>
      <c r="I1793" s="449">
        <v>0</v>
      </c>
    </row>
    <row r="1794" spans="1:9" ht="15.75" customHeight="1" x14ac:dyDescent="0.2">
      <c r="A1794" s="437"/>
      <c r="B1794" s="437"/>
      <c r="C1794" s="436"/>
      <c r="D1794" s="467">
        <v>47283</v>
      </c>
      <c r="E1794" s="436" t="s">
        <v>602</v>
      </c>
      <c r="F1794" s="436">
        <v>62500000</v>
      </c>
      <c r="G1794" s="448">
        <v>0</v>
      </c>
      <c r="H1794" s="436">
        <v>0</v>
      </c>
      <c r="I1794" s="449">
        <v>0</v>
      </c>
    </row>
    <row r="1795" spans="1:9" ht="15.75" customHeight="1" x14ac:dyDescent="0.2">
      <c r="A1795" s="437"/>
      <c r="B1795" s="437"/>
      <c r="C1795" s="436"/>
      <c r="D1795" s="467">
        <v>47284</v>
      </c>
      <c r="E1795" s="436" t="s">
        <v>601</v>
      </c>
      <c r="F1795" s="436">
        <v>62500000</v>
      </c>
      <c r="G1795" s="448">
        <v>0</v>
      </c>
      <c r="H1795" s="436">
        <v>0</v>
      </c>
      <c r="I1795" s="449">
        <v>0</v>
      </c>
    </row>
    <row r="1796" spans="1:9" ht="15.75" customHeight="1" x14ac:dyDescent="0.2">
      <c r="A1796" s="437"/>
      <c r="B1796" s="437"/>
      <c r="C1796" s="436"/>
      <c r="D1796" s="467">
        <v>47285</v>
      </c>
      <c r="E1796" s="436" t="s">
        <v>600</v>
      </c>
      <c r="F1796" s="436">
        <v>62500000</v>
      </c>
      <c r="G1796" s="448">
        <v>0</v>
      </c>
      <c r="H1796" s="436">
        <v>0</v>
      </c>
      <c r="I1796" s="449">
        <v>0</v>
      </c>
    </row>
    <row r="1797" spans="1:9" ht="15.75" customHeight="1" x14ac:dyDescent="0.2">
      <c r="A1797" s="437"/>
      <c r="B1797" s="437"/>
      <c r="C1797" s="436"/>
      <c r="D1797" s="467">
        <v>47286</v>
      </c>
      <c r="E1797" s="436" t="s">
        <v>599</v>
      </c>
      <c r="F1797" s="436">
        <v>62500000</v>
      </c>
      <c r="G1797" s="448">
        <v>0</v>
      </c>
      <c r="H1797" s="436">
        <v>0</v>
      </c>
      <c r="I1797" s="449">
        <v>0</v>
      </c>
    </row>
    <row r="1798" spans="1:9" ht="15.75" customHeight="1" x14ac:dyDescent="0.2">
      <c r="A1798" s="437"/>
      <c r="B1798" s="437"/>
      <c r="C1798" s="436"/>
      <c r="D1798" s="467">
        <v>47287</v>
      </c>
      <c r="E1798" s="436" t="s">
        <v>598</v>
      </c>
      <c r="F1798" s="436">
        <v>62500000</v>
      </c>
      <c r="G1798" s="448">
        <v>0</v>
      </c>
      <c r="H1798" s="436">
        <v>0</v>
      </c>
      <c r="I1798" s="449">
        <v>0</v>
      </c>
    </row>
    <row r="1799" spans="1:9" ht="15.75" customHeight="1" x14ac:dyDescent="0.2">
      <c r="A1799" s="437"/>
      <c r="B1799" s="437"/>
      <c r="C1799" s="436"/>
      <c r="D1799" s="467">
        <v>47288</v>
      </c>
      <c r="E1799" s="436" t="s">
        <v>597</v>
      </c>
      <c r="F1799" s="436">
        <v>62500000</v>
      </c>
      <c r="G1799" s="448">
        <v>0</v>
      </c>
      <c r="H1799" s="436">
        <v>0</v>
      </c>
      <c r="I1799" s="449">
        <v>0</v>
      </c>
    </row>
    <row r="1800" spans="1:9" ht="15.75" customHeight="1" x14ac:dyDescent="0.2">
      <c r="A1800" s="437"/>
      <c r="B1800" s="437"/>
      <c r="C1800" s="436"/>
      <c r="D1800" s="467">
        <v>47289</v>
      </c>
      <c r="E1800" s="436" t="s">
        <v>603</v>
      </c>
      <c r="F1800" s="436">
        <v>62500000</v>
      </c>
      <c r="G1800" s="448">
        <v>0</v>
      </c>
      <c r="H1800" s="436">
        <v>0</v>
      </c>
      <c r="I1800" s="449">
        <v>0</v>
      </c>
    </row>
    <row r="1801" spans="1:9" ht="15.75" customHeight="1" x14ac:dyDescent="0.2">
      <c r="A1801" s="437"/>
      <c r="B1801" s="437"/>
      <c r="C1801" s="436"/>
      <c r="D1801" s="467">
        <v>47290</v>
      </c>
      <c r="E1801" s="436" t="s">
        <v>602</v>
      </c>
      <c r="F1801" s="436">
        <v>62500000</v>
      </c>
      <c r="G1801" s="448">
        <v>0</v>
      </c>
      <c r="H1801" s="436">
        <v>0</v>
      </c>
      <c r="I1801" s="449">
        <v>0</v>
      </c>
    </row>
    <row r="1802" spans="1:9" ht="15.75" customHeight="1" x14ac:dyDescent="0.2">
      <c r="A1802" s="437"/>
      <c r="B1802" s="437"/>
      <c r="C1802" s="436"/>
      <c r="D1802" s="467">
        <v>47291</v>
      </c>
      <c r="E1802" s="436" t="s">
        <v>601</v>
      </c>
      <c r="F1802" s="436">
        <v>62500000</v>
      </c>
      <c r="G1802" s="448">
        <v>0</v>
      </c>
      <c r="H1802" s="436">
        <v>0</v>
      </c>
      <c r="I1802" s="449">
        <v>0</v>
      </c>
    </row>
    <row r="1803" spans="1:9" ht="15.75" customHeight="1" x14ac:dyDescent="0.2">
      <c r="A1803" s="437"/>
      <c r="B1803" s="437"/>
      <c r="C1803" s="436"/>
      <c r="D1803" s="467">
        <v>47292</v>
      </c>
      <c r="E1803" s="436" t="s">
        <v>600</v>
      </c>
      <c r="F1803" s="436">
        <v>62500000</v>
      </c>
      <c r="G1803" s="448">
        <v>0</v>
      </c>
      <c r="H1803" s="436">
        <v>0</v>
      </c>
      <c r="I1803" s="449">
        <v>0</v>
      </c>
    </row>
    <row r="1804" spans="1:9" ht="15.75" customHeight="1" x14ac:dyDescent="0.2">
      <c r="A1804" s="437"/>
      <c r="B1804" s="437"/>
      <c r="C1804" s="436"/>
      <c r="D1804" s="467">
        <v>47293</v>
      </c>
      <c r="E1804" s="436" t="s">
        <v>599</v>
      </c>
      <c r="F1804" s="436">
        <v>62500000</v>
      </c>
      <c r="G1804" s="448">
        <v>0</v>
      </c>
      <c r="H1804" s="436">
        <v>0</v>
      </c>
      <c r="I1804" s="449">
        <v>0</v>
      </c>
    </row>
    <row r="1805" spans="1:9" ht="15.75" customHeight="1" x14ac:dyDescent="0.2">
      <c r="A1805" s="437"/>
      <c r="B1805" s="437"/>
      <c r="C1805" s="436"/>
      <c r="D1805" s="467">
        <v>47294</v>
      </c>
      <c r="E1805" s="436" t="s">
        <v>598</v>
      </c>
      <c r="F1805" s="436">
        <v>62500000</v>
      </c>
      <c r="G1805" s="448">
        <v>0</v>
      </c>
      <c r="H1805" s="436">
        <v>0</v>
      </c>
      <c r="I1805" s="449">
        <v>0</v>
      </c>
    </row>
    <row r="1806" spans="1:9" ht="15.75" customHeight="1" x14ac:dyDescent="0.2">
      <c r="A1806" s="437"/>
      <c r="B1806" s="437"/>
      <c r="C1806" s="436"/>
      <c r="D1806" s="467">
        <v>47295</v>
      </c>
      <c r="E1806" s="436" t="s">
        <v>597</v>
      </c>
      <c r="F1806" s="436">
        <v>62500000</v>
      </c>
      <c r="G1806" s="448">
        <v>0</v>
      </c>
      <c r="H1806" s="436">
        <v>0</v>
      </c>
      <c r="I1806" s="449">
        <v>0</v>
      </c>
    </row>
    <row r="1807" spans="1:9" ht="15.75" customHeight="1" x14ac:dyDescent="0.2">
      <c r="A1807" s="437"/>
      <c r="B1807" s="437"/>
      <c r="C1807" s="436"/>
      <c r="D1807" s="467">
        <v>47296</v>
      </c>
      <c r="E1807" s="436" t="s">
        <v>603</v>
      </c>
      <c r="F1807" s="436">
        <v>62500000</v>
      </c>
      <c r="G1807" s="448">
        <v>0</v>
      </c>
      <c r="H1807" s="436">
        <v>0</v>
      </c>
      <c r="I1807" s="449">
        <v>0</v>
      </c>
    </row>
    <row r="1808" spans="1:9" ht="15.75" customHeight="1" x14ac:dyDescent="0.2">
      <c r="A1808" s="437"/>
      <c r="B1808" s="437"/>
      <c r="C1808" s="436"/>
      <c r="D1808" s="467">
        <v>47297</v>
      </c>
      <c r="E1808" s="436" t="s">
        <v>602</v>
      </c>
      <c r="F1808" s="436">
        <v>62500000</v>
      </c>
      <c r="G1808" s="448">
        <v>0</v>
      </c>
      <c r="H1808" s="436">
        <v>0</v>
      </c>
      <c r="I1808" s="449">
        <v>0</v>
      </c>
    </row>
    <row r="1809" spans="1:9" ht="15.75" customHeight="1" x14ac:dyDescent="0.2">
      <c r="A1809" s="437"/>
      <c r="B1809" s="437"/>
      <c r="C1809" s="436"/>
      <c r="D1809" s="467">
        <v>47298</v>
      </c>
      <c r="E1809" s="436" t="s">
        <v>601</v>
      </c>
      <c r="F1809" s="436">
        <v>62500000</v>
      </c>
      <c r="G1809" s="448">
        <v>0</v>
      </c>
      <c r="H1809" s="436">
        <v>0</v>
      </c>
      <c r="I1809" s="449">
        <v>0</v>
      </c>
    </row>
    <row r="1810" spans="1:9" ht="15.75" customHeight="1" x14ac:dyDescent="0.2">
      <c r="A1810" s="437"/>
      <c r="B1810" s="437"/>
      <c r="C1810" s="436"/>
      <c r="D1810" s="467">
        <v>47299</v>
      </c>
      <c r="E1810" s="436" t="s">
        <v>600</v>
      </c>
      <c r="F1810" s="436">
        <v>62500000</v>
      </c>
      <c r="G1810" s="448">
        <v>0</v>
      </c>
      <c r="H1810" s="436">
        <v>0</v>
      </c>
      <c r="I1810" s="449">
        <v>0</v>
      </c>
    </row>
    <row r="1811" spans="1:9" ht="15.75" customHeight="1" x14ac:dyDescent="0.2">
      <c r="A1811" s="437"/>
      <c r="B1811" s="437"/>
      <c r="C1811" s="436"/>
      <c r="D1811" s="467">
        <v>47300</v>
      </c>
      <c r="E1811" s="436" t="s">
        <v>599</v>
      </c>
      <c r="F1811" s="436">
        <v>62500000</v>
      </c>
      <c r="G1811" s="448">
        <v>0</v>
      </c>
      <c r="H1811" s="436">
        <v>0</v>
      </c>
      <c r="I1811" s="449">
        <v>0</v>
      </c>
    </row>
    <row r="1812" spans="1:9" ht="15.75" customHeight="1" x14ac:dyDescent="0.2">
      <c r="A1812" s="437"/>
      <c r="B1812" s="437"/>
      <c r="C1812" s="436"/>
      <c r="D1812" s="467">
        <v>47301</v>
      </c>
      <c r="E1812" s="436" t="s">
        <v>598</v>
      </c>
      <c r="F1812" s="436">
        <v>62500000</v>
      </c>
      <c r="G1812" s="448">
        <v>0</v>
      </c>
      <c r="H1812" s="436">
        <v>0</v>
      </c>
      <c r="I1812" s="449">
        <v>0</v>
      </c>
    </row>
    <row r="1813" spans="1:9" ht="15.75" customHeight="1" x14ac:dyDescent="0.2">
      <c r="A1813" s="437"/>
      <c r="B1813" s="437"/>
      <c r="C1813" s="436"/>
      <c r="D1813" s="467">
        <v>47302</v>
      </c>
      <c r="E1813" s="436" t="s">
        <v>597</v>
      </c>
      <c r="F1813" s="436">
        <v>62500000</v>
      </c>
      <c r="G1813" s="448">
        <v>0</v>
      </c>
      <c r="H1813" s="436">
        <v>0</v>
      </c>
      <c r="I1813" s="449">
        <v>0</v>
      </c>
    </row>
    <row r="1814" spans="1:9" ht="15.75" customHeight="1" x14ac:dyDescent="0.2">
      <c r="A1814" s="437"/>
      <c r="B1814" s="437"/>
      <c r="C1814" s="436"/>
      <c r="D1814" s="467">
        <v>47303</v>
      </c>
      <c r="E1814" s="436" t="s">
        <v>603</v>
      </c>
      <c r="F1814" s="436">
        <v>62500000</v>
      </c>
      <c r="G1814" s="448">
        <v>0</v>
      </c>
      <c r="H1814" s="436">
        <v>0</v>
      </c>
      <c r="I1814" s="449">
        <v>0</v>
      </c>
    </row>
    <row r="1815" spans="1:9" ht="15.75" customHeight="1" x14ac:dyDescent="0.2">
      <c r="A1815" s="437"/>
      <c r="B1815" s="437"/>
      <c r="C1815" s="436"/>
      <c r="D1815" s="467">
        <v>47304</v>
      </c>
      <c r="E1815" s="436" t="s">
        <v>602</v>
      </c>
      <c r="F1815" s="436">
        <v>62500000</v>
      </c>
      <c r="G1815" s="448">
        <v>0</v>
      </c>
      <c r="H1815" s="436">
        <v>0</v>
      </c>
      <c r="I1815" s="449">
        <v>0</v>
      </c>
    </row>
    <row r="1816" spans="1:9" ht="15.75" customHeight="1" x14ac:dyDescent="0.2">
      <c r="A1816" s="437"/>
      <c r="B1816" s="437"/>
      <c r="C1816" s="436"/>
      <c r="D1816" s="467">
        <v>47305</v>
      </c>
      <c r="E1816" s="436" t="s">
        <v>601</v>
      </c>
      <c r="F1816" s="436">
        <v>62500000</v>
      </c>
      <c r="G1816" s="448">
        <v>0</v>
      </c>
      <c r="H1816" s="436">
        <v>0</v>
      </c>
      <c r="I1816" s="449">
        <v>0</v>
      </c>
    </row>
    <row r="1817" spans="1:9" ht="15.75" customHeight="1" x14ac:dyDescent="0.2">
      <c r="A1817" s="437"/>
      <c r="B1817" s="437"/>
      <c r="C1817" s="436"/>
      <c r="D1817" s="467">
        <v>47306</v>
      </c>
      <c r="E1817" s="436" t="s">
        <v>600</v>
      </c>
      <c r="F1817" s="436">
        <v>62500000</v>
      </c>
      <c r="G1817" s="448">
        <v>0</v>
      </c>
      <c r="H1817" s="436">
        <v>0</v>
      </c>
      <c r="I1817" s="449">
        <v>0</v>
      </c>
    </row>
    <row r="1818" spans="1:9" ht="15.75" customHeight="1" x14ac:dyDescent="0.2">
      <c r="A1818" s="437"/>
      <c r="B1818" s="437"/>
      <c r="C1818" s="436"/>
      <c r="D1818" s="467">
        <v>47307</v>
      </c>
      <c r="E1818" s="436" t="s">
        <v>599</v>
      </c>
      <c r="F1818" s="436">
        <v>62500000</v>
      </c>
      <c r="G1818" s="448">
        <v>0</v>
      </c>
      <c r="H1818" s="436">
        <v>0</v>
      </c>
      <c r="I1818" s="449">
        <v>0</v>
      </c>
    </row>
    <row r="1819" spans="1:9" ht="15.75" customHeight="1" x14ac:dyDescent="0.2">
      <c r="A1819" s="437"/>
      <c r="B1819" s="437"/>
      <c r="C1819" s="436"/>
      <c r="D1819" s="467">
        <v>47308</v>
      </c>
      <c r="E1819" s="436" t="s">
        <v>598</v>
      </c>
      <c r="F1819" s="436">
        <v>62500000</v>
      </c>
      <c r="G1819" s="448">
        <v>0</v>
      </c>
      <c r="H1819" s="436">
        <v>0</v>
      </c>
      <c r="I1819" s="449">
        <v>0</v>
      </c>
    </row>
    <row r="1820" spans="1:9" ht="15.75" customHeight="1" x14ac:dyDescent="0.2">
      <c r="A1820" s="437"/>
      <c r="B1820" s="437"/>
      <c r="C1820" s="436"/>
      <c r="D1820" s="467">
        <v>47309</v>
      </c>
      <c r="E1820" s="436" t="s">
        <v>597</v>
      </c>
      <c r="F1820" s="436">
        <v>62500000</v>
      </c>
      <c r="G1820" s="448">
        <v>0</v>
      </c>
      <c r="H1820" s="436">
        <v>0</v>
      </c>
      <c r="I1820" s="449">
        <v>0</v>
      </c>
    </row>
    <row r="1821" spans="1:9" ht="15.75" customHeight="1" x14ac:dyDescent="0.2">
      <c r="A1821" s="437"/>
      <c r="B1821" s="437"/>
      <c r="C1821" s="436"/>
      <c r="D1821" s="467">
        <v>47310</v>
      </c>
      <c r="E1821" s="436" t="s">
        <v>603</v>
      </c>
      <c r="F1821" s="436">
        <v>62500000</v>
      </c>
      <c r="G1821" s="448">
        <v>0</v>
      </c>
      <c r="H1821" s="436">
        <v>0</v>
      </c>
      <c r="I1821" s="449">
        <v>0</v>
      </c>
    </row>
    <row r="1822" spans="1:9" ht="15.75" customHeight="1" x14ac:dyDescent="0.2">
      <c r="A1822" s="437"/>
      <c r="B1822" s="437"/>
      <c r="C1822" s="436"/>
      <c r="D1822" s="467">
        <v>47311</v>
      </c>
      <c r="E1822" s="436" t="s">
        <v>602</v>
      </c>
      <c r="F1822" s="436">
        <v>62500000</v>
      </c>
      <c r="G1822" s="448">
        <v>0</v>
      </c>
      <c r="H1822" s="436">
        <v>0</v>
      </c>
      <c r="I1822" s="449">
        <v>0</v>
      </c>
    </row>
    <row r="1823" spans="1:9" ht="15.75" customHeight="1" x14ac:dyDescent="0.2">
      <c r="A1823" s="437"/>
      <c r="B1823" s="437"/>
      <c r="C1823" s="436"/>
      <c r="D1823" s="467">
        <v>47312</v>
      </c>
      <c r="E1823" s="436" t="s">
        <v>601</v>
      </c>
      <c r="F1823" s="436">
        <v>62500000</v>
      </c>
      <c r="G1823" s="448">
        <v>0</v>
      </c>
      <c r="H1823" s="436">
        <v>0</v>
      </c>
      <c r="I1823" s="449">
        <v>0</v>
      </c>
    </row>
    <row r="1824" spans="1:9" ht="15.75" customHeight="1" x14ac:dyDescent="0.2">
      <c r="A1824" s="437"/>
      <c r="B1824" s="437"/>
      <c r="C1824" s="436"/>
      <c r="D1824" s="467">
        <v>47313</v>
      </c>
      <c r="E1824" s="436" t="s">
        <v>600</v>
      </c>
      <c r="F1824" s="436">
        <v>62500000</v>
      </c>
      <c r="G1824" s="448">
        <v>0</v>
      </c>
      <c r="H1824" s="436">
        <v>0</v>
      </c>
      <c r="I1824" s="449">
        <v>0</v>
      </c>
    </row>
    <row r="1825" spans="1:9" ht="15.75" customHeight="1" x14ac:dyDescent="0.2">
      <c r="A1825" s="437"/>
      <c r="B1825" s="437"/>
      <c r="C1825" s="436"/>
      <c r="D1825" s="467">
        <v>47314</v>
      </c>
      <c r="E1825" s="436" t="s">
        <v>599</v>
      </c>
      <c r="F1825" s="436">
        <v>62500000</v>
      </c>
      <c r="G1825" s="448">
        <v>0</v>
      </c>
      <c r="H1825" s="436">
        <v>0</v>
      </c>
      <c r="I1825" s="449">
        <v>0</v>
      </c>
    </row>
    <row r="1826" spans="1:9" ht="15.75" customHeight="1" x14ac:dyDescent="0.2">
      <c r="A1826" s="437"/>
      <c r="B1826" s="437"/>
      <c r="C1826" s="436"/>
      <c r="D1826" s="467">
        <v>47315</v>
      </c>
      <c r="E1826" s="436" t="s">
        <v>598</v>
      </c>
      <c r="F1826" s="436">
        <v>62500000</v>
      </c>
      <c r="G1826" s="448">
        <v>0</v>
      </c>
      <c r="H1826" s="436">
        <v>0</v>
      </c>
      <c r="I1826" s="449">
        <v>0</v>
      </c>
    </row>
    <row r="1827" spans="1:9" ht="15.75" customHeight="1" x14ac:dyDescent="0.2">
      <c r="A1827" s="437"/>
      <c r="B1827" s="437"/>
      <c r="C1827" s="436"/>
      <c r="D1827" s="467">
        <v>47316</v>
      </c>
      <c r="E1827" s="436" t="s">
        <v>597</v>
      </c>
      <c r="F1827" s="436">
        <v>62500000</v>
      </c>
      <c r="G1827" s="448">
        <v>0</v>
      </c>
      <c r="H1827" s="436">
        <v>0</v>
      </c>
      <c r="I1827" s="449">
        <v>0</v>
      </c>
    </row>
    <row r="1828" spans="1:9" ht="15.75" customHeight="1" x14ac:dyDescent="0.2">
      <c r="A1828" s="437"/>
      <c r="B1828" s="437"/>
      <c r="C1828" s="436"/>
      <c r="D1828" s="467">
        <v>47317</v>
      </c>
      <c r="E1828" s="436" t="s">
        <v>603</v>
      </c>
      <c r="F1828" s="436">
        <v>62500000</v>
      </c>
      <c r="G1828" s="448">
        <v>0</v>
      </c>
      <c r="H1828" s="436">
        <v>0</v>
      </c>
      <c r="I1828" s="449">
        <v>0</v>
      </c>
    </row>
    <row r="1829" spans="1:9" ht="15.75" customHeight="1" x14ac:dyDescent="0.2">
      <c r="A1829" s="437"/>
      <c r="B1829" s="437"/>
      <c r="C1829" s="436"/>
      <c r="D1829" s="467">
        <v>47318</v>
      </c>
      <c r="E1829" s="436" t="s">
        <v>602</v>
      </c>
      <c r="F1829" s="436">
        <v>62500000</v>
      </c>
      <c r="G1829" s="448">
        <v>0</v>
      </c>
      <c r="H1829" s="436">
        <v>0</v>
      </c>
      <c r="I1829" s="449">
        <v>0</v>
      </c>
    </row>
    <row r="1830" spans="1:9" ht="15.75" customHeight="1" x14ac:dyDescent="0.2">
      <c r="A1830" s="437"/>
      <c r="B1830" s="437"/>
      <c r="C1830" s="436"/>
      <c r="D1830" s="467">
        <v>47319</v>
      </c>
      <c r="E1830" s="436" t="s">
        <v>601</v>
      </c>
      <c r="F1830" s="436">
        <v>62500000</v>
      </c>
      <c r="G1830" s="448">
        <v>0</v>
      </c>
      <c r="H1830" s="436">
        <v>0</v>
      </c>
      <c r="I1830" s="449">
        <v>0</v>
      </c>
    </row>
    <row r="1831" spans="1:9" ht="15.75" customHeight="1" x14ac:dyDescent="0.2">
      <c r="A1831" s="437"/>
      <c r="B1831" s="437"/>
      <c r="C1831" s="436"/>
      <c r="D1831" s="467">
        <v>47320</v>
      </c>
      <c r="E1831" s="436" t="s">
        <v>600</v>
      </c>
      <c r="F1831" s="436">
        <v>62500000</v>
      </c>
      <c r="G1831" s="448">
        <v>0</v>
      </c>
      <c r="H1831" s="436">
        <v>0</v>
      </c>
      <c r="I1831" s="449">
        <v>0</v>
      </c>
    </row>
    <row r="1832" spans="1:9" ht="15.75" customHeight="1" x14ac:dyDescent="0.2">
      <c r="A1832" s="437"/>
      <c r="B1832" s="437"/>
      <c r="C1832" s="436"/>
      <c r="D1832" s="467">
        <v>47321</v>
      </c>
      <c r="E1832" s="436" t="s">
        <v>599</v>
      </c>
      <c r="F1832" s="436">
        <v>62500000</v>
      </c>
      <c r="G1832" s="448">
        <v>0</v>
      </c>
      <c r="H1832" s="436">
        <v>0</v>
      </c>
      <c r="I1832" s="449">
        <v>0</v>
      </c>
    </row>
    <row r="1833" spans="1:9" ht="15.75" customHeight="1" x14ac:dyDescent="0.2">
      <c r="A1833" s="437"/>
      <c r="B1833" s="437"/>
      <c r="C1833" s="436"/>
      <c r="D1833" s="467">
        <v>47322</v>
      </c>
      <c r="E1833" s="436" t="s">
        <v>598</v>
      </c>
      <c r="F1833" s="436">
        <v>62500000</v>
      </c>
      <c r="G1833" s="448">
        <v>0</v>
      </c>
      <c r="H1833" s="436">
        <v>0</v>
      </c>
      <c r="I1833" s="449">
        <v>0</v>
      </c>
    </row>
    <row r="1834" spans="1:9" ht="15.75" customHeight="1" x14ac:dyDescent="0.2">
      <c r="A1834" s="437"/>
      <c r="B1834" s="437"/>
      <c r="C1834" s="436"/>
      <c r="D1834" s="467">
        <v>47323</v>
      </c>
      <c r="E1834" s="436" t="s">
        <v>597</v>
      </c>
      <c r="F1834" s="436">
        <v>62500000</v>
      </c>
      <c r="G1834" s="448">
        <v>0</v>
      </c>
      <c r="H1834" s="436">
        <v>0</v>
      </c>
      <c r="I1834" s="449">
        <v>0</v>
      </c>
    </row>
    <row r="1835" spans="1:9" ht="15.75" customHeight="1" x14ac:dyDescent="0.2">
      <c r="A1835" s="437"/>
      <c r="B1835" s="437"/>
      <c r="C1835" s="436"/>
      <c r="D1835" s="447"/>
      <c r="E1835" s="436"/>
      <c r="F1835" s="436"/>
      <c r="G1835" s="466"/>
      <c r="H1835" s="466"/>
      <c r="I1835" s="466"/>
    </row>
    <row r="1836" spans="1:9" ht="15.75" customHeight="1" x14ac:dyDescent="0.2">
      <c r="A1836" s="437"/>
      <c r="B1836" s="437"/>
      <c r="C1836" s="436"/>
      <c r="D1836" s="447"/>
      <c r="E1836" s="436"/>
      <c r="F1836" s="436"/>
      <c r="G1836" s="466"/>
      <c r="H1836" s="466"/>
      <c r="I1836" s="466"/>
    </row>
    <row r="1837" spans="1:9" ht="15.75" customHeight="1" x14ac:dyDescent="0.2">
      <c r="A1837" s="437"/>
      <c r="B1837" s="437"/>
      <c r="C1837" s="436"/>
      <c r="D1837" s="447"/>
      <c r="E1837" s="436"/>
      <c r="F1837" s="436"/>
      <c r="G1837" s="466"/>
      <c r="H1837" s="466"/>
      <c r="I1837" s="466"/>
    </row>
    <row r="1838" spans="1:9" ht="15.75" customHeight="1" x14ac:dyDescent="0.2">
      <c r="A1838" s="437"/>
      <c r="B1838" s="437"/>
      <c r="C1838" s="436"/>
      <c r="D1838" s="447"/>
      <c r="E1838" s="436"/>
      <c r="F1838" s="436"/>
      <c r="G1838" s="466"/>
      <c r="H1838" s="466"/>
      <c r="I1838" s="466"/>
    </row>
    <row r="1839" spans="1:9" ht="15.75" customHeight="1" x14ac:dyDescent="0.2">
      <c r="A1839" s="437"/>
      <c r="B1839" s="437"/>
      <c r="C1839" s="436"/>
      <c r="D1839" s="447"/>
      <c r="E1839" s="436"/>
      <c r="F1839" s="436"/>
      <c r="G1839" s="466"/>
      <c r="H1839" s="466"/>
      <c r="I1839" s="466"/>
    </row>
    <row r="1840" spans="1:9" ht="15.75" customHeight="1" x14ac:dyDescent="0.2">
      <c r="A1840" s="437"/>
      <c r="B1840" s="437"/>
      <c r="C1840" s="436"/>
      <c r="D1840" s="447"/>
      <c r="E1840" s="436"/>
      <c r="F1840" s="436"/>
      <c r="G1840" s="466"/>
      <c r="H1840" s="466"/>
      <c r="I1840" s="466"/>
    </row>
    <row r="1841" spans="1:9" ht="15.75" customHeight="1" x14ac:dyDescent="0.2">
      <c r="A1841" s="437"/>
      <c r="B1841" s="437"/>
      <c r="C1841" s="436"/>
      <c r="D1841" s="447"/>
      <c r="E1841" s="436"/>
      <c r="F1841" s="436"/>
      <c r="G1841" s="466"/>
      <c r="H1841" s="466"/>
      <c r="I1841" s="466"/>
    </row>
  </sheetData>
  <mergeCells count="4">
    <mergeCell ref="A1:F1"/>
    <mergeCell ref="B3:F3"/>
    <mergeCell ref="B4:F4"/>
    <mergeCell ref="B5:F5"/>
  </mergeCells>
  <conditionalFormatting sqref="G8:G1834">
    <cfRule type="expression" dxfId="2" priority="2">
      <formula>IF($B$14="Daily",TRUE,FALSE)</formula>
    </cfRule>
  </conditionalFormatting>
  <conditionalFormatting sqref="I8:I1834">
    <cfRule type="expression" dxfId="1" priority="3">
      <formula>IF($B$14&lt;&gt;"Daily",TRUE,FALSE)</formula>
    </cfRule>
  </conditionalFormatting>
  <conditionalFormatting sqref="Q8:Q112">
    <cfRule type="expression" dxfId="0" priority="1">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C55"/>
  <sheetViews>
    <sheetView topLeftCell="D1" zoomScale="70" zoomScaleNormal="70" workbookViewId="0">
      <selection activeCell="R38" sqref="R38"/>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3" width="15.42578125" style="25" customWidth="1"/>
    <col min="24" max="24" width="9.140625" style="25"/>
    <col min="25" max="25" width="2.42578125" style="25" customWidth="1"/>
    <col min="26" max="26" width="22.42578125" style="25" customWidth="1"/>
    <col min="27" max="27" width="25.5703125" style="26" customWidth="1"/>
    <col min="28" max="28" width="32.140625" style="26" bestFit="1" customWidth="1"/>
    <col min="29" max="29" width="2" style="25" customWidth="1"/>
    <col min="30" max="16384" width="9.140625" style="25"/>
  </cols>
  <sheetData>
    <row r="1" spans="2:29" ht="15.75" thickBot="1" x14ac:dyDescent="0.3">
      <c r="D1" s="26"/>
      <c r="E1" s="26"/>
      <c r="F1" s="26"/>
      <c r="G1" s="26"/>
      <c r="H1" s="26"/>
      <c r="I1" s="26"/>
      <c r="J1" s="26"/>
      <c r="K1" s="26"/>
      <c r="L1" s="26"/>
      <c r="M1" s="26"/>
      <c r="N1" s="26"/>
      <c r="O1" s="26"/>
      <c r="P1" s="26"/>
      <c r="Q1" s="26"/>
      <c r="R1" s="26"/>
      <c r="S1" s="26"/>
      <c r="T1" s="26"/>
      <c r="U1" s="26"/>
      <c r="V1" s="26"/>
      <c r="W1" s="26"/>
    </row>
    <row r="2" spans="2:29" x14ac:dyDescent="0.25">
      <c r="B2" s="28" t="s">
        <v>395</v>
      </c>
      <c r="C2" s="154">
        <v>44442</v>
      </c>
      <c r="E2" s="154">
        <v>44623</v>
      </c>
      <c r="F2" s="154">
        <v>44784</v>
      </c>
      <c r="G2" s="154">
        <v>44956</v>
      </c>
      <c r="H2" s="26"/>
      <c r="I2" s="26"/>
      <c r="J2" s="26"/>
      <c r="K2" s="26"/>
      <c r="L2" s="26"/>
      <c r="M2" s="26"/>
      <c r="N2" s="26"/>
      <c r="O2" s="26"/>
      <c r="P2" s="26"/>
      <c r="Q2" s="26"/>
      <c r="R2" s="26"/>
      <c r="S2" s="26"/>
      <c r="T2" s="26"/>
      <c r="U2" s="26"/>
      <c r="V2" s="26"/>
      <c r="W2" s="26"/>
      <c r="Y2" s="246"/>
      <c r="Z2" s="247"/>
      <c r="AA2" s="248"/>
      <c r="AB2" s="248"/>
      <c r="AC2" s="249"/>
    </row>
    <row r="3" spans="2:29" x14ac:dyDescent="0.25">
      <c r="C3" s="26"/>
      <c r="D3" s="26"/>
      <c r="E3" s="26"/>
      <c r="F3" s="26"/>
      <c r="G3" s="26"/>
      <c r="H3" s="26"/>
      <c r="I3" s="26"/>
      <c r="J3" s="26"/>
      <c r="K3" s="26"/>
      <c r="L3" s="26"/>
      <c r="M3" s="26"/>
      <c r="N3" s="26"/>
      <c r="O3" s="26"/>
      <c r="P3" s="26"/>
      <c r="Q3" s="26"/>
      <c r="R3" s="26"/>
      <c r="S3" s="26"/>
      <c r="T3" s="26"/>
      <c r="U3" s="26"/>
      <c r="V3" s="26"/>
      <c r="W3" s="26"/>
      <c r="Y3" s="250"/>
      <c r="Z3" s="251" t="s">
        <v>274</v>
      </c>
      <c r="AA3" s="252"/>
      <c r="AB3" s="252"/>
      <c r="AC3" s="253"/>
    </row>
    <row r="4" spans="2:29" x14ac:dyDescent="0.25">
      <c r="C4" s="26"/>
      <c r="D4" s="26"/>
      <c r="E4" s="26"/>
      <c r="F4" s="26"/>
      <c r="G4" s="26"/>
      <c r="H4" s="26"/>
      <c r="I4" s="26"/>
      <c r="J4" s="26"/>
      <c r="K4" s="26"/>
      <c r="L4" s="26"/>
      <c r="M4" s="26"/>
      <c r="N4" s="26"/>
      <c r="O4" s="26"/>
      <c r="P4" s="26"/>
      <c r="Q4" s="26"/>
      <c r="R4" s="26"/>
      <c r="S4" s="26"/>
      <c r="T4" s="26" t="s">
        <v>583</v>
      </c>
      <c r="U4" s="26"/>
      <c r="V4" s="26"/>
      <c r="W4" s="26"/>
      <c r="Y4" s="250"/>
      <c r="Z4" s="251"/>
      <c r="AA4" s="252"/>
      <c r="AB4" s="252"/>
      <c r="AC4" s="253"/>
    </row>
    <row r="5" spans="2:29" x14ac:dyDescent="0.25">
      <c r="B5" s="304" t="s">
        <v>127</v>
      </c>
      <c r="C5" s="305" t="s">
        <v>397</v>
      </c>
      <c r="D5" s="305" t="s">
        <v>398</v>
      </c>
      <c r="E5" s="305" t="s">
        <v>399</v>
      </c>
      <c r="F5" s="305"/>
      <c r="G5" s="305" t="s">
        <v>400</v>
      </c>
      <c r="H5" s="305" t="s">
        <v>385</v>
      </c>
      <c r="I5" s="305" t="s">
        <v>387</v>
      </c>
      <c r="J5" s="305" t="s">
        <v>388</v>
      </c>
      <c r="K5" s="305" t="s">
        <v>389</v>
      </c>
      <c r="L5" s="305" t="s">
        <v>543</v>
      </c>
      <c r="M5" s="305" t="s">
        <v>583</v>
      </c>
      <c r="N5" s="305" t="s">
        <v>584</v>
      </c>
      <c r="O5" s="305" t="s">
        <v>643</v>
      </c>
      <c r="P5" s="305" t="s">
        <v>685</v>
      </c>
      <c r="Q5" s="305" t="s">
        <v>686</v>
      </c>
      <c r="R5" s="305" t="s">
        <v>724</v>
      </c>
      <c r="S5" s="305" t="s">
        <v>740</v>
      </c>
      <c r="T5" s="305" t="s">
        <v>576</v>
      </c>
      <c r="U5" s="305" t="s">
        <v>153</v>
      </c>
      <c r="V5" s="305" t="s">
        <v>834</v>
      </c>
      <c r="W5" s="305" t="s">
        <v>873</v>
      </c>
      <c r="Y5" s="250"/>
      <c r="Z5" s="396" t="s">
        <v>50</v>
      </c>
      <c r="AA5" s="397" t="s">
        <v>113</v>
      </c>
      <c r="AB5" s="397" t="s">
        <v>272</v>
      </c>
      <c r="AC5" s="253"/>
    </row>
    <row r="6" spans="2:29" x14ac:dyDescent="0.25">
      <c r="B6" s="25" t="s">
        <v>394</v>
      </c>
      <c r="C6" s="306">
        <v>44442</v>
      </c>
      <c r="D6" s="535">
        <v>44512</v>
      </c>
      <c r="E6" s="306">
        <v>44623</v>
      </c>
      <c r="F6" s="306"/>
      <c r="G6" s="306">
        <v>44950</v>
      </c>
      <c r="H6" s="306">
        <v>45007</v>
      </c>
      <c r="I6" s="306">
        <v>45170</v>
      </c>
      <c r="J6" s="306">
        <v>45260</v>
      </c>
      <c r="K6" s="306">
        <v>45306</v>
      </c>
      <c r="L6" s="306">
        <v>45356</v>
      </c>
      <c r="M6" s="306">
        <v>45429</v>
      </c>
      <c r="N6" s="306">
        <v>45491</v>
      </c>
      <c r="O6" s="306">
        <v>45590</v>
      </c>
      <c r="P6" s="306">
        <v>45670</v>
      </c>
      <c r="Q6" s="306">
        <v>45721</v>
      </c>
      <c r="R6" s="306">
        <v>45821</v>
      </c>
      <c r="S6" s="306">
        <v>45874</v>
      </c>
      <c r="T6" s="306">
        <v>45454</v>
      </c>
      <c r="U6" s="306">
        <v>46021</v>
      </c>
      <c r="V6" s="306">
        <v>46146</v>
      </c>
      <c r="W6" s="306">
        <v>46211</v>
      </c>
      <c r="Y6" s="250"/>
      <c r="Z6" s="254" t="s">
        <v>25</v>
      </c>
      <c r="AA6" s="255" t="s">
        <v>76</v>
      </c>
      <c r="AB6" s="255" t="s">
        <v>76</v>
      </c>
      <c r="AC6" s="253"/>
    </row>
    <row r="7" spans="2:29" x14ac:dyDescent="0.25">
      <c r="B7" s="28" t="s">
        <v>386</v>
      </c>
      <c r="C7" s="287">
        <v>19015957.27</v>
      </c>
      <c r="D7" s="287">
        <v>23513942</v>
      </c>
      <c r="E7" s="287">
        <v>23513942</v>
      </c>
      <c r="F7" s="287"/>
      <c r="G7" s="287">
        <v>23234461.870000001</v>
      </c>
      <c r="H7" s="287">
        <v>23234461.870000001</v>
      </c>
      <c r="I7" s="287">
        <v>23234461.870000001</v>
      </c>
      <c r="J7" s="287">
        <v>23234461.870000001</v>
      </c>
      <c r="K7" s="287">
        <v>23234461.870000001</v>
      </c>
      <c r="L7" s="287">
        <v>23234461.870000001</v>
      </c>
      <c r="M7" s="287">
        <v>23234461.870000001</v>
      </c>
      <c r="N7" s="287">
        <v>23234461.870000001</v>
      </c>
      <c r="O7" s="287">
        <v>23234461.870000001</v>
      </c>
      <c r="P7" s="287">
        <v>23234461.870000001</v>
      </c>
      <c r="Q7" s="287">
        <v>23234461.870000001</v>
      </c>
      <c r="R7" s="287">
        <v>23234461.870000001</v>
      </c>
      <c r="S7" s="287">
        <f>R7</f>
        <v>23234461.870000001</v>
      </c>
      <c r="T7" s="287">
        <v>23234461.870000001</v>
      </c>
      <c r="U7" s="287">
        <f>T7</f>
        <v>23234461.870000001</v>
      </c>
      <c r="V7" s="287">
        <f>U7</f>
        <v>23234461.870000001</v>
      </c>
      <c r="W7" s="287">
        <f>V7</f>
        <v>23234461.870000001</v>
      </c>
      <c r="Y7" s="250"/>
      <c r="Z7" s="245" t="s">
        <v>31</v>
      </c>
      <c r="AA7" s="252" t="s">
        <v>11</v>
      </c>
      <c r="AB7" s="256" t="s">
        <v>11</v>
      </c>
      <c r="AC7" s="253"/>
    </row>
    <row r="8" spans="2:29" x14ac:dyDescent="0.25">
      <c r="B8" s="25" t="s">
        <v>396</v>
      </c>
      <c r="C8" s="287">
        <v>19226989.09</v>
      </c>
      <c r="D8" s="287">
        <v>19415305.100000001</v>
      </c>
      <c r="E8" s="287">
        <v>19365157.890000001</v>
      </c>
      <c r="F8" s="287"/>
      <c r="G8" s="287"/>
      <c r="H8" s="287"/>
      <c r="I8" s="287">
        <v>9566817.3300000001</v>
      </c>
      <c r="J8" s="287">
        <f>I8+I18</f>
        <v>9834193.4100000001</v>
      </c>
      <c r="K8" s="287">
        <f>J8+J18</f>
        <v>10093474.140000001</v>
      </c>
      <c r="L8" s="287">
        <f>K8+K18</f>
        <v>12297370.790000001</v>
      </c>
      <c r="M8" s="287">
        <f>L8+L18</f>
        <v>12498073.250000002</v>
      </c>
      <c r="N8" s="286">
        <v>12128944.09</v>
      </c>
      <c r="O8" s="287">
        <v>13706992.75</v>
      </c>
      <c r="P8" s="287">
        <v>15511986.41</v>
      </c>
      <c r="Q8" s="287">
        <v>13493186.23</v>
      </c>
      <c r="R8" s="287">
        <f>L35</f>
        <v>14203893.559999999</v>
      </c>
      <c r="S8" s="287">
        <v>16528521.59</v>
      </c>
      <c r="T8" s="287">
        <f>T7-T9</f>
        <v>12498073.250000002</v>
      </c>
      <c r="U8" s="287">
        <f>N35</f>
        <v>14009958.359999999</v>
      </c>
      <c r="V8" s="287">
        <v>14642186.02</v>
      </c>
      <c r="W8" s="287">
        <v>15479709.43</v>
      </c>
      <c r="Y8" s="250"/>
      <c r="Z8" s="245" t="s">
        <v>270</v>
      </c>
      <c r="AA8" s="252">
        <v>2020</v>
      </c>
      <c r="AB8" s="256">
        <v>2020</v>
      </c>
      <c r="AC8" s="253"/>
    </row>
    <row r="9" spans="2:29" x14ac:dyDescent="0.25">
      <c r="B9" s="25" t="s">
        <v>401</v>
      </c>
      <c r="C9" s="287"/>
      <c r="D9" s="287">
        <v>4098636.9</v>
      </c>
      <c r="E9" s="287">
        <v>4148784.11</v>
      </c>
      <c r="F9" s="287"/>
      <c r="G9" s="287">
        <v>15865093.23</v>
      </c>
      <c r="H9" s="287">
        <v>15675627.199999999</v>
      </c>
      <c r="I9" s="287">
        <f t="shared" ref="I9:O9" si="0">I7-I8</f>
        <v>13667644.540000001</v>
      </c>
      <c r="J9" s="287">
        <f t="shared" si="0"/>
        <v>13400268.460000001</v>
      </c>
      <c r="K9" s="287">
        <f t="shared" si="0"/>
        <v>13140987.73</v>
      </c>
      <c r="L9" s="287">
        <f t="shared" si="0"/>
        <v>10937091.08</v>
      </c>
      <c r="M9" s="287">
        <f t="shared" si="0"/>
        <v>10736388.619999999</v>
      </c>
      <c r="N9" s="287">
        <f t="shared" si="0"/>
        <v>11105517.780000001</v>
      </c>
      <c r="O9" s="287">
        <f t="shared" si="0"/>
        <v>9527469.120000001</v>
      </c>
      <c r="P9" s="287">
        <f>P7-P8</f>
        <v>7722475.4600000009</v>
      </c>
      <c r="Q9" s="287">
        <f>Q7-Q8</f>
        <v>9741275.6400000006</v>
      </c>
      <c r="R9" s="287">
        <f>R7-R8</f>
        <v>9030568.3100000024</v>
      </c>
      <c r="S9" s="287">
        <f>S7-S8</f>
        <v>6705940.2800000012</v>
      </c>
      <c r="T9" s="287">
        <f>L22</f>
        <v>10736388.619999999</v>
      </c>
      <c r="U9" s="287">
        <f>U7-U8</f>
        <v>9224503.5100000016</v>
      </c>
      <c r="V9" s="287">
        <f>V7-V8</f>
        <v>8592275.8500000015</v>
      </c>
      <c r="W9" s="287">
        <f>W7-W8</f>
        <v>7754752.4400000013</v>
      </c>
      <c r="Y9" s="250"/>
      <c r="Z9" s="245" t="s">
        <v>36</v>
      </c>
      <c r="AA9" s="252" t="s">
        <v>52</v>
      </c>
      <c r="AB9" s="256" t="s">
        <v>271</v>
      </c>
      <c r="AC9" s="253"/>
    </row>
    <row r="10" spans="2:29" x14ac:dyDescent="0.25">
      <c r="B10" s="25" t="s">
        <v>390</v>
      </c>
      <c r="C10" s="287"/>
      <c r="D10" s="287"/>
      <c r="E10" s="287"/>
      <c r="F10" s="287"/>
      <c r="G10" s="287">
        <v>-12659067.07</v>
      </c>
      <c r="H10" s="287"/>
      <c r="I10" s="287"/>
      <c r="J10" s="287"/>
      <c r="K10" s="287"/>
      <c r="L10" s="287"/>
      <c r="M10" s="287"/>
      <c r="N10" s="287"/>
      <c r="O10" s="287"/>
      <c r="P10" s="287"/>
      <c r="Q10" s="287"/>
      <c r="R10" s="287"/>
      <c r="S10" s="287"/>
      <c r="T10" s="103"/>
      <c r="Y10" s="250"/>
      <c r="Z10" s="245" t="s">
        <v>51</v>
      </c>
      <c r="AA10" s="252" t="s">
        <v>118</v>
      </c>
      <c r="AB10" s="256" t="s">
        <v>118</v>
      </c>
      <c r="AC10" s="253"/>
    </row>
    <row r="11" spans="2:29" x14ac:dyDescent="0.25">
      <c r="B11" s="25" t="s">
        <v>149</v>
      </c>
      <c r="C11" s="287"/>
      <c r="D11" s="287"/>
      <c r="E11" s="287"/>
      <c r="F11" s="287"/>
      <c r="G11" s="287"/>
      <c r="H11" s="287">
        <v>-2067567.04</v>
      </c>
      <c r="I11" s="287"/>
      <c r="J11" s="287"/>
      <c r="K11" s="287"/>
      <c r="L11" s="287"/>
      <c r="M11" s="287"/>
      <c r="N11" s="287"/>
      <c r="O11" s="287"/>
      <c r="P11" s="287"/>
      <c r="Q11" s="287"/>
      <c r="R11" s="287"/>
      <c r="S11" s="287"/>
      <c r="T11" s="287"/>
      <c r="U11" s="212"/>
      <c r="V11" s="212"/>
      <c r="W11" s="212"/>
      <c r="Y11" s="250"/>
      <c r="Z11" s="245" t="s">
        <v>32</v>
      </c>
      <c r="AA11" s="257">
        <v>27.691912952877303</v>
      </c>
      <c r="AB11" s="258">
        <v>2.7058823529411762</v>
      </c>
      <c r="AC11" s="253"/>
    </row>
    <row r="12" spans="2:29" x14ac:dyDescent="0.25">
      <c r="B12" s="25" t="s">
        <v>391</v>
      </c>
      <c r="C12" s="287"/>
      <c r="D12" s="287"/>
      <c r="E12" s="287"/>
      <c r="F12" s="287"/>
      <c r="G12" s="287"/>
      <c r="H12" s="287">
        <v>13608060.16</v>
      </c>
      <c r="I12" s="287"/>
      <c r="J12" s="287"/>
      <c r="K12" s="287"/>
      <c r="L12" s="287"/>
      <c r="M12" s="287"/>
      <c r="N12" s="287"/>
      <c r="O12" s="287"/>
      <c r="P12" s="287"/>
      <c r="Q12" s="287"/>
      <c r="R12" s="287"/>
      <c r="S12" s="287"/>
      <c r="T12" s="287"/>
      <c r="U12" s="26"/>
      <c r="V12" s="26"/>
      <c r="W12" s="26"/>
      <c r="Y12" s="250"/>
      <c r="Z12" s="245" t="s">
        <v>2</v>
      </c>
      <c r="AA12" s="257">
        <v>11.058034651530003</v>
      </c>
      <c r="AB12" s="258">
        <v>2.7058823529411762</v>
      </c>
      <c r="AC12" s="253"/>
    </row>
    <row r="13" spans="2:29" x14ac:dyDescent="0.25">
      <c r="C13" s="287"/>
      <c r="D13" s="287"/>
      <c r="E13" s="287"/>
      <c r="F13" s="287"/>
      <c r="G13" s="287"/>
      <c r="H13" s="287"/>
      <c r="I13" s="287"/>
      <c r="J13" s="287"/>
      <c r="K13" s="287"/>
      <c r="L13" s="287"/>
      <c r="M13" s="287"/>
      <c r="N13" s="287"/>
      <c r="O13" s="287"/>
      <c r="P13" s="287"/>
      <c r="Q13" s="287"/>
      <c r="R13" s="287"/>
      <c r="S13" s="287"/>
      <c r="T13" s="287"/>
      <c r="U13" s="26"/>
      <c r="V13" s="26"/>
      <c r="W13" s="26"/>
      <c r="Y13" s="250"/>
      <c r="Z13" s="245" t="s">
        <v>49</v>
      </c>
      <c r="AA13" s="257">
        <v>16.633878301347298</v>
      </c>
      <c r="AB13" s="258">
        <v>0</v>
      </c>
      <c r="AC13" s="253"/>
    </row>
    <row r="14" spans="2:29" x14ac:dyDescent="0.25">
      <c r="C14" s="103"/>
      <c r="D14" s="103"/>
      <c r="E14" s="103"/>
      <c r="F14" s="103"/>
      <c r="G14" s="103"/>
      <c r="H14" s="103"/>
      <c r="I14" s="103"/>
      <c r="J14" s="103"/>
      <c r="K14" s="103"/>
      <c r="L14" s="103"/>
      <c r="M14" s="103"/>
      <c r="N14" s="103"/>
      <c r="O14" s="103"/>
      <c r="P14" s="103"/>
      <c r="Q14" s="103"/>
      <c r="R14" s="103"/>
      <c r="S14" s="103"/>
      <c r="T14" s="103"/>
      <c r="Y14" s="250"/>
      <c r="Z14" s="245" t="s">
        <v>33</v>
      </c>
      <c r="AA14" s="257">
        <v>2.9557743514082002</v>
      </c>
      <c r="AB14" s="258">
        <v>0</v>
      </c>
      <c r="AC14" s="253"/>
    </row>
    <row r="15" spans="2:29" x14ac:dyDescent="0.25">
      <c r="B15" s="25" t="s">
        <v>577</v>
      </c>
      <c r="C15" s="103"/>
      <c r="D15" s="103"/>
      <c r="E15" s="103"/>
      <c r="F15" s="103"/>
      <c r="G15" s="103"/>
      <c r="H15" s="103"/>
      <c r="I15" s="103"/>
      <c r="J15" s="103"/>
      <c r="K15" s="103"/>
      <c r="L15" s="103"/>
      <c r="M15" s="103"/>
      <c r="N15" s="103"/>
      <c r="O15" s="103"/>
      <c r="P15" s="103"/>
      <c r="Q15" s="103"/>
      <c r="R15" s="103"/>
      <c r="S15" s="287">
        <v>-4288037.92</v>
      </c>
      <c r="T15" s="287">
        <v>-358796.4</v>
      </c>
      <c r="U15" s="212"/>
      <c r="V15" s="212"/>
      <c r="W15" s="212"/>
      <c r="Y15" s="250"/>
      <c r="Z15" s="245" t="s">
        <v>27</v>
      </c>
      <c r="AA15" s="257">
        <f>NAV!E46</f>
        <v>57.156181207085986</v>
      </c>
      <c r="AB15" s="258">
        <f>AB12*AA15/AA12</f>
        <v>13.986020749931674</v>
      </c>
      <c r="AC15" s="253"/>
    </row>
    <row r="16" spans="2:29" x14ac:dyDescent="0.25">
      <c r="B16" s="25" t="s">
        <v>578</v>
      </c>
      <c r="C16" s="103"/>
      <c r="D16" s="103"/>
      <c r="E16" s="103"/>
      <c r="F16" s="103"/>
      <c r="G16" s="103"/>
      <c r="H16" s="103"/>
      <c r="I16" s="103"/>
      <c r="J16" s="103"/>
      <c r="K16" s="103"/>
      <c r="L16" s="103"/>
      <c r="M16" s="103"/>
      <c r="N16" s="103"/>
      <c r="O16" s="103"/>
      <c r="P16" s="103"/>
      <c r="Q16" s="103"/>
      <c r="R16" s="103"/>
      <c r="S16" s="287">
        <v>-102599.82</v>
      </c>
      <c r="T16" s="287">
        <v>-10332.76</v>
      </c>
      <c r="U16" s="212"/>
      <c r="V16" s="212"/>
      <c r="W16" s="212"/>
      <c r="Y16" s="250"/>
      <c r="Z16" s="245" t="s">
        <v>162</v>
      </c>
      <c r="AA16" s="257">
        <f>AA15+AA14-AA12</f>
        <v>49.053920906964187</v>
      </c>
      <c r="AB16" s="258">
        <f>AB15+AB14-AB12</f>
        <v>11.280138396990498</v>
      </c>
      <c r="AC16" s="253"/>
    </row>
    <row r="17" spans="2:29" x14ac:dyDescent="0.25">
      <c r="B17" s="25" t="s">
        <v>579</v>
      </c>
      <c r="C17" s="287"/>
      <c r="D17" s="287"/>
      <c r="E17" s="287"/>
      <c r="F17" s="287"/>
      <c r="G17" s="287"/>
      <c r="H17" s="287"/>
      <c r="I17" s="287"/>
      <c r="J17" s="287"/>
      <c r="K17" s="287"/>
      <c r="L17" s="287"/>
      <c r="M17" s="287"/>
      <c r="N17" s="287"/>
      <c r="O17" s="287">
        <v>-56063.44</v>
      </c>
      <c r="P17" s="287">
        <v>-345590.90000000037</v>
      </c>
      <c r="Q17" s="287"/>
      <c r="R17" s="287"/>
      <c r="S17" s="287">
        <v>-781260.09</v>
      </c>
      <c r="T17" s="287">
        <v>-62495.83</v>
      </c>
      <c r="U17" s="212"/>
      <c r="V17" s="212"/>
      <c r="W17" s="212"/>
      <c r="Y17" s="250"/>
      <c r="Z17" s="245" t="s">
        <v>53</v>
      </c>
      <c r="AA17" s="259">
        <f>(AA14+AA15)/AA12</f>
        <v>5.4360433343530019</v>
      </c>
      <c r="AB17" s="259">
        <f>(AB14+AB15)/AB12</f>
        <v>5.1687467988877929</v>
      </c>
      <c r="AC17" s="253"/>
    </row>
    <row r="18" spans="2:29" x14ac:dyDescent="0.25">
      <c r="B18" s="420" t="s">
        <v>89</v>
      </c>
      <c r="C18" s="472"/>
      <c r="D18" s="472"/>
      <c r="E18" s="472"/>
      <c r="F18" s="472"/>
      <c r="G18" s="532">
        <f>G9-G22</f>
        <v>189466.01999999955</v>
      </c>
      <c r="H18" s="532">
        <f>H12-H22</f>
        <v>-59584.379999998957</v>
      </c>
      <c r="I18" s="532">
        <v>267376.08000000007</v>
      </c>
      <c r="J18" s="532">
        <v>259280.73000000045</v>
      </c>
      <c r="K18" s="532">
        <v>2203896.6500000004</v>
      </c>
      <c r="L18" s="532">
        <v>200702.46</v>
      </c>
      <c r="M18" s="532"/>
      <c r="N18" s="532">
        <v>1578048.66</v>
      </c>
      <c r="O18" s="532">
        <v>1748930.22</v>
      </c>
      <c r="P18" s="532"/>
      <c r="Q18" s="532">
        <v>710707.19999999995</v>
      </c>
      <c r="R18" s="532">
        <v>2324628.16</v>
      </c>
      <c r="S18" s="532">
        <f>-51671.6+6200.89+1665803.07+186376.92+65365.1</f>
        <v>1872074.3800000001</v>
      </c>
      <c r="T18" s="472"/>
      <c r="U18" s="532">
        <f>1770238.35*5/14</f>
        <v>632227.98214285716</v>
      </c>
      <c r="V18" s="532">
        <f>V9-V22</f>
        <v>837523.85000000149</v>
      </c>
      <c r="W18" s="532">
        <v>1660407.4</v>
      </c>
      <c r="Y18" s="66"/>
      <c r="Z18" s="251"/>
      <c r="AA18" s="252"/>
      <c r="AB18" s="252"/>
      <c r="AC18" s="67"/>
    </row>
    <row r="19" spans="2:29" x14ac:dyDescent="0.25">
      <c r="B19" s="25" t="s">
        <v>153</v>
      </c>
      <c r="C19" s="287"/>
      <c r="D19" s="287"/>
      <c r="E19" s="287"/>
      <c r="F19" s="287"/>
      <c r="G19" s="287">
        <f>-G20+G18</f>
        <v>12659067.039999999</v>
      </c>
      <c r="H19" s="287">
        <f>-H20+H18</f>
        <v>1.0404619388282299E-9</v>
      </c>
      <c r="I19" s="287">
        <v>59584.380000000063</v>
      </c>
      <c r="J19" s="287"/>
      <c r="K19" s="287"/>
      <c r="L19" s="287"/>
      <c r="M19" s="287"/>
      <c r="N19" s="287"/>
      <c r="O19" s="287"/>
      <c r="P19" s="287"/>
      <c r="Q19" s="287"/>
      <c r="R19" s="287"/>
      <c r="S19" s="287"/>
      <c r="T19" s="287"/>
      <c r="U19" s="287">
        <f>-1770238.35*19/14</f>
        <v>-2402466.3321428569</v>
      </c>
      <c r="V19" s="287"/>
      <c r="W19" s="287"/>
      <c r="Y19" s="250"/>
      <c r="Z19" s="251" t="s">
        <v>273</v>
      </c>
      <c r="AA19" s="252"/>
      <c r="AB19" s="252"/>
      <c r="AC19" s="253"/>
    </row>
    <row r="20" spans="2:29" x14ac:dyDescent="0.25">
      <c r="B20" s="307" t="s">
        <v>464</v>
      </c>
      <c r="C20" s="531">
        <v>203097.23</v>
      </c>
      <c r="D20" s="531">
        <v>-444437.06</v>
      </c>
      <c r="E20" s="531">
        <v>233275.54</v>
      </c>
      <c r="F20" s="531"/>
      <c r="G20" s="531">
        <v>-12469601.02</v>
      </c>
      <c r="H20" s="531">
        <v>-59584.38</v>
      </c>
      <c r="I20" s="531">
        <f t="shared" ref="I20:K20" si="1">I18-I19</f>
        <v>207791.7</v>
      </c>
      <c r="J20" s="531">
        <f t="shared" si="1"/>
        <v>259280.73000000045</v>
      </c>
      <c r="K20" s="531">
        <f t="shared" si="1"/>
        <v>2203896.6500000004</v>
      </c>
      <c r="L20" s="531">
        <f>L18-L19</f>
        <v>200702.46</v>
      </c>
      <c r="M20" s="531"/>
      <c r="N20" s="531">
        <f>N18-N19</f>
        <v>1578048.66</v>
      </c>
      <c r="O20" s="531">
        <f>O18-O19</f>
        <v>1748930.22</v>
      </c>
      <c r="P20" s="531">
        <v>-2364391.08</v>
      </c>
      <c r="Q20" s="531"/>
      <c r="R20" s="531"/>
      <c r="S20" s="533">
        <v>-3299823.45</v>
      </c>
      <c r="T20" s="531">
        <f>SUM(T15:T17)</f>
        <v>-431624.99000000005</v>
      </c>
      <c r="U20" s="531">
        <f>U18+U19</f>
        <v>-1770238.3499999996</v>
      </c>
      <c r="V20" s="531">
        <f>V18+V19</f>
        <v>837523.85000000149</v>
      </c>
      <c r="W20" s="531">
        <f>W18+W19</f>
        <v>1660407.4</v>
      </c>
      <c r="Y20" s="250"/>
      <c r="Z20" s="245" t="s">
        <v>276</v>
      </c>
      <c r="AA20" s="252"/>
      <c r="AB20" s="252"/>
      <c r="AC20" s="253"/>
    </row>
    <row r="21" spans="2:29" x14ac:dyDescent="0.25">
      <c r="C21" s="212"/>
      <c r="D21" s="202"/>
      <c r="E21" s="202"/>
      <c r="F21" s="202"/>
      <c r="G21" s="202"/>
      <c r="H21" s="212"/>
      <c r="I21" s="212"/>
      <c r="J21" s="212"/>
      <c r="K21" s="212"/>
      <c r="L21" s="212"/>
      <c r="M21" s="212"/>
      <c r="N21" s="212"/>
      <c r="O21" s="212"/>
      <c r="P21" s="212"/>
      <c r="Q21" s="212"/>
      <c r="R21" s="212"/>
      <c r="S21" s="212"/>
      <c r="T21" s="212"/>
      <c r="U21" s="26"/>
      <c r="V21" s="26"/>
      <c r="W21" s="26"/>
      <c r="Y21" s="250"/>
      <c r="Z21" s="245" t="s">
        <v>277</v>
      </c>
      <c r="AA21" s="252"/>
      <c r="AB21" s="252"/>
      <c r="AC21" s="253"/>
    </row>
    <row r="22" spans="2:29" ht="15.75" thickBot="1" x14ac:dyDescent="0.3">
      <c r="B22" s="25" t="s">
        <v>392</v>
      </c>
      <c r="C22" s="212">
        <v>0</v>
      </c>
      <c r="D22" s="287">
        <v>4163565.33</v>
      </c>
      <c r="E22" s="287">
        <v>3915508.57</v>
      </c>
      <c r="F22" s="287"/>
      <c r="G22" s="287">
        <v>15675627.210000001</v>
      </c>
      <c r="H22" s="287">
        <v>13667644.539999999</v>
      </c>
      <c r="I22" s="287">
        <v>13400268.460000001</v>
      </c>
      <c r="J22" s="287">
        <f>J9-J20</f>
        <v>13140987.73</v>
      </c>
      <c r="K22" s="287">
        <f>K9-K20</f>
        <v>10937091.08</v>
      </c>
      <c r="L22" s="287">
        <f>L9-L20</f>
        <v>10736388.619999999</v>
      </c>
      <c r="M22" s="287">
        <f>T22</f>
        <v>11105517.779999999</v>
      </c>
      <c r="N22" s="287">
        <f>N9-N20</f>
        <v>9527469.120000001</v>
      </c>
      <c r="O22" s="287">
        <f>O9+O17-O20</f>
        <v>7722475.4600000018</v>
      </c>
      <c r="P22" s="287">
        <f>P9+P17-P20</f>
        <v>9741275.6400000006</v>
      </c>
      <c r="Q22" s="287">
        <f>P22-Q18</f>
        <v>9030568.4400000013</v>
      </c>
      <c r="R22" s="287">
        <f>Q22-R18</f>
        <v>6705940.2800000012</v>
      </c>
      <c r="S22" s="534">
        <v>9224503.6400000006</v>
      </c>
      <c r="T22" s="287">
        <f>T9-T15-T16</f>
        <v>11105517.779999999</v>
      </c>
      <c r="U22" s="287">
        <f>O34-U8-U18</f>
        <v>8592275.6578571443</v>
      </c>
      <c r="V22" s="287">
        <v>7754752</v>
      </c>
      <c r="W22" s="287">
        <f>Q34-W8-W18</f>
        <v>6094345.1699999999</v>
      </c>
      <c r="Y22" s="260"/>
      <c r="Z22" s="261"/>
      <c r="AA22" s="262"/>
      <c r="AB22" s="262"/>
      <c r="AC22" s="263"/>
    </row>
    <row r="23" spans="2:29" x14ac:dyDescent="0.25">
      <c r="B23" s="25" t="s">
        <v>393</v>
      </c>
      <c r="C23" s="279">
        <v>0</v>
      </c>
      <c r="D23" s="279">
        <v>0.17710000000000001</v>
      </c>
      <c r="E23" s="279">
        <v>0.16650000000000001</v>
      </c>
      <c r="F23" s="279"/>
      <c r="G23" s="279">
        <v>0.67469999999999997</v>
      </c>
      <c r="H23" s="279">
        <v>0.58819999999999995</v>
      </c>
      <c r="I23" s="279">
        <v>0.57669999999999999</v>
      </c>
      <c r="J23" s="279">
        <v>0.56559999999999999</v>
      </c>
      <c r="K23" s="279">
        <v>0.47070000000000001</v>
      </c>
      <c r="L23" s="279">
        <v>0.46210000000000001</v>
      </c>
      <c r="M23" s="279">
        <v>0.47799999999999998</v>
      </c>
      <c r="N23" s="279">
        <v>0.41010000000000002</v>
      </c>
      <c r="O23" s="279">
        <v>0.33239999999999997</v>
      </c>
      <c r="P23" s="279">
        <v>0.41930000000000001</v>
      </c>
      <c r="Q23" s="279">
        <v>0.38869999999999999</v>
      </c>
      <c r="R23" s="279">
        <v>0.28860000000000002</v>
      </c>
      <c r="S23" s="279">
        <v>0.39700000000000002</v>
      </c>
      <c r="T23" s="279">
        <v>0.47799999999999998</v>
      </c>
      <c r="U23" s="279">
        <f>U22/U7</f>
        <v>0.36980738809153851</v>
      </c>
      <c r="V23" s="279"/>
      <c r="W23" s="279"/>
      <c r="AA23" s="25"/>
      <c r="AB23" s="25"/>
    </row>
    <row r="24" spans="2:29" x14ac:dyDescent="0.25">
      <c r="B24" s="25" t="s">
        <v>550</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V24" s="26"/>
      <c r="W24" s="26"/>
      <c r="AA24" s="25"/>
      <c r="AB24" s="25"/>
    </row>
    <row r="25" spans="2:29" x14ac:dyDescent="0.25">
      <c r="B25" s="25" t="s">
        <v>463</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c r="V25" s="26"/>
      <c r="W25" s="26"/>
    </row>
    <row r="26" spans="2:29" x14ac:dyDescent="0.25">
      <c r="B26" s="28"/>
      <c r="C26" s="26"/>
      <c r="G26" s="212">
        <f t="shared" ref="G26:T26" si="4">-G25*G20/1000000</f>
        <v>13.556950228943998</v>
      </c>
      <c r="H26" s="212">
        <f t="shared" si="4"/>
        <v>6.419025257399999E-2</v>
      </c>
      <c r="I26" s="212">
        <f t="shared" si="4"/>
        <v>-0.22532724156300002</v>
      </c>
      <c r="J26" s="212">
        <f t="shared" si="4"/>
        <v>-0.28531251529200047</v>
      </c>
      <c r="K26" s="212">
        <f t="shared" si="4"/>
        <v>-2.4133990655490001</v>
      </c>
      <c r="L26" s="212">
        <f t="shared" si="4"/>
        <v>-0.21649573657739998</v>
      </c>
      <c r="M26" s="212">
        <f t="shared" ref="M26:N26" si="5">-M25*M20/1000000</f>
        <v>0</v>
      </c>
      <c r="N26" s="212">
        <f t="shared" si="5"/>
        <v>-1.7022253090553998</v>
      </c>
      <c r="O26" s="212">
        <f t="shared" ref="O26" si="6">-O25*O20/1000000</f>
        <v>-1.8749406423509998</v>
      </c>
      <c r="P26" s="212"/>
      <c r="Q26" s="212"/>
      <c r="R26" s="212"/>
      <c r="S26" s="212"/>
      <c r="T26" s="212">
        <f t="shared" si="4"/>
        <v>0.46369472675700008</v>
      </c>
      <c r="U26" s="212"/>
      <c r="V26" s="212"/>
      <c r="W26" s="212"/>
    </row>
    <row r="27" spans="2:29" x14ac:dyDescent="0.25">
      <c r="P27" s="202"/>
    </row>
    <row r="28" spans="2:29" x14ac:dyDescent="0.25">
      <c r="B28" s="25" t="s">
        <v>252</v>
      </c>
      <c r="N28" s="202"/>
      <c r="O28" s="471"/>
      <c r="P28" s="471"/>
      <c r="S28" s="25" t="b">
        <f>SUM(S15:S18)=S20</f>
        <v>1</v>
      </c>
      <c r="Z28" s="202"/>
    </row>
    <row r="29" spans="2:29" x14ac:dyDescent="0.25">
      <c r="S29" s="202" t="b">
        <f>S22-S9+S18=-S15-S16</f>
        <v>1</v>
      </c>
      <c r="Z29" s="276"/>
    </row>
    <row r="30" spans="2:29" ht="15.75" thickBot="1" x14ac:dyDescent="0.3">
      <c r="B30" s="25" t="s">
        <v>460</v>
      </c>
      <c r="S30" s="103">
        <f>-S15-S16</f>
        <v>4390637.74</v>
      </c>
      <c r="Z30" s="202"/>
    </row>
    <row r="31" spans="2:29" x14ac:dyDescent="0.25">
      <c r="B31" s="207" t="s">
        <v>23</v>
      </c>
      <c r="C31" s="214"/>
      <c r="D31" s="208"/>
      <c r="E31" s="208"/>
      <c r="F31" s="208"/>
      <c r="G31" s="208"/>
      <c r="H31" s="208"/>
      <c r="I31" s="208"/>
      <c r="J31" s="208"/>
      <c r="K31" s="208"/>
      <c r="L31" s="208"/>
      <c r="M31" s="208"/>
      <c r="N31" s="208"/>
      <c r="O31" s="208"/>
      <c r="P31" s="208"/>
      <c r="Q31" s="208"/>
      <c r="R31" s="208"/>
      <c r="S31" s="208"/>
      <c r="T31" s="213"/>
      <c r="U31" s="403"/>
      <c r="V31" s="403"/>
      <c r="W31" s="403"/>
    </row>
    <row r="32" spans="2:29" x14ac:dyDescent="0.25">
      <c r="B32" s="66"/>
      <c r="C32" s="26"/>
      <c r="D32" s="26"/>
      <c r="E32" s="26"/>
      <c r="F32" s="26"/>
      <c r="G32" s="26"/>
      <c r="H32" s="26"/>
      <c r="I32" s="26"/>
      <c r="J32" s="26"/>
      <c r="K32" s="26"/>
      <c r="L32" s="26"/>
      <c r="M32" s="26"/>
      <c r="N32" s="26"/>
      <c r="O32" s="26"/>
      <c r="P32" s="26"/>
      <c r="Q32" s="26"/>
      <c r="R32" s="26"/>
      <c r="S32" s="26"/>
      <c r="T32" s="67"/>
    </row>
    <row r="33" spans="2:29" x14ac:dyDescent="0.25">
      <c r="B33" s="468" t="s">
        <v>127</v>
      </c>
      <c r="C33" s="264" t="s">
        <v>258</v>
      </c>
      <c r="D33" s="264" t="s">
        <v>259</v>
      </c>
      <c r="E33" s="264" t="s">
        <v>332</v>
      </c>
      <c r="F33" s="264" t="s">
        <v>358</v>
      </c>
      <c r="G33" s="264" t="s">
        <v>366</v>
      </c>
      <c r="H33" s="264" t="s">
        <v>555</v>
      </c>
      <c r="I33" s="264" t="s">
        <v>591</v>
      </c>
      <c r="J33" s="264" t="s">
        <v>644</v>
      </c>
      <c r="K33" s="264" t="s">
        <v>688</v>
      </c>
      <c r="L33" s="264" t="s">
        <v>702</v>
      </c>
      <c r="M33" s="264" t="s">
        <v>739</v>
      </c>
      <c r="N33" s="536" t="s">
        <v>771</v>
      </c>
      <c r="O33" s="536">
        <v>46022</v>
      </c>
      <c r="P33" s="536" t="s">
        <v>842</v>
      </c>
      <c r="Q33" s="536" t="s">
        <v>872</v>
      </c>
      <c r="R33" s="264" t="s">
        <v>876</v>
      </c>
      <c r="S33" s="264"/>
      <c r="T33" s="268"/>
      <c r="U33" s="404"/>
      <c r="V33" s="404"/>
      <c r="W33" s="404"/>
    </row>
    <row r="34" spans="2:29" x14ac:dyDescent="0.25">
      <c r="B34" s="66" t="s">
        <v>260</v>
      </c>
      <c r="C34" s="286">
        <v>23234462</v>
      </c>
      <c r="D34" s="286">
        <v>23234462</v>
      </c>
      <c r="E34" s="286">
        <v>23234462</v>
      </c>
      <c r="F34" s="286">
        <v>23234462</v>
      </c>
      <c r="G34" s="286">
        <v>23234462</v>
      </c>
      <c r="H34" s="286">
        <f t="shared" ref="H34:N34" si="7">G34</f>
        <v>23234462</v>
      </c>
      <c r="I34" s="286">
        <f t="shared" si="7"/>
        <v>23234462</v>
      </c>
      <c r="J34" s="286">
        <f t="shared" si="7"/>
        <v>23234462</v>
      </c>
      <c r="K34" s="286">
        <f t="shared" si="7"/>
        <v>23234462</v>
      </c>
      <c r="L34" s="286">
        <f t="shared" si="7"/>
        <v>23234462</v>
      </c>
      <c r="M34" s="286">
        <f t="shared" si="7"/>
        <v>23234462</v>
      </c>
      <c r="N34" s="286">
        <f t="shared" si="7"/>
        <v>23234462</v>
      </c>
      <c r="O34" s="286">
        <f>N34</f>
        <v>23234462</v>
      </c>
      <c r="P34" s="286">
        <f>O34</f>
        <v>23234462</v>
      </c>
      <c r="Q34" s="286">
        <f>P34</f>
        <v>23234462</v>
      </c>
      <c r="R34" s="286">
        <f>Q34</f>
        <v>23234462</v>
      </c>
      <c r="S34" s="286"/>
      <c r="T34" s="268" t="s">
        <v>269</v>
      </c>
      <c r="U34" s="404"/>
      <c r="V34" s="404"/>
      <c r="W34" s="404"/>
      <c r="AA34" s="25"/>
      <c r="AB34" s="25"/>
      <c r="AC34" s="26"/>
    </row>
    <row r="35" spans="2:29" x14ac:dyDescent="0.25">
      <c r="B35" s="66" t="s">
        <v>261</v>
      </c>
      <c r="C35" s="286">
        <v>19178323</v>
      </c>
      <c r="D35" s="286">
        <v>9436936</v>
      </c>
      <c r="E35" s="286">
        <v>9626402</v>
      </c>
      <c r="F35" s="286">
        <v>9595097</v>
      </c>
      <c r="G35" s="286">
        <v>9834193</v>
      </c>
      <c r="H35" s="286">
        <v>12498073</v>
      </c>
      <c r="I35" s="286">
        <v>12128944</v>
      </c>
      <c r="J35" s="286">
        <v>13706993</v>
      </c>
      <c r="K35" s="286">
        <f>J35+O18</f>
        <v>15455923.220000001</v>
      </c>
      <c r="L35" s="286">
        <v>14203893.559999999</v>
      </c>
      <c r="M35" s="286">
        <v>16528522</v>
      </c>
      <c r="N35" s="286">
        <f>N34-N36</f>
        <v>14009958.359999999</v>
      </c>
      <c r="O35" s="286">
        <f>N35+U18</f>
        <v>14642186.342142856</v>
      </c>
      <c r="P35" s="286">
        <f>O35</f>
        <v>14642186.342142856</v>
      </c>
      <c r="Q35" s="286">
        <f>P35+V18</f>
        <v>15479710.192142857</v>
      </c>
      <c r="R35" s="286">
        <f>R34-R36</f>
        <v>17140116.829999998</v>
      </c>
      <c r="S35" s="286"/>
      <c r="T35" s="268"/>
      <c r="U35" s="404"/>
      <c r="V35" s="404"/>
      <c r="W35" s="404"/>
    </row>
    <row r="36" spans="2:29" x14ac:dyDescent="0.25">
      <c r="B36" s="66" t="s">
        <v>262</v>
      </c>
      <c r="C36" s="287">
        <f t="shared" ref="C36:H36" si="8">C34-C35</f>
        <v>4056139</v>
      </c>
      <c r="D36" s="287">
        <f t="shared" si="8"/>
        <v>13797526</v>
      </c>
      <c r="E36" s="287">
        <f t="shared" si="8"/>
        <v>13608060</v>
      </c>
      <c r="F36" s="287">
        <f t="shared" si="8"/>
        <v>13639365</v>
      </c>
      <c r="G36" s="287">
        <f t="shared" si="8"/>
        <v>13400269</v>
      </c>
      <c r="H36" s="287">
        <f t="shared" si="8"/>
        <v>10736389</v>
      </c>
      <c r="I36" s="287">
        <f t="shared" ref="I36:L36" si="9">I34-I35</f>
        <v>11105518</v>
      </c>
      <c r="J36" s="287">
        <f t="shared" si="9"/>
        <v>9527469</v>
      </c>
      <c r="K36" s="287">
        <f>O22</f>
        <v>7722475.4600000018</v>
      </c>
      <c r="L36" s="287">
        <f t="shared" si="9"/>
        <v>9030568.4400000013</v>
      </c>
      <c r="M36" s="287">
        <f>M34-M35</f>
        <v>6705940</v>
      </c>
      <c r="N36" s="287">
        <f>S22</f>
        <v>9224503.6400000006</v>
      </c>
      <c r="O36" s="287">
        <f>O34-O35</f>
        <v>8592275.6578571443</v>
      </c>
      <c r="P36" s="287">
        <f>P34-P35</f>
        <v>8592275.6578571443</v>
      </c>
      <c r="Q36" s="287">
        <f>Q34-Q35</f>
        <v>7754751.8078571428</v>
      </c>
      <c r="R36" s="287">
        <f>W22</f>
        <v>6094345.1699999999</v>
      </c>
      <c r="S36" s="287"/>
      <c r="T36" s="268"/>
      <c r="U36" s="404"/>
      <c r="V36" s="404"/>
      <c r="W36" s="404"/>
    </row>
    <row r="37" spans="2:29" x14ac:dyDescent="0.25">
      <c r="B37" s="66" t="s">
        <v>263</v>
      </c>
      <c r="C37" s="287">
        <v>13103567</v>
      </c>
      <c r="D37" s="287">
        <v>3803379</v>
      </c>
      <c r="E37" s="287"/>
      <c r="F37" s="287"/>
      <c r="G37" s="287">
        <f t="shared" ref="G37:Q37" si="10">G38-G35</f>
        <v>2548651</v>
      </c>
      <c r="H37" s="287">
        <f t="shared" si="10"/>
        <v>5930326</v>
      </c>
      <c r="I37" s="287">
        <f t="shared" si="10"/>
        <v>5735230</v>
      </c>
      <c r="J37" s="287">
        <f t="shared" si="10"/>
        <v>5712270</v>
      </c>
      <c r="K37" s="287">
        <f t="shared" si="10"/>
        <v>5712269.9999999981</v>
      </c>
      <c r="L37" s="287">
        <f t="shared" si="10"/>
        <v>5012213.4400000013</v>
      </c>
      <c r="M37" s="287">
        <f t="shared" si="10"/>
        <v>5394952</v>
      </c>
      <c r="N37" s="287">
        <f t="shared" si="10"/>
        <v>3961836.7089630179</v>
      </c>
      <c r="O37" s="287">
        <f t="shared" si="10"/>
        <v>7188464.6578571443</v>
      </c>
      <c r="P37" s="287">
        <f t="shared" si="10"/>
        <v>7369422.6578571443</v>
      </c>
      <c r="Q37" s="287">
        <f t="shared" si="10"/>
        <v>7369422.6578571443</v>
      </c>
      <c r="R37" s="287">
        <f t="shared" ref="R37" si="11">R38-R35</f>
        <v>32060772.57</v>
      </c>
      <c r="S37" s="287"/>
      <c r="T37" s="268"/>
      <c r="U37" s="404"/>
      <c r="V37" s="404"/>
      <c r="W37" s="404"/>
    </row>
    <row r="38" spans="2:29" x14ac:dyDescent="0.25">
      <c r="B38" s="270" t="s">
        <v>645</v>
      </c>
      <c r="C38" s="288">
        <v>32325017</v>
      </c>
      <c r="D38" s="288">
        <v>12031777</v>
      </c>
      <c r="E38" s="288">
        <v>12148021</v>
      </c>
      <c r="F38" s="288">
        <v>12218930</v>
      </c>
      <c r="G38" s="288">
        <v>12382844</v>
      </c>
      <c r="H38" s="288">
        <v>18428399</v>
      </c>
      <c r="I38" s="288">
        <v>17864174</v>
      </c>
      <c r="J38" s="289">
        <v>19419263</v>
      </c>
      <c r="K38" s="288">
        <f>J38+O18</f>
        <v>21168193.219999999</v>
      </c>
      <c r="L38" s="288">
        <f>19216107</f>
        <v>19216107</v>
      </c>
      <c r="M38" s="288">
        <v>21923474</v>
      </c>
      <c r="N38" s="288">
        <f>T55</f>
        <v>17971795.068963017</v>
      </c>
      <c r="O38" s="288">
        <v>21830651</v>
      </c>
      <c r="P38" s="288">
        <v>22011609</v>
      </c>
      <c r="Q38" s="288">
        <f>P38+V18</f>
        <v>22849132.850000001</v>
      </c>
      <c r="R38" s="288">
        <f>47540482+W18</f>
        <v>49200889.399999999</v>
      </c>
      <c r="S38" s="287"/>
      <c r="T38" s="268" t="s">
        <v>269</v>
      </c>
      <c r="U38" s="404"/>
      <c r="V38" s="404"/>
      <c r="W38" s="404"/>
    </row>
    <row r="39" spans="2:29" x14ac:dyDescent="0.25">
      <c r="B39" s="66" t="s">
        <v>264</v>
      </c>
      <c r="C39" s="26"/>
      <c r="D39" s="287">
        <f>C35-D35</f>
        <v>9741387</v>
      </c>
      <c r="E39" s="287"/>
      <c r="F39" s="287"/>
      <c r="G39" s="287"/>
      <c r="H39" s="287"/>
      <c r="I39" s="287"/>
      <c r="J39" s="287"/>
      <c r="K39" s="287"/>
      <c r="L39" s="287"/>
      <c r="M39" s="287"/>
      <c r="N39" s="287"/>
      <c r="O39" s="287"/>
      <c r="P39" s="287"/>
      <c r="Q39" s="287"/>
      <c r="R39" s="287"/>
      <c r="S39" s="287"/>
      <c r="T39" s="268" t="s">
        <v>267</v>
      </c>
      <c r="U39" s="404"/>
      <c r="V39" s="404"/>
      <c r="W39" s="404"/>
    </row>
    <row r="40" spans="2:29" x14ac:dyDescent="0.25">
      <c r="B40" s="66" t="s">
        <v>265</v>
      </c>
      <c r="C40" s="26"/>
      <c r="D40" s="287">
        <f>D42-D39</f>
        <v>2728214.0199999996</v>
      </c>
      <c r="E40" s="287"/>
      <c r="F40" s="287"/>
      <c r="G40" s="287"/>
      <c r="H40" s="287"/>
      <c r="I40" s="287"/>
      <c r="J40" s="287"/>
      <c r="K40" s="287"/>
      <c r="L40" s="287"/>
      <c r="M40" s="287"/>
      <c r="N40" s="287"/>
      <c r="O40" s="287"/>
      <c r="P40" s="287"/>
      <c r="Q40" s="287"/>
      <c r="R40" s="287"/>
      <c r="S40" s="287"/>
      <c r="T40" s="268" t="s">
        <v>267</v>
      </c>
      <c r="U40" s="404"/>
      <c r="V40" s="404"/>
      <c r="W40" s="404"/>
    </row>
    <row r="41" spans="2:29" x14ac:dyDescent="0.25">
      <c r="B41" s="66"/>
      <c r="C41" s="26"/>
      <c r="D41" s="287"/>
      <c r="E41" s="287"/>
      <c r="F41" s="287"/>
      <c r="G41" s="287"/>
      <c r="H41" s="287"/>
      <c r="I41" s="287"/>
      <c r="J41" s="287"/>
      <c r="K41" s="287"/>
      <c r="L41" s="287"/>
      <c r="M41" s="287"/>
      <c r="N41" s="287"/>
      <c r="O41" s="287"/>
      <c r="P41" s="287"/>
      <c r="Q41" s="287"/>
      <c r="R41" s="287"/>
      <c r="S41" s="287"/>
      <c r="T41" s="268"/>
      <c r="U41" s="404"/>
      <c r="V41" s="404"/>
      <c r="W41" s="404"/>
    </row>
    <row r="42" spans="2:29" x14ac:dyDescent="0.25">
      <c r="B42" s="271" t="s">
        <v>266</v>
      </c>
      <c r="C42" s="288"/>
      <c r="D42" s="289">
        <v>12469601.02</v>
      </c>
      <c r="E42" s="289"/>
      <c r="F42" s="289"/>
      <c r="G42" s="289"/>
      <c r="H42" s="289"/>
      <c r="I42" s="289"/>
      <c r="J42" s="289"/>
      <c r="K42" s="289"/>
      <c r="L42" s="289"/>
      <c r="M42" s="289"/>
      <c r="N42" s="289"/>
      <c r="O42" s="289"/>
      <c r="P42" s="289"/>
      <c r="Q42" s="286"/>
      <c r="R42" s="286"/>
      <c r="S42" s="286"/>
      <c r="T42" s="268" t="s">
        <v>268</v>
      </c>
      <c r="U42" s="404"/>
      <c r="V42" s="404"/>
      <c r="W42" s="404"/>
    </row>
    <row r="43" spans="2:29" x14ac:dyDescent="0.25">
      <c r="B43" s="270" t="s">
        <v>49</v>
      </c>
      <c r="C43" s="288"/>
      <c r="D43" s="288">
        <f>15675627.21</f>
        <v>15675627.210000001</v>
      </c>
      <c r="E43" s="288"/>
      <c r="F43" s="288"/>
      <c r="G43" s="288">
        <f>I22</f>
        <v>13400268.460000001</v>
      </c>
      <c r="H43" s="288"/>
      <c r="I43" s="288"/>
      <c r="J43" s="288"/>
      <c r="K43" s="288"/>
      <c r="L43" s="288"/>
      <c r="M43" s="288"/>
      <c r="N43" s="288"/>
      <c r="O43" s="288"/>
      <c r="P43" s="288"/>
      <c r="Q43" s="287"/>
      <c r="R43" s="287"/>
      <c r="S43" s="287"/>
      <c r="T43" s="268" t="s">
        <v>269</v>
      </c>
      <c r="U43" s="404"/>
      <c r="V43" s="404"/>
      <c r="W43" s="404"/>
    </row>
    <row r="44" spans="2:29" x14ac:dyDescent="0.25">
      <c r="B44" s="66"/>
      <c r="C44" s="26"/>
      <c r="D44" s="26"/>
      <c r="E44" s="26"/>
      <c r="F44" s="26"/>
      <c r="G44" s="26"/>
      <c r="H44" s="26"/>
      <c r="I44" s="26"/>
      <c r="J44" s="26"/>
      <c r="K44" s="26"/>
      <c r="L44" s="26"/>
      <c r="M44" s="26"/>
      <c r="N44" s="26"/>
      <c r="O44" s="26"/>
      <c r="P44" s="26"/>
      <c r="Q44" s="26"/>
      <c r="R44" s="26"/>
      <c r="S44" s="26"/>
      <c r="T44" s="269"/>
      <c r="U44" s="405"/>
      <c r="V44" s="405"/>
      <c r="W44" s="405"/>
    </row>
    <row r="45" spans="2:29" ht="15.75" thickBot="1" x14ac:dyDescent="0.3">
      <c r="B45" s="71"/>
      <c r="C45" s="265"/>
      <c r="D45" s="266"/>
      <c r="E45" s="266"/>
      <c r="F45" s="266"/>
      <c r="G45" s="266"/>
      <c r="H45" s="266"/>
      <c r="I45" s="266"/>
      <c r="J45" s="266"/>
      <c r="K45" s="266"/>
      <c r="L45" s="266"/>
      <c r="M45" s="266"/>
      <c r="N45" s="266"/>
      <c r="O45" s="266"/>
      <c r="P45" s="266"/>
      <c r="Q45" s="266"/>
      <c r="R45" s="266"/>
      <c r="S45" s="266"/>
      <c r="T45" s="75"/>
    </row>
    <row r="48" spans="2:29" x14ac:dyDescent="0.25">
      <c r="J48" s="103"/>
      <c r="K48" s="25" t="s">
        <v>781</v>
      </c>
      <c r="L48" s="25">
        <f>NAV!M24</f>
        <v>1.1616899999999999</v>
      </c>
    </row>
    <row r="49" spans="1:29" x14ac:dyDescent="0.25">
      <c r="J49" s="103"/>
      <c r="S49" s="25" t="s">
        <v>757</v>
      </c>
      <c r="T49" s="103">
        <f>S8</f>
        <v>16528521.59</v>
      </c>
    </row>
    <row r="50" spans="1:29" x14ac:dyDescent="0.25">
      <c r="A50" s="26"/>
      <c r="S50" s="25" t="s">
        <v>758</v>
      </c>
      <c r="T50" s="103">
        <f>S15+S16</f>
        <v>-4390637.74</v>
      </c>
      <c r="AA50" s="25"/>
      <c r="AB50" s="25"/>
      <c r="AC50" s="26"/>
    </row>
    <row r="51" spans="1:29" x14ac:dyDescent="0.25">
      <c r="B51" s="26"/>
      <c r="C51" s="26"/>
      <c r="D51" s="26"/>
      <c r="E51" s="26"/>
      <c r="S51" s="25" t="s">
        <v>759</v>
      </c>
      <c r="T51" s="103">
        <f>S18</f>
        <v>1872074.3800000001</v>
      </c>
      <c r="AA51" s="25"/>
      <c r="AB51" s="25"/>
      <c r="AC51" s="26"/>
    </row>
    <row r="52" spans="1:29" x14ac:dyDescent="0.25">
      <c r="B52" s="26"/>
      <c r="C52" s="26"/>
      <c r="D52" s="26"/>
      <c r="E52" s="26"/>
      <c r="T52" s="103">
        <f>SUM(T49:T51)</f>
        <v>14009958.23</v>
      </c>
      <c r="AA52" s="25"/>
      <c r="AB52" s="25"/>
      <c r="AC52" s="26"/>
    </row>
    <row r="53" spans="1:29" x14ac:dyDescent="0.25">
      <c r="B53" s="26"/>
      <c r="C53" s="26"/>
      <c r="D53" s="26"/>
      <c r="E53" s="26"/>
      <c r="S53" s="25" t="s">
        <v>756</v>
      </c>
      <c r="T53" s="25">
        <f>(T49+T50)/T49</f>
        <v>0.73435992347576928</v>
      </c>
      <c r="AA53" s="25"/>
      <c r="AB53" s="25"/>
      <c r="AC53" s="26"/>
    </row>
    <row r="54" spans="1:29" x14ac:dyDescent="0.25">
      <c r="S54" s="25" t="s">
        <v>760</v>
      </c>
      <c r="T54" s="103">
        <f>M38</f>
        <v>21923474</v>
      </c>
    </row>
    <row r="55" spans="1:29" x14ac:dyDescent="0.25">
      <c r="S55" s="25" t="s">
        <v>761</v>
      </c>
      <c r="T55" s="103">
        <f>T53*T54+T51</f>
        <v>17971795.068963017</v>
      </c>
    </row>
  </sheetData>
  <phoneticPr fontId="74"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O50"/>
  <sheetViews>
    <sheetView topLeftCell="A14" zoomScale="85" zoomScaleNormal="85" workbookViewId="0">
      <selection activeCell="D47" sqref="D47"/>
    </sheetView>
  </sheetViews>
  <sheetFormatPr defaultColWidth="9.140625" defaultRowHeight="15" x14ac:dyDescent="0.25"/>
  <cols>
    <col min="1" max="1" width="9.140625" style="485"/>
    <col min="2" max="2" width="40.42578125" style="486" customWidth="1"/>
    <col min="3" max="3" width="14.5703125" style="486" customWidth="1"/>
    <col min="4" max="4" width="19" style="486" bestFit="1" customWidth="1"/>
    <col min="5" max="5" width="16.7109375" style="486" customWidth="1"/>
    <col min="6" max="6" width="24.140625" style="486" customWidth="1"/>
    <col min="7" max="7" width="16.140625" style="486" customWidth="1"/>
    <col min="8" max="10" width="16.140625" style="485" customWidth="1"/>
    <col min="11" max="11" width="14.42578125" style="485" customWidth="1"/>
    <col min="12" max="12" width="21.5703125" style="485" customWidth="1"/>
    <col min="13" max="13" width="18" style="485" customWidth="1"/>
    <col min="14" max="16384" width="9.140625" style="485"/>
  </cols>
  <sheetData>
    <row r="2" spans="2:14" x14ac:dyDescent="0.25">
      <c r="B2" s="524"/>
      <c r="C2" s="524"/>
      <c r="D2" s="524"/>
      <c r="E2" s="524"/>
      <c r="F2" s="524"/>
      <c r="G2" s="524"/>
      <c r="H2" s="525"/>
      <c r="I2" s="525"/>
      <c r="J2" s="525"/>
    </row>
    <row r="3" spans="2:14" x14ac:dyDescent="0.25">
      <c r="B3" s="520" t="s">
        <v>772</v>
      </c>
      <c r="C3" s="519"/>
      <c r="D3" s="520"/>
      <c r="E3" s="519"/>
      <c r="F3" s="519"/>
      <c r="G3" s="519"/>
      <c r="H3" s="521"/>
      <c r="I3" s="521"/>
      <c r="J3" s="521"/>
      <c r="K3" s="527"/>
    </row>
    <row r="4" spans="2:14" ht="24" customHeight="1" x14ac:dyDescent="0.25">
      <c r="B4" s="504"/>
      <c r="C4" s="504"/>
      <c r="D4" s="504" t="s">
        <v>32</v>
      </c>
      <c r="E4" s="504" t="s">
        <v>2</v>
      </c>
      <c r="F4" s="504" t="s">
        <v>49</v>
      </c>
      <c r="G4" s="504" t="s">
        <v>33</v>
      </c>
      <c r="H4" s="504" t="s">
        <v>27</v>
      </c>
      <c r="I4" s="504" t="s">
        <v>162</v>
      </c>
      <c r="J4" s="505" t="s">
        <v>34</v>
      </c>
      <c r="K4" s="528"/>
    </row>
    <row r="5" spans="2:14" x14ac:dyDescent="0.25">
      <c r="B5" s="4" t="s">
        <v>670</v>
      </c>
      <c r="C5" s="522">
        <v>3.125E-2</v>
      </c>
      <c r="D5" s="17">
        <v>1172.3272509999999</v>
      </c>
      <c r="E5" s="17">
        <v>185.42965599999999</v>
      </c>
      <c r="F5" s="17">
        <f>D5-E5</f>
        <v>986.89759499999991</v>
      </c>
      <c r="G5" s="17">
        <v>0</v>
      </c>
      <c r="H5" s="17">
        <f>315.811679</f>
        <v>315.81167900000003</v>
      </c>
      <c r="I5" s="17">
        <f>H5-E5</f>
        <v>130.38202300000003</v>
      </c>
      <c r="J5" s="10">
        <f>(H5+G5)/E5</f>
        <v>1.703134686287721</v>
      </c>
      <c r="K5" s="15"/>
    </row>
    <row r="6" spans="2:14" x14ac:dyDescent="0.25">
      <c r="B6" s="4" t="s">
        <v>754</v>
      </c>
      <c r="D6" s="526">
        <v>27.672749</v>
      </c>
      <c r="E6" s="17">
        <f>D6</f>
        <v>27.672749</v>
      </c>
      <c r="G6" s="17">
        <v>0</v>
      </c>
      <c r="H6" s="17">
        <v>41.594050000000003</v>
      </c>
      <c r="I6" s="17">
        <f>H6-E6</f>
        <v>13.921301000000003</v>
      </c>
      <c r="J6" s="10">
        <f>(H6+G6)/E6</f>
        <v>1.503068957840076</v>
      </c>
      <c r="K6" s="15"/>
    </row>
    <row r="7" spans="2:14" x14ac:dyDescent="0.25">
      <c r="B7" s="4" t="s">
        <v>709</v>
      </c>
      <c r="C7" s="506"/>
      <c r="D7" s="17">
        <v>775</v>
      </c>
      <c r="E7" s="17">
        <v>312.49955899999998</v>
      </c>
      <c r="F7" s="17">
        <v>462.50044100000002</v>
      </c>
      <c r="G7" s="17">
        <v>0</v>
      </c>
      <c r="H7" s="17">
        <v>520.74653499999999</v>
      </c>
      <c r="I7" s="17">
        <f>H7-E7</f>
        <v>208.24697600000002</v>
      </c>
      <c r="J7" s="10">
        <f>(H7+G7)/E7</f>
        <v>1.6663912636113514</v>
      </c>
      <c r="K7" s="15"/>
    </row>
    <row r="8" spans="2:14" x14ac:dyDescent="0.25">
      <c r="B8" s="4" t="s">
        <v>667</v>
      </c>
      <c r="C8" s="506"/>
      <c r="D8" s="17">
        <v>25</v>
      </c>
      <c r="E8" s="17">
        <v>25</v>
      </c>
      <c r="F8" s="17">
        <v>0</v>
      </c>
      <c r="G8" s="17">
        <v>0</v>
      </c>
      <c r="H8" s="17">
        <v>25</v>
      </c>
      <c r="I8" s="17">
        <v>0</v>
      </c>
      <c r="J8" s="10">
        <f>(H8+G8)/E8</f>
        <v>1</v>
      </c>
      <c r="K8" s="15"/>
    </row>
    <row r="10" spans="2:14" x14ac:dyDescent="0.25">
      <c r="K10" s="527"/>
    </row>
    <row r="11" spans="2:14" x14ac:dyDescent="0.25">
      <c r="B11" s="523" t="s">
        <v>773</v>
      </c>
      <c r="C11" s="519"/>
      <c r="D11" s="520"/>
      <c r="E11" s="519"/>
      <c r="F11" s="519"/>
      <c r="G11" s="519"/>
      <c r="H11" s="521"/>
      <c r="I11" s="521"/>
      <c r="J11" s="521"/>
      <c r="K11" s="528"/>
    </row>
    <row r="12" spans="2:14" ht="24" customHeight="1" x14ac:dyDescent="0.25">
      <c r="B12" s="504"/>
      <c r="C12" s="504"/>
      <c r="D12" s="504" t="s">
        <v>32</v>
      </c>
      <c r="E12" s="504" t="s">
        <v>2</v>
      </c>
      <c r="F12" s="504" t="s">
        <v>49</v>
      </c>
      <c r="G12" s="504" t="s">
        <v>33</v>
      </c>
      <c r="H12" s="504" t="s">
        <v>27</v>
      </c>
      <c r="I12" s="504" t="s">
        <v>162</v>
      </c>
      <c r="J12" s="505" t="s">
        <v>34</v>
      </c>
      <c r="K12" s="15"/>
    </row>
    <row r="13" spans="2:14" x14ac:dyDescent="0.25">
      <c r="B13" s="4" t="s">
        <v>670</v>
      </c>
      <c r="C13" s="522">
        <v>3.125E-2</v>
      </c>
      <c r="D13" s="17">
        <f t="shared" ref="D13:I13" si="0">D5+D6</f>
        <v>1200</v>
      </c>
      <c r="E13" s="17">
        <f t="shared" si="0"/>
        <v>213.102405</v>
      </c>
      <c r="F13" s="17">
        <f t="shared" si="0"/>
        <v>986.89759499999991</v>
      </c>
      <c r="G13" s="17">
        <f t="shared" si="0"/>
        <v>0</v>
      </c>
      <c r="H13" s="510">
        <f t="shared" si="0"/>
        <v>357.40572900000001</v>
      </c>
      <c r="I13" s="17">
        <f t="shared" si="0"/>
        <v>144.30332400000003</v>
      </c>
      <c r="J13" s="10">
        <f>(G13+H13)/E13</f>
        <v>1.6771548354885999</v>
      </c>
      <c r="K13" s="15"/>
      <c r="L13" s="538"/>
      <c r="N13" s="539"/>
    </row>
    <row r="14" spans="2:14" x14ac:dyDescent="0.25">
      <c r="B14" s="4" t="s">
        <v>709</v>
      </c>
      <c r="C14" s="522"/>
      <c r="D14" s="17">
        <f t="shared" ref="D14:I15" si="1">D7</f>
        <v>775</v>
      </c>
      <c r="E14" s="17">
        <f t="shared" si="1"/>
        <v>312.49955899999998</v>
      </c>
      <c r="F14" s="17">
        <f t="shared" si="1"/>
        <v>462.50044100000002</v>
      </c>
      <c r="G14" s="17">
        <f t="shared" si="1"/>
        <v>0</v>
      </c>
      <c r="H14" s="17">
        <f t="shared" si="1"/>
        <v>520.74653499999999</v>
      </c>
      <c r="I14" s="17">
        <f t="shared" si="1"/>
        <v>208.24697600000002</v>
      </c>
      <c r="J14" s="10">
        <f>(G14+H14)/E14</f>
        <v>1.6663912636113514</v>
      </c>
      <c r="L14" s="538"/>
      <c r="N14" s="539"/>
    </row>
    <row r="15" spans="2:14" x14ac:dyDescent="0.25">
      <c r="B15" s="4" t="s">
        <v>667</v>
      </c>
      <c r="C15" s="506"/>
      <c r="D15" s="17">
        <f t="shared" si="1"/>
        <v>25</v>
      </c>
      <c r="E15" s="17">
        <f t="shared" si="1"/>
        <v>25</v>
      </c>
      <c r="F15" s="17">
        <f t="shared" si="1"/>
        <v>0</v>
      </c>
      <c r="G15" s="17">
        <f t="shared" si="1"/>
        <v>0</v>
      </c>
      <c r="H15" s="17">
        <f t="shared" si="1"/>
        <v>25</v>
      </c>
      <c r="I15" s="17">
        <f t="shared" si="1"/>
        <v>0</v>
      </c>
      <c r="J15" s="10">
        <f>(G15+H15)/E15</f>
        <v>1</v>
      </c>
    </row>
    <row r="16" spans="2:14" x14ac:dyDescent="0.25">
      <c r="B16" s="4" t="s">
        <v>757</v>
      </c>
      <c r="C16" s="522"/>
      <c r="D16" s="2">
        <f>10526.59*10^-6</f>
        <v>1.0526589999999999E-2</v>
      </c>
    </row>
    <row r="17" spans="2:12" x14ac:dyDescent="0.25">
      <c r="B17" s="541"/>
    </row>
    <row r="18" spans="2:12" x14ac:dyDescent="0.25">
      <c r="B18" s="523" t="s">
        <v>782</v>
      </c>
      <c r="C18" s="519"/>
      <c r="D18" s="520"/>
      <c r="E18" s="519"/>
      <c r="F18" s="519"/>
      <c r="G18" s="519"/>
      <c r="H18" s="521"/>
      <c r="I18" s="521"/>
      <c r="J18" s="521"/>
    </row>
    <row r="19" spans="2:12" ht="24" customHeight="1" x14ac:dyDescent="0.25">
      <c r="B19" s="504"/>
      <c r="C19" s="504"/>
      <c r="D19" s="504" t="s">
        <v>32</v>
      </c>
      <c r="E19" s="504" t="s">
        <v>2</v>
      </c>
      <c r="F19" s="504" t="s">
        <v>49</v>
      </c>
      <c r="G19" s="504" t="s">
        <v>33</v>
      </c>
      <c r="H19" s="504" t="s">
        <v>27</v>
      </c>
      <c r="I19" s="504" t="s">
        <v>162</v>
      </c>
      <c r="J19" s="505" t="s">
        <v>34</v>
      </c>
    </row>
    <row r="20" spans="2:12" x14ac:dyDescent="0.25">
      <c r="B20" s="4" t="s">
        <v>670</v>
      </c>
      <c r="C20" s="522">
        <v>3.125E-2</v>
      </c>
      <c r="D20" s="17">
        <f>D13</f>
        <v>1200</v>
      </c>
      <c r="E20" s="17">
        <f>E13+D16</f>
        <v>213.11293159000002</v>
      </c>
      <c r="F20" s="17">
        <f>D20-E20</f>
        <v>986.88706840999998</v>
      </c>
      <c r="G20" s="17">
        <f>G13</f>
        <v>0</v>
      </c>
      <c r="H20" s="17">
        <f>(L20+L22)/1000000</f>
        <v>413.11111299999999</v>
      </c>
      <c r="I20" s="17">
        <f>G20+H20-E20</f>
        <v>199.99818140999997</v>
      </c>
      <c r="J20" s="10">
        <f>(G20+H20)/E20</f>
        <v>1.9384610305805796</v>
      </c>
      <c r="L20" s="547">
        <v>364626350</v>
      </c>
    </row>
    <row r="21" spans="2:12" x14ac:dyDescent="0.25">
      <c r="B21" s="4" t="s">
        <v>709</v>
      </c>
      <c r="C21" s="522"/>
      <c r="D21" s="17">
        <f>D14</f>
        <v>775</v>
      </c>
      <c r="E21" s="17">
        <f>E14</f>
        <v>312.49955899999998</v>
      </c>
      <c r="F21" s="17">
        <f>F14</f>
        <v>462.50044100000002</v>
      </c>
      <c r="G21" s="17">
        <f>G14</f>
        <v>0</v>
      </c>
      <c r="H21" s="17">
        <f t="shared" ref="H21" si="2">L21/1000000</f>
        <v>741.85678600000006</v>
      </c>
      <c r="I21" s="17">
        <f t="shared" ref="I21:I22" si="3">G21+H21-E21</f>
        <v>429.35722700000008</v>
      </c>
      <c r="J21" s="10">
        <f>(G21+H21)/E21</f>
        <v>2.3739450653112764</v>
      </c>
      <c r="L21" s="547">
        <v>741856786</v>
      </c>
    </row>
    <row r="22" spans="2:12" x14ac:dyDescent="0.25">
      <c r="B22" s="4" t="s">
        <v>667</v>
      </c>
      <c r="C22" s="506"/>
      <c r="D22" s="17">
        <f>D15</f>
        <v>25</v>
      </c>
      <c r="E22" s="17">
        <f>E15</f>
        <v>25</v>
      </c>
      <c r="F22" s="17">
        <f>F15</f>
        <v>0</v>
      </c>
      <c r="G22" s="17">
        <f>G15</f>
        <v>0</v>
      </c>
      <c r="H22" s="17">
        <f>D22</f>
        <v>25</v>
      </c>
      <c r="I22" s="17">
        <f t="shared" si="3"/>
        <v>0</v>
      </c>
      <c r="J22" s="10">
        <f>(G22+H22)/E22</f>
        <v>1</v>
      </c>
      <c r="L22" s="547">
        <v>48484763</v>
      </c>
    </row>
    <row r="24" spans="2:12" x14ac:dyDescent="0.25">
      <c r="B24" s="4" t="s">
        <v>809</v>
      </c>
      <c r="C24" s="17">
        <v>85.72739584</v>
      </c>
    </row>
    <row r="25" spans="2:12" x14ac:dyDescent="0.25">
      <c r="B25" s="523" t="s">
        <v>808</v>
      </c>
      <c r="C25" s="519"/>
      <c r="D25" s="520"/>
      <c r="E25" s="519"/>
      <c r="F25" s="519"/>
      <c r="G25" s="519"/>
      <c r="H25" s="521"/>
      <c r="I25" s="521"/>
      <c r="J25" s="521"/>
    </row>
    <row r="26" spans="2:12" ht="24" customHeight="1" x14ac:dyDescent="0.25">
      <c r="B26" s="504"/>
      <c r="C26" s="504"/>
      <c r="D26" s="504" t="s">
        <v>32</v>
      </c>
      <c r="E26" s="504" t="s">
        <v>2</v>
      </c>
      <c r="F26" s="504" t="s">
        <v>49</v>
      </c>
      <c r="G26" s="504" t="s">
        <v>33</v>
      </c>
      <c r="H26" s="504" t="s">
        <v>27</v>
      </c>
      <c r="I26" s="504" t="s">
        <v>162</v>
      </c>
      <c r="J26" s="505" t="s">
        <v>34</v>
      </c>
    </row>
    <row r="27" spans="2:12" x14ac:dyDescent="0.25">
      <c r="B27" s="4" t="s">
        <v>670</v>
      </c>
      <c r="C27" s="522">
        <v>3.125E-2</v>
      </c>
      <c r="D27" s="17">
        <f>D20</f>
        <v>1200</v>
      </c>
      <c r="E27" s="17">
        <f>E20+$C$24</f>
        <v>298.84032743</v>
      </c>
      <c r="F27" s="17">
        <f>D27-E27</f>
        <v>901.15967257</v>
      </c>
      <c r="G27" s="17">
        <f>G20</f>
        <v>0</v>
      </c>
      <c r="H27" s="17">
        <f>H20+$C$24</f>
        <v>498.83850883999997</v>
      </c>
      <c r="I27" s="17">
        <f>G27+H27-E27</f>
        <v>199.99818140999997</v>
      </c>
      <c r="J27" s="10">
        <f>(G27+H27)/E27</f>
        <v>1.6692476317703384</v>
      </c>
    </row>
    <row r="28" spans="2:12" x14ac:dyDescent="0.25">
      <c r="B28" s="4" t="s">
        <v>709</v>
      </c>
      <c r="C28" s="522"/>
      <c r="D28" s="17">
        <f>D21</f>
        <v>775</v>
      </c>
      <c r="E28" s="17">
        <f>E21</f>
        <v>312.49955899999998</v>
      </c>
      <c r="F28" s="17">
        <f t="shared" ref="F28:H28" si="4">F21</f>
        <v>462.50044100000002</v>
      </c>
      <c r="G28" s="17">
        <f t="shared" si="4"/>
        <v>0</v>
      </c>
      <c r="H28" s="17">
        <f t="shared" si="4"/>
        <v>741.85678600000006</v>
      </c>
      <c r="I28" s="17">
        <f t="shared" ref="I28:I29" si="5">G28+H28-E28</f>
        <v>429.35722700000008</v>
      </c>
      <c r="J28" s="10">
        <f>(G28+H28)/E28</f>
        <v>2.3739450653112764</v>
      </c>
    </row>
    <row r="29" spans="2:12" x14ac:dyDescent="0.25">
      <c r="B29" s="4" t="s">
        <v>667</v>
      </c>
      <c r="C29" s="506"/>
      <c r="D29" s="17">
        <f>D22</f>
        <v>25</v>
      </c>
      <c r="E29" s="17">
        <f t="shared" ref="E29:H29" si="6">E22</f>
        <v>25</v>
      </c>
      <c r="F29" s="17">
        <f t="shared" si="6"/>
        <v>0</v>
      </c>
      <c r="G29" s="17">
        <f t="shared" si="6"/>
        <v>0</v>
      </c>
      <c r="H29" s="17">
        <f t="shared" si="6"/>
        <v>25</v>
      </c>
      <c r="I29" s="17">
        <f t="shared" si="5"/>
        <v>0</v>
      </c>
      <c r="J29" s="10">
        <f>(G29+H29)/E29</f>
        <v>1</v>
      </c>
    </row>
    <row r="31" spans="2:12" x14ac:dyDescent="0.25">
      <c r="B31" s="17" t="s">
        <v>820</v>
      </c>
      <c r="C31" s="17">
        <v>70.445873469999995</v>
      </c>
      <c r="D31" s="17" t="s">
        <v>819</v>
      </c>
      <c r="E31" s="17">
        <v>14.68885249</v>
      </c>
    </row>
    <row r="32" spans="2:12" x14ac:dyDescent="0.25">
      <c r="B32" s="523" t="s">
        <v>808</v>
      </c>
      <c r="C32" s="519"/>
      <c r="D32" s="520"/>
      <c r="E32" s="519"/>
      <c r="F32" s="519"/>
      <c r="G32" s="519"/>
      <c r="H32" s="521"/>
      <c r="I32" s="521"/>
      <c r="J32" s="521"/>
    </row>
    <row r="33" spans="2:15" x14ac:dyDescent="0.25">
      <c r="B33" s="504"/>
      <c r="C33" s="504"/>
      <c r="D33" s="504" t="s">
        <v>32</v>
      </c>
      <c r="E33" s="504" t="s">
        <v>2</v>
      </c>
      <c r="F33" s="504" t="s">
        <v>49</v>
      </c>
      <c r="G33" s="504" t="s">
        <v>33</v>
      </c>
      <c r="H33" s="504" t="s">
        <v>27</v>
      </c>
      <c r="I33" s="504" t="s">
        <v>162</v>
      </c>
      <c r="J33" s="505" t="s">
        <v>34</v>
      </c>
    </row>
    <row r="34" spans="2:15" x14ac:dyDescent="0.25">
      <c r="B34" s="4" t="s">
        <v>670</v>
      </c>
      <c r="C34" s="522">
        <v>3.125E-2</v>
      </c>
      <c r="D34" s="17">
        <f>D27</f>
        <v>1200</v>
      </c>
      <c r="E34" s="17">
        <f>E27+$C$31</f>
        <v>369.28620089999998</v>
      </c>
      <c r="F34" s="17">
        <f>D34-E34</f>
        <v>830.71379909999996</v>
      </c>
      <c r="G34" s="17">
        <f>E31</f>
        <v>14.68885249</v>
      </c>
      <c r="H34" s="17">
        <f>H27+C31-E31</f>
        <v>554.59552981999991</v>
      </c>
      <c r="I34" s="17">
        <f>G34+H34-E34</f>
        <v>199.99818140999997</v>
      </c>
      <c r="J34" s="10">
        <f>(G34+H34)/E34</f>
        <v>1.5415804352358078</v>
      </c>
      <c r="N34" s="486"/>
      <c r="O34" s="17"/>
    </row>
    <row r="35" spans="2:15" x14ac:dyDescent="0.25">
      <c r="B35" s="4" t="s">
        <v>709</v>
      </c>
      <c r="C35" s="522"/>
      <c r="D35" s="17">
        <f>D28</f>
        <v>775</v>
      </c>
      <c r="E35" s="17">
        <f t="shared" ref="E35:H36" si="7">E28</f>
        <v>312.49955899999998</v>
      </c>
      <c r="F35" s="17">
        <f t="shared" si="7"/>
        <v>462.50044100000002</v>
      </c>
      <c r="G35" s="17">
        <f t="shared" si="7"/>
        <v>0</v>
      </c>
      <c r="H35" s="17">
        <f t="shared" si="7"/>
        <v>741.85678600000006</v>
      </c>
      <c r="I35" s="17">
        <f t="shared" ref="I35:I36" si="8">G35+H35-E35</f>
        <v>429.35722700000008</v>
      </c>
      <c r="J35" s="10">
        <f>(G35+H35)/E35</f>
        <v>2.3739450653112764</v>
      </c>
    </row>
    <row r="36" spans="2:15" x14ac:dyDescent="0.25">
      <c r="B36" s="4" t="s">
        <v>667</v>
      </c>
      <c r="C36" s="506"/>
      <c r="D36" s="17">
        <f>D29</f>
        <v>25</v>
      </c>
      <c r="E36" s="17">
        <f t="shared" si="7"/>
        <v>25</v>
      </c>
      <c r="F36" s="17">
        <f t="shared" si="7"/>
        <v>0</v>
      </c>
      <c r="G36" s="17">
        <f t="shared" si="7"/>
        <v>0</v>
      </c>
      <c r="H36" s="17">
        <f t="shared" si="7"/>
        <v>25</v>
      </c>
      <c r="I36" s="17">
        <f t="shared" si="8"/>
        <v>0</v>
      </c>
      <c r="J36" s="10">
        <f>(G36+H36)/E36</f>
        <v>1</v>
      </c>
    </row>
    <row r="38" spans="2:15" x14ac:dyDescent="0.25">
      <c r="E38" s="486">
        <f>-('CF (Funds)'!E84+'CF (Funds)'!E85)</f>
        <v>38.411799510000002</v>
      </c>
      <c r="F38" s="486">
        <f>-'CF (Funds)'!E86</f>
        <v>-19.305945430000001</v>
      </c>
    </row>
    <row r="39" spans="2:15" x14ac:dyDescent="0.25">
      <c r="B39" s="523" t="s">
        <v>835</v>
      </c>
      <c r="C39" s="519"/>
      <c r="D39" s="520"/>
      <c r="E39" s="519"/>
      <c r="F39" s="519"/>
      <c r="G39" s="519"/>
      <c r="H39" s="521"/>
      <c r="I39" s="521"/>
      <c r="J39" s="521"/>
    </row>
    <row r="40" spans="2:15" x14ac:dyDescent="0.25">
      <c r="B40" s="504"/>
      <c r="C40" s="504"/>
      <c r="D40" s="504" t="s">
        <v>32</v>
      </c>
      <c r="E40" s="504" t="s">
        <v>2</v>
      </c>
      <c r="F40" s="504" t="s">
        <v>49</v>
      </c>
      <c r="G40" s="504" t="s">
        <v>33</v>
      </c>
      <c r="H40" s="504" t="s">
        <v>27</v>
      </c>
      <c r="I40" s="504" t="s">
        <v>162</v>
      </c>
      <c r="J40" s="505" t="s">
        <v>34</v>
      </c>
    </row>
    <row r="41" spans="2:15" x14ac:dyDescent="0.25">
      <c r="B41" s="4" t="s">
        <v>670</v>
      </c>
      <c r="C41" s="522">
        <v>3.125E-2</v>
      </c>
      <c r="D41" s="17">
        <f>D34</f>
        <v>1200</v>
      </c>
      <c r="E41" s="17">
        <f>E34+$C$31+E38+F38</f>
        <v>458.83792844999994</v>
      </c>
      <c r="F41" s="17">
        <f>D41-E41</f>
        <v>741.16207155000006</v>
      </c>
      <c r="G41" s="17">
        <f>G34</f>
        <v>14.68885249</v>
      </c>
      <c r="H41" s="17">
        <f>H34+E38+F38+C31</f>
        <v>644.14725737000003</v>
      </c>
      <c r="I41" s="17">
        <f>G41+H41-E41</f>
        <v>199.99818141000014</v>
      </c>
      <c r="J41" s="10">
        <f>(G41+H41)/E41</f>
        <v>1.4358797932978511</v>
      </c>
      <c r="N41" s="486"/>
      <c r="O41" s="17"/>
    </row>
    <row r="42" spans="2:15" x14ac:dyDescent="0.25">
      <c r="B42" s="4" t="s">
        <v>709</v>
      </c>
      <c r="C42" s="522"/>
      <c r="D42" s="17">
        <f>D35</f>
        <v>775</v>
      </c>
      <c r="E42" s="17">
        <f>E35</f>
        <v>312.49955899999998</v>
      </c>
      <c r="F42" s="17">
        <f>F35</f>
        <v>462.50044100000002</v>
      </c>
      <c r="G42" s="17">
        <f>G35</f>
        <v>0</v>
      </c>
      <c r="H42" s="17">
        <f>H35</f>
        <v>741.85678600000006</v>
      </c>
      <c r="I42" s="17">
        <f t="shared" ref="I42:I43" si="9">G42+H42-E42</f>
        <v>429.35722700000008</v>
      </c>
      <c r="J42" s="10">
        <f>(G42+H42)/E42</f>
        <v>2.3739450653112764</v>
      </c>
    </row>
    <row r="43" spans="2:15" x14ac:dyDescent="0.25">
      <c r="B43" s="4" t="s">
        <v>667</v>
      </c>
      <c r="C43" s="506"/>
      <c r="D43" s="17">
        <f>D36</f>
        <v>25</v>
      </c>
      <c r="E43" s="17">
        <f>E36</f>
        <v>25</v>
      </c>
      <c r="F43" s="17">
        <f>F36</f>
        <v>0</v>
      </c>
      <c r="G43" s="17">
        <f>G36</f>
        <v>0</v>
      </c>
      <c r="H43" s="17">
        <f>H36</f>
        <v>25</v>
      </c>
      <c r="I43" s="17">
        <f t="shared" si="9"/>
        <v>0</v>
      </c>
      <c r="J43" s="10">
        <f>(G43+H43)/E43</f>
        <v>1</v>
      </c>
    </row>
    <row r="45" spans="2:15" x14ac:dyDescent="0.25">
      <c r="B45" s="523" t="s">
        <v>879</v>
      </c>
      <c r="C45" s="519"/>
      <c r="D45" s="520"/>
      <c r="E45" s="519"/>
      <c r="F45" s="519"/>
      <c r="G45" s="519"/>
      <c r="H45" s="521"/>
      <c r="I45" s="521"/>
      <c r="J45" s="521"/>
    </row>
    <row r="46" spans="2:15" x14ac:dyDescent="0.25">
      <c r="B46" s="504"/>
      <c r="C46" s="504"/>
      <c r="D46" s="504" t="s">
        <v>32</v>
      </c>
      <c r="E46" s="504" t="s">
        <v>2</v>
      </c>
      <c r="F46" s="504" t="s">
        <v>49</v>
      </c>
      <c r="G46" s="504" t="s">
        <v>33</v>
      </c>
      <c r="H46" s="504" t="s">
        <v>27</v>
      </c>
      <c r="I46" s="504" t="s">
        <v>162</v>
      </c>
      <c r="J46" s="505" t="s">
        <v>34</v>
      </c>
    </row>
    <row r="47" spans="2:15" x14ac:dyDescent="0.25">
      <c r="B47" s="4" t="s">
        <v>670</v>
      </c>
      <c r="C47" s="522">
        <v>3.125E-2</v>
      </c>
      <c r="D47" s="17">
        <v>1524.145076</v>
      </c>
      <c r="E47" s="17">
        <f>D47-F47</f>
        <v>350.8469090000001</v>
      </c>
      <c r="F47" s="17">
        <v>1173.2981669999999</v>
      </c>
      <c r="G47" s="17">
        <v>14.688852000000001</v>
      </c>
      <c r="H47" s="17">
        <v>948.48425199999997</v>
      </c>
      <c r="I47" s="17">
        <f>H47-E47</f>
        <v>597.63734299999987</v>
      </c>
      <c r="J47" s="10">
        <f>(H47+G47)/E47</f>
        <v>2.745280289757376</v>
      </c>
    </row>
    <row r="48" spans="2:15" x14ac:dyDescent="0.25">
      <c r="B48" s="4" t="s">
        <v>754</v>
      </c>
      <c r="C48" s="522"/>
      <c r="D48" s="17">
        <v>35.652963999999997</v>
      </c>
      <c r="E48" s="17">
        <v>35.652963999999997</v>
      </c>
      <c r="F48" s="17">
        <f>D48-E48</f>
        <v>0</v>
      </c>
      <c r="G48" s="17">
        <v>0</v>
      </c>
      <c r="H48" s="17">
        <v>62.794035000000001</v>
      </c>
      <c r="I48" s="17">
        <f>H48-E48</f>
        <v>27.141071000000004</v>
      </c>
      <c r="J48" s="10">
        <f>(H48+G48)/E48</f>
        <v>1.7612570724835108</v>
      </c>
    </row>
    <row r="49" spans="2:10" x14ac:dyDescent="0.25">
      <c r="B49" s="4" t="s">
        <v>709</v>
      </c>
      <c r="C49" s="506"/>
      <c r="D49" s="17">
        <v>296.60196000000002</v>
      </c>
      <c r="E49" s="17">
        <f>D49-F49</f>
        <v>294.25154500000002</v>
      </c>
      <c r="F49" s="17">
        <v>2.3504149999999999</v>
      </c>
      <c r="G49" s="17">
        <v>0</v>
      </c>
      <c r="H49" s="17">
        <v>1180.373331</v>
      </c>
      <c r="I49" s="17">
        <f>H49-E49</f>
        <v>886.12178599999993</v>
      </c>
      <c r="J49" s="10">
        <f>(H49+G49)/E49</f>
        <v>4.0114431038926233</v>
      </c>
    </row>
    <row r="50" spans="2:10" x14ac:dyDescent="0.25">
      <c r="B50" s="4" t="s">
        <v>667</v>
      </c>
      <c r="C50" s="506"/>
      <c r="D50" s="17">
        <f>D43</f>
        <v>25</v>
      </c>
      <c r="E50" s="17">
        <f>E43</f>
        <v>25</v>
      </c>
      <c r="F50" s="17">
        <f>F43</f>
        <v>0</v>
      </c>
      <c r="G50" s="17">
        <f>G43</f>
        <v>0</v>
      </c>
      <c r="H50" s="17">
        <f>H43</f>
        <v>25</v>
      </c>
      <c r="I50" s="17">
        <v>0</v>
      </c>
      <c r="J50" s="10">
        <f>(H50+G50)/E50</f>
        <v>1</v>
      </c>
    </row>
  </sheetData>
  <pageMargins left="0.7" right="0.7" top="0.75" bottom="0.75" header="0.3" footer="0.3"/>
  <headerFooter>
    <oddHeader>&amp;L&amp;"Calibri"&amp;7&amp;KFF0000  &amp;1#_x000D_</oddHeader>
    <oddFooter xml:space="preserve">&amp;L_x000D_&amp;1#&amp;"Calibri"&amp;7&amp;KFF0000 RESTRICTED </oddFooter>
  </headerFooter>
  <ignoredErrors>
    <ignoredError sqref="I35:I3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71"/>
  <sheetViews>
    <sheetView showGridLines="0" zoomScale="80" zoomScaleNormal="80" workbookViewId="0">
      <selection activeCell="X22" sqref="V22:X31"/>
    </sheetView>
  </sheetViews>
  <sheetFormatPr defaultColWidth="9.140625" defaultRowHeight="15" x14ac:dyDescent="0.3"/>
  <cols>
    <col min="1" max="1" width="9.140625" style="183"/>
    <col min="2" max="2" width="12.42578125" style="183" bestFit="1" customWidth="1"/>
    <col min="3" max="3" width="41.42578125" style="301" customWidth="1"/>
    <col min="4" max="19" width="9.140625" style="301"/>
    <col min="20" max="20" width="9.140625" style="183"/>
    <col min="21" max="21" width="21.7109375" style="183" customWidth="1"/>
    <col min="22" max="22" width="9.140625" style="183"/>
    <col min="23" max="23" width="10.28515625" style="183" bestFit="1" customWidth="1"/>
    <col min="24" max="16384" width="9.140625" style="183"/>
  </cols>
  <sheetData>
    <row r="2" spans="2:24" x14ac:dyDescent="0.3">
      <c r="B2" s="469" t="s">
        <v>223</v>
      </c>
      <c r="C2" s="469" t="s">
        <v>224</v>
      </c>
      <c r="D2" s="469"/>
      <c r="E2" s="470"/>
      <c r="F2" s="470"/>
      <c r="G2" s="470"/>
      <c r="H2" s="470"/>
      <c r="I2" s="470"/>
      <c r="J2" s="470"/>
      <c r="K2" s="470"/>
      <c r="L2" s="470"/>
      <c r="M2" s="470"/>
      <c r="N2" s="470"/>
      <c r="O2" s="470"/>
      <c r="P2" s="470"/>
      <c r="Q2" s="470"/>
      <c r="R2" s="470"/>
      <c r="S2" s="470"/>
      <c r="X2" s="290"/>
    </row>
    <row r="3" spans="2:24" x14ac:dyDescent="0.3">
      <c r="B3" s="302" t="s">
        <v>881</v>
      </c>
      <c r="C3" s="298"/>
      <c r="D3" s="299"/>
      <c r="E3" s="300"/>
      <c r="F3" s="300"/>
      <c r="G3" s="300"/>
      <c r="H3" s="300"/>
      <c r="I3" s="300"/>
      <c r="J3" s="300"/>
      <c r="K3" s="300"/>
      <c r="L3" s="300"/>
      <c r="M3" s="300"/>
      <c r="N3" s="300"/>
      <c r="O3" s="300"/>
      <c r="P3" s="300"/>
      <c r="Q3" s="300"/>
      <c r="R3" s="300"/>
      <c r="S3" s="300"/>
      <c r="X3" s="290"/>
    </row>
    <row r="4" spans="2:24" x14ac:dyDescent="0.3">
      <c r="B4" s="483"/>
      <c r="C4" s="301" t="s">
        <v>882</v>
      </c>
      <c r="D4" s="301" t="s">
        <v>883</v>
      </c>
      <c r="E4" s="484"/>
      <c r="F4" s="484"/>
      <c r="G4" s="484"/>
      <c r="H4" s="484"/>
      <c r="I4" s="484"/>
      <c r="J4" s="484"/>
      <c r="K4" s="484"/>
      <c r="L4" s="484"/>
      <c r="M4" s="484"/>
      <c r="N4" s="484"/>
      <c r="O4" s="484"/>
      <c r="P4" s="484"/>
      <c r="Q4" s="484"/>
      <c r="R4" s="484"/>
      <c r="S4" s="484"/>
      <c r="X4" s="290"/>
    </row>
    <row r="5" spans="2:24" x14ac:dyDescent="0.3">
      <c r="B5" s="483"/>
      <c r="C5" s="301" t="s">
        <v>884</v>
      </c>
      <c r="D5" s="301" t="s">
        <v>883</v>
      </c>
      <c r="E5" s="484"/>
      <c r="F5" s="484"/>
      <c r="G5" s="484"/>
      <c r="H5" s="484"/>
      <c r="I5" s="484"/>
      <c r="J5" s="484"/>
      <c r="K5" s="484"/>
      <c r="L5" s="484"/>
      <c r="M5" s="484"/>
      <c r="N5" s="484"/>
      <c r="O5" s="484"/>
      <c r="P5" s="484"/>
      <c r="Q5" s="484"/>
      <c r="R5" s="484"/>
      <c r="S5" s="484"/>
      <c r="X5" s="290"/>
    </row>
    <row r="6" spans="2:24" x14ac:dyDescent="0.3">
      <c r="B6" s="483"/>
      <c r="E6" s="484"/>
      <c r="F6" s="484"/>
      <c r="G6" s="484"/>
      <c r="H6" s="484"/>
      <c r="I6" s="484"/>
      <c r="J6" s="484"/>
      <c r="K6" s="484"/>
      <c r="L6" s="484"/>
      <c r="M6" s="484"/>
      <c r="N6" s="484"/>
      <c r="O6" s="484"/>
      <c r="P6" s="484"/>
      <c r="Q6" s="484"/>
      <c r="R6" s="484"/>
      <c r="S6" s="484"/>
      <c r="X6" s="290"/>
    </row>
    <row r="7" spans="2:24" x14ac:dyDescent="0.3">
      <c r="B7" s="302" t="s">
        <v>871</v>
      </c>
      <c r="C7" s="298"/>
      <c r="D7" s="299"/>
      <c r="E7" s="300"/>
      <c r="F7" s="300"/>
      <c r="G7" s="300"/>
      <c r="H7" s="300"/>
      <c r="I7" s="300"/>
      <c r="J7" s="300"/>
      <c r="K7" s="300"/>
      <c r="L7" s="300"/>
      <c r="M7" s="300"/>
      <c r="N7" s="300"/>
      <c r="O7" s="300"/>
      <c r="P7" s="300"/>
      <c r="Q7" s="300"/>
      <c r="R7" s="300"/>
      <c r="S7" s="300"/>
      <c r="X7" s="290"/>
    </row>
    <row r="8" spans="2:24" x14ac:dyDescent="0.3">
      <c r="B8" s="483"/>
      <c r="C8" s="301" t="s">
        <v>179</v>
      </c>
      <c r="D8" s="301" t="s">
        <v>874</v>
      </c>
      <c r="E8" s="484"/>
      <c r="F8" s="484"/>
      <c r="G8" s="484"/>
      <c r="H8" s="484"/>
      <c r="I8" s="484"/>
      <c r="J8" s="484"/>
      <c r="K8" s="484"/>
      <c r="L8" s="484"/>
      <c r="M8" s="484"/>
      <c r="N8" s="484"/>
      <c r="O8" s="484"/>
      <c r="P8" s="484"/>
      <c r="Q8" s="484"/>
      <c r="R8" s="484"/>
      <c r="S8" s="484"/>
      <c r="X8" s="290"/>
    </row>
    <row r="9" spans="2:24" x14ac:dyDescent="0.3">
      <c r="B9" s="483"/>
      <c r="C9" s="301" t="s">
        <v>23</v>
      </c>
      <c r="D9" s="301" t="s">
        <v>875</v>
      </c>
      <c r="E9" s="484"/>
      <c r="F9" s="484"/>
      <c r="G9" s="484"/>
      <c r="H9" s="484"/>
      <c r="I9" s="484"/>
      <c r="J9" s="484"/>
      <c r="K9" s="484"/>
      <c r="L9" s="484"/>
      <c r="M9" s="484"/>
      <c r="N9" s="484"/>
      <c r="O9" s="484"/>
      <c r="P9" s="484"/>
      <c r="Q9" s="484"/>
      <c r="R9" s="484"/>
      <c r="S9" s="484"/>
      <c r="X9" s="290"/>
    </row>
    <row r="10" spans="2:24" x14ac:dyDescent="0.3">
      <c r="B10" s="302" t="s">
        <v>840</v>
      </c>
      <c r="C10" s="298"/>
      <c r="D10" s="299"/>
      <c r="E10" s="300"/>
      <c r="F10" s="300"/>
      <c r="G10" s="300"/>
      <c r="H10" s="300"/>
      <c r="I10" s="300"/>
      <c r="J10" s="300"/>
      <c r="K10" s="300"/>
      <c r="L10" s="300"/>
      <c r="M10" s="300"/>
      <c r="N10" s="300"/>
      <c r="O10" s="300"/>
      <c r="P10" s="300"/>
      <c r="Q10" s="300"/>
      <c r="R10" s="300"/>
      <c r="S10" s="300"/>
      <c r="X10" s="290"/>
    </row>
    <row r="11" spans="2:24" x14ac:dyDescent="0.3">
      <c r="B11" s="483"/>
      <c r="E11" s="484"/>
      <c r="F11" s="484"/>
      <c r="G11" s="484"/>
      <c r="H11" s="484"/>
      <c r="I11" s="484"/>
      <c r="J11" s="484"/>
      <c r="K11" s="484"/>
      <c r="L11" s="484"/>
      <c r="M11" s="484"/>
      <c r="N11" s="484"/>
      <c r="O11" s="484"/>
      <c r="P11" s="484"/>
      <c r="Q11" s="484"/>
      <c r="R11" s="484"/>
      <c r="S11" s="484"/>
      <c r="X11" s="290"/>
    </row>
    <row r="12" spans="2:24" ht="14.25" customHeight="1" x14ac:dyDescent="0.3">
      <c r="B12" s="302" t="s">
        <v>833</v>
      </c>
      <c r="C12" s="298"/>
      <c r="D12" s="299"/>
      <c r="E12" s="300"/>
      <c r="F12" s="300"/>
      <c r="G12" s="300"/>
      <c r="H12" s="300"/>
      <c r="I12" s="300"/>
      <c r="J12" s="300"/>
      <c r="K12" s="300"/>
      <c r="L12" s="300"/>
      <c r="M12" s="300"/>
      <c r="N12" s="300"/>
      <c r="O12" s="300"/>
      <c r="P12" s="300"/>
      <c r="Q12" s="300"/>
      <c r="R12" s="300"/>
      <c r="S12" s="300"/>
      <c r="X12" s="290"/>
    </row>
    <row r="13" spans="2:24" x14ac:dyDescent="0.3">
      <c r="B13" s="483"/>
      <c r="C13" s="301" t="s">
        <v>836</v>
      </c>
      <c r="D13" s="301" t="s">
        <v>837</v>
      </c>
      <c r="E13" s="484"/>
      <c r="F13" s="484"/>
      <c r="G13" s="484"/>
      <c r="H13" s="484"/>
      <c r="I13" s="484"/>
      <c r="J13" s="484"/>
      <c r="K13" s="484"/>
      <c r="L13" s="484"/>
      <c r="M13" s="484"/>
      <c r="N13" s="484"/>
      <c r="O13" s="484"/>
      <c r="P13" s="484"/>
      <c r="Q13" s="484"/>
      <c r="R13" s="484"/>
      <c r="S13" s="484"/>
      <c r="X13" s="290"/>
    </row>
    <row r="14" spans="2:24" x14ac:dyDescent="0.3">
      <c r="B14" s="483"/>
      <c r="C14" s="301" t="s">
        <v>676</v>
      </c>
      <c r="D14" s="301" t="s">
        <v>838</v>
      </c>
      <c r="E14" s="484"/>
      <c r="F14" s="484"/>
      <c r="G14" s="484"/>
      <c r="H14" s="484"/>
      <c r="I14" s="484"/>
      <c r="J14" s="484"/>
      <c r="K14" s="484"/>
      <c r="L14" s="484"/>
      <c r="M14" s="484"/>
      <c r="N14" s="484"/>
      <c r="O14" s="484"/>
      <c r="P14" s="484"/>
      <c r="Q14" s="484"/>
      <c r="R14" s="484"/>
      <c r="S14" s="484"/>
      <c r="X14" s="290"/>
    </row>
    <row r="15" spans="2:24" x14ac:dyDescent="0.3">
      <c r="B15" s="483"/>
      <c r="C15" s="483"/>
      <c r="D15" s="483"/>
      <c r="E15" s="484"/>
      <c r="F15" s="484"/>
      <c r="G15" s="484"/>
      <c r="H15" s="484"/>
      <c r="I15" s="484"/>
      <c r="J15" s="484"/>
      <c r="K15" s="484"/>
      <c r="L15" s="484"/>
      <c r="M15" s="484"/>
      <c r="N15" s="484"/>
      <c r="O15" s="484"/>
      <c r="P15" s="484"/>
      <c r="Q15" s="484"/>
      <c r="R15" s="484"/>
      <c r="S15" s="484"/>
      <c r="X15" s="290"/>
    </row>
    <row r="16" spans="2:24" ht="14.25" customHeight="1" x14ac:dyDescent="0.3">
      <c r="B16" s="302" t="s">
        <v>824</v>
      </c>
      <c r="C16" s="298"/>
      <c r="D16" s="299"/>
      <c r="E16" s="300"/>
      <c r="F16" s="300"/>
      <c r="G16" s="300"/>
      <c r="H16" s="300"/>
      <c r="I16" s="300"/>
      <c r="J16" s="300"/>
      <c r="K16" s="300"/>
      <c r="L16" s="300"/>
      <c r="M16" s="300"/>
      <c r="N16" s="300"/>
      <c r="O16" s="300"/>
      <c r="P16" s="300"/>
      <c r="Q16" s="300"/>
      <c r="R16" s="300"/>
      <c r="S16" s="300"/>
      <c r="X16" s="290"/>
    </row>
    <row r="17" spans="2:24" x14ac:dyDescent="0.3">
      <c r="B17" s="483"/>
      <c r="C17" s="301" t="s">
        <v>722</v>
      </c>
      <c r="D17" s="301" t="s">
        <v>826</v>
      </c>
      <c r="E17" s="484"/>
      <c r="F17" s="484"/>
      <c r="G17" s="484"/>
      <c r="H17" s="484"/>
      <c r="I17" s="484"/>
      <c r="J17" s="484"/>
      <c r="K17" s="484"/>
      <c r="L17" s="484"/>
      <c r="M17" s="484"/>
      <c r="N17" s="484"/>
      <c r="O17" s="484"/>
      <c r="P17" s="484"/>
      <c r="Q17" s="484"/>
      <c r="R17" s="484"/>
      <c r="S17" s="484"/>
      <c r="X17" s="290"/>
    </row>
    <row r="18" spans="2:24" x14ac:dyDescent="0.3">
      <c r="B18" s="483"/>
      <c r="C18" s="301" t="s">
        <v>23</v>
      </c>
      <c r="D18" s="301" t="s">
        <v>825</v>
      </c>
      <c r="E18" s="484"/>
      <c r="F18" s="484"/>
      <c r="G18" s="484"/>
      <c r="H18" s="484"/>
      <c r="I18" s="484"/>
      <c r="J18" s="484"/>
      <c r="K18" s="484"/>
      <c r="L18" s="484"/>
      <c r="M18" s="484"/>
      <c r="N18" s="484"/>
      <c r="O18" s="484"/>
      <c r="P18" s="484"/>
      <c r="Q18" s="484"/>
      <c r="R18" s="484"/>
      <c r="S18" s="484"/>
      <c r="X18" s="290"/>
    </row>
    <row r="19" spans="2:24" x14ac:dyDescent="0.3">
      <c r="B19" s="483"/>
      <c r="E19" s="484"/>
      <c r="F19" s="484"/>
      <c r="G19" s="484"/>
      <c r="H19" s="484"/>
      <c r="I19" s="484"/>
      <c r="J19" s="484"/>
      <c r="K19" s="484"/>
      <c r="L19" s="484"/>
      <c r="M19" s="484"/>
      <c r="N19" s="484"/>
      <c r="O19" s="484"/>
      <c r="P19" s="484"/>
      <c r="Q19" s="484"/>
      <c r="R19" s="484"/>
      <c r="S19" s="484"/>
      <c r="X19" s="290"/>
    </row>
    <row r="20" spans="2:24" ht="14.25" customHeight="1" x14ac:dyDescent="0.3">
      <c r="B20" s="302" t="s">
        <v>818</v>
      </c>
      <c r="C20" s="298"/>
      <c r="D20" s="299"/>
      <c r="E20" s="300"/>
      <c r="F20" s="300"/>
      <c r="G20" s="300"/>
      <c r="H20" s="300"/>
      <c r="I20" s="300"/>
      <c r="J20" s="300"/>
      <c r="K20" s="300"/>
      <c r="L20" s="300"/>
      <c r="M20" s="300"/>
      <c r="N20" s="300"/>
      <c r="O20" s="300"/>
      <c r="P20" s="300"/>
      <c r="Q20" s="300"/>
      <c r="R20" s="300"/>
      <c r="S20" s="300"/>
      <c r="X20" s="290"/>
    </row>
    <row r="21" spans="2:24" x14ac:dyDescent="0.3">
      <c r="B21" s="483"/>
      <c r="C21" s="301" t="s">
        <v>9</v>
      </c>
      <c r="D21" s="301" t="s">
        <v>821</v>
      </c>
      <c r="E21" s="484"/>
      <c r="F21" s="484"/>
      <c r="G21" s="484"/>
      <c r="H21" s="484"/>
      <c r="I21" s="484"/>
      <c r="J21" s="484"/>
      <c r="K21" s="484"/>
      <c r="L21" s="484"/>
      <c r="M21" s="484"/>
      <c r="N21" s="484"/>
      <c r="O21" s="484"/>
      <c r="P21" s="484"/>
      <c r="Q21" s="484"/>
      <c r="R21" s="484"/>
      <c r="S21" s="484"/>
      <c r="X21" s="290"/>
    </row>
    <row r="22" spans="2:24" x14ac:dyDescent="0.3">
      <c r="B22" s="483"/>
      <c r="C22" s="301" t="s">
        <v>179</v>
      </c>
      <c r="D22" s="301" t="s">
        <v>823</v>
      </c>
      <c r="E22" s="484"/>
      <c r="F22" s="484"/>
      <c r="G22" s="484"/>
      <c r="H22" s="484"/>
      <c r="I22" s="484"/>
      <c r="J22" s="484"/>
      <c r="K22" s="484"/>
      <c r="L22" s="484"/>
      <c r="M22" s="484"/>
      <c r="N22" s="484"/>
      <c r="O22" s="484"/>
      <c r="P22" s="484"/>
      <c r="Q22" s="484"/>
      <c r="R22" s="484"/>
      <c r="S22" s="484"/>
      <c r="X22" s="290"/>
    </row>
    <row r="23" spans="2:24" x14ac:dyDescent="0.3">
      <c r="B23" s="483"/>
      <c r="C23" s="301" t="s">
        <v>676</v>
      </c>
      <c r="D23" s="301" t="s">
        <v>822</v>
      </c>
      <c r="E23" s="484"/>
      <c r="F23" s="484"/>
      <c r="G23" s="484"/>
      <c r="H23" s="484"/>
      <c r="I23" s="484"/>
      <c r="J23" s="484"/>
      <c r="K23" s="484"/>
      <c r="L23" s="484"/>
      <c r="M23" s="484"/>
      <c r="N23" s="484"/>
      <c r="O23" s="484"/>
      <c r="P23" s="484"/>
      <c r="Q23" s="484"/>
      <c r="R23" s="484"/>
      <c r="S23" s="484"/>
      <c r="X23" s="290"/>
    </row>
    <row r="24" spans="2:24" x14ac:dyDescent="0.3">
      <c r="B24" s="483"/>
      <c r="E24" s="484"/>
      <c r="F24" s="484"/>
      <c r="G24" s="484"/>
      <c r="H24" s="484"/>
      <c r="I24" s="484"/>
      <c r="J24" s="484"/>
      <c r="K24" s="484"/>
      <c r="L24" s="484"/>
      <c r="M24" s="484"/>
      <c r="N24" s="484"/>
      <c r="O24" s="484"/>
      <c r="P24" s="484"/>
      <c r="Q24" s="484"/>
      <c r="R24" s="484"/>
      <c r="S24" s="484"/>
      <c r="X24" s="290"/>
    </row>
    <row r="25" spans="2:24" ht="14.25" customHeight="1" x14ac:dyDescent="0.3">
      <c r="B25" s="302" t="s">
        <v>804</v>
      </c>
      <c r="C25" s="298"/>
      <c r="D25" s="299"/>
      <c r="E25" s="300"/>
      <c r="F25" s="300"/>
      <c r="G25" s="300"/>
      <c r="H25" s="300"/>
      <c r="I25" s="300"/>
      <c r="J25" s="300"/>
      <c r="K25" s="300"/>
      <c r="L25" s="300"/>
      <c r="M25" s="300"/>
      <c r="N25" s="300"/>
      <c r="O25" s="300"/>
      <c r="P25" s="300"/>
      <c r="Q25" s="300"/>
      <c r="R25" s="300"/>
      <c r="S25" s="300"/>
      <c r="X25" s="290"/>
    </row>
    <row r="26" spans="2:24" x14ac:dyDescent="0.3">
      <c r="B26" s="483"/>
      <c r="C26" s="301" t="s">
        <v>671</v>
      </c>
      <c r="D26" s="301" t="s">
        <v>806</v>
      </c>
      <c r="E26" s="484"/>
      <c r="F26" s="484"/>
      <c r="G26" s="484"/>
      <c r="H26" s="484"/>
      <c r="I26" s="484"/>
      <c r="J26" s="484"/>
      <c r="K26" s="484"/>
      <c r="L26" s="484"/>
      <c r="M26" s="484"/>
      <c r="N26" s="484"/>
      <c r="O26" s="484"/>
      <c r="P26" s="484"/>
      <c r="Q26" s="484"/>
      <c r="R26" s="484"/>
      <c r="S26" s="484"/>
      <c r="X26" s="290"/>
    </row>
    <row r="27" spans="2:24" x14ac:dyDescent="0.3">
      <c r="B27" s="483"/>
      <c r="C27" s="301" t="s">
        <v>676</v>
      </c>
      <c r="D27" s="301" t="s">
        <v>807</v>
      </c>
      <c r="F27" s="484"/>
      <c r="G27" s="484"/>
      <c r="H27" s="484"/>
      <c r="I27" s="484"/>
      <c r="J27" s="484"/>
      <c r="K27" s="484"/>
      <c r="L27" s="484"/>
      <c r="M27" s="484"/>
      <c r="N27" s="484"/>
      <c r="O27" s="484"/>
      <c r="P27" s="484"/>
      <c r="Q27" s="484"/>
      <c r="R27" s="484"/>
      <c r="S27" s="484"/>
      <c r="X27" s="290"/>
    </row>
    <row r="28" spans="2:24" x14ac:dyDescent="0.3">
      <c r="B28" s="483"/>
      <c r="C28" s="301" t="s">
        <v>805</v>
      </c>
      <c r="D28" s="301" t="s">
        <v>811</v>
      </c>
      <c r="F28" s="484"/>
      <c r="G28" s="484"/>
      <c r="H28" s="484"/>
      <c r="I28" s="484"/>
      <c r="J28" s="484"/>
      <c r="K28" s="484"/>
      <c r="L28" s="484"/>
      <c r="M28" s="484"/>
      <c r="N28" s="484"/>
      <c r="O28" s="484"/>
      <c r="P28" s="484"/>
      <c r="Q28" s="484"/>
      <c r="R28" s="484"/>
      <c r="S28" s="484"/>
      <c r="X28" s="290"/>
    </row>
    <row r="29" spans="2:24" x14ac:dyDescent="0.3">
      <c r="B29" s="483"/>
      <c r="F29" s="484"/>
      <c r="G29" s="484"/>
      <c r="H29" s="484"/>
      <c r="I29" s="484"/>
      <c r="J29" s="484"/>
      <c r="K29" s="484"/>
      <c r="L29" s="484"/>
      <c r="M29" s="484"/>
      <c r="N29" s="484"/>
      <c r="O29" s="484"/>
      <c r="P29" s="484"/>
      <c r="Q29" s="484"/>
      <c r="R29" s="484"/>
      <c r="S29" s="484"/>
      <c r="X29" s="290"/>
    </row>
    <row r="30" spans="2:24" ht="14.25" customHeight="1" x14ac:dyDescent="0.3">
      <c r="B30" s="302" t="s">
        <v>790</v>
      </c>
      <c r="C30" s="298"/>
      <c r="D30" s="299"/>
      <c r="E30" s="300"/>
      <c r="F30" s="300"/>
      <c r="G30" s="300"/>
      <c r="H30" s="300"/>
      <c r="I30" s="300"/>
      <c r="J30" s="300"/>
      <c r="K30" s="300"/>
      <c r="L30" s="300"/>
      <c r="M30" s="300"/>
      <c r="N30" s="300"/>
      <c r="O30" s="300"/>
      <c r="P30" s="300"/>
      <c r="Q30" s="300"/>
      <c r="R30" s="300"/>
      <c r="S30" s="300"/>
      <c r="X30" s="290"/>
    </row>
    <row r="31" spans="2:24" x14ac:dyDescent="0.3">
      <c r="B31" s="483"/>
      <c r="C31" s="301" t="s">
        <v>722</v>
      </c>
      <c r="D31" s="301" t="s">
        <v>791</v>
      </c>
      <c r="E31" s="484"/>
      <c r="F31" s="484"/>
      <c r="G31" s="484"/>
      <c r="H31" s="484"/>
      <c r="I31" s="484"/>
      <c r="J31" s="484"/>
      <c r="K31" s="484"/>
      <c r="L31" s="484"/>
      <c r="M31" s="484"/>
      <c r="N31" s="484"/>
      <c r="O31" s="484"/>
      <c r="P31" s="484"/>
      <c r="Q31" s="484"/>
      <c r="R31" s="484"/>
      <c r="S31" s="484"/>
      <c r="X31" s="290"/>
    </row>
    <row r="32" spans="2:24" x14ac:dyDescent="0.3">
      <c r="B32" s="483"/>
      <c r="C32" s="301" t="s">
        <v>97</v>
      </c>
      <c r="D32" s="301" t="s">
        <v>792</v>
      </c>
      <c r="F32" s="484"/>
      <c r="G32" s="484"/>
      <c r="H32" s="484"/>
      <c r="I32" s="484"/>
      <c r="J32" s="484"/>
      <c r="K32" s="484"/>
      <c r="L32" s="484"/>
      <c r="M32" s="484"/>
      <c r="N32" s="484"/>
      <c r="O32" s="484"/>
      <c r="P32" s="484"/>
      <c r="Q32" s="484"/>
      <c r="R32" s="484"/>
      <c r="S32" s="484"/>
      <c r="X32" s="290"/>
    </row>
    <row r="33" spans="2:24" x14ac:dyDescent="0.3">
      <c r="B33" s="483"/>
      <c r="C33" s="301" t="s">
        <v>671</v>
      </c>
      <c r="D33" s="301" t="s">
        <v>794</v>
      </c>
      <c r="F33" s="484"/>
      <c r="G33" s="484"/>
      <c r="H33" s="484"/>
      <c r="I33" s="484"/>
      <c r="J33" s="484"/>
      <c r="K33" s="484"/>
      <c r="L33" s="484"/>
      <c r="M33" s="484"/>
      <c r="N33" s="484"/>
      <c r="O33" s="484"/>
      <c r="P33" s="484"/>
      <c r="Q33" s="484"/>
      <c r="R33" s="484"/>
      <c r="S33" s="484"/>
      <c r="X33" s="290"/>
    </row>
    <row r="34" spans="2:24" x14ac:dyDescent="0.3">
      <c r="B34" s="483"/>
      <c r="F34" s="484"/>
      <c r="G34" s="484"/>
      <c r="H34" s="484"/>
      <c r="I34" s="484"/>
      <c r="J34" s="484"/>
      <c r="K34" s="484"/>
      <c r="L34" s="484"/>
      <c r="M34" s="484"/>
      <c r="N34" s="484"/>
      <c r="O34" s="484"/>
      <c r="P34" s="484"/>
      <c r="Q34" s="484"/>
      <c r="R34" s="484"/>
      <c r="S34" s="484"/>
      <c r="X34" s="290"/>
    </row>
    <row r="35" spans="2:24" ht="14.25" customHeight="1" x14ac:dyDescent="0.3">
      <c r="B35" s="302" t="s">
        <v>776</v>
      </c>
      <c r="C35" s="298"/>
      <c r="D35" s="299"/>
      <c r="E35" s="300"/>
      <c r="F35" s="300"/>
      <c r="G35" s="300"/>
      <c r="H35" s="300"/>
      <c r="I35" s="300"/>
      <c r="J35" s="300"/>
      <c r="K35" s="300"/>
      <c r="L35" s="300"/>
      <c r="M35" s="300"/>
      <c r="N35" s="300"/>
      <c r="O35" s="300"/>
      <c r="P35" s="300"/>
      <c r="Q35" s="300"/>
      <c r="R35" s="300"/>
      <c r="S35" s="300"/>
      <c r="X35" s="290"/>
    </row>
    <row r="36" spans="2:24" x14ac:dyDescent="0.3">
      <c r="B36" s="483"/>
      <c r="C36" s="301" t="s">
        <v>9</v>
      </c>
      <c r="D36" s="301" t="s">
        <v>777</v>
      </c>
      <c r="E36" s="484"/>
      <c r="F36" s="484"/>
      <c r="G36" s="484"/>
      <c r="H36" s="484"/>
      <c r="I36" s="484"/>
      <c r="J36" s="484"/>
      <c r="K36" s="484"/>
      <c r="L36" s="484"/>
      <c r="M36" s="484"/>
      <c r="N36" s="484"/>
      <c r="O36" s="484"/>
      <c r="P36" s="484"/>
      <c r="Q36" s="484"/>
      <c r="R36" s="484"/>
      <c r="S36" s="484"/>
      <c r="X36" s="290"/>
    </row>
    <row r="37" spans="2:24" x14ac:dyDescent="0.3">
      <c r="B37" s="483"/>
      <c r="C37" s="301" t="s">
        <v>784</v>
      </c>
      <c r="D37" s="301" t="s">
        <v>785</v>
      </c>
      <c r="F37" s="484"/>
      <c r="G37" s="484"/>
      <c r="H37" s="484"/>
      <c r="I37" s="484"/>
      <c r="J37" s="484"/>
      <c r="K37" s="484"/>
      <c r="L37" s="484"/>
      <c r="M37" s="484"/>
      <c r="N37" s="484"/>
      <c r="O37" s="484"/>
      <c r="P37" s="484"/>
      <c r="Q37" s="484"/>
      <c r="R37" s="484"/>
      <c r="S37" s="484"/>
      <c r="X37" s="290"/>
    </row>
    <row r="38" spans="2:24" x14ac:dyDescent="0.3">
      <c r="B38" s="483"/>
      <c r="C38" s="301" t="s">
        <v>722</v>
      </c>
      <c r="D38" s="301" t="s">
        <v>796</v>
      </c>
      <c r="E38" s="484"/>
      <c r="F38" s="484"/>
      <c r="G38" s="484"/>
      <c r="H38" s="484"/>
      <c r="I38" s="484"/>
      <c r="J38" s="484"/>
      <c r="K38" s="484"/>
      <c r="L38" s="484"/>
      <c r="M38" s="484"/>
      <c r="N38" s="484"/>
      <c r="O38" s="484"/>
      <c r="P38" s="484"/>
      <c r="Q38" s="484"/>
      <c r="R38" s="484"/>
      <c r="S38" s="484"/>
      <c r="X38" s="290"/>
    </row>
    <row r="39" spans="2:24" x14ac:dyDescent="0.3">
      <c r="B39" s="483"/>
      <c r="E39" s="484"/>
      <c r="F39" s="484"/>
      <c r="G39" s="484"/>
      <c r="H39" s="484"/>
      <c r="I39" s="484"/>
      <c r="J39" s="484"/>
      <c r="K39" s="484"/>
      <c r="L39" s="484"/>
      <c r="M39" s="484"/>
      <c r="N39" s="484"/>
      <c r="O39" s="484"/>
      <c r="P39" s="484"/>
      <c r="Q39" s="484"/>
      <c r="R39" s="484"/>
      <c r="S39" s="484"/>
      <c r="X39" s="290"/>
    </row>
    <row r="40" spans="2:24" ht="14.25" customHeight="1" x14ac:dyDescent="0.3">
      <c r="B40" s="302" t="s">
        <v>774</v>
      </c>
      <c r="C40" s="298"/>
      <c r="D40" s="299"/>
      <c r="E40" s="300"/>
      <c r="F40" s="300"/>
      <c r="G40" s="300"/>
      <c r="H40" s="300"/>
      <c r="I40" s="300"/>
      <c r="J40" s="300"/>
      <c r="K40" s="300"/>
      <c r="L40" s="300"/>
      <c r="M40" s="300"/>
      <c r="N40" s="300"/>
      <c r="O40" s="300"/>
      <c r="P40" s="300"/>
      <c r="Q40" s="300"/>
      <c r="R40" s="300"/>
      <c r="S40" s="300"/>
      <c r="X40" s="290"/>
    </row>
    <row r="41" spans="2:24" x14ac:dyDescent="0.3">
      <c r="B41" s="483"/>
      <c r="C41" s="301" t="s">
        <v>722</v>
      </c>
      <c r="D41" s="301" t="s">
        <v>775</v>
      </c>
      <c r="E41" s="484"/>
      <c r="F41" s="484"/>
      <c r="G41" s="484"/>
      <c r="H41" s="484"/>
      <c r="I41" s="484"/>
      <c r="J41" s="484"/>
      <c r="K41" s="484"/>
      <c r="L41" s="484"/>
      <c r="M41" s="484"/>
      <c r="N41" s="484"/>
      <c r="O41" s="484"/>
      <c r="P41" s="484"/>
      <c r="Q41" s="484"/>
      <c r="R41" s="484"/>
      <c r="S41" s="484"/>
      <c r="X41" s="290"/>
    </row>
    <row r="42" spans="2:24" x14ac:dyDescent="0.3">
      <c r="B42" s="483"/>
      <c r="C42" s="483"/>
      <c r="D42" s="483"/>
      <c r="E42" s="484"/>
      <c r="F42" s="484"/>
      <c r="G42" s="484"/>
      <c r="H42" s="484"/>
      <c r="I42" s="484"/>
      <c r="J42" s="484"/>
      <c r="K42" s="484"/>
      <c r="L42" s="484"/>
      <c r="M42" s="484"/>
      <c r="N42" s="484"/>
      <c r="O42" s="484"/>
      <c r="P42" s="484"/>
      <c r="Q42" s="484"/>
      <c r="R42" s="484"/>
      <c r="S42" s="484"/>
      <c r="X42" s="290"/>
    </row>
    <row r="43" spans="2:24" ht="14.25" customHeight="1" x14ac:dyDescent="0.3">
      <c r="B43" s="302" t="s">
        <v>770</v>
      </c>
      <c r="C43" s="298"/>
      <c r="D43" s="299"/>
      <c r="E43" s="300"/>
      <c r="F43" s="300"/>
      <c r="G43" s="300"/>
      <c r="H43" s="300"/>
      <c r="I43" s="300"/>
      <c r="J43" s="300"/>
      <c r="K43" s="300"/>
      <c r="L43" s="300"/>
      <c r="M43" s="300"/>
      <c r="N43" s="300"/>
      <c r="O43" s="300"/>
      <c r="P43" s="300"/>
      <c r="Q43" s="300"/>
      <c r="R43" s="300"/>
      <c r="S43" s="300"/>
      <c r="X43" s="290"/>
    </row>
    <row r="44" spans="2:24" x14ac:dyDescent="0.3">
      <c r="B44" s="483"/>
      <c r="C44" s="483"/>
      <c r="D44" s="483"/>
      <c r="E44" s="484"/>
      <c r="F44" s="484"/>
      <c r="G44" s="484"/>
      <c r="H44" s="484"/>
      <c r="I44" s="484"/>
      <c r="J44" s="484"/>
      <c r="K44" s="484"/>
      <c r="L44" s="484"/>
      <c r="M44" s="484"/>
      <c r="N44" s="484"/>
      <c r="O44" s="484"/>
      <c r="P44" s="484"/>
      <c r="Q44" s="484"/>
      <c r="R44" s="484"/>
      <c r="S44" s="484"/>
      <c r="X44" s="290"/>
    </row>
    <row r="45" spans="2:24" ht="14.25" customHeight="1" x14ac:dyDescent="0.3">
      <c r="B45" s="302" t="s">
        <v>762</v>
      </c>
      <c r="C45" s="298"/>
      <c r="D45" s="299"/>
      <c r="E45" s="300"/>
      <c r="F45" s="300"/>
      <c r="G45" s="300"/>
      <c r="H45" s="300"/>
      <c r="I45" s="300"/>
      <c r="J45" s="300"/>
      <c r="K45" s="300"/>
      <c r="L45" s="300"/>
      <c r="M45" s="300"/>
      <c r="N45" s="300"/>
      <c r="O45" s="300"/>
      <c r="P45" s="300"/>
      <c r="Q45" s="300"/>
      <c r="R45" s="300"/>
      <c r="S45" s="300"/>
      <c r="X45" s="290"/>
    </row>
    <row r="46" spans="2:24" x14ac:dyDescent="0.3">
      <c r="B46" s="483"/>
      <c r="C46" s="301" t="s">
        <v>676</v>
      </c>
      <c r="D46" s="301" t="s">
        <v>763</v>
      </c>
      <c r="F46" s="484"/>
      <c r="G46" s="484"/>
      <c r="H46" s="484"/>
      <c r="I46" s="484"/>
      <c r="J46" s="484"/>
      <c r="K46" s="484"/>
      <c r="L46" s="484"/>
      <c r="M46" s="484"/>
      <c r="N46" s="484"/>
      <c r="O46" s="484"/>
      <c r="P46" s="484"/>
      <c r="Q46" s="484"/>
      <c r="R46" s="484"/>
      <c r="S46" s="484"/>
      <c r="X46" s="290"/>
    </row>
    <row r="47" spans="2:24" x14ac:dyDescent="0.3">
      <c r="B47" s="483"/>
      <c r="C47" s="301" t="s">
        <v>765</v>
      </c>
      <c r="D47" s="301" t="s">
        <v>764</v>
      </c>
      <c r="F47" s="484"/>
      <c r="G47" s="484"/>
      <c r="H47" s="484"/>
      <c r="I47" s="484"/>
      <c r="J47" s="484"/>
      <c r="K47" s="484"/>
      <c r="L47" s="484"/>
      <c r="M47" s="484"/>
      <c r="N47" s="484"/>
      <c r="O47" s="484"/>
      <c r="P47" s="484"/>
      <c r="Q47" s="484"/>
      <c r="R47" s="484"/>
      <c r="S47" s="484"/>
      <c r="X47" s="290"/>
    </row>
    <row r="48" spans="2:24" x14ac:dyDescent="0.3">
      <c r="B48" s="483"/>
      <c r="C48" s="301" t="s">
        <v>722</v>
      </c>
      <c r="D48" s="301" t="s">
        <v>766</v>
      </c>
      <c r="F48" s="484"/>
      <c r="G48" s="484"/>
      <c r="H48" s="484"/>
      <c r="I48" s="484"/>
      <c r="J48" s="484"/>
      <c r="K48" s="484"/>
      <c r="L48" s="484"/>
      <c r="M48" s="484"/>
      <c r="N48" s="484"/>
      <c r="O48" s="484"/>
      <c r="P48" s="484"/>
      <c r="Q48" s="484"/>
      <c r="R48" s="484"/>
      <c r="S48" s="484"/>
      <c r="X48" s="290"/>
    </row>
    <row r="49" spans="2:24" x14ac:dyDescent="0.3">
      <c r="B49" s="483"/>
      <c r="F49" s="484"/>
      <c r="G49" s="484"/>
      <c r="H49" s="484"/>
      <c r="I49" s="484"/>
      <c r="J49" s="484"/>
      <c r="K49" s="484"/>
      <c r="L49" s="484"/>
      <c r="M49" s="484"/>
      <c r="N49" s="484"/>
      <c r="O49" s="484"/>
      <c r="P49" s="484"/>
      <c r="Q49" s="484"/>
      <c r="R49" s="484"/>
      <c r="S49" s="484"/>
      <c r="X49" s="290"/>
    </row>
    <row r="50" spans="2:24" ht="14.25" customHeight="1" x14ac:dyDescent="0.3">
      <c r="B50" s="302" t="s">
        <v>745</v>
      </c>
      <c r="C50" s="298"/>
      <c r="D50" s="299"/>
      <c r="E50" s="300"/>
      <c r="F50" s="300"/>
      <c r="G50" s="300"/>
      <c r="H50" s="300"/>
      <c r="I50" s="300"/>
      <c r="J50" s="300"/>
      <c r="K50" s="300"/>
      <c r="L50" s="300"/>
      <c r="M50" s="300"/>
      <c r="N50" s="300"/>
      <c r="O50" s="300"/>
      <c r="P50" s="300"/>
      <c r="Q50" s="300"/>
      <c r="R50" s="300"/>
      <c r="S50" s="300"/>
      <c r="X50" s="290"/>
    </row>
    <row r="51" spans="2:24" x14ac:dyDescent="0.3">
      <c r="B51" s="483"/>
      <c r="C51" s="301" t="s">
        <v>1</v>
      </c>
      <c r="D51" s="301" t="s">
        <v>755</v>
      </c>
      <c r="F51" s="484"/>
      <c r="G51" s="484"/>
      <c r="H51" s="484"/>
      <c r="I51" s="484"/>
      <c r="J51" s="484"/>
      <c r="K51" s="484"/>
      <c r="L51" s="484"/>
      <c r="M51" s="484"/>
      <c r="N51" s="484"/>
      <c r="O51" s="484"/>
      <c r="P51" s="484"/>
      <c r="Q51" s="484"/>
      <c r="R51" s="484"/>
      <c r="S51" s="484"/>
      <c r="X51" s="290"/>
    </row>
    <row r="52" spans="2:24" x14ac:dyDescent="0.3">
      <c r="B52" s="483"/>
      <c r="F52" s="484"/>
      <c r="G52" s="484"/>
      <c r="H52" s="484"/>
      <c r="I52" s="484"/>
      <c r="J52" s="484"/>
      <c r="K52" s="484"/>
      <c r="L52" s="484"/>
      <c r="M52" s="484"/>
      <c r="N52" s="484"/>
      <c r="O52" s="484"/>
      <c r="P52" s="484"/>
      <c r="Q52" s="484"/>
      <c r="R52" s="484"/>
      <c r="S52" s="484"/>
      <c r="X52" s="290"/>
    </row>
    <row r="53" spans="2:24" ht="14.25" customHeight="1" x14ac:dyDescent="0.3">
      <c r="B53" s="302" t="s">
        <v>734</v>
      </c>
      <c r="C53" s="298"/>
      <c r="D53" s="299"/>
      <c r="E53" s="300"/>
      <c r="F53" s="300"/>
      <c r="G53" s="300"/>
      <c r="H53" s="300"/>
      <c r="I53" s="300"/>
      <c r="J53" s="300"/>
      <c r="K53" s="300"/>
      <c r="L53" s="300"/>
      <c r="M53" s="300"/>
      <c r="N53" s="300"/>
      <c r="O53" s="300"/>
      <c r="P53" s="300"/>
      <c r="Q53" s="300"/>
      <c r="R53" s="300"/>
      <c r="S53" s="300"/>
      <c r="X53" s="290"/>
    </row>
    <row r="54" spans="2:24" x14ac:dyDescent="0.3">
      <c r="B54" s="483"/>
      <c r="C54" s="301" t="s">
        <v>676</v>
      </c>
      <c r="D54" s="301" t="s">
        <v>735</v>
      </c>
      <c r="F54" s="484"/>
      <c r="G54" s="484"/>
      <c r="H54" s="484"/>
      <c r="I54" s="484"/>
      <c r="J54" s="484"/>
      <c r="K54" s="484"/>
      <c r="L54" s="484"/>
      <c r="M54" s="484"/>
      <c r="N54" s="484"/>
      <c r="O54" s="484"/>
      <c r="P54" s="484"/>
      <c r="Q54" s="484"/>
      <c r="R54" s="484"/>
      <c r="S54" s="484"/>
      <c r="X54" s="290"/>
    </row>
    <row r="55" spans="2:24" x14ac:dyDescent="0.3">
      <c r="B55" s="483"/>
      <c r="F55" s="484"/>
      <c r="G55" s="484"/>
      <c r="H55" s="484"/>
      <c r="I55" s="484"/>
      <c r="J55" s="484"/>
      <c r="K55" s="484"/>
      <c r="L55" s="484"/>
      <c r="M55" s="484"/>
      <c r="N55" s="484"/>
      <c r="O55" s="484"/>
      <c r="P55" s="484"/>
      <c r="Q55" s="484"/>
      <c r="R55" s="484"/>
      <c r="S55" s="484"/>
      <c r="X55" s="290"/>
    </row>
    <row r="56" spans="2:24" ht="14.25" customHeight="1" x14ac:dyDescent="0.3">
      <c r="B56" s="302" t="s">
        <v>732</v>
      </c>
      <c r="C56" s="298"/>
      <c r="D56" s="299"/>
      <c r="E56" s="300"/>
      <c r="F56" s="300"/>
      <c r="G56" s="300"/>
      <c r="H56" s="300"/>
      <c r="I56" s="300"/>
      <c r="J56" s="300"/>
      <c r="K56" s="300"/>
      <c r="L56" s="300"/>
      <c r="M56" s="300"/>
      <c r="N56" s="300"/>
      <c r="O56" s="300"/>
      <c r="P56" s="300"/>
      <c r="Q56" s="300"/>
      <c r="R56" s="300"/>
      <c r="S56" s="300"/>
      <c r="X56" s="290"/>
    </row>
    <row r="57" spans="2:24" x14ac:dyDescent="0.3">
      <c r="B57" s="483"/>
      <c r="C57" s="301" t="s">
        <v>23</v>
      </c>
      <c r="D57" s="301" t="s">
        <v>733</v>
      </c>
      <c r="F57" s="484"/>
      <c r="G57" s="484"/>
      <c r="H57" s="484"/>
      <c r="I57" s="484"/>
      <c r="J57" s="484"/>
      <c r="K57" s="484"/>
      <c r="L57" s="484"/>
      <c r="M57" s="484"/>
      <c r="N57" s="484"/>
      <c r="O57" s="484"/>
      <c r="P57" s="484"/>
      <c r="Q57" s="484"/>
      <c r="R57" s="484"/>
      <c r="S57" s="484"/>
      <c r="X57" s="290"/>
    </row>
    <row r="58" spans="2:24" x14ac:dyDescent="0.3">
      <c r="B58" s="483"/>
      <c r="F58" s="484"/>
      <c r="G58" s="484"/>
      <c r="H58" s="484"/>
      <c r="I58" s="484"/>
      <c r="J58" s="484"/>
      <c r="K58" s="484"/>
      <c r="L58" s="484"/>
      <c r="M58" s="484"/>
      <c r="N58" s="484"/>
      <c r="O58" s="484"/>
      <c r="P58" s="484"/>
      <c r="Q58" s="484"/>
      <c r="R58" s="484"/>
      <c r="S58" s="484"/>
      <c r="X58" s="290"/>
    </row>
    <row r="59" spans="2:24" ht="14.25" customHeight="1" x14ac:dyDescent="0.3">
      <c r="B59" s="302" t="s">
        <v>718</v>
      </c>
      <c r="C59" s="298"/>
      <c r="D59" s="299"/>
      <c r="E59" s="300"/>
      <c r="F59" s="300"/>
      <c r="G59" s="300"/>
      <c r="H59" s="300"/>
      <c r="I59" s="300"/>
      <c r="J59" s="300"/>
      <c r="K59" s="300"/>
      <c r="L59" s="300"/>
      <c r="M59" s="300"/>
      <c r="N59" s="300"/>
      <c r="O59" s="300"/>
      <c r="P59" s="300"/>
      <c r="Q59" s="300"/>
      <c r="R59" s="300"/>
      <c r="S59" s="300"/>
      <c r="X59" s="290"/>
    </row>
    <row r="60" spans="2:24" x14ac:dyDescent="0.3">
      <c r="B60" s="483"/>
      <c r="C60" s="301" t="s">
        <v>715</v>
      </c>
      <c r="D60" s="301" t="s">
        <v>719</v>
      </c>
      <c r="F60" s="484"/>
      <c r="G60" s="484"/>
      <c r="H60" s="484"/>
      <c r="I60" s="484"/>
      <c r="J60" s="484"/>
      <c r="K60" s="484"/>
      <c r="L60" s="484"/>
      <c r="M60" s="484"/>
      <c r="N60" s="484"/>
      <c r="O60" s="484"/>
      <c r="P60" s="484"/>
      <c r="Q60" s="484"/>
      <c r="R60" s="484"/>
      <c r="S60" s="484"/>
      <c r="X60" s="290"/>
    </row>
    <row r="61" spans="2:24" x14ac:dyDescent="0.3">
      <c r="B61" s="483"/>
      <c r="C61" s="301" t="s">
        <v>720</v>
      </c>
      <c r="D61" s="301" t="s">
        <v>721</v>
      </c>
      <c r="F61" s="484"/>
      <c r="G61" s="484"/>
      <c r="H61" s="484"/>
      <c r="I61" s="484"/>
      <c r="J61" s="484"/>
      <c r="K61" s="484"/>
      <c r="L61" s="484"/>
      <c r="M61" s="484"/>
      <c r="N61" s="484"/>
      <c r="O61" s="484"/>
      <c r="P61" s="484"/>
      <c r="Q61" s="484"/>
      <c r="R61" s="484"/>
      <c r="S61" s="484"/>
      <c r="X61" s="290"/>
    </row>
    <row r="62" spans="2:24" x14ac:dyDescent="0.3">
      <c r="B62" s="483"/>
      <c r="C62" s="301" t="s">
        <v>722</v>
      </c>
      <c r="D62" s="301" t="s">
        <v>723</v>
      </c>
      <c r="F62" s="484"/>
      <c r="G62" s="484"/>
      <c r="H62" s="484"/>
      <c r="I62" s="484"/>
      <c r="J62" s="484"/>
      <c r="K62" s="484"/>
      <c r="L62" s="484"/>
      <c r="M62" s="484"/>
      <c r="N62" s="484"/>
      <c r="O62" s="484"/>
      <c r="P62" s="484"/>
      <c r="Q62" s="484"/>
      <c r="R62" s="484"/>
      <c r="S62" s="484"/>
      <c r="X62" s="290"/>
    </row>
    <row r="63" spans="2:24" x14ac:dyDescent="0.3">
      <c r="B63" s="483"/>
      <c r="C63" s="301" t="s">
        <v>783</v>
      </c>
      <c r="D63" s="301" t="s">
        <v>725</v>
      </c>
      <c r="F63" s="484"/>
      <c r="G63" s="484"/>
      <c r="H63" s="484"/>
      <c r="I63" s="484"/>
      <c r="J63" s="484"/>
      <c r="K63" s="484"/>
      <c r="L63" s="484"/>
      <c r="M63" s="484"/>
      <c r="N63" s="484"/>
      <c r="O63" s="484"/>
      <c r="P63" s="484"/>
      <c r="Q63" s="484"/>
      <c r="R63" s="484"/>
      <c r="S63" s="484"/>
      <c r="X63" s="290"/>
    </row>
    <row r="64" spans="2:24" x14ac:dyDescent="0.3">
      <c r="B64" s="483"/>
      <c r="F64" s="484"/>
      <c r="G64" s="484"/>
      <c r="H64" s="484"/>
      <c r="I64" s="484"/>
      <c r="J64" s="484"/>
      <c r="K64" s="484"/>
      <c r="L64" s="484"/>
      <c r="M64" s="484"/>
      <c r="N64" s="484"/>
      <c r="O64" s="484"/>
      <c r="P64" s="484"/>
      <c r="Q64" s="484"/>
      <c r="R64" s="484"/>
      <c r="S64" s="484"/>
      <c r="X64" s="290"/>
    </row>
    <row r="65" spans="2:24" x14ac:dyDescent="0.3">
      <c r="B65" s="302" t="s">
        <v>694</v>
      </c>
      <c r="C65" s="298"/>
      <c r="D65" s="299"/>
      <c r="E65" s="300"/>
      <c r="F65" s="300"/>
      <c r="G65" s="300"/>
      <c r="H65" s="300"/>
      <c r="I65" s="300"/>
      <c r="J65" s="300"/>
      <c r="K65" s="300"/>
      <c r="L65" s="300"/>
      <c r="M65" s="300"/>
      <c r="N65" s="300"/>
      <c r="O65" s="300"/>
      <c r="P65" s="300"/>
      <c r="Q65" s="300"/>
      <c r="R65" s="300"/>
      <c r="S65" s="300"/>
      <c r="X65" s="290"/>
    </row>
    <row r="66" spans="2:24" x14ac:dyDescent="0.3">
      <c r="B66" s="483"/>
      <c r="C66" s="301" t="s">
        <v>179</v>
      </c>
      <c r="D66" s="301" t="s">
        <v>712</v>
      </c>
      <c r="F66" s="484"/>
      <c r="G66" s="484"/>
      <c r="H66" s="484"/>
      <c r="I66" s="484"/>
      <c r="J66" s="484"/>
      <c r="K66" s="484"/>
      <c r="L66" s="484"/>
      <c r="M66" s="484"/>
      <c r="N66" s="484"/>
      <c r="O66" s="484"/>
      <c r="P66" s="484"/>
      <c r="Q66" s="484"/>
      <c r="R66" s="484"/>
      <c r="S66" s="484"/>
      <c r="X66" s="290"/>
    </row>
    <row r="67" spans="2:24" x14ac:dyDescent="0.3">
      <c r="B67" s="483"/>
      <c r="C67" s="301" t="s">
        <v>676</v>
      </c>
      <c r="D67" s="301" t="s">
        <v>713</v>
      </c>
      <c r="F67" s="484"/>
      <c r="G67" s="484"/>
      <c r="H67" s="484"/>
      <c r="I67" s="484"/>
      <c r="J67" s="484"/>
      <c r="K67" s="484"/>
      <c r="L67" s="484"/>
      <c r="M67" s="484"/>
      <c r="N67" s="484"/>
      <c r="O67" s="484"/>
      <c r="P67" s="484"/>
      <c r="Q67" s="484"/>
      <c r="R67" s="484"/>
      <c r="S67" s="484"/>
      <c r="X67" s="290"/>
    </row>
    <row r="68" spans="2:24" x14ac:dyDescent="0.3">
      <c r="B68" s="483"/>
      <c r="C68" s="301" t="s">
        <v>9</v>
      </c>
      <c r="D68" s="301" t="s">
        <v>711</v>
      </c>
      <c r="F68" s="484"/>
      <c r="G68" s="484"/>
      <c r="H68" s="484"/>
      <c r="I68" s="484"/>
      <c r="J68" s="484"/>
      <c r="K68" s="484"/>
      <c r="L68" s="484"/>
      <c r="M68" s="484"/>
      <c r="N68" s="484"/>
      <c r="O68" s="484"/>
      <c r="P68" s="484"/>
      <c r="Q68" s="484"/>
      <c r="R68" s="484"/>
      <c r="S68" s="484"/>
      <c r="X68" s="290"/>
    </row>
    <row r="69" spans="2:24" x14ac:dyDescent="0.3">
      <c r="B69" s="483"/>
      <c r="F69" s="484"/>
      <c r="G69" s="484"/>
      <c r="H69" s="484"/>
      <c r="I69" s="484"/>
      <c r="J69" s="484"/>
      <c r="K69" s="484"/>
      <c r="L69" s="484"/>
      <c r="M69" s="484"/>
      <c r="N69" s="484"/>
      <c r="O69" s="484"/>
      <c r="P69" s="484"/>
      <c r="Q69" s="484"/>
      <c r="R69" s="484"/>
      <c r="S69" s="484"/>
      <c r="X69" s="290"/>
    </row>
    <row r="70" spans="2:24" x14ac:dyDescent="0.3">
      <c r="B70" s="302" t="s">
        <v>693</v>
      </c>
      <c r="C70" s="298"/>
      <c r="D70" s="299"/>
      <c r="E70" s="300"/>
      <c r="F70" s="300"/>
      <c r="G70" s="300"/>
      <c r="H70" s="300"/>
      <c r="I70" s="300"/>
      <c r="J70" s="300"/>
      <c r="K70" s="300"/>
      <c r="L70" s="300"/>
      <c r="M70" s="300"/>
      <c r="N70" s="300"/>
      <c r="O70" s="300"/>
      <c r="P70" s="300"/>
      <c r="Q70" s="300"/>
      <c r="R70" s="300"/>
      <c r="S70" s="300"/>
      <c r="X70" s="290"/>
    </row>
    <row r="71" spans="2:24" x14ac:dyDescent="0.3">
      <c r="C71" s="301" t="s">
        <v>690</v>
      </c>
      <c r="D71" s="301" t="s">
        <v>698</v>
      </c>
      <c r="X71" s="290"/>
    </row>
    <row r="72" spans="2:24" x14ac:dyDescent="0.3">
      <c r="C72" s="301" t="s">
        <v>691</v>
      </c>
      <c r="D72" s="301" t="s">
        <v>699</v>
      </c>
      <c r="X72" s="290"/>
    </row>
    <row r="73" spans="2:24" x14ac:dyDescent="0.3">
      <c r="C73" s="301" t="s">
        <v>676</v>
      </c>
      <c r="D73" s="301" t="s">
        <v>700</v>
      </c>
      <c r="X73" s="290"/>
    </row>
    <row r="74" spans="2:24" x14ac:dyDescent="0.3">
      <c r="C74" s="301" t="s">
        <v>671</v>
      </c>
      <c r="D74" s="301" t="s">
        <v>701</v>
      </c>
      <c r="X74" s="290"/>
    </row>
    <row r="75" spans="2:24" x14ac:dyDescent="0.3">
      <c r="C75" s="301" t="s">
        <v>695</v>
      </c>
      <c r="D75" s="301" t="s">
        <v>711</v>
      </c>
      <c r="X75" s="290"/>
    </row>
    <row r="76" spans="2:24" x14ac:dyDescent="0.3">
      <c r="C76" s="301" t="s">
        <v>696</v>
      </c>
      <c r="D76" s="301" t="s">
        <v>711</v>
      </c>
      <c r="X76" s="290"/>
    </row>
    <row r="77" spans="2:24" x14ac:dyDescent="0.3">
      <c r="C77" s="301" t="s">
        <v>179</v>
      </c>
      <c r="D77" s="301" t="s">
        <v>711</v>
      </c>
      <c r="X77" s="290"/>
    </row>
    <row r="78" spans="2:24" x14ac:dyDescent="0.3">
      <c r="X78" s="290"/>
    </row>
    <row r="79" spans="2:24" x14ac:dyDescent="0.3">
      <c r="B79" s="302" t="s">
        <v>689</v>
      </c>
      <c r="C79" s="298"/>
      <c r="D79" s="299"/>
      <c r="E79" s="300"/>
      <c r="F79" s="300"/>
      <c r="G79" s="300"/>
      <c r="H79" s="300"/>
      <c r="I79" s="300"/>
      <c r="J79" s="300"/>
      <c r="K79" s="300"/>
      <c r="L79" s="300"/>
      <c r="M79" s="300"/>
      <c r="N79" s="300"/>
      <c r="O79" s="300"/>
      <c r="P79" s="300"/>
      <c r="Q79" s="300"/>
      <c r="R79" s="300"/>
      <c r="S79" s="300"/>
      <c r="X79" s="290"/>
    </row>
    <row r="80" spans="2:24" x14ac:dyDescent="0.3">
      <c r="C80" s="301" t="s">
        <v>690</v>
      </c>
      <c r="D80" s="301" t="s">
        <v>692</v>
      </c>
      <c r="X80" s="290"/>
    </row>
    <row r="81" spans="2:28" x14ac:dyDescent="0.3">
      <c r="X81" s="290"/>
    </row>
    <row r="82" spans="2:28" x14ac:dyDescent="0.3">
      <c r="B82" s="302" t="s">
        <v>673</v>
      </c>
      <c r="C82" s="298"/>
      <c r="D82" s="299"/>
      <c r="E82" s="300"/>
      <c r="F82" s="300"/>
      <c r="G82" s="300"/>
      <c r="H82" s="300"/>
      <c r="I82" s="300"/>
      <c r="J82" s="300"/>
      <c r="K82" s="300"/>
      <c r="L82" s="300"/>
      <c r="M82" s="300"/>
      <c r="N82" s="300"/>
      <c r="O82" s="300"/>
      <c r="P82" s="300"/>
      <c r="Q82" s="300"/>
      <c r="R82" s="300"/>
      <c r="S82" s="300"/>
      <c r="X82" s="290"/>
    </row>
    <row r="83" spans="2:28" x14ac:dyDescent="0.3">
      <c r="C83" s="301" t="s">
        <v>671</v>
      </c>
      <c r="D83" s="301" t="s">
        <v>680</v>
      </c>
      <c r="X83" s="290"/>
    </row>
    <row r="84" spans="2:28" x14ac:dyDescent="0.3">
      <c r="C84" s="301" t="s">
        <v>674</v>
      </c>
      <c r="D84" s="301" t="s">
        <v>683</v>
      </c>
      <c r="X84" s="290"/>
    </row>
    <row r="85" spans="2:28" x14ac:dyDescent="0.3">
      <c r="C85" s="301" t="s">
        <v>675</v>
      </c>
      <c r="D85" s="301" t="s">
        <v>681</v>
      </c>
      <c r="X85" s="290"/>
    </row>
    <row r="86" spans="2:28" x14ac:dyDescent="0.3">
      <c r="C86" s="301" t="s">
        <v>682</v>
      </c>
      <c r="D86" s="301" t="s">
        <v>684</v>
      </c>
      <c r="X86" s="290"/>
    </row>
    <row r="87" spans="2:28" x14ac:dyDescent="0.3">
      <c r="B87" s="302" t="s">
        <v>661</v>
      </c>
      <c r="C87" s="298"/>
      <c r="D87" s="299"/>
      <c r="E87" s="300"/>
      <c r="F87" s="300"/>
      <c r="G87" s="300"/>
      <c r="H87" s="300"/>
      <c r="I87" s="300"/>
      <c r="J87" s="300"/>
      <c r="K87" s="300"/>
      <c r="L87" s="300"/>
      <c r="M87" s="300"/>
      <c r="N87" s="300"/>
      <c r="O87" s="300"/>
      <c r="P87" s="300"/>
      <c r="Q87" s="300"/>
      <c r="R87" s="300"/>
      <c r="S87" s="300"/>
      <c r="X87" s="290"/>
    </row>
    <row r="88" spans="2:28" x14ac:dyDescent="0.3">
      <c r="C88" s="301" t="s">
        <v>664</v>
      </c>
      <c r="D88" s="301" t="s">
        <v>665</v>
      </c>
      <c r="X88" s="290"/>
    </row>
    <row r="89" spans="2:28" x14ac:dyDescent="0.3">
      <c r="C89" s="301" t="s">
        <v>662</v>
      </c>
      <c r="D89" s="301" t="s">
        <v>663</v>
      </c>
      <c r="X89" s="290"/>
    </row>
    <row r="90" spans="2:28" x14ac:dyDescent="0.3">
      <c r="C90" s="301" t="s">
        <v>635</v>
      </c>
      <c r="D90" s="301" t="s">
        <v>666</v>
      </c>
      <c r="X90" s="290"/>
    </row>
    <row r="91" spans="2:28" x14ac:dyDescent="0.3">
      <c r="B91" s="302" t="s">
        <v>633</v>
      </c>
      <c r="C91" s="298"/>
      <c r="D91" s="299"/>
      <c r="E91" s="300"/>
      <c r="F91" s="300"/>
      <c r="G91" s="300"/>
      <c r="H91" s="300"/>
      <c r="I91" s="300"/>
      <c r="J91" s="300"/>
      <c r="K91" s="300"/>
      <c r="L91" s="300"/>
      <c r="M91" s="300"/>
      <c r="N91" s="300"/>
      <c r="O91" s="300"/>
      <c r="P91" s="300"/>
      <c r="Q91" s="300"/>
      <c r="R91" s="300"/>
      <c r="S91" s="300"/>
      <c r="X91" s="290"/>
    </row>
    <row r="92" spans="2:28" x14ac:dyDescent="0.3">
      <c r="C92" s="301" t="s">
        <v>634</v>
      </c>
      <c r="D92" s="301" t="s">
        <v>656</v>
      </c>
      <c r="U92" s="301"/>
      <c r="V92" s="301"/>
      <c r="W92" s="301"/>
      <c r="X92" s="301"/>
      <c r="Y92" s="301"/>
      <c r="Z92" s="301"/>
      <c r="AA92" s="301"/>
      <c r="AB92" s="301"/>
    </row>
    <row r="93" spans="2:28" x14ac:dyDescent="0.3">
      <c r="C93" s="301" t="s">
        <v>635</v>
      </c>
      <c r="D93" s="301" t="s">
        <v>657</v>
      </c>
      <c r="U93" s="301"/>
      <c r="V93" s="301"/>
      <c r="W93" s="301"/>
      <c r="X93" s="301"/>
      <c r="Y93" s="301"/>
      <c r="Z93" s="301"/>
      <c r="AA93" s="301"/>
      <c r="AB93" s="301"/>
    </row>
    <row r="94" spans="2:28" x14ac:dyDescent="0.3">
      <c r="C94" s="301" t="s">
        <v>646</v>
      </c>
      <c r="D94" s="301" t="s">
        <v>647</v>
      </c>
      <c r="U94" s="301"/>
      <c r="V94" s="301"/>
      <c r="W94" s="301"/>
      <c r="X94" s="301"/>
      <c r="Y94" s="301"/>
      <c r="Z94" s="301"/>
      <c r="AA94" s="301"/>
      <c r="AB94" s="301"/>
    </row>
    <row r="95" spans="2:28" x14ac:dyDescent="0.3">
      <c r="C95" s="301" t="s">
        <v>23</v>
      </c>
      <c r="D95" s="301" t="s">
        <v>648</v>
      </c>
      <c r="U95" s="301"/>
      <c r="V95" s="301"/>
      <c r="W95" s="301"/>
      <c r="X95" s="301"/>
      <c r="Y95" s="301"/>
      <c r="Z95" s="301"/>
      <c r="AA95" s="301"/>
      <c r="AB95" s="301"/>
    </row>
    <row r="96" spans="2:28" x14ac:dyDescent="0.3">
      <c r="C96" s="301" t="s">
        <v>174</v>
      </c>
      <c r="D96" s="301" t="s">
        <v>649</v>
      </c>
      <c r="U96" s="301"/>
      <c r="V96" s="301"/>
      <c r="W96" s="301"/>
      <c r="X96" s="301"/>
      <c r="Y96" s="301"/>
      <c r="Z96" s="301"/>
      <c r="AA96" s="301"/>
      <c r="AB96" s="301"/>
    </row>
    <row r="97" spans="2:28" x14ac:dyDescent="0.3">
      <c r="C97" s="301" t="s">
        <v>183</v>
      </c>
      <c r="D97" s="301" t="s">
        <v>658</v>
      </c>
      <c r="U97" s="301"/>
      <c r="V97" s="301"/>
      <c r="W97" s="301"/>
      <c r="X97" s="301"/>
      <c r="Y97" s="301"/>
      <c r="Z97" s="301"/>
      <c r="AA97" s="301"/>
      <c r="AB97" s="301"/>
    </row>
    <row r="98" spans="2:28" x14ac:dyDescent="0.3">
      <c r="C98" s="301" t="s">
        <v>636</v>
      </c>
      <c r="D98" s="301" t="s">
        <v>650</v>
      </c>
      <c r="X98" s="290"/>
    </row>
    <row r="99" spans="2:28" x14ac:dyDescent="0.3">
      <c r="B99" s="302" t="s">
        <v>630</v>
      </c>
      <c r="C99" s="298"/>
      <c r="D99" s="299"/>
      <c r="E99" s="300"/>
      <c r="F99" s="300"/>
      <c r="G99" s="300"/>
      <c r="H99" s="300"/>
      <c r="I99" s="300"/>
      <c r="J99" s="300"/>
      <c r="K99" s="300"/>
      <c r="L99" s="300"/>
      <c r="M99" s="300"/>
      <c r="N99" s="300"/>
      <c r="O99" s="300"/>
      <c r="P99" s="300"/>
      <c r="Q99" s="300"/>
      <c r="R99" s="300"/>
      <c r="S99" s="300"/>
      <c r="X99" s="290"/>
    </row>
    <row r="100" spans="2:28" x14ac:dyDescent="0.3">
      <c r="C100" s="301" t="s">
        <v>631</v>
      </c>
      <c r="X100" s="290"/>
    </row>
    <row r="101" spans="2:28" x14ac:dyDescent="0.3">
      <c r="B101" s="302" t="s">
        <v>629</v>
      </c>
      <c r="C101" s="298"/>
      <c r="D101" s="299"/>
      <c r="E101" s="300"/>
      <c r="F101" s="300"/>
      <c r="G101" s="300"/>
      <c r="H101" s="300"/>
      <c r="I101" s="300"/>
      <c r="J101" s="300"/>
      <c r="K101" s="300"/>
      <c r="L101" s="300"/>
      <c r="M101" s="300"/>
      <c r="N101" s="300"/>
      <c r="O101" s="300"/>
      <c r="P101" s="300"/>
      <c r="Q101" s="300"/>
      <c r="R101" s="300"/>
      <c r="S101" s="300"/>
      <c r="X101" s="290"/>
    </row>
    <row r="102" spans="2:28" x14ac:dyDescent="0.3">
      <c r="C102" s="301" t="s">
        <v>563</v>
      </c>
      <c r="X102" s="290"/>
    </row>
    <row r="103" spans="2:28" x14ac:dyDescent="0.3">
      <c r="B103" s="302" t="s">
        <v>592</v>
      </c>
      <c r="C103" s="298"/>
      <c r="D103" s="299"/>
      <c r="E103" s="300"/>
      <c r="F103" s="300"/>
      <c r="G103" s="300"/>
      <c r="H103" s="300"/>
      <c r="I103" s="300"/>
      <c r="J103" s="300"/>
      <c r="K103" s="300"/>
      <c r="L103" s="300"/>
      <c r="M103" s="300"/>
      <c r="N103" s="300"/>
      <c r="O103" s="300"/>
      <c r="P103" s="300"/>
      <c r="Q103" s="300"/>
      <c r="R103" s="300"/>
      <c r="S103" s="300"/>
      <c r="X103" s="290"/>
    </row>
    <row r="104" spans="2:28" x14ac:dyDescent="0.3">
      <c r="C104" s="301" t="s">
        <v>593</v>
      </c>
      <c r="X104" s="290"/>
    </row>
    <row r="105" spans="2:28" x14ac:dyDescent="0.3">
      <c r="C105" s="301" t="s">
        <v>594</v>
      </c>
      <c r="X105" s="290"/>
    </row>
    <row r="106" spans="2:28" x14ac:dyDescent="0.3">
      <c r="B106" s="302" t="s">
        <v>585</v>
      </c>
      <c r="C106" s="298"/>
      <c r="D106" s="299"/>
      <c r="E106" s="300"/>
      <c r="F106" s="300"/>
      <c r="G106" s="300"/>
      <c r="H106" s="300"/>
      <c r="I106" s="300"/>
      <c r="J106" s="300"/>
      <c r="K106" s="300"/>
      <c r="L106" s="300"/>
      <c r="M106" s="300"/>
      <c r="N106" s="300"/>
      <c r="O106" s="300"/>
      <c r="P106" s="300"/>
      <c r="Q106" s="300"/>
      <c r="R106" s="300"/>
      <c r="S106" s="300"/>
      <c r="X106" s="290"/>
    </row>
    <row r="107" spans="2:28" x14ac:dyDescent="0.3">
      <c r="C107" s="301" t="s">
        <v>563</v>
      </c>
      <c r="X107" s="290"/>
    </row>
    <row r="108" spans="2:28" x14ac:dyDescent="0.3">
      <c r="B108" s="302" t="s">
        <v>565</v>
      </c>
      <c r="C108" s="298"/>
      <c r="D108" s="299"/>
      <c r="E108" s="300"/>
      <c r="F108" s="300"/>
      <c r="G108" s="300"/>
      <c r="H108" s="300"/>
      <c r="I108" s="300"/>
      <c r="J108" s="300"/>
      <c r="K108" s="300"/>
      <c r="L108" s="300"/>
      <c r="M108" s="300"/>
      <c r="N108" s="300"/>
      <c r="O108" s="300"/>
      <c r="P108" s="300"/>
      <c r="Q108" s="300"/>
      <c r="R108" s="300"/>
      <c r="S108" s="300"/>
      <c r="X108" s="290"/>
    </row>
    <row r="109" spans="2:28" x14ac:dyDescent="0.3">
      <c r="C109" s="301" t="s">
        <v>566</v>
      </c>
      <c r="X109" s="290"/>
    </row>
    <row r="110" spans="2:28" x14ac:dyDescent="0.3">
      <c r="C110" s="301" t="s">
        <v>567</v>
      </c>
      <c r="X110" s="290"/>
    </row>
    <row r="111" spans="2:28" x14ac:dyDescent="0.3">
      <c r="C111" s="301" t="s">
        <v>568</v>
      </c>
      <c r="X111" s="290"/>
    </row>
    <row r="112" spans="2:28" x14ac:dyDescent="0.3">
      <c r="C112" s="301" t="s">
        <v>580</v>
      </c>
      <c r="X112" s="290"/>
    </row>
    <row r="113" spans="2:24" x14ac:dyDescent="0.3">
      <c r="B113" s="302" t="s">
        <v>562</v>
      </c>
      <c r="C113" s="298"/>
      <c r="D113" s="299"/>
      <c r="E113" s="300"/>
      <c r="F113" s="300"/>
      <c r="G113" s="300"/>
      <c r="H113" s="300"/>
      <c r="I113" s="300"/>
      <c r="J113" s="300"/>
      <c r="K113" s="300"/>
      <c r="L113" s="300"/>
      <c r="M113" s="300"/>
      <c r="N113" s="300"/>
      <c r="O113" s="300"/>
      <c r="P113" s="300"/>
      <c r="Q113" s="300"/>
      <c r="R113" s="300"/>
      <c r="S113" s="300"/>
      <c r="X113" s="290"/>
    </row>
    <row r="114" spans="2:24" x14ac:dyDescent="0.3">
      <c r="C114" s="301" t="s">
        <v>563</v>
      </c>
      <c r="X114" s="290"/>
    </row>
    <row r="115" spans="2:24" x14ac:dyDescent="0.3">
      <c r="B115" s="302" t="s">
        <v>561</v>
      </c>
      <c r="C115" s="298"/>
      <c r="D115" s="299"/>
      <c r="E115" s="300"/>
      <c r="F115" s="300"/>
      <c r="G115" s="300"/>
      <c r="H115" s="300"/>
      <c r="I115" s="300"/>
      <c r="J115" s="300"/>
      <c r="K115" s="300"/>
      <c r="L115" s="300"/>
      <c r="M115" s="300"/>
      <c r="N115" s="300"/>
      <c r="O115" s="300"/>
      <c r="P115" s="300"/>
      <c r="Q115" s="300"/>
      <c r="R115" s="300"/>
      <c r="S115" s="300"/>
      <c r="X115" s="290"/>
    </row>
    <row r="116" spans="2:24" x14ac:dyDescent="0.3">
      <c r="C116" s="301" t="s">
        <v>563</v>
      </c>
      <c r="X116" s="290"/>
    </row>
    <row r="117" spans="2:24" x14ac:dyDescent="0.3">
      <c r="B117" s="302" t="s">
        <v>546</v>
      </c>
      <c r="C117" s="298"/>
      <c r="D117" s="299"/>
      <c r="E117" s="300"/>
      <c r="F117" s="300"/>
      <c r="G117" s="300"/>
      <c r="H117" s="300"/>
      <c r="I117" s="300"/>
      <c r="J117" s="300"/>
      <c r="K117" s="300"/>
      <c r="L117" s="300"/>
      <c r="M117" s="300"/>
      <c r="N117" s="300"/>
      <c r="O117" s="300"/>
      <c r="P117" s="300"/>
      <c r="Q117" s="300"/>
      <c r="R117" s="300"/>
      <c r="S117" s="300"/>
      <c r="X117" s="290"/>
    </row>
    <row r="118" spans="2:24" x14ac:dyDescent="0.3">
      <c r="C118" s="301" t="s">
        <v>547</v>
      </c>
      <c r="X118" s="290"/>
    </row>
    <row r="119" spans="2:24" x14ac:dyDescent="0.3">
      <c r="C119" s="301" t="s">
        <v>564</v>
      </c>
      <c r="X119" s="290"/>
    </row>
    <row r="120" spans="2:24" x14ac:dyDescent="0.3">
      <c r="B120" s="302" t="s">
        <v>515</v>
      </c>
      <c r="C120" s="298"/>
      <c r="D120" s="299"/>
      <c r="E120" s="300"/>
      <c r="F120" s="300"/>
      <c r="G120" s="300"/>
      <c r="H120" s="300"/>
      <c r="I120" s="300"/>
      <c r="J120" s="300"/>
      <c r="K120" s="300"/>
      <c r="L120" s="300"/>
      <c r="M120" s="300"/>
      <c r="N120" s="300"/>
      <c r="O120" s="300"/>
      <c r="P120" s="300"/>
      <c r="Q120" s="300"/>
      <c r="R120" s="300"/>
      <c r="S120" s="300"/>
      <c r="X120" s="290"/>
    </row>
    <row r="121" spans="2:24" x14ac:dyDescent="0.3">
      <c r="C121" s="301" t="s">
        <v>516</v>
      </c>
    </row>
    <row r="122" spans="2:24" x14ac:dyDescent="0.3">
      <c r="C122" s="301" t="s">
        <v>517</v>
      </c>
    </row>
    <row r="123" spans="2:24" x14ac:dyDescent="0.3">
      <c r="B123" s="302" t="s">
        <v>469</v>
      </c>
      <c r="C123" s="298"/>
      <c r="D123" s="299"/>
      <c r="E123" s="300"/>
      <c r="F123" s="300"/>
      <c r="G123" s="300"/>
      <c r="H123" s="300"/>
      <c r="I123" s="300"/>
      <c r="J123" s="300"/>
      <c r="K123" s="300"/>
      <c r="L123" s="300"/>
      <c r="M123" s="300"/>
      <c r="N123" s="300"/>
      <c r="O123" s="300"/>
      <c r="P123" s="300"/>
      <c r="Q123" s="300"/>
      <c r="R123" s="300"/>
      <c r="S123" s="300"/>
    </row>
    <row r="124" spans="2:24" x14ac:dyDescent="0.3">
      <c r="C124" s="183" t="s">
        <v>473</v>
      </c>
    </row>
    <row r="125" spans="2:24" x14ac:dyDescent="0.3">
      <c r="C125" s="183" t="s">
        <v>472</v>
      </c>
    </row>
    <row r="126" spans="2:24" x14ac:dyDescent="0.3">
      <c r="C126" s="183" t="s">
        <v>471</v>
      </c>
    </row>
    <row r="127" spans="2:24" x14ac:dyDescent="0.3">
      <c r="C127" s="183" t="s">
        <v>514</v>
      </c>
    </row>
    <row r="128" spans="2:24" x14ac:dyDescent="0.3">
      <c r="B128" s="302" t="s">
        <v>410</v>
      </c>
      <c r="C128" s="298"/>
      <c r="D128" s="299"/>
      <c r="E128" s="300"/>
      <c r="F128" s="300"/>
      <c r="G128" s="300"/>
      <c r="H128" s="300"/>
      <c r="I128" s="300"/>
      <c r="J128" s="300"/>
      <c r="K128" s="300"/>
      <c r="L128" s="300"/>
      <c r="M128" s="300"/>
      <c r="N128" s="300"/>
      <c r="O128" s="300"/>
      <c r="P128" s="300"/>
      <c r="Q128" s="300"/>
      <c r="R128" s="300"/>
      <c r="S128" s="300"/>
    </row>
    <row r="129" spans="2:19" x14ac:dyDescent="0.3">
      <c r="B129" s="303"/>
      <c r="C129" s="301" t="s">
        <v>411</v>
      </c>
    </row>
    <row r="130" spans="2:19" x14ac:dyDescent="0.3">
      <c r="B130" s="303"/>
      <c r="C130" s="301" t="s">
        <v>412</v>
      </c>
    </row>
    <row r="131" spans="2:19" x14ac:dyDescent="0.3">
      <c r="B131" s="302" t="s">
        <v>413</v>
      </c>
      <c r="C131" s="298"/>
      <c r="D131" s="299"/>
      <c r="E131" s="300"/>
      <c r="F131" s="300"/>
      <c r="G131" s="300"/>
      <c r="H131" s="300"/>
      <c r="I131" s="300"/>
      <c r="J131" s="300"/>
      <c r="K131" s="300"/>
      <c r="L131" s="300"/>
      <c r="M131" s="300"/>
      <c r="N131" s="300"/>
      <c r="O131" s="300"/>
      <c r="P131" s="300"/>
      <c r="Q131" s="300"/>
      <c r="R131" s="300"/>
      <c r="S131" s="300"/>
    </row>
    <row r="132" spans="2:19" x14ac:dyDescent="0.3">
      <c r="B132" s="303"/>
      <c r="C132" s="301" t="s">
        <v>414</v>
      </c>
    </row>
    <row r="133" spans="2:19" x14ac:dyDescent="0.3">
      <c r="B133" s="302" t="s">
        <v>415</v>
      </c>
      <c r="C133" s="298"/>
      <c r="D133" s="299"/>
      <c r="E133" s="300"/>
      <c r="F133" s="300"/>
      <c r="G133" s="300"/>
      <c r="H133" s="300"/>
      <c r="I133" s="300"/>
      <c r="J133" s="300"/>
      <c r="K133" s="300"/>
      <c r="L133" s="300"/>
      <c r="M133" s="300"/>
      <c r="N133" s="300"/>
      <c r="O133" s="300"/>
      <c r="P133" s="300"/>
      <c r="Q133" s="300"/>
      <c r="R133" s="300"/>
      <c r="S133" s="300"/>
    </row>
    <row r="134" spans="2:19" x14ac:dyDescent="0.3">
      <c r="B134" s="303"/>
      <c r="C134" s="301" t="s">
        <v>416</v>
      </c>
    </row>
    <row r="135" spans="2:19" x14ac:dyDescent="0.3">
      <c r="B135" s="303"/>
      <c r="C135" s="301" t="s">
        <v>417</v>
      </c>
    </row>
    <row r="136" spans="2:19" x14ac:dyDescent="0.3">
      <c r="B136" s="303"/>
      <c r="C136" s="301" t="s">
        <v>418</v>
      </c>
    </row>
    <row r="137" spans="2:19" x14ac:dyDescent="0.3">
      <c r="B137" s="302" t="s">
        <v>419</v>
      </c>
      <c r="C137" s="298"/>
      <c r="D137" s="299"/>
      <c r="E137" s="300"/>
      <c r="F137" s="300"/>
      <c r="G137" s="300"/>
      <c r="H137" s="300"/>
      <c r="I137" s="300"/>
      <c r="J137" s="300"/>
      <c r="K137" s="300"/>
      <c r="L137" s="300"/>
      <c r="M137" s="300"/>
      <c r="N137" s="300"/>
      <c r="O137" s="300"/>
      <c r="P137" s="300"/>
      <c r="Q137" s="300"/>
      <c r="R137" s="300"/>
      <c r="S137" s="300"/>
    </row>
    <row r="138" spans="2:19" x14ac:dyDescent="0.3">
      <c r="B138" s="303"/>
      <c r="C138" s="301" t="s">
        <v>420</v>
      </c>
    </row>
    <row r="139" spans="2:19" x14ac:dyDescent="0.3">
      <c r="B139" s="302" t="s">
        <v>421</v>
      </c>
      <c r="C139" s="298"/>
      <c r="D139" s="299"/>
      <c r="E139" s="300"/>
      <c r="F139" s="300"/>
      <c r="G139" s="300"/>
      <c r="H139" s="300"/>
      <c r="I139" s="300"/>
      <c r="J139" s="300"/>
      <c r="K139" s="300"/>
      <c r="L139" s="300"/>
      <c r="M139" s="300"/>
      <c r="N139" s="300"/>
      <c r="O139" s="300"/>
      <c r="P139" s="300"/>
      <c r="Q139" s="300"/>
      <c r="R139" s="300"/>
      <c r="S139" s="300"/>
    </row>
    <row r="140" spans="2:19" x14ac:dyDescent="0.3">
      <c r="B140" s="303"/>
      <c r="C140" s="301" t="s">
        <v>422</v>
      </c>
    </row>
    <row r="141" spans="2:19" x14ac:dyDescent="0.3">
      <c r="B141" s="303"/>
      <c r="C141" s="301" t="s">
        <v>423</v>
      </c>
    </row>
    <row r="142" spans="2:19" x14ac:dyDescent="0.3">
      <c r="B142" s="303"/>
      <c r="C142" s="301" t="s">
        <v>424</v>
      </c>
    </row>
    <row r="143" spans="2:19" x14ac:dyDescent="0.3">
      <c r="B143" s="302" t="s">
        <v>425</v>
      </c>
      <c r="C143" s="298"/>
      <c r="D143" s="299"/>
      <c r="E143" s="300"/>
      <c r="F143" s="300"/>
      <c r="G143" s="300"/>
      <c r="H143" s="300"/>
      <c r="I143" s="300"/>
      <c r="J143" s="300"/>
      <c r="K143" s="300"/>
      <c r="L143" s="300"/>
      <c r="M143" s="300"/>
      <c r="N143" s="300"/>
      <c r="O143" s="300"/>
      <c r="P143" s="300"/>
      <c r="Q143" s="300"/>
      <c r="R143" s="300"/>
      <c r="S143" s="300"/>
    </row>
    <row r="144" spans="2:19" x14ac:dyDescent="0.3">
      <c r="B144" s="303"/>
      <c r="C144" s="301" t="s">
        <v>426</v>
      </c>
    </row>
    <row r="145" spans="2:19" x14ac:dyDescent="0.3">
      <c r="B145" s="303"/>
      <c r="C145" s="301" t="s">
        <v>427</v>
      </c>
    </row>
    <row r="146" spans="2:19" x14ac:dyDescent="0.3">
      <c r="B146" s="303"/>
      <c r="C146" s="301" t="s">
        <v>428</v>
      </c>
    </row>
    <row r="147" spans="2:19" x14ac:dyDescent="0.3">
      <c r="B147" s="302" t="s">
        <v>429</v>
      </c>
      <c r="C147" s="298"/>
      <c r="D147" s="299"/>
      <c r="E147" s="300"/>
      <c r="F147" s="300"/>
      <c r="G147" s="300"/>
      <c r="H147" s="300"/>
      <c r="I147" s="300"/>
      <c r="J147" s="300"/>
      <c r="K147" s="300"/>
      <c r="L147" s="300"/>
      <c r="M147" s="300"/>
      <c r="N147" s="300"/>
      <c r="O147" s="300"/>
      <c r="P147" s="300"/>
      <c r="Q147" s="300"/>
      <c r="R147" s="300"/>
      <c r="S147" s="300"/>
    </row>
    <row r="148" spans="2:19" x14ac:dyDescent="0.3">
      <c r="B148" s="303"/>
      <c r="C148" s="301" t="s">
        <v>430</v>
      </c>
    </row>
    <row r="149" spans="2:19" x14ac:dyDescent="0.3">
      <c r="B149" s="302" t="s">
        <v>431</v>
      </c>
      <c r="C149" s="298"/>
      <c r="D149" s="299"/>
      <c r="E149" s="300"/>
      <c r="F149" s="300"/>
      <c r="G149" s="300"/>
      <c r="H149" s="300"/>
      <c r="I149" s="300"/>
      <c r="J149" s="300"/>
      <c r="K149" s="300"/>
      <c r="L149" s="300"/>
      <c r="M149" s="300"/>
      <c r="N149" s="300"/>
      <c r="O149" s="300"/>
      <c r="P149" s="300"/>
      <c r="Q149" s="300"/>
      <c r="R149" s="300"/>
      <c r="S149" s="300"/>
    </row>
    <row r="150" spans="2:19" x14ac:dyDescent="0.3">
      <c r="B150" s="303"/>
      <c r="C150" s="301" t="s">
        <v>334</v>
      </c>
    </row>
    <row r="151" spans="2:19" x14ac:dyDescent="0.3">
      <c r="B151" s="302" t="s">
        <v>432</v>
      </c>
      <c r="C151" s="298"/>
      <c r="D151" s="299"/>
      <c r="E151" s="300"/>
      <c r="F151" s="300"/>
      <c r="G151" s="300"/>
      <c r="H151" s="300"/>
      <c r="I151" s="300"/>
      <c r="J151" s="300"/>
      <c r="K151" s="300"/>
      <c r="L151" s="300"/>
      <c r="M151" s="300"/>
      <c r="N151" s="300"/>
      <c r="O151" s="300"/>
      <c r="P151" s="300"/>
      <c r="Q151" s="300"/>
      <c r="R151" s="300"/>
      <c r="S151" s="300"/>
    </row>
    <row r="152" spans="2:19" x14ac:dyDescent="0.3">
      <c r="B152" s="303"/>
      <c r="C152" s="301" t="s">
        <v>292</v>
      </c>
    </row>
    <row r="153" spans="2:19" x14ac:dyDescent="0.3">
      <c r="B153" s="303"/>
      <c r="C153" s="301" t="s">
        <v>293</v>
      </c>
    </row>
    <row r="154" spans="2:19" x14ac:dyDescent="0.3">
      <c r="B154" s="302" t="s">
        <v>433</v>
      </c>
      <c r="C154" s="298"/>
      <c r="D154" s="299"/>
      <c r="E154" s="300"/>
      <c r="F154" s="300"/>
      <c r="G154" s="300"/>
      <c r="H154" s="300"/>
      <c r="I154" s="300"/>
      <c r="J154" s="300"/>
      <c r="K154" s="300"/>
      <c r="L154" s="300"/>
      <c r="M154" s="300"/>
      <c r="N154" s="300"/>
      <c r="O154" s="300"/>
      <c r="P154" s="300"/>
      <c r="Q154" s="300"/>
      <c r="R154" s="300"/>
      <c r="S154" s="300"/>
    </row>
    <row r="155" spans="2:19" x14ac:dyDescent="0.3">
      <c r="B155" s="303"/>
      <c r="C155" s="301" t="s">
        <v>449</v>
      </c>
    </row>
    <row r="156" spans="2:19" x14ac:dyDescent="0.3">
      <c r="B156" s="302" t="s">
        <v>434</v>
      </c>
      <c r="C156" s="298"/>
      <c r="D156" s="299"/>
      <c r="E156" s="300"/>
      <c r="F156" s="300"/>
      <c r="G156" s="300"/>
      <c r="H156" s="300"/>
      <c r="I156" s="300"/>
      <c r="J156" s="300"/>
      <c r="K156" s="300"/>
      <c r="L156" s="300"/>
      <c r="M156" s="300"/>
      <c r="N156" s="300"/>
      <c r="O156" s="300"/>
      <c r="P156" s="300"/>
      <c r="Q156" s="300"/>
      <c r="R156" s="300"/>
      <c r="S156" s="300"/>
    </row>
    <row r="157" spans="2:19" ht="16.5" x14ac:dyDescent="0.3">
      <c r="B157" s="303"/>
      <c r="C157" s="301" t="s">
        <v>450</v>
      </c>
    </row>
    <row r="158" spans="2:19" ht="16.5" x14ac:dyDescent="0.3">
      <c r="B158" s="303"/>
      <c r="C158" s="301" t="s">
        <v>451</v>
      </c>
    </row>
    <row r="159" spans="2:19" x14ac:dyDescent="0.3">
      <c r="B159" s="302" t="s">
        <v>435</v>
      </c>
      <c r="C159" s="298"/>
      <c r="D159" s="299"/>
      <c r="E159" s="300"/>
      <c r="F159" s="300"/>
      <c r="G159" s="300"/>
      <c r="H159" s="300"/>
      <c r="I159" s="300"/>
      <c r="J159" s="300"/>
      <c r="K159" s="300"/>
      <c r="L159" s="300"/>
      <c r="M159" s="300"/>
      <c r="N159" s="300"/>
      <c r="O159" s="300"/>
      <c r="P159" s="300"/>
      <c r="Q159" s="300"/>
      <c r="R159" s="300"/>
      <c r="S159" s="300"/>
    </row>
    <row r="160" spans="2:19" x14ac:dyDescent="0.3">
      <c r="B160" s="303"/>
      <c r="C160" s="301" t="s">
        <v>436</v>
      </c>
    </row>
    <row r="161" spans="2:19" x14ac:dyDescent="0.3">
      <c r="B161" s="303"/>
      <c r="C161" s="301" t="s">
        <v>437</v>
      </c>
    </row>
    <row r="162" spans="2:19" x14ac:dyDescent="0.3">
      <c r="B162" s="302" t="s">
        <v>438</v>
      </c>
      <c r="C162" s="298"/>
      <c r="D162" s="299"/>
      <c r="E162" s="300"/>
      <c r="F162" s="300"/>
      <c r="G162" s="300"/>
      <c r="H162" s="300"/>
      <c r="I162" s="300"/>
      <c r="J162" s="300"/>
      <c r="K162" s="300"/>
      <c r="L162" s="300"/>
      <c r="M162" s="300"/>
      <c r="N162" s="300"/>
      <c r="O162" s="300"/>
      <c r="P162" s="300"/>
      <c r="Q162" s="300"/>
      <c r="R162" s="300"/>
      <c r="S162" s="300"/>
    </row>
    <row r="163" spans="2:19" x14ac:dyDescent="0.3">
      <c r="B163" s="303"/>
      <c r="C163" s="301" t="s">
        <v>439</v>
      </c>
    </row>
    <row r="164" spans="2:19" x14ac:dyDescent="0.3">
      <c r="B164" s="302" t="s">
        <v>440</v>
      </c>
      <c r="C164" s="298"/>
      <c r="D164" s="299"/>
      <c r="E164" s="300"/>
      <c r="F164" s="300"/>
      <c r="G164" s="300"/>
      <c r="H164" s="300"/>
      <c r="I164" s="300"/>
      <c r="J164" s="300"/>
      <c r="K164" s="300"/>
      <c r="L164" s="300"/>
      <c r="M164" s="300"/>
      <c r="N164" s="300"/>
      <c r="O164" s="300"/>
      <c r="P164" s="300"/>
      <c r="Q164" s="300"/>
      <c r="R164" s="300"/>
      <c r="S164" s="300"/>
    </row>
    <row r="165" spans="2:19" x14ac:dyDescent="0.3">
      <c r="B165" s="303"/>
      <c r="C165" s="301" t="s">
        <v>441</v>
      </c>
    </row>
    <row r="166" spans="2:19" x14ac:dyDescent="0.3">
      <c r="B166" s="303"/>
      <c r="C166" s="301" t="s">
        <v>442</v>
      </c>
    </row>
    <row r="167" spans="2:19" x14ac:dyDescent="0.3">
      <c r="B167" s="302" t="s">
        <v>253</v>
      </c>
      <c r="C167" s="298"/>
      <c r="D167" s="300"/>
      <c r="E167" s="300"/>
      <c r="F167" s="300"/>
      <c r="G167" s="300"/>
      <c r="H167" s="300"/>
      <c r="I167" s="300"/>
      <c r="J167" s="300"/>
      <c r="K167" s="300"/>
      <c r="L167" s="300"/>
      <c r="M167" s="300"/>
      <c r="N167" s="300"/>
      <c r="O167" s="300"/>
      <c r="P167" s="300"/>
      <c r="Q167" s="300"/>
      <c r="R167" s="300"/>
      <c r="S167" s="300"/>
    </row>
    <row r="168" spans="2:19" x14ac:dyDescent="0.3">
      <c r="D168" s="301" t="s">
        <v>199</v>
      </c>
    </row>
    <row r="169" spans="2:19" x14ac:dyDescent="0.3">
      <c r="D169" s="301" t="s">
        <v>204</v>
      </c>
    </row>
    <row r="170" spans="2:19" x14ac:dyDescent="0.3">
      <c r="D170" s="301" t="s">
        <v>222</v>
      </c>
    </row>
    <row r="171" spans="2:19" x14ac:dyDescent="0.3">
      <c r="D171" s="301" t="s">
        <v>213</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W62"/>
  <sheetViews>
    <sheetView topLeftCell="A15" zoomScale="70" zoomScaleNormal="70" workbookViewId="0">
      <selection activeCell="O54" sqref="O54"/>
    </sheetView>
  </sheetViews>
  <sheetFormatPr defaultColWidth="9.140625" defaultRowHeight="15" outlineLevelCol="1" x14ac:dyDescent="0.25"/>
  <cols>
    <col min="1" max="2" width="5.42578125" style="25" customWidth="1"/>
    <col min="3" max="3" width="40.5703125" style="56" customWidth="1"/>
    <col min="4" max="5" width="17.5703125" style="97" customWidth="1" outlineLevel="1"/>
    <col min="6" max="6" width="20.140625" style="97" customWidth="1" outlineLevel="1"/>
    <col min="7" max="7" width="21.140625" style="97" customWidth="1" outlineLevel="1"/>
    <col min="8" max="8" width="17.5703125" style="97" customWidth="1" outlineLevel="1"/>
    <col min="9" max="9" width="18.7109375" style="56" customWidth="1" outlineLevel="1"/>
    <col min="10" max="10" width="17.140625" style="26" customWidth="1" outlineLevel="1"/>
    <col min="11" max="11" width="14.28515625" style="26" customWidth="1" outlineLevel="1"/>
    <col min="12" max="20" width="14.28515625" style="26" customWidth="1"/>
    <col min="21" max="21" width="14.28515625" style="80" customWidth="1"/>
    <col min="22" max="22" width="45.42578125" style="26" bestFit="1" customWidth="1"/>
    <col min="23" max="23" width="3" style="25" customWidth="1"/>
    <col min="24" max="24" width="6.28515625" style="25" customWidth="1"/>
    <col min="25" max="16384" width="9.140625" style="25"/>
  </cols>
  <sheetData>
    <row r="1" spans="2:23" ht="21.75" customHeight="1" x14ac:dyDescent="0.25">
      <c r="C1" s="130"/>
      <c r="D1" s="557"/>
      <c r="E1" s="557"/>
      <c r="F1" s="557"/>
      <c r="G1" s="557"/>
      <c r="H1" s="557"/>
      <c r="I1" s="130"/>
    </row>
    <row r="2" spans="2:23" ht="15.75" thickBot="1" x14ac:dyDescent="0.3">
      <c r="C2" s="147" t="s">
        <v>161</v>
      </c>
      <c r="K2" s="25"/>
      <c r="L2" s="25"/>
      <c r="M2" s="25"/>
      <c r="N2" s="25"/>
      <c r="O2" s="25"/>
      <c r="P2" s="25"/>
      <c r="Q2" s="25"/>
      <c r="R2" s="25"/>
      <c r="S2" s="25"/>
      <c r="T2" s="25"/>
      <c r="U2" s="25"/>
      <c r="V2" s="25"/>
    </row>
    <row r="3" spans="2:23" ht="21.75" customHeight="1" thickBot="1" x14ac:dyDescent="0.3">
      <c r="C3" s="568">
        <v>46234</v>
      </c>
      <c r="D3" s="557"/>
      <c r="E3" s="557"/>
      <c r="F3" s="557"/>
      <c r="G3" s="557"/>
      <c r="H3" s="557"/>
      <c r="I3" s="130"/>
    </row>
    <row r="4" spans="2:23" x14ac:dyDescent="0.25">
      <c r="B4" s="58"/>
      <c r="C4" s="59"/>
      <c r="D4" s="98"/>
      <c r="E4" s="98"/>
      <c r="F4" s="98"/>
      <c r="G4" s="98"/>
      <c r="H4" s="98"/>
      <c r="I4" s="59"/>
      <c r="J4" s="60"/>
      <c r="K4" s="60"/>
      <c r="L4" s="60"/>
      <c r="M4" s="60"/>
      <c r="N4" s="60"/>
      <c r="O4" s="60"/>
      <c r="P4" s="60"/>
      <c r="Q4" s="60"/>
      <c r="R4" s="60"/>
      <c r="S4" s="60"/>
      <c r="T4" s="60"/>
      <c r="U4" s="131"/>
      <c r="V4" s="60"/>
      <c r="W4" s="62"/>
    </row>
    <row r="5" spans="2:23" s="176" customFormat="1" x14ac:dyDescent="0.25">
      <c r="B5" s="191"/>
      <c r="C5" s="192"/>
      <c r="D5" s="558"/>
      <c r="E5" s="558"/>
      <c r="F5" s="558"/>
      <c r="G5" s="558"/>
      <c r="H5" s="558"/>
      <c r="I5" s="192"/>
      <c r="J5" s="193">
        <v>2</v>
      </c>
      <c r="K5" s="193">
        <v>4</v>
      </c>
      <c r="L5" s="193">
        <v>5</v>
      </c>
      <c r="M5" s="193">
        <v>6</v>
      </c>
      <c r="N5" s="193">
        <v>7</v>
      </c>
      <c r="O5" s="193">
        <v>8</v>
      </c>
      <c r="P5" s="193">
        <v>9</v>
      </c>
      <c r="Q5" s="193">
        <v>10</v>
      </c>
      <c r="R5" s="193">
        <v>11</v>
      </c>
      <c r="S5" s="193">
        <v>12</v>
      </c>
      <c r="T5" s="193">
        <v>13</v>
      </c>
      <c r="U5" s="193">
        <v>14</v>
      </c>
      <c r="V5" s="193">
        <v>15</v>
      </c>
      <c r="W5" s="194"/>
    </row>
    <row r="6" spans="2:23" s="65" customFormat="1" ht="60" customHeight="1" x14ac:dyDescent="0.25">
      <c r="B6" s="63"/>
      <c r="C6" s="3" t="s">
        <v>50</v>
      </c>
      <c r="D6" s="1" t="s">
        <v>843</v>
      </c>
      <c r="E6" s="1" t="s">
        <v>844</v>
      </c>
      <c r="F6" s="1" t="s">
        <v>868</v>
      </c>
      <c r="G6" s="1" t="s">
        <v>845</v>
      </c>
      <c r="H6" s="1" t="s">
        <v>846</v>
      </c>
      <c r="I6" s="3" t="s">
        <v>144</v>
      </c>
      <c r="J6" s="1" t="s">
        <v>25</v>
      </c>
      <c r="K6" s="1" t="s">
        <v>31</v>
      </c>
      <c r="L6" s="1" t="s">
        <v>270</v>
      </c>
      <c r="M6" s="1" t="s">
        <v>36</v>
      </c>
      <c r="N6" s="1" t="s">
        <v>51</v>
      </c>
      <c r="O6" s="1" t="s">
        <v>32</v>
      </c>
      <c r="P6" s="1" t="s">
        <v>2</v>
      </c>
      <c r="Q6" s="1" t="s">
        <v>49</v>
      </c>
      <c r="R6" s="1" t="s">
        <v>33</v>
      </c>
      <c r="S6" s="1" t="s">
        <v>27</v>
      </c>
      <c r="T6" s="1" t="s">
        <v>162</v>
      </c>
      <c r="U6" s="1" t="s">
        <v>34</v>
      </c>
      <c r="V6" s="1" t="s">
        <v>365</v>
      </c>
      <c r="W6" s="64"/>
    </row>
    <row r="7" spans="2:23" x14ac:dyDescent="0.25">
      <c r="B7" s="66"/>
      <c r="C7" s="5"/>
      <c r="D7" s="143"/>
      <c r="E7" s="143"/>
      <c r="F7" s="143"/>
      <c r="G7" s="143"/>
      <c r="H7" s="143"/>
      <c r="I7" s="5"/>
      <c r="J7" s="8"/>
      <c r="K7" s="8"/>
      <c r="L7" s="8"/>
      <c r="M7" s="8" t="s">
        <v>81</v>
      </c>
      <c r="N7" s="8" t="s">
        <v>51</v>
      </c>
      <c r="O7" s="8" t="s">
        <v>225</v>
      </c>
      <c r="P7" s="8" t="s">
        <v>225</v>
      </c>
      <c r="Q7" s="8" t="s">
        <v>225</v>
      </c>
      <c r="R7" s="8" t="s">
        <v>225</v>
      </c>
      <c r="S7" s="8" t="s">
        <v>225</v>
      </c>
      <c r="T7" s="8" t="s">
        <v>225</v>
      </c>
      <c r="U7" s="12" t="s">
        <v>226</v>
      </c>
      <c r="V7" s="8"/>
      <c r="W7" s="67"/>
    </row>
    <row r="8" spans="2:23" x14ac:dyDescent="0.25">
      <c r="B8" s="66"/>
      <c r="C8" s="394" t="s">
        <v>520</v>
      </c>
      <c r="D8" s="559"/>
      <c r="E8" s="559"/>
      <c r="F8" s="559"/>
      <c r="G8" s="559"/>
      <c r="H8" s="559"/>
      <c r="I8" s="316"/>
      <c r="J8" s="317"/>
      <c r="K8" s="317"/>
      <c r="L8" s="317"/>
      <c r="M8" s="318"/>
      <c r="N8" s="319"/>
      <c r="O8" s="320"/>
      <c r="P8" s="320"/>
      <c r="Q8" s="320"/>
      <c r="R8" s="320"/>
      <c r="S8" s="320"/>
      <c r="T8" s="320"/>
      <c r="U8" s="321"/>
      <c r="V8" s="317"/>
      <c r="W8" s="67"/>
    </row>
    <row r="9" spans="2:23" x14ac:dyDescent="0.25">
      <c r="B9" s="66"/>
      <c r="C9" s="4" t="s">
        <v>347</v>
      </c>
      <c r="D9" s="2" t="s">
        <v>60</v>
      </c>
      <c r="E9" s="2" t="s">
        <v>847</v>
      </c>
      <c r="F9" s="2" t="s">
        <v>165</v>
      </c>
      <c r="G9" s="2" t="s">
        <v>865</v>
      </c>
      <c r="H9" s="6" t="s">
        <v>66</v>
      </c>
      <c r="I9" s="32" t="s">
        <v>243</v>
      </c>
      <c r="J9" s="2" t="s">
        <v>76</v>
      </c>
      <c r="K9" s="2" t="s">
        <v>8</v>
      </c>
      <c r="L9" s="6">
        <v>2023</v>
      </c>
      <c r="M9" s="6" t="s">
        <v>66</v>
      </c>
      <c r="N9" s="90">
        <v>0.1163</v>
      </c>
      <c r="O9" s="17">
        <v>6</v>
      </c>
      <c r="P9" s="17">
        <v>6</v>
      </c>
      <c r="Q9" s="17">
        <v>0</v>
      </c>
      <c r="R9" s="17">
        <v>0</v>
      </c>
      <c r="S9" s="17">
        <v>7.1</v>
      </c>
      <c r="T9" s="17">
        <v>1.0999999999999996</v>
      </c>
      <c r="U9" s="10">
        <v>1.1833333333333333</v>
      </c>
      <c r="V9" s="2" t="s">
        <v>746</v>
      </c>
      <c r="W9" s="67"/>
    </row>
    <row r="10" spans="2:23" x14ac:dyDescent="0.25">
      <c r="B10" s="66"/>
      <c r="C10" s="4" t="s">
        <v>279</v>
      </c>
      <c r="D10" s="2" t="s">
        <v>62</v>
      </c>
      <c r="E10" s="2" t="s">
        <v>847</v>
      </c>
      <c r="F10" s="2" t="s">
        <v>165</v>
      </c>
      <c r="G10" s="2" t="s">
        <v>870</v>
      </c>
      <c r="H10" s="6" t="s">
        <v>65</v>
      </c>
      <c r="I10" s="32" t="s">
        <v>243</v>
      </c>
      <c r="J10" s="2" t="s">
        <v>76</v>
      </c>
      <c r="K10" s="2" t="s">
        <v>8</v>
      </c>
      <c r="L10" s="6">
        <v>2023</v>
      </c>
      <c r="M10" s="6" t="s">
        <v>65</v>
      </c>
      <c r="N10" s="90">
        <v>6.2660799818224002E-3</v>
      </c>
      <c r="O10" s="17">
        <v>14.999998939999999</v>
      </c>
      <c r="P10" s="17">
        <v>14.999998939999999</v>
      </c>
      <c r="Q10" s="17">
        <v>0</v>
      </c>
      <c r="R10" s="17">
        <v>0</v>
      </c>
      <c r="S10" s="17">
        <v>1.2</v>
      </c>
      <c r="T10" s="17">
        <v>-13.79999894</v>
      </c>
      <c r="U10" s="10">
        <v>8.0000005653333733E-2</v>
      </c>
      <c r="V10" s="2"/>
      <c r="W10" s="67"/>
    </row>
    <row r="11" spans="2:23" x14ac:dyDescent="0.25">
      <c r="B11" s="66"/>
      <c r="C11" s="4" t="s">
        <v>662</v>
      </c>
      <c r="D11" s="2" t="s">
        <v>60</v>
      </c>
      <c r="E11" s="2" t="s">
        <v>847</v>
      </c>
      <c r="F11" s="2" t="s">
        <v>165</v>
      </c>
      <c r="G11" s="2" t="s">
        <v>854</v>
      </c>
      <c r="H11" s="6" t="s">
        <v>65</v>
      </c>
      <c r="I11" s="32" t="s">
        <v>243</v>
      </c>
      <c r="J11" s="2" t="s">
        <v>76</v>
      </c>
      <c r="K11" s="2" t="s">
        <v>548</v>
      </c>
      <c r="L11" s="6">
        <v>2022</v>
      </c>
      <c r="M11" s="6" t="s">
        <v>66</v>
      </c>
      <c r="N11" s="90">
        <v>2.4809999999999999E-2</v>
      </c>
      <c r="O11" s="17">
        <v>15</v>
      </c>
      <c r="P11" s="17">
        <v>15</v>
      </c>
      <c r="Q11" s="17">
        <v>0</v>
      </c>
      <c r="R11" s="17">
        <v>0</v>
      </c>
      <c r="S11" s="17">
        <v>230.00750916000001</v>
      </c>
      <c r="T11" s="17">
        <v>215.00750916000001</v>
      </c>
      <c r="U11" s="10">
        <v>15.333833944</v>
      </c>
      <c r="V11" s="2"/>
      <c r="W11" s="67"/>
    </row>
    <row r="12" spans="2:23" x14ac:dyDescent="0.25">
      <c r="B12" s="66"/>
      <c r="C12" s="4" t="s">
        <v>201</v>
      </c>
      <c r="D12" s="2" t="s">
        <v>62</v>
      </c>
      <c r="E12" s="2" t="s">
        <v>848</v>
      </c>
      <c r="F12" s="2" t="s">
        <v>851</v>
      </c>
      <c r="G12" s="2" t="s">
        <v>857</v>
      </c>
      <c r="H12" s="6" t="s">
        <v>869</v>
      </c>
      <c r="I12" s="32" t="s">
        <v>243</v>
      </c>
      <c r="J12" s="2" t="s">
        <v>76</v>
      </c>
      <c r="K12" s="2" t="s">
        <v>8</v>
      </c>
      <c r="L12" s="6">
        <v>2022</v>
      </c>
      <c r="M12" s="6" t="s">
        <v>738</v>
      </c>
      <c r="N12" s="90">
        <v>0.12121516021886683</v>
      </c>
      <c r="O12" s="17">
        <v>15</v>
      </c>
      <c r="P12" s="17">
        <v>15</v>
      </c>
      <c r="Q12" s="17">
        <v>0</v>
      </c>
      <c r="R12" s="17">
        <v>0</v>
      </c>
      <c r="S12" s="17">
        <v>38.464730150000001</v>
      </c>
      <c r="T12" s="17">
        <v>23.464730150000001</v>
      </c>
      <c r="U12" s="10">
        <v>2.5643153433333334</v>
      </c>
      <c r="V12" s="2"/>
      <c r="W12" s="67"/>
    </row>
    <row r="13" spans="2:23" x14ac:dyDescent="0.25">
      <c r="B13" s="66"/>
      <c r="C13" s="4" t="s">
        <v>787</v>
      </c>
      <c r="D13" s="2" t="s">
        <v>62</v>
      </c>
      <c r="E13" s="2" t="s">
        <v>847</v>
      </c>
      <c r="F13" s="2" t="s">
        <v>165</v>
      </c>
      <c r="G13" s="2" t="s">
        <v>855</v>
      </c>
      <c r="H13" s="6" t="s">
        <v>171</v>
      </c>
      <c r="I13" s="32" t="s">
        <v>243</v>
      </c>
      <c r="J13" s="2" t="s">
        <v>76</v>
      </c>
      <c r="K13" s="2" t="s">
        <v>8</v>
      </c>
      <c r="L13" s="6">
        <v>2021</v>
      </c>
      <c r="M13" s="6" t="s">
        <v>839</v>
      </c>
      <c r="N13" s="542">
        <v>6.5613278704654034E-3</v>
      </c>
      <c r="O13" s="17">
        <v>39.999983359999995</v>
      </c>
      <c r="P13" s="17">
        <v>39.999983359999995</v>
      </c>
      <c r="Q13" s="17">
        <v>0</v>
      </c>
      <c r="R13" s="17">
        <v>0</v>
      </c>
      <c r="S13" s="17">
        <v>286.48239280999996</v>
      </c>
      <c r="T13" s="17">
        <v>246.48240944999998</v>
      </c>
      <c r="U13" s="10">
        <v>7.1620627996681252</v>
      </c>
      <c r="V13" s="2"/>
      <c r="W13" s="67"/>
    </row>
    <row r="14" spans="2:23" x14ac:dyDescent="0.25">
      <c r="B14" s="66"/>
      <c r="C14" s="4" t="s">
        <v>41</v>
      </c>
      <c r="D14" s="2" t="s">
        <v>60</v>
      </c>
      <c r="E14" s="2" t="s">
        <v>847</v>
      </c>
      <c r="F14" s="2" t="s">
        <v>165</v>
      </c>
      <c r="G14" s="2" t="s">
        <v>864</v>
      </c>
      <c r="H14" s="6" t="s">
        <v>72</v>
      </c>
      <c r="I14" s="32" t="s">
        <v>243</v>
      </c>
      <c r="J14" s="2" t="s">
        <v>76</v>
      </c>
      <c r="K14" s="2" t="s">
        <v>8</v>
      </c>
      <c r="L14" s="6">
        <v>2021</v>
      </c>
      <c r="M14" s="6" t="s">
        <v>72</v>
      </c>
      <c r="N14" s="90">
        <v>0.16016016016015999</v>
      </c>
      <c r="O14" s="17">
        <v>8</v>
      </c>
      <c r="P14" s="17">
        <v>8</v>
      </c>
      <c r="Q14" s="17">
        <v>0</v>
      </c>
      <c r="R14" s="17">
        <v>0</v>
      </c>
      <c r="S14" s="17">
        <v>6.5</v>
      </c>
      <c r="T14" s="17">
        <v>-1.5</v>
      </c>
      <c r="U14" s="10">
        <v>0.8125</v>
      </c>
      <c r="V14" s="2"/>
      <c r="W14" s="67"/>
    </row>
    <row r="15" spans="2:23" x14ac:dyDescent="0.25">
      <c r="B15" s="66"/>
      <c r="C15" s="4" t="s">
        <v>9</v>
      </c>
      <c r="D15" s="2" t="s">
        <v>62</v>
      </c>
      <c r="E15" s="2" t="s">
        <v>847</v>
      </c>
      <c r="F15" s="2" t="s">
        <v>285</v>
      </c>
      <c r="G15" s="2" t="s">
        <v>856</v>
      </c>
      <c r="H15" s="6" t="s">
        <v>866</v>
      </c>
      <c r="I15" s="32" t="s">
        <v>243</v>
      </c>
      <c r="J15" s="2" t="s">
        <v>76</v>
      </c>
      <c r="K15" s="2" t="s">
        <v>8</v>
      </c>
      <c r="L15" s="6">
        <v>2020</v>
      </c>
      <c r="M15" s="6" t="s">
        <v>70</v>
      </c>
      <c r="N15" s="90">
        <v>0.14383199266284313</v>
      </c>
      <c r="O15" s="17">
        <v>60</v>
      </c>
      <c r="P15" s="17">
        <v>60</v>
      </c>
      <c r="Q15" s="17">
        <v>0</v>
      </c>
      <c r="R15" s="17">
        <v>0</v>
      </c>
      <c r="S15" s="17">
        <v>71.918846479725644</v>
      </c>
      <c r="T15" s="17">
        <v>11.918846479725644</v>
      </c>
      <c r="U15" s="10">
        <v>1.1986474413287607</v>
      </c>
      <c r="V15" s="2"/>
      <c r="W15" s="67"/>
    </row>
    <row r="16" spans="2:23" x14ac:dyDescent="0.25">
      <c r="B16" s="66"/>
      <c r="C16" s="4" t="s">
        <v>37</v>
      </c>
      <c r="D16" s="2" t="s">
        <v>60</v>
      </c>
      <c r="E16" s="2" t="s">
        <v>847</v>
      </c>
      <c r="F16" s="2" t="s">
        <v>165</v>
      </c>
      <c r="G16" s="2" t="s">
        <v>857</v>
      </c>
      <c r="H16" s="6" t="s">
        <v>65</v>
      </c>
      <c r="I16" s="32" t="s">
        <v>243</v>
      </c>
      <c r="J16" s="2" t="s">
        <v>76</v>
      </c>
      <c r="K16" s="2" t="s">
        <v>8</v>
      </c>
      <c r="L16" s="6">
        <v>2020</v>
      </c>
      <c r="M16" s="6" t="s">
        <v>65</v>
      </c>
      <c r="N16" s="90">
        <v>6.5000000000000002E-2</v>
      </c>
      <c r="O16" s="17">
        <v>90</v>
      </c>
      <c r="P16" s="17">
        <v>90</v>
      </c>
      <c r="Q16" s="17">
        <v>0</v>
      </c>
      <c r="R16" s="17">
        <v>0</v>
      </c>
      <c r="S16" s="17">
        <v>21.7</v>
      </c>
      <c r="T16" s="17">
        <v>-68.3</v>
      </c>
      <c r="U16" s="10">
        <v>0.24111111111111111</v>
      </c>
      <c r="V16" s="2"/>
      <c r="W16" s="67"/>
    </row>
    <row r="17" spans="2:23" x14ac:dyDescent="0.25">
      <c r="B17" s="66"/>
      <c r="C17" s="4" t="s">
        <v>84</v>
      </c>
      <c r="D17" s="2" t="s">
        <v>62</v>
      </c>
      <c r="E17" s="2" t="s">
        <v>847</v>
      </c>
      <c r="F17" s="2" t="s">
        <v>286</v>
      </c>
      <c r="G17" s="2" t="s">
        <v>858</v>
      </c>
      <c r="H17" s="6" t="s">
        <v>44</v>
      </c>
      <c r="I17" s="32" t="s">
        <v>243</v>
      </c>
      <c r="J17" s="2" t="s">
        <v>76</v>
      </c>
      <c r="K17" s="2" t="s">
        <v>8</v>
      </c>
      <c r="L17" s="6">
        <v>2020</v>
      </c>
      <c r="M17" s="6" t="s">
        <v>44</v>
      </c>
      <c r="N17" s="90">
        <v>4.5562985202195316E-2</v>
      </c>
      <c r="O17" s="17">
        <v>141.4702596743665</v>
      </c>
      <c r="P17" s="17">
        <v>141.4702596743665</v>
      </c>
      <c r="Q17" s="17">
        <v>0</v>
      </c>
      <c r="R17" s="17">
        <v>0</v>
      </c>
      <c r="S17" s="17">
        <v>67.522365508799993</v>
      </c>
      <c r="T17" s="17">
        <v>-73.94789416556651</v>
      </c>
      <c r="U17" s="10">
        <v>0.47729017861578582</v>
      </c>
      <c r="V17" s="2"/>
      <c r="W17" s="67"/>
    </row>
    <row r="18" spans="2:23" x14ac:dyDescent="0.25">
      <c r="B18" s="66"/>
      <c r="C18" s="4" t="s">
        <v>38</v>
      </c>
      <c r="D18" s="2" t="s">
        <v>62</v>
      </c>
      <c r="E18" s="2" t="s">
        <v>847</v>
      </c>
      <c r="F18" s="2" t="s">
        <v>165</v>
      </c>
      <c r="G18" s="2" t="s">
        <v>859</v>
      </c>
      <c r="H18" s="6" t="s">
        <v>73</v>
      </c>
      <c r="I18" s="32" t="s">
        <v>243</v>
      </c>
      <c r="J18" s="2" t="s">
        <v>76</v>
      </c>
      <c r="K18" s="2" t="s">
        <v>8</v>
      </c>
      <c r="L18" s="6">
        <v>2019</v>
      </c>
      <c r="M18" s="6" t="s">
        <v>73</v>
      </c>
      <c r="N18" s="90">
        <v>3.3399999999999999E-2</v>
      </c>
      <c r="O18" s="17">
        <v>10</v>
      </c>
      <c r="P18" s="17">
        <v>10</v>
      </c>
      <c r="Q18" s="17">
        <v>0</v>
      </c>
      <c r="R18" s="17">
        <v>0</v>
      </c>
      <c r="S18" s="17">
        <v>14.6</v>
      </c>
      <c r="T18" s="17">
        <v>4.5999999999999996</v>
      </c>
      <c r="U18" s="10">
        <v>1.46</v>
      </c>
      <c r="V18" s="2" t="s">
        <v>747</v>
      </c>
      <c r="W18" s="67"/>
    </row>
    <row r="19" spans="2:23" x14ac:dyDescent="0.25">
      <c r="B19" s="66"/>
      <c r="C19" s="5"/>
      <c r="D19" s="143"/>
      <c r="E19" s="143"/>
      <c r="F19" s="143"/>
      <c r="G19" s="143"/>
      <c r="H19" s="143"/>
      <c r="I19" s="13"/>
      <c r="J19" s="7"/>
      <c r="K19" s="7"/>
      <c r="L19" s="7"/>
      <c r="M19" s="14"/>
      <c r="N19" s="168"/>
      <c r="O19" s="24"/>
      <c r="P19" s="24"/>
      <c r="Q19" s="24"/>
      <c r="R19" s="24"/>
      <c r="S19" s="24"/>
      <c r="T19" s="24"/>
      <c r="U19" s="15"/>
      <c r="V19" s="178"/>
      <c r="W19" s="67"/>
    </row>
    <row r="20" spans="2:23" x14ac:dyDescent="0.25">
      <c r="B20" s="66"/>
      <c r="C20" s="9"/>
      <c r="D20" s="9"/>
      <c r="E20" s="9"/>
      <c r="F20" s="9"/>
      <c r="G20" s="9"/>
      <c r="H20" s="9"/>
      <c r="I20" s="9"/>
      <c r="J20" s="9"/>
      <c r="K20" s="9"/>
      <c r="L20" s="9"/>
      <c r="M20" s="9"/>
      <c r="N20" s="93"/>
      <c r="O20" s="18">
        <v>400.4702419743665</v>
      </c>
      <c r="P20" s="18">
        <v>400.4702419743665</v>
      </c>
      <c r="Q20" s="18">
        <v>0</v>
      </c>
      <c r="R20" s="18">
        <v>0</v>
      </c>
      <c r="S20" s="18">
        <v>745.49584410852572</v>
      </c>
      <c r="T20" s="18">
        <v>345.02560213415921</v>
      </c>
      <c r="U20" s="11">
        <v>1.8615511615373503</v>
      </c>
      <c r="V20" s="9"/>
      <c r="W20" s="67"/>
    </row>
    <row r="21" spans="2:23" x14ac:dyDescent="0.25">
      <c r="B21" s="66"/>
      <c r="C21" s="143"/>
      <c r="D21" s="143"/>
      <c r="E21" s="143"/>
      <c r="F21" s="143"/>
      <c r="G21" s="143"/>
      <c r="H21" s="143"/>
      <c r="I21" s="143"/>
      <c r="J21" s="143"/>
      <c r="K21" s="143"/>
      <c r="L21" s="143"/>
      <c r="M21" s="143"/>
      <c r="N21" s="92"/>
      <c r="Q21" s="144"/>
      <c r="U21" s="145"/>
      <c r="V21" s="143"/>
      <c r="W21" s="67"/>
    </row>
    <row r="22" spans="2:23" x14ac:dyDescent="0.25">
      <c r="B22" s="66"/>
      <c r="C22" s="394" t="s">
        <v>521</v>
      </c>
      <c r="D22" s="559"/>
      <c r="E22" s="559"/>
      <c r="F22" s="559"/>
      <c r="G22" s="559"/>
      <c r="H22" s="559"/>
      <c r="I22" s="316"/>
      <c r="J22" s="317"/>
      <c r="K22" s="317"/>
      <c r="L22" s="317"/>
      <c r="M22" s="318"/>
      <c r="N22" s="319"/>
      <c r="O22" s="320"/>
      <c r="P22" s="320"/>
      <c r="Q22" s="320"/>
      <c r="R22" s="320"/>
      <c r="S22" s="320"/>
      <c r="T22" s="320"/>
      <c r="U22" s="321"/>
      <c r="V22" s="317"/>
      <c r="W22" s="67"/>
    </row>
    <row r="23" spans="2:23" x14ac:dyDescent="0.25">
      <c r="B23" s="66"/>
      <c r="C23" s="4" t="s">
        <v>19</v>
      </c>
      <c r="D23" s="2" t="s">
        <v>60</v>
      </c>
      <c r="E23" s="2" t="s">
        <v>848</v>
      </c>
      <c r="F23" s="2" t="s">
        <v>314</v>
      </c>
      <c r="G23" s="2" t="s">
        <v>860</v>
      </c>
      <c r="H23" s="153"/>
      <c r="I23" s="32" t="s">
        <v>243</v>
      </c>
      <c r="J23" s="2" t="s">
        <v>714</v>
      </c>
      <c r="K23" s="2" t="s">
        <v>526</v>
      </c>
      <c r="L23" s="6">
        <v>2022</v>
      </c>
      <c r="M23" s="6" t="s">
        <v>75</v>
      </c>
      <c r="N23" s="90">
        <v>6.5500000000000003E-2</v>
      </c>
      <c r="O23" s="537">
        <v>300</v>
      </c>
      <c r="P23" s="17">
        <v>300</v>
      </c>
      <c r="Q23" s="17">
        <v>0</v>
      </c>
      <c r="R23" s="537">
        <v>84.804486139999995</v>
      </c>
      <c r="S23" s="537">
        <v>497.53505670659996</v>
      </c>
      <c r="T23" s="537">
        <v>282.3395428465999</v>
      </c>
      <c r="U23" s="10">
        <v>1.9411318094886663</v>
      </c>
      <c r="V23" s="87" t="s">
        <v>748</v>
      </c>
      <c r="W23" s="67"/>
    </row>
    <row r="24" spans="2:23" x14ac:dyDescent="0.25">
      <c r="B24" s="66"/>
      <c r="C24" s="4" t="s">
        <v>85</v>
      </c>
      <c r="D24" s="2" t="s">
        <v>62</v>
      </c>
      <c r="E24" s="2" t="s">
        <v>849</v>
      </c>
      <c r="F24" s="2" t="s">
        <v>165</v>
      </c>
      <c r="G24" s="2" t="s">
        <v>861</v>
      </c>
      <c r="H24" s="153"/>
      <c r="I24" s="32" t="s">
        <v>243</v>
      </c>
      <c r="J24" s="2" t="s">
        <v>76</v>
      </c>
      <c r="K24" s="2" t="s">
        <v>526</v>
      </c>
      <c r="L24" s="6">
        <v>2022</v>
      </c>
      <c r="M24" s="6" t="s">
        <v>44</v>
      </c>
      <c r="N24" s="90">
        <v>2.0924424450802052E-2</v>
      </c>
      <c r="O24" s="17">
        <v>24.53125</v>
      </c>
      <c r="P24" s="17">
        <v>24.53125</v>
      </c>
      <c r="Q24" s="17">
        <v>0</v>
      </c>
      <c r="R24" s="17">
        <v>0</v>
      </c>
      <c r="S24" s="17">
        <v>8.3999039500000006</v>
      </c>
      <c r="T24" s="17">
        <v>-16.131346049999998</v>
      </c>
      <c r="U24" s="10">
        <v>0.34241646675159237</v>
      </c>
      <c r="V24" s="87" t="s">
        <v>749</v>
      </c>
      <c r="W24" s="67"/>
    </row>
    <row r="25" spans="2:23" x14ac:dyDescent="0.25">
      <c r="B25" s="66"/>
      <c r="C25" s="4" t="s">
        <v>1</v>
      </c>
      <c r="D25" s="2" t="s">
        <v>62</v>
      </c>
      <c r="E25" s="2" t="s">
        <v>847</v>
      </c>
      <c r="F25" s="2" t="s">
        <v>852</v>
      </c>
      <c r="G25" s="2" t="s">
        <v>862</v>
      </c>
      <c r="H25" s="153"/>
      <c r="I25" s="32" t="s">
        <v>245</v>
      </c>
      <c r="J25" s="2" t="s">
        <v>76</v>
      </c>
      <c r="K25" s="2" t="s">
        <v>526</v>
      </c>
      <c r="L25" s="6">
        <v>2020</v>
      </c>
      <c r="M25" s="6" t="s">
        <v>52</v>
      </c>
      <c r="N25" s="90" t="s">
        <v>118</v>
      </c>
      <c r="O25" s="17">
        <v>83.361610999999996</v>
      </c>
      <c r="P25" s="17">
        <v>83.361610999999996</v>
      </c>
      <c r="Q25" s="17">
        <v>0</v>
      </c>
      <c r="R25" s="17">
        <v>7.8755709999999999</v>
      </c>
      <c r="S25" s="17">
        <v>69.985052999999994</v>
      </c>
      <c r="T25" s="17">
        <v>-5.5009870000000092</v>
      </c>
      <c r="U25" s="10">
        <v>0.9340105483326131</v>
      </c>
      <c r="V25" s="2"/>
      <c r="W25" s="67"/>
    </row>
    <row r="26" spans="2:23" x14ac:dyDescent="0.25">
      <c r="B26" s="66"/>
      <c r="C26" s="4" t="s">
        <v>113</v>
      </c>
      <c r="D26" s="2" t="s">
        <v>60</v>
      </c>
      <c r="E26" s="2" t="s">
        <v>847</v>
      </c>
      <c r="F26" s="2" t="s">
        <v>853</v>
      </c>
      <c r="G26" s="2" t="s">
        <v>862</v>
      </c>
      <c r="H26" s="153"/>
      <c r="I26" s="32" t="s">
        <v>245</v>
      </c>
      <c r="J26" s="2" t="s">
        <v>76</v>
      </c>
      <c r="K26" s="2" t="s">
        <v>526</v>
      </c>
      <c r="L26" s="6">
        <v>2020</v>
      </c>
      <c r="M26" s="6" t="s">
        <v>52</v>
      </c>
      <c r="N26" s="90" t="s">
        <v>118</v>
      </c>
      <c r="O26" s="17">
        <v>26.782364347399998</v>
      </c>
      <c r="P26" s="17">
        <v>16.878048196588068</v>
      </c>
      <c r="Q26" s="17">
        <v>9.9043161508119315</v>
      </c>
      <c r="R26" s="17">
        <v>6.7779339379807997</v>
      </c>
      <c r="S26" s="17">
        <v>28.252147046175001</v>
      </c>
      <c r="T26" s="17">
        <v>18.152032787567734</v>
      </c>
      <c r="U26" s="10">
        <v>2.0754817486086576</v>
      </c>
      <c r="V26" s="2"/>
      <c r="W26" s="67"/>
    </row>
    <row r="27" spans="2:23" x14ac:dyDescent="0.25">
      <c r="B27" s="66"/>
      <c r="C27" s="4" t="s">
        <v>278</v>
      </c>
      <c r="D27" s="2" t="s">
        <v>60</v>
      </c>
      <c r="E27" s="2" t="s">
        <v>847</v>
      </c>
      <c r="F27" s="2" t="s">
        <v>853</v>
      </c>
      <c r="G27" s="2" t="s">
        <v>862</v>
      </c>
      <c r="H27" s="153"/>
      <c r="I27" s="32" t="s">
        <v>245</v>
      </c>
      <c r="J27" s="2" t="s">
        <v>76</v>
      </c>
      <c r="K27" s="2" t="s">
        <v>526</v>
      </c>
      <c r="L27" s="6">
        <v>2023</v>
      </c>
      <c r="M27" s="6" t="s">
        <v>52</v>
      </c>
      <c r="N27" s="90" t="s">
        <v>118</v>
      </c>
      <c r="O27" s="17">
        <v>2.7058823529411762</v>
      </c>
      <c r="P27" s="17">
        <v>2.7058823529411762</v>
      </c>
      <c r="Q27" s="17">
        <v>0</v>
      </c>
      <c r="R27" s="17">
        <v>0</v>
      </c>
      <c r="S27" s="17">
        <v>3.8583794962741926</v>
      </c>
      <c r="T27" s="17">
        <v>1.1524971433330164</v>
      </c>
      <c r="U27" s="10">
        <v>1.4259228573187235</v>
      </c>
      <c r="V27" s="79"/>
      <c r="W27" s="67"/>
    </row>
    <row r="28" spans="2:23" x14ac:dyDescent="0.25">
      <c r="B28" s="66"/>
      <c r="C28" s="4" t="s">
        <v>155</v>
      </c>
      <c r="D28" s="2" t="s">
        <v>62</v>
      </c>
      <c r="E28" s="2" t="s">
        <v>847</v>
      </c>
      <c r="F28" s="2" t="s">
        <v>165</v>
      </c>
      <c r="G28" s="2" t="s">
        <v>862</v>
      </c>
      <c r="H28" s="153"/>
      <c r="I28" s="32" t="s">
        <v>245</v>
      </c>
      <c r="J28" s="2" t="s">
        <v>76</v>
      </c>
      <c r="K28" s="2" t="s">
        <v>526</v>
      </c>
      <c r="L28" s="6">
        <v>2021</v>
      </c>
      <c r="M28" s="6" t="s">
        <v>52</v>
      </c>
      <c r="N28" s="90">
        <v>0.33</v>
      </c>
      <c r="O28" s="17">
        <v>17.112500000000001</v>
      </c>
      <c r="P28" s="17">
        <v>15.7263875</v>
      </c>
      <c r="Q28" s="17">
        <v>1.3861125000000012</v>
      </c>
      <c r="R28" s="17">
        <v>0</v>
      </c>
      <c r="S28" s="17">
        <v>12.683716</v>
      </c>
      <c r="T28" s="17">
        <v>-3.0426714999999991</v>
      </c>
      <c r="U28" s="10">
        <v>0.8065244481607744</v>
      </c>
      <c r="V28" s="2" t="s">
        <v>750</v>
      </c>
      <c r="W28" s="67"/>
    </row>
    <row r="29" spans="2:23" x14ac:dyDescent="0.25">
      <c r="B29" s="66"/>
      <c r="C29" s="4"/>
      <c r="D29" s="153"/>
      <c r="E29" s="153"/>
      <c r="F29" s="153"/>
      <c r="G29" s="153"/>
      <c r="H29" s="153"/>
      <c r="I29" s="32"/>
      <c r="J29" s="2"/>
      <c r="K29" s="2"/>
      <c r="L29" s="2"/>
      <c r="M29" s="6"/>
      <c r="N29" s="90"/>
      <c r="O29" s="17"/>
      <c r="P29" s="17"/>
      <c r="Q29" s="17"/>
      <c r="R29" s="17"/>
      <c r="S29" s="17"/>
      <c r="T29" s="17"/>
      <c r="U29" s="10"/>
      <c r="V29" s="87"/>
      <c r="W29" s="67"/>
    </row>
    <row r="30" spans="2:23" s="70" customFormat="1" x14ac:dyDescent="0.25">
      <c r="B30" s="68"/>
      <c r="C30" s="9"/>
      <c r="D30" s="9"/>
      <c r="E30" s="9"/>
      <c r="F30" s="9"/>
      <c r="G30" s="9"/>
      <c r="H30" s="9"/>
      <c r="I30" s="9"/>
      <c r="J30" s="9"/>
      <c r="K30" s="9"/>
      <c r="L30" s="9"/>
      <c r="M30" s="9"/>
      <c r="N30" s="93"/>
      <c r="O30" s="18">
        <v>454.49360770034116</v>
      </c>
      <c r="P30" s="18">
        <v>443.20317904952918</v>
      </c>
      <c r="Q30" s="18">
        <v>11.290428650811933</v>
      </c>
      <c r="R30" s="18">
        <v>99.457991077980793</v>
      </c>
      <c r="S30" s="18">
        <v>620.71425619904915</v>
      </c>
      <c r="T30" s="18">
        <v>276.96906822750071</v>
      </c>
      <c r="U30" s="11">
        <v>1.6249257255362526</v>
      </c>
      <c r="V30" s="9"/>
      <c r="W30" s="69"/>
    </row>
    <row r="31" spans="2:23" s="70" customFormat="1" x14ac:dyDescent="0.25">
      <c r="B31" s="68"/>
      <c r="C31" s="143"/>
      <c r="D31" s="143"/>
      <c r="E31" s="143"/>
      <c r="F31" s="143"/>
      <c r="G31" s="143"/>
      <c r="H31" s="143"/>
      <c r="I31" s="143"/>
      <c r="J31" s="143"/>
      <c r="K31" s="143"/>
      <c r="L31" s="143"/>
      <c r="M31" s="143"/>
      <c r="N31" s="92"/>
      <c r="O31" s="144"/>
      <c r="P31" s="144"/>
      <c r="Q31" s="144"/>
      <c r="R31" s="144"/>
      <c r="S31" s="144"/>
      <c r="T31" s="144"/>
      <c r="U31" s="145"/>
      <c r="V31" s="143"/>
      <c r="W31" s="69"/>
    </row>
    <row r="32" spans="2:23" s="70" customFormat="1" x14ac:dyDescent="0.25">
      <c r="B32" s="68"/>
      <c r="C32" s="394" t="s">
        <v>524</v>
      </c>
      <c r="D32" s="559"/>
      <c r="E32" s="559"/>
      <c r="F32" s="559"/>
      <c r="G32" s="559"/>
      <c r="H32" s="559"/>
      <c r="I32" s="316"/>
      <c r="J32" s="317"/>
      <c r="K32" s="317"/>
      <c r="L32" s="317"/>
      <c r="M32" s="318"/>
      <c r="N32" s="319"/>
      <c r="O32" s="320"/>
      <c r="P32" s="320"/>
      <c r="Q32" s="320"/>
      <c r="R32" s="320"/>
      <c r="S32" s="320"/>
      <c r="T32" s="320"/>
      <c r="U32" s="321"/>
      <c r="V32" s="317"/>
      <c r="W32" s="69"/>
    </row>
    <row r="33" spans="2:23" s="70" customFormat="1" x14ac:dyDescent="0.25">
      <c r="B33" s="68"/>
      <c r="C33" s="4" t="s">
        <v>518</v>
      </c>
      <c r="D33" s="2" t="s">
        <v>62</v>
      </c>
      <c r="E33" s="2" t="s">
        <v>850</v>
      </c>
      <c r="F33" s="2" t="s">
        <v>165</v>
      </c>
      <c r="G33" s="2" t="s">
        <v>861</v>
      </c>
      <c r="H33" s="153"/>
      <c r="I33" s="32" t="s">
        <v>243</v>
      </c>
      <c r="J33" s="2" t="s">
        <v>76</v>
      </c>
      <c r="K33" s="2" t="s">
        <v>519</v>
      </c>
      <c r="L33" s="6">
        <v>2024</v>
      </c>
      <c r="M33" s="6" t="s">
        <v>632</v>
      </c>
      <c r="N33" s="90">
        <v>6.3899999999999998E-2</v>
      </c>
      <c r="O33" s="17">
        <v>40</v>
      </c>
      <c r="P33" s="17">
        <v>40</v>
      </c>
      <c r="Q33" s="17">
        <v>0</v>
      </c>
      <c r="R33" s="17">
        <v>0</v>
      </c>
      <c r="S33" s="17">
        <v>40.947393714699999</v>
      </c>
      <c r="T33" s="17">
        <v>0.94739371469999867</v>
      </c>
      <c r="U33" s="10">
        <v>1.0236848428675001</v>
      </c>
      <c r="V33" s="87" t="s">
        <v>672</v>
      </c>
      <c r="W33" s="69"/>
    </row>
    <row r="34" spans="2:23" s="70" customFormat="1" x14ac:dyDescent="0.25">
      <c r="B34" s="68"/>
      <c r="C34" s="4" t="s">
        <v>569</v>
      </c>
      <c r="D34" s="2" t="s">
        <v>62</v>
      </c>
      <c r="E34" s="2" t="s">
        <v>850</v>
      </c>
      <c r="F34" s="2" t="s">
        <v>571</v>
      </c>
      <c r="G34" s="2" t="s">
        <v>857</v>
      </c>
      <c r="H34" s="153"/>
      <c r="I34" s="32" t="s">
        <v>243</v>
      </c>
      <c r="J34" s="2" t="s">
        <v>76</v>
      </c>
      <c r="K34" s="2" t="s">
        <v>519</v>
      </c>
      <c r="L34" s="6">
        <v>2024</v>
      </c>
      <c r="M34" s="6" t="s">
        <v>44</v>
      </c>
      <c r="N34" s="90">
        <v>3.597242680734123E-2</v>
      </c>
      <c r="O34" s="17">
        <v>10</v>
      </c>
      <c r="P34" s="17">
        <v>10</v>
      </c>
      <c r="Q34" s="17">
        <v>0</v>
      </c>
      <c r="R34" s="17">
        <v>0</v>
      </c>
      <c r="S34" s="17">
        <v>0</v>
      </c>
      <c r="T34" s="17">
        <v>-10</v>
      </c>
      <c r="U34" s="10">
        <v>0</v>
      </c>
      <c r="V34" s="87" t="s">
        <v>751</v>
      </c>
      <c r="W34" s="69"/>
    </row>
    <row r="35" spans="2:23" s="70" customFormat="1" x14ac:dyDescent="0.25">
      <c r="B35" s="68"/>
      <c r="C35" s="4" t="s">
        <v>641</v>
      </c>
      <c r="D35" s="2" t="s">
        <v>62</v>
      </c>
      <c r="E35" s="2" t="s">
        <v>368</v>
      </c>
      <c r="F35" s="2" t="s">
        <v>165</v>
      </c>
      <c r="G35" s="2" t="s">
        <v>857</v>
      </c>
      <c r="H35" s="153"/>
      <c r="I35" s="32" t="s">
        <v>243</v>
      </c>
      <c r="J35" s="2" t="s">
        <v>76</v>
      </c>
      <c r="K35" s="2" t="s">
        <v>519</v>
      </c>
      <c r="L35" s="6">
        <v>2024</v>
      </c>
      <c r="M35" s="6" t="s">
        <v>642</v>
      </c>
      <c r="N35" s="90" t="s">
        <v>456</v>
      </c>
      <c r="O35" s="17">
        <v>100</v>
      </c>
      <c r="P35" s="17">
        <v>100</v>
      </c>
      <c r="Q35" s="17">
        <v>0</v>
      </c>
      <c r="R35" s="17">
        <v>0.49996499999999999</v>
      </c>
      <c r="S35" s="17">
        <v>100</v>
      </c>
      <c r="T35" s="17">
        <v>0.4999650000000031</v>
      </c>
      <c r="U35" s="10">
        <v>1.00499965</v>
      </c>
      <c r="V35" s="507" t="s">
        <v>752</v>
      </c>
      <c r="W35" s="69"/>
    </row>
    <row r="36" spans="2:23" s="70" customFormat="1" x14ac:dyDescent="0.25">
      <c r="B36" s="68"/>
      <c r="C36" s="4" t="s">
        <v>671</v>
      </c>
      <c r="D36" s="2" t="s">
        <v>62</v>
      </c>
      <c r="E36" s="2" t="s">
        <v>847</v>
      </c>
      <c r="F36" s="2" t="s">
        <v>165</v>
      </c>
      <c r="G36" s="2" t="s">
        <v>863</v>
      </c>
      <c r="H36" s="153"/>
      <c r="I36" s="32" t="s">
        <v>243</v>
      </c>
      <c r="J36" s="2" t="s">
        <v>76</v>
      </c>
      <c r="K36" s="2" t="s">
        <v>519</v>
      </c>
      <c r="L36" s="6">
        <v>2025</v>
      </c>
      <c r="M36" s="6" t="s">
        <v>349</v>
      </c>
      <c r="N36" s="90">
        <v>3.021655524837405E-2</v>
      </c>
      <c r="O36" s="17">
        <v>60.819862919999998</v>
      </c>
      <c r="P36" s="17">
        <v>60.819862919999998</v>
      </c>
      <c r="Q36" s="17">
        <v>0</v>
      </c>
      <c r="R36" s="17">
        <v>0</v>
      </c>
      <c r="S36" s="17">
        <v>66.599183749999995</v>
      </c>
      <c r="T36" s="17">
        <v>5.7793208299999961</v>
      </c>
      <c r="U36" s="10">
        <v>1.095023575400061</v>
      </c>
      <c r="V36" s="87" t="s">
        <v>831</v>
      </c>
      <c r="W36" s="69"/>
    </row>
    <row r="37" spans="2:23" s="70" customFormat="1" x14ac:dyDescent="0.25">
      <c r="B37" s="68"/>
      <c r="C37" s="4" t="s">
        <v>715</v>
      </c>
      <c r="D37" s="2" t="s">
        <v>62</v>
      </c>
      <c r="E37" s="2" t="s">
        <v>847</v>
      </c>
      <c r="F37" s="2" t="s">
        <v>165</v>
      </c>
      <c r="G37" s="2" t="s">
        <v>861</v>
      </c>
      <c r="H37" s="153"/>
      <c r="I37" s="32" t="s">
        <v>243</v>
      </c>
      <c r="J37" s="2" t="s">
        <v>76</v>
      </c>
      <c r="K37" s="2" t="s">
        <v>519</v>
      </c>
      <c r="L37" s="6">
        <v>2025</v>
      </c>
      <c r="M37" s="6" t="s">
        <v>716</v>
      </c>
      <c r="N37" s="90">
        <v>5.1805228281426186E-3</v>
      </c>
      <c r="O37" s="17">
        <v>49.999999500000001</v>
      </c>
      <c r="P37" s="17">
        <v>49.999999500000001</v>
      </c>
      <c r="Q37" s="17">
        <v>0</v>
      </c>
      <c r="R37" s="17">
        <v>0</v>
      </c>
      <c r="S37" s="17">
        <v>50</v>
      </c>
      <c r="T37" s="17">
        <v>4.9999999873762135E-7</v>
      </c>
      <c r="U37" s="10">
        <v>1.0000000100000002</v>
      </c>
      <c r="V37" s="87" t="s">
        <v>717</v>
      </c>
      <c r="W37" s="69"/>
    </row>
    <row r="38" spans="2:23" x14ac:dyDescent="0.25">
      <c r="B38" s="66"/>
      <c r="C38" s="4" t="s">
        <v>788</v>
      </c>
      <c r="D38" s="2" t="s">
        <v>62</v>
      </c>
      <c r="E38" s="2" t="s">
        <v>847</v>
      </c>
      <c r="F38" s="2" t="s">
        <v>165</v>
      </c>
      <c r="G38" s="2" t="s">
        <v>855</v>
      </c>
      <c r="H38" s="153"/>
      <c r="I38" s="32" t="s">
        <v>243</v>
      </c>
      <c r="J38" s="2" t="s">
        <v>76</v>
      </c>
      <c r="K38" s="2" t="s">
        <v>519</v>
      </c>
      <c r="L38" s="6">
        <v>2026</v>
      </c>
      <c r="M38" s="6" t="s">
        <v>839</v>
      </c>
      <c r="N38" s="542">
        <v>1.599014394766313E-2</v>
      </c>
      <c r="O38" s="17">
        <v>3.5134910000000005E-2</v>
      </c>
      <c r="P38" s="17">
        <v>3.5134910000000005E-2</v>
      </c>
      <c r="Q38" s="17">
        <v>0</v>
      </c>
      <c r="R38" s="17">
        <v>0</v>
      </c>
      <c r="S38" s="17">
        <v>698.16579661000003</v>
      </c>
      <c r="T38" s="17">
        <v>698.13066170000002</v>
      </c>
      <c r="U38" s="10" t="s">
        <v>810</v>
      </c>
      <c r="V38" s="87" t="s">
        <v>827</v>
      </c>
      <c r="W38" s="67"/>
    </row>
    <row r="39" spans="2:23" x14ac:dyDescent="0.25">
      <c r="B39" s="66"/>
      <c r="C39" s="5"/>
      <c r="D39" s="143"/>
      <c r="E39" s="143"/>
      <c r="F39" s="143"/>
      <c r="G39" s="143"/>
      <c r="H39" s="143"/>
      <c r="I39" s="13"/>
      <c r="J39" s="7"/>
      <c r="K39" s="7"/>
      <c r="L39" s="14"/>
      <c r="M39" s="14"/>
      <c r="N39" s="168"/>
      <c r="O39" s="24"/>
      <c r="P39" s="24"/>
      <c r="Q39" s="24"/>
      <c r="R39" s="24"/>
      <c r="S39" s="24"/>
      <c r="T39" s="24"/>
      <c r="U39" s="15"/>
      <c r="V39" s="178"/>
      <c r="W39" s="67"/>
    </row>
    <row r="40" spans="2:23" s="70" customFormat="1" x14ac:dyDescent="0.25">
      <c r="B40" s="68"/>
      <c r="C40" s="9"/>
      <c r="D40" s="9"/>
      <c r="E40" s="9"/>
      <c r="F40" s="9"/>
      <c r="G40" s="9"/>
      <c r="H40" s="9"/>
      <c r="I40" s="9"/>
      <c r="J40" s="9"/>
      <c r="K40" s="9"/>
      <c r="L40" s="9"/>
      <c r="M40" s="9"/>
      <c r="N40" s="93"/>
      <c r="O40" s="18">
        <v>260.85499733</v>
      </c>
      <c r="P40" s="18">
        <v>260.85499733</v>
      </c>
      <c r="Q40" s="18">
        <v>0</v>
      </c>
      <c r="R40" s="18">
        <v>0.49996499999999999</v>
      </c>
      <c r="S40" s="18">
        <v>955.71237407470005</v>
      </c>
      <c r="T40" s="18">
        <v>695.35734174469997</v>
      </c>
      <c r="U40" s="11">
        <v>3.6656853380693484</v>
      </c>
      <c r="V40" s="9"/>
      <c r="W40" s="69"/>
    </row>
    <row r="41" spans="2:23" s="70" customFormat="1" x14ac:dyDescent="0.25">
      <c r="B41" s="68"/>
      <c r="C41" s="143"/>
      <c r="D41" s="143"/>
      <c r="E41" s="143"/>
      <c r="F41" s="143"/>
      <c r="G41" s="143"/>
      <c r="H41" s="143"/>
      <c r="I41" s="143"/>
      <c r="J41" s="143"/>
      <c r="K41" s="143"/>
      <c r="L41" s="143"/>
      <c r="M41" s="143"/>
      <c r="N41" s="92"/>
      <c r="O41" s="144"/>
      <c r="P41" s="144"/>
      <c r="Q41" s="144"/>
      <c r="R41" s="144"/>
      <c r="S41" s="144"/>
      <c r="T41" s="144"/>
      <c r="U41" s="145"/>
      <c r="V41" s="143"/>
      <c r="W41" s="69"/>
    </row>
    <row r="42" spans="2:23" s="70" customFormat="1" x14ac:dyDescent="0.25">
      <c r="B42" s="68"/>
      <c r="C42" s="394" t="s">
        <v>525</v>
      </c>
      <c r="D42" s="559"/>
      <c r="E42" s="559"/>
      <c r="F42" s="559"/>
      <c r="G42" s="559"/>
      <c r="H42" s="559"/>
      <c r="I42" s="316"/>
      <c r="J42" s="317"/>
      <c r="K42" s="317"/>
      <c r="L42" s="317"/>
      <c r="M42" s="318"/>
      <c r="N42" s="319"/>
      <c r="O42" s="320"/>
      <c r="P42" s="320"/>
      <c r="Q42" s="320"/>
      <c r="R42" s="320"/>
      <c r="S42" s="320"/>
      <c r="T42" s="320"/>
      <c r="U42" s="321"/>
      <c r="V42" s="317"/>
      <c r="W42" s="69"/>
    </row>
    <row r="43" spans="2:23" x14ac:dyDescent="0.25">
      <c r="B43" s="66"/>
      <c r="C43" s="4" t="s">
        <v>378</v>
      </c>
      <c r="D43" s="153" t="s">
        <v>62</v>
      </c>
      <c r="E43" s="2" t="s">
        <v>847</v>
      </c>
      <c r="F43" s="2" t="s">
        <v>383</v>
      </c>
      <c r="G43" s="2" t="s">
        <v>857</v>
      </c>
      <c r="H43" s="153"/>
      <c r="I43" s="32" t="s">
        <v>243</v>
      </c>
      <c r="J43" s="2" t="s">
        <v>76</v>
      </c>
      <c r="K43" s="2" t="s">
        <v>549</v>
      </c>
      <c r="L43" s="6">
        <v>2024</v>
      </c>
      <c r="M43" s="6" t="s">
        <v>381</v>
      </c>
      <c r="N43" s="90">
        <v>0.23</v>
      </c>
      <c r="O43" s="17">
        <v>2.75</v>
      </c>
      <c r="P43" s="17">
        <v>2.5</v>
      </c>
      <c r="Q43" s="17">
        <v>0.25</v>
      </c>
      <c r="R43" s="17">
        <v>0</v>
      </c>
      <c r="S43" s="17">
        <v>2.5</v>
      </c>
      <c r="T43" s="17">
        <v>0</v>
      </c>
      <c r="U43" s="10">
        <v>1</v>
      </c>
      <c r="V43" s="2" t="s">
        <v>753</v>
      </c>
      <c r="W43" s="67"/>
    </row>
    <row r="44" spans="2:23" x14ac:dyDescent="0.25">
      <c r="B44" s="66"/>
      <c r="C44" s="5"/>
      <c r="D44" s="143"/>
      <c r="E44" s="143"/>
      <c r="F44" s="143"/>
      <c r="G44" s="143"/>
      <c r="H44" s="143"/>
      <c r="I44" s="13"/>
      <c r="J44" s="7"/>
      <c r="K44" s="7"/>
      <c r="L44" s="14"/>
      <c r="M44" s="14"/>
      <c r="N44" s="168"/>
      <c r="O44" s="24"/>
      <c r="P44" s="24"/>
      <c r="Q44" s="24"/>
      <c r="R44" s="24"/>
      <c r="S44" s="24"/>
      <c r="T44" s="24"/>
      <c r="U44" s="15"/>
      <c r="V44" s="7"/>
      <c r="W44" s="67"/>
    </row>
    <row r="45" spans="2:23" s="70" customFormat="1" x14ac:dyDescent="0.25">
      <c r="B45" s="68"/>
      <c r="C45" s="9"/>
      <c r="D45" s="9"/>
      <c r="E45" s="9"/>
      <c r="F45" s="9"/>
      <c r="G45" s="9"/>
      <c r="H45" s="9"/>
      <c r="I45" s="9"/>
      <c r="J45" s="9"/>
      <c r="K45" s="9"/>
      <c r="L45" s="9"/>
      <c r="M45" s="9"/>
      <c r="N45" s="93"/>
      <c r="O45" s="18">
        <v>2.75</v>
      </c>
      <c r="P45" s="18">
        <v>2.5</v>
      </c>
      <c r="Q45" s="18">
        <v>0.25</v>
      </c>
      <c r="R45" s="18">
        <v>0</v>
      </c>
      <c r="S45" s="18">
        <v>2.5</v>
      </c>
      <c r="T45" s="18">
        <v>0</v>
      </c>
      <c r="U45" s="11">
        <v>1</v>
      </c>
      <c r="V45" s="9"/>
      <c r="W45" s="69"/>
    </row>
    <row r="46" spans="2:23" s="70" customFormat="1" x14ac:dyDescent="0.25">
      <c r="B46" s="68"/>
      <c r="C46" s="143"/>
      <c r="D46" s="143"/>
      <c r="E46" s="143"/>
      <c r="F46" s="143"/>
      <c r="G46" s="143"/>
      <c r="H46" s="143"/>
      <c r="I46" s="143"/>
      <c r="J46" s="143"/>
      <c r="K46" s="143"/>
      <c r="L46" s="143"/>
      <c r="M46" s="143"/>
      <c r="N46" s="92"/>
      <c r="O46" s="144"/>
      <c r="P46" s="144"/>
      <c r="Q46" s="144"/>
      <c r="R46" s="144"/>
      <c r="S46" s="144"/>
      <c r="T46" s="144"/>
      <c r="U46" s="145"/>
      <c r="V46" s="143"/>
      <c r="W46" s="69"/>
    </row>
    <row r="47" spans="2:23" s="70" customFormat="1" x14ac:dyDescent="0.25">
      <c r="B47" s="68"/>
      <c r="C47" s="394" t="s">
        <v>737</v>
      </c>
      <c r="D47" s="559"/>
      <c r="E47" s="559"/>
      <c r="F47" s="559"/>
      <c r="G47" s="559"/>
      <c r="H47" s="559"/>
      <c r="I47" s="316"/>
      <c r="J47" s="317"/>
      <c r="K47" s="317"/>
      <c r="L47" s="317"/>
      <c r="M47" s="318"/>
      <c r="N47" s="319"/>
      <c r="O47" s="320"/>
      <c r="P47" s="320"/>
      <c r="Q47" s="320"/>
      <c r="R47" s="320"/>
      <c r="S47" s="320"/>
      <c r="T47" s="320"/>
      <c r="U47" s="321"/>
      <c r="V47" s="317"/>
      <c r="W47" s="69"/>
    </row>
    <row r="48" spans="2:23" s="70" customFormat="1" x14ac:dyDescent="0.25">
      <c r="B48" s="68"/>
      <c r="C48" s="4" t="s">
        <v>670</v>
      </c>
      <c r="D48" s="153" t="s">
        <v>867</v>
      </c>
      <c r="E48" s="2" t="s">
        <v>847</v>
      </c>
      <c r="F48" s="2" t="s">
        <v>383</v>
      </c>
      <c r="G48" s="2" t="s">
        <v>862</v>
      </c>
      <c r="H48" s="153"/>
      <c r="I48" s="32" t="s">
        <v>677</v>
      </c>
      <c r="J48" s="2" t="s">
        <v>76</v>
      </c>
      <c r="K48" s="2" t="s">
        <v>668</v>
      </c>
      <c r="L48" s="6">
        <v>2024</v>
      </c>
      <c r="M48" s="6" t="s">
        <v>271</v>
      </c>
      <c r="N48" s="90">
        <v>3.125E-2</v>
      </c>
      <c r="O48" s="17">
        <v>1200</v>
      </c>
      <c r="P48" s="17">
        <v>458.83792844999994</v>
      </c>
      <c r="Q48" s="17">
        <v>741.16207155000006</v>
      </c>
      <c r="R48" s="17">
        <v>14.68885249</v>
      </c>
      <c r="S48" s="17">
        <v>644.14725737000003</v>
      </c>
      <c r="T48" s="17">
        <v>199.99818141000014</v>
      </c>
      <c r="U48" s="10">
        <v>1.4358797932978511</v>
      </c>
      <c r="V48" s="87"/>
      <c r="W48" s="69"/>
    </row>
    <row r="49" spans="2:23" s="70" customFormat="1" x14ac:dyDescent="0.25">
      <c r="B49" s="68"/>
      <c r="C49" s="4" t="s">
        <v>709</v>
      </c>
      <c r="D49" s="153" t="s">
        <v>867</v>
      </c>
      <c r="E49" s="2" t="s">
        <v>847</v>
      </c>
      <c r="F49" s="2" t="s">
        <v>383</v>
      </c>
      <c r="G49" s="2" t="s">
        <v>862</v>
      </c>
      <c r="H49" s="153"/>
      <c r="I49" s="32" t="s">
        <v>710</v>
      </c>
      <c r="J49" s="2" t="s">
        <v>76</v>
      </c>
      <c r="K49" s="2" t="s">
        <v>668</v>
      </c>
      <c r="L49" s="6">
        <v>2024</v>
      </c>
      <c r="M49" s="6" t="s">
        <v>271</v>
      </c>
      <c r="N49" s="90">
        <v>0.5</v>
      </c>
      <c r="O49" s="17">
        <v>775</v>
      </c>
      <c r="P49" s="17">
        <v>312.49955899999998</v>
      </c>
      <c r="Q49" s="17">
        <v>462.50044100000002</v>
      </c>
      <c r="R49" s="17">
        <v>0</v>
      </c>
      <c r="S49" s="17">
        <v>741.85678600000006</v>
      </c>
      <c r="T49" s="17">
        <v>429.35722700000008</v>
      </c>
      <c r="U49" s="10">
        <v>2.3739450653112764</v>
      </c>
      <c r="V49" s="87"/>
      <c r="W49" s="69"/>
    </row>
    <row r="50" spans="2:23" s="70" customFormat="1" x14ac:dyDescent="0.25">
      <c r="B50" s="68"/>
      <c r="C50" s="4" t="s">
        <v>667</v>
      </c>
      <c r="D50" s="153" t="s">
        <v>867</v>
      </c>
      <c r="E50" s="2" t="s">
        <v>847</v>
      </c>
      <c r="F50" s="2" t="s">
        <v>383</v>
      </c>
      <c r="G50" s="2" t="s">
        <v>862</v>
      </c>
      <c r="H50" s="153"/>
      <c r="I50" s="32" t="s">
        <v>678</v>
      </c>
      <c r="J50" s="2" t="s">
        <v>76</v>
      </c>
      <c r="K50" s="2" t="s">
        <v>668</v>
      </c>
      <c r="L50" s="6">
        <v>2024</v>
      </c>
      <c r="M50" s="6" t="s">
        <v>143</v>
      </c>
      <c r="N50" s="90">
        <v>0</v>
      </c>
      <c r="O50" s="17">
        <v>25</v>
      </c>
      <c r="P50" s="17">
        <v>25</v>
      </c>
      <c r="Q50" s="17">
        <v>0</v>
      </c>
      <c r="R50" s="17">
        <v>0</v>
      </c>
      <c r="S50" s="17">
        <v>25</v>
      </c>
      <c r="T50" s="17">
        <v>0</v>
      </c>
      <c r="U50" s="10">
        <v>1</v>
      </c>
      <c r="V50" s="87"/>
      <c r="W50" s="69"/>
    </row>
    <row r="51" spans="2:23" s="70" customFormat="1" x14ac:dyDescent="0.25">
      <c r="B51" s="68"/>
      <c r="C51" s="5"/>
      <c r="D51" s="143"/>
      <c r="E51" s="143"/>
      <c r="F51" s="143"/>
      <c r="G51" s="143"/>
      <c r="H51" s="143"/>
      <c r="I51" s="13"/>
      <c r="J51" s="7"/>
      <c r="K51" s="7"/>
      <c r="L51" s="7"/>
      <c r="M51" s="14"/>
      <c r="N51" s="168"/>
      <c r="O51" s="24"/>
      <c r="P51" s="24"/>
      <c r="Q51" s="24"/>
      <c r="R51" s="24"/>
      <c r="S51" s="24"/>
      <c r="T51" s="24"/>
      <c r="U51" s="15"/>
      <c r="V51" s="178"/>
      <c r="W51" s="69"/>
    </row>
    <row r="52" spans="2:23" s="70" customFormat="1" x14ac:dyDescent="0.25">
      <c r="B52" s="68"/>
      <c r="C52" s="9"/>
      <c r="D52" s="9"/>
      <c r="E52" s="9"/>
      <c r="F52" s="9"/>
      <c r="G52" s="9"/>
      <c r="H52" s="9"/>
      <c r="I52" s="9"/>
      <c r="J52" s="9"/>
      <c r="K52" s="9"/>
      <c r="L52" s="9"/>
      <c r="M52" s="9"/>
      <c r="N52" s="93"/>
      <c r="O52" s="18">
        <v>2000</v>
      </c>
      <c r="P52" s="18">
        <v>796.33748744999991</v>
      </c>
      <c r="Q52" s="18">
        <v>1203.66251255</v>
      </c>
      <c r="R52" s="18">
        <v>14.68885249</v>
      </c>
      <c r="S52" s="18">
        <v>1411.0040433700001</v>
      </c>
      <c r="T52" s="18">
        <v>629.35540841000022</v>
      </c>
      <c r="U52" s="11">
        <v>1.7903124219673456</v>
      </c>
      <c r="V52" s="9"/>
      <c r="W52" s="69"/>
    </row>
    <row r="53" spans="2:23" s="70" customFormat="1" x14ac:dyDescent="0.25">
      <c r="B53" s="68"/>
      <c r="C53" s="143"/>
      <c r="D53" s="143"/>
      <c r="E53" s="143"/>
      <c r="F53" s="143"/>
      <c r="G53" s="143"/>
      <c r="H53" s="143"/>
      <c r="I53" s="143"/>
      <c r="J53" s="143"/>
      <c r="K53" s="143"/>
      <c r="L53" s="143"/>
      <c r="M53" s="143"/>
      <c r="N53" s="92"/>
      <c r="O53" s="144"/>
      <c r="P53" s="144"/>
      <c r="Q53" s="144"/>
      <c r="R53" s="144"/>
      <c r="S53" s="144"/>
      <c r="T53" s="144"/>
      <c r="U53" s="145"/>
      <c r="V53" s="143"/>
      <c r="W53" s="69"/>
    </row>
    <row r="54" spans="2:23" s="70" customFormat="1" x14ac:dyDescent="0.25">
      <c r="B54" s="68"/>
      <c r="C54" s="333"/>
      <c r="D54" s="334"/>
      <c r="E54" s="334"/>
      <c r="F54" s="334"/>
      <c r="G54" s="334"/>
      <c r="H54" s="334"/>
      <c r="I54" s="333"/>
      <c r="J54" s="334"/>
      <c r="K54" s="334"/>
      <c r="L54" s="334"/>
      <c r="M54" s="334"/>
      <c r="N54" s="388"/>
      <c r="O54" s="389">
        <v>3118.568847004708</v>
      </c>
      <c r="P54" s="389">
        <v>1903.3659058038957</v>
      </c>
      <c r="Q54" s="389">
        <v>1215.2029412008119</v>
      </c>
      <c r="R54" s="389">
        <v>114.6468085679808</v>
      </c>
      <c r="S54" s="389">
        <v>3735.4265177522752</v>
      </c>
      <c r="T54" s="552">
        <v>1946.7074205163599</v>
      </c>
      <c r="U54" s="390">
        <v>2.0227709840658092</v>
      </c>
      <c r="V54" s="334"/>
      <c r="W54" s="69"/>
    </row>
    <row r="55" spans="2:23" s="176" customFormat="1" ht="15.75" thickBot="1" x14ac:dyDescent="0.3">
      <c r="B55" s="169"/>
      <c r="C55" s="170"/>
      <c r="D55" s="560"/>
      <c r="E55" s="560"/>
      <c r="F55" s="560"/>
      <c r="G55" s="560"/>
      <c r="H55" s="560"/>
      <c r="I55" s="170"/>
      <c r="J55" s="171"/>
      <c r="K55" s="171"/>
      <c r="L55" s="171"/>
      <c r="M55" s="171"/>
      <c r="N55" s="172"/>
      <c r="O55" s="173"/>
      <c r="P55" s="173"/>
      <c r="Q55" s="173"/>
      <c r="R55" s="173"/>
      <c r="S55" s="173"/>
      <c r="T55" s="173"/>
      <c r="U55" s="174"/>
      <c r="V55" s="171"/>
      <c r="W55" s="175"/>
    </row>
    <row r="56" spans="2:23" x14ac:dyDescent="0.25">
      <c r="N56" s="76"/>
    </row>
    <row r="57" spans="2:23" x14ac:dyDescent="0.25">
      <c r="M57" s="195" t="s">
        <v>249</v>
      </c>
      <c r="N57" s="190"/>
      <c r="O57" s="414"/>
      <c r="P57" s="414"/>
      <c r="Q57" s="414"/>
      <c r="R57" s="414"/>
      <c r="S57" s="414"/>
      <c r="T57" s="414"/>
    </row>
    <row r="58" spans="2:23" x14ac:dyDescent="0.25">
      <c r="B58" s="124"/>
      <c r="C58" s="124" t="s">
        <v>587</v>
      </c>
      <c r="D58" s="105"/>
      <c r="E58" s="105"/>
      <c r="F58" s="105"/>
      <c r="G58" s="105"/>
      <c r="H58" s="105"/>
      <c r="I58" s="5"/>
      <c r="J58" s="7"/>
      <c r="K58" s="7"/>
      <c r="L58" s="7"/>
      <c r="M58" s="196"/>
      <c r="N58" s="108"/>
      <c r="O58" s="414"/>
      <c r="P58" s="414"/>
      <c r="Q58" s="414"/>
      <c r="R58" s="414"/>
      <c r="S58" s="414"/>
      <c r="T58" s="414"/>
      <c r="U58" s="15"/>
      <c r="V58" s="7"/>
    </row>
    <row r="59" spans="2:23" x14ac:dyDescent="0.25">
      <c r="B59" s="124"/>
      <c r="C59" s="391" t="s">
        <v>541</v>
      </c>
      <c r="D59" s="561"/>
      <c r="E59" s="561"/>
      <c r="F59" s="561"/>
      <c r="G59" s="561"/>
      <c r="H59" s="561"/>
      <c r="I59" s="392"/>
      <c r="J59" s="393"/>
      <c r="K59" s="187"/>
      <c r="L59" s="187"/>
      <c r="M59" s="187"/>
      <c r="N59" s="187"/>
      <c r="O59" s="414"/>
      <c r="P59" s="414"/>
      <c r="Q59" s="414"/>
      <c r="R59" s="414"/>
      <c r="S59" s="414"/>
      <c r="T59" s="414"/>
      <c r="U59" s="187"/>
    </row>
    <row r="60" spans="2:23" s="26" customFormat="1" x14ac:dyDescent="0.25">
      <c r="B60" s="25"/>
      <c r="C60" s="13"/>
      <c r="D60" s="7"/>
      <c r="E60" s="7"/>
      <c r="F60" s="7"/>
      <c r="G60" s="7"/>
      <c r="H60" s="7"/>
      <c r="I60" s="13"/>
      <c r="P60" s="212"/>
      <c r="W60" s="25"/>
    </row>
    <row r="61" spans="2:23" s="26" customFormat="1" x14ac:dyDescent="0.25">
      <c r="B61" s="25"/>
      <c r="C61" s="57"/>
      <c r="I61" s="57"/>
      <c r="J61" s="187"/>
      <c r="K61" s="187"/>
      <c r="L61" s="188"/>
      <c r="M61" s="187"/>
      <c r="N61" s="187"/>
      <c r="O61" s="187"/>
      <c r="P61" s="187"/>
      <c r="Q61" s="187"/>
      <c r="R61" s="187"/>
      <c r="S61" s="187"/>
      <c r="U61" s="187"/>
      <c r="W61" s="25"/>
    </row>
    <row r="62" spans="2:23" s="26" customFormat="1" x14ac:dyDescent="0.25">
      <c r="B62" s="25"/>
      <c r="C62" s="57"/>
      <c r="I62" s="57"/>
      <c r="S62" s="80"/>
      <c r="T62" s="80"/>
      <c r="W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V419"/>
  <sheetViews>
    <sheetView zoomScale="85" zoomScaleNormal="85" workbookViewId="0">
      <selection activeCell="S52" sqref="S52"/>
    </sheetView>
  </sheetViews>
  <sheetFormatPr defaultColWidth="9.140625" defaultRowHeight="15" outlineLevelCol="1" x14ac:dyDescent="0.25"/>
  <cols>
    <col min="1" max="2" width="5.42578125" style="25" customWidth="1"/>
    <col min="3" max="3" width="40.5703125" style="56" customWidth="1"/>
    <col min="4" max="5" width="17.5703125" style="97" hidden="1" customWidth="1" outlineLevel="1"/>
    <col min="6" max="6" width="20.140625" style="97" hidden="1" customWidth="1" outlineLevel="1"/>
    <col min="7" max="7" width="21.140625" style="97" hidden="1" customWidth="1" outlineLevel="1"/>
    <col min="8" max="8" width="17.5703125" style="97" hidden="1" customWidth="1" outlineLevel="1"/>
    <col min="9" max="9" width="18.7109375" style="56" hidden="1" customWidth="1" outlineLevel="1"/>
    <col min="10" max="10" width="17.140625" style="26" hidden="1" customWidth="1" outlineLevel="1"/>
    <col min="11" max="11" width="14.28515625" style="26" hidden="1" customWidth="1" outlineLevel="1"/>
    <col min="12" max="12" width="14.28515625" style="26" customWidth="1" collapsed="1"/>
    <col min="13" max="20" width="14.28515625" style="26" customWidth="1"/>
    <col min="21" max="21" width="14.28515625" style="80" customWidth="1"/>
    <col min="22" max="22" width="45.42578125" style="26" bestFit="1" customWidth="1"/>
    <col min="23" max="23" width="3" style="25" customWidth="1"/>
    <col min="24" max="24" width="6.28515625" style="25" customWidth="1"/>
    <col min="25" max="16384" width="9.140625" style="25"/>
  </cols>
  <sheetData>
    <row r="1" spans="2:100" ht="21.75" customHeight="1" x14ac:dyDescent="0.25">
      <c r="C1" s="130"/>
      <c r="D1" s="557"/>
      <c r="E1" s="557"/>
      <c r="F1" s="557"/>
      <c r="G1" s="557"/>
      <c r="H1" s="557"/>
      <c r="I1" s="130"/>
    </row>
    <row r="2" spans="2:100" ht="15.75" thickBot="1" x14ac:dyDescent="0.3">
      <c r="C2" s="147" t="s">
        <v>161</v>
      </c>
      <c r="K2" s="25"/>
      <c r="L2" s="25"/>
      <c r="M2" s="25"/>
      <c r="N2" s="25"/>
      <c r="O2" s="25"/>
      <c r="P2" s="25"/>
      <c r="Q2" s="25"/>
      <c r="R2" s="25"/>
      <c r="S2" s="25"/>
      <c r="T2" s="25"/>
      <c r="U2" s="25"/>
      <c r="V2" s="25"/>
    </row>
    <row r="3" spans="2:100" ht="21.75" customHeight="1" thickBot="1" x14ac:dyDescent="0.3">
      <c r="C3" s="568">
        <v>45869</v>
      </c>
      <c r="D3" s="557"/>
      <c r="E3" s="557"/>
      <c r="F3" s="557"/>
      <c r="G3" s="557"/>
      <c r="H3" s="557"/>
      <c r="I3" s="130"/>
    </row>
    <row r="4" spans="2:100" x14ac:dyDescent="0.25">
      <c r="B4" s="58"/>
      <c r="C4" s="59"/>
      <c r="D4" s="98"/>
      <c r="E4" s="98"/>
      <c r="F4" s="98"/>
      <c r="G4" s="98"/>
      <c r="H4" s="98"/>
      <c r="I4" s="59"/>
      <c r="J4" s="60"/>
      <c r="K4" s="60"/>
      <c r="L4" s="60"/>
      <c r="M4" s="60"/>
      <c r="N4" s="60"/>
      <c r="O4" s="60"/>
      <c r="P4" s="60"/>
      <c r="Q4" s="60"/>
      <c r="R4" s="60"/>
      <c r="S4" s="60"/>
      <c r="T4" s="60"/>
      <c r="U4" s="131"/>
      <c r="V4" s="60"/>
      <c r="W4" s="62"/>
    </row>
    <row r="5" spans="2:100" s="176" customFormat="1" x14ac:dyDescent="0.25">
      <c r="B5" s="191"/>
      <c r="C5" s="192" t="s">
        <v>50</v>
      </c>
      <c r="D5" s="558"/>
      <c r="E5" s="558"/>
      <c r="F5" s="558"/>
      <c r="G5" s="558"/>
      <c r="H5" s="558"/>
      <c r="I5" s="192"/>
      <c r="J5" s="193"/>
      <c r="K5" s="193"/>
      <c r="L5" s="193"/>
      <c r="M5" s="193"/>
      <c r="N5" s="193"/>
      <c r="O5" s="193"/>
      <c r="P5" s="193"/>
      <c r="Q5" s="193"/>
      <c r="R5" s="193"/>
      <c r="S5" s="193"/>
      <c r="T5" s="193"/>
      <c r="U5" s="193"/>
      <c r="V5" s="193"/>
      <c r="W5" s="194"/>
    </row>
    <row r="6" spans="2:100" s="65" customFormat="1" ht="60" customHeight="1" x14ac:dyDescent="0.25">
      <c r="B6" s="63"/>
      <c r="C6" s="3" t="s">
        <v>50</v>
      </c>
      <c r="D6" s="1" t="s">
        <v>843</v>
      </c>
      <c r="E6" s="1" t="s">
        <v>844</v>
      </c>
      <c r="F6" s="1" t="s">
        <v>868</v>
      </c>
      <c r="G6" s="1" t="s">
        <v>845</v>
      </c>
      <c r="H6" s="1" t="s">
        <v>846</v>
      </c>
      <c r="I6" s="3" t="s">
        <v>144</v>
      </c>
      <c r="J6" s="1" t="s">
        <v>25</v>
      </c>
      <c r="K6" s="1" t="s">
        <v>31</v>
      </c>
      <c r="L6" s="1" t="s">
        <v>270</v>
      </c>
      <c r="M6" s="1" t="s">
        <v>36</v>
      </c>
      <c r="N6" s="1" t="s">
        <v>51</v>
      </c>
      <c r="O6" s="1" t="s">
        <v>32</v>
      </c>
      <c r="P6" s="1" t="s">
        <v>2</v>
      </c>
      <c r="Q6" s="1" t="s">
        <v>49</v>
      </c>
      <c r="R6" s="1" t="s">
        <v>33</v>
      </c>
      <c r="S6" s="1" t="s">
        <v>27</v>
      </c>
      <c r="T6" s="1" t="s">
        <v>162</v>
      </c>
      <c r="U6" s="1" t="s">
        <v>34</v>
      </c>
      <c r="V6" s="1" t="s">
        <v>365</v>
      </c>
      <c r="W6" s="64"/>
    </row>
    <row r="7" spans="2:100" x14ac:dyDescent="0.25">
      <c r="B7" s="66"/>
      <c r="C7" s="5"/>
      <c r="D7" s="143"/>
      <c r="E7" s="143"/>
      <c r="F7" s="143"/>
      <c r="G7" s="143"/>
      <c r="H7" s="143"/>
      <c r="I7" s="5"/>
      <c r="J7" s="8"/>
      <c r="K7" s="8"/>
      <c r="L7" s="8"/>
      <c r="M7" s="8" t="s">
        <v>81</v>
      </c>
      <c r="N7" s="8"/>
      <c r="O7" s="8"/>
      <c r="P7" s="8"/>
      <c r="Q7" s="8"/>
      <c r="R7" s="8"/>
      <c r="S7" s="8"/>
      <c r="T7" s="8"/>
      <c r="U7" s="12"/>
      <c r="V7" s="8"/>
      <c r="W7" s="67"/>
    </row>
    <row r="8" spans="2:100" x14ac:dyDescent="0.25">
      <c r="B8" s="66"/>
      <c r="C8" s="394" t="s">
        <v>520</v>
      </c>
      <c r="D8" s="559"/>
      <c r="E8" s="559"/>
      <c r="F8" s="559"/>
      <c r="G8" s="559"/>
      <c r="H8" s="559"/>
      <c r="I8" s="316"/>
      <c r="J8" s="317"/>
      <c r="K8" s="317"/>
      <c r="L8" s="317"/>
      <c r="M8" s="318"/>
      <c r="N8" s="319"/>
      <c r="O8" s="320"/>
      <c r="P8" s="320"/>
      <c r="Q8" s="320"/>
      <c r="R8" s="320"/>
      <c r="S8" s="320"/>
      <c r="T8" s="320"/>
      <c r="U8" s="321"/>
      <c r="V8" s="317"/>
      <c r="W8" s="67"/>
    </row>
    <row r="9" spans="2:100" x14ac:dyDescent="0.25">
      <c r="B9" s="66"/>
      <c r="C9" s="4" t="s">
        <v>347</v>
      </c>
      <c r="D9" s="2" t="s">
        <v>60</v>
      </c>
      <c r="E9" s="2" t="s">
        <v>847</v>
      </c>
      <c r="F9" s="2" t="s">
        <v>165</v>
      </c>
      <c r="G9" s="2" t="s">
        <v>865</v>
      </c>
      <c r="H9" s="6" t="s">
        <v>66</v>
      </c>
      <c r="I9" s="32" t="s">
        <v>243</v>
      </c>
      <c r="J9" s="2" t="s">
        <v>76</v>
      </c>
      <c r="K9" s="2" t="s">
        <v>8</v>
      </c>
      <c r="L9" s="6">
        <v>2023</v>
      </c>
      <c r="M9" s="6" t="s">
        <v>66</v>
      </c>
      <c r="N9" s="90" t="str">
        <f>IF('1. Live'!N9='check-Jul''26'!N9,"",'1. Live'!N9-'check-Jul''26'!N9)</f>
        <v/>
      </c>
      <c r="O9" s="17" t="str">
        <f ca="1">IF('1. Live'!O9='check-Jul''26'!O9,"",'1. Live'!O9-'check-Jul''26'!O9)</f>
        <v/>
      </c>
      <c r="P9" s="17" t="str">
        <f ca="1">IF('1. Live'!P9='check-Jul''26'!P9,"",'1. Live'!P9-'check-Jul''26'!P9)</f>
        <v/>
      </c>
      <c r="Q9" s="17" t="str">
        <f ca="1">IF('1. Live'!Q9='check-Jul''26'!Q9,"",'1. Live'!Q9-'check-Jul''26'!Q9)</f>
        <v/>
      </c>
      <c r="R9" s="17" t="str">
        <f ca="1">IF('1. Live'!R9='check-Jul''26'!R9,"",'1. Live'!R9-'check-Jul''26'!R9)</f>
        <v/>
      </c>
      <c r="S9" s="17" t="str">
        <f>IF('1. Live'!S9='check-Jul''26'!S9,"",'1. Live'!S9-'check-Jul''26'!S9)</f>
        <v/>
      </c>
      <c r="T9" s="17" t="str">
        <f ca="1">IF('1. Live'!T9='check-Jul''26'!T9,"",'1. Live'!T9-'check-Jul''26'!T9)</f>
        <v/>
      </c>
      <c r="U9" s="10" t="str">
        <f ca="1">IF('1. Live'!U9='check-Jul''26'!U9,"",'1. Live'!U9-'check-Jul''26'!U9)</f>
        <v/>
      </c>
      <c r="V9" s="2" t="str">
        <f>IF('1. Live'!V9='check-Jul''26'!V9,"",'1. Live'!V9-'check-Jul''26'!V9)</f>
        <v/>
      </c>
      <c r="W9" s="67"/>
      <c r="AA9" s="25" t="str">
        <f>IF('1. Live'!AA9='check-Jul''26'!W9,"",'1. Live'!AA9-'check-Jul''26'!W9)</f>
        <v/>
      </c>
      <c r="AB9" s="25" t="str">
        <f>IF('1. Live'!AF9='check-Jul''26'!AB9,"",'1. Live'!AF9-'check-Jul''26'!AB9)</f>
        <v/>
      </c>
      <c r="AC9" s="25" t="str">
        <f>IF('1. Live'!AG9='check-Jul''26'!AC9,"",'1. Live'!AG9-'check-Jul''26'!AC9)</f>
        <v/>
      </c>
      <c r="AD9" s="25" t="str">
        <f>IF('1. Live'!AH9='check-Jul''26'!AD9,"",'1. Live'!AH9-'check-Jul''26'!AD9)</f>
        <v/>
      </c>
      <c r="AE9" s="25" t="str">
        <f>IF('1. Live'!AI9='check-Jul''26'!AE9,"",'1. Live'!AI9-'check-Jul''26'!AE9)</f>
        <v/>
      </c>
      <c r="AF9" s="25" t="str">
        <f>IF('1. Live'!AJ9='check-Jul''26'!AF9,"",'1. Live'!AJ9-'check-Jul''26'!AF9)</f>
        <v/>
      </c>
      <c r="AG9" s="25" t="str">
        <f>IF('1. Live'!AK9='check-Jul''26'!AG9,"",'1. Live'!AK9-'check-Jul''26'!AG9)</f>
        <v/>
      </c>
      <c r="AH9" s="25" t="str">
        <f>IF('1. Live'!AL9='check-Jul''26'!AH9,"",'1. Live'!AL9-'check-Jul''26'!AH9)</f>
        <v/>
      </c>
      <c r="AI9" s="25" t="str">
        <f>IF('1. Live'!AM9='check-Jul''26'!AI9,"",'1. Live'!AM9-'check-Jul''26'!AI9)</f>
        <v/>
      </c>
      <c r="AJ9" s="25" t="str">
        <f>IF('1. Live'!AN9='check-Jul''26'!AJ9,"",'1. Live'!AN9-'check-Jul''26'!AJ9)</f>
        <v/>
      </c>
      <c r="AK9" s="25" t="str">
        <f>IF('1. Live'!AO9='check-Jul''26'!AK9,"",'1. Live'!AO9-'check-Jul''26'!AK9)</f>
        <v/>
      </c>
      <c r="AL9" s="25" t="str">
        <f>IF('1. Live'!AP9='check-Jul''26'!AL9,"",'1. Live'!AP9-'check-Jul''26'!AL9)</f>
        <v/>
      </c>
      <c r="AM9" s="25" t="str">
        <f>IF('1. Live'!AQ9='check-Jul''26'!AM9,"",'1. Live'!AQ9-'check-Jul''26'!AM9)</f>
        <v/>
      </c>
      <c r="AN9" s="25" t="str">
        <f>IF('1. Live'!AR9='check-Jul''26'!AN9,"",'1. Live'!AR9-'check-Jul''26'!AN9)</f>
        <v/>
      </c>
      <c r="AO9" s="25" t="str">
        <f>IF('1. Live'!AS9='check-Jul''26'!AO9,"",'1. Live'!AS9-'check-Jul''26'!AO9)</f>
        <v/>
      </c>
      <c r="AP9" s="25" t="str">
        <f>IF('1. Live'!AT9='check-Jul''26'!AP9,"",'1. Live'!AT9-'check-Jul''26'!AP9)</f>
        <v/>
      </c>
      <c r="AQ9" s="25" t="str">
        <f>IF('1. Live'!AU9='check-Jul''26'!AQ9,"",'1. Live'!AU9-'check-Jul''26'!AQ9)</f>
        <v/>
      </c>
      <c r="AR9" s="25" t="str">
        <f>IF('1. Live'!AV9='check-Jul''26'!AR9,"",'1. Live'!AV9-'check-Jul''26'!AR9)</f>
        <v/>
      </c>
      <c r="AS9" s="25" t="str">
        <f>IF('1. Live'!AW9='check-Jul''26'!AS9,"",'1. Live'!AW9-'check-Jul''26'!AS9)</f>
        <v/>
      </c>
      <c r="AT9" s="25" t="str">
        <f>IF('1. Live'!AX9='check-Jul''26'!AT9,"",'1. Live'!AX9-'check-Jul''26'!AT9)</f>
        <v/>
      </c>
      <c r="AU9" s="25" t="str">
        <f>IF('1. Live'!AY9='check-Jul''26'!AU9,"",'1. Live'!AY9-'check-Jul''26'!AU9)</f>
        <v/>
      </c>
      <c r="AV9" s="25" t="str">
        <f>IF('1. Live'!AZ9='check-Jul''26'!AV9,"",'1. Live'!AZ9-'check-Jul''26'!AV9)</f>
        <v/>
      </c>
      <c r="AW9" s="25" t="str">
        <f>IF('1. Live'!BA9='check-Jul''26'!AW9,"",'1. Live'!BA9-'check-Jul''26'!AW9)</f>
        <v/>
      </c>
      <c r="AX9" s="25" t="str">
        <f>IF('1. Live'!BB9='check-Jul''26'!AX9,"",'1. Live'!BB9-'check-Jul''26'!AX9)</f>
        <v/>
      </c>
      <c r="AY9" s="25" t="str">
        <f>IF('1. Live'!BC9='check-Jul''26'!AY9,"",'1. Live'!BC9-'check-Jul''26'!AY9)</f>
        <v/>
      </c>
      <c r="AZ9" s="25" t="str">
        <f>IF('1. Live'!BD9='check-Jul''26'!AZ9,"",'1. Live'!BD9-'check-Jul''26'!AZ9)</f>
        <v/>
      </c>
      <c r="BA9" s="25" t="str">
        <f>IF('1. Live'!BE9='check-Jul''26'!BA9,"",'1. Live'!BE9-'check-Jul''26'!BA9)</f>
        <v/>
      </c>
      <c r="BB9" s="25" t="str">
        <f>IF('1. Live'!BF9='check-Jul''26'!BB9,"",'1. Live'!BF9-'check-Jul''26'!BB9)</f>
        <v/>
      </c>
      <c r="BC9" s="25" t="str">
        <f>IF('1. Live'!BG9='check-Jul''26'!BC9,"",'1. Live'!BG9-'check-Jul''26'!BC9)</f>
        <v/>
      </c>
      <c r="BD9" s="25" t="str">
        <f>IF('1. Live'!BH9='check-Jul''26'!BD9,"",'1. Live'!BH9-'check-Jul''26'!BD9)</f>
        <v/>
      </c>
      <c r="BE9" s="25" t="str">
        <f>IF('1. Live'!BI9='check-Jul''26'!BE9,"",'1. Live'!BI9-'check-Jul''26'!BE9)</f>
        <v/>
      </c>
      <c r="BF9" s="25" t="str">
        <f>IF('1. Live'!BJ9='check-Jul''26'!BF9,"",'1. Live'!BJ9-'check-Jul''26'!BF9)</f>
        <v/>
      </c>
      <c r="BG9" s="25" t="str">
        <f>IF('1. Live'!BK9='check-Jul''26'!BG9,"",'1. Live'!BK9-'check-Jul''26'!BG9)</f>
        <v/>
      </c>
      <c r="BH9" s="25" t="str">
        <f>IF('1. Live'!BL9='check-Jul''26'!BH9,"",'1. Live'!BL9-'check-Jul''26'!BH9)</f>
        <v/>
      </c>
      <c r="BI9" s="25" t="str">
        <f>IF('1. Live'!BM9='check-Jul''26'!BI9,"",'1. Live'!BM9-'check-Jul''26'!BI9)</f>
        <v/>
      </c>
      <c r="BJ9" s="25" t="str">
        <f>IF('1. Live'!BN9='check-Jul''26'!BJ9,"",'1. Live'!BN9-'check-Jul''26'!BJ9)</f>
        <v/>
      </c>
      <c r="BK9" s="25" t="str">
        <f>IF('1. Live'!BO9='check-Jul''26'!BK9,"",'1. Live'!BO9-'check-Jul''26'!BK9)</f>
        <v/>
      </c>
      <c r="BL9" s="25" t="str">
        <f>IF('1. Live'!BP9='check-Jul''26'!BL9,"",'1. Live'!BP9-'check-Jul''26'!BL9)</f>
        <v/>
      </c>
      <c r="BM9" s="25" t="str">
        <f>IF('1. Live'!BQ9='check-Jul''26'!BM9,"",'1. Live'!BQ9-'check-Jul''26'!BM9)</f>
        <v/>
      </c>
      <c r="BN9" s="25" t="str">
        <f>IF('1. Live'!BR9='check-Jul''26'!BN9,"",'1. Live'!BR9-'check-Jul''26'!BN9)</f>
        <v/>
      </c>
      <c r="BO9" s="25" t="str">
        <f>IF('1. Live'!BS9='check-Jul''26'!BO9,"",'1. Live'!BS9-'check-Jul''26'!BO9)</f>
        <v/>
      </c>
      <c r="BP9" s="25" t="str">
        <f>IF('1. Live'!BT9='check-Jul''26'!BP9,"",'1. Live'!BT9-'check-Jul''26'!BP9)</f>
        <v/>
      </c>
      <c r="BQ9" s="25" t="str">
        <f>IF('1. Live'!BU9='check-Jul''26'!BQ9,"",'1. Live'!BU9-'check-Jul''26'!BQ9)</f>
        <v/>
      </c>
      <c r="BR9" s="25" t="str">
        <f>IF('1. Live'!BV9='check-Jul''26'!BR9,"",'1. Live'!BV9-'check-Jul''26'!BR9)</f>
        <v/>
      </c>
      <c r="BS9" s="25" t="str">
        <f>IF('1. Live'!BW9='check-Jul''26'!BS9,"",'1. Live'!BW9-'check-Jul''26'!BS9)</f>
        <v/>
      </c>
      <c r="BT9" s="25" t="str">
        <f>IF('1. Live'!BX9='check-Jul''26'!BT9,"",'1. Live'!BX9-'check-Jul''26'!BT9)</f>
        <v/>
      </c>
      <c r="BU9" s="25" t="str">
        <f>IF('1. Live'!BY9='check-Jul''26'!BU9,"",'1. Live'!BY9-'check-Jul''26'!BU9)</f>
        <v/>
      </c>
      <c r="BV9" s="25" t="str">
        <f>IF('1. Live'!BZ9='check-Jul''26'!BV9,"",'1. Live'!BZ9-'check-Jul''26'!BV9)</f>
        <v/>
      </c>
      <c r="BW9" s="25" t="str">
        <f>IF('1. Live'!CA9='check-Jul''26'!BW9,"",'1. Live'!CA9-'check-Jul''26'!BW9)</f>
        <v/>
      </c>
      <c r="BX9" s="25" t="str">
        <f>IF('1. Live'!CB9='check-Jul''26'!BX9,"",'1. Live'!CB9-'check-Jul''26'!BX9)</f>
        <v/>
      </c>
      <c r="BY9" s="25" t="str">
        <f>IF('1. Live'!CC9='check-Jul''26'!BY9,"",'1. Live'!CC9-'check-Jul''26'!BY9)</f>
        <v/>
      </c>
      <c r="BZ9" s="25" t="str">
        <f>IF('1. Live'!CD9='check-Jul''26'!BZ9,"",'1. Live'!CD9-'check-Jul''26'!BZ9)</f>
        <v/>
      </c>
      <c r="CA9" s="25" t="str">
        <f>IF('1. Live'!CE9='check-Jul''26'!CA9,"",'1. Live'!CE9-'check-Jul''26'!CA9)</f>
        <v/>
      </c>
      <c r="CB9" s="25" t="str">
        <f>IF('1. Live'!CF9='check-Jul''26'!CB9,"",'1. Live'!CF9-'check-Jul''26'!CB9)</f>
        <v/>
      </c>
      <c r="CC9" s="25" t="str">
        <f>IF('1. Live'!CG9='check-Jul''26'!CC9,"",'1. Live'!CG9-'check-Jul''26'!CC9)</f>
        <v/>
      </c>
      <c r="CD9" s="25" t="str">
        <f>IF('1. Live'!CH9='check-Jul''26'!CD9,"",'1. Live'!CH9-'check-Jul''26'!CD9)</f>
        <v/>
      </c>
      <c r="CE9" s="25" t="str">
        <f>IF('1. Live'!CI9='check-Jul''26'!CE9,"",'1. Live'!CI9-'check-Jul''26'!CE9)</f>
        <v/>
      </c>
      <c r="CF9" s="25" t="str">
        <f>IF('1. Live'!CJ9='check-Jul''26'!CF9,"",'1. Live'!CJ9-'check-Jul''26'!CF9)</f>
        <v/>
      </c>
      <c r="CG9" s="25" t="str">
        <f>IF('1. Live'!CK9='check-Jul''26'!CG9,"",'1. Live'!CK9-'check-Jul''26'!CG9)</f>
        <v/>
      </c>
      <c r="CH9" s="25" t="str">
        <f>IF('1. Live'!CL9='check-Jul''26'!CH9,"",'1. Live'!CL9-'check-Jul''26'!CH9)</f>
        <v/>
      </c>
      <c r="CI9" s="25" t="str">
        <f>IF('1. Live'!CM9='check-Jul''26'!CI9,"",'1. Live'!CM9-'check-Jul''26'!CI9)</f>
        <v/>
      </c>
      <c r="CJ9" s="25" t="str">
        <f>IF('1. Live'!CN9='check-Jul''26'!CJ9,"",'1. Live'!CN9-'check-Jul''26'!CJ9)</f>
        <v/>
      </c>
      <c r="CK9" s="25" t="str">
        <f>IF('1. Live'!CO9='check-Jul''26'!CK9,"",'1. Live'!CO9-'check-Jul''26'!CK9)</f>
        <v/>
      </c>
      <c r="CL9" s="25" t="str">
        <f>IF('1. Live'!CP9='check-Jul''26'!CL9,"",'1. Live'!CP9-'check-Jul''26'!CL9)</f>
        <v/>
      </c>
      <c r="CM9" s="25" t="str">
        <f>IF('1. Live'!CQ9='check-Jul''26'!CM9,"",'1. Live'!CQ9-'check-Jul''26'!CM9)</f>
        <v/>
      </c>
      <c r="CN9" s="25" t="str">
        <f>IF('1. Live'!CR9='check-Jul''26'!CN9,"",'1. Live'!CR9-'check-Jul''26'!CN9)</f>
        <v/>
      </c>
      <c r="CO9" s="25" t="str">
        <f>IF('1. Live'!CS9='check-Jul''26'!CO9,"",'1. Live'!CS9-'check-Jul''26'!CO9)</f>
        <v/>
      </c>
      <c r="CP9" s="25" t="str">
        <f>IF('1. Live'!CT9='check-Jul''26'!CP9,"",'1. Live'!CT9-'check-Jul''26'!CP9)</f>
        <v/>
      </c>
      <c r="CQ9" s="25" t="str">
        <f>IF('1. Live'!CU9='check-Jul''26'!CQ9,"",'1. Live'!CU9-'check-Jul''26'!CQ9)</f>
        <v/>
      </c>
      <c r="CR9" s="25" t="str">
        <f>IF('1. Live'!CV9='check-Jul''26'!CR9,"",'1. Live'!CV9-'check-Jul''26'!CR9)</f>
        <v/>
      </c>
      <c r="CS9" s="25" t="str">
        <f>IF('1. Live'!CW9='check-Jul''26'!CS9,"",'1. Live'!CW9-'check-Jul''26'!CS9)</f>
        <v/>
      </c>
      <c r="CT9" s="25" t="str">
        <f>IF('1. Live'!CX9='check-Jul''26'!CT9,"",'1. Live'!CX9-'check-Jul''26'!CT9)</f>
        <v/>
      </c>
      <c r="CU9" s="25" t="str">
        <f>IF('1. Live'!CY9='check-Jul''26'!CU9,"",'1. Live'!CY9-'check-Jul''26'!CU9)</f>
        <v/>
      </c>
      <c r="CV9" s="25" t="str">
        <f>IF('1. Live'!CZ9='check-Jul''26'!CV9,"",'1. Live'!CZ9-'check-Jul''26'!CV9)</f>
        <v/>
      </c>
    </row>
    <row r="10" spans="2:100" x14ac:dyDescent="0.25">
      <c r="B10" s="66"/>
      <c r="C10" s="4" t="s">
        <v>279</v>
      </c>
      <c r="D10" s="2" t="s">
        <v>62</v>
      </c>
      <c r="E10" s="2" t="s">
        <v>847</v>
      </c>
      <c r="F10" s="2" t="s">
        <v>165</v>
      </c>
      <c r="G10" s="2" t="s">
        <v>870</v>
      </c>
      <c r="H10" s="6" t="s">
        <v>65</v>
      </c>
      <c r="I10" s="32" t="s">
        <v>243</v>
      </c>
      <c r="J10" s="2" t="s">
        <v>76</v>
      </c>
      <c r="K10" s="2" t="s">
        <v>8</v>
      </c>
      <c r="L10" s="6">
        <v>2023</v>
      </c>
      <c r="M10" s="6" t="s">
        <v>65</v>
      </c>
      <c r="N10" s="90" t="str">
        <f>IF('1. Live'!N10='check-Jul''26'!N10,"",'1. Live'!N10-'check-Jul''26'!N10)</f>
        <v/>
      </c>
      <c r="O10" s="17" t="str">
        <f ca="1">IF('1. Live'!O10='check-Jul''26'!O10,"",'1. Live'!O10-'check-Jul''26'!O10)</f>
        <v/>
      </c>
      <c r="P10" s="17" t="str">
        <f ca="1">IF('1. Live'!P10='check-Jul''26'!P10,"",'1. Live'!P10-'check-Jul''26'!P10)</f>
        <v/>
      </c>
      <c r="Q10" s="17" t="str">
        <f ca="1">IF('1. Live'!Q10='check-Jul''26'!Q10,"",'1. Live'!Q10-'check-Jul''26'!Q10)</f>
        <v/>
      </c>
      <c r="R10" s="17" t="str">
        <f ca="1">IF('1. Live'!R10='check-Jul''26'!R10,"",'1. Live'!R10-'check-Jul''26'!R10)</f>
        <v/>
      </c>
      <c r="S10" s="17" t="str">
        <f>IF('1. Live'!S10='check-Jul''26'!S10,"",'1. Live'!S10-'check-Jul''26'!S10)</f>
        <v/>
      </c>
      <c r="T10" s="17" t="str">
        <f ca="1">IF('1. Live'!T10='check-Jul''26'!T10,"",'1. Live'!T10-'check-Jul''26'!T10)</f>
        <v/>
      </c>
      <c r="U10" s="10" t="str">
        <f ca="1">IF('1. Live'!U10='check-Jul''26'!U10,"",'1. Live'!U10-'check-Jul''26'!U10)</f>
        <v/>
      </c>
      <c r="V10" s="2" t="str">
        <f>IF('1. Live'!V10='check-Jul''26'!V10,"",'1. Live'!V10-'check-Jul''26'!V10)</f>
        <v/>
      </c>
      <c r="W10" s="67"/>
      <c r="AA10" s="25" t="str">
        <f>IF('1. Live'!AA10='check-Jul''26'!W10,"",'1. Live'!AA10-'check-Jul''26'!W10)</f>
        <v/>
      </c>
      <c r="AB10" s="25" t="str">
        <f>IF('1. Live'!AF10='check-Jul''26'!AB10,"",'1. Live'!AF10-'check-Jul''26'!AB10)</f>
        <v/>
      </c>
      <c r="AC10" s="25" t="str">
        <f>IF('1. Live'!AG10='check-Jul''26'!AC10,"",'1. Live'!AG10-'check-Jul''26'!AC10)</f>
        <v/>
      </c>
      <c r="AD10" s="25" t="str">
        <f>IF('1. Live'!AH10='check-Jul''26'!AD10,"",'1. Live'!AH10-'check-Jul''26'!AD10)</f>
        <v/>
      </c>
      <c r="AE10" s="25" t="str">
        <f>IF('1. Live'!AI10='check-Jul''26'!AE10,"",'1. Live'!AI10-'check-Jul''26'!AE10)</f>
        <v/>
      </c>
      <c r="AF10" s="25" t="str">
        <f>IF('1. Live'!AJ10='check-Jul''26'!AF10,"",'1. Live'!AJ10-'check-Jul''26'!AF10)</f>
        <v/>
      </c>
      <c r="AG10" s="25" t="str">
        <f>IF('1. Live'!AK10='check-Jul''26'!AG10,"",'1. Live'!AK10-'check-Jul''26'!AG10)</f>
        <v/>
      </c>
      <c r="AH10" s="25" t="str">
        <f>IF('1. Live'!AL10='check-Jul''26'!AH10,"",'1. Live'!AL10-'check-Jul''26'!AH10)</f>
        <v/>
      </c>
      <c r="AI10" s="25" t="str">
        <f>IF('1. Live'!AM10='check-Jul''26'!AI10,"",'1. Live'!AM10-'check-Jul''26'!AI10)</f>
        <v/>
      </c>
      <c r="AJ10" s="25" t="str">
        <f>IF('1. Live'!AN10='check-Jul''26'!AJ10,"",'1. Live'!AN10-'check-Jul''26'!AJ10)</f>
        <v/>
      </c>
      <c r="AK10" s="25" t="str">
        <f>IF('1. Live'!AO10='check-Jul''26'!AK10,"",'1. Live'!AO10-'check-Jul''26'!AK10)</f>
        <v/>
      </c>
      <c r="AL10" s="25" t="str">
        <f>IF('1. Live'!AP10='check-Jul''26'!AL10,"",'1. Live'!AP10-'check-Jul''26'!AL10)</f>
        <v/>
      </c>
      <c r="AM10" s="25" t="str">
        <f>IF('1. Live'!AQ10='check-Jul''26'!AM10,"",'1. Live'!AQ10-'check-Jul''26'!AM10)</f>
        <v/>
      </c>
      <c r="AN10" s="25" t="str">
        <f>IF('1. Live'!AR10='check-Jul''26'!AN10,"",'1. Live'!AR10-'check-Jul''26'!AN10)</f>
        <v/>
      </c>
      <c r="AO10" s="25" t="str">
        <f>IF('1. Live'!AS10='check-Jul''26'!AO10,"",'1. Live'!AS10-'check-Jul''26'!AO10)</f>
        <v/>
      </c>
      <c r="AP10" s="25" t="str">
        <f>IF('1. Live'!AT10='check-Jul''26'!AP10,"",'1. Live'!AT10-'check-Jul''26'!AP10)</f>
        <v/>
      </c>
      <c r="AQ10" s="25" t="str">
        <f>IF('1. Live'!AU10='check-Jul''26'!AQ10,"",'1. Live'!AU10-'check-Jul''26'!AQ10)</f>
        <v/>
      </c>
      <c r="AR10" s="25" t="str">
        <f>IF('1. Live'!AV10='check-Jul''26'!AR10,"",'1. Live'!AV10-'check-Jul''26'!AR10)</f>
        <v/>
      </c>
      <c r="AS10" s="25" t="str">
        <f>IF('1. Live'!AW10='check-Jul''26'!AS10,"",'1. Live'!AW10-'check-Jul''26'!AS10)</f>
        <v/>
      </c>
      <c r="AT10" s="25" t="str">
        <f>IF('1. Live'!AX10='check-Jul''26'!AT10,"",'1. Live'!AX10-'check-Jul''26'!AT10)</f>
        <v/>
      </c>
      <c r="AU10" s="25" t="str">
        <f>IF('1. Live'!AY10='check-Jul''26'!AU10,"",'1. Live'!AY10-'check-Jul''26'!AU10)</f>
        <v/>
      </c>
      <c r="AV10" s="25" t="str">
        <f>IF('1. Live'!AZ10='check-Jul''26'!AV10,"",'1. Live'!AZ10-'check-Jul''26'!AV10)</f>
        <v/>
      </c>
      <c r="AW10" s="25" t="str">
        <f>IF('1. Live'!BA10='check-Jul''26'!AW10,"",'1. Live'!BA10-'check-Jul''26'!AW10)</f>
        <v/>
      </c>
      <c r="AX10" s="25" t="str">
        <f>IF('1. Live'!BB10='check-Jul''26'!AX10,"",'1. Live'!BB10-'check-Jul''26'!AX10)</f>
        <v/>
      </c>
      <c r="AY10" s="25" t="str">
        <f>IF('1. Live'!BC10='check-Jul''26'!AY10,"",'1. Live'!BC10-'check-Jul''26'!AY10)</f>
        <v/>
      </c>
      <c r="AZ10" s="25" t="str">
        <f>IF('1. Live'!BD10='check-Jul''26'!AZ10,"",'1. Live'!BD10-'check-Jul''26'!AZ10)</f>
        <v/>
      </c>
      <c r="BA10" s="25" t="str">
        <f>IF('1. Live'!BE10='check-Jul''26'!BA10,"",'1. Live'!BE10-'check-Jul''26'!BA10)</f>
        <v/>
      </c>
      <c r="BB10" s="25" t="str">
        <f>IF('1. Live'!BF10='check-Jul''26'!BB10,"",'1. Live'!BF10-'check-Jul''26'!BB10)</f>
        <v/>
      </c>
      <c r="BC10" s="25" t="str">
        <f>IF('1. Live'!BG10='check-Jul''26'!BC10,"",'1. Live'!BG10-'check-Jul''26'!BC10)</f>
        <v/>
      </c>
      <c r="BD10" s="25" t="str">
        <f>IF('1. Live'!BH10='check-Jul''26'!BD10,"",'1. Live'!BH10-'check-Jul''26'!BD10)</f>
        <v/>
      </c>
      <c r="BE10" s="25" t="str">
        <f>IF('1. Live'!BI10='check-Jul''26'!BE10,"",'1. Live'!BI10-'check-Jul''26'!BE10)</f>
        <v/>
      </c>
      <c r="BF10" s="25" t="str">
        <f>IF('1. Live'!BJ10='check-Jul''26'!BF10,"",'1. Live'!BJ10-'check-Jul''26'!BF10)</f>
        <v/>
      </c>
      <c r="BG10" s="25" t="str">
        <f>IF('1. Live'!BK10='check-Jul''26'!BG10,"",'1. Live'!BK10-'check-Jul''26'!BG10)</f>
        <v/>
      </c>
      <c r="BH10" s="25" t="str">
        <f>IF('1. Live'!BL10='check-Jul''26'!BH10,"",'1. Live'!BL10-'check-Jul''26'!BH10)</f>
        <v/>
      </c>
      <c r="BI10" s="25" t="str">
        <f>IF('1. Live'!BM10='check-Jul''26'!BI10,"",'1. Live'!BM10-'check-Jul''26'!BI10)</f>
        <v/>
      </c>
      <c r="BJ10" s="25" t="str">
        <f>IF('1. Live'!BN10='check-Jul''26'!BJ10,"",'1. Live'!BN10-'check-Jul''26'!BJ10)</f>
        <v/>
      </c>
      <c r="BK10" s="25" t="str">
        <f>IF('1. Live'!BO10='check-Jul''26'!BK10,"",'1. Live'!BO10-'check-Jul''26'!BK10)</f>
        <v/>
      </c>
      <c r="BL10" s="25" t="str">
        <f>IF('1. Live'!BP10='check-Jul''26'!BL10,"",'1. Live'!BP10-'check-Jul''26'!BL10)</f>
        <v/>
      </c>
      <c r="BM10" s="25" t="str">
        <f>IF('1. Live'!BQ10='check-Jul''26'!BM10,"",'1. Live'!BQ10-'check-Jul''26'!BM10)</f>
        <v/>
      </c>
      <c r="BN10" s="25" t="str">
        <f>IF('1. Live'!BR10='check-Jul''26'!BN10,"",'1. Live'!BR10-'check-Jul''26'!BN10)</f>
        <v/>
      </c>
      <c r="BO10" s="25" t="str">
        <f>IF('1. Live'!BS10='check-Jul''26'!BO10,"",'1. Live'!BS10-'check-Jul''26'!BO10)</f>
        <v/>
      </c>
      <c r="BP10" s="25" t="str">
        <f>IF('1. Live'!BT10='check-Jul''26'!BP10,"",'1. Live'!BT10-'check-Jul''26'!BP10)</f>
        <v/>
      </c>
      <c r="BQ10" s="25" t="str">
        <f>IF('1. Live'!BU10='check-Jul''26'!BQ10,"",'1. Live'!BU10-'check-Jul''26'!BQ10)</f>
        <v/>
      </c>
      <c r="BR10" s="25" t="str">
        <f>IF('1. Live'!BV10='check-Jul''26'!BR10,"",'1. Live'!BV10-'check-Jul''26'!BR10)</f>
        <v/>
      </c>
      <c r="BS10" s="25" t="str">
        <f>IF('1. Live'!BW10='check-Jul''26'!BS10,"",'1. Live'!BW10-'check-Jul''26'!BS10)</f>
        <v/>
      </c>
      <c r="BT10" s="25" t="str">
        <f>IF('1. Live'!BX10='check-Jul''26'!BT10,"",'1. Live'!BX10-'check-Jul''26'!BT10)</f>
        <v/>
      </c>
      <c r="BU10" s="25" t="str">
        <f>IF('1. Live'!BY10='check-Jul''26'!BU10,"",'1. Live'!BY10-'check-Jul''26'!BU10)</f>
        <v/>
      </c>
      <c r="BV10" s="25" t="str">
        <f>IF('1. Live'!BZ10='check-Jul''26'!BV10,"",'1. Live'!BZ10-'check-Jul''26'!BV10)</f>
        <v/>
      </c>
      <c r="BW10" s="25" t="str">
        <f>IF('1. Live'!CA10='check-Jul''26'!BW10,"",'1. Live'!CA10-'check-Jul''26'!BW10)</f>
        <v/>
      </c>
      <c r="BX10" s="25" t="str">
        <f>IF('1. Live'!CB10='check-Jul''26'!BX10,"",'1. Live'!CB10-'check-Jul''26'!BX10)</f>
        <v/>
      </c>
      <c r="BY10" s="25" t="str">
        <f>IF('1. Live'!CC10='check-Jul''26'!BY10,"",'1. Live'!CC10-'check-Jul''26'!BY10)</f>
        <v/>
      </c>
      <c r="BZ10" s="25" t="str">
        <f>IF('1. Live'!CD10='check-Jul''26'!BZ10,"",'1. Live'!CD10-'check-Jul''26'!BZ10)</f>
        <v/>
      </c>
      <c r="CA10" s="25" t="str">
        <f>IF('1. Live'!CE10='check-Jul''26'!CA10,"",'1. Live'!CE10-'check-Jul''26'!CA10)</f>
        <v/>
      </c>
      <c r="CB10" s="25" t="str">
        <f>IF('1. Live'!CF10='check-Jul''26'!CB10,"",'1. Live'!CF10-'check-Jul''26'!CB10)</f>
        <v/>
      </c>
      <c r="CC10" s="25" t="str">
        <f>IF('1. Live'!CG10='check-Jul''26'!CC10,"",'1. Live'!CG10-'check-Jul''26'!CC10)</f>
        <v/>
      </c>
      <c r="CD10" s="25" t="str">
        <f>IF('1. Live'!CH10='check-Jul''26'!CD10,"",'1. Live'!CH10-'check-Jul''26'!CD10)</f>
        <v/>
      </c>
      <c r="CE10" s="25" t="str">
        <f>IF('1. Live'!CI10='check-Jul''26'!CE10,"",'1. Live'!CI10-'check-Jul''26'!CE10)</f>
        <v/>
      </c>
      <c r="CF10" s="25" t="str">
        <f>IF('1. Live'!CJ10='check-Jul''26'!CF10,"",'1. Live'!CJ10-'check-Jul''26'!CF10)</f>
        <v/>
      </c>
      <c r="CG10" s="25" t="str">
        <f>IF('1. Live'!CK10='check-Jul''26'!CG10,"",'1. Live'!CK10-'check-Jul''26'!CG10)</f>
        <v/>
      </c>
      <c r="CH10" s="25" t="str">
        <f>IF('1. Live'!CL10='check-Jul''26'!CH10,"",'1. Live'!CL10-'check-Jul''26'!CH10)</f>
        <v/>
      </c>
      <c r="CI10" s="25" t="str">
        <f>IF('1. Live'!CM10='check-Jul''26'!CI10,"",'1. Live'!CM10-'check-Jul''26'!CI10)</f>
        <v/>
      </c>
      <c r="CJ10" s="25" t="str">
        <f>IF('1. Live'!CN10='check-Jul''26'!CJ10,"",'1. Live'!CN10-'check-Jul''26'!CJ10)</f>
        <v/>
      </c>
      <c r="CK10" s="25" t="str">
        <f>IF('1. Live'!CO10='check-Jul''26'!CK10,"",'1. Live'!CO10-'check-Jul''26'!CK10)</f>
        <v/>
      </c>
      <c r="CL10" s="25" t="str">
        <f>IF('1. Live'!CP10='check-Jul''26'!CL10,"",'1. Live'!CP10-'check-Jul''26'!CL10)</f>
        <v/>
      </c>
      <c r="CM10" s="25" t="str">
        <f>IF('1. Live'!CQ10='check-Jul''26'!CM10,"",'1. Live'!CQ10-'check-Jul''26'!CM10)</f>
        <v/>
      </c>
      <c r="CN10" s="25" t="str">
        <f>IF('1. Live'!CR10='check-Jul''26'!CN10,"",'1. Live'!CR10-'check-Jul''26'!CN10)</f>
        <v/>
      </c>
      <c r="CO10" s="25" t="str">
        <f>IF('1. Live'!CS10='check-Jul''26'!CO10,"",'1. Live'!CS10-'check-Jul''26'!CO10)</f>
        <v/>
      </c>
      <c r="CP10" s="25" t="str">
        <f>IF('1. Live'!CT10='check-Jul''26'!CP10,"",'1. Live'!CT10-'check-Jul''26'!CP10)</f>
        <v/>
      </c>
      <c r="CQ10" s="25" t="str">
        <f>IF('1. Live'!CU10='check-Jul''26'!CQ10,"",'1. Live'!CU10-'check-Jul''26'!CQ10)</f>
        <v/>
      </c>
      <c r="CR10" s="25" t="str">
        <f>IF('1. Live'!CV10='check-Jul''26'!CR10,"",'1. Live'!CV10-'check-Jul''26'!CR10)</f>
        <v/>
      </c>
      <c r="CS10" s="25" t="str">
        <f>IF('1. Live'!CW10='check-Jul''26'!CS10,"",'1. Live'!CW10-'check-Jul''26'!CS10)</f>
        <v/>
      </c>
      <c r="CT10" s="25" t="str">
        <f>IF('1. Live'!CX10='check-Jul''26'!CT10,"",'1. Live'!CX10-'check-Jul''26'!CT10)</f>
        <v/>
      </c>
      <c r="CU10" s="25" t="str">
        <f>IF('1. Live'!CY10='check-Jul''26'!CU10,"",'1. Live'!CY10-'check-Jul''26'!CU10)</f>
        <v/>
      </c>
      <c r="CV10" s="25" t="str">
        <f>IF('1. Live'!CZ10='check-Jul''26'!CV10,"",'1. Live'!CZ10-'check-Jul''26'!CV10)</f>
        <v/>
      </c>
    </row>
    <row r="11" spans="2:100" x14ac:dyDescent="0.25">
      <c r="B11" s="66"/>
      <c r="C11" s="4" t="s">
        <v>662</v>
      </c>
      <c r="D11" s="2" t="s">
        <v>60</v>
      </c>
      <c r="E11" s="2" t="s">
        <v>847</v>
      </c>
      <c r="F11" s="2" t="s">
        <v>165</v>
      </c>
      <c r="G11" s="2" t="s">
        <v>854</v>
      </c>
      <c r="H11" s="6" t="s">
        <v>65</v>
      </c>
      <c r="I11" s="32" t="s">
        <v>243</v>
      </c>
      <c r="J11" s="2" t="s">
        <v>76</v>
      </c>
      <c r="K11" s="2" t="s">
        <v>548</v>
      </c>
      <c r="L11" s="6">
        <v>2022</v>
      </c>
      <c r="M11" s="6" t="s">
        <v>66</v>
      </c>
      <c r="N11" s="90" t="str">
        <f>IF('1. Live'!N11='check-Jul''26'!N11,"",'1. Live'!N11-'check-Jul''26'!N11)</f>
        <v/>
      </c>
      <c r="O11" s="17" t="str">
        <f ca="1">IF('1. Live'!O11='check-Jul''26'!O11,"",'1. Live'!O11-'check-Jul''26'!O11)</f>
        <v/>
      </c>
      <c r="P11" s="17" t="str">
        <f ca="1">IF('1. Live'!P11='check-Jul''26'!P11,"",'1. Live'!P11-'check-Jul''26'!P11)</f>
        <v/>
      </c>
      <c r="Q11" s="17" t="str">
        <f ca="1">IF('1. Live'!Q11='check-Jul''26'!Q11,"",'1. Live'!Q11-'check-Jul''26'!Q11)</f>
        <v/>
      </c>
      <c r="R11" s="17" t="str">
        <f ca="1">IF('1. Live'!R11='check-Jul''26'!R11,"",'1. Live'!R11-'check-Jul''26'!R11)</f>
        <v/>
      </c>
      <c r="S11" s="17" t="str">
        <f>IF('1. Live'!S11='check-Jul''26'!S11,"",'1. Live'!S11-'check-Jul''26'!S11)</f>
        <v/>
      </c>
      <c r="T11" s="17" t="str">
        <f ca="1">IF('1. Live'!T11='check-Jul''26'!T11,"",'1. Live'!T11-'check-Jul''26'!T11)</f>
        <v/>
      </c>
      <c r="U11" s="10" t="str">
        <f ca="1">IF('1. Live'!U11='check-Jul''26'!U11,"",'1. Live'!U11-'check-Jul''26'!U11)</f>
        <v/>
      </c>
      <c r="V11" s="2" t="str">
        <f>IF('1. Live'!V11='check-Jul''26'!V11,"",'1. Live'!V11-'check-Jul''26'!V11)</f>
        <v/>
      </c>
      <c r="W11" s="67"/>
      <c r="AA11" s="25" t="str">
        <f>IF('1. Live'!AA11='check-Jul''26'!W11,"",'1. Live'!AA11-'check-Jul''26'!W11)</f>
        <v/>
      </c>
      <c r="AB11" s="25" t="str">
        <f>IF('1. Live'!AF11='check-Jul''26'!AB11,"",'1. Live'!AF11-'check-Jul''26'!AB11)</f>
        <v/>
      </c>
      <c r="AC11" s="25" t="str">
        <f>IF('1. Live'!AG11='check-Jul''26'!AC11,"",'1. Live'!AG11-'check-Jul''26'!AC11)</f>
        <v/>
      </c>
      <c r="AD11" s="25" t="str">
        <f>IF('1. Live'!AH11='check-Jul''26'!AD11,"",'1. Live'!AH11-'check-Jul''26'!AD11)</f>
        <v/>
      </c>
      <c r="AE11" s="25" t="str">
        <f>IF('1. Live'!AI11='check-Jul''26'!AE11,"",'1. Live'!AI11-'check-Jul''26'!AE11)</f>
        <v/>
      </c>
      <c r="AF11" s="25" t="str">
        <f>IF('1. Live'!AJ11='check-Jul''26'!AF11,"",'1. Live'!AJ11-'check-Jul''26'!AF11)</f>
        <v/>
      </c>
      <c r="AG11" s="25" t="str">
        <f>IF('1. Live'!AK11='check-Jul''26'!AG11,"",'1. Live'!AK11-'check-Jul''26'!AG11)</f>
        <v/>
      </c>
      <c r="AH11" s="25" t="str">
        <f>IF('1. Live'!AL11='check-Jul''26'!AH11,"",'1. Live'!AL11-'check-Jul''26'!AH11)</f>
        <v/>
      </c>
      <c r="AI11" s="25" t="str">
        <f>IF('1. Live'!AM11='check-Jul''26'!AI11,"",'1. Live'!AM11-'check-Jul''26'!AI11)</f>
        <v/>
      </c>
      <c r="AJ11" s="25" t="str">
        <f>IF('1. Live'!AN11='check-Jul''26'!AJ11,"",'1. Live'!AN11-'check-Jul''26'!AJ11)</f>
        <v/>
      </c>
      <c r="AK11" s="25" t="str">
        <f>IF('1. Live'!AO11='check-Jul''26'!AK11,"",'1. Live'!AO11-'check-Jul''26'!AK11)</f>
        <v/>
      </c>
      <c r="AL11" s="25" t="str">
        <f>IF('1. Live'!AP11='check-Jul''26'!AL11,"",'1. Live'!AP11-'check-Jul''26'!AL11)</f>
        <v/>
      </c>
      <c r="AM11" s="25" t="str">
        <f>IF('1. Live'!AQ11='check-Jul''26'!AM11,"",'1. Live'!AQ11-'check-Jul''26'!AM11)</f>
        <v/>
      </c>
      <c r="AN11" s="25" t="str">
        <f>IF('1. Live'!AR11='check-Jul''26'!AN11,"",'1. Live'!AR11-'check-Jul''26'!AN11)</f>
        <v/>
      </c>
      <c r="AO11" s="25" t="str">
        <f>IF('1. Live'!AS11='check-Jul''26'!AO11,"",'1. Live'!AS11-'check-Jul''26'!AO11)</f>
        <v/>
      </c>
      <c r="AP11" s="25" t="str">
        <f>IF('1. Live'!AT11='check-Jul''26'!AP11,"",'1. Live'!AT11-'check-Jul''26'!AP11)</f>
        <v/>
      </c>
      <c r="AQ11" s="25" t="str">
        <f>IF('1. Live'!AU11='check-Jul''26'!AQ11,"",'1. Live'!AU11-'check-Jul''26'!AQ11)</f>
        <v/>
      </c>
      <c r="AR11" s="25" t="str">
        <f>IF('1. Live'!AV11='check-Jul''26'!AR11,"",'1. Live'!AV11-'check-Jul''26'!AR11)</f>
        <v/>
      </c>
      <c r="AS11" s="25" t="str">
        <f>IF('1. Live'!AW11='check-Jul''26'!AS11,"",'1. Live'!AW11-'check-Jul''26'!AS11)</f>
        <v/>
      </c>
      <c r="AT11" s="25" t="str">
        <f>IF('1. Live'!AX11='check-Jul''26'!AT11,"",'1. Live'!AX11-'check-Jul''26'!AT11)</f>
        <v/>
      </c>
      <c r="AU11" s="25" t="str">
        <f>IF('1. Live'!AY11='check-Jul''26'!AU11,"",'1. Live'!AY11-'check-Jul''26'!AU11)</f>
        <v/>
      </c>
      <c r="AV11" s="25" t="str">
        <f>IF('1. Live'!AZ11='check-Jul''26'!AV11,"",'1. Live'!AZ11-'check-Jul''26'!AV11)</f>
        <v/>
      </c>
      <c r="AW11" s="25" t="str">
        <f>IF('1. Live'!BA11='check-Jul''26'!AW11,"",'1. Live'!BA11-'check-Jul''26'!AW11)</f>
        <v/>
      </c>
      <c r="AX11" s="25" t="str">
        <f>IF('1. Live'!BB11='check-Jul''26'!AX11,"",'1. Live'!BB11-'check-Jul''26'!AX11)</f>
        <v/>
      </c>
      <c r="AY11" s="25" t="str">
        <f>IF('1. Live'!BC11='check-Jul''26'!AY11,"",'1. Live'!BC11-'check-Jul''26'!AY11)</f>
        <v/>
      </c>
      <c r="AZ11" s="25" t="str">
        <f>IF('1. Live'!BD11='check-Jul''26'!AZ11,"",'1. Live'!BD11-'check-Jul''26'!AZ11)</f>
        <v/>
      </c>
      <c r="BA11" s="25" t="str">
        <f>IF('1. Live'!BE11='check-Jul''26'!BA11,"",'1. Live'!BE11-'check-Jul''26'!BA11)</f>
        <v/>
      </c>
      <c r="BB11" s="25" t="str">
        <f>IF('1. Live'!BF11='check-Jul''26'!BB11,"",'1. Live'!BF11-'check-Jul''26'!BB11)</f>
        <v/>
      </c>
      <c r="BC11" s="25" t="str">
        <f>IF('1. Live'!BG11='check-Jul''26'!BC11,"",'1. Live'!BG11-'check-Jul''26'!BC11)</f>
        <v/>
      </c>
      <c r="BD11" s="25" t="str">
        <f>IF('1. Live'!BH11='check-Jul''26'!BD11,"",'1. Live'!BH11-'check-Jul''26'!BD11)</f>
        <v/>
      </c>
      <c r="BE11" s="25" t="str">
        <f>IF('1. Live'!BI11='check-Jul''26'!BE11,"",'1. Live'!BI11-'check-Jul''26'!BE11)</f>
        <v/>
      </c>
      <c r="BF11" s="25" t="str">
        <f>IF('1. Live'!BJ11='check-Jul''26'!BF11,"",'1. Live'!BJ11-'check-Jul''26'!BF11)</f>
        <v/>
      </c>
      <c r="BG11" s="25" t="str">
        <f>IF('1. Live'!BK11='check-Jul''26'!BG11,"",'1. Live'!BK11-'check-Jul''26'!BG11)</f>
        <v/>
      </c>
      <c r="BH11" s="25" t="str">
        <f>IF('1. Live'!BL11='check-Jul''26'!BH11,"",'1. Live'!BL11-'check-Jul''26'!BH11)</f>
        <v/>
      </c>
      <c r="BI11" s="25" t="str">
        <f>IF('1. Live'!BM11='check-Jul''26'!BI11,"",'1. Live'!BM11-'check-Jul''26'!BI11)</f>
        <v/>
      </c>
      <c r="BJ11" s="25" t="str">
        <f>IF('1. Live'!BN11='check-Jul''26'!BJ11,"",'1. Live'!BN11-'check-Jul''26'!BJ11)</f>
        <v/>
      </c>
      <c r="BK11" s="25" t="str">
        <f>IF('1. Live'!BO11='check-Jul''26'!BK11,"",'1. Live'!BO11-'check-Jul''26'!BK11)</f>
        <v/>
      </c>
      <c r="BL11" s="25" t="str">
        <f>IF('1. Live'!BP11='check-Jul''26'!BL11,"",'1. Live'!BP11-'check-Jul''26'!BL11)</f>
        <v/>
      </c>
      <c r="BM11" s="25" t="str">
        <f>IF('1. Live'!BQ11='check-Jul''26'!BM11,"",'1. Live'!BQ11-'check-Jul''26'!BM11)</f>
        <v/>
      </c>
      <c r="BN11" s="25" t="str">
        <f>IF('1. Live'!BR11='check-Jul''26'!BN11,"",'1. Live'!BR11-'check-Jul''26'!BN11)</f>
        <v/>
      </c>
      <c r="BO11" s="25" t="str">
        <f>IF('1. Live'!BS11='check-Jul''26'!BO11,"",'1. Live'!BS11-'check-Jul''26'!BO11)</f>
        <v/>
      </c>
      <c r="BP11" s="25" t="str">
        <f>IF('1. Live'!BT11='check-Jul''26'!BP11,"",'1. Live'!BT11-'check-Jul''26'!BP11)</f>
        <v/>
      </c>
      <c r="BQ11" s="25" t="str">
        <f>IF('1. Live'!BU11='check-Jul''26'!BQ11,"",'1. Live'!BU11-'check-Jul''26'!BQ11)</f>
        <v/>
      </c>
      <c r="BR11" s="25" t="str">
        <f>IF('1. Live'!BV11='check-Jul''26'!BR11,"",'1. Live'!BV11-'check-Jul''26'!BR11)</f>
        <v/>
      </c>
      <c r="BS11" s="25" t="str">
        <f>IF('1. Live'!BW11='check-Jul''26'!BS11,"",'1. Live'!BW11-'check-Jul''26'!BS11)</f>
        <v/>
      </c>
      <c r="BT11" s="25" t="str">
        <f>IF('1. Live'!BX11='check-Jul''26'!BT11,"",'1. Live'!BX11-'check-Jul''26'!BT11)</f>
        <v/>
      </c>
      <c r="BU11" s="25" t="str">
        <f>IF('1. Live'!BY11='check-Jul''26'!BU11,"",'1. Live'!BY11-'check-Jul''26'!BU11)</f>
        <v/>
      </c>
      <c r="BV11" s="25" t="str">
        <f>IF('1. Live'!BZ11='check-Jul''26'!BV11,"",'1. Live'!BZ11-'check-Jul''26'!BV11)</f>
        <v/>
      </c>
      <c r="BW11" s="25" t="str">
        <f>IF('1. Live'!CA11='check-Jul''26'!BW11,"",'1. Live'!CA11-'check-Jul''26'!BW11)</f>
        <v/>
      </c>
      <c r="BX11" s="25" t="str">
        <f>IF('1. Live'!CB11='check-Jul''26'!BX11,"",'1. Live'!CB11-'check-Jul''26'!BX11)</f>
        <v/>
      </c>
      <c r="BY11" s="25" t="str">
        <f>IF('1. Live'!CC11='check-Jul''26'!BY11,"",'1. Live'!CC11-'check-Jul''26'!BY11)</f>
        <v/>
      </c>
      <c r="BZ11" s="25" t="str">
        <f>IF('1. Live'!CD11='check-Jul''26'!BZ11,"",'1. Live'!CD11-'check-Jul''26'!BZ11)</f>
        <v/>
      </c>
      <c r="CA11" s="25" t="str">
        <f>IF('1. Live'!CE11='check-Jul''26'!CA11,"",'1. Live'!CE11-'check-Jul''26'!CA11)</f>
        <v/>
      </c>
      <c r="CB11" s="25" t="str">
        <f>IF('1. Live'!CF11='check-Jul''26'!CB11,"",'1. Live'!CF11-'check-Jul''26'!CB11)</f>
        <v/>
      </c>
      <c r="CC11" s="25" t="str">
        <f>IF('1. Live'!CG11='check-Jul''26'!CC11,"",'1. Live'!CG11-'check-Jul''26'!CC11)</f>
        <v/>
      </c>
      <c r="CD11" s="25" t="str">
        <f>IF('1. Live'!CH11='check-Jul''26'!CD11,"",'1. Live'!CH11-'check-Jul''26'!CD11)</f>
        <v/>
      </c>
      <c r="CE11" s="25" t="str">
        <f>IF('1. Live'!CI11='check-Jul''26'!CE11,"",'1. Live'!CI11-'check-Jul''26'!CE11)</f>
        <v/>
      </c>
      <c r="CF11" s="25" t="str">
        <f>IF('1. Live'!CJ11='check-Jul''26'!CF11,"",'1. Live'!CJ11-'check-Jul''26'!CF11)</f>
        <v/>
      </c>
      <c r="CG11" s="25" t="str">
        <f>IF('1. Live'!CK11='check-Jul''26'!CG11,"",'1. Live'!CK11-'check-Jul''26'!CG11)</f>
        <v/>
      </c>
      <c r="CH11" s="25" t="str">
        <f>IF('1. Live'!CL11='check-Jul''26'!CH11,"",'1. Live'!CL11-'check-Jul''26'!CH11)</f>
        <v/>
      </c>
      <c r="CI11" s="25" t="str">
        <f>IF('1. Live'!CM11='check-Jul''26'!CI11,"",'1. Live'!CM11-'check-Jul''26'!CI11)</f>
        <v/>
      </c>
      <c r="CJ11" s="25" t="str">
        <f>IF('1. Live'!CN11='check-Jul''26'!CJ11,"",'1. Live'!CN11-'check-Jul''26'!CJ11)</f>
        <v/>
      </c>
      <c r="CK11" s="25" t="str">
        <f>IF('1. Live'!CO11='check-Jul''26'!CK11,"",'1. Live'!CO11-'check-Jul''26'!CK11)</f>
        <v/>
      </c>
      <c r="CL11" s="25" t="str">
        <f>IF('1. Live'!CP11='check-Jul''26'!CL11,"",'1. Live'!CP11-'check-Jul''26'!CL11)</f>
        <v/>
      </c>
      <c r="CM11" s="25" t="str">
        <f>IF('1. Live'!CQ11='check-Jul''26'!CM11,"",'1. Live'!CQ11-'check-Jul''26'!CM11)</f>
        <v/>
      </c>
      <c r="CN11" s="25" t="str">
        <f>IF('1. Live'!CR11='check-Jul''26'!CN11,"",'1. Live'!CR11-'check-Jul''26'!CN11)</f>
        <v/>
      </c>
      <c r="CO11" s="25" t="str">
        <f>IF('1. Live'!CS11='check-Jul''26'!CO11,"",'1. Live'!CS11-'check-Jul''26'!CO11)</f>
        <v/>
      </c>
      <c r="CP11" s="25" t="str">
        <f>IF('1. Live'!CT11='check-Jul''26'!CP11,"",'1. Live'!CT11-'check-Jul''26'!CP11)</f>
        <v/>
      </c>
      <c r="CQ11" s="25" t="str">
        <f>IF('1. Live'!CU11='check-Jul''26'!CQ11,"",'1. Live'!CU11-'check-Jul''26'!CQ11)</f>
        <v/>
      </c>
      <c r="CR11" s="25" t="str">
        <f>IF('1. Live'!CV11='check-Jul''26'!CR11,"",'1. Live'!CV11-'check-Jul''26'!CR11)</f>
        <v/>
      </c>
      <c r="CS11" s="25" t="str">
        <f>IF('1. Live'!CW11='check-Jul''26'!CS11,"",'1. Live'!CW11-'check-Jul''26'!CS11)</f>
        <v/>
      </c>
      <c r="CT11" s="25" t="str">
        <f>IF('1. Live'!CX11='check-Jul''26'!CT11,"",'1. Live'!CX11-'check-Jul''26'!CT11)</f>
        <v/>
      </c>
      <c r="CU11" s="25" t="str">
        <f>IF('1. Live'!CY11='check-Jul''26'!CU11,"",'1. Live'!CY11-'check-Jul''26'!CU11)</f>
        <v/>
      </c>
      <c r="CV11" s="25" t="str">
        <f>IF('1. Live'!CZ11='check-Jul''26'!CV11,"",'1. Live'!CZ11-'check-Jul''26'!CV11)</f>
        <v/>
      </c>
    </row>
    <row r="12" spans="2:100" x14ac:dyDescent="0.25">
      <c r="B12" s="66"/>
      <c r="C12" s="4" t="s">
        <v>201</v>
      </c>
      <c r="D12" s="2" t="s">
        <v>62</v>
      </c>
      <c r="E12" s="2" t="s">
        <v>848</v>
      </c>
      <c r="F12" s="2" t="s">
        <v>851</v>
      </c>
      <c r="G12" s="2" t="s">
        <v>857</v>
      </c>
      <c r="H12" s="6" t="s">
        <v>869</v>
      </c>
      <c r="I12" s="32" t="s">
        <v>243</v>
      </c>
      <c r="J12" s="2" t="s">
        <v>76</v>
      </c>
      <c r="K12" s="2" t="s">
        <v>8</v>
      </c>
      <c r="L12" s="6">
        <v>2022</v>
      </c>
      <c r="M12" s="6" t="s">
        <v>738</v>
      </c>
      <c r="N12" s="90" t="str">
        <f>IF('1. Live'!N12='check-Jul''26'!N12,"",'1. Live'!N12-'check-Jul''26'!N12)</f>
        <v/>
      </c>
      <c r="O12" s="17" t="str">
        <f>IF('1. Live'!O12='check-Jul''26'!O12,"",'1. Live'!O12-'check-Jul''26'!O12)</f>
        <v/>
      </c>
      <c r="P12" s="17" t="str">
        <f ca="1">IF('1. Live'!P12='check-Jul''26'!P12,"",'1. Live'!P12-'check-Jul''26'!P12)</f>
        <v/>
      </c>
      <c r="Q12" s="17" t="str">
        <f ca="1">IF('1. Live'!Q12='check-Jul''26'!Q12,"",'1. Live'!Q12-'check-Jul''26'!Q12)</f>
        <v/>
      </c>
      <c r="R12" s="17" t="str">
        <f ca="1">IF('1. Live'!R12='check-Jul''26'!R12,"",'1. Live'!R12-'check-Jul''26'!R12)</f>
        <v/>
      </c>
      <c r="S12" s="17" t="str">
        <f>IF('1. Live'!S12='check-Jul''26'!S12,"",'1. Live'!S12-'check-Jul''26'!S12)</f>
        <v/>
      </c>
      <c r="T12" s="17" t="str">
        <f ca="1">IF('1. Live'!T12='check-Jul''26'!T12,"",'1. Live'!T12-'check-Jul''26'!T12)</f>
        <v/>
      </c>
      <c r="U12" s="10" t="str">
        <f ca="1">IF('1. Live'!U12='check-Jul''26'!U12,"",'1. Live'!U12-'check-Jul''26'!U12)</f>
        <v/>
      </c>
      <c r="V12" s="2" t="str">
        <f>IF('1. Live'!V12='check-Jul''26'!V12,"",'1. Live'!V12-'check-Jul''26'!V12)</f>
        <v/>
      </c>
      <c r="W12" s="67"/>
      <c r="AA12" s="25" t="str">
        <f>IF('1. Live'!AA12='check-Jul''26'!W12,"",'1. Live'!AA12-'check-Jul''26'!W12)</f>
        <v/>
      </c>
      <c r="AB12" s="25" t="str">
        <f>IF('1. Live'!AF12='check-Jul''26'!AB12,"",'1. Live'!AF12-'check-Jul''26'!AB12)</f>
        <v/>
      </c>
      <c r="AC12" s="25" t="str">
        <f>IF('1. Live'!AG12='check-Jul''26'!AC12,"",'1. Live'!AG12-'check-Jul''26'!AC12)</f>
        <v/>
      </c>
      <c r="AD12" s="25" t="str">
        <f>IF('1. Live'!AH12='check-Jul''26'!AD12,"",'1. Live'!AH12-'check-Jul''26'!AD12)</f>
        <v/>
      </c>
      <c r="AE12" s="25" t="str">
        <f>IF('1. Live'!AI12='check-Jul''26'!AE12,"",'1. Live'!AI12-'check-Jul''26'!AE12)</f>
        <v/>
      </c>
      <c r="AF12" s="25" t="str">
        <f>IF('1. Live'!AJ12='check-Jul''26'!AF12,"",'1. Live'!AJ12-'check-Jul''26'!AF12)</f>
        <v/>
      </c>
      <c r="AG12" s="25" t="str">
        <f>IF('1. Live'!AK12='check-Jul''26'!AG12,"",'1. Live'!AK12-'check-Jul''26'!AG12)</f>
        <v/>
      </c>
      <c r="AH12" s="25" t="str">
        <f>IF('1. Live'!AL12='check-Jul''26'!AH12,"",'1. Live'!AL12-'check-Jul''26'!AH12)</f>
        <v/>
      </c>
      <c r="AI12" s="25" t="str">
        <f>IF('1. Live'!AM12='check-Jul''26'!AI12,"",'1. Live'!AM12-'check-Jul''26'!AI12)</f>
        <v/>
      </c>
      <c r="AJ12" s="25" t="str">
        <f>IF('1. Live'!AN12='check-Jul''26'!AJ12,"",'1. Live'!AN12-'check-Jul''26'!AJ12)</f>
        <v/>
      </c>
      <c r="AK12" s="25" t="str">
        <f>IF('1. Live'!AO12='check-Jul''26'!AK12,"",'1. Live'!AO12-'check-Jul''26'!AK12)</f>
        <v/>
      </c>
      <c r="AL12" s="25" t="str">
        <f>IF('1. Live'!AP12='check-Jul''26'!AL12,"",'1. Live'!AP12-'check-Jul''26'!AL12)</f>
        <v/>
      </c>
      <c r="AM12" s="25" t="str">
        <f>IF('1. Live'!AQ12='check-Jul''26'!AM12,"",'1. Live'!AQ12-'check-Jul''26'!AM12)</f>
        <v/>
      </c>
      <c r="AN12" s="25" t="str">
        <f>IF('1. Live'!AR12='check-Jul''26'!AN12,"",'1. Live'!AR12-'check-Jul''26'!AN12)</f>
        <v/>
      </c>
      <c r="AO12" s="25" t="str">
        <f>IF('1. Live'!AS12='check-Jul''26'!AO12,"",'1. Live'!AS12-'check-Jul''26'!AO12)</f>
        <v/>
      </c>
      <c r="AP12" s="25" t="str">
        <f>IF('1. Live'!AT12='check-Jul''26'!AP12,"",'1. Live'!AT12-'check-Jul''26'!AP12)</f>
        <v/>
      </c>
      <c r="AQ12" s="25" t="str">
        <f>IF('1. Live'!AU12='check-Jul''26'!AQ12,"",'1. Live'!AU12-'check-Jul''26'!AQ12)</f>
        <v/>
      </c>
      <c r="AR12" s="25" t="str">
        <f>IF('1. Live'!AV12='check-Jul''26'!AR12,"",'1. Live'!AV12-'check-Jul''26'!AR12)</f>
        <v/>
      </c>
      <c r="AS12" s="25" t="str">
        <f>IF('1. Live'!AW12='check-Jul''26'!AS12,"",'1. Live'!AW12-'check-Jul''26'!AS12)</f>
        <v/>
      </c>
      <c r="AT12" s="25" t="str">
        <f>IF('1. Live'!AX12='check-Jul''26'!AT12,"",'1. Live'!AX12-'check-Jul''26'!AT12)</f>
        <v/>
      </c>
      <c r="AU12" s="25" t="str">
        <f>IF('1. Live'!AY12='check-Jul''26'!AU12,"",'1. Live'!AY12-'check-Jul''26'!AU12)</f>
        <v/>
      </c>
      <c r="AV12" s="25" t="str">
        <f>IF('1. Live'!AZ12='check-Jul''26'!AV12,"",'1. Live'!AZ12-'check-Jul''26'!AV12)</f>
        <v/>
      </c>
      <c r="AW12" s="25" t="str">
        <f>IF('1. Live'!BA12='check-Jul''26'!AW12,"",'1. Live'!BA12-'check-Jul''26'!AW12)</f>
        <v/>
      </c>
      <c r="AX12" s="25" t="str">
        <f>IF('1. Live'!BB12='check-Jul''26'!AX12,"",'1. Live'!BB12-'check-Jul''26'!AX12)</f>
        <v/>
      </c>
      <c r="AY12" s="25" t="str">
        <f>IF('1. Live'!BC12='check-Jul''26'!AY12,"",'1. Live'!BC12-'check-Jul''26'!AY12)</f>
        <v/>
      </c>
      <c r="AZ12" s="25" t="str">
        <f>IF('1. Live'!BD12='check-Jul''26'!AZ12,"",'1. Live'!BD12-'check-Jul''26'!AZ12)</f>
        <v/>
      </c>
      <c r="BA12" s="25" t="str">
        <f>IF('1. Live'!BE12='check-Jul''26'!BA12,"",'1. Live'!BE12-'check-Jul''26'!BA12)</f>
        <v/>
      </c>
      <c r="BB12" s="25" t="str">
        <f>IF('1. Live'!BF12='check-Jul''26'!BB12,"",'1. Live'!BF12-'check-Jul''26'!BB12)</f>
        <v/>
      </c>
      <c r="BC12" s="25" t="str">
        <f>IF('1. Live'!BG12='check-Jul''26'!BC12,"",'1. Live'!BG12-'check-Jul''26'!BC12)</f>
        <v/>
      </c>
      <c r="BD12" s="25" t="str">
        <f>IF('1. Live'!BH12='check-Jul''26'!BD12,"",'1. Live'!BH12-'check-Jul''26'!BD12)</f>
        <v/>
      </c>
      <c r="BE12" s="25" t="str">
        <f>IF('1. Live'!BI12='check-Jul''26'!BE12,"",'1. Live'!BI12-'check-Jul''26'!BE12)</f>
        <v/>
      </c>
      <c r="BF12" s="25" t="str">
        <f>IF('1. Live'!BJ12='check-Jul''26'!BF12,"",'1. Live'!BJ12-'check-Jul''26'!BF12)</f>
        <v/>
      </c>
      <c r="BG12" s="25" t="str">
        <f>IF('1. Live'!BK12='check-Jul''26'!BG12,"",'1. Live'!BK12-'check-Jul''26'!BG12)</f>
        <v/>
      </c>
      <c r="BH12" s="25" t="str">
        <f>IF('1. Live'!BL12='check-Jul''26'!BH12,"",'1. Live'!BL12-'check-Jul''26'!BH12)</f>
        <v/>
      </c>
      <c r="BI12" s="25" t="str">
        <f>IF('1. Live'!BM12='check-Jul''26'!BI12,"",'1. Live'!BM12-'check-Jul''26'!BI12)</f>
        <v/>
      </c>
      <c r="BJ12" s="25" t="str">
        <f>IF('1. Live'!BN12='check-Jul''26'!BJ12,"",'1. Live'!BN12-'check-Jul''26'!BJ12)</f>
        <v/>
      </c>
      <c r="BK12" s="25" t="str">
        <f>IF('1. Live'!BO12='check-Jul''26'!BK12,"",'1. Live'!BO12-'check-Jul''26'!BK12)</f>
        <v/>
      </c>
      <c r="BL12" s="25" t="str">
        <f>IF('1. Live'!BP12='check-Jul''26'!BL12,"",'1. Live'!BP12-'check-Jul''26'!BL12)</f>
        <v/>
      </c>
      <c r="BM12" s="25" t="str">
        <f>IF('1. Live'!BQ12='check-Jul''26'!BM12,"",'1. Live'!BQ12-'check-Jul''26'!BM12)</f>
        <v/>
      </c>
      <c r="BN12" s="25" t="str">
        <f>IF('1. Live'!BR12='check-Jul''26'!BN12,"",'1. Live'!BR12-'check-Jul''26'!BN12)</f>
        <v/>
      </c>
      <c r="BO12" s="25" t="str">
        <f>IF('1. Live'!BS12='check-Jul''26'!BO12,"",'1. Live'!BS12-'check-Jul''26'!BO12)</f>
        <v/>
      </c>
      <c r="BP12" s="25" t="str">
        <f>IF('1. Live'!BT12='check-Jul''26'!BP12,"",'1. Live'!BT12-'check-Jul''26'!BP12)</f>
        <v/>
      </c>
      <c r="BQ12" s="25" t="str">
        <f>IF('1. Live'!BU12='check-Jul''26'!BQ12,"",'1. Live'!BU12-'check-Jul''26'!BQ12)</f>
        <v/>
      </c>
      <c r="BR12" s="25" t="str">
        <f>IF('1. Live'!BV12='check-Jul''26'!BR12,"",'1. Live'!BV12-'check-Jul''26'!BR12)</f>
        <v/>
      </c>
      <c r="BS12" s="25" t="str">
        <f>IF('1. Live'!BW12='check-Jul''26'!BS12,"",'1. Live'!BW12-'check-Jul''26'!BS12)</f>
        <v/>
      </c>
      <c r="BT12" s="25" t="str">
        <f>IF('1. Live'!BX12='check-Jul''26'!BT12,"",'1. Live'!BX12-'check-Jul''26'!BT12)</f>
        <v/>
      </c>
      <c r="BU12" s="25" t="str">
        <f>IF('1. Live'!BY12='check-Jul''26'!BU12,"",'1. Live'!BY12-'check-Jul''26'!BU12)</f>
        <v/>
      </c>
      <c r="BV12" s="25" t="str">
        <f>IF('1. Live'!BZ12='check-Jul''26'!BV12,"",'1. Live'!BZ12-'check-Jul''26'!BV12)</f>
        <v/>
      </c>
      <c r="BW12" s="25" t="str">
        <f>IF('1. Live'!CA12='check-Jul''26'!BW12,"",'1. Live'!CA12-'check-Jul''26'!BW12)</f>
        <v/>
      </c>
      <c r="BX12" s="25" t="str">
        <f>IF('1. Live'!CB12='check-Jul''26'!BX12,"",'1. Live'!CB12-'check-Jul''26'!BX12)</f>
        <v/>
      </c>
      <c r="BY12" s="25" t="str">
        <f>IF('1. Live'!CC12='check-Jul''26'!BY12,"",'1. Live'!CC12-'check-Jul''26'!BY12)</f>
        <v/>
      </c>
      <c r="BZ12" s="25" t="str">
        <f>IF('1. Live'!CD12='check-Jul''26'!BZ12,"",'1. Live'!CD12-'check-Jul''26'!BZ12)</f>
        <v/>
      </c>
      <c r="CA12" s="25" t="str">
        <f>IF('1. Live'!CE12='check-Jul''26'!CA12,"",'1. Live'!CE12-'check-Jul''26'!CA12)</f>
        <v/>
      </c>
      <c r="CB12" s="25" t="str">
        <f>IF('1. Live'!CF12='check-Jul''26'!CB12,"",'1. Live'!CF12-'check-Jul''26'!CB12)</f>
        <v/>
      </c>
      <c r="CC12" s="25" t="str">
        <f>IF('1. Live'!CG12='check-Jul''26'!CC12,"",'1. Live'!CG12-'check-Jul''26'!CC12)</f>
        <v/>
      </c>
      <c r="CD12" s="25" t="str">
        <f>IF('1. Live'!CH12='check-Jul''26'!CD12,"",'1. Live'!CH12-'check-Jul''26'!CD12)</f>
        <v/>
      </c>
      <c r="CE12" s="25" t="str">
        <f>IF('1. Live'!CI12='check-Jul''26'!CE12,"",'1. Live'!CI12-'check-Jul''26'!CE12)</f>
        <v/>
      </c>
      <c r="CF12" s="25" t="str">
        <f>IF('1. Live'!CJ12='check-Jul''26'!CF12,"",'1. Live'!CJ12-'check-Jul''26'!CF12)</f>
        <v/>
      </c>
      <c r="CG12" s="25" t="str">
        <f>IF('1. Live'!CK12='check-Jul''26'!CG12,"",'1. Live'!CK12-'check-Jul''26'!CG12)</f>
        <v/>
      </c>
      <c r="CH12" s="25" t="str">
        <f>IF('1. Live'!CL12='check-Jul''26'!CH12,"",'1. Live'!CL12-'check-Jul''26'!CH12)</f>
        <v/>
      </c>
      <c r="CI12" s="25" t="str">
        <f>IF('1. Live'!CM12='check-Jul''26'!CI12,"",'1. Live'!CM12-'check-Jul''26'!CI12)</f>
        <v/>
      </c>
      <c r="CJ12" s="25" t="str">
        <f>IF('1. Live'!CN12='check-Jul''26'!CJ12,"",'1. Live'!CN12-'check-Jul''26'!CJ12)</f>
        <v/>
      </c>
      <c r="CK12" s="25" t="str">
        <f>IF('1. Live'!CO12='check-Jul''26'!CK12,"",'1. Live'!CO12-'check-Jul''26'!CK12)</f>
        <v/>
      </c>
      <c r="CL12" s="25" t="str">
        <f>IF('1. Live'!CP12='check-Jul''26'!CL12,"",'1. Live'!CP12-'check-Jul''26'!CL12)</f>
        <v/>
      </c>
      <c r="CM12" s="25" t="str">
        <f>IF('1. Live'!CQ12='check-Jul''26'!CM12,"",'1. Live'!CQ12-'check-Jul''26'!CM12)</f>
        <v/>
      </c>
      <c r="CN12" s="25" t="str">
        <f>IF('1. Live'!CR12='check-Jul''26'!CN12,"",'1. Live'!CR12-'check-Jul''26'!CN12)</f>
        <v/>
      </c>
      <c r="CO12" s="25" t="str">
        <f>IF('1. Live'!CS12='check-Jul''26'!CO12,"",'1. Live'!CS12-'check-Jul''26'!CO12)</f>
        <v/>
      </c>
      <c r="CP12" s="25" t="str">
        <f>IF('1. Live'!CT12='check-Jul''26'!CP12,"",'1. Live'!CT12-'check-Jul''26'!CP12)</f>
        <v/>
      </c>
      <c r="CQ12" s="25" t="str">
        <f>IF('1. Live'!CU12='check-Jul''26'!CQ12,"",'1. Live'!CU12-'check-Jul''26'!CQ12)</f>
        <v/>
      </c>
      <c r="CR12" s="25" t="str">
        <f>IF('1. Live'!CV12='check-Jul''26'!CR12,"",'1. Live'!CV12-'check-Jul''26'!CR12)</f>
        <v/>
      </c>
      <c r="CS12" s="25" t="str">
        <f>IF('1. Live'!CW12='check-Jul''26'!CS12,"",'1. Live'!CW12-'check-Jul''26'!CS12)</f>
        <v/>
      </c>
      <c r="CT12" s="25" t="str">
        <f>IF('1. Live'!CX12='check-Jul''26'!CT12,"",'1. Live'!CX12-'check-Jul''26'!CT12)</f>
        <v/>
      </c>
      <c r="CU12" s="25" t="str">
        <f>IF('1. Live'!CY12='check-Jul''26'!CU12,"",'1. Live'!CY12-'check-Jul''26'!CU12)</f>
        <v/>
      </c>
      <c r="CV12" s="25" t="str">
        <f>IF('1. Live'!CZ12='check-Jul''26'!CV12,"",'1. Live'!CZ12-'check-Jul''26'!CV12)</f>
        <v/>
      </c>
    </row>
    <row r="13" spans="2:100" x14ac:dyDescent="0.25">
      <c r="B13" s="66"/>
      <c r="C13" s="4" t="s">
        <v>787</v>
      </c>
      <c r="D13" s="2" t="s">
        <v>62</v>
      </c>
      <c r="E13" s="2" t="s">
        <v>847</v>
      </c>
      <c r="F13" s="2" t="s">
        <v>165</v>
      </c>
      <c r="G13" s="2" t="s">
        <v>855</v>
      </c>
      <c r="H13" s="6" t="s">
        <v>171</v>
      </c>
      <c r="I13" s="32" t="s">
        <v>243</v>
      </c>
      <c r="J13" s="2" t="s">
        <v>76</v>
      </c>
      <c r="K13" s="2" t="s">
        <v>8</v>
      </c>
      <c r="L13" s="6">
        <v>2021</v>
      </c>
      <c r="M13" s="6" t="s">
        <v>67</v>
      </c>
      <c r="N13" s="542" t="str">
        <f>IF('1. Live'!N13='check-Jul''26'!N13,"",'1. Live'!N13-'check-Jul''26'!N13)</f>
        <v/>
      </c>
      <c r="O13" s="17" t="str">
        <f ca="1">IF('1. Live'!O13='check-Jul''26'!O13,"",'1. Live'!O13-'check-Jul''26'!O13)</f>
        <v/>
      </c>
      <c r="P13" s="17" t="str">
        <f ca="1">IF('1. Live'!P13='check-Jul''26'!P13,"",'1. Live'!P13-'check-Jul''26'!P13)</f>
        <v/>
      </c>
      <c r="Q13" s="17" t="str">
        <f>IF('1. Live'!Q13='check-Jul''26'!Q13,"",'1. Live'!Q13-'check-Jul''26'!Q13)</f>
        <v/>
      </c>
      <c r="R13" s="17" t="str">
        <f ca="1">IF('1. Live'!R13='check-Jul''26'!R13,"",'1. Live'!R13-'check-Jul''26'!R13)</f>
        <v/>
      </c>
      <c r="S13" s="17">
        <f>IF('1. Live'!S13='check-Jul''26'!S13,"",'1. Live'!S13-'check-Jul''26'!S13)</f>
        <v>-20.861558169999967</v>
      </c>
      <c r="T13" s="17">
        <f ca="1">IF('1. Live'!T13='check-Jul''26'!T13,"",'1. Live'!T13-'check-Jul''26'!T13)</f>
        <v>-20.861558169999967</v>
      </c>
      <c r="U13" s="10">
        <f ca="1">IF('1. Live'!U13='check-Jul''26'!U13,"",'1. Live'!U13-'check-Jul''26'!U13)</f>
        <v>-0.52153917121029458</v>
      </c>
      <c r="V13" s="2" t="str">
        <f>IF('1. Live'!V13='check-Jul''26'!V13,"",'1. Live'!V13-'check-Jul''26'!V13)</f>
        <v/>
      </c>
      <c r="W13" s="67"/>
      <c r="AA13" s="25" t="str">
        <f>IF('1. Live'!AA13='check-Jul''26'!W13,"",'1. Live'!AA13-'check-Jul''26'!W13)</f>
        <v/>
      </c>
      <c r="AB13" s="25" t="str">
        <f>IF('1. Live'!AF13='check-Jul''26'!AB13,"",'1. Live'!AF13-'check-Jul''26'!AB13)</f>
        <v/>
      </c>
      <c r="AC13" s="25" t="str">
        <f>IF('1. Live'!AG13='check-Jul''26'!AC13,"",'1. Live'!AG13-'check-Jul''26'!AC13)</f>
        <v/>
      </c>
      <c r="AD13" s="25" t="str">
        <f>IF('1. Live'!AH13='check-Jul''26'!AD13,"",'1. Live'!AH13-'check-Jul''26'!AD13)</f>
        <v/>
      </c>
      <c r="AE13" s="25" t="str">
        <f>IF('1. Live'!AI13='check-Jul''26'!AE13,"",'1. Live'!AI13-'check-Jul''26'!AE13)</f>
        <v/>
      </c>
      <c r="AF13" s="25" t="str">
        <f>IF('1. Live'!AJ13='check-Jul''26'!AF13,"",'1. Live'!AJ13-'check-Jul''26'!AF13)</f>
        <v/>
      </c>
      <c r="AG13" s="25" t="str">
        <f>IF('1. Live'!AK13='check-Jul''26'!AG13,"",'1. Live'!AK13-'check-Jul''26'!AG13)</f>
        <v/>
      </c>
      <c r="AH13" s="25" t="str">
        <f>IF('1. Live'!AL13='check-Jul''26'!AH13,"",'1. Live'!AL13-'check-Jul''26'!AH13)</f>
        <v/>
      </c>
      <c r="AI13" s="25" t="str">
        <f>IF('1. Live'!AM13='check-Jul''26'!AI13,"",'1. Live'!AM13-'check-Jul''26'!AI13)</f>
        <v/>
      </c>
      <c r="AJ13" s="25" t="str">
        <f>IF('1. Live'!AN13='check-Jul''26'!AJ13,"",'1. Live'!AN13-'check-Jul''26'!AJ13)</f>
        <v/>
      </c>
      <c r="AK13" s="25" t="str">
        <f>IF('1. Live'!AO13='check-Jul''26'!AK13,"",'1. Live'!AO13-'check-Jul''26'!AK13)</f>
        <v/>
      </c>
      <c r="AL13" s="25" t="str">
        <f>IF('1. Live'!AP13='check-Jul''26'!AL13,"",'1. Live'!AP13-'check-Jul''26'!AL13)</f>
        <v/>
      </c>
      <c r="AM13" s="25" t="str">
        <f>IF('1. Live'!AQ13='check-Jul''26'!AM13,"",'1. Live'!AQ13-'check-Jul''26'!AM13)</f>
        <v/>
      </c>
      <c r="AN13" s="25" t="str">
        <f>IF('1. Live'!AR13='check-Jul''26'!AN13,"",'1. Live'!AR13-'check-Jul''26'!AN13)</f>
        <v/>
      </c>
      <c r="AO13" s="25" t="str">
        <f>IF('1. Live'!AS13='check-Jul''26'!AO13,"",'1. Live'!AS13-'check-Jul''26'!AO13)</f>
        <v/>
      </c>
      <c r="AP13" s="25" t="str">
        <f>IF('1. Live'!AT13='check-Jul''26'!AP13,"",'1. Live'!AT13-'check-Jul''26'!AP13)</f>
        <v/>
      </c>
      <c r="AQ13" s="25" t="str">
        <f>IF('1. Live'!AU13='check-Jul''26'!AQ13,"",'1. Live'!AU13-'check-Jul''26'!AQ13)</f>
        <v/>
      </c>
      <c r="AR13" s="25" t="str">
        <f>IF('1. Live'!AV13='check-Jul''26'!AR13,"",'1. Live'!AV13-'check-Jul''26'!AR13)</f>
        <v/>
      </c>
      <c r="AS13" s="25" t="str">
        <f>IF('1. Live'!AW13='check-Jul''26'!AS13,"",'1. Live'!AW13-'check-Jul''26'!AS13)</f>
        <v/>
      </c>
      <c r="AT13" s="25" t="str">
        <f>IF('1. Live'!AX13='check-Jul''26'!AT13,"",'1. Live'!AX13-'check-Jul''26'!AT13)</f>
        <v/>
      </c>
      <c r="AU13" s="25" t="str">
        <f>IF('1. Live'!AY13='check-Jul''26'!AU13,"",'1. Live'!AY13-'check-Jul''26'!AU13)</f>
        <v/>
      </c>
      <c r="AV13" s="25" t="str">
        <f>IF('1. Live'!AZ13='check-Jul''26'!AV13,"",'1. Live'!AZ13-'check-Jul''26'!AV13)</f>
        <v/>
      </c>
      <c r="AW13" s="25" t="str">
        <f>IF('1. Live'!BA13='check-Jul''26'!AW13,"",'1. Live'!BA13-'check-Jul''26'!AW13)</f>
        <v/>
      </c>
      <c r="AX13" s="25" t="str">
        <f>IF('1. Live'!BB13='check-Jul''26'!AX13,"",'1. Live'!BB13-'check-Jul''26'!AX13)</f>
        <v/>
      </c>
      <c r="AY13" s="25" t="str">
        <f>IF('1. Live'!BC13='check-Jul''26'!AY13,"",'1. Live'!BC13-'check-Jul''26'!AY13)</f>
        <v/>
      </c>
      <c r="AZ13" s="25" t="str">
        <f>IF('1. Live'!BD13='check-Jul''26'!AZ13,"",'1. Live'!BD13-'check-Jul''26'!AZ13)</f>
        <v/>
      </c>
      <c r="BA13" s="25" t="str">
        <f>IF('1. Live'!BE13='check-Jul''26'!BA13,"",'1. Live'!BE13-'check-Jul''26'!BA13)</f>
        <v/>
      </c>
      <c r="BB13" s="25" t="str">
        <f>IF('1. Live'!BF13='check-Jul''26'!BB13,"",'1. Live'!BF13-'check-Jul''26'!BB13)</f>
        <v/>
      </c>
      <c r="BC13" s="25" t="str">
        <f>IF('1. Live'!BG13='check-Jul''26'!BC13,"",'1. Live'!BG13-'check-Jul''26'!BC13)</f>
        <v/>
      </c>
      <c r="BD13" s="25" t="str">
        <f>IF('1. Live'!BH13='check-Jul''26'!BD13,"",'1. Live'!BH13-'check-Jul''26'!BD13)</f>
        <v/>
      </c>
      <c r="BE13" s="25" t="str">
        <f>IF('1. Live'!BI13='check-Jul''26'!BE13,"",'1. Live'!BI13-'check-Jul''26'!BE13)</f>
        <v/>
      </c>
      <c r="BF13" s="25" t="str">
        <f>IF('1. Live'!BJ13='check-Jul''26'!BF13,"",'1. Live'!BJ13-'check-Jul''26'!BF13)</f>
        <v/>
      </c>
      <c r="BG13" s="25" t="str">
        <f>IF('1. Live'!BK13='check-Jul''26'!BG13,"",'1. Live'!BK13-'check-Jul''26'!BG13)</f>
        <v/>
      </c>
      <c r="BH13" s="25" t="str">
        <f>IF('1. Live'!BL13='check-Jul''26'!BH13,"",'1. Live'!BL13-'check-Jul''26'!BH13)</f>
        <v/>
      </c>
      <c r="BI13" s="25" t="str">
        <f>IF('1. Live'!BM13='check-Jul''26'!BI13,"",'1. Live'!BM13-'check-Jul''26'!BI13)</f>
        <v/>
      </c>
      <c r="BJ13" s="25" t="str">
        <f>IF('1. Live'!BN13='check-Jul''26'!BJ13,"",'1. Live'!BN13-'check-Jul''26'!BJ13)</f>
        <v/>
      </c>
      <c r="BK13" s="25" t="str">
        <f>IF('1. Live'!BO13='check-Jul''26'!BK13,"",'1. Live'!BO13-'check-Jul''26'!BK13)</f>
        <v/>
      </c>
      <c r="BL13" s="25" t="str">
        <f>IF('1. Live'!BP13='check-Jul''26'!BL13,"",'1. Live'!BP13-'check-Jul''26'!BL13)</f>
        <v/>
      </c>
      <c r="BM13" s="25" t="str">
        <f>IF('1. Live'!BQ13='check-Jul''26'!BM13,"",'1. Live'!BQ13-'check-Jul''26'!BM13)</f>
        <v/>
      </c>
      <c r="BN13" s="25" t="str">
        <f>IF('1. Live'!BR13='check-Jul''26'!BN13,"",'1. Live'!BR13-'check-Jul''26'!BN13)</f>
        <v/>
      </c>
      <c r="BO13" s="25" t="str">
        <f>IF('1. Live'!BS13='check-Jul''26'!BO13,"",'1. Live'!BS13-'check-Jul''26'!BO13)</f>
        <v/>
      </c>
      <c r="BP13" s="25" t="str">
        <f>IF('1. Live'!BT13='check-Jul''26'!BP13,"",'1. Live'!BT13-'check-Jul''26'!BP13)</f>
        <v/>
      </c>
      <c r="BQ13" s="25" t="str">
        <f>IF('1. Live'!BU13='check-Jul''26'!BQ13,"",'1. Live'!BU13-'check-Jul''26'!BQ13)</f>
        <v/>
      </c>
      <c r="BR13" s="25" t="str">
        <f>IF('1. Live'!BV13='check-Jul''26'!BR13,"",'1. Live'!BV13-'check-Jul''26'!BR13)</f>
        <v/>
      </c>
      <c r="BS13" s="25" t="str">
        <f>IF('1. Live'!BW13='check-Jul''26'!BS13,"",'1. Live'!BW13-'check-Jul''26'!BS13)</f>
        <v/>
      </c>
      <c r="BT13" s="25" t="str">
        <f>IF('1. Live'!BX13='check-Jul''26'!BT13,"",'1. Live'!BX13-'check-Jul''26'!BT13)</f>
        <v/>
      </c>
      <c r="BU13" s="25" t="str">
        <f>IF('1. Live'!BY13='check-Jul''26'!BU13,"",'1. Live'!BY13-'check-Jul''26'!BU13)</f>
        <v/>
      </c>
      <c r="BV13" s="25" t="str">
        <f>IF('1. Live'!BZ13='check-Jul''26'!BV13,"",'1. Live'!BZ13-'check-Jul''26'!BV13)</f>
        <v/>
      </c>
      <c r="BW13" s="25" t="str">
        <f>IF('1. Live'!CA13='check-Jul''26'!BW13,"",'1. Live'!CA13-'check-Jul''26'!BW13)</f>
        <v/>
      </c>
      <c r="BX13" s="25" t="str">
        <f>IF('1. Live'!CB13='check-Jul''26'!BX13,"",'1. Live'!CB13-'check-Jul''26'!BX13)</f>
        <v/>
      </c>
      <c r="BY13" s="25" t="str">
        <f>IF('1. Live'!CC13='check-Jul''26'!BY13,"",'1. Live'!CC13-'check-Jul''26'!BY13)</f>
        <v/>
      </c>
      <c r="BZ13" s="25" t="str">
        <f>IF('1. Live'!CD13='check-Jul''26'!BZ13,"",'1. Live'!CD13-'check-Jul''26'!BZ13)</f>
        <v/>
      </c>
      <c r="CA13" s="25" t="str">
        <f>IF('1. Live'!CE13='check-Jul''26'!CA13,"",'1. Live'!CE13-'check-Jul''26'!CA13)</f>
        <v/>
      </c>
      <c r="CB13" s="25" t="str">
        <f>IF('1. Live'!CF13='check-Jul''26'!CB13,"",'1. Live'!CF13-'check-Jul''26'!CB13)</f>
        <v/>
      </c>
      <c r="CC13" s="25" t="str">
        <f>IF('1. Live'!CG13='check-Jul''26'!CC13,"",'1. Live'!CG13-'check-Jul''26'!CC13)</f>
        <v/>
      </c>
      <c r="CD13" s="25" t="str">
        <f>IF('1. Live'!CH13='check-Jul''26'!CD13,"",'1. Live'!CH13-'check-Jul''26'!CD13)</f>
        <v/>
      </c>
      <c r="CE13" s="25" t="str">
        <f>IF('1. Live'!CI13='check-Jul''26'!CE13,"",'1. Live'!CI13-'check-Jul''26'!CE13)</f>
        <v/>
      </c>
      <c r="CF13" s="25" t="str">
        <f>IF('1. Live'!CJ13='check-Jul''26'!CF13,"",'1. Live'!CJ13-'check-Jul''26'!CF13)</f>
        <v/>
      </c>
      <c r="CG13" s="25" t="str">
        <f>IF('1. Live'!CK13='check-Jul''26'!CG13,"",'1. Live'!CK13-'check-Jul''26'!CG13)</f>
        <v/>
      </c>
      <c r="CH13" s="25" t="str">
        <f>IF('1. Live'!CL13='check-Jul''26'!CH13,"",'1. Live'!CL13-'check-Jul''26'!CH13)</f>
        <v/>
      </c>
      <c r="CI13" s="25" t="str">
        <f>IF('1. Live'!CM13='check-Jul''26'!CI13,"",'1. Live'!CM13-'check-Jul''26'!CI13)</f>
        <v/>
      </c>
      <c r="CJ13" s="25" t="str">
        <f>IF('1. Live'!CN13='check-Jul''26'!CJ13,"",'1. Live'!CN13-'check-Jul''26'!CJ13)</f>
        <v/>
      </c>
      <c r="CK13" s="25" t="str">
        <f>IF('1. Live'!CO13='check-Jul''26'!CK13,"",'1. Live'!CO13-'check-Jul''26'!CK13)</f>
        <v/>
      </c>
      <c r="CL13" s="25" t="str">
        <f>IF('1. Live'!CP13='check-Jul''26'!CL13,"",'1. Live'!CP13-'check-Jul''26'!CL13)</f>
        <v/>
      </c>
      <c r="CM13" s="25" t="str">
        <f>IF('1. Live'!CQ13='check-Jul''26'!CM13,"",'1. Live'!CQ13-'check-Jul''26'!CM13)</f>
        <v/>
      </c>
      <c r="CN13" s="25" t="str">
        <f>IF('1. Live'!CR13='check-Jul''26'!CN13,"",'1. Live'!CR13-'check-Jul''26'!CN13)</f>
        <v/>
      </c>
      <c r="CO13" s="25" t="str">
        <f>IF('1. Live'!CS13='check-Jul''26'!CO13,"",'1. Live'!CS13-'check-Jul''26'!CO13)</f>
        <v/>
      </c>
      <c r="CP13" s="25" t="str">
        <f>IF('1. Live'!CT13='check-Jul''26'!CP13,"",'1. Live'!CT13-'check-Jul''26'!CP13)</f>
        <v/>
      </c>
      <c r="CQ13" s="25" t="str">
        <f>IF('1. Live'!CU13='check-Jul''26'!CQ13,"",'1. Live'!CU13-'check-Jul''26'!CQ13)</f>
        <v/>
      </c>
      <c r="CR13" s="25" t="str">
        <f>IF('1. Live'!CV13='check-Jul''26'!CR13,"",'1. Live'!CV13-'check-Jul''26'!CR13)</f>
        <v/>
      </c>
      <c r="CS13" s="25" t="str">
        <f>IF('1. Live'!CW13='check-Jul''26'!CS13,"",'1. Live'!CW13-'check-Jul''26'!CS13)</f>
        <v/>
      </c>
      <c r="CT13" s="25" t="str">
        <f>IF('1. Live'!CX13='check-Jul''26'!CT13,"",'1. Live'!CX13-'check-Jul''26'!CT13)</f>
        <v/>
      </c>
      <c r="CU13" s="25" t="str">
        <f>IF('1. Live'!CY13='check-Jul''26'!CU13,"",'1. Live'!CY13-'check-Jul''26'!CU13)</f>
        <v/>
      </c>
      <c r="CV13" s="25" t="str">
        <f>IF('1. Live'!CZ13='check-Jul''26'!CV13,"",'1. Live'!CZ13-'check-Jul''26'!CV13)</f>
        <v/>
      </c>
    </row>
    <row r="14" spans="2:100" x14ac:dyDescent="0.25">
      <c r="B14" s="66"/>
      <c r="C14" s="4" t="s">
        <v>41</v>
      </c>
      <c r="D14" s="2" t="s">
        <v>60</v>
      </c>
      <c r="E14" s="2" t="s">
        <v>847</v>
      </c>
      <c r="F14" s="2" t="s">
        <v>165</v>
      </c>
      <c r="G14" s="2" t="s">
        <v>864</v>
      </c>
      <c r="H14" s="6" t="s">
        <v>72</v>
      </c>
      <c r="I14" s="32" t="s">
        <v>243</v>
      </c>
      <c r="J14" s="2" t="s">
        <v>76</v>
      </c>
      <c r="K14" s="2" t="s">
        <v>8</v>
      </c>
      <c r="L14" s="6">
        <v>2021</v>
      </c>
      <c r="M14" s="6" t="s">
        <v>72</v>
      </c>
      <c r="N14" s="90" t="str">
        <f>IF('1. Live'!N14='check-Jul''26'!N14,"",'1. Live'!N14-'check-Jul''26'!N14)</f>
        <v/>
      </c>
      <c r="O14" s="17" t="str">
        <f ca="1">IF('1. Live'!O14='check-Jul''26'!O14,"",'1. Live'!O14-'check-Jul''26'!O14)</f>
        <v/>
      </c>
      <c r="P14" s="17" t="str">
        <f ca="1">IF('1. Live'!P14='check-Jul''26'!P14,"",'1. Live'!P14-'check-Jul''26'!P14)</f>
        <v/>
      </c>
      <c r="Q14" s="17" t="str">
        <f>IF('1. Live'!Q14='check-Jul''26'!Q14,"",'1. Live'!Q14-'check-Jul''26'!Q14)</f>
        <v/>
      </c>
      <c r="R14" s="17" t="str">
        <f ca="1">IF('1. Live'!R14='check-Jul''26'!R14,"",'1. Live'!R14-'check-Jul''26'!R14)</f>
        <v/>
      </c>
      <c r="S14" s="17" t="str">
        <f>IF('1. Live'!S14='check-Jul''26'!S14,"",'1. Live'!S14-'check-Jul''26'!S14)</f>
        <v/>
      </c>
      <c r="T14" s="17" t="str">
        <f ca="1">IF('1. Live'!T14='check-Jul''26'!T14,"",'1. Live'!T14-'check-Jul''26'!T14)</f>
        <v/>
      </c>
      <c r="U14" s="10" t="str">
        <f ca="1">IF('1. Live'!U14='check-Jul''26'!U14,"",'1. Live'!U14-'check-Jul''26'!U14)</f>
        <v/>
      </c>
      <c r="V14" s="2" t="str">
        <f>IF('1. Live'!V14='check-Jul''26'!V14,"",'1. Live'!V14-'check-Jul''26'!V14)</f>
        <v/>
      </c>
      <c r="W14" s="67"/>
      <c r="AA14" s="25" t="str">
        <f>IF('1. Live'!AA14='check-Jul''26'!W14,"",'1. Live'!AA14-'check-Jul''26'!W14)</f>
        <v/>
      </c>
      <c r="AB14" s="25" t="str">
        <f>IF('1. Live'!AF14='check-Jul''26'!AB14,"",'1. Live'!AF14-'check-Jul''26'!AB14)</f>
        <v/>
      </c>
      <c r="AC14" s="25" t="str">
        <f>IF('1. Live'!AG14='check-Jul''26'!AC14,"",'1. Live'!AG14-'check-Jul''26'!AC14)</f>
        <v/>
      </c>
      <c r="AD14" s="25" t="str">
        <f>IF('1. Live'!AH14='check-Jul''26'!AD14,"",'1. Live'!AH14-'check-Jul''26'!AD14)</f>
        <v/>
      </c>
      <c r="AE14" s="25" t="str">
        <f>IF('1. Live'!AI14='check-Jul''26'!AE14,"",'1. Live'!AI14-'check-Jul''26'!AE14)</f>
        <v/>
      </c>
      <c r="AF14" s="25" t="str">
        <f>IF('1. Live'!AJ14='check-Jul''26'!AF14,"",'1. Live'!AJ14-'check-Jul''26'!AF14)</f>
        <v/>
      </c>
      <c r="AG14" s="25" t="str">
        <f>IF('1. Live'!AK14='check-Jul''26'!AG14,"",'1. Live'!AK14-'check-Jul''26'!AG14)</f>
        <v/>
      </c>
      <c r="AH14" s="25" t="str">
        <f>IF('1. Live'!AL14='check-Jul''26'!AH14,"",'1. Live'!AL14-'check-Jul''26'!AH14)</f>
        <v/>
      </c>
      <c r="AI14" s="25" t="str">
        <f>IF('1. Live'!AM14='check-Jul''26'!AI14,"",'1. Live'!AM14-'check-Jul''26'!AI14)</f>
        <v/>
      </c>
      <c r="AJ14" s="25" t="str">
        <f>IF('1. Live'!AN14='check-Jul''26'!AJ14,"",'1. Live'!AN14-'check-Jul''26'!AJ14)</f>
        <v/>
      </c>
      <c r="AK14" s="25" t="str">
        <f>IF('1. Live'!AO14='check-Jul''26'!AK14,"",'1. Live'!AO14-'check-Jul''26'!AK14)</f>
        <v/>
      </c>
      <c r="AL14" s="25" t="str">
        <f>IF('1. Live'!AP14='check-Jul''26'!AL14,"",'1. Live'!AP14-'check-Jul''26'!AL14)</f>
        <v/>
      </c>
      <c r="AM14" s="25" t="str">
        <f>IF('1. Live'!AQ14='check-Jul''26'!AM14,"",'1. Live'!AQ14-'check-Jul''26'!AM14)</f>
        <v/>
      </c>
      <c r="AN14" s="25" t="str">
        <f>IF('1. Live'!AR14='check-Jul''26'!AN14,"",'1. Live'!AR14-'check-Jul''26'!AN14)</f>
        <v/>
      </c>
      <c r="AO14" s="25" t="str">
        <f>IF('1. Live'!AS14='check-Jul''26'!AO14,"",'1. Live'!AS14-'check-Jul''26'!AO14)</f>
        <v/>
      </c>
      <c r="AP14" s="25" t="str">
        <f>IF('1. Live'!AT14='check-Jul''26'!AP14,"",'1. Live'!AT14-'check-Jul''26'!AP14)</f>
        <v/>
      </c>
      <c r="AQ14" s="25" t="str">
        <f>IF('1. Live'!AU14='check-Jul''26'!AQ14,"",'1. Live'!AU14-'check-Jul''26'!AQ14)</f>
        <v/>
      </c>
      <c r="AR14" s="25" t="str">
        <f>IF('1. Live'!AV14='check-Jul''26'!AR14,"",'1. Live'!AV14-'check-Jul''26'!AR14)</f>
        <v/>
      </c>
      <c r="AS14" s="25" t="str">
        <f>IF('1. Live'!AW14='check-Jul''26'!AS14,"",'1. Live'!AW14-'check-Jul''26'!AS14)</f>
        <v/>
      </c>
      <c r="AT14" s="25" t="str">
        <f>IF('1. Live'!AX14='check-Jul''26'!AT14,"",'1. Live'!AX14-'check-Jul''26'!AT14)</f>
        <v/>
      </c>
      <c r="AU14" s="25" t="str">
        <f>IF('1. Live'!AY14='check-Jul''26'!AU14,"",'1. Live'!AY14-'check-Jul''26'!AU14)</f>
        <v/>
      </c>
      <c r="AV14" s="25" t="str">
        <f>IF('1. Live'!AZ14='check-Jul''26'!AV14,"",'1. Live'!AZ14-'check-Jul''26'!AV14)</f>
        <v/>
      </c>
      <c r="AW14" s="25" t="str">
        <f>IF('1. Live'!BA14='check-Jul''26'!AW14,"",'1. Live'!BA14-'check-Jul''26'!AW14)</f>
        <v/>
      </c>
      <c r="AX14" s="25" t="str">
        <f>IF('1. Live'!BB14='check-Jul''26'!AX14,"",'1. Live'!BB14-'check-Jul''26'!AX14)</f>
        <v/>
      </c>
      <c r="AY14" s="25" t="str">
        <f>IF('1. Live'!BC14='check-Jul''26'!AY14,"",'1. Live'!BC14-'check-Jul''26'!AY14)</f>
        <v/>
      </c>
      <c r="AZ14" s="25" t="str">
        <f>IF('1. Live'!BD14='check-Jul''26'!AZ14,"",'1. Live'!BD14-'check-Jul''26'!AZ14)</f>
        <v/>
      </c>
      <c r="BA14" s="25" t="str">
        <f>IF('1. Live'!BE14='check-Jul''26'!BA14,"",'1. Live'!BE14-'check-Jul''26'!BA14)</f>
        <v/>
      </c>
      <c r="BB14" s="25" t="str">
        <f>IF('1. Live'!BF14='check-Jul''26'!BB14,"",'1. Live'!BF14-'check-Jul''26'!BB14)</f>
        <v/>
      </c>
      <c r="BC14" s="25" t="str">
        <f>IF('1. Live'!BG14='check-Jul''26'!BC14,"",'1. Live'!BG14-'check-Jul''26'!BC14)</f>
        <v/>
      </c>
      <c r="BD14" s="25" t="str">
        <f>IF('1. Live'!BH14='check-Jul''26'!BD14,"",'1. Live'!BH14-'check-Jul''26'!BD14)</f>
        <v/>
      </c>
      <c r="BE14" s="25" t="str">
        <f>IF('1. Live'!BI14='check-Jul''26'!BE14,"",'1. Live'!BI14-'check-Jul''26'!BE14)</f>
        <v/>
      </c>
      <c r="BF14" s="25" t="str">
        <f>IF('1. Live'!BJ14='check-Jul''26'!BF14,"",'1. Live'!BJ14-'check-Jul''26'!BF14)</f>
        <v/>
      </c>
      <c r="BG14" s="25" t="str">
        <f>IF('1. Live'!BK14='check-Jul''26'!BG14,"",'1. Live'!BK14-'check-Jul''26'!BG14)</f>
        <v/>
      </c>
      <c r="BH14" s="25" t="str">
        <f>IF('1. Live'!BL14='check-Jul''26'!BH14,"",'1. Live'!BL14-'check-Jul''26'!BH14)</f>
        <v/>
      </c>
      <c r="BI14" s="25" t="str">
        <f>IF('1. Live'!BM14='check-Jul''26'!BI14,"",'1. Live'!BM14-'check-Jul''26'!BI14)</f>
        <v/>
      </c>
      <c r="BJ14" s="25" t="str">
        <f>IF('1. Live'!BN14='check-Jul''26'!BJ14,"",'1. Live'!BN14-'check-Jul''26'!BJ14)</f>
        <v/>
      </c>
      <c r="BK14" s="25" t="str">
        <f>IF('1. Live'!BO14='check-Jul''26'!BK14,"",'1. Live'!BO14-'check-Jul''26'!BK14)</f>
        <v/>
      </c>
      <c r="BL14" s="25" t="str">
        <f>IF('1. Live'!BP14='check-Jul''26'!BL14,"",'1. Live'!BP14-'check-Jul''26'!BL14)</f>
        <v/>
      </c>
      <c r="BM14" s="25" t="str">
        <f>IF('1. Live'!BQ14='check-Jul''26'!BM14,"",'1. Live'!BQ14-'check-Jul''26'!BM14)</f>
        <v/>
      </c>
      <c r="BN14" s="25" t="str">
        <f>IF('1. Live'!BR14='check-Jul''26'!BN14,"",'1. Live'!BR14-'check-Jul''26'!BN14)</f>
        <v/>
      </c>
      <c r="BO14" s="25" t="str">
        <f>IF('1. Live'!BS14='check-Jul''26'!BO14,"",'1. Live'!BS14-'check-Jul''26'!BO14)</f>
        <v/>
      </c>
      <c r="BP14" s="25" t="str">
        <f>IF('1. Live'!BT14='check-Jul''26'!BP14,"",'1. Live'!BT14-'check-Jul''26'!BP14)</f>
        <v/>
      </c>
      <c r="BQ14" s="25" t="str">
        <f>IF('1. Live'!BU14='check-Jul''26'!BQ14,"",'1. Live'!BU14-'check-Jul''26'!BQ14)</f>
        <v/>
      </c>
      <c r="BR14" s="25" t="str">
        <f>IF('1. Live'!BV14='check-Jul''26'!BR14,"",'1. Live'!BV14-'check-Jul''26'!BR14)</f>
        <v/>
      </c>
      <c r="BS14" s="25" t="str">
        <f>IF('1. Live'!BW14='check-Jul''26'!BS14,"",'1. Live'!BW14-'check-Jul''26'!BS14)</f>
        <v/>
      </c>
      <c r="BT14" s="25" t="str">
        <f>IF('1. Live'!BX14='check-Jul''26'!BT14,"",'1. Live'!BX14-'check-Jul''26'!BT14)</f>
        <v/>
      </c>
      <c r="BU14" s="25" t="str">
        <f>IF('1. Live'!BY14='check-Jul''26'!BU14,"",'1. Live'!BY14-'check-Jul''26'!BU14)</f>
        <v/>
      </c>
      <c r="BV14" s="25" t="str">
        <f>IF('1. Live'!BZ14='check-Jul''26'!BV14,"",'1. Live'!BZ14-'check-Jul''26'!BV14)</f>
        <v/>
      </c>
      <c r="BW14" s="25" t="str">
        <f>IF('1. Live'!CA14='check-Jul''26'!BW14,"",'1. Live'!CA14-'check-Jul''26'!BW14)</f>
        <v/>
      </c>
      <c r="BX14" s="25" t="str">
        <f>IF('1. Live'!CB14='check-Jul''26'!BX14,"",'1. Live'!CB14-'check-Jul''26'!BX14)</f>
        <v/>
      </c>
      <c r="BY14" s="25" t="str">
        <f>IF('1. Live'!CC14='check-Jul''26'!BY14,"",'1. Live'!CC14-'check-Jul''26'!BY14)</f>
        <v/>
      </c>
      <c r="BZ14" s="25" t="str">
        <f>IF('1. Live'!CD14='check-Jul''26'!BZ14,"",'1. Live'!CD14-'check-Jul''26'!BZ14)</f>
        <v/>
      </c>
      <c r="CA14" s="25" t="str">
        <f>IF('1. Live'!CE14='check-Jul''26'!CA14,"",'1. Live'!CE14-'check-Jul''26'!CA14)</f>
        <v/>
      </c>
      <c r="CB14" s="25" t="str">
        <f>IF('1. Live'!CF14='check-Jul''26'!CB14,"",'1. Live'!CF14-'check-Jul''26'!CB14)</f>
        <v/>
      </c>
      <c r="CC14" s="25" t="str">
        <f>IF('1. Live'!CG14='check-Jul''26'!CC14,"",'1. Live'!CG14-'check-Jul''26'!CC14)</f>
        <v/>
      </c>
      <c r="CD14" s="25" t="str">
        <f>IF('1. Live'!CH14='check-Jul''26'!CD14,"",'1. Live'!CH14-'check-Jul''26'!CD14)</f>
        <v/>
      </c>
      <c r="CE14" s="25" t="str">
        <f>IF('1. Live'!CI14='check-Jul''26'!CE14,"",'1. Live'!CI14-'check-Jul''26'!CE14)</f>
        <v/>
      </c>
      <c r="CF14" s="25" t="str">
        <f>IF('1. Live'!CJ14='check-Jul''26'!CF14,"",'1. Live'!CJ14-'check-Jul''26'!CF14)</f>
        <v/>
      </c>
      <c r="CG14" s="25" t="str">
        <f>IF('1. Live'!CK14='check-Jul''26'!CG14,"",'1. Live'!CK14-'check-Jul''26'!CG14)</f>
        <v/>
      </c>
      <c r="CH14" s="25" t="str">
        <f>IF('1. Live'!CL14='check-Jul''26'!CH14,"",'1. Live'!CL14-'check-Jul''26'!CH14)</f>
        <v/>
      </c>
      <c r="CI14" s="25" t="str">
        <f>IF('1. Live'!CM14='check-Jul''26'!CI14,"",'1. Live'!CM14-'check-Jul''26'!CI14)</f>
        <v/>
      </c>
      <c r="CJ14" s="25" t="str">
        <f>IF('1. Live'!CN14='check-Jul''26'!CJ14,"",'1. Live'!CN14-'check-Jul''26'!CJ14)</f>
        <v/>
      </c>
      <c r="CK14" s="25" t="str">
        <f>IF('1. Live'!CO14='check-Jul''26'!CK14,"",'1. Live'!CO14-'check-Jul''26'!CK14)</f>
        <v/>
      </c>
      <c r="CL14" s="25" t="str">
        <f>IF('1. Live'!CP14='check-Jul''26'!CL14,"",'1. Live'!CP14-'check-Jul''26'!CL14)</f>
        <v/>
      </c>
      <c r="CM14" s="25" t="str">
        <f>IF('1. Live'!CQ14='check-Jul''26'!CM14,"",'1. Live'!CQ14-'check-Jul''26'!CM14)</f>
        <v/>
      </c>
      <c r="CN14" s="25" t="str">
        <f>IF('1. Live'!CR14='check-Jul''26'!CN14,"",'1. Live'!CR14-'check-Jul''26'!CN14)</f>
        <v/>
      </c>
      <c r="CO14" s="25" t="str">
        <f>IF('1. Live'!CS14='check-Jul''26'!CO14,"",'1. Live'!CS14-'check-Jul''26'!CO14)</f>
        <v/>
      </c>
      <c r="CP14" s="25" t="str">
        <f>IF('1. Live'!CT14='check-Jul''26'!CP14,"",'1. Live'!CT14-'check-Jul''26'!CP14)</f>
        <v/>
      </c>
      <c r="CQ14" s="25" t="str">
        <f>IF('1. Live'!CU14='check-Jul''26'!CQ14,"",'1. Live'!CU14-'check-Jul''26'!CQ14)</f>
        <v/>
      </c>
      <c r="CR14" s="25" t="str">
        <f>IF('1. Live'!CV14='check-Jul''26'!CR14,"",'1. Live'!CV14-'check-Jul''26'!CR14)</f>
        <v/>
      </c>
      <c r="CS14" s="25" t="str">
        <f>IF('1. Live'!CW14='check-Jul''26'!CS14,"",'1. Live'!CW14-'check-Jul''26'!CS14)</f>
        <v/>
      </c>
      <c r="CT14" s="25" t="str">
        <f>IF('1. Live'!CX14='check-Jul''26'!CT14,"",'1. Live'!CX14-'check-Jul''26'!CT14)</f>
        <v/>
      </c>
      <c r="CU14" s="25" t="str">
        <f>IF('1. Live'!CY14='check-Jul''26'!CU14,"",'1. Live'!CY14-'check-Jul''26'!CU14)</f>
        <v/>
      </c>
      <c r="CV14" s="25" t="str">
        <f>IF('1. Live'!CZ14='check-Jul''26'!CV14,"",'1. Live'!CZ14-'check-Jul''26'!CV14)</f>
        <v/>
      </c>
    </row>
    <row r="15" spans="2:100" x14ac:dyDescent="0.25">
      <c r="B15" s="66"/>
      <c r="C15" s="4" t="s">
        <v>9</v>
      </c>
      <c r="D15" s="2" t="s">
        <v>62</v>
      </c>
      <c r="E15" s="2" t="s">
        <v>847</v>
      </c>
      <c r="F15" s="2" t="s">
        <v>285</v>
      </c>
      <c r="G15" s="2" t="s">
        <v>856</v>
      </c>
      <c r="H15" s="6" t="s">
        <v>866</v>
      </c>
      <c r="I15" s="32" t="s">
        <v>243</v>
      </c>
      <c r="J15" s="2" t="s">
        <v>76</v>
      </c>
      <c r="K15" s="2" t="s">
        <v>8</v>
      </c>
      <c r="L15" s="6">
        <v>2020</v>
      </c>
      <c r="M15" s="6" t="s">
        <v>70</v>
      </c>
      <c r="N15" s="90" t="str">
        <f>IF('1. Live'!N15='check-Jul''26'!N15,"",'1. Live'!N15-'check-Jul''26'!N15)</f>
        <v/>
      </c>
      <c r="O15" s="17" t="str">
        <f ca="1">IF('1. Live'!O15='check-Jul''26'!O15,"",'1. Live'!O15-'check-Jul''26'!O15)</f>
        <v/>
      </c>
      <c r="P15" s="17" t="str">
        <f ca="1">IF('1. Live'!P15='check-Jul''26'!P15,"",'1. Live'!P15-'check-Jul''26'!P15)</f>
        <v/>
      </c>
      <c r="Q15" s="17" t="str">
        <f>IF('1. Live'!Q15='check-Jul''26'!Q15,"",'1. Live'!Q15-'check-Jul''26'!Q15)</f>
        <v/>
      </c>
      <c r="R15" s="17" t="str">
        <f ca="1">IF('1. Live'!R15='check-Jul''26'!R15,"",'1. Live'!R15-'check-Jul''26'!R15)</f>
        <v/>
      </c>
      <c r="S15" s="17" t="str">
        <f>IF('1. Live'!S15='check-Jul''26'!S15,"",'1. Live'!S15-'check-Jul''26'!S15)</f>
        <v/>
      </c>
      <c r="T15" s="17" t="str">
        <f ca="1">IF('1. Live'!T15='check-Jul''26'!T15,"",'1. Live'!T15-'check-Jul''26'!T15)</f>
        <v/>
      </c>
      <c r="U15" s="10" t="str">
        <f ca="1">IF('1. Live'!U15='check-Jul''26'!U15,"",'1. Live'!U15-'check-Jul''26'!U15)</f>
        <v/>
      </c>
      <c r="V15" s="2" t="str">
        <f>IF('1. Live'!V15='check-Jul''26'!V15,"",'1. Live'!V15-'check-Jul''26'!V15)</f>
        <v/>
      </c>
      <c r="W15" s="67"/>
      <c r="AA15" s="25" t="str">
        <f>IF('1. Live'!AA15='check-Jul''26'!W15,"",'1. Live'!AA15-'check-Jul''26'!W15)</f>
        <v/>
      </c>
      <c r="AB15" s="25" t="str">
        <f>IF('1. Live'!AF15='check-Jul''26'!AB15,"",'1. Live'!AF15-'check-Jul''26'!AB15)</f>
        <v/>
      </c>
      <c r="AC15" s="25" t="str">
        <f>IF('1. Live'!AG15='check-Jul''26'!AC15,"",'1. Live'!AG15-'check-Jul''26'!AC15)</f>
        <v/>
      </c>
      <c r="AD15" s="25" t="str">
        <f>IF('1. Live'!AH15='check-Jul''26'!AD15,"",'1. Live'!AH15-'check-Jul''26'!AD15)</f>
        <v/>
      </c>
      <c r="AE15" s="25" t="str">
        <f>IF('1. Live'!AI15='check-Jul''26'!AE15,"",'1. Live'!AI15-'check-Jul''26'!AE15)</f>
        <v/>
      </c>
      <c r="AF15" s="25" t="str">
        <f>IF('1. Live'!AJ15='check-Jul''26'!AF15,"",'1. Live'!AJ15-'check-Jul''26'!AF15)</f>
        <v/>
      </c>
      <c r="AG15" s="25" t="str">
        <f>IF('1. Live'!AK15='check-Jul''26'!AG15,"",'1. Live'!AK15-'check-Jul''26'!AG15)</f>
        <v/>
      </c>
      <c r="AH15" s="25" t="str">
        <f>IF('1. Live'!AL15='check-Jul''26'!AH15,"",'1. Live'!AL15-'check-Jul''26'!AH15)</f>
        <v/>
      </c>
      <c r="AI15" s="25" t="str">
        <f>IF('1. Live'!AM15='check-Jul''26'!AI15,"",'1. Live'!AM15-'check-Jul''26'!AI15)</f>
        <v/>
      </c>
      <c r="AJ15" s="25" t="str">
        <f>IF('1. Live'!AN15='check-Jul''26'!AJ15,"",'1. Live'!AN15-'check-Jul''26'!AJ15)</f>
        <v/>
      </c>
      <c r="AK15" s="25" t="str">
        <f>IF('1. Live'!AO15='check-Jul''26'!AK15,"",'1. Live'!AO15-'check-Jul''26'!AK15)</f>
        <v/>
      </c>
      <c r="AL15" s="25" t="str">
        <f>IF('1. Live'!AP15='check-Jul''26'!AL15,"",'1. Live'!AP15-'check-Jul''26'!AL15)</f>
        <v/>
      </c>
      <c r="AM15" s="25" t="str">
        <f>IF('1. Live'!AQ15='check-Jul''26'!AM15,"",'1. Live'!AQ15-'check-Jul''26'!AM15)</f>
        <v/>
      </c>
      <c r="AN15" s="25" t="str">
        <f>IF('1. Live'!AR15='check-Jul''26'!AN15,"",'1. Live'!AR15-'check-Jul''26'!AN15)</f>
        <v/>
      </c>
      <c r="AO15" s="25" t="str">
        <f>IF('1. Live'!AS15='check-Jul''26'!AO15,"",'1. Live'!AS15-'check-Jul''26'!AO15)</f>
        <v/>
      </c>
      <c r="AP15" s="25" t="str">
        <f>IF('1. Live'!AT15='check-Jul''26'!AP15,"",'1. Live'!AT15-'check-Jul''26'!AP15)</f>
        <v/>
      </c>
      <c r="AQ15" s="25" t="str">
        <f>IF('1. Live'!AU15='check-Jul''26'!AQ15,"",'1. Live'!AU15-'check-Jul''26'!AQ15)</f>
        <v/>
      </c>
      <c r="AR15" s="25" t="str">
        <f>IF('1. Live'!AV15='check-Jul''26'!AR15,"",'1. Live'!AV15-'check-Jul''26'!AR15)</f>
        <v/>
      </c>
      <c r="AS15" s="25" t="str">
        <f>IF('1. Live'!AW15='check-Jul''26'!AS15,"",'1. Live'!AW15-'check-Jul''26'!AS15)</f>
        <v/>
      </c>
      <c r="AT15" s="25" t="str">
        <f>IF('1. Live'!AX15='check-Jul''26'!AT15,"",'1. Live'!AX15-'check-Jul''26'!AT15)</f>
        <v/>
      </c>
      <c r="AU15" s="25" t="str">
        <f>IF('1. Live'!AY15='check-Jul''26'!AU15,"",'1. Live'!AY15-'check-Jul''26'!AU15)</f>
        <v/>
      </c>
      <c r="AV15" s="25" t="str">
        <f>IF('1. Live'!AZ15='check-Jul''26'!AV15,"",'1. Live'!AZ15-'check-Jul''26'!AV15)</f>
        <v/>
      </c>
      <c r="AW15" s="25" t="str">
        <f>IF('1. Live'!BA15='check-Jul''26'!AW15,"",'1. Live'!BA15-'check-Jul''26'!AW15)</f>
        <v/>
      </c>
      <c r="AX15" s="25" t="str">
        <f>IF('1. Live'!BB15='check-Jul''26'!AX15,"",'1. Live'!BB15-'check-Jul''26'!AX15)</f>
        <v/>
      </c>
      <c r="AY15" s="25" t="str">
        <f>IF('1. Live'!BC15='check-Jul''26'!AY15,"",'1. Live'!BC15-'check-Jul''26'!AY15)</f>
        <v/>
      </c>
      <c r="AZ15" s="25" t="str">
        <f>IF('1. Live'!BD15='check-Jul''26'!AZ15,"",'1. Live'!BD15-'check-Jul''26'!AZ15)</f>
        <v/>
      </c>
      <c r="BA15" s="25" t="str">
        <f>IF('1. Live'!BE15='check-Jul''26'!BA15,"",'1. Live'!BE15-'check-Jul''26'!BA15)</f>
        <v/>
      </c>
      <c r="BB15" s="25" t="str">
        <f>IF('1. Live'!BF15='check-Jul''26'!BB15,"",'1. Live'!BF15-'check-Jul''26'!BB15)</f>
        <v/>
      </c>
      <c r="BC15" s="25" t="str">
        <f>IF('1. Live'!BG15='check-Jul''26'!BC15,"",'1. Live'!BG15-'check-Jul''26'!BC15)</f>
        <v/>
      </c>
      <c r="BD15" s="25" t="str">
        <f>IF('1. Live'!BH15='check-Jul''26'!BD15,"",'1. Live'!BH15-'check-Jul''26'!BD15)</f>
        <v/>
      </c>
      <c r="BE15" s="25" t="str">
        <f>IF('1. Live'!BI15='check-Jul''26'!BE15,"",'1. Live'!BI15-'check-Jul''26'!BE15)</f>
        <v/>
      </c>
      <c r="BF15" s="25" t="str">
        <f>IF('1. Live'!BJ15='check-Jul''26'!BF15,"",'1. Live'!BJ15-'check-Jul''26'!BF15)</f>
        <v/>
      </c>
      <c r="BG15" s="25" t="str">
        <f>IF('1. Live'!BK15='check-Jul''26'!BG15,"",'1. Live'!BK15-'check-Jul''26'!BG15)</f>
        <v/>
      </c>
      <c r="BH15" s="25" t="str">
        <f>IF('1. Live'!BL15='check-Jul''26'!BH15,"",'1. Live'!BL15-'check-Jul''26'!BH15)</f>
        <v/>
      </c>
      <c r="BI15" s="25" t="str">
        <f>IF('1. Live'!BM15='check-Jul''26'!BI15,"",'1. Live'!BM15-'check-Jul''26'!BI15)</f>
        <v/>
      </c>
      <c r="BJ15" s="25" t="str">
        <f>IF('1. Live'!BN15='check-Jul''26'!BJ15,"",'1. Live'!BN15-'check-Jul''26'!BJ15)</f>
        <v/>
      </c>
      <c r="BK15" s="25" t="str">
        <f>IF('1. Live'!BO15='check-Jul''26'!BK15,"",'1. Live'!BO15-'check-Jul''26'!BK15)</f>
        <v/>
      </c>
      <c r="BL15" s="25" t="str">
        <f>IF('1. Live'!BP15='check-Jul''26'!BL15,"",'1. Live'!BP15-'check-Jul''26'!BL15)</f>
        <v/>
      </c>
      <c r="BM15" s="25" t="str">
        <f>IF('1. Live'!BQ15='check-Jul''26'!BM15,"",'1. Live'!BQ15-'check-Jul''26'!BM15)</f>
        <v/>
      </c>
      <c r="BN15" s="25" t="str">
        <f>IF('1. Live'!BR15='check-Jul''26'!BN15,"",'1. Live'!BR15-'check-Jul''26'!BN15)</f>
        <v/>
      </c>
      <c r="BO15" s="25" t="str">
        <f>IF('1. Live'!BS15='check-Jul''26'!BO15,"",'1. Live'!BS15-'check-Jul''26'!BO15)</f>
        <v/>
      </c>
      <c r="BP15" s="25" t="str">
        <f>IF('1. Live'!BT15='check-Jul''26'!BP15,"",'1. Live'!BT15-'check-Jul''26'!BP15)</f>
        <v/>
      </c>
      <c r="BQ15" s="25" t="str">
        <f>IF('1. Live'!BU15='check-Jul''26'!BQ15,"",'1. Live'!BU15-'check-Jul''26'!BQ15)</f>
        <v/>
      </c>
      <c r="BR15" s="25" t="str">
        <f>IF('1. Live'!BV15='check-Jul''26'!BR15,"",'1. Live'!BV15-'check-Jul''26'!BR15)</f>
        <v/>
      </c>
      <c r="BS15" s="25" t="str">
        <f>IF('1. Live'!BW15='check-Jul''26'!BS15,"",'1. Live'!BW15-'check-Jul''26'!BS15)</f>
        <v/>
      </c>
      <c r="BT15" s="25" t="str">
        <f>IF('1. Live'!BX15='check-Jul''26'!BT15,"",'1. Live'!BX15-'check-Jul''26'!BT15)</f>
        <v/>
      </c>
      <c r="BU15" s="25" t="str">
        <f>IF('1. Live'!BY15='check-Jul''26'!BU15,"",'1. Live'!BY15-'check-Jul''26'!BU15)</f>
        <v/>
      </c>
      <c r="BV15" s="25" t="str">
        <f>IF('1. Live'!BZ15='check-Jul''26'!BV15,"",'1. Live'!BZ15-'check-Jul''26'!BV15)</f>
        <v/>
      </c>
      <c r="BW15" s="25" t="str">
        <f>IF('1. Live'!CA15='check-Jul''26'!BW15,"",'1. Live'!CA15-'check-Jul''26'!BW15)</f>
        <v/>
      </c>
      <c r="BX15" s="25" t="str">
        <f>IF('1. Live'!CB15='check-Jul''26'!BX15,"",'1. Live'!CB15-'check-Jul''26'!BX15)</f>
        <v/>
      </c>
      <c r="BY15" s="25" t="str">
        <f>IF('1. Live'!CC15='check-Jul''26'!BY15,"",'1. Live'!CC15-'check-Jul''26'!BY15)</f>
        <v/>
      </c>
      <c r="BZ15" s="25" t="str">
        <f>IF('1. Live'!CD15='check-Jul''26'!BZ15,"",'1. Live'!CD15-'check-Jul''26'!BZ15)</f>
        <v/>
      </c>
      <c r="CA15" s="25" t="str">
        <f>IF('1. Live'!CE15='check-Jul''26'!CA15,"",'1. Live'!CE15-'check-Jul''26'!CA15)</f>
        <v/>
      </c>
      <c r="CB15" s="25" t="str">
        <f>IF('1. Live'!CF15='check-Jul''26'!CB15,"",'1. Live'!CF15-'check-Jul''26'!CB15)</f>
        <v/>
      </c>
      <c r="CC15" s="25" t="str">
        <f>IF('1. Live'!CG15='check-Jul''26'!CC15,"",'1. Live'!CG15-'check-Jul''26'!CC15)</f>
        <v/>
      </c>
      <c r="CD15" s="25" t="str">
        <f>IF('1. Live'!CH15='check-Jul''26'!CD15,"",'1. Live'!CH15-'check-Jul''26'!CD15)</f>
        <v/>
      </c>
      <c r="CE15" s="25" t="str">
        <f>IF('1. Live'!CI15='check-Jul''26'!CE15,"",'1. Live'!CI15-'check-Jul''26'!CE15)</f>
        <v/>
      </c>
      <c r="CF15" s="25" t="str">
        <f>IF('1. Live'!CJ15='check-Jul''26'!CF15,"",'1. Live'!CJ15-'check-Jul''26'!CF15)</f>
        <v/>
      </c>
      <c r="CG15" s="25" t="str">
        <f>IF('1. Live'!CK15='check-Jul''26'!CG15,"",'1. Live'!CK15-'check-Jul''26'!CG15)</f>
        <v/>
      </c>
      <c r="CH15" s="25" t="str">
        <f>IF('1. Live'!CL15='check-Jul''26'!CH15,"",'1. Live'!CL15-'check-Jul''26'!CH15)</f>
        <v/>
      </c>
      <c r="CI15" s="25" t="str">
        <f>IF('1. Live'!CM15='check-Jul''26'!CI15,"",'1. Live'!CM15-'check-Jul''26'!CI15)</f>
        <v/>
      </c>
      <c r="CJ15" s="25" t="str">
        <f>IF('1. Live'!CN15='check-Jul''26'!CJ15,"",'1. Live'!CN15-'check-Jul''26'!CJ15)</f>
        <v/>
      </c>
      <c r="CK15" s="25" t="str">
        <f>IF('1. Live'!CO15='check-Jul''26'!CK15,"",'1. Live'!CO15-'check-Jul''26'!CK15)</f>
        <v/>
      </c>
      <c r="CL15" s="25" t="str">
        <f>IF('1. Live'!CP15='check-Jul''26'!CL15,"",'1. Live'!CP15-'check-Jul''26'!CL15)</f>
        <v/>
      </c>
      <c r="CM15" s="25" t="str">
        <f>IF('1. Live'!CQ15='check-Jul''26'!CM15,"",'1. Live'!CQ15-'check-Jul''26'!CM15)</f>
        <v/>
      </c>
      <c r="CN15" s="25" t="str">
        <f>IF('1. Live'!CR15='check-Jul''26'!CN15,"",'1. Live'!CR15-'check-Jul''26'!CN15)</f>
        <v/>
      </c>
      <c r="CO15" s="25" t="str">
        <f>IF('1. Live'!CS15='check-Jul''26'!CO15,"",'1. Live'!CS15-'check-Jul''26'!CO15)</f>
        <v/>
      </c>
      <c r="CP15" s="25" t="str">
        <f>IF('1. Live'!CT15='check-Jul''26'!CP15,"",'1. Live'!CT15-'check-Jul''26'!CP15)</f>
        <v/>
      </c>
      <c r="CQ15" s="25" t="str">
        <f>IF('1. Live'!CU15='check-Jul''26'!CQ15,"",'1. Live'!CU15-'check-Jul''26'!CQ15)</f>
        <v/>
      </c>
      <c r="CR15" s="25" t="str">
        <f>IF('1. Live'!CV15='check-Jul''26'!CR15,"",'1. Live'!CV15-'check-Jul''26'!CR15)</f>
        <v/>
      </c>
      <c r="CS15" s="25" t="str">
        <f>IF('1. Live'!CW15='check-Jul''26'!CS15,"",'1. Live'!CW15-'check-Jul''26'!CS15)</f>
        <v/>
      </c>
      <c r="CT15" s="25" t="str">
        <f>IF('1. Live'!CX15='check-Jul''26'!CT15,"",'1. Live'!CX15-'check-Jul''26'!CT15)</f>
        <v/>
      </c>
      <c r="CU15" s="25" t="str">
        <f>IF('1. Live'!CY15='check-Jul''26'!CU15,"",'1. Live'!CY15-'check-Jul''26'!CU15)</f>
        <v/>
      </c>
      <c r="CV15" s="25" t="str">
        <f>IF('1. Live'!CZ15='check-Jul''26'!CV15,"",'1. Live'!CZ15-'check-Jul''26'!CV15)</f>
        <v/>
      </c>
    </row>
    <row r="16" spans="2:100" x14ac:dyDescent="0.25">
      <c r="B16" s="66"/>
      <c r="C16" s="4" t="s">
        <v>37</v>
      </c>
      <c r="D16" s="2" t="s">
        <v>60</v>
      </c>
      <c r="E16" s="2" t="s">
        <v>847</v>
      </c>
      <c r="F16" s="2" t="s">
        <v>165</v>
      </c>
      <c r="G16" s="2" t="s">
        <v>857</v>
      </c>
      <c r="H16" s="6" t="s">
        <v>65</v>
      </c>
      <c r="I16" s="32" t="s">
        <v>243</v>
      </c>
      <c r="J16" s="2" t="s">
        <v>76</v>
      </c>
      <c r="K16" s="2" t="s">
        <v>8</v>
      </c>
      <c r="L16" s="6">
        <v>2020</v>
      </c>
      <c r="M16" s="6" t="s">
        <v>65</v>
      </c>
      <c r="N16" s="90" t="str">
        <f>IF('1. Live'!N16='check-Jul''26'!N16,"",'1. Live'!N16-'check-Jul''26'!N16)</f>
        <v/>
      </c>
      <c r="O16" s="17" t="str">
        <f ca="1">IF('1. Live'!O16='check-Jul''26'!O16,"",'1. Live'!O16-'check-Jul''26'!O16)</f>
        <v/>
      </c>
      <c r="P16" s="17" t="str">
        <f ca="1">IF('1. Live'!P16='check-Jul''26'!P16,"",'1. Live'!P16-'check-Jul''26'!P16)</f>
        <v/>
      </c>
      <c r="Q16" s="17" t="str">
        <f>IF('1. Live'!Q16='check-Jul''26'!Q16,"",'1. Live'!Q16-'check-Jul''26'!Q16)</f>
        <v/>
      </c>
      <c r="R16" s="17" t="str">
        <f ca="1">IF('1. Live'!R16='check-Jul''26'!R16,"",'1. Live'!R16-'check-Jul''26'!R16)</f>
        <v/>
      </c>
      <c r="S16" s="17" t="str">
        <f>IF('1. Live'!S16='check-Jul''26'!S16,"",'1. Live'!S16-'check-Jul''26'!S16)</f>
        <v/>
      </c>
      <c r="T16" s="17" t="str">
        <f ca="1">IF('1. Live'!T16='check-Jul''26'!T16,"",'1. Live'!T16-'check-Jul''26'!T16)</f>
        <v/>
      </c>
      <c r="U16" s="10" t="str">
        <f ca="1">IF('1. Live'!U16='check-Jul''26'!U16,"",'1. Live'!U16-'check-Jul''26'!U16)</f>
        <v/>
      </c>
      <c r="V16" s="2" t="str">
        <f>IF('1. Live'!V16='check-Jul''26'!V16,"",'1. Live'!V16-'check-Jul''26'!V16)</f>
        <v/>
      </c>
      <c r="W16" s="67"/>
      <c r="AA16" s="25" t="str">
        <f>IF('1. Live'!AA16='check-Jul''26'!W16,"",'1. Live'!AA16-'check-Jul''26'!W16)</f>
        <v/>
      </c>
      <c r="AB16" s="25" t="str">
        <f>IF('1. Live'!AF16='check-Jul''26'!AB16,"",'1. Live'!AF16-'check-Jul''26'!AB16)</f>
        <v/>
      </c>
      <c r="AC16" s="25" t="str">
        <f>IF('1. Live'!AG16='check-Jul''26'!AC16,"",'1. Live'!AG16-'check-Jul''26'!AC16)</f>
        <v/>
      </c>
      <c r="AD16" s="25" t="str">
        <f>IF('1. Live'!AH16='check-Jul''26'!AD16,"",'1. Live'!AH16-'check-Jul''26'!AD16)</f>
        <v/>
      </c>
      <c r="AE16" s="25" t="str">
        <f>IF('1. Live'!AI16='check-Jul''26'!AE16,"",'1. Live'!AI16-'check-Jul''26'!AE16)</f>
        <v/>
      </c>
      <c r="AF16" s="25" t="str">
        <f>IF('1. Live'!AJ16='check-Jul''26'!AF16,"",'1. Live'!AJ16-'check-Jul''26'!AF16)</f>
        <v/>
      </c>
      <c r="AG16" s="25" t="str">
        <f>IF('1. Live'!AK16='check-Jul''26'!AG16,"",'1. Live'!AK16-'check-Jul''26'!AG16)</f>
        <v/>
      </c>
      <c r="AH16" s="25" t="str">
        <f>IF('1. Live'!AL16='check-Jul''26'!AH16,"",'1. Live'!AL16-'check-Jul''26'!AH16)</f>
        <v/>
      </c>
      <c r="AI16" s="25" t="str">
        <f>IF('1. Live'!AM16='check-Jul''26'!AI16,"",'1. Live'!AM16-'check-Jul''26'!AI16)</f>
        <v/>
      </c>
      <c r="AJ16" s="25" t="str">
        <f>IF('1. Live'!AN16='check-Jul''26'!AJ16,"",'1. Live'!AN16-'check-Jul''26'!AJ16)</f>
        <v/>
      </c>
      <c r="AK16" s="25" t="str">
        <f>IF('1. Live'!AO16='check-Jul''26'!AK16,"",'1. Live'!AO16-'check-Jul''26'!AK16)</f>
        <v/>
      </c>
      <c r="AL16" s="25" t="str">
        <f>IF('1. Live'!AP16='check-Jul''26'!AL16,"",'1. Live'!AP16-'check-Jul''26'!AL16)</f>
        <v/>
      </c>
      <c r="AM16" s="25" t="str">
        <f>IF('1. Live'!AQ16='check-Jul''26'!AM16,"",'1. Live'!AQ16-'check-Jul''26'!AM16)</f>
        <v/>
      </c>
      <c r="AN16" s="25" t="str">
        <f>IF('1. Live'!AR16='check-Jul''26'!AN16,"",'1. Live'!AR16-'check-Jul''26'!AN16)</f>
        <v/>
      </c>
      <c r="AO16" s="25" t="str">
        <f>IF('1. Live'!AS16='check-Jul''26'!AO16,"",'1. Live'!AS16-'check-Jul''26'!AO16)</f>
        <v/>
      </c>
      <c r="AP16" s="25" t="str">
        <f>IF('1. Live'!AT16='check-Jul''26'!AP16,"",'1. Live'!AT16-'check-Jul''26'!AP16)</f>
        <v/>
      </c>
      <c r="AQ16" s="25" t="str">
        <f>IF('1. Live'!AU16='check-Jul''26'!AQ16,"",'1. Live'!AU16-'check-Jul''26'!AQ16)</f>
        <v/>
      </c>
      <c r="AR16" s="25" t="str">
        <f>IF('1. Live'!AV16='check-Jul''26'!AR16,"",'1. Live'!AV16-'check-Jul''26'!AR16)</f>
        <v/>
      </c>
      <c r="AS16" s="25" t="str">
        <f>IF('1. Live'!AW16='check-Jul''26'!AS16,"",'1. Live'!AW16-'check-Jul''26'!AS16)</f>
        <v/>
      </c>
      <c r="AT16" s="25" t="str">
        <f>IF('1. Live'!AX16='check-Jul''26'!AT16,"",'1. Live'!AX16-'check-Jul''26'!AT16)</f>
        <v/>
      </c>
      <c r="AU16" s="25" t="str">
        <f>IF('1. Live'!AY16='check-Jul''26'!AU16,"",'1. Live'!AY16-'check-Jul''26'!AU16)</f>
        <v/>
      </c>
      <c r="AV16" s="25" t="str">
        <f>IF('1. Live'!AZ16='check-Jul''26'!AV16,"",'1. Live'!AZ16-'check-Jul''26'!AV16)</f>
        <v/>
      </c>
      <c r="AW16" s="25" t="str">
        <f>IF('1. Live'!BA16='check-Jul''26'!AW16,"",'1. Live'!BA16-'check-Jul''26'!AW16)</f>
        <v/>
      </c>
      <c r="AX16" s="25" t="str">
        <f>IF('1. Live'!BB16='check-Jul''26'!AX16,"",'1. Live'!BB16-'check-Jul''26'!AX16)</f>
        <v/>
      </c>
      <c r="AY16" s="25" t="str">
        <f>IF('1. Live'!BC16='check-Jul''26'!AY16,"",'1. Live'!BC16-'check-Jul''26'!AY16)</f>
        <v/>
      </c>
      <c r="AZ16" s="25" t="str">
        <f>IF('1. Live'!BD16='check-Jul''26'!AZ16,"",'1. Live'!BD16-'check-Jul''26'!AZ16)</f>
        <v/>
      </c>
      <c r="BA16" s="25" t="str">
        <f>IF('1. Live'!BE16='check-Jul''26'!BA16,"",'1. Live'!BE16-'check-Jul''26'!BA16)</f>
        <v/>
      </c>
      <c r="BB16" s="25" t="str">
        <f>IF('1. Live'!BF16='check-Jul''26'!BB16,"",'1. Live'!BF16-'check-Jul''26'!BB16)</f>
        <v/>
      </c>
      <c r="BC16" s="25" t="str">
        <f>IF('1. Live'!BG16='check-Jul''26'!BC16,"",'1. Live'!BG16-'check-Jul''26'!BC16)</f>
        <v/>
      </c>
      <c r="BD16" s="25" t="str">
        <f>IF('1. Live'!BH16='check-Jul''26'!BD16,"",'1. Live'!BH16-'check-Jul''26'!BD16)</f>
        <v/>
      </c>
      <c r="BE16" s="25" t="str">
        <f>IF('1. Live'!BI16='check-Jul''26'!BE16,"",'1. Live'!BI16-'check-Jul''26'!BE16)</f>
        <v/>
      </c>
      <c r="BF16" s="25" t="str">
        <f>IF('1. Live'!BJ16='check-Jul''26'!BF16,"",'1. Live'!BJ16-'check-Jul''26'!BF16)</f>
        <v/>
      </c>
      <c r="BG16" s="25" t="str">
        <f>IF('1. Live'!BK16='check-Jul''26'!BG16,"",'1. Live'!BK16-'check-Jul''26'!BG16)</f>
        <v/>
      </c>
      <c r="BH16" s="25" t="str">
        <f>IF('1. Live'!BL16='check-Jul''26'!BH16,"",'1. Live'!BL16-'check-Jul''26'!BH16)</f>
        <v/>
      </c>
      <c r="BI16" s="25" t="str">
        <f>IF('1. Live'!BM16='check-Jul''26'!BI16,"",'1. Live'!BM16-'check-Jul''26'!BI16)</f>
        <v/>
      </c>
      <c r="BJ16" s="25" t="str">
        <f>IF('1. Live'!BN16='check-Jul''26'!BJ16,"",'1. Live'!BN16-'check-Jul''26'!BJ16)</f>
        <v/>
      </c>
      <c r="BK16" s="25" t="str">
        <f>IF('1. Live'!BO16='check-Jul''26'!BK16,"",'1. Live'!BO16-'check-Jul''26'!BK16)</f>
        <v/>
      </c>
      <c r="BL16" s="25" t="str">
        <f>IF('1. Live'!BP16='check-Jul''26'!BL16,"",'1. Live'!BP16-'check-Jul''26'!BL16)</f>
        <v/>
      </c>
      <c r="BM16" s="25" t="str">
        <f>IF('1. Live'!BQ16='check-Jul''26'!BM16,"",'1. Live'!BQ16-'check-Jul''26'!BM16)</f>
        <v/>
      </c>
      <c r="BN16" s="25" t="str">
        <f>IF('1. Live'!BR16='check-Jul''26'!BN16,"",'1. Live'!BR16-'check-Jul''26'!BN16)</f>
        <v/>
      </c>
      <c r="BO16" s="25" t="str">
        <f>IF('1. Live'!BS16='check-Jul''26'!BO16,"",'1. Live'!BS16-'check-Jul''26'!BO16)</f>
        <v/>
      </c>
      <c r="BP16" s="25" t="str">
        <f>IF('1. Live'!BT16='check-Jul''26'!BP16,"",'1. Live'!BT16-'check-Jul''26'!BP16)</f>
        <v/>
      </c>
      <c r="BQ16" s="25" t="str">
        <f>IF('1. Live'!BU16='check-Jul''26'!BQ16,"",'1. Live'!BU16-'check-Jul''26'!BQ16)</f>
        <v/>
      </c>
      <c r="BR16" s="25" t="str">
        <f>IF('1. Live'!BV16='check-Jul''26'!BR16,"",'1. Live'!BV16-'check-Jul''26'!BR16)</f>
        <v/>
      </c>
      <c r="BS16" s="25" t="str">
        <f>IF('1. Live'!BW16='check-Jul''26'!BS16,"",'1. Live'!BW16-'check-Jul''26'!BS16)</f>
        <v/>
      </c>
      <c r="BT16" s="25" t="str">
        <f>IF('1. Live'!BX16='check-Jul''26'!BT16,"",'1. Live'!BX16-'check-Jul''26'!BT16)</f>
        <v/>
      </c>
      <c r="BU16" s="25" t="str">
        <f>IF('1. Live'!BY16='check-Jul''26'!BU16,"",'1. Live'!BY16-'check-Jul''26'!BU16)</f>
        <v/>
      </c>
      <c r="BV16" s="25" t="str">
        <f>IF('1. Live'!BZ16='check-Jul''26'!BV16,"",'1. Live'!BZ16-'check-Jul''26'!BV16)</f>
        <v/>
      </c>
      <c r="BW16" s="25" t="str">
        <f>IF('1. Live'!CA16='check-Jul''26'!BW16,"",'1. Live'!CA16-'check-Jul''26'!BW16)</f>
        <v/>
      </c>
      <c r="BX16" s="25" t="str">
        <f>IF('1. Live'!CB16='check-Jul''26'!BX16,"",'1. Live'!CB16-'check-Jul''26'!BX16)</f>
        <v/>
      </c>
      <c r="BY16" s="25" t="str">
        <f>IF('1. Live'!CC16='check-Jul''26'!BY16,"",'1. Live'!CC16-'check-Jul''26'!BY16)</f>
        <v/>
      </c>
      <c r="BZ16" s="25" t="str">
        <f>IF('1. Live'!CD16='check-Jul''26'!BZ16,"",'1. Live'!CD16-'check-Jul''26'!BZ16)</f>
        <v/>
      </c>
      <c r="CA16" s="25" t="str">
        <f>IF('1. Live'!CE16='check-Jul''26'!CA16,"",'1. Live'!CE16-'check-Jul''26'!CA16)</f>
        <v/>
      </c>
      <c r="CB16" s="25" t="str">
        <f>IF('1. Live'!CF16='check-Jul''26'!CB16,"",'1. Live'!CF16-'check-Jul''26'!CB16)</f>
        <v/>
      </c>
      <c r="CC16" s="25" t="str">
        <f>IF('1. Live'!CG16='check-Jul''26'!CC16,"",'1. Live'!CG16-'check-Jul''26'!CC16)</f>
        <v/>
      </c>
      <c r="CD16" s="25" t="str">
        <f>IF('1. Live'!CH16='check-Jul''26'!CD16,"",'1. Live'!CH16-'check-Jul''26'!CD16)</f>
        <v/>
      </c>
      <c r="CE16" s="25" t="str">
        <f>IF('1. Live'!CI16='check-Jul''26'!CE16,"",'1. Live'!CI16-'check-Jul''26'!CE16)</f>
        <v/>
      </c>
      <c r="CF16" s="25" t="str">
        <f>IF('1. Live'!CJ16='check-Jul''26'!CF16,"",'1. Live'!CJ16-'check-Jul''26'!CF16)</f>
        <v/>
      </c>
      <c r="CG16" s="25" t="str">
        <f>IF('1. Live'!CK16='check-Jul''26'!CG16,"",'1. Live'!CK16-'check-Jul''26'!CG16)</f>
        <v/>
      </c>
      <c r="CH16" s="25" t="str">
        <f>IF('1. Live'!CL16='check-Jul''26'!CH16,"",'1. Live'!CL16-'check-Jul''26'!CH16)</f>
        <v/>
      </c>
      <c r="CI16" s="25" t="str">
        <f>IF('1. Live'!CM16='check-Jul''26'!CI16,"",'1. Live'!CM16-'check-Jul''26'!CI16)</f>
        <v/>
      </c>
      <c r="CJ16" s="25" t="str">
        <f>IF('1. Live'!CN16='check-Jul''26'!CJ16,"",'1. Live'!CN16-'check-Jul''26'!CJ16)</f>
        <v/>
      </c>
      <c r="CK16" s="25" t="str">
        <f>IF('1. Live'!CO16='check-Jul''26'!CK16,"",'1. Live'!CO16-'check-Jul''26'!CK16)</f>
        <v/>
      </c>
      <c r="CL16" s="25" t="str">
        <f>IF('1. Live'!CP16='check-Jul''26'!CL16,"",'1. Live'!CP16-'check-Jul''26'!CL16)</f>
        <v/>
      </c>
      <c r="CM16" s="25" t="str">
        <f>IF('1. Live'!CQ16='check-Jul''26'!CM16,"",'1. Live'!CQ16-'check-Jul''26'!CM16)</f>
        <v/>
      </c>
      <c r="CN16" s="25" t="str">
        <f>IF('1. Live'!CR16='check-Jul''26'!CN16,"",'1. Live'!CR16-'check-Jul''26'!CN16)</f>
        <v/>
      </c>
      <c r="CO16" s="25" t="str">
        <f>IF('1. Live'!CS16='check-Jul''26'!CO16,"",'1. Live'!CS16-'check-Jul''26'!CO16)</f>
        <v/>
      </c>
      <c r="CP16" s="25" t="str">
        <f>IF('1. Live'!CT16='check-Jul''26'!CP16,"",'1. Live'!CT16-'check-Jul''26'!CP16)</f>
        <v/>
      </c>
      <c r="CQ16" s="25" t="str">
        <f>IF('1. Live'!CU16='check-Jul''26'!CQ16,"",'1. Live'!CU16-'check-Jul''26'!CQ16)</f>
        <v/>
      </c>
      <c r="CR16" s="25" t="str">
        <f>IF('1. Live'!CV16='check-Jul''26'!CR16,"",'1. Live'!CV16-'check-Jul''26'!CR16)</f>
        <v/>
      </c>
      <c r="CS16" s="25" t="str">
        <f>IF('1. Live'!CW16='check-Jul''26'!CS16,"",'1. Live'!CW16-'check-Jul''26'!CS16)</f>
        <v/>
      </c>
      <c r="CT16" s="25" t="str">
        <f>IF('1. Live'!CX16='check-Jul''26'!CT16,"",'1. Live'!CX16-'check-Jul''26'!CT16)</f>
        <v/>
      </c>
      <c r="CU16" s="25" t="str">
        <f>IF('1. Live'!CY16='check-Jul''26'!CU16,"",'1. Live'!CY16-'check-Jul''26'!CU16)</f>
        <v/>
      </c>
      <c r="CV16" s="25" t="str">
        <f>IF('1. Live'!CZ16='check-Jul''26'!CV16,"",'1. Live'!CZ16-'check-Jul''26'!CV16)</f>
        <v/>
      </c>
    </row>
    <row r="17" spans="2:100" x14ac:dyDescent="0.25">
      <c r="B17" s="66"/>
      <c r="C17" s="4" t="s">
        <v>84</v>
      </c>
      <c r="D17" s="2" t="s">
        <v>62</v>
      </c>
      <c r="E17" s="2" t="s">
        <v>847</v>
      </c>
      <c r="F17" s="2" t="s">
        <v>286</v>
      </c>
      <c r="G17" s="2" t="s">
        <v>858</v>
      </c>
      <c r="H17" s="6" t="s">
        <v>44</v>
      </c>
      <c r="I17" s="32" t="s">
        <v>243</v>
      </c>
      <c r="J17" s="2" t="s">
        <v>76</v>
      </c>
      <c r="K17" s="2" t="s">
        <v>8</v>
      </c>
      <c r="L17" s="6">
        <v>2020</v>
      </c>
      <c r="M17" s="6" t="s">
        <v>44</v>
      </c>
      <c r="N17" s="90" t="str">
        <f>IF('1. Live'!N17='check-Jul''26'!N17,"",'1. Live'!N17-'check-Jul''26'!N17)</f>
        <v/>
      </c>
      <c r="O17" s="17" t="str">
        <f ca="1">IF('1. Live'!O17='check-Jul''26'!O17,"",'1. Live'!O17-'check-Jul''26'!O17)</f>
        <v/>
      </c>
      <c r="P17" s="17" t="str">
        <f ca="1">IF('1. Live'!P17='check-Jul''26'!P17,"",'1. Live'!P17-'check-Jul''26'!P17)</f>
        <v/>
      </c>
      <c r="Q17" s="17" t="str">
        <f>IF('1. Live'!Q17='check-Jul''26'!Q17,"",'1. Live'!Q17-'check-Jul''26'!Q17)</f>
        <v/>
      </c>
      <c r="R17" s="17" t="str">
        <f ca="1">IF('1. Live'!R17='check-Jul''26'!R17,"",'1. Live'!R17-'check-Jul''26'!R17)</f>
        <v/>
      </c>
      <c r="S17" s="17">
        <f>IF('1. Live'!S17='check-Jul''26'!S17,"",'1. Live'!S17-'check-Jul''26'!S17)</f>
        <v>37.704966934560005</v>
      </c>
      <c r="T17" s="17">
        <f ca="1">IF('1. Live'!T17='check-Jul''26'!T17,"",'1. Live'!T17-'check-Jul''26'!T17)</f>
        <v>37.704966934560005</v>
      </c>
      <c r="U17" s="10">
        <f ca="1">IF('1. Live'!U17='check-Jul''26'!U17,"",'1. Live'!U17-'check-Jul''26'!U17)</f>
        <v>0.26652221478456717</v>
      </c>
      <c r="V17" s="2" t="str">
        <f>IF('1. Live'!V17='check-Jul''26'!V17,"",'1. Live'!V17-'check-Jul''26'!V17)</f>
        <v/>
      </c>
      <c r="W17" s="67"/>
      <c r="AA17" s="25" t="str">
        <f>IF('1. Live'!AA17='check-Jul''26'!W17,"",'1. Live'!AA17-'check-Jul''26'!W17)</f>
        <v/>
      </c>
      <c r="AB17" s="25" t="str">
        <f>IF('1. Live'!AF17='check-Jul''26'!AB17,"",'1. Live'!AF17-'check-Jul''26'!AB17)</f>
        <v/>
      </c>
      <c r="AC17" s="25" t="str">
        <f>IF('1. Live'!AG17='check-Jul''26'!AC17,"",'1. Live'!AG17-'check-Jul''26'!AC17)</f>
        <v/>
      </c>
      <c r="AD17" s="25" t="str">
        <f>IF('1. Live'!AH17='check-Jul''26'!AD17,"",'1. Live'!AH17-'check-Jul''26'!AD17)</f>
        <v/>
      </c>
      <c r="AE17" s="25" t="str">
        <f>IF('1. Live'!AI17='check-Jul''26'!AE17,"",'1. Live'!AI17-'check-Jul''26'!AE17)</f>
        <v/>
      </c>
      <c r="AF17" s="25" t="str">
        <f>IF('1. Live'!AJ17='check-Jul''26'!AF17,"",'1. Live'!AJ17-'check-Jul''26'!AF17)</f>
        <v/>
      </c>
      <c r="AG17" s="25" t="str">
        <f>IF('1. Live'!AK17='check-Jul''26'!AG17,"",'1. Live'!AK17-'check-Jul''26'!AG17)</f>
        <v/>
      </c>
      <c r="AH17" s="25" t="str">
        <f>IF('1. Live'!AL17='check-Jul''26'!AH17,"",'1. Live'!AL17-'check-Jul''26'!AH17)</f>
        <v/>
      </c>
      <c r="AI17" s="25" t="str">
        <f>IF('1. Live'!AM17='check-Jul''26'!AI17,"",'1. Live'!AM17-'check-Jul''26'!AI17)</f>
        <v/>
      </c>
      <c r="AJ17" s="25" t="str">
        <f>IF('1. Live'!AN17='check-Jul''26'!AJ17,"",'1. Live'!AN17-'check-Jul''26'!AJ17)</f>
        <v/>
      </c>
      <c r="AK17" s="25" t="str">
        <f>IF('1. Live'!AO17='check-Jul''26'!AK17,"",'1. Live'!AO17-'check-Jul''26'!AK17)</f>
        <v/>
      </c>
      <c r="AL17" s="25" t="str">
        <f>IF('1. Live'!AP17='check-Jul''26'!AL17,"",'1. Live'!AP17-'check-Jul''26'!AL17)</f>
        <v/>
      </c>
      <c r="AM17" s="25" t="str">
        <f>IF('1. Live'!AQ17='check-Jul''26'!AM17,"",'1. Live'!AQ17-'check-Jul''26'!AM17)</f>
        <v/>
      </c>
      <c r="AN17" s="25" t="str">
        <f>IF('1. Live'!AR17='check-Jul''26'!AN17,"",'1. Live'!AR17-'check-Jul''26'!AN17)</f>
        <v/>
      </c>
      <c r="AO17" s="25" t="str">
        <f>IF('1. Live'!AS17='check-Jul''26'!AO17,"",'1. Live'!AS17-'check-Jul''26'!AO17)</f>
        <v/>
      </c>
      <c r="AP17" s="25" t="str">
        <f>IF('1. Live'!AT17='check-Jul''26'!AP17,"",'1. Live'!AT17-'check-Jul''26'!AP17)</f>
        <v/>
      </c>
      <c r="AQ17" s="25" t="str">
        <f>IF('1. Live'!AU17='check-Jul''26'!AQ17,"",'1. Live'!AU17-'check-Jul''26'!AQ17)</f>
        <v/>
      </c>
      <c r="AR17" s="25" t="str">
        <f>IF('1. Live'!AV17='check-Jul''26'!AR17,"",'1. Live'!AV17-'check-Jul''26'!AR17)</f>
        <v/>
      </c>
      <c r="AS17" s="25" t="str">
        <f>IF('1. Live'!AW17='check-Jul''26'!AS17,"",'1. Live'!AW17-'check-Jul''26'!AS17)</f>
        <v/>
      </c>
      <c r="AT17" s="25" t="str">
        <f>IF('1. Live'!AX17='check-Jul''26'!AT17,"",'1. Live'!AX17-'check-Jul''26'!AT17)</f>
        <v/>
      </c>
      <c r="AU17" s="25" t="str">
        <f>IF('1. Live'!AY17='check-Jul''26'!AU17,"",'1. Live'!AY17-'check-Jul''26'!AU17)</f>
        <v/>
      </c>
      <c r="AV17" s="25" t="str">
        <f>IF('1. Live'!AZ17='check-Jul''26'!AV17,"",'1. Live'!AZ17-'check-Jul''26'!AV17)</f>
        <v/>
      </c>
      <c r="AW17" s="25" t="str">
        <f>IF('1. Live'!BA17='check-Jul''26'!AW17,"",'1. Live'!BA17-'check-Jul''26'!AW17)</f>
        <v/>
      </c>
      <c r="AX17" s="25" t="str">
        <f>IF('1. Live'!BB17='check-Jul''26'!AX17,"",'1. Live'!BB17-'check-Jul''26'!AX17)</f>
        <v/>
      </c>
      <c r="AY17" s="25" t="str">
        <f>IF('1. Live'!BC17='check-Jul''26'!AY17,"",'1. Live'!BC17-'check-Jul''26'!AY17)</f>
        <v/>
      </c>
      <c r="AZ17" s="25" t="str">
        <f>IF('1. Live'!BD17='check-Jul''26'!AZ17,"",'1. Live'!BD17-'check-Jul''26'!AZ17)</f>
        <v/>
      </c>
      <c r="BA17" s="25" t="str">
        <f>IF('1. Live'!BE17='check-Jul''26'!BA17,"",'1. Live'!BE17-'check-Jul''26'!BA17)</f>
        <v/>
      </c>
      <c r="BB17" s="25" t="str">
        <f>IF('1. Live'!BF17='check-Jul''26'!BB17,"",'1. Live'!BF17-'check-Jul''26'!BB17)</f>
        <v/>
      </c>
      <c r="BC17" s="25" t="str">
        <f>IF('1. Live'!BG17='check-Jul''26'!BC17,"",'1. Live'!BG17-'check-Jul''26'!BC17)</f>
        <v/>
      </c>
      <c r="BD17" s="25" t="str">
        <f>IF('1. Live'!BH17='check-Jul''26'!BD17,"",'1. Live'!BH17-'check-Jul''26'!BD17)</f>
        <v/>
      </c>
      <c r="BE17" s="25" t="str">
        <f>IF('1. Live'!BI17='check-Jul''26'!BE17,"",'1. Live'!BI17-'check-Jul''26'!BE17)</f>
        <v/>
      </c>
      <c r="BF17" s="25" t="str">
        <f>IF('1. Live'!BJ17='check-Jul''26'!BF17,"",'1. Live'!BJ17-'check-Jul''26'!BF17)</f>
        <v/>
      </c>
      <c r="BG17" s="25" t="str">
        <f>IF('1. Live'!BK17='check-Jul''26'!BG17,"",'1. Live'!BK17-'check-Jul''26'!BG17)</f>
        <v/>
      </c>
      <c r="BH17" s="25" t="str">
        <f>IF('1. Live'!BL17='check-Jul''26'!BH17,"",'1. Live'!BL17-'check-Jul''26'!BH17)</f>
        <v/>
      </c>
      <c r="BI17" s="25" t="str">
        <f>IF('1. Live'!BM17='check-Jul''26'!BI17,"",'1. Live'!BM17-'check-Jul''26'!BI17)</f>
        <v/>
      </c>
      <c r="BJ17" s="25" t="str">
        <f>IF('1. Live'!BN17='check-Jul''26'!BJ17,"",'1. Live'!BN17-'check-Jul''26'!BJ17)</f>
        <v/>
      </c>
      <c r="BK17" s="25" t="str">
        <f>IF('1. Live'!BO17='check-Jul''26'!BK17,"",'1. Live'!BO17-'check-Jul''26'!BK17)</f>
        <v/>
      </c>
      <c r="BL17" s="25" t="str">
        <f>IF('1. Live'!BP17='check-Jul''26'!BL17,"",'1. Live'!BP17-'check-Jul''26'!BL17)</f>
        <v/>
      </c>
      <c r="BM17" s="25" t="str">
        <f>IF('1. Live'!BQ17='check-Jul''26'!BM17,"",'1. Live'!BQ17-'check-Jul''26'!BM17)</f>
        <v/>
      </c>
      <c r="BN17" s="25" t="str">
        <f>IF('1. Live'!BR17='check-Jul''26'!BN17,"",'1. Live'!BR17-'check-Jul''26'!BN17)</f>
        <v/>
      </c>
      <c r="BO17" s="25" t="str">
        <f>IF('1. Live'!BS17='check-Jul''26'!BO17,"",'1. Live'!BS17-'check-Jul''26'!BO17)</f>
        <v/>
      </c>
      <c r="BP17" s="25" t="str">
        <f>IF('1. Live'!BT17='check-Jul''26'!BP17,"",'1. Live'!BT17-'check-Jul''26'!BP17)</f>
        <v/>
      </c>
      <c r="BQ17" s="25" t="str">
        <f>IF('1. Live'!BU17='check-Jul''26'!BQ17,"",'1. Live'!BU17-'check-Jul''26'!BQ17)</f>
        <v/>
      </c>
      <c r="BR17" s="25" t="str">
        <f>IF('1. Live'!BV17='check-Jul''26'!BR17,"",'1. Live'!BV17-'check-Jul''26'!BR17)</f>
        <v/>
      </c>
      <c r="BS17" s="25" t="str">
        <f>IF('1. Live'!BW17='check-Jul''26'!BS17,"",'1. Live'!BW17-'check-Jul''26'!BS17)</f>
        <v/>
      </c>
      <c r="BT17" s="25" t="str">
        <f>IF('1. Live'!BX17='check-Jul''26'!BT17,"",'1. Live'!BX17-'check-Jul''26'!BT17)</f>
        <v/>
      </c>
      <c r="BU17" s="25" t="str">
        <f>IF('1. Live'!BY17='check-Jul''26'!BU17,"",'1. Live'!BY17-'check-Jul''26'!BU17)</f>
        <v/>
      </c>
      <c r="BV17" s="25" t="str">
        <f>IF('1. Live'!BZ17='check-Jul''26'!BV17,"",'1. Live'!BZ17-'check-Jul''26'!BV17)</f>
        <v/>
      </c>
      <c r="BW17" s="25" t="str">
        <f>IF('1. Live'!CA17='check-Jul''26'!BW17,"",'1. Live'!CA17-'check-Jul''26'!BW17)</f>
        <v/>
      </c>
      <c r="BX17" s="25" t="str">
        <f>IF('1. Live'!CB17='check-Jul''26'!BX17,"",'1. Live'!CB17-'check-Jul''26'!BX17)</f>
        <v/>
      </c>
      <c r="BY17" s="25" t="str">
        <f>IF('1. Live'!CC17='check-Jul''26'!BY17,"",'1. Live'!CC17-'check-Jul''26'!BY17)</f>
        <v/>
      </c>
      <c r="BZ17" s="25" t="str">
        <f>IF('1. Live'!CD17='check-Jul''26'!BZ17,"",'1. Live'!CD17-'check-Jul''26'!BZ17)</f>
        <v/>
      </c>
      <c r="CA17" s="25" t="str">
        <f>IF('1. Live'!CE17='check-Jul''26'!CA17,"",'1. Live'!CE17-'check-Jul''26'!CA17)</f>
        <v/>
      </c>
      <c r="CB17" s="25" t="str">
        <f>IF('1. Live'!CF17='check-Jul''26'!CB17,"",'1. Live'!CF17-'check-Jul''26'!CB17)</f>
        <v/>
      </c>
      <c r="CC17" s="25" t="str">
        <f>IF('1. Live'!CG17='check-Jul''26'!CC17,"",'1. Live'!CG17-'check-Jul''26'!CC17)</f>
        <v/>
      </c>
      <c r="CD17" s="25" t="str">
        <f>IF('1. Live'!CH17='check-Jul''26'!CD17,"",'1. Live'!CH17-'check-Jul''26'!CD17)</f>
        <v/>
      </c>
      <c r="CE17" s="25" t="str">
        <f>IF('1. Live'!CI17='check-Jul''26'!CE17,"",'1. Live'!CI17-'check-Jul''26'!CE17)</f>
        <v/>
      </c>
      <c r="CF17" s="25" t="str">
        <f>IF('1. Live'!CJ17='check-Jul''26'!CF17,"",'1. Live'!CJ17-'check-Jul''26'!CF17)</f>
        <v/>
      </c>
      <c r="CG17" s="25" t="str">
        <f>IF('1. Live'!CK17='check-Jul''26'!CG17,"",'1. Live'!CK17-'check-Jul''26'!CG17)</f>
        <v/>
      </c>
      <c r="CH17" s="25" t="str">
        <f>IF('1. Live'!CL17='check-Jul''26'!CH17,"",'1. Live'!CL17-'check-Jul''26'!CH17)</f>
        <v/>
      </c>
      <c r="CI17" s="25" t="str">
        <f>IF('1. Live'!CM17='check-Jul''26'!CI17,"",'1. Live'!CM17-'check-Jul''26'!CI17)</f>
        <v/>
      </c>
      <c r="CJ17" s="25" t="str">
        <f>IF('1. Live'!CN17='check-Jul''26'!CJ17,"",'1. Live'!CN17-'check-Jul''26'!CJ17)</f>
        <v/>
      </c>
      <c r="CK17" s="25" t="str">
        <f>IF('1. Live'!CO17='check-Jul''26'!CK17,"",'1. Live'!CO17-'check-Jul''26'!CK17)</f>
        <v/>
      </c>
      <c r="CL17" s="25" t="str">
        <f>IF('1. Live'!CP17='check-Jul''26'!CL17,"",'1. Live'!CP17-'check-Jul''26'!CL17)</f>
        <v/>
      </c>
      <c r="CM17" s="25" t="str">
        <f>IF('1. Live'!CQ17='check-Jul''26'!CM17,"",'1. Live'!CQ17-'check-Jul''26'!CM17)</f>
        <v/>
      </c>
      <c r="CN17" s="25" t="str">
        <f>IF('1. Live'!CR17='check-Jul''26'!CN17,"",'1. Live'!CR17-'check-Jul''26'!CN17)</f>
        <v/>
      </c>
      <c r="CO17" s="25" t="str">
        <f>IF('1. Live'!CS17='check-Jul''26'!CO17,"",'1. Live'!CS17-'check-Jul''26'!CO17)</f>
        <v/>
      </c>
      <c r="CP17" s="25" t="str">
        <f>IF('1. Live'!CT17='check-Jul''26'!CP17,"",'1. Live'!CT17-'check-Jul''26'!CP17)</f>
        <v/>
      </c>
      <c r="CQ17" s="25" t="str">
        <f>IF('1. Live'!CU17='check-Jul''26'!CQ17,"",'1. Live'!CU17-'check-Jul''26'!CQ17)</f>
        <v/>
      </c>
      <c r="CR17" s="25" t="str">
        <f>IF('1. Live'!CV17='check-Jul''26'!CR17,"",'1. Live'!CV17-'check-Jul''26'!CR17)</f>
        <v/>
      </c>
      <c r="CS17" s="25" t="str">
        <f>IF('1. Live'!CW17='check-Jul''26'!CS17,"",'1. Live'!CW17-'check-Jul''26'!CS17)</f>
        <v/>
      </c>
      <c r="CT17" s="25" t="str">
        <f>IF('1. Live'!CX17='check-Jul''26'!CT17,"",'1. Live'!CX17-'check-Jul''26'!CT17)</f>
        <v/>
      </c>
      <c r="CU17" s="25" t="str">
        <f>IF('1. Live'!CY17='check-Jul''26'!CU17,"",'1. Live'!CY17-'check-Jul''26'!CU17)</f>
        <v/>
      </c>
      <c r="CV17" s="25" t="str">
        <f>IF('1. Live'!CZ17='check-Jul''26'!CV17,"",'1. Live'!CZ17-'check-Jul''26'!CV17)</f>
        <v/>
      </c>
    </row>
    <row r="18" spans="2:100" x14ac:dyDescent="0.25">
      <c r="B18" s="66"/>
      <c r="C18" s="4" t="s">
        <v>38</v>
      </c>
      <c r="D18" s="2" t="s">
        <v>62</v>
      </c>
      <c r="E18" s="2" t="s">
        <v>847</v>
      </c>
      <c r="F18" s="2" t="s">
        <v>165</v>
      </c>
      <c r="G18" s="2" t="s">
        <v>859</v>
      </c>
      <c r="H18" s="6" t="s">
        <v>73</v>
      </c>
      <c r="I18" s="32" t="s">
        <v>243</v>
      </c>
      <c r="J18" s="2" t="s">
        <v>76</v>
      </c>
      <c r="K18" s="2" t="s">
        <v>8</v>
      </c>
      <c r="L18" s="6">
        <v>2019</v>
      </c>
      <c r="M18" s="6" t="s">
        <v>73</v>
      </c>
      <c r="N18" s="90" t="str">
        <f>IF('1. Live'!N18='check-Jul''26'!N18,"",'1. Live'!N18-'check-Jul''26'!N18)</f>
        <v/>
      </c>
      <c r="O18" s="17" t="str">
        <f ca="1">IF('1. Live'!O18='check-Jul''26'!O18,"",'1. Live'!O18-'check-Jul''26'!O18)</f>
        <v/>
      </c>
      <c r="P18" s="17" t="str">
        <f ca="1">IF('1. Live'!P18='check-Jul''26'!P18,"",'1. Live'!P18-'check-Jul''26'!P18)</f>
        <v/>
      </c>
      <c r="Q18" s="17" t="str">
        <f>IF('1. Live'!Q18='check-Jul''26'!Q18,"",'1. Live'!Q18-'check-Jul''26'!Q18)</f>
        <v/>
      </c>
      <c r="R18" s="17" t="str">
        <f ca="1">IF('1. Live'!R18='check-Jul''26'!R18,"",'1. Live'!R18-'check-Jul''26'!R18)</f>
        <v/>
      </c>
      <c r="S18" s="17" t="str">
        <f>IF('1. Live'!S18='check-Jul''26'!S18,"",'1. Live'!S18-'check-Jul''26'!S18)</f>
        <v/>
      </c>
      <c r="T18" s="17" t="str">
        <f ca="1">IF('1. Live'!T18='check-Jul''26'!T18,"",'1. Live'!T18-'check-Jul''26'!T18)</f>
        <v/>
      </c>
      <c r="U18" s="10" t="str">
        <f ca="1">IF('1. Live'!U18='check-Jul''26'!U18,"",'1. Live'!U18-'check-Jul''26'!U18)</f>
        <v/>
      </c>
      <c r="V18" s="2" t="str">
        <f>IF('1. Live'!V18='check-Jul''26'!V18,"",'1. Live'!V18-'check-Jul''26'!V18)</f>
        <v/>
      </c>
      <c r="W18" s="67"/>
      <c r="AA18" s="25" t="str">
        <f>IF('1. Live'!AA18='check-Jul''26'!W18,"",'1. Live'!AA18-'check-Jul''26'!W18)</f>
        <v/>
      </c>
      <c r="AB18" s="25" t="str">
        <f>IF('1. Live'!AF18='check-Jul''26'!AB18,"",'1. Live'!AF18-'check-Jul''26'!AB18)</f>
        <v/>
      </c>
      <c r="AC18" s="25" t="str">
        <f>IF('1. Live'!AG18='check-Jul''26'!AC18,"",'1. Live'!AG18-'check-Jul''26'!AC18)</f>
        <v/>
      </c>
      <c r="AD18" s="25" t="str">
        <f>IF('1. Live'!AH18='check-Jul''26'!AD18,"",'1. Live'!AH18-'check-Jul''26'!AD18)</f>
        <v/>
      </c>
      <c r="AE18" s="25" t="str">
        <f>IF('1. Live'!AI18='check-Jul''26'!AE18,"",'1. Live'!AI18-'check-Jul''26'!AE18)</f>
        <v/>
      </c>
      <c r="AF18" s="25" t="str">
        <f>IF('1. Live'!AJ18='check-Jul''26'!AF18,"",'1. Live'!AJ18-'check-Jul''26'!AF18)</f>
        <v/>
      </c>
      <c r="AG18" s="25" t="str">
        <f>IF('1. Live'!AK18='check-Jul''26'!AG18,"",'1. Live'!AK18-'check-Jul''26'!AG18)</f>
        <v/>
      </c>
      <c r="AH18" s="25" t="str">
        <f>IF('1. Live'!AL18='check-Jul''26'!AH18,"",'1. Live'!AL18-'check-Jul''26'!AH18)</f>
        <v/>
      </c>
      <c r="AI18" s="25" t="str">
        <f>IF('1. Live'!AM18='check-Jul''26'!AI18,"",'1. Live'!AM18-'check-Jul''26'!AI18)</f>
        <v/>
      </c>
      <c r="AJ18" s="25" t="str">
        <f>IF('1. Live'!AN18='check-Jul''26'!AJ18,"",'1. Live'!AN18-'check-Jul''26'!AJ18)</f>
        <v/>
      </c>
      <c r="AK18" s="25" t="str">
        <f>IF('1. Live'!AO18='check-Jul''26'!AK18,"",'1. Live'!AO18-'check-Jul''26'!AK18)</f>
        <v/>
      </c>
      <c r="AL18" s="25" t="str">
        <f>IF('1. Live'!AP18='check-Jul''26'!AL18,"",'1. Live'!AP18-'check-Jul''26'!AL18)</f>
        <v/>
      </c>
      <c r="AM18" s="25" t="str">
        <f>IF('1. Live'!AQ18='check-Jul''26'!AM18,"",'1. Live'!AQ18-'check-Jul''26'!AM18)</f>
        <v/>
      </c>
      <c r="AN18" s="25" t="str">
        <f>IF('1. Live'!AR18='check-Jul''26'!AN18,"",'1. Live'!AR18-'check-Jul''26'!AN18)</f>
        <v/>
      </c>
      <c r="AO18" s="25" t="str">
        <f>IF('1. Live'!AS18='check-Jul''26'!AO18,"",'1. Live'!AS18-'check-Jul''26'!AO18)</f>
        <v/>
      </c>
      <c r="AP18" s="25" t="str">
        <f>IF('1. Live'!AT18='check-Jul''26'!AP18,"",'1. Live'!AT18-'check-Jul''26'!AP18)</f>
        <v/>
      </c>
      <c r="AQ18" s="25" t="str">
        <f>IF('1. Live'!AU18='check-Jul''26'!AQ18,"",'1. Live'!AU18-'check-Jul''26'!AQ18)</f>
        <v/>
      </c>
      <c r="AR18" s="25" t="str">
        <f>IF('1. Live'!AV18='check-Jul''26'!AR18,"",'1. Live'!AV18-'check-Jul''26'!AR18)</f>
        <v/>
      </c>
      <c r="AS18" s="25" t="str">
        <f>IF('1. Live'!AW18='check-Jul''26'!AS18,"",'1. Live'!AW18-'check-Jul''26'!AS18)</f>
        <v/>
      </c>
      <c r="AT18" s="25" t="str">
        <f>IF('1. Live'!AX18='check-Jul''26'!AT18,"",'1. Live'!AX18-'check-Jul''26'!AT18)</f>
        <v/>
      </c>
      <c r="AU18" s="25" t="str">
        <f>IF('1. Live'!AY18='check-Jul''26'!AU18,"",'1. Live'!AY18-'check-Jul''26'!AU18)</f>
        <v/>
      </c>
      <c r="AV18" s="25" t="str">
        <f>IF('1. Live'!AZ18='check-Jul''26'!AV18,"",'1. Live'!AZ18-'check-Jul''26'!AV18)</f>
        <v/>
      </c>
      <c r="AW18" s="25" t="str">
        <f>IF('1. Live'!BA18='check-Jul''26'!AW18,"",'1. Live'!BA18-'check-Jul''26'!AW18)</f>
        <v/>
      </c>
      <c r="AX18" s="25" t="str">
        <f>IF('1. Live'!BB18='check-Jul''26'!AX18,"",'1. Live'!BB18-'check-Jul''26'!AX18)</f>
        <v/>
      </c>
      <c r="AY18" s="25" t="str">
        <f>IF('1. Live'!BC18='check-Jul''26'!AY18,"",'1. Live'!BC18-'check-Jul''26'!AY18)</f>
        <v/>
      </c>
      <c r="AZ18" s="25" t="str">
        <f>IF('1. Live'!BD18='check-Jul''26'!AZ18,"",'1. Live'!BD18-'check-Jul''26'!AZ18)</f>
        <v/>
      </c>
      <c r="BA18" s="25" t="str">
        <f>IF('1. Live'!BE18='check-Jul''26'!BA18,"",'1. Live'!BE18-'check-Jul''26'!BA18)</f>
        <v/>
      </c>
      <c r="BB18" s="25" t="str">
        <f>IF('1. Live'!BF18='check-Jul''26'!BB18,"",'1. Live'!BF18-'check-Jul''26'!BB18)</f>
        <v/>
      </c>
      <c r="BC18" s="25" t="str">
        <f>IF('1. Live'!BG18='check-Jul''26'!BC18,"",'1. Live'!BG18-'check-Jul''26'!BC18)</f>
        <v/>
      </c>
      <c r="BD18" s="25" t="str">
        <f>IF('1. Live'!BH18='check-Jul''26'!BD18,"",'1. Live'!BH18-'check-Jul''26'!BD18)</f>
        <v/>
      </c>
      <c r="BE18" s="25" t="str">
        <f>IF('1. Live'!BI18='check-Jul''26'!BE18,"",'1. Live'!BI18-'check-Jul''26'!BE18)</f>
        <v/>
      </c>
      <c r="BF18" s="25" t="str">
        <f>IF('1. Live'!BJ18='check-Jul''26'!BF18,"",'1. Live'!BJ18-'check-Jul''26'!BF18)</f>
        <v/>
      </c>
      <c r="BG18" s="25" t="str">
        <f>IF('1. Live'!BK18='check-Jul''26'!BG18,"",'1. Live'!BK18-'check-Jul''26'!BG18)</f>
        <v/>
      </c>
      <c r="BH18" s="25" t="str">
        <f>IF('1. Live'!BL18='check-Jul''26'!BH18,"",'1. Live'!BL18-'check-Jul''26'!BH18)</f>
        <v/>
      </c>
      <c r="BI18" s="25" t="str">
        <f>IF('1. Live'!BM18='check-Jul''26'!BI18,"",'1. Live'!BM18-'check-Jul''26'!BI18)</f>
        <v/>
      </c>
      <c r="BJ18" s="25" t="str">
        <f>IF('1. Live'!BN18='check-Jul''26'!BJ18,"",'1. Live'!BN18-'check-Jul''26'!BJ18)</f>
        <v/>
      </c>
      <c r="BK18" s="25" t="str">
        <f>IF('1. Live'!BO18='check-Jul''26'!BK18,"",'1. Live'!BO18-'check-Jul''26'!BK18)</f>
        <v/>
      </c>
      <c r="BL18" s="25" t="str">
        <f>IF('1. Live'!BP18='check-Jul''26'!BL18,"",'1. Live'!BP18-'check-Jul''26'!BL18)</f>
        <v/>
      </c>
      <c r="BM18" s="25" t="str">
        <f>IF('1. Live'!BQ18='check-Jul''26'!BM18,"",'1. Live'!BQ18-'check-Jul''26'!BM18)</f>
        <v/>
      </c>
      <c r="BN18" s="25" t="str">
        <f>IF('1. Live'!BR18='check-Jul''26'!BN18,"",'1. Live'!BR18-'check-Jul''26'!BN18)</f>
        <v/>
      </c>
      <c r="BO18" s="25" t="str">
        <f>IF('1. Live'!BS18='check-Jul''26'!BO18,"",'1. Live'!BS18-'check-Jul''26'!BO18)</f>
        <v/>
      </c>
      <c r="BP18" s="25" t="str">
        <f>IF('1. Live'!BT18='check-Jul''26'!BP18,"",'1. Live'!BT18-'check-Jul''26'!BP18)</f>
        <v/>
      </c>
      <c r="BQ18" s="25" t="str">
        <f>IF('1. Live'!BU18='check-Jul''26'!BQ18,"",'1. Live'!BU18-'check-Jul''26'!BQ18)</f>
        <v/>
      </c>
      <c r="BR18" s="25" t="str">
        <f>IF('1. Live'!BV18='check-Jul''26'!BR18,"",'1. Live'!BV18-'check-Jul''26'!BR18)</f>
        <v/>
      </c>
      <c r="BS18" s="25" t="str">
        <f>IF('1. Live'!BW18='check-Jul''26'!BS18,"",'1. Live'!BW18-'check-Jul''26'!BS18)</f>
        <v/>
      </c>
      <c r="BT18" s="25" t="str">
        <f>IF('1. Live'!BX18='check-Jul''26'!BT18,"",'1. Live'!BX18-'check-Jul''26'!BT18)</f>
        <v/>
      </c>
      <c r="BU18" s="25" t="str">
        <f>IF('1. Live'!BY18='check-Jul''26'!BU18,"",'1. Live'!BY18-'check-Jul''26'!BU18)</f>
        <v/>
      </c>
      <c r="BV18" s="25" t="str">
        <f>IF('1. Live'!BZ18='check-Jul''26'!BV18,"",'1. Live'!BZ18-'check-Jul''26'!BV18)</f>
        <v/>
      </c>
      <c r="BW18" s="25" t="str">
        <f>IF('1. Live'!CA18='check-Jul''26'!BW18,"",'1. Live'!CA18-'check-Jul''26'!BW18)</f>
        <v/>
      </c>
      <c r="BX18" s="25" t="str">
        <f>IF('1. Live'!CB18='check-Jul''26'!BX18,"",'1. Live'!CB18-'check-Jul''26'!BX18)</f>
        <v/>
      </c>
      <c r="BY18" s="25" t="str">
        <f>IF('1. Live'!CC18='check-Jul''26'!BY18,"",'1. Live'!CC18-'check-Jul''26'!BY18)</f>
        <v/>
      </c>
      <c r="BZ18" s="25" t="str">
        <f>IF('1. Live'!CD18='check-Jul''26'!BZ18,"",'1. Live'!CD18-'check-Jul''26'!BZ18)</f>
        <v/>
      </c>
      <c r="CA18" s="25" t="str">
        <f>IF('1. Live'!CE18='check-Jul''26'!CA18,"",'1. Live'!CE18-'check-Jul''26'!CA18)</f>
        <v/>
      </c>
      <c r="CB18" s="25" t="str">
        <f>IF('1. Live'!CF18='check-Jul''26'!CB18,"",'1. Live'!CF18-'check-Jul''26'!CB18)</f>
        <v/>
      </c>
      <c r="CC18" s="25" t="str">
        <f>IF('1. Live'!CG18='check-Jul''26'!CC18,"",'1. Live'!CG18-'check-Jul''26'!CC18)</f>
        <v/>
      </c>
      <c r="CD18" s="25" t="str">
        <f>IF('1. Live'!CH18='check-Jul''26'!CD18,"",'1. Live'!CH18-'check-Jul''26'!CD18)</f>
        <v/>
      </c>
      <c r="CE18" s="25" t="str">
        <f>IF('1. Live'!CI18='check-Jul''26'!CE18,"",'1. Live'!CI18-'check-Jul''26'!CE18)</f>
        <v/>
      </c>
      <c r="CF18" s="25" t="str">
        <f>IF('1. Live'!CJ18='check-Jul''26'!CF18,"",'1. Live'!CJ18-'check-Jul''26'!CF18)</f>
        <v/>
      </c>
      <c r="CG18" s="25" t="str">
        <f>IF('1. Live'!CK18='check-Jul''26'!CG18,"",'1. Live'!CK18-'check-Jul''26'!CG18)</f>
        <v/>
      </c>
      <c r="CH18" s="25" t="str">
        <f>IF('1. Live'!CL18='check-Jul''26'!CH18,"",'1. Live'!CL18-'check-Jul''26'!CH18)</f>
        <v/>
      </c>
      <c r="CI18" s="25" t="str">
        <f>IF('1. Live'!CM18='check-Jul''26'!CI18,"",'1. Live'!CM18-'check-Jul''26'!CI18)</f>
        <v/>
      </c>
      <c r="CJ18" s="25" t="str">
        <f>IF('1. Live'!CN18='check-Jul''26'!CJ18,"",'1. Live'!CN18-'check-Jul''26'!CJ18)</f>
        <v/>
      </c>
      <c r="CK18" s="25" t="str">
        <f>IF('1. Live'!CO18='check-Jul''26'!CK18,"",'1. Live'!CO18-'check-Jul''26'!CK18)</f>
        <v/>
      </c>
      <c r="CL18" s="25" t="str">
        <f>IF('1. Live'!CP18='check-Jul''26'!CL18,"",'1. Live'!CP18-'check-Jul''26'!CL18)</f>
        <v/>
      </c>
      <c r="CM18" s="25" t="str">
        <f>IF('1. Live'!CQ18='check-Jul''26'!CM18,"",'1. Live'!CQ18-'check-Jul''26'!CM18)</f>
        <v/>
      </c>
      <c r="CN18" s="25" t="str">
        <f>IF('1. Live'!CR18='check-Jul''26'!CN18,"",'1. Live'!CR18-'check-Jul''26'!CN18)</f>
        <v/>
      </c>
      <c r="CO18" s="25" t="str">
        <f>IF('1. Live'!CS18='check-Jul''26'!CO18,"",'1. Live'!CS18-'check-Jul''26'!CO18)</f>
        <v/>
      </c>
      <c r="CP18" s="25" t="str">
        <f>IF('1. Live'!CT18='check-Jul''26'!CP18,"",'1. Live'!CT18-'check-Jul''26'!CP18)</f>
        <v/>
      </c>
      <c r="CQ18" s="25" t="str">
        <f>IF('1. Live'!CU18='check-Jul''26'!CQ18,"",'1. Live'!CU18-'check-Jul''26'!CQ18)</f>
        <v/>
      </c>
      <c r="CR18" s="25" t="str">
        <f>IF('1. Live'!CV18='check-Jul''26'!CR18,"",'1. Live'!CV18-'check-Jul''26'!CR18)</f>
        <v/>
      </c>
      <c r="CS18" s="25" t="str">
        <f>IF('1. Live'!CW18='check-Jul''26'!CS18,"",'1. Live'!CW18-'check-Jul''26'!CS18)</f>
        <v/>
      </c>
      <c r="CT18" s="25" t="str">
        <f>IF('1. Live'!CX18='check-Jul''26'!CT18,"",'1. Live'!CX18-'check-Jul''26'!CT18)</f>
        <v/>
      </c>
      <c r="CU18" s="25" t="str">
        <f>IF('1. Live'!CY18='check-Jul''26'!CU18,"",'1. Live'!CY18-'check-Jul''26'!CU18)</f>
        <v/>
      </c>
      <c r="CV18" s="25" t="str">
        <f>IF('1. Live'!CZ18='check-Jul''26'!CV18,"",'1. Live'!CZ18-'check-Jul''26'!CV18)</f>
        <v/>
      </c>
    </row>
    <row r="19" spans="2:100" x14ac:dyDescent="0.25">
      <c r="B19" s="66"/>
      <c r="C19" s="5"/>
      <c r="D19" s="143"/>
      <c r="E19" s="143"/>
      <c r="F19" s="143"/>
      <c r="G19" s="143"/>
      <c r="H19" s="143"/>
      <c r="I19" s="13"/>
      <c r="J19" s="7"/>
      <c r="K19" s="7"/>
      <c r="L19" s="7"/>
      <c r="M19" s="14"/>
      <c r="N19" s="168" t="str">
        <f>IF('1. Live'!N19='check-Jul''26'!N19,"",'1. Live'!N19-'check-Jul''26'!N19)</f>
        <v/>
      </c>
      <c r="O19" s="24" t="str">
        <f>IF('1. Live'!O19='check-Jul''26'!O19,"",'1. Live'!O19-'check-Jul''26'!O19)</f>
        <v/>
      </c>
      <c r="P19" s="24" t="str">
        <f>IF('1. Live'!P19='check-Jul''26'!P19,"",'1. Live'!P19-'check-Jul''26'!P19)</f>
        <v/>
      </c>
      <c r="Q19" s="24" t="str">
        <f>IF('1. Live'!Q19='check-Jul''26'!Q19,"",'1. Live'!Q19-'check-Jul''26'!Q19)</f>
        <v/>
      </c>
      <c r="R19" s="24" t="str">
        <f>IF('1. Live'!R19='check-Jul''26'!R19,"",'1. Live'!R19-'check-Jul''26'!R19)</f>
        <v/>
      </c>
      <c r="S19" s="24" t="str">
        <f>IF('1. Live'!S19='check-Jul''26'!S19,"",'1. Live'!S19-'check-Jul''26'!S19)</f>
        <v/>
      </c>
      <c r="T19" s="24" t="str">
        <f>IF('1. Live'!T19='check-Jul''26'!T19,"",'1. Live'!T19-'check-Jul''26'!T19)</f>
        <v/>
      </c>
      <c r="U19" s="15" t="str">
        <f>IF('1. Live'!U19='check-Jul''26'!U19,"",'1. Live'!U19-'check-Jul''26'!U19)</f>
        <v/>
      </c>
      <c r="V19" s="178" t="str">
        <f>IF('1. Live'!V19='check-Jul''26'!V19,"",'1. Live'!V19-'check-Jul''26'!V19)</f>
        <v/>
      </c>
      <c r="W19" s="67"/>
      <c r="AA19" s="25" t="str">
        <f>IF('1. Live'!AA19='check-Jul''26'!W19,"",'1. Live'!AA19-'check-Jul''26'!W19)</f>
        <v/>
      </c>
      <c r="AB19" s="25" t="str">
        <f>IF('1. Live'!AF19='check-Jul''26'!AB19,"",'1. Live'!AF19-'check-Jul''26'!AB19)</f>
        <v/>
      </c>
      <c r="AC19" s="25" t="str">
        <f>IF('1. Live'!AG19='check-Jul''26'!AC19,"",'1. Live'!AG19-'check-Jul''26'!AC19)</f>
        <v/>
      </c>
      <c r="AD19" s="25" t="str">
        <f>IF('1. Live'!AH19='check-Jul''26'!AD19,"",'1. Live'!AH19-'check-Jul''26'!AD19)</f>
        <v/>
      </c>
      <c r="AE19" s="25" t="str">
        <f>IF('1. Live'!AI19='check-Jul''26'!AE19,"",'1. Live'!AI19-'check-Jul''26'!AE19)</f>
        <v/>
      </c>
      <c r="AF19" s="25" t="str">
        <f>IF('1. Live'!AJ19='check-Jul''26'!AF19,"",'1. Live'!AJ19-'check-Jul''26'!AF19)</f>
        <v/>
      </c>
      <c r="AG19" s="25" t="str">
        <f>IF('1. Live'!AK19='check-Jul''26'!AG19,"",'1. Live'!AK19-'check-Jul''26'!AG19)</f>
        <v/>
      </c>
      <c r="AH19" s="25" t="str">
        <f>IF('1. Live'!AL19='check-Jul''26'!AH19,"",'1. Live'!AL19-'check-Jul''26'!AH19)</f>
        <v/>
      </c>
      <c r="AI19" s="25" t="str">
        <f>IF('1. Live'!AM19='check-Jul''26'!AI19,"",'1. Live'!AM19-'check-Jul''26'!AI19)</f>
        <v/>
      </c>
      <c r="AJ19" s="25" t="str">
        <f>IF('1. Live'!AN19='check-Jul''26'!AJ19,"",'1. Live'!AN19-'check-Jul''26'!AJ19)</f>
        <v/>
      </c>
      <c r="AK19" s="25" t="str">
        <f>IF('1. Live'!AO19='check-Jul''26'!AK19,"",'1. Live'!AO19-'check-Jul''26'!AK19)</f>
        <v/>
      </c>
      <c r="AL19" s="25" t="str">
        <f>IF('1. Live'!AP19='check-Jul''26'!AL19,"",'1. Live'!AP19-'check-Jul''26'!AL19)</f>
        <v/>
      </c>
      <c r="AM19" s="25" t="str">
        <f>IF('1. Live'!AQ19='check-Jul''26'!AM19,"",'1. Live'!AQ19-'check-Jul''26'!AM19)</f>
        <v/>
      </c>
      <c r="AN19" s="25" t="str">
        <f>IF('1. Live'!AR19='check-Jul''26'!AN19,"",'1. Live'!AR19-'check-Jul''26'!AN19)</f>
        <v/>
      </c>
      <c r="AO19" s="25" t="str">
        <f>IF('1. Live'!AS19='check-Jul''26'!AO19,"",'1. Live'!AS19-'check-Jul''26'!AO19)</f>
        <v/>
      </c>
      <c r="AP19" s="25" t="str">
        <f>IF('1. Live'!AT19='check-Jul''26'!AP19,"",'1. Live'!AT19-'check-Jul''26'!AP19)</f>
        <v/>
      </c>
      <c r="AQ19" s="25" t="str">
        <f>IF('1. Live'!AU19='check-Jul''26'!AQ19,"",'1. Live'!AU19-'check-Jul''26'!AQ19)</f>
        <v/>
      </c>
      <c r="AR19" s="25" t="str">
        <f>IF('1. Live'!AV19='check-Jul''26'!AR19,"",'1. Live'!AV19-'check-Jul''26'!AR19)</f>
        <v/>
      </c>
      <c r="AS19" s="25" t="str">
        <f>IF('1. Live'!AW19='check-Jul''26'!AS19,"",'1. Live'!AW19-'check-Jul''26'!AS19)</f>
        <v/>
      </c>
      <c r="AT19" s="25" t="str">
        <f>IF('1. Live'!AX19='check-Jul''26'!AT19,"",'1. Live'!AX19-'check-Jul''26'!AT19)</f>
        <v/>
      </c>
      <c r="AU19" s="25" t="str">
        <f>IF('1. Live'!AY19='check-Jul''26'!AU19,"",'1. Live'!AY19-'check-Jul''26'!AU19)</f>
        <v/>
      </c>
      <c r="AV19" s="25" t="str">
        <f>IF('1. Live'!AZ19='check-Jul''26'!AV19,"",'1. Live'!AZ19-'check-Jul''26'!AV19)</f>
        <v/>
      </c>
      <c r="AW19" s="25" t="str">
        <f>IF('1. Live'!BA19='check-Jul''26'!AW19,"",'1. Live'!BA19-'check-Jul''26'!AW19)</f>
        <v/>
      </c>
      <c r="AX19" s="25" t="str">
        <f>IF('1. Live'!BB19='check-Jul''26'!AX19,"",'1. Live'!BB19-'check-Jul''26'!AX19)</f>
        <v/>
      </c>
      <c r="AY19" s="25" t="str">
        <f>IF('1. Live'!BC19='check-Jul''26'!AY19,"",'1. Live'!BC19-'check-Jul''26'!AY19)</f>
        <v/>
      </c>
      <c r="AZ19" s="25" t="str">
        <f>IF('1. Live'!BD19='check-Jul''26'!AZ19,"",'1. Live'!BD19-'check-Jul''26'!AZ19)</f>
        <v/>
      </c>
      <c r="BA19" s="25" t="str">
        <f>IF('1. Live'!BE19='check-Jul''26'!BA19,"",'1. Live'!BE19-'check-Jul''26'!BA19)</f>
        <v/>
      </c>
      <c r="BB19" s="25" t="str">
        <f>IF('1. Live'!BF19='check-Jul''26'!BB19,"",'1. Live'!BF19-'check-Jul''26'!BB19)</f>
        <v/>
      </c>
      <c r="BC19" s="25" t="str">
        <f>IF('1. Live'!BG19='check-Jul''26'!BC19,"",'1. Live'!BG19-'check-Jul''26'!BC19)</f>
        <v/>
      </c>
      <c r="BD19" s="25" t="str">
        <f>IF('1. Live'!BH19='check-Jul''26'!BD19,"",'1. Live'!BH19-'check-Jul''26'!BD19)</f>
        <v/>
      </c>
      <c r="BE19" s="25" t="str">
        <f>IF('1. Live'!BI19='check-Jul''26'!BE19,"",'1. Live'!BI19-'check-Jul''26'!BE19)</f>
        <v/>
      </c>
      <c r="BF19" s="25" t="str">
        <f>IF('1. Live'!BJ19='check-Jul''26'!BF19,"",'1. Live'!BJ19-'check-Jul''26'!BF19)</f>
        <v/>
      </c>
      <c r="BG19" s="25" t="str">
        <f>IF('1. Live'!BK19='check-Jul''26'!BG19,"",'1. Live'!BK19-'check-Jul''26'!BG19)</f>
        <v/>
      </c>
      <c r="BH19" s="25" t="str">
        <f>IF('1. Live'!BL19='check-Jul''26'!BH19,"",'1. Live'!BL19-'check-Jul''26'!BH19)</f>
        <v/>
      </c>
      <c r="BI19" s="25" t="str">
        <f>IF('1. Live'!BM19='check-Jul''26'!BI19,"",'1. Live'!BM19-'check-Jul''26'!BI19)</f>
        <v/>
      </c>
      <c r="BJ19" s="25" t="str">
        <f>IF('1. Live'!BN19='check-Jul''26'!BJ19,"",'1. Live'!BN19-'check-Jul''26'!BJ19)</f>
        <v/>
      </c>
      <c r="BK19" s="25" t="str">
        <f>IF('1. Live'!BO19='check-Jul''26'!BK19,"",'1. Live'!BO19-'check-Jul''26'!BK19)</f>
        <v/>
      </c>
      <c r="BL19" s="25" t="str">
        <f>IF('1. Live'!BP19='check-Jul''26'!BL19,"",'1. Live'!BP19-'check-Jul''26'!BL19)</f>
        <v/>
      </c>
      <c r="BM19" s="25" t="str">
        <f>IF('1. Live'!BQ19='check-Jul''26'!BM19,"",'1. Live'!BQ19-'check-Jul''26'!BM19)</f>
        <v/>
      </c>
      <c r="BN19" s="25" t="str">
        <f>IF('1. Live'!BR19='check-Jul''26'!BN19,"",'1. Live'!BR19-'check-Jul''26'!BN19)</f>
        <v/>
      </c>
      <c r="BO19" s="25" t="str">
        <f>IF('1. Live'!BS19='check-Jul''26'!BO19,"",'1. Live'!BS19-'check-Jul''26'!BO19)</f>
        <v/>
      </c>
      <c r="BP19" s="25" t="str">
        <f>IF('1. Live'!BT19='check-Jul''26'!BP19,"",'1. Live'!BT19-'check-Jul''26'!BP19)</f>
        <v/>
      </c>
      <c r="BQ19" s="25" t="str">
        <f>IF('1. Live'!BU19='check-Jul''26'!BQ19,"",'1. Live'!BU19-'check-Jul''26'!BQ19)</f>
        <v/>
      </c>
      <c r="BR19" s="25" t="str">
        <f>IF('1. Live'!BV19='check-Jul''26'!BR19,"",'1. Live'!BV19-'check-Jul''26'!BR19)</f>
        <v/>
      </c>
      <c r="BS19" s="25" t="str">
        <f>IF('1. Live'!BW19='check-Jul''26'!BS19,"",'1. Live'!BW19-'check-Jul''26'!BS19)</f>
        <v/>
      </c>
      <c r="BT19" s="25" t="str">
        <f>IF('1. Live'!BX19='check-Jul''26'!BT19,"",'1. Live'!BX19-'check-Jul''26'!BT19)</f>
        <v/>
      </c>
      <c r="BU19" s="25" t="str">
        <f>IF('1. Live'!BY19='check-Jul''26'!BU19,"",'1. Live'!BY19-'check-Jul''26'!BU19)</f>
        <v/>
      </c>
      <c r="BV19" s="25" t="str">
        <f>IF('1. Live'!BZ19='check-Jul''26'!BV19,"",'1. Live'!BZ19-'check-Jul''26'!BV19)</f>
        <v/>
      </c>
      <c r="BW19" s="25" t="str">
        <f>IF('1. Live'!CA19='check-Jul''26'!BW19,"",'1. Live'!CA19-'check-Jul''26'!BW19)</f>
        <v/>
      </c>
      <c r="BX19" s="25" t="str">
        <f>IF('1. Live'!CB19='check-Jul''26'!BX19,"",'1. Live'!CB19-'check-Jul''26'!BX19)</f>
        <v/>
      </c>
      <c r="BY19" s="25" t="str">
        <f>IF('1. Live'!CC19='check-Jul''26'!BY19,"",'1. Live'!CC19-'check-Jul''26'!BY19)</f>
        <v/>
      </c>
      <c r="BZ19" s="25" t="str">
        <f>IF('1. Live'!CD19='check-Jul''26'!BZ19,"",'1. Live'!CD19-'check-Jul''26'!BZ19)</f>
        <v/>
      </c>
      <c r="CA19" s="25" t="str">
        <f>IF('1. Live'!CE19='check-Jul''26'!CA19,"",'1. Live'!CE19-'check-Jul''26'!CA19)</f>
        <v/>
      </c>
      <c r="CB19" s="25" t="str">
        <f>IF('1. Live'!CF19='check-Jul''26'!CB19,"",'1. Live'!CF19-'check-Jul''26'!CB19)</f>
        <v/>
      </c>
      <c r="CC19" s="25" t="str">
        <f>IF('1. Live'!CG19='check-Jul''26'!CC19,"",'1. Live'!CG19-'check-Jul''26'!CC19)</f>
        <v/>
      </c>
      <c r="CD19" s="25" t="str">
        <f>IF('1. Live'!CH19='check-Jul''26'!CD19,"",'1. Live'!CH19-'check-Jul''26'!CD19)</f>
        <v/>
      </c>
      <c r="CE19" s="25" t="str">
        <f>IF('1. Live'!CI19='check-Jul''26'!CE19,"",'1. Live'!CI19-'check-Jul''26'!CE19)</f>
        <v/>
      </c>
      <c r="CF19" s="25" t="str">
        <f>IF('1. Live'!CJ19='check-Jul''26'!CF19,"",'1. Live'!CJ19-'check-Jul''26'!CF19)</f>
        <v/>
      </c>
      <c r="CG19" s="25" t="str">
        <f>IF('1. Live'!CK19='check-Jul''26'!CG19,"",'1. Live'!CK19-'check-Jul''26'!CG19)</f>
        <v/>
      </c>
      <c r="CH19" s="25" t="str">
        <f>IF('1. Live'!CL19='check-Jul''26'!CH19,"",'1. Live'!CL19-'check-Jul''26'!CH19)</f>
        <v/>
      </c>
      <c r="CI19" s="25" t="str">
        <f>IF('1. Live'!CM19='check-Jul''26'!CI19,"",'1. Live'!CM19-'check-Jul''26'!CI19)</f>
        <v/>
      </c>
      <c r="CJ19" s="25" t="str">
        <f>IF('1. Live'!CN19='check-Jul''26'!CJ19,"",'1. Live'!CN19-'check-Jul''26'!CJ19)</f>
        <v/>
      </c>
      <c r="CK19" s="25" t="str">
        <f>IF('1. Live'!CO19='check-Jul''26'!CK19,"",'1. Live'!CO19-'check-Jul''26'!CK19)</f>
        <v/>
      </c>
      <c r="CL19" s="25" t="str">
        <f>IF('1. Live'!CP19='check-Jul''26'!CL19,"",'1. Live'!CP19-'check-Jul''26'!CL19)</f>
        <v/>
      </c>
      <c r="CM19" s="25" t="str">
        <f>IF('1. Live'!CQ19='check-Jul''26'!CM19,"",'1. Live'!CQ19-'check-Jul''26'!CM19)</f>
        <v/>
      </c>
      <c r="CN19" s="25" t="str">
        <f>IF('1. Live'!CR19='check-Jul''26'!CN19,"",'1. Live'!CR19-'check-Jul''26'!CN19)</f>
        <v/>
      </c>
      <c r="CO19" s="25" t="str">
        <f>IF('1. Live'!CS19='check-Jul''26'!CO19,"",'1. Live'!CS19-'check-Jul''26'!CO19)</f>
        <v/>
      </c>
      <c r="CP19" s="25" t="str">
        <f>IF('1. Live'!CT19='check-Jul''26'!CP19,"",'1. Live'!CT19-'check-Jul''26'!CP19)</f>
        <v/>
      </c>
      <c r="CQ19" s="25" t="str">
        <f>IF('1. Live'!CU19='check-Jul''26'!CQ19,"",'1. Live'!CU19-'check-Jul''26'!CQ19)</f>
        <v/>
      </c>
      <c r="CR19" s="25" t="str">
        <f>IF('1. Live'!CV19='check-Jul''26'!CR19,"",'1. Live'!CV19-'check-Jul''26'!CR19)</f>
        <v/>
      </c>
      <c r="CS19" s="25" t="str">
        <f>IF('1. Live'!CW19='check-Jul''26'!CS19,"",'1. Live'!CW19-'check-Jul''26'!CS19)</f>
        <v/>
      </c>
      <c r="CT19" s="25" t="str">
        <f>IF('1. Live'!CX19='check-Jul''26'!CT19,"",'1. Live'!CX19-'check-Jul''26'!CT19)</f>
        <v/>
      </c>
      <c r="CU19" s="25" t="str">
        <f>IF('1. Live'!CY19='check-Jul''26'!CU19,"",'1. Live'!CY19-'check-Jul''26'!CU19)</f>
        <v/>
      </c>
      <c r="CV19" s="25" t="str">
        <f>IF('1. Live'!CZ19='check-Jul''26'!CV19,"",'1. Live'!CZ19-'check-Jul''26'!CV19)</f>
        <v/>
      </c>
    </row>
    <row r="20" spans="2:100" x14ac:dyDescent="0.25">
      <c r="B20" s="66"/>
      <c r="C20" s="9"/>
      <c r="D20" s="9"/>
      <c r="E20" s="9"/>
      <c r="F20" s="9"/>
      <c r="G20" s="9"/>
      <c r="H20" s="9"/>
      <c r="I20" s="9"/>
      <c r="J20" s="9"/>
      <c r="K20" s="9"/>
      <c r="L20" s="9"/>
      <c r="M20" s="9"/>
      <c r="N20" s="93" t="str">
        <f>IF('1. Live'!N20='check-Jul''26'!N20,"",'1. Live'!N20-'check-Jul''26'!N20)</f>
        <v/>
      </c>
      <c r="O20" s="18" t="str">
        <f ca="1">IF('1. Live'!O20='check-Jul''26'!O20,"",'1. Live'!O20-'check-Jul''26'!O20)</f>
        <v/>
      </c>
      <c r="P20" s="18" t="str">
        <f ca="1">IF('1. Live'!P20='check-Jul''26'!P20,"",'1. Live'!P20-'check-Jul''26'!P20)</f>
        <v/>
      </c>
      <c r="Q20" s="18" t="str">
        <f ca="1">IF('1. Live'!Q20='check-Jul''26'!Q20,"",'1. Live'!Q20-'check-Jul''26'!Q20)</f>
        <v/>
      </c>
      <c r="R20" s="18" t="str">
        <f ca="1">IF('1. Live'!R20='check-Jul''26'!R20,"",'1. Live'!R20-'check-Jul''26'!R20)</f>
        <v/>
      </c>
      <c r="S20" s="18">
        <f>IF('1. Live'!S20='check-Jul''26'!S20,"",'1. Live'!S20-'check-Jul''26'!S20)</f>
        <v>16.843408764559967</v>
      </c>
      <c r="T20" s="18">
        <f ca="1">IF('1. Live'!T20='check-Jul''26'!T20,"",'1. Live'!T20-'check-Jul''26'!T20)</f>
        <v>16.843408764559967</v>
      </c>
      <c r="U20" s="11">
        <f ca="1">IF('1. Live'!U20='check-Jul''26'!U20,"",'1. Live'!U20-'check-Jul''26'!U20)</f>
        <v>4.205907705281664E-2</v>
      </c>
      <c r="V20" s="9" t="str">
        <f>IF('1. Live'!V20='check-Jul''26'!V20,"",'1. Live'!V20-'check-Jul''26'!V20)</f>
        <v/>
      </c>
      <c r="W20" s="67"/>
      <c r="AA20" s="25" t="str">
        <f>IF('1. Live'!AA20='check-Jul''26'!W20,"",'1. Live'!AA20-'check-Jul''26'!W20)</f>
        <v/>
      </c>
      <c r="AB20" s="25" t="str">
        <f>IF('1. Live'!AF20='check-Jul''26'!AB20,"",'1. Live'!AF20-'check-Jul''26'!AB20)</f>
        <v/>
      </c>
      <c r="AC20" s="25" t="str">
        <f>IF('1. Live'!AG20='check-Jul''26'!AC20,"",'1. Live'!AG20-'check-Jul''26'!AC20)</f>
        <v/>
      </c>
      <c r="AD20" s="25" t="str">
        <f>IF('1. Live'!AH20='check-Jul''26'!AD20,"",'1. Live'!AH20-'check-Jul''26'!AD20)</f>
        <v/>
      </c>
      <c r="AE20" s="25" t="str">
        <f>IF('1. Live'!AI20='check-Jul''26'!AE20,"",'1. Live'!AI20-'check-Jul''26'!AE20)</f>
        <v/>
      </c>
      <c r="AF20" s="25" t="str">
        <f>IF('1. Live'!AJ20='check-Jul''26'!AF20,"",'1. Live'!AJ20-'check-Jul''26'!AF20)</f>
        <v/>
      </c>
      <c r="AG20" s="25" t="str">
        <f>IF('1. Live'!AK20='check-Jul''26'!AG20,"",'1. Live'!AK20-'check-Jul''26'!AG20)</f>
        <v/>
      </c>
      <c r="AH20" s="25" t="str">
        <f>IF('1. Live'!AL20='check-Jul''26'!AH20,"",'1. Live'!AL20-'check-Jul''26'!AH20)</f>
        <v/>
      </c>
      <c r="AI20" s="25" t="str">
        <f>IF('1. Live'!AM20='check-Jul''26'!AI20,"",'1. Live'!AM20-'check-Jul''26'!AI20)</f>
        <v/>
      </c>
      <c r="AJ20" s="25" t="str">
        <f>IF('1. Live'!AN20='check-Jul''26'!AJ20,"",'1. Live'!AN20-'check-Jul''26'!AJ20)</f>
        <v/>
      </c>
      <c r="AK20" s="25" t="str">
        <f>IF('1. Live'!AO20='check-Jul''26'!AK20,"",'1. Live'!AO20-'check-Jul''26'!AK20)</f>
        <v/>
      </c>
      <c r="AL20" s="25" t="str">
        <f>IF('1. Live'!AP20='check-Jul''26'!AL20,"",'1. Live'!AP20-'check-Jul''26'!AL20)</f>
        <v/>
      </c>
      <c r="AM20" s="25" t="str">
        <f>IF('1. Live'!AQ20='check-Jul''26'!AM20,"",'1. Live'!AQ20-'check-Jul''26'!AM20)</f>
        <v/>
      </c>
      <c r="AN20" s="25" t="str">
        <f>IF('1. Live'!AR20='check-Jul''26'!AN20,"",'1. Live'!AR20-'check-Jul''26'!AN20)</f>
        <v/>
      </c>
      <c r="AO20" s="25" t="str">
        <f>IF('1. Live'!AS20='check-Jul''26'!AO20,"",'1. Live'!AS20-'check-Jul''26'!AO20)</f>
        <v/>
      </c>
      <c r="AP20" s="25" t="str">
        <f>IF('1. Live'!AT20='check-Jul''26'!AP20,"",'1. Live'!AT20-'check-Jul''26'!AP20)</f>
        <v/>
      </c>
      <c r="AQ20" s="25" t="str">
        <f>IF('1. Live'!AU20='check-Jul''26'!AQ20,"",'1. Live'!AU20-'check-Jul''26'!AQ20)</f>
        <v/>
      </c>
      <c r="AR20" s="25" t="str">
        <f>IF('1. Live'!AV20='check-Jul''26'!AR20,"",'1. Live'!AV20-'check-Jul''26'!AR20)</f>
        <v/>
      </c>
      <c r="AS20" s="25" t="str">
        <f>IF('1. Live'!AW20='check-Jul''26'!AS20,"",'1. Live'!AW20-'check-Jul''26'!AS20)</f>
        <v/>
      </c>
      <c r="AT20" s="25" t="str">
        <f>IF('1. Live'!AX20='check-Jul''26'!AT20,"",'1. Live'!AX20-'check-Jul''26'!AT20)</f>
        <v/>
      </c>
      <c r="AU20" s="25" t="str">
        <f>IF('1. Live'!AY20='check-Jul''26'!AU20,"",'1. Live'!AY20-'check-Jul''26'!AU20)</f>
        <v/>
      </c>
      <c r="AV20" s="25" t="str">
        <f>IF('1. Live'!AZ20='check-Jul''26'!AV20,"",'1. Live'!AZ20-'check-Jul''26'!AV20)</f>
        <v/>
      </c>
      <c r="AW20" s="25" t="str">
        <f>IF('1. Live'!BA20='check-Jul''26'!AW20,"",'1. Live'!BA20-'check-Jul''26'!AW20)</f>
        <v/>
      </c>
      <c r="AX20" s="25" t="str">
        <f>IF('1. Live'!BB20='check-Jul''26'!AX20,"",'1. Live'!BB20-'check-Jul''26'!AX20)</f>
        <v/>
      </c>
      <c r="AY20" s="25" t="str">
        <f>IF('1. Live'!BC20='check-Jul''26'!AY20,"",'1. Live'!BC20-'check-Jul''26'!AY20)</f>
        <v/>
      </c>
      <c r="AZ20" s="25" t="str">
        <f>IF('1. Live'!BD20='check-Jul''26'!AZ20,"",'1. Live'!BD20-'check-Jul''26'!AZ20)</f>
        <v/>
      </c>
      <c r="BA20" s="25" t="str">
        <f>IF('1. Live'!BE20='check-Jul''26'!BA20,"",'1. Live'!BE20-'check-Jul''26'!BA20)</f>
        <v/>
      </c>
      <c r="BB20" s="25" t="str">
        <f>IF('1. Live'!BF20='check-Jul''26'!BB20,"",'1. Live'!BF20-'check-Jul''26'!BB20)</f>
        <v/>
      </c>
      <c r="BC20" s="25" t="str">
        <f>IF('1. Live'!BG20='check-Jul''26'!BC20,"",'1. Live'!BG20-'check-Jul''26'!BC20)</f>
        <v/>
      </c>
      <c r="BD20" s="25" t="str">
        <f>IF('1. Live'!BH20='check-Jul''26'!BD20,"",'1. Live'!BH20-'check-Jul''26'!BD20)</f>
        <v/>
      </c>
      <c r="BE20" s="25" t="str">
        <f>IF('1. Live'!BI20='check-Jul''26'!BE20,"",'1. Live'!BI20-'check-Jul''26'!BE20)</f>
        <v/>
      </c>
      <c r="BF20" s="25" t="str">
        <f>IF('1. Live'!BJ20='check-Jul''26'!BF20,"",'1. Live'!BJ20-'check-Jul''26'!BF20)</f>
        <v/>
      </c>
      <c r="BG20" s="25" t="str">
        <f>IF('1. Live'!BK20='check-Jul''26'!BG20,"",'1. Live'!BK20-'check-Jul''26'!BG20)</f>
        <v/>
      </c>
      <c r="BH20" s="25" t="str">
        <f>IF('1. Live'!BL20='check-Jul''26'!BH20,"",'1. Live'!BL20-'check-Jul''26'!BH20)</f>
        <v/>
      </c>
      <c r="BI20" s="25" t="str">
        <f>IF('1. Live'!BM20='check-Jul''26'!BI20,"",'1. Live'!BM20-'check-Jul''26'!BI20)</f>
        <v/>
      </c>
      <c r="BJ20" s="25" t="str">
        <f>IF('1. Live'!BN20='check-Jul''26'!BJ20,"",'1. Live'!BN20-'check-Jul''26'!BJ20)</f>
        <v/>
      </c>
      <c r="BK20" s="25" t="str">
        <f>IF('1. Live'!BO20='check-Jul''26'!BK20,"",'1. Live'!BO20-'check-Jul''26'!BK20)</f>
        <v/>
      </c>
      <c r="BL20" s="25" t="str">
        <f>IF('1. Live'!BP20='check-Jul''26'!BL20,"",'1. Live'!BP20-'check-Jul''26'!BL20)</f>
        <v/>
      </c>
      <c r="BM20" s="25" t="str">
        <f>IF('1. Live'!BQ20='check-Jul''26'!BM20,"",'1. Live'!BQ20-'check-Jul''26'!BM20)</f>
        <v/>
      </c>
      <c r="BN20" s="25" t="str">
        <f>IF('1. Live'!BR20='check-Jul''26'!BN20,"",'1. Live'!BR20-'check-Jul''26'!BN20)</f>
        <v/>
      </c>
      <c r="BO20" s="25" t="str">
        <f>IF('1. Live'!BS20='check-Jul''26'!BO20,"",'1. Live'!BS20-'check-Jul''26'!BO20)</f>
        <v/>
      </c>
      <c r="BP20" s="25" t="str">
        <f>IF('1. Live'!BT20='check-Jul''26'!BP20,"",'1. Live'!BT20-'check-Jul''26'!BP20)</f>
        <v/>
      </c>
      <c r="BQ20" s="25" t="str">
        <f>IF('1. Live'!BU20='check-Jul''26'!BQ20,"",'1. Live'!BU20-'check-Jul''26'!BQ20)</f>
        <v/>
      </c>
      <c r="BR20" s="25" t="str">
        <f>IF('1. Live'!BV20='check-Jul''26'!BR20,"",'1. Live'!BV20-'check-Jul''26'!BR20)</f>
        <v/>
      </c>
      <c r="BS20" s="25" t="str">
        <f>IF('1. Live'!BW20='check-Jul''26'!BS20,"",'1. Live'!BW20-'check-Jul''26'!BS20)</f>
        <v/>
      </c>
      <c r="BT20" s="25" t="str">
        <f>IF('1. Live'!BX20='check-Jul''26'!BT20,"",'1. Live'!BX20-'check-Jul''26'!BT20)</f>
        <v/>
      </c>
      <c r="BU20" s="25" t="str">
        <f>IF('1. Live'!BY20='check-Jul''26'!BU20,"",'1. Live'!BY20-'check-Jul''26'!BU20)</f>
        <v/>
      </c>
      <c r="BV20" s="25" t="str">
        <f>IF('1. Live'!BZ20='check-Jul''26'!BV20,"",'1. Live'!BZ20-'check-Jul''26'!BV20)</f>
        <v/>
      </c>
      <c r="BW20" s="25" t="str">
        <f>IF('1. Live'!CA20='check-Jul''26'!BW20,"",'1. Live'!CA20-'check-Jul''26'!BW20)</f>
        <v/>
      </c>
      <c r="BX20" s="25" t="str">
        <f>IF('1. Live'!CB20='check-Jul''26'!BX20,"",'1. Live'!CB20-'check-Jul''26'!BX20)</f>
        <v/>
      </c>
      <c r="BY20" s="25" t="str">
        <f>IF('1. Live'!CC20='check-Jul''26'!BY20,"",'1. Live'!CC20-'check-Jul''26'!BY20)</f>
        <v/>
      </c>
      <c r="BZ20" s="25" t="str">
        <f>IF('1. Live'!CD20='check-Jul''26'!BZ20,"",'1. Live'!CD20-'check-Jul''26'!BZ20)</f>
        <v/>
      </c>
      <c r="CA20" s="25" t="str">
        <f>IF('1. Live'!CE20='check-Jul''26'!CA20,"",'1. Live'!CE20-'check-Jul''26'!CA20)</f>
        <v/>
      </c>
      <c r="CB20" s="25" t="str">
        <f>IF('1. Live'!CF20='check-Jul''26'!CB20,"",'1. Live'!CF20-'check-Jul''26'!CB20)</f>
        <v/>
      </c>
      <c r="CC20" s="25" t="str">
        <f>IF('1. Live'!CG20='check-Jul''26'!CC20,"",'1. Live'!CG20-'check-Jul''26'!CC20)</f>
        <v/>
      </c>
      <c r="CD20" s="25" t="str">
        <f>IF('1. Live'!CH20='check-Jul''26'!CD20,"",'1. Live'!CH20-'check-Jul''26'!CD20)</f>
        <v/>
      </c>
      <c r="CE20" s="25" t="str">
        <f>IF('1. Live'!CI20='check-Jul''26'!CE20,"",'1. Live'!CI20-'check-Jul''26'!CE20)</f>
        <v/>
      </c>
      <c r="CF20" s="25" t="str">
        <f>IF('1. Live'!CJ20='check-Jul''26'!CF20,"",'1. Live'!CJ20-'check-Jul''26'!CF20)</f>
        <v/>
      </c>
      <c r="CG20" s="25" t="str">
        <f>IF('1. Live'!CK20='check-Jul''26'!CG20,"",'1. Live'!CK20-'check-Jul''26'!CG20)</f>
        <v/>
      </c>
      <c r="CH20" s="25" t="str">
        <f>IF('1. Live'!CL20='check-Jul''26'!CH20,"",'1. Live'!CL20-'check-Jul''26'!CH20)</f>
        <v/>
      </c>
      <c r="CI20" s="25" t="str">
        <f>IF('1. Live'!CM20='check-Jul''26'!CI20,"",'1. Live'!CM20-'check-Jul''26'!CI20)</f>
        <v/>
      </c>
      <c r="CJ20" s="25" t="str">
        <f>IF('1. Live'!CN20='check-Jul''26'!CJ20,"",'1. Live'!CN20-'check-Jul''26'!CJ20)</f>
        <v/>
      </c>
      <c r="CK20" s="25" t="str">
        <f>IF('1. Live'!CO20='check-Jul''26'!CK20,"",'1. Live'!CO20-'check-Jul''26'!CK20)</f>
        <v/>
      </c>
      <c r="CL20" s="25" t="str">
        <f>IF('1. Live'!CP20='check-Jul''26'!CL20,"",'1. Live'!CP20-'check-Jul''26'!CL20)</f>
        <v/>
      </c>
      <c r="CM20" s="25" t="str">
        <f>IF('1. Live'!CQ20='check-Jul''26'!CM20,"",'1. Live'!CQ20-'check-Jul''26'!CM20)</f>
        <v/>
      </c>
      <c r="CN20" s="25" t="str">
        <f>IF('1. Live'!CR20='check-Jul''26'!CN20,"",'1. Live'!CR20-'check-Jul''26'!CN20)</f>
        <v/>
      </c>
      <c r="CO20" s="25" t="str">
        <f>IF('1. Live'!CS20='check-Jul''26'!CO20,"",'1. Live'!CS20-'check-Jul''26'!CO20)</f>
        <v/>
      </c>
      <c r="CP20" s="25" t="str">
        <f>IF('1. Live'!CT20='check-Jul''26'!CP20,"",'1. Live'!CT20-'check-Jul''26'!CP20)</f>
        <v/>
      </c>
      <c r="CQ20" s="25" t="str">
        <f>IF('1. Live'!CU20='check-Jul''26'!CQ20,"",'1. Live'!CU20-'check-Jul''26'!CQ20)</f>
        <v/>
      </c>
      <c r="CR20" s="25" t="str">
        <f>IF('1. Live'!CV20='check-Jul''26'!CR20,"",'1. Live'!CV20-'check-Jul''26'!CR20)</f>
        <v/>
      </c>
      <c r="CS20" s="25" t="str">
        <f>IF('1. Live'!CW20='check-Jul''26'!CS20,"",'1. Live'!CW20-'check-Jul''26'!CS20)</f>
        <v/>
      </c>
      <c r="CT20" s="25" t="str">
        <f>IF('1. Live'!CX20='check-Jul''26'!CT20,"",'1. Live'!CX20-'check-Jul''26'!CT20)</f>
        <v/>
      </c>
      <c r="CU20" s="25" t="str">
        <f>IF('1. Live'!CY20='check-Jul''26'!CU20,"",'1. Live'!CY20-'check-Jul''26'!CU20)</f>
        <v/>
      </c>
      <c r="CV20" s="25" t="str">
        <f>IF('1. Live'!CZ20='check-Jul''26'!CV20,"",'1. Live'!CZ20-'check-Jul''26'!CV20)</f>
        <v/>
      </c>
    </row>
    <row r="21" spans="2:100" x14ac:dyDescent="0.25">
      <c r="B21" s="66"/>
      <c r="C21" s="143"/>
      <c r="D21" s="143"/>
      <c r="E21" s="143"/>
      <c r="F21" s="143"/>
      <c r="G21" s="143"/>
      <c r="H21" s="143"/>
      <c r="I21" s="143"/>
      <c r="J21" s="143"/>
      <c r="K21" s="143"/>
      <c r="L21" s="143"/>
      <c r="M21" s="143"/>
      <c r="N21" s="92" t="str">
        <f>IF('1. Live'!N21='check-Jul''26'!N21,"",'1. Live'!N21-'check-Jul''26'!N21)</f>
        <v/>
      </c>
      <c r="O21" s="26" t="str">
        <f>IF('1. Live'!O21='check-Jul''26'!O21,"",'1. Live'!O21-'check-Jul''26'!O21)</f>
        <v/>
      </c>
      <c r="P21" s="26" t="str">
        <f>IF('1. Live'!P21='check-Jul''26'!P21,"",'1. Live'!P21-'check-Jul''26'!P21)</f>
        <v/>
      </c>
      <c r="Q21" s="144" t="str">
        <f>IF('1. Live'!Q21='check-Jul''26'!Q21,"",'1. Live'!Q21-'check-Jul''26'!Q21)</f>
        <v/>
      </c>
      <c r="R21" s="26" t="str">
        <f>IF('1. Live'!R21='check-Jul''26'!R21,"",'1. Live'!R21-'check-Jul''26'!R21)</f>
        <v/>
      </c>
      <c r="S21" s="26" t="str">
        <f>IF('1. Live'!S21='check-Jul''26'!S21,"",'1. Live'!S21-'check-Jul''26'!S21)</f>
        <v/>
      </c>
      <c r="T21" s="26" t="str">
        <f>IF('1. Live'!T21='check-Jul''26'!T21,"",'1. Live'!T21-'check-Jul''26'!T21)</f>
        <v/>
      </c>
      <c r="U21" s="145" t="str">
        <f>IF('1. Live'!U21='check-Jul''26'!U21,"",'1. Live'!U21-'check-Jul''26'!U21)</f>
        <v/>
      </c>
      <c r="V21" s="143" t="str">
        <f>IF('1. Live'!V21='check-Jul''26'!V21,"",'1. Live'!V21-'check-Jul''26'!V21)</f>
        <v/>
      </c>
      <c r="W21" s="67"/>
      <c r="AA21" s="25" t="str">
        <f>IF('1. Live'!AA21='check-Jul''26'!W21,"",'1. Live'!AA21-'check-Jul''26'!W21)</f>
        <v/>
      </c>
      <c r="AB21" s="25" t="str">
        <f>IF('1. Live'!AF21='check-Jul''26'!AB21,"",'1. Live'!AF21-'check-Jul''26'!AB21)</f>
        <v/>
      </c>
      <c r="AC21" s="25" t="str">
        <f>IF('1. Live'!AG21='check-Jul''26'!AC21,"",'1. Live'!AG21-'check-Jul''26'!AC21)</f>
        <v/>
      </c>
      <c r="AD21" s="25" t="str">
        <f>IF('1. Live'!AH21='check-Jul''26'!AD21,"",'1. Live'!AH21-'check-Jul''26'!AD21)</f>
        <v/>
      </c>
      <c r="AE21" s="25" t="str">
        <f>IF('1. Live'!AI21='check-Jul''26'!AE21,"",'1. Live'!AI21-'check-Jul''26'!AE21)</f>
        <v/>
      </c>
      <c r="AF21" s="25" t="str">
        <f>IF('1. Live'!AJ21='check-Jul''26'!AF21,"",'1. Live'!AJ21-'check-Jul''26'!AF21)</f>
        <v/>
      </c>
      <c r="AG21" s="25" t="str">
        <f>IF('1. Live'!AK21='check-Jul''26'!AG21,"",'1. Live'!AK21-'check-Jul''26'!AG21)</f>
        <v/>
      </c>
      <c r="AH21" s="25" t="str">
        <f>IF('1. Live'!AL21='check-Jul''26'!AH21,"",'1. Live'!AL21-'check-Jul''26'!AH21)</f>
        <v/>
      </c>
      <c r="AI21" s="25" t="str">
        <f>IF('1. Live'!AM21='check-Jul''26'!AI21,"",'1. Live'!AM21-'check-Jul''26'!AI21)</f>
        <v/>
      </c>
      <c r="AJ21" s="25" t="str">
        <f>IF('1. Live'!AN21='check-Jul''26'!AJ21,"",'1. Live'!AN21-'check-Jul''26'!AJ21)</f>
        <v/>
      </c>
      <c r="AK21" s="25" t="str">
        <f>IF('1. Live'!AO21='check-Jul''26'!AK21,"",'1. Live'!AO21-'check-Jul''26'!AK21)</f>
        <v/>
      </c>
      <c r="AL21" s="25" t="str">
        <f>IF('1. Live'!AP21='check-Jul''26'!AL21,"",'1. Live'!AP21-'check-Jul''26'!AL21)</f>
        <v/>
      </c>
      <c r="AM21" s="25" t="str">
        <f>IF('1. Live'!AQ21='check-Jul''26'!AM21,"",'1. Live'!AQ21-'check-Jul''26'!AM21)</f>
        <v/>
      </c>
      <c r="AN21" s="25" t="str">
        <f>IF('1. Live'!AR21='check-Jul''26'!AN21,"",'1. Live'!AR21-'check-Jul''26'!AN21)</f>
        <v/>
      </c>
      <c r="AO21" s="25" t="str">
        <f>IF('1. Live'!AS21='check-Jul''26'!AO21,"",'1. Live'!AS21-'check-Jul''26'!AO21)</f>
        <v/>
      </c>
      <c r="AP21" s="25" t="str">
        <f>IF('1. Live'!AT21='check-Jul''26'!AP21,"",'1. Live'!AT21-'check-Jul''26'!AP21)</f>
        <v/>
      </c>
      <c r="AQ21" s="25" t="str">
        <f>IF('1. Live'!AU21='check-Jul''26'!AQ21,"",'1. Live'!AU21-'check-Jul''26'!AQ21)</f>
        <v/>
      </c>
      <c r="AR21" s="25" t="str">
        <f>IF('1. Live'!AV21='check-Jul''26'!AR21,"",'1. Live'!AV21-'check-Jul''26'!AR21)</f>
        <v/>
      </c>
      <c r="AS21" s="25" t="str">
        <f>IF('1. Live'!AW21='check-Jul''26'!AS21,"",'1. Live'!AW21-'check-Jul''26'!AS21)</f>
        <v/>
      </c>
      <c r="AT21" s="25" t="str">
        <f>IF('1. Live'!AX21='check-Jul''26'!AT21,"",'1. Live'!AX21-'check-Jul''26'!AT21)</f>
        <v/>
      </c>
      <c r="AU21" s="25" t="str">
        <f>IF('1. Live'!AY21='check-Jul''26'!AU21,"",'1. Live'!AY21-'check-Jul''26'!AU21)</f>
        <v/>
      </c>
      <c r="AV21" s="25" t="str">
        <f>IF('1. Live'!AZ21='check-Jul''26'!AV21,"",'1. Live'!AZ21-'check-Jul''26'!AV21)</f>
        <v/>
      </c>
      <c r="AW21" s="25" t="str">
        <f>IF('1. Live'!BA21='check-Jul''26'!AW21,"",'1. Live'!BA21-'check-Jul''26'!AW21)</f>
        <v/>
      </c>
      <c r="AX21" s="25" t="str">
        <f>IF('1. Live'!BB21='check-Jul''26'!AX21,"",'1. Live'!BB21-'check-Jul''26'!AX21)</f>
        <v/>
      </c>
      <c r="AY21" s="25" t="str">
        <f>IF('1. Live'!BC21='check-Jul''26'!AY21,"",'1. Live'!BC21-'check-Jul''26'!AY21)</f>
        <v/>
      </c>
      <c r="AZ21" s="25" t="str">
        <f>IF('1. Live'!BD21='check-Jul''26'!AZ21,"",'1. Live'!BD21-'check-Jul''26'!AZ21)</f>
        <v/>
      </c>
      <c r="BA21" s="25" t="str">
        <f>IF('1. Live'!BE21='check-Jul''26'!BA21,"",'1. Live'!BE21-'check-Jul''26'!BA21)</f>
        <v/>
      </c>
      <c r="BB21" s="25" t="str">
        <f>IF('1. Live'!BF21='check-Jul''26'!BB21,"",'1. Live'!BF21-'check-Jul''26'!BB21)</f>
        <v/>
      </c>
      <c r="BC21" s="25" t="str">
        <f>IF('1. Live'!BG21='check-Jul''26'!BC21,"",'1. Live'!BG21-'check-Jul''26'!BC21)</f>
        <v/>
      </c>
      <c r="BD21" s="25" t="str">
        <f>IF('1. Live'!BH21='check-Jul''26'!BD21,"",'1. Live'!BH21-'check-Jul''26'!BD21)</f>
        <v/>
      </c>
      <c r="BE21" s="25" t="str">
        <f>IF('1. Live'!BI21='check-Jul''26'!BE21,"",'1. Live'!BI21-'check-Jul''26'!BE21)</f>
        <v/>
      </c>
      <c r="BF21" s="25" t="str">
        <f>IF('1. Live'!BJ21='check-Jul''26'!BF21,"",'1. Live'!BJ21-'check-Jul''26'!BF21)</f>
        <v/>
      </c>
      <c r="BG21" s="25" t="str">
        <f>IF('1. Live'!BK21='check-Jul''26'!BG21,"",'1. Live'!BK21-'check-Jul''26'!BG21)</f>
        <v/>
      </c>
      <c r="BH21" s="25" t="str">
        <f>IF('1. Live'!BL21='check-Jul''26'!BH21,"",'1. Live'!BL21-'check-Jul''26'!BH21)</f>
        <v/>
      </c>
      <c r="BI21" s="25" t="str">
        <f>IF('1. Live'!BM21='check-Jul''26'!BI21,"",'1. Live'!BM21-'check-Jul''26'!BI21)</f>
        <v/>
      </c>
      <c r="BJ21" s="25" t="str">
        <f>IF('1. Live'!BN21='check-Jul''26'!BJ21,"",'1. Live'!BN21-'check-Jul''26'!BJ21)</f>
        <v/>
      </c>
      <c r="BK21" s="25" t="str">
        <f>IF('1. Live'!BO21='check-Jul''26'!BK21,"",'1. Live'!BO21-'check-Jul''26'!BK21)</f>
        <v/>
      </c>
      <c r="BL21" s="25" t="str">
        <f>IF('1. Live'!BP21='check-Jul''26'!BL21,"",'1. Live'!BP21-'check-Jul''26'!BL21)</f>
        <v/>
      </c>
      <c r="BM21" s="25" t="str">
        <f>IF('1. Live'!BQ21='check-Jul''26'!BM21,"",'1. Live'!BQ21-'check-Jul''26'!BM21)</f>
        <v/>
      </c>
      <c r="BN21" s="25" t="str">
        <f>IF('1. Live'!BR21='check-Jul''26'!BN21,"",'1. Live'!BR21-'check-Jul''26'!BN21)</f>
        <v/>
      </c>
      <c r="BO21" s="25" t="str">
        <f>IF('1. Live'!BS21='check-Jul''26'!BO21,"",'1. Live'!BS21-'check-Jul''26'!BO21)</f>
        <v/>
      </c>
      <c r="BP21" s="25" t="str">
        <f>IF('1. Live'!BT21='check-Jul''26'!BP21,"",'1. Live'!BT21-'check-Jul''26'!BP21)</f>
        <v/>
      </c>
      <c r="BQ21" s="25" t="str">
        <f>IF('1. Live'!BU21='check-Jul''26'!BQ21,"",'1. Live'!BU21-'check-Jul''26'!BQ21)</f>
        <v/>
      </c>
      <c r="BR21" s="25" t="str">
        <f>IF('1. Live'!BV21='check-Jul''26'!BR21,"",'1. Live'!BV21-'check-Jul''26'!BR21)</f>
        <v/>
      </c>
      <c r="BS21" s="25" t="str">
        <f>IF('1. Live'!BW21='check-Jul''26'!BS21,"",'1. Live'!BW21-'check-Jul''26'!BS21)</f>
        <v/>
      </c>
      <c r="BT21" s="25" t="str">
        <f>IF('1. Live'!BX21='check-Jul''26'!BT21,"",'1. Live'!BX21-'check-Jul''26'!BT21)</f>
        <v/>
      </c>
      <c r="BU21" s="25" t="str">
        <f>IF('1. Live'!BY21='check-Jul''26'!BU21,"",'1. Live'!BY21-'check-Jul''26'!BU21)</f>
        <v/>
      </c>
      <c r="BV21" s="25" t="str">
        <f>IF('1. Live'!BZ21='check-Jul''26'!BV21,"",'1. Live'!BZ21-'check-Jul''26'!BV21)</f>
        <v/>
      </c>
      <c r="BW21" s="25" t="str">
        <f>IF('1. Live'!CA21='check-Jul''26'!BW21,"",'1. Live'!CA21-'check-Jul''26'!BW21)</f>
        <v/>
      </c>
      <c r="BX21" s="25" t="str">
        <f>IF('1. Live'!CB21='check-Jul''26'!BX21,"",'1. Live'!CB21-'check-Jul''26'!BX21)</f>
        <v/>
      </c>
      <c r="BY21" s="25" t="str">
        <f>IF('1. Live'!CC21='check-Jul''26'!BY21,"",'1. Live'!CC21-'check-Jul''26'!BY21)</f>
        <v/>
      </c>
      <c r="BZ21" s="25" t="str">
        <f>IF('1. Live'!CD21='check-Jul''26'!BZ21,"",'1. Live'!CD21-'check-Jul''26'!BZ21)</f>
        <v/>
      </c>
      <c r="CA21" s="25" t="str">
        <f>IF('1. Live'!CE21='check-Jul''26'!CA21,"",'1. Live'!CE21-'check-Jul''26'!CA21)</f>
        <v/>
      </c>
      <c r="CB21" s="25" t="str">
        <f>IF('1. Live'!CF21='check-Jul''26'!CB21,"",'1. Live'!CF21-'check-Jul''26'!CB21)</f>
        <v/>
      </c>
      <c r="CC21" s="25" t="str">
        <f>IF('1. Live'!CG21='check-Jul''26'!CC21,"",'1. Live'!CG21-'check-Jul''26'!CC21)</f>
        <v/>
      </c>
      <c r="CD21" s="25" t="str">
        <f>IF('1. Live'!CH21='check-Jul''26'!CD21,"",'1. Live'!CH21-'check-Jul''26'!CD21)</f>
        <v/>
      </c>
      <c r="CE21" s="25" t="str">
        <f>IF('1. Live'!CI21='check-Jul''26'!CE21,"",'1. Live'!CI21-'check-Jul''26'!CE21)</f>
        <v/>
      </c>
      <c r="CF21" s="25" t="str">
        <f>IF('1. Live'!CJ21='check-Jul''26'!CF21,"",'1. Live'!CJ21-'check-Jul''26'!CF21)</f>
        <v/>
      </c>
      <c r="CG21" s="25" t="str">
        <f>IF('1. Live'!CK21='check-Jul''26'!CG21,"",'1. Live'!CK21-'check-Jul''26'!CG21)</f>
        <v/>
      </c>
      <c r="CH21" s="25" t="str">
        <f>IF('1. Live'!CL21='check-Jul''26'!CH21,"",'1. Live'!CL21-'check-Jul''26'!CH21)</f>
        <v/>
      </c>
      <c r="CI21" s="25" t="str">
        <f>IF('1. Live'!CM21='check-Jul''26'!CI21,"",'1. Live'!CM21-'check-Jul''26'!CI21)</f>
        <v/>
      </c>
      <c r="CJ21" s="25" t="str">
        <f>IF('1. Live'!CN21='check-Jul''26'!CJ21,"",'1. Live'!CN21-'check-Jul''26'!CJ21)</f>
        <v/>
      </c>
      <c r="CK21" s="25" t="str">
        <f>IF('1. Live'!CO21='check-Jul''26'!CK21,"",'1. Live'!CO21-'check-Jul''26'!CK21)</f>
        <v/>
      </c>
      <c r="CL21" s="25" t="str">
        <f>IF('1. Live'!CP21='check-Jul''26'!CL21,"",'1. Live'!CP21-'check-Jul''26'!CL21)</f>
        <v/>
      </c>
      <c r="CM21" s="25" t="str">
        <f>IF('1. Live'!CQ21='check-Jul''26'!CM21,"",'1. Live'!CQ21-'check-Jul''26'!CM21)</f>
        <v/>
      </c>
      <c r="CN21" s="25" t="str">
        <f>IF('1. Live'!CR21='check-Jul''26'!CN21,"",'1. Live'!CR21-'check-Jul''26'!CN21)</f>
        <v/>
      </c>
      <c r="CO21" s="25" t="str">
        <f>IF('1. Live'!CS21='check-Jul''26'!CO21,"",'1. Live'!CS21-'check-Jul''26'!CO21)</f>
        <v/>
      </c>
      <c r="CP21" s="25" t="str">
        <f>IF('1. Live'!CT21='check-Jul''26'!CP21,"",'1. Live'!CT21-'check-Jul''26'!CP21)</f>
        <v/>
      </c>
      <c r="CQ21" s="25" t="str">
        <f>IF('1. Live'!CU21='check-Jul''26'!CQ21,"",'1. Live'!CU21-'check-Jul''26'!CQ21)</f>
        <v/>
      </c>
      <c r="CR21" s="25" t="str">
        <f>IF('1. Live'!CV21='check-Jul''26'!CR21,"",'1. Live'!CV21-'check-Jul''26'!CR21)</f>
        <v/>
      </c>
      <c r="CS21" s="25" t="str">
        <f>IF('1. Live'!CW21='check-Jul''26'!CS21,"",'1. Live'!CW21-'check-Jul''26'!CS21)</f>
        <v/>
      </c>
      <c r="CT21" s="25" t="str">
        <f>IF('1. Live'!CX21='check-Jul''26'!CT21,"",'1. Live'!CX21-'check-Jul''26'!CT21)</f>
        <v/>
      </c>
      <c r="CU21" s="25" t="str">
        <f>IF('1. Live'!CY21='check-Jul''26'!CU21,"",'1. Live'!CY21-'check-Jul''26'!CU21)</f>
        <v/>
      </c>
      <c r="CV21" s="25" t="str">
        <f>IF('1. Live'!CZ21='check-Jul''26'!CV21,"",'1. Live'!CZ21-'check-Jul''26'!CV21)</f>
        <v/>
      </c>
    </row>
    <row r="22" spans="2:100" x14ac:dyDescent="0.25">
      <c r="B22" s="66"/>
      <c r="C22" s="394" t="s">
        <v>521</v>
      </c>
      <c r="D22" s="559"/>
      <c r="E22" s="559"/>
      <c r="F22" s="559"/>
      <c r="G22" s="559"/>
      <c r="H22" s="559"/>
      <c r="I22" s="316"/>
      <c r="J22" s="317"/>
      <c r="K22" s="317"/>
      <c r="L22" s="317"/>
      <c r="M22" s="318"/>
      <c r="N22" s="319" t="str">
        <f>IF('1. Live'!N22='check-Jul''26'!N22,"",'1. Live'!N22-'check-Jul''26'!N22)</f>
        <v/>
      </c>
      <c r="O22" s="320" t="str">
        <f>IF('1. Live'!O22='check-Jul''26'!O22,"",'1. Live'!O22-'check-Jul''26'!O22)</f>
        <v/>
      </c>
      <c r="P22" s="320" t="str">
        <f>IF('1. Live'!P22='check-Jul''26'!P22,"",'1. Live'!P22-'check-Jul''26'!P22)</f>
        <v/>
      </c>
      <c r="Q22" s="320" t="str">
        <f>IF('1. Live'!Q22='check-Jul''26'!Q22,"",'1. Live'!Q22-'check-Jul''26'!Q22)</f>
        <v/>
      </c>
      <c r="R22" s="320" t="str">
        <f>IF('1. Live'!R22='check-Jul''26'!R22,"",'1. Live'!R22-'check-Jul''26'!R22)</f>
        <v/>
      </c>
      <c r="S22" s="320" t="str">
        <f>IF('1. Live'!S22='check-Jul''26'!S22,"",'1. Live'!S22-'check-Jul''26'!S22)</f>
        <v/>
      </c>
      <c r="T22" s="320" t="str">
        <f>IF('1. Live'!T22='check-Jul''26'!T22,"",'1. Live'!T22-'check-Jul''26'!T22)</f>
        <v/>
      </c>
      <c r="U22" s="321" t="str">
        <f>IF('1. Live'!U22='check-Jul''26'!U22,"",'1. Live'!U22-'check-Jul''26'!U22)</f>
        <v/>
      </c>
      <c r="V22" s="317" t="str">
        <f>IF('1. Live'!V22='check-Jul''26'!V22,"",'1. Live'!V22-'check-Jul''26'!V22)</f>
        <v/>
      </c>
      <c r="W22" s="67"/>
      <c r="AA22" s="25" t="str">
        <f>IF('1. Live'!AA22='check-Jul''26'!W22,"",'1. Live'!AA22-'check-Jul''26'!W22)</f>
        <v/>
      </c>
      <c r="AB22" s="25" t="str">
        <f>IF('1. Live'!AF22='check-Jul''26'!AB22,"",'1. Live'!AF22-'check-Jul''26'!AB22)</f>
        <v/>
      </c>
      <c r="AC22" s="25" t="str">
        <f>IF('1. Live'!AG22='check-Jul''26'!AC22,"",'1. Live'!AG22-'check-Jul''26'!AC22)</f>
        <v/>
      </c>
      <c r="AD22" s="25" t="str">
        <f>IF('1. Live'!AH22='check-Jul''26'!AD22,"",'1. Live'!AH22-'check-Jul''26'!AD22)</f>
        <v/>
      </c>
      <c r="AE22" s="25" t="str">
        <f>IF('1. Live'!AI22='check-Jul''26'!AE22,"",'1. Live'!AI22-'check-Jul''26'!AE22)</f>
        <v/>
      </c>
      <c r="AF22" s="25" t="str">
        <f>IF('1. Live'!AJ22='check-Jul''26'!AF22,"",'1. Live'!AJ22-'check-Jul''26'!AF22)</f>
        <v/>
      </c>
      <c r="AG22" s="25" t="str">
        <f>IF('1. Live'!AK22='check-Jul''26'!AG22,"",'1. Live'!AK22-'check-Jul''26'!AG22)</f>
        <v/>
      </c>
      <c r="AH22" s="25" t="str">
        <f>IF('1. Live'!AL22='check-Jul''26'!AH22,"",'1. Live'!AL22-'check-Jul''26'!AH22)</f>
        <v/>
      </c>
      <c r="AI22" s="25" t="str">
        <f>IF('1. Live'!AM22='check-Jul''26'!AI22,"",'1. Live'!AM22-'check-Jul''26'!AI22)</f>
        <v/>
      </c>
      <c r="AJ22" s="25" t="str">
        <f>IF('1. Live'!AN22='check-Jul''26'!AJ22,"",'1. Live'!AN22-'check-Jul''26'!AJ22)</f>
        <v/>
      </c>
      <c r="AK22" s="25" t="str">
        <f>IF('1. Live'!AO22='check-Jul''26'!AK22,"",'1. Live'!AO22-'check-Jul''26'!AK22)</f>
        <v/>
      </c>
      <c r="AL22" s="25" t="str">
        <f>IF('1. Live'!AP22='check-Jul''26'!AL22,"",'1. Live'!AP22-'check-Jul''26'!AL22)</f>
        <v/>
      </c>
      <c r="AM22" s="25" t="str">
        <f>IF('1. Live'!AQ22='check-Jul''26'!AM22,"",'1. Live'!AQ22-'check-Jul''26'!AM22)</f>
        <v/>
      </c>
      <c r="AN22" s="25" t="str">
        <f>IF('1. Live'!AR22='check-Jul''26'!AN22,"",'1. Live'!AR22-'check-Jul''26'!AN22)</f>
        <v/>
      </c>
      <c r="AO22" s="25" t="str">
        <f>IF('1. Live'!AS22='check-Jul''26'!AO22,"",'1. Live'!AS22-'check-Jul''26'!AO22)</f>
        <v/>
      </c>
      <c r="AP22" s="25" t="str">
        <f>IF('1. Live'!AT22='check-Jul''26'!AP22,"",'1. Live'!AT22-'check-Jul''26'!AP22)</f>
        <v/>
      </c>
      <c r="AQ22" s="25" t="str">
        <f>IF('1. Live'!AU22='check-Jul''26'!AQ22,"",'1. Live'!AU22-'check-Jul''26'!AQ22)</f>
        <v/>
      </c>
      <c r="AR22" s="25" t="str">
        <f>IF('1. Live'!AV22='check-Jul''26'!AR22,"",'1. Live'!AV22-'check-Jul''26'!AR22)</f>
        <v/>
      </c>
      <c r="AS22" s="25" t="str">
        <f>IF('1. Live'!AW22='check-Jul''26'!AS22,"",'1. Live'!AW22-'check-Jul''26'!AS22)</f>
        <v/>
      </c>
      <c r="AT22" s="25" t="str">
        <f>IF('1. Live'!AX22='check-Jul''26'!AT22,"",'1. Live'!AX22-'check-Jul''26'!AT22)</f>
        <v/>
      </c>
      <c r="AU22" s="25" t="str">
        <f>IF('1. Live'!AY22='check-Jul''26'!AU22,"",'1. Live'!AY22-'check-Jul''26'!AU22)</f>
        <v/>
      </c>
      <c r="AV22" s="25" t="str">
        <f>IF('1. Live'!AZ22='check-Jul''26'!AV22,"",'1. Live'!AZ22-'check-Jul''26'!AV22)</f>
        <v/>
      </c>
      <c r="AW22" s="25" t="str">
        <f>IF('1. Live'!BA22='check-Jul''26'!AW22,"",'1. Live'!BA22-'check-Jul''26'!AW22)</f>
        <v/>
      </c>
      <c r="AX22" s="25" t="str">
        <f>IF('1. Live'!BB22='check-Jul''26'!AX22,"",'1. Live'!BB22-'check-Jul''26'!AX22)</f>
        <v/>
      </c>
      <c r="AY22" s="25" t="str">
        <f>IF('1. Live'!BC22='check-Jul''26'!AY22,"",'1. Live'!BC22-'check-Jul''26'!AY22)</f>
        <v/>
      </c>
      <c r="AZ22" s="25" t="str">
        <f>IF('1. Live'!BD22='check-Jul''26'!AZ22,"",'1. Live'!BD22-'check-Jul''26'!AZ22)</f>
        <v/>
      </c>
      <c r="BA22" s="25" t="str">
        <f>IF('1. Live'!BE22='check-Jul''26'!BA22,"",'1. Live'!BE22-'check-Jul''26'!BA22)</f>
        <v/>
      </c>
      <c r="BB22" s="25" t="str">
        <f>IF('1. Live'!BF22='check-Jul''26'!BB22,"",'1. Live'!BF22-'check-Jul''26'!BB22)</f>
        <v/>
      </c>
      <c r="BC22" s="25" t="str">
        <f>IF('1. Live'!BG22='check-Jul''26'!BC22,"",'1. Live'!BG22-'check-Jul''26'!BC22)</f>
        <v/>
      </c>
      <c r="BD22" s="25" t="str">
        <f>IF('1. Live'!BH22='check-Jul''26'!BD22,"",'1. Live'!BH22-'check-Jul''26'!BD22)</f>
        <v/>
      </c>
      <c r="BE22" s="25" t="str">
        <f>IF('1. Live'!BI22='check-Jul''26'!BE22,"",'1. Live'!BI22-'check-Jul''26'!BE22)</f>
        <v/>
      </c>
      <c r="BF22" s="25" t="str">
        <f>IF('1. Live'!BJ22='check-Jul''26'!BF22,"",'1. Live'!BJ22-'check-Jul''26'!BF22)</f>
        <v/>
      </c>
      <c r="BG22" s="25" t="str">
        <f>IF('1. Live'!BK22='check-Jul''26'!BG22,"",'1. Live'!BK22-'check-Jul''26'!BG22)</f>
        <v/>
      </c>
      <c r="BH22" s="25" t="str">
        <f>IF('1. Live'!BL22='check-Jul''26'!BH22,"",'1. Live'!BL22-'check-Jul''26'!BH22)</f>
        <v/>
      </c>
      <c r="BI22" s="25" t="str">
        <f>IF('1. Live'!BM22='check-Jul''26'!BI22,"",'1. Live'!BM22-'check-Jul''26'!BI22)</f>
        <v/>
      </c>
      <c r="BJ22" s="25" t="str">
        <f>IF('1. Live'!BN22='check-Jul''26'!BJ22,"",'1. Live'!BN22-'check-Jul''26'!BJ22)</f>
        <v/>
      </c>
      <c r="BK22" s="25" t="str">
        <f>IF('1. Live'!BO22='check-Jul''26'!BK22,"",'1. Live'!BO22-'check-Jul''26'!BK22)</f>
        <v/>
      </c>
      <c r="BL22" s="25" t="str">
        <f>IF('1. Live'!BP22='check-Jul''26'!BL22,"",'1. Live'!BP22-'check-Jul''26'!BL22)</f>
        <v/>
      </c>
      <c r="BM22" s="25" t="str">
        <f>IF('1. Live'!BQ22='check-Jul''26'!BM22,"",'1. Live'!BQ22-'check-Jul''26'!BM22)</f>
        <v/>
      </c>
      <c r="BN22" s="25" t="str">
        <f>IF('1. Live'!BR22='check-Jul''26'!BN22,"",'1. Live'!BR22-'check-Jul''26'!BN22)</f>
        <v/>
      </c>
      <c r="BO22" s="25" t="str">
        <f>IF('1. Live'!BS22='check-Jul''26'!BO22,"",'1. Live'!BS22-'check-Jul''26'!BO22)</f>
        <v/>
      </c>
      <c r="BP22" s="25" t="str">
        <f>IF('1. Live'!BT22='check-Jul''26'!BP22,"",'1. Live'!BT22-'check-Jul''26'!BP22)</f>
        <v/>
      </c>
      <c r="BQ22" s="25" t="str">
        <f>IF('1. Live'!BU22='check-Jul''26'!BQ22,"",'1. Live'!BU22-'check-Jul''26'!BQ22)</f>
        <v/>
      </c>
      <c r="BR22" s="25" t="str">
        <f>IF('1. Live'!BV22='check-Jul''26'!BR22,"",'1. Live'!BV22-'check-Jul''26'!BR22)</f>
        <v/>
      </c>
      <c r="BS22" s="25" t="str">
        <f>IF('1. Live'!BW22='check-Jul''26'!BS22,"",'1. Live'!BW22-'check-Jul''26'!BS22)</f>
        <v/>
      </c>
      <c r="BT22" s="25" t="str">
        <f>IF('1. Live'!BX22='check-Jul''26'!BT22,"",'1. Live'!BX22-'check-Jul''26'!BT22)</f>
        <v/>
      </c>
      <c r="BU22" s="25" t="str">
        <f>IF('1. Live'!BY22='check-Jul''26'!BU22,"",'1. Live'!BY22-'check-Jul''26'!BU22)</f>
        <v/>
      </c>
      <c r="BV22" s="25" t="str">
        <f>IF('1. Live'!BZ22='check-Jul''26'!BV22,"",'1. Live'!BZ22-'check-Jul''26'!BV22)</f>
        <v/>
      </c>
      <c r="BW22" s="25" t="str">
        <f>IF('1. Live'!CA22='check-Jul''26'!BW22,"",'1. Live'!CA22-'check-Jul''26'!BW22)</f>
        <v/>
      </c>
      <c r="BX22" s="25" t="str">
        <f>IF('1. Live'!CB22='check-Jul''26'!BX22,"",'1. Live'!CB22-'check-Jul''26'!BX22)</f>
        <v/>
      </c>
      <c r="BY22" s="25" t="str">
        <f>IF('1. Live'!CC22='check-Jul''26'!BY22,"",'1. Live'!CC22-'check-Jul''26'!BY22)</f>
        <v/>
      </c>
      <c r="BZ22" s="25" t="str">
        <f>IF('1. Live'!CD22='check-Jul''26'!BZ22,"",'1. Live'!CD22-'check-Jul''26'!BZ22)</f>
        <v/>
      </c>
      <c r="CA22" s="25" t="str">
        <f>IF('1. Live'!CE22='check-Jul''26'!CA22,"",'1. Live'!CE22-'check-Jul''26'!CA22)</f>
        <v/>
      </c>
      <c r="CB22" s="25" t="str">
        <f>IF('1. Live'!CF22='check-Jul''26'!CB22,"",'1. Live'!CF22-'check-Jul''26'!CB22)</f>
        <v/>
      </c>
      <c r="CC22" s="25" t="str">
        <f>IF('1. Live'!CG22='check-Jul''26'!CC22,"",'1. Live'!CG22-'check-Jul''26'!CC22)</f>
        <v/>
      </c>
      <c r="CD22" s="25" t="str">
        <f>IF('1. Live'!CH22='check-Jul''26'!CD22,"",'1. Live'!CH22-'check-Jul''26'!CD22)</f>
        <v/>
      </c>
      <c r="CE22" s="25" t="str">
        <f>IF('1. Live'!CI22='check-Jul''26'!CE22,"",'1. Live'!CI22-'check-Jul''26'!CE22)</f>
        <v/>
      </c>
      <c r="CF22" s="25" t="str">
        <f>IF('1. Live'!CJ22='check-Jul''26'!CF22,"",'1. Live'!CJ22-'check-Jul''26'!CF22)</f>
        <v/>
      </c>
      <c r="CG22" s="25" t="str">
        <f>IF('1. Live'!CK22='check-Jul''26'!CG22,"",'1. Live'!CK22-'check-Jul''26'!CG22)</f>
        <v/>
      </c>
      <c r="CH22" s="25" t="str">
        <f>IF('1. Live'!CL22='check-Jul''26'!CH22,"",'1. Live'!CL22-'check-Jul''26'!CH22)</f>
        <v/>
      </c>
      <c r="CI22" s="25" t="str">
        <f>IF('1. Live'!CM22='check-Jul''26'!CI22,"",'1. Live'!CM22-'check-Jul''26'!CI22)</f>
        <v/>
      </c>
      <c r="CJ22" s="25" t="str">
        <f>IF('1. Live'!CN22='check-Jul''26'!CJ22,"",'1. Live'!CN22-'check-Jul''26'!CJ22)</f>
        <v/>
      </c>
      <c r="CK22" s="25" t="str">
        <f>IF('1. Live'!CO22='check-Jul''26'!CK22,"",'1. Live'!CO22-'check-Jul''26'!CK22)</f>
        <v/>
      </c>
      <c r="CL22" s="25" t="str">
        <f>IF('1. Live'!CP22='check-Jul''26'!CL22,"",'1. Live'!CP22-'check-Jul''26'!CL22)</f>
        <v/>
      </c>
      <c r="CM22" s="25" t="str">
        <f>IF('1. Live'!CQ22='check-Jul''26'!CM22,"",'1. Live'!CQ22-'check-Jul''26'!CM22)</f>
        <v/>
      </c>
      <c r="CN22" s="25" t="str">
        <f>IF('1. Live'!CR22='check-Jul''26'!CN22,"",'1. Live'!CR22-'check-Jul''26'!CN22)</f>
        <v/>
      </c>
      <c r="CO22" s="25" t="str">
        <f>IF('1. Live'!CS22='check-Jul''26'!CO22,"",'1. Live'!CS22-'check-Jul''26'!CO22)</f>
        <v/>
      </c>
      <c r="CP22" s="25" t="str">
        <f>IF('1. Live'!CT22='check-Jul''26'!CP22,"",'1. Live'!CT22-'check-Jul''26'!CP22)</f>
        <v/>
      </c>
      <c r="CQ22" s="25" t="str">
        <f>IF('1. Live'!CU22='check-Jul''26'!CQ22,"",'1. Live'!CU22-'check-Jul''26'!CQ22)</f>
        <v/>
      </c>
      <c r="CR22" s="25" t="str">
        <f>IF('1. Live'!CV22='check-Jul''26'!CR22,"",'1. Live'!CV22-'check-Jul''26'!CR22)</f>
        <v/>
      </c>
      <c r="CS22" s="25" t="str">
        <f>IF('1. Live'!CW22='check-Jul''26'!CS22,"",'1. Live'!CW22-'check-Jul''26'!CS22)</f>
        <v/>
      </c>
      <c r="CT22" s="25" t="str">
        <f>IF('1. Live'!CX22='check-Jul''26'!CT22,"",'1. Live'!CX22-'check-Jul''26'!CT22)</f>
        <v/>
      </c>
      <c r="CU22" s="25" t="str">
        <f>IF('1. Live'!CY22='check-Jul''26'!CU22,"",'1. Live'!CY22-'check-Jul''26'!CU22)</f>
        <v/>
      </c>
      <c r="CV22" s="25" t="str">
        <f>IF('1. Live'!CZ22='check-Jul''26'!CV22,"",'1. Live'!CZ22-'check-Jul''26'!CV22)</f>
        <v/>
      </c>
    </row>
    <row r="23" spans="2:100" x14ac:dyDescent="0.25">
      <c r="B23" s="66"/>
      <c r="C23" s="4" t="s">
        <v>19</v>
      </c>
      <c r="D23" s="2" t="s">
        <v>60</v>
      </c>
      <c r="E23" s="2" t="s">
        <v>848</v>
      </c>
      <c r="F23" s="2" t="s">
        <v>314</v>
      </c>
      <c r="G23" s="2" t="s">
        <v>860</v>
      </c>
      <c r="H23" s="153"/>
      <c r="I23" s="32" t="s">
        <v>243</v>
      </c>
      <c r="J23" s="2" t="s">
        <v>714</v>
      </c>
      <c r="K23" s="2" t="s">
        <v>526</v>
      </c>
      <c r="L23" s="6">
        <v>2022</v>
      </c>
      <c r="M23" s="6" t="s">
        <v>75</v>
      </c>
      <c r="N23" s="90" t="str">
        <f>IF('1. Live'!N23='check-Jul''26'!N23,"",'1. Live'!N23-'check-Jul''26'!N23)</f>
        <v/>
      </c>
      <c r="O23" s="537" t="str">
        <f ca="1">IF('1. Live'!O23='check-Jul''26'!O23,"",'1. Live'!O23-'check-Jul''26'!O23)</f>
        <v/>
      </c>
      <c r="P23" s="17" t="str">
        <f ca="1">IF('1. Live'!P23='check-Jul''26'!P23,"",'1. Live'!P23-'check-Jul''26'!P23)</f>
        <v/>
      </c>
      <c r="Q23" s="17" t="str">
        <f>IF('1. Live'!Q23='check-Jul''26'!Q23,"",'1. Live'!Q23-'check-Jul''26'!Q23)</f>
        <v/>
      </c>
      <c r="R23" s="537" t="str">
        <f ca="1">IF('1. Live'!R23='check-Jul''26'!R23,"",'1. Live'!R23-'check-Jul''26'!R23)</f>
        <v/>
      </c>
      <c r="S23" s="537" t="str">
        <f>IF('1. Live'!S23='check-Jul''26'!S23,"",'1. Live'!S23-'check-Jul''26'!S23)</f>
        <v/>
      </c>
      <c r="T23" s="537" t="str">
        <f ca="1">IF('1. Live'!T23='check-Jul''26'!T23,"",'1. Live'!T23-'check-Jul''26'!T23)</f>
        <v/>
      </c>
      <c r="U23" s="10" t="str">
        <f ca="1">IF('1. Live'!U23='check-Jul''26'!U23,"",'1. Live'!U23-'check-Jul''26'!U23)</f>
        <v/>
      </c>
      <c r="V23" s="87" t="str">
        <f>IF('1. Live'!V23='check-Jul''26'!V23,"",'1. Live'!V23-'check-Jul''26'!V23)</f>
        <v/>
      </c>
      <c r="W23" s="67"/>
      <c r="AA23" s="25" t="str">
        <f>IF('1. Live'!AA23='check-Jul''26'!W23,"",'1. Live'!AA23-'check-Jul''26'!W23)</f>
        <v/>
      </c>
      <c r="AB23" s="25" t="str">
        <f>IF('1. Live'!AF23='check-Jul''26'!AB23,"",'1. Live'!AF23-'check-Jul''26'!AB23)</f>
        <v/>
      </c>
      <c r="AC23" s="25" t="str">
        <f>IF('1. Live'!AG23='check-Jul''26'!AC23,"",'1. Live'!AG23-'check-Jul''26'!AC23)</f>
        <v/>
      </c>
      <c r="AD23" s="25" t="str">
        <f>IF('1. Live'!AH23='check-Jul''26'!AD23,"",'1. Live'!AH23-'check-Jul''26'!AD23)</f>
        <v/>
      </c>
      <c r="AE23" s="25" t="str">
        <f>IF('1. Live'!AI23='check-Jul''26'!AE23,"",'1. Live'!AI23-'check-Jul''26'!AE23)</f>
        <v/>
      </c>
      <c r="AF23" s="25" t="str">
        <f>IF('1. Live'!AJ23='check-Jul''26'!AF23,"",'1. Live'!AJ23-'check-Jul''26'!AF23)</f>
        <v/>
      </c>
      <c r="AG23" s="25" t="str">
        <f>IF('1. Live'!AK23='check-Jul''26'!AG23,"",'1. Live'!AK23-'check-Jul''26'!AG23)</f>
        <v/>
      </c>
      <c r="AH23" s="25" t="str">
        <f>IF('1. Live'!AL23='check-Jul''26'!AH23,"",'1. Live'!AL23-'check-Jul''26'!AH23)</f>
        <v/>
      </c>
      <c r="AI23" s="25" t="str">
        <f>IF('1. Live'!AM23='check-Jul''26'!AI23,"",'1. Live'!AM23-'check-Jul''26'!AI23)</f>
        <v/>
      </c>
      <c r="AJ23" s="25" t="str">
        <f>IF('1. Live'!AN23='check-Jul''26'!AJ23,"",'1. Live'!AN23-'check-Jul''26'!AJ23)</f>
        <v/>
      </c>
      <c r="AK23" s="25" t="str">
        <f>IF('1. Live'!AO23='check-Jul''26'!AK23,"",'1. Live'!AO23-'check-Jul''26'!AK23)</f>
        <v/>
      </c>
      <c r="AL23" s="25" t="str">
        <f>IF('1. Live'!AP23='check-Jul''26'!AL23,"",'1. Live'!AP23-'check-Jul''26'!AL23)</f>
        <v/>
      </c>
      <c r="AM23" s="25" t="str">
        <f>IF('1. Live'!AQ23='check-Jul''26'!AM23,"",'1. Live'!AQ23-'check-Jul''26'!AM23)</f>
        <v/>
      </c>
      <c r="AN23" s="25" t="str">
        <f>IF('1. Live'!AR23='check-Jul''26'!AN23,"",'1. Live'!AR23-'check-Jul''26'!AN23)</f>
        <v/>
      </c>
      <c r="AO23" s="25" t="str">
        <f>IF('1. Live'!AS23='check-Jul''26'!AO23,"",'1. Live'!AS23-'check-Jul''26'!AO23)</f>
        <v/>
      </c>
      <c r="AP23" s="25" t="str">
        <f>IF('1. Live'!AT23='check-Jul''26'!AP23,"",'1. Live'!AT23-'check-Jul''26'!AP23)</f>
        <v/>
      </c>
      <c r="AQ23" s="25" t="str">
        <f>IF('1. Live'!AU23='check-Jul''26'!AQ23,"",'1. Live'!AU23-'check-Jul''26'!AQ23)</f>
        <v/>
      </c>
      <c r="AR23" s="25" t="str">
        <f>IF('1. Live'!AV23='check-Jul''26'!AR23,"",'1. Live'!AV23-'check-Jul''26'!AR23)</f>
        <v/>
      </c>
      <c r="AS23" s="25" t="str">
        <f>IF('1. Live'!AW23='check-Jul''26'!AS23,"",'1. Live'!AW23-'check-Jul''26'!AS23)</f>
        <v/>
      </c>
      <c r="AT23" s="25" t="str">
        <f>IF('1. Live'!AX23='check-Jul''26'!AT23,"",'1. Live'!AX23-'check-Jul''26'!AT23)</f>
        <v/>
      </c>
      <c r="AU23" s="25" t="str">
        <f>IF('1. Live'!AY23='check-Jul''26'!AU23,"",'1. Live'!AY23-'check-Jul''26'!AU23)</f>
        <v/>
      </c>
      <c r="AV23" s="25" t="str">
        <f>IF('1. Live'!AZ23='check-Jul''26'!AV23,"",'1. Live'!AZ23-'check-Jul''26'!AV23)</f>
        <v/>
      </c>
      <c r="AW23" s="25" t="str">
        <f>IF('1. Live'!BA23='check-Jul''26'!AW23,"",'1. Live'!BA23-'check-Jul''26'!AW23)</f>
        <v/>
      </c>
      <c r="AX23" s="25" t="str">
        <f>IF('1. Live'!BB23='check-Jul''26'!AX23,"",'1. Live'!BB23-'check-Jul''26'!AX23)</f>
        <v/>
      </c>
      <c r="AY23" s="25" t="str">
        <f>IF('1. Live'!BC23='check-Jul''26'!AY23,"",'1. Live'!BC23-'check-Jul''26'!AY23)</f>
        <v/>
      </c>
      <c r="AZ23" s="25" t="str">
        <f>IF('1. Live'!BD23='check-Jul''26'!AZ23,"",'1. Live'!BD23-'check-Jul''26'!AZ23)</f>
        <v/>
      </c>
      <c r="BA23" s="25" t="str">
        <f>IF('1. Live'!BE23='check-Jul''26'!BA23,"",'1. Live'!BE23-'check-Jul''26'!BA23)</f>
        <v/>
      </c>
      <c r="BB23" s="25" t="str">
        <f>IF('1. Live'!BF23='check-Jul''26'!BB23,"",'1. Live'!BF23-'check-Jul''26'!BB23)</f>
        <v/>
      </c>
      <c r="BC23" s="25" t="str">
        <f>IF('1. Live'!BG23='check-Jul''26'!BC23,"",'1. Live'!BG23-'check-Jul''26'!BC23)</f>
        <v/>
      </c>
      <c r="BD23" s="25" t="str">
        <f>IF('1. Live'!BH23='check-Jul''26'!BD23,"",'1. Live'!BH23-'check-Jul''26'!BD23)</f>
        <v/>
      </c>
      <c r="BE23" s="25" t="str">
        <f>IF('1. Live'!BI23='check-Jul''26'!BE23,"",'1. Live'!BI23-'check-Jul''26'!BE23)</f>
        <v/>
      </c>
      <c r="BF23" s="25" t="str">
        <f>IF('1. Live'!BJ23='check-Jul''26'!BF23,"",'1. Live'!BJ23-'check-Jul''26'!BF23)</f>
        <v/>
      </c>
      <c r="BG23" s="25" t="str">
        <f>IF('1. Live'!BK23='check-Jul''26'!BG23,"",'1. Live'!BK23-'check-Jul''26'!BG23)</f>
        <v/>
      </c>
      <c r="BH23" s="25" t="str">
        <f>IF('1. Live'!BL23='check-Jul''26'!BH23,"",'1. Live'!BL23-'check-Jul''26'!BH23)</f>
        <v/>
      </c>
      <c r="BI23" s="25" t="str">
        <f>IF('1. Live'!BM23='check-Jul''26'!BI23,"",'1. Live'!BM23-'check-Jul''26'!BI23)</f>
        <v/>
      </c>
      <c r="BJ23" s="25" t="str">
        <f>IF('1. Live'!BN23='check-Jul''26'!BJ23,"",'1. Live'!BN23-'check-Jul''26'!BJ23)</f>
        <v/>
      </c>
      <c r="BK23" s="25" t="str">
        <f>IF('1. Live'!BO23='check-Jul''26'!BK23,"",'1. Live'!BO23-'check-Jul''26'!BK23)</f>
        <v/>
      </c>
      <c r="BL23" s="25" t="str">
        <f>IF('1. Live'!BP23='check-Jul''26'!BL23,"",'1. Live'!BP23-'check-Jul''26'!BL23)</f>
        <v/>
      </c>
      <c r="BM23" s="25" t="str">
        <f>IF('1. Live'!BQ23='check-Jul''26'!BM23,"",'1. Live'!BQ23-'check-Jul''26'!BM23)</f>
        <v/>
      </c>
      <c r="BN23" s="25" t="str">
        <f>IF('1. Live'!BR23='check-Jul''26'!BN23,"",'1. Live'!BR23-'check-Jul''26'!BN23)</f>
        <v/>
      </c>
      <c r="BO23" s="25" t="str">
        <f>IF('1. Live'!BS23='check-Jul''26'!BO23,"",'1. Live'!BS23-'check-Jul''26'!BO23)</f>
        <v/>
      </c>
      <c r="BP23" s="25" t="str">
        <f>IF('1. Live'!BT23='check-Jul''26'!BP23,"",'1. Live'!BT23-'check-Jul''26'!BP23)</f>
        <v/>
      </c>
      <c r="BQ23" s="25" t="str">
        <f>IF('1. Live'!BU23='check-Jul''26'!BQ23,"",'1. Live'!BU23-'check-Jul''26'!BQ23)</f>
        <v/>
      </c>
      <c r="BR23" s="25" t="str">
        <f>IF('1. Live'!BV23='check-Jul''26'!BR23,"",'1. Live'!BV23-'check-Jul''26'!BR23)</f>
        <v/>
      </c>
      <c r="BS23" s="25" t="str">
        <f>IF('1. Live'!BW23='check-Jul''26'!BS23,"",'1. Live'!BW23-'check-Jul''26'!BS23)</f>
        <v/>
      </c>
      <c r="BT23" s="25" t="str">
        <f>IF('1. Live'!BX23='check-Jul''26'!BT23,"",'1. Live'!BX23-'check-Jul''26'!BT23)</f>
        <v/>
      </c>
      <c r="BU23" s="25" t="str">
        <f>IF('1. Live'!BY23='check-Jul''26'!BU23,"",'1. Live'!BY23-'check-Jul''26'!BU23)</f>
        <v/>
      </c>
      <c r="BV23" s="25" t="str">
        <f>IF('1. Live'!BZ23='check-Jul''26'!BV23,"",'1. Live'!BZ23-'check-Jul''26'!BV23)</f>
        <v/>
      </c>
      <c r="BW23" s="25" t="str">
        <f>IF('1. Live'!CA23='check-Jul''26'!BW23,"",'1. Live'!CA23-'check-Jul''26'!BW23)</f>
        <v/>
      </c>
      <c r="BX23" s="25" t="str">
        <f>IF('1. Live'!CB23='check-Jul''26'!BX23,"",'1. Live'!CB23-'check-Jul''26'!BX23)</f>
        <v/>
      </c>
      <c r="BY23" s="25" t="str">
        <f>IF('1. Live'!CC23='check-Jul''26'!BY23,"",'1. Live'!CC23-'check-Jul''26'!BY23)</f>
        <v/>
      </c>
      <c r="BZ23" s="25" t="str">
        <f>IF('1. Live'!CD23='check-Jul''26'!BZ23,"",'1. Live'!CD23-'check-Jul''26'!BZ23)</f>
        <v/>
      </c>
      <c r="CA23" s="25" t="str">
        <f>IF('1. Live'!CE23='check-Jul''26'!CA23,"",'1. Live'!CE23-'check-Jul''26'!CA23)</f>
        <v/>
      </c>
      <c r="CB23" s="25" t="str">
        <f>IF('1. Live'!CF23='check-Jul''26'!CB23,"",'1. Live'!CF23-'check-Jul''26'!CB23)</f>
        <v/>
      </c>
      <c r="CC23" s="25" t="str">
        <f>IF('1. Live'!CG23='check-Jul''26'!CC23,"",'1. Live'!CG23-'check-Jul''26'!CC23)</f>
        <v/>
      </c>
      <c r="CD23" s="25" t="str">
        <f>IF('1. Live'!CH23='check-Jul''26'!CD23,"",'1. Live'!CH23-'check-Jul''26'!CD23)</f>
        <v/>
      </c>
      <c r="CE23" s="25" t="str">
        <f>IF('1. Live'!CI23='check-Jul''26'!CE23,"",'1. Live'!CI23-'check-Jul''26'!CE23)</f>
        <v/>
      </c>
      <c r="CF23" s="25" t="str">
        <f>IF('1. Live'!CJ23='check-Jul''26'!CF23,"",'1. Live'!CJ23-'check-Jul''26'!CF23)</f>
        <v/>
      </c>
      <c r="CG23" s="25" t="str">
        <f>IF('1. Live'!CK23='check-Jul''26'!CG23,"",'1. Live'!CK23-'check-Jul''26'!CG23)</f>
        <v/>
      </c>
      <c r="CH23" s="25" t="str">
        <f>IF('1. Live'!CL23='check-Jul''26'!CH23,"",'1. Live'!CL23-'check-Jul''26'!CH23)</f>
        <v/>
      </c>
      <c r="CI23" s="25" t="str">
        <f>IF('1. Live'!CM23='check-Jul''26'!CI23,"",'1. Live'!CM23-'check-Jul''26'!CI23)</f>
        <v/>
      </c>
      <c r="CJ23" s="25" t="str">
        <f>IF('1. Live'!CN23='check-Jul''26'!CJ23,"",'1. Live'!CN23-'check-Jul''26'!CJ23)</f>
        <v/>
      </c>
      <c r="CK23" s="25" t="str">
        <f>IF('1. Live'!CO23='check-Jul''26'!CK23,"",'1. Live'!CO23-'check-Jul''26'!CK23)</f>
        <v/>
      </c>
      <c r="CL23" s="25" t="str">
        <f>IF('1. Live'!CP23='check-Jul''26'!CL23,"",'1. Live'!CP23-'check-Jul''26'!CL23)</f>
        <v/>
      </c>
      <c r="CM23" s="25" t="str">
        <f>IF('1. Live'!CQ23='check-Jul''26'!CM23,"",'1. Live'!CQ23-'check-Jul''26'!CM23)</f>
        <v/>
      </c>
      <c r="CN23" s="25" t="str">
        <f>IF('1. Live'!CR23='check-Jul''26'!CN23,"",'1. Live'!CR23-'check-Jul''26'!CN23)</f>
        <v/>
      </c>
      <c r="CO23" s="25" t="str">
        <f>IF('1. Live'!CS23='check-Jul''26'!CO23,"",'1. Live'!CS23-'check-Jul''26'!CO23)</f>
        <v/>
      </c>
      <c r="CP23" s="25" t="str">
        <f>IF('1. Live'!CT23='check-Jul''26'!CP23,"",'1. Live'!CT23-'check-Jul''26'!CP23)</f>
        <v/>
      </c>
      <c r="CQ23" s="25" t="str">
        <f>IF('1. Live'!CU23='check-Jul''26'!CQ23,"",'1. Live'!CU23-'check-Jul''26'!CQ23)</f>
        <v/>
      </c>
      <c r="CR23" s="25" t="str">
        <f>IF('1. Live'!CV23='check-Jul''26'!CR23,"",'1. Live'!CV23-'check-Jul''26'!CR23)</f>
        <v/>
      </c>
      <c r="CS23" s="25" t="str">
        <f>IF('1. Live'!CW23='check-Jul''26'!CS23,"",'1. Live'!CW23-'check-Jul''26'!CS23)</f>
        <v/>
      </c>
      <c r="CT23" s="25" t="str">
        <f>IF('1. Live'!CX23='check-Jul''26'!CT23,"",'1. Live'!CX23-'check-Jul''26'!CT23)</f>
        <v/>
      </c>
      <c r="CU23" s="25" t="str">
        <f>IF('1. Live'!CY23='check-Jul''26'!CU23,"",'1. Live'!CY23-'check-Jul''26'!CU23)</f>
        <v/>
      </c>
      <c r="CV23" s="25" t="str">
        <f>IF('1. Live'!CZ23='check-Jul''26'!CV23,"",'1. Live'!CZ23-'check-Jul''26'!CV23)</f>
        <v/>
      </c>
    </row>
    <row r="24" spans="2:100" x14ac:dyDescent="0.25">
      <c r="B24" s="66"/>
      <c r="C24" s="4" t="s">
        <v>85</v>
      </c>
      <c r="D24" s="2" t="s">
        <v>62</v>
      </c>
      <c r="E24" s="2" t="s">
        <v>849</v>
      </c>
      <c r="F24" s="2" t="s">
        <v>165</v>
      </c>
      <c r="G24" s="2" t="s">
        <v>861</v>
      </c>
      <c r="H24" s="153"/>
      <c r="I24" s="32" t="s">
        <v>243</v>
      </c>
      <c r="J24" s="2" t="s">
        <v>76</v>
      </c>
      <c r="K24" s="2" t="s">
        <v>526</v>
      </c>
      <c r="L24" s="6">
        <v>2022</v>
      </c>
      <c r="M24" s="6" t="s">
        <v>44</v>
      </c>
      <c r="N24" s="90" t="str">
        <f>IF('1. Live'!N24='check-Jul''26'!N24,"",'1. Live'!N24-'check-Jul''26'!N24)</f>
        <v/>
      </c>
      <c r="O24" s="17" t="str">
        <f ca="1">IF('1. Live'!O24='check-Jul''26'!O24,"",'1. Live'!O24-'check-Jul''26'!O24)</f>
        <v/>
      </c>
      <c r="P24" s="17" t="str">
        <f ca="1">IF('1. Live'!P24='check-Jul''26'!P24,"",'1. Live'!P24-'check-Jul''26'!P24)</f>
        <v/>
      </c>
      <c r="Q24" s="17" t="str">
        <f ca="1">IF('1. Live'!Q24='check-Jul''26'!Q24,"",'1. Live'!Q24-'check-Jul''26'!Q24)</f>
        <v/>
      </c>
      <c r="R24" s="17" t="str">
        <f ca="1">IF('1. Live'!R24='check-Jul''26'!R24,"",'1. Live'!R24-'check-Jul''26'!R24)</f>
        <v/>
      </c>
      <c r="S24" s="17">
        <f>IF('1. Live'!S24='check-Jul''26'!S24,"",'1. Live'!S24-'check-Jul''26'!S24)</f>
        <v>-9.0879950000001486E-2</v>
      </c>
      <c r="T24" s="17">
        <f ca="1">IF('1. Live'!T24='check-Jul''26'!T24,"",'1. Live'!T24-'check-Jul''26'!T24)</f>
        <v>-9.0879950000001486E-2</v>
      </c>
      <c r="U24" s="10">
        <f ca="1">IF('1. Live'!U24='check-Jul''26'!U24,"",'1. Live'!U24-'check-Jul''26'!U24)</f>
        <v>-3.7046603821656587E-3</v>
      </c>
      <c r="V24" s="87" t="str">
        <f>IF('1. Live'!V24='check-Jul''26'!V24,"",'1. Live'!V24-'check-Jul''26'!V24)</f>
        <v/>
      </c>
      <c r="W24" s="67"/>
      <c r="AA24" s="25" t="str">
        <f>IF('1. Live'!AA24='check-Jul''26'!W24,"",'1. Live'!AA24-'check-Jul''26'!W24)</f>
        <v/>
      </c>
      <c r="AB24" s="25" t="str">
        <f>IF('1. Live'!AF24='check-Jul''26'!AB24,"",'1. Live'!AF24-'check-Jul''26'!AB24)</f>
        <v/>
      </c>
      <c r="AC24" s="25" t="str">
        <f>IF('1. Live'!AG24='check-Jul''26'!AC24,"",'1. Live'!AG24-'check-Jul''26'!AC24)</f>
        <v/>
      </c>
      <c r="AD24" s="25" t="str">
        <f>IF('1. Live'!AH24='check-Jul''26'!AD24,"",'1. Live'!AH24-'check-Jul''26'!AD24)</f>
        <v/>
      </c>
      <c r="AE24" s="25" t="str">
        <f>IF('1. Live'!AI24='check-Jul''26'!AE24,"",'1. Live'!AI24-'check-Jul''26'!AE24)</f>
        <v/>
      </c>
      <c r="AF24" s="25" t="str">
        <f>IF('1. Live'!AJ24='check-Jul''26'!AF24,"",'1. Live'!AJ24-'check-Jul''26'!AF24)</f>
        <v/>
      </c>
      <c r="AG24" s="25" t="str">
        <f>IF('1. Live'!AK24='check-Jul''26'!AG24,"",'1. Live'!AK24-'check-Jul''26'!AG24)</f>
        <v/>
      </c>
      <c r="AH24" s="25" t="str">
        <f>IF('1. Live'!AL24='check-Jul''26'!AH24,"",'1. Live'!AL24-'check-Jul''26'!AH24)</f>
        <v/>
      </c>
      <c r="AI24" s="25" t="str">
        <f>IF('1. Live'!AM24='check-Jul''26'!AI24,"",'1. Live'!AM24-'check-Jul''26'!AI24)</f>
        <v/>
      </c>
      <c r="AJ24" s="25" t="str">
        <f>IF('1. Live'!AN24='check-Jul''26'!AJ24,"",'1. Live'!AN24-'check-Jul''26'!AJ24)</f>
        <v/>
      </c>
      <c r="AK24" s="25" t="str">
        <f>IF('1. Live'!AO24='check-Jul''26'!AK24,"",'1. Live'!AO24-'check-Jul''26'!AK24)</f>
        <v/>
      </c>
      <c r="AL24" s="25" t="str">
        <f>IF('1. Live'!AP24='check-Jul''26'!AL24,"",'1. Live'!AP24-'check-Jul''26'!AL24)</f>
        <v/>
      </c>
      <c r="AM24" s="25" t="str">
        <f>IF('1. Live'!AQ24='check-Jul''26'!AM24,"",'1. Live'!AQ24-'check-Jul''26'!AM24)</f>
        <v/>
      </c>
      <c r="AN24" s="25" t="str">
        <f>IF('1. Live'!AR24='check-Jul''26'!AN24,"",'1. Live'!AR24-'check-Jul''26'!AN24)</f>
        <v/>
      </c>
      <c r="AO24" s="25" t="str">
        <f>IF('1. Live'!AS24='check-Jul''26'!AO24,"",'1. Live'!AS24-'check-Jul''26'!AO24)</f>
        <v/>
      </c>
      <c r="AP24" s="25" t="str">
        <f>IF('1. Live'!AT24='check-Jul''26'!AP24,"",'1. Live'!AT24-'check-Jul''26'!AP24)</f>
        <v/>
      </c>
      <c r="AQ24" s="25" t="str">
        <f>IF('1. Live'!AU24='check-Jul''26'!AQ24,"",'1. Live'!AU24-'check-Jul''26'!AQ24)</f>
        <v/>
      </c>
      <c r="AR24" s="25" t="str">
        <f>IF('1. Live'!AV24='check-Jul''26'!AR24,"",'1. Live'!AV24-'check-Jul''26'!AR24)</f>
        <v/>
      </c>
      <c r="AS24" s="25" t="str">
        <f>IF('1. Live'!AW24='check-Jul''26'!AS24,"",'1. Live'!AW24-'check-Jul''26'!AS24)</f>
        <v/>
      </c>
      <c r="AT24" s="25" t="str">
        <f>IF('1. Live'!AX24='check-Jul''26'!AT24,"",'1. Live'!AX24-'check-Jul''26'!AT24)</f>
        <v/>
      </c>
      <c r="AU24" s="25" t="str">
        <f>IF('1. Live'!AY24='check-Jul''26'!AU24,"",'1. Live'!AY24-'check-Jul''26'!AU24)</f>
        <v/>
      </c>
      <c r="AV24" s="25" t="str">
        <f>IF('1. Live'!AZ24='check-Jul''26'!AV24,"",'1. Live'!AZ24-'check-Jul''26'!AV24)</f>
        <v/>
      </c>
      <c r="AW24" s="25" t="str">
        <f>IF('1. Live'!BA24='check-Jul''26'!AW24,"",'1. Live'!BA24-'check-Jul''26'!AW24)</f>
        <v/>
      </c>
      <c r="AX24" s="25" t="str">
        <f>IF('1. Live'!BB24='check-Jul''26'!AX24,"",'1. Live'!BB24-'check-Jul''26'!AX24)</f>
        <v/>
      </c>
      <c r="AY24" s="25" t="str">
        <f>IF('1. Live'!BC24='check-Jul''26'!AY24,"",'1. Live'!BC24-'check-Jul''26'!AY24)</f>
        <v/>
      </c>
      <c r="AZ24" s="25" t="str">
        <f>IF('1. Live'!BD24='check-Jul''26'!AZ24,"",'1. Live'!BD24-'check-Jul''26'!AZ24)</f>
        <v/>
      </c>
      <c r="BA24" s="25" t="str">
        <f>IF('1. Live'!BE24='check-Jul''26'!BA24,"",'1. Live'!BE24-'check-Jul''26'!BA24)</f>
        <v/>
      </c>
      <c r="BB24" s="25" t="str">
        <f>IF('1. Live'!BF24='check-Jul''26'!BB24,"",'1. Live'!BF24-'check-Jul''26'!BB24)</f>
        <v/>
      </c>
      <c r="BC24" s="25" t="str">
        <f>IF('1. Live'!BG24='check-Jul''26'!BC24,"",'1. Live'!BG24-'check-Jul''26'!BC24)</f>
        <v/>
      </c>
      <c r="BD24" s="25" t="str">
        <f>IF('1. Live'!BH24='check-Jul''26'!BD24,"",'1. Live'!BH24-'check-Jul''26'!BD24)</f>
        <v/>
      </c>
      <c r="BE24" s="25" t="str">
        <f>IF('1. Live'!BI24='check-Jul''26'!BE24,"",'1. Live'!BI24-'check-Jul''26'!BE24)</f>
        <v/>
      </c>
      <c r="BF24" s="25" t="str">
        <f>IF('1. Live'!BJ24='check-Jul''26'!BF24,"",'1. Live'!BJ24-'check-Jul''26'!BF24)</f>
        <v/>
      </c>
      <c r="BG24" s="25" t="str">
        <f>IF('1. Live'!BK24='check-Jul''26'!BG24,"",'1. Live'!BK24-'check-Jul''26'!BG24)</f>
        <v/>
      </c>
      <c r="BH24" s="25" t="str">
        <f>IF('1. Live'!BL24='check-Jul''26'!BH24,"",'1. Live'!BL24-'check-Jul''26'!BH24)</f>
        <v/>
      </c>
      <c r="BI24" s="25" t="str">
        <f>IF('1. Live'!BM24='check-Jul''26'!BI24,"",'1. Live'!BM24-'check-Jul''26'!BI24)</f>
        <v/>
      </c>
      <c r="BJ24" s="25" t="str">
        <f>IF('1. Live'!BN24='check-Jul''26'!BJ24,"",'1. Live'!BN24-'check-Jul''26'!BJ24)</f>
        <v/>
      </c>
      <c r="BK24" s="25" t="str">
        <f>IF('1. Live'!BO24='check-Jul''26'!BK24,"",'1. Live'!BO24-'check-Jul''26'!BK24)</f>
        <v/>
      </c>
      <c r="BL24" s="25" t="str">
        <f>IF('1. Live'!BP24='check-Jul''26'!BL24,"",'1. Live'!BP24-'check-Jul''26'!BL24)</f>
        <v/>
      </c>
      <c r="BM24" s="25" t="str">
        <f>IF('1. Live'!BQ24='check-Jul''26'!BM24,"",'1. Live'!BQ24-'check-Jul''26'!BM24)</f>
        <v/>
      </c>
      <c r="BN24" s="25" t="str">
        <f>IF('1. Live'!BR24='check-Jul''26'!BN24,"",'1. Live'!BR24-'check-Jul''26'!BN24)</f>
        <v/>
      </c>
      <c r="BO24" s="25" t="str">
        <f>IF('1. Live'!BS24='check-Jul''26'!BO24,"",'1. Live'!BS24-'check-Jul''26'!BO24)</f>
        <v/>
      </c>
      <c r="BP24" s="25" t="str">
        <f>IF('1. Live'!BT24='check-Jul''26'!BP24,"",'1. Live'!BT24-'check-Jul''26'!BP24)</f>
        <v/>
      </c>
      <c r="BQ24" s="25" t="str">
        <f>IF('1. Live'!BU24='check-Jul''26'!BQ24,"",'1. Live'!BU24-'check-Jul''26'!BQ24)</f>
        <v/>
      </c>
      <c r="BR24" s="25" t="str">
        <f>IF('1. Live'!BV24='check-Jul''26'!BR24,"",'1. Live'!BV24-'check-Jul''26'!BR24)</f>
        <v/>
      </c>
      <c r="BS24" s="25" t="str">
        <f>IF('1. Live'!BW24='check-Jul''26'!BS24,"",'1. Live'!BW24-'check-Jul''26'!BS24)</f>
        <v/>
      </c>
      <c r="BT24" s="25" t="str">
        <f>IF('1. Live'!BX24='check-Jul''26'!BT24,"",'1. Live'!BX24-'check-Jul''26'!BT24)</f>
        <v/>
      </c>
      <c r="BU24" s="25" t="str">
        <f>IF('1. Live'!BY24='check-Jul''26'!BU24,"",'1. Live'!BY24-'check-Jul''26'!BU24)</f>
        <v/>
      </c>
      <c r="BV24" s="25" t="str">
        <f>IF('1. Live'!BZ24='check-Jul''26'!BV24,"",'1. Live'!BZ24-'check-Jul''26'!BV24)</f>
        <v/>
      </c>
      <c r="BW24" s="25" t="str">
        <f>IF('1. Live'!CA24='check-Jul''26'!BW24,"",'1. Live'!CA24-'check-Jul''26'!BW24)</f>
        <v/>
      </c>
      <c r="BX24" s="25" t="str">
        <f>IF('1. Live'!CB24='check-Jul''26'!BX24,"",'1. Live'!CB24-'check-Jul''26'!BX24)</f>
        <v/>
      </c>
      <c r="BY24" s="25" t="str">
        <f>IF('1. Live'!CC24='check-Jul''26'!BY24,"",'1. Live'!CC24-'check-Jul''26'!BY24)</f>
        <v/>
      </c>
      <c r="BZ24" s="25" t="str">
        <f>IF('1. Live'!CD24='check-Jul''26'!BZ24,"",'1. Live'!CD24-'check-Jul''26'!BZ24)</f>
        <v/>
      </c>
      <c r="CA24" s="25" t="str">
        <f>IF('1. Live'!CE24='check-Jul''26'!CA24,"",'1. Live'!CE24-'check-Jul''26'!CA24)</f>
        <v/>
      </c>
      <c r="CB24" s="25" t="str">
        <f>IF('1. Live'!CF24='check-Jul''26'!CB24,"",'1. Live'!CF24-'check-Jul''26'!CB24)</f>
        <v/>
      </c>
      <c r="CC24" s="25" t="str">
        <f>IF('1. Live'!CG24='check-Jul''26'!CC24,"",'1. Live'!CG24-'check-Jul''26'!CC24)</f>
        <v/>
      </c>
      <c r="CD24" s="25" t="str">
        <f>IF('1. Live'!CH24='check-Jul''26'!CD24,"",'1. Live'!CH24-'check-Jul''26'!CD24)</f>
        <v/>
      </c>
      <c r="CE24" s="25" t="str">
        <f>IF('1. Live'!CI24='check-Jul''26'!CE24,"",'1. Live'!CI24-'check-Jul''26'!CE24)</f>
        <v/>
      </c>
      <c r="CF24" s="25" t="str">
        <f>IF('1. Live'!CJ24='check-Jul''26'!CF24,"",'1. Live'!CJ24-'check-Jul''26'!CF24)</f>
        <v/>
      </c>
      <c r="CG24" s="25" t="str">
        <f>IF('1. Live'!CK24='check-Jul''26'!CG24,"",'1. Live'!CK24-'check-Jul''26'!CG24)</f>
        <v/>
      </c>
      <c r="CH24" s="25" t="str">
        <f>IF('1. Live'!CL24='check-Jul''26'!CH24,"",'1. Live'!CL24-'check-Jul''26'!CH24)</f>
        <v/>
      </c>
      <c r="CI24" s="25" t="str">
        <f>IF('1. Live'!CM24='check-Jul''26'!CI24,"",'1. Live'!CM24-'check-Jul''26'!CI24)</f>
        <v/>
      </c>
      <c r="CJ24" s="25" t="str">
        <f>IF('1. Live'!CN24='check-Jul''26'!CJ24,"",'1. Live'!CN24-'check-Jul''26'!CJ24)</f>
        <v/>
      </c>
      <c r="CK24" s="25" t="str">
        <f>IF('1. Live'!CO24='check-Jul''26'!CK24,"",'1. Live'!CO24-'check-Jul''26'!CK24)</f>
        <v/>
      </c>
      <c r="CL24" s="25" t="str">
        <f>IF('1. Live'!CP24='check-Jul''26'!CL24,"",'1. Live'!CP24-'check-Jul''26'!CL24)</f>
        <v/>
      </c>
      <c r="CM24" s="25" t="str">
        <f>IF('1. Live'!CQ24='check-Jul''26'!CM24,"",'1. Live'!CQ24-'check-Jul''26'!CM24)</f>
        <v/>
      </c>
      <c r="CN24" s="25" t="str">
        <f>IF('1. Live'!CR24='check-Jul''26'!CN24,"",'1. Live'!CR24-'check-Jul''26'!CN24)</f>
        <v/>
      </c>
      <c r="CO24" s="25" t="str">
        <f>IF('1. Live'!CS24='check-Jul''26'!CO24,"",'1. Live'!CS24-'check-Jul''26'!CO24)</f>
        <v/>
      </c>
      <c r="CP24" s="25" t="str">
        <f>IF('1. Live'!CT24='check-Jul''26'!CP24,"",'1. Live'!CT24-'check-Jul''26'!CP24)</f>
        <v/>
      </c>
      <c r="CQ24" s="25" t="str">
        <f>IF('1. Live'!CU24='check-Jul''26'!CQ24,"",'1. Live'!CU24-'check-Jul''26'!CQ24)</f>
        <v/>
      </c>
      <c r="CR24" s="25" t="str">
        <f>IF('1. Live'!CV24='check-Jul''26'!CR24,"",'1. Live'!CV24-'check-Jul''26'!CR24)</f>
        <v/>
      </c>
      <c r="CS24" s="25" t="str">
        <f>IF('1. Live'!CW24='check-Jul''26'!CS24,"",'1. Live'!CW24-'check-Jul''26'!CS24)</f>
        <v/>
      </c>
      <c r="CT24" s="25" t="str">
        <f>IF('1. Live'!CX24='check-Jul''26'!CT24,"",'1. Live'!CX24-'check-Jul''26'!CT24)</f>
        <v/>
      </c>
      <c r="CU24" s="25" t="str">
        <f>IF('1. Live'!CY24='check-Jul''26'!CU24,"",'1. Live'!CY24-'check-Jul''26'!CU24)</f>
        <v/>
      </c>
      <c r="CV24" s="25" t="str">
        <f>IF('1. Live'!CZ24='check-Jul''26'!CV24,"",'1. Live'!CZ24-'check-Jul''26'!CV24)</f>
        <v/>
      </c>
    </row>
    <row r="25" spans="2:100" x14ac:dyDescent="0.25">
      <c r="B25" s="66"/>
      <c r="C25" s="4" t="s">
        <v>1</v>
      </c>
      <c r="D25" s="2" t="s">
        <v>62</v>
      </c>
      <c r="E25" s="2" t="s">
        <v>847</v>
      </c>
      <c r="F25" s="2" t="s">
        <v>852</v>
      </c>
      <c r="G25" s="2" t="s">
        <v>862</v>
      </c>
      <c r="H25" s="153"/>
      <c r="I25" s="32" t="s">
        <v>245</v>
      </c>
      <c r="J25" s="2" t="s">
        <v>76</v>
      </c>
      <c r="K25" s="2" t="s">
        <v>526</v>
      </c>
      <c r="L25" s="6">
        <v>2020</v>
      </c>
      <c r="M25" s="6" t="s">
        <v>52</v>
      </c>
      <c r="N25" s="90" t="str">
        <f>IF('1. Live'!N25='check-Jul''26'!N25,"",'1. Live'!N25-'check-Jul''26'!N25)</f>
        <v/>
      </c>
      <c r="O25" s="17" t="str">
        <f>IF('1. Live'!O25='check-Jul''26'!O25,"",'1. Live'!O25-'check-Jul''26'!O25)</f>
        <v/>
      </c>
      <c r="P25" s="17" t="str">
        <f>IF('1. Live'!P25='check-Jul''26'!P25,"",'1. Live'!P25-'check-Jul''26'!P25)</f>
        <v/>
      </c>
      <c r="Q25" s="17" t="str">
        <f>IF('1. Live'!Q25='check-Jul''26'!Q25,"",'1. Live'!Q25-'check-Jul''26'!Q25)</f>
        <v/>
      </c>
      <c r="R25" s="17" t="str">
        <f>IF('1. Live'!R25='check-Jul''26'!R25,"",'1. Live'!R25-'check-Jul''26'!R25)</f>
        <v/>
      </c>
      <c r="S25" s="17">
        <f>IF('1. Live'!S25='check-Jul''26'!S25,"",'1. Live'!S25-'check-Jul''26'!S25)</f>
        <v>2.5811720000000093</v>
      </c>
      <c r="T25" s="17">
        <f>IF('1. Live'!T25='check-Jul''26'!T25,"",'1. Live'!T25-'check-Jul''26'!T25)</f>
        <v>2.5811720000000093</v>
      </c>
      <c r="U25" s="10">
        <f>IF('1. Live'!U25='check-Jul''26'!U25,"",'1. Live'!U25-'check-Jul''26'!U25)</f>
        <v>3.0963557074251025E-2</v>
      </c>
      <c r="V25" s="2" t="str">
        <f>IF('1. Live'!V25='check-Jul''26'!V25,"",'1. Live'!V25-'check-Jul''26'!V25)</f>
        <v/>
      </c>
      <c r="W25" s="67"/>
      <c r="AA25" s="25" t="str">
        <f>IF('1. Live'!AA25='check-Jul''26'!W25,"",'1. Live'!AA25-'check-Jul''26'!W25)</f>
        <v/>
      </c>
      <c r="AB25" s="25" t="str">
        <f>IF('1. Live'!AF25='check-Jul''26'!AB25,"",'1. Live'!AF25-'check-Jul''26'!AB25)</f>
        <v/>
      </c>
      <c r="AC25" s="25" t="str">
        <f>IF('1. Live'!AG25='check-Jul''26'!AC25,"",'1. Live'!AG25-'check-Jul''26'!AC25)</f>
        <v/>
      </c>
      <c r="AD25" s="25" t="str">
        <f>IF('1. Live'!AH25='check-Jul''26'!AD25,"",'1. Live'!AH25-'check-Jul''26'!AD25)</f>
        <v/>
      </c>
      <c r="AE25" s="25" t="str">
        <f>IF('1. Live'!AI25='check-Jul''26'!AE25,"",'1. Live'!AI25-'check-Jul''26'!AE25)</f>
        <v/>
      </c>
      <c r="AF25" s="25" t="str">
        <f>IF('1. Live'!AJ25='check-Jul''26'!AF25,"",'1. Live'!AJ25-'check-Jul''26'!AF25)</f>
        <v/>
      </c>
      <c r="AG25" s="25" t="str">
        <f>IF('1. Live'!AK25='check-Jul''26'!AG25,"",'1. Live'!AK25-'check-Jul''26'!AG25)</f>
        <v/>
      </c>
      <c r="AH25" s="25" t="str">
        <f>IF('1. Live'!AL25='check-Jul''26'!AH25,"",'1. Live'!AL25-'check-Jul''26'!AH25)</f>
        <v/>
      </c>
      <c r="AI25" s="25" t="str">
        <f>IF('1. Live'!AM25='check-Jul''26'!AI25,"",'1. Live'!AM25-'check-Jul''26'!AI25)</f>
        <v/>
      </c>
      <c r="AJ25" s="25" t="str">
        <f>IF('1. Live'!AN25='check-Jul''26'!AJ25,"",'1. Live'!AN25-'check-Jul''26'!AJ25)</f>
        <v/>
      </c>
      <c r="AK25" s="25" t="str">
        <f>IF('1. Live'!AO25='check-Jul''26'!AK25,"",'1. Live'!AO25-'check-Jul''26'!AK25)</f>
        <v/>
      </c>
      <c r="AL25" s="25" t="str">
        <f>IF('1. Live'!AP25='check-Jul''26'!AL25,"",'1. Live'!AP25-'check-Jul''26'!AL25)</f>
        <v/>
      </c>
      <c r="AM25" s="25" t="str">
        <f>IF('1. Live'!AQ25='check-Jul''26'!AM25,"",'1. Live'!AQ25-'check-Jul''26'!AM25)</f>
        <v/>
      </c>
      <c r="AN25" s="25" t="str">
        <f>IF('1. Live'!AR25='check-Jul''26'!AN25,"",'1. Live'!AR25-'check-Jul''26'!AN25)</f>
        <v/>
      </c>
      <c r="AO25" s="25" t="str">
        <f>IF('1. Live'!AS25='check-Jul''26'!AO25,"",'1. Live'!AS25-'check-Jul''26'!AO25)</f>
        <v/>
      </c>
      <c r="AP25" s="25" t="str">
        <f>IF('1. Live'!AT25='check-Jul''26'!AP25,"",'1. Live'!AT25-'check-Jul''26'!AP25)</f>
        <v/>
      </c>
      <c r="AQ25" s="25" t="str">
        <f>IF('1. Live'!AU25='check-Jul''26'!AQ25,"",'1. Live'!AU25-'check-Jul''26'!AQ25)</f>
        <v/>
      </c>
      <c r="AR25" s="25" t="str">
        <f>IF('1. Live'!AV25='check-Jul''26'!AR25,"",'1. Live'!AV25-'check-Jul''26'!AR25)</f>
        <v/>
      </c>
      <c r="AS25" s="25" t="str">
        <f>IF('1. Live'!AW25='check-Jul''26'!AS25,"",'1. Live'!AW25-'check-Jul''26'!AS25)</f>
        <v/>
      </c>
      <c r="AT25" s="25" t="str">
        <f>IF('1. Live'!AX25='check-Jul''26'!AT25,"",'1. Live'!AX25-'check-Jul''26'!AT25)</f>
        <v/>
      </c>
      <c r="AU25" s="25" t="str">
        <f>IF('1. Live'!AY25='check-Jul''26'!AU25,"",'1. Live'!AY25-'check-Jul''26'!AU25)</f>
        <v/>
      </c>
      <c r="AV25" s="25" t="str">
        <f>IF('1. Live'!AZ25='check-Jul''26'!AV25,"",'1. Live'!AZ25-'check-Jul''26'!AV25)</f>
        <v/>
      </c>
      <c r="AW25" s="25" t="str">
        <f>IF('1. Live'!BA25='check-Jul''26'!AW25,"",'1. Live'!BA25-'check-Jul''26'!AW25)</f>
        <v/>
      </c>
      <c r="AX25" s="25" t="str">
        <f>IF('1. Live'!BB25='check-Jul''26'!AX25,"",'1. Live'!BB25-'check-Jul''26'!AX25)</f>
        <v/>
      </c>
      <c r="AY25" s="25" t="str">
        <f>IF('1. Live'!BC25='check-Jul''26'!AY25,"",'1. Live'!BC25-'check-Jul''26'!AY25)</f>
        <v/>
      </c>
      <c r="AZ25" s="25" t="str">
        <f>IF('1. Live'!BD25='check-Jul''26'!AZ25,"",'1. Live'!BD25-'check-Jul''26'!AZ25)</f>
        <v/>
      </c>
      <c r="BA25" s="25" t="str">
        <f>IF('1. Live'!BE25='check-Jul''26'!BA25,"",'1. Live'!BE25-'check-Jul''26'!BA25)</f>
        <v/>
      </c>
      <c r="BB25" s="25" t="str">
        <f>IF('1. Live'!BF25='check-Jul''26'!BB25,"",'1. Live'!BF25-'check-Jul''26'!BB25)</f>
        <v/>
      </c>
      <c r="BC25" s="25" t="str">
        <f>IF('1. Live'!BG25='check-Jul''26'!BC25,"",'1. Live'!BG25-'check-Jul''26'!BC25)</f>
        <v/>
      </c>
      <c r="BD25" s="25" t="str">
        <f>IF('1. Live'!BH25='check-Jul''26'!BD25,"",'1. Live'!BH25-'check-Jul''26'!BD25)</f>
        <v/>
      </c>
      <c r="BE25" s="25" t="str">
        <f>IF('1. Live'!BI25='check-Jul''26'!BE25,"",'1. Live'!BI25-'check-Jul''26'!BE25)</f>
        <v/>
      </c>
      <c r="BF25" s="25" t="str">
        <f>IF('1. Live'!BJ25='check-Jul''26'!BF25,"",'1. Live'!BJ25-'check-Jul''26'!BF25)</f>
        <v/>
      </c>
      <c r="BG25" s="25" t="str">
        <f>IF('1. Live'!BK25='check-Jul''26'!BG25,"",'1. Live'!BK25-'check-Jul''26'!BG25)</f>
        <v/>
      </c>
      <c r="BH25" s="25" t="str">
        <f>IF('1. Live'!BL25='check-Jul''26'!BH25,"",'1. Live'!BL25-'check-Jul''26'!BH25)</f>
        <v/>
      </c>
      <c r="BI25" s="25" t="str">
        <f>IF('1. Live'!BM25='check-Jul''26'!BI25,"",'1. Live'!BM25-'check-Jul''26'!BI25)</f>
        <v/>
      </c>
      <c r="BJ25" s="25" t="str">
        <f>IF('1. Live'!BN25='check-Jul''26'!BJ25,"",'1. Live'!BN25-'check-Jul''26'!BJ25)</f>
        <v/>
      </c>
      <c r="BK25" s="25" t="str">
        <f>IF('1. Live'!BO25='check-Jul''26'!BK25,"",'1. Live'!BO25-'check-Jul''26'!BK25)</f>
        <v/>
      </c>
      <c r="BL25" s="25" t="str">
        <f>IF('1. Live'!BP25='check-Jul''26'!BL25,"",'1. Live'!BP25-'check-Jul''26'!BL25)</f>
        <v/>
      </c>
      <c r="BM25" s="25" t="str">
        <f>IF('1. Live'!BQ25='check-Jul''26'!BM25,"",'1. Live'!BQ25-'check-Jul''26'!BM25)</f>
        <v/>
      </c>
      <c r="BN25" s="25" t="str">
        <f>IF('1. Live'!BR25='check-Jul''26'!BN25,"",'1. Live'!BR25-'check-Jul''26'!BN25)</f>
        <v/>
      </c>
      <c r="BO25" s="25" t="str">
        <f>IF('1. Live'!BS25='check-Jul''26'!BO25,"",'1. Live'!BS25-'check-Jul''26'!BO25)</f>
        <v/>
      </c>
      <c r="BP25" s="25" t="str">
        <f>IF('1. Live'!BT25='check-Jul''26'!BP25,"",'1. Live'!BT25-'check-Jul''26'!BP25)</f>
        <v/>
      </c>
      <c r="BQ25" s="25" t="str">
        <f>IF('1. Live'!BU25='check-Jul''26'!BQ25,"",'1. Live'!BU25-'check-Jul''26'!BQ25)</f>
        <v/>
      </c>
      <c r="BR25" s="25" t="str">
        <f>IF('1. Live'!BV25='check-Jul''26'!BR25,"",'1. Live'!BV25-'check-Jul''26'!BR25)</f>
        <v/>
      </c>
      <c r="BS25" s="25" t="str">
        <f>IF('1. Live'!BW25='check-Jul''26'!BS25,"",'1. Live'!BW25-'check-Jul''26'!BS25)</f>
        <v/>
      </c>
      <c r="BT25" s="25" t="str">
        <f>IF('1. Live'!BX25='check-Jul''26'!BT25,"",'1. Live'!BX25-'check-Jul''26'!BT25)</f>
        <v/>
      </c>
      <c r="BU25" s="25" t="str">
        <f>IF('1. Live'!BY25='check-Jul''26'!BU25,"",'1. Live'!BY25-'check-Jul''26'!BU25)</f>
        <v/>
      </c>
      <c r="BV25" s="25" t="str">
        <f>IF('1. Live'!BZ25='check-Jul''26'!BV25,"",'1. Live'!BZ25-'check-Jul''26'!BV25)</f>
        <v/>
      </c>
      <c r="BW25" s="25" t="str">
        <f>IF('1. Live'!CA25='check-Jul''26'!BW25,"",'1. Live'!CA25-'check-Jul''26'!BW25)</f>
        <v/>
      </c>
      <c r="BX25" s="25" t="str">
        <f>IF('1. Live'!CB25='check-Jul''26'!BX25,"",'1. Live'!CB25-'check-Jul''26'!BX25)</f>
        <v/>
      </c>
      <c r="BY25" s="25" t="str">
        <f>IF('1. Live'!CC25='check-Jul''26'!BY25,"",'1. Live'!CC25-'check-Jul''26'!BY25)</f>
        <v/>
      </c>
      <c r="BZ25" s="25" t="str">
        <f>IF('1. Live'!CD25='check-Jul''26'!BZ25,"",'1. Live'!CD25-'check-Jul''26'!BZ25)</f>
        <v/>
      </c>
      <c r="CA25" s="25" t="str">
        <f>IF('1. Live'!CE25='check-Jul''26'!CA25,"",'1. Live'!CE25-'check-Jul''26'!CA25)</f>
        <v/>
      </c>
      <c r="CB25" s="25" t="str">
        <f>IF('1. Live'!CF25='check-Jul''26'!CB25,"",'1. Live'!CF25-'check-Jul''26'!CB25)</f>
        <v/>
      </c>
      <c r="CC25" s="25" t="str">
        <f>IF('1. Live'!CG25='check-Jul''26'!CC25,"",'1. Live'!CG25-'check-Jul''26'!CC25)</f>
        <v/>
      </c>
      <c r="CD25" s="25" t="str">
        <f>IF('1. Live'!CH25='check-Jul''26'!CD25,"",'1. Live'!CH25-'check-Jul''26'!CD25)</f>
        <v/>
      </c>
      <c r="CE25" s="25" t="str">
        <f>IF('1. Live'!CI25='check-Jul''26'!CE25,"",'1. Live'!CI25-'check-Jul''26'!CE25)</f>
        <v/>
      </c>
      <c r="CF25" s="25" t="str">
        <f>IF('1. Live'!CJ25='check-Jul''26'!CF25,"",'1. Live'!CJ25-'check-Jul''26'!CF25)</f>
        <v/>
      </c>
      <c r="CG25" s="25" t="str">
        <f>IF('1. Live'!CK25='check-Jul''26'!CG25,"",'1. Live'!CK25-'check-Jul''26'!CG25)</f>
        <v/>
      </c>
      <c r="CH25" s="25" t="str">
        <f>IF('1. Live'!CL25='check-Jul''26'!CH25,"",'1. Live'!CL25-'check-Jul''26'!CH25)</f>
        <v/>
      </c>
      <c r="CI25" s="25" t="str">
        <f>IF('1. Live'!CM25='check-Jul''26'!CI25,"",'1. Live'!CM25-'check-Jul''26'!CI25)</f>
        <v/>
      </c>
      <c r="CJ25" s="25" t="str">
        <f>IF('1. Live'!CN25='check-Jul''26'!CJ25,"",'1. Live'!CN25-'check-Jul''26'!CJ25)</f>
        <v/>
      </c>
      <c r="CK25" s="25" t="str">
        <f>IF('1. Live'!CO25='check-Jul''26'!CK25,"",'1. Live'!CO25-'check-Jul''26'!CK25)</f>
        <v/>
      </c>
      <c r="CL25" s="25" t="str">
        <f>IF('1. Live'!CP25='check-Jul''26'!CL25,"",'1. Live'!CP25-'check-Jul''26'!CL25)</f>
        <v/>
      </c>
      <c r="CM25" s="25" t="str">
        <f>IF('1. Live'!CQ25='check-Jul''26'!CM25,"",'1. Live'!CQ25-'check-Jul''26'!CM25)</f>
        <v/>
      </c>
      <c r="CN25" s="25" t="str">
        <f>IF('1. Live'!CR25='check-Jul''26'!CN25,"",'1. Live'!CR25-'check-Jul''26'!CN25)</f>
        <v/>
      </c>
      <c r="CO25" s="25" t="str">
        <f>IF('1. Live'!CS25='check-Jul''26'!CO25,"",'1. Live'!CS25-'check-Jul''26'!CO25)</f>
        <v/>
      </c>
      <c r="CP25" s="25" t="str">
        <f>IF('1. Live'!CT25='check-Jul''26'!CP25,"",'1. Live'!CT25-'check-Jul''26'!CP25)</f>
        <v/>
      </c>
      <c r="CQ25" s="25" t="str">
        <f>IF('1. Live'!CU25='check-Jul''26'!CQ25,"",'1. Live'!CU25-'check-Jul''26'!CQ25)</f>
        <v/>
      </c>
      <c r="CR25" s="25" t="str">
        <f>IF('1. Live'!CV25='check-Jul''26'!CR25,"",'1. Live'!CV25-'check-Jul''26'!CR25)</f>
        <v/>
      </c>
      <c r="CS25" s="25" t="str">
        <f>IF('1. Live'!CW25='check-Jul''26'!CS25,"",'1. Live'!CW25-'check-Jul''26'!CS25)</f>
        <v/>
      </c>
      <c r="CT25" s="25" t="str">
        <f>IF('1. Live'!CX25='check-Jul''26'!CT25,"",'1. Live'!CX25-'check-Jul''26'!CT25)</f>
        <v/>
      </c>
      <c r="CU25" s="25" t="str">
        <f>IF('1. Live'!CY25='check-Jul''26'!CU25,"",'1. Live'!CY25-'check-Jul''26'!CU25)</f>
        <v/>
      </c>
      <c r="CV25" s="25" t="str">
        <f>IF('1. Live'!CZ25='check-Jul''26'!CV25,"",'1. Live'!CZ25-'check-Jul''26'!CV25)</f>
        <v/>
      </c>
    </row>
    <row r="26" spans="2:100" x14ac:dyDescent="0.25">
      <c r="B26" s="66"/>
      <c r="C26" s="4" t="s">
        <v>113</v>
      </c>
      <c r="D26" s="2" t="s">
        <v>60</v>
      </c>
      <c r="E26" s="2" t="s">
        <v>847</v>
      </c>
      <c r="F26" s="2" t="s">
        <v>853</v>
      </c>
      <c r="G26" s="2" t="s">
        <v>862</v>
      </c>
      <c r="H26" s="153"/>
      <c r="I26" s="32" t="s">
        <v>245</v>
      </c>
      <c r="J26" s="2" t="s">
        <v>76</v>
      </c>
      <c r="K26" s="2" t="s">
        <v>526</v>
      </c>
      <c r="L26" s="6">
        <v>2020</v>
      </c>
      <c r="M26" s="6" t="s">
        <v>52</v>
      </c>
      <c r="N26" s="90" t="str">
        <f>IF('1. Live'!N26='check-Jul''26'!N26,"",'1. Live'!N26-'check-Jul''26'!N26)</f>
        <v/>
      </c>
      <c r="O26" s="17">
        <f>IF('1. Live'!O26='check-Jul''26'!O26,"",'1. Live'!O26-'check-Jul''26'!O26)</f>
        <v>0.20887781338000266</v>
      </c>
      <c r="P26" s="17">
        <f>IF('1. Live'!P26='check-Jul''26'!P26,"",'1. Live'!P26-'check-Jul''26'!P26)</f>
        <v>0.131633255215867</v>
      </c>
      <c r="Q26" s="17">
        <f>IF('1. Live'!Q26='check-Jul''26'!Q26,"",'1. Live'!Q26-'check-Jul''26'!Q26)</f>
        <v>7.7244558164133892E-2</v>
      </c>
      <c r="R26" s="17" t="str">
        <f>IF('1. Live'!R26='check-Jul''26'!R26,"",'1. Live'!R26-'check-Jul''26'!R26)</f>
        <v/>
      </c>
      <c r="S26" s="17">
        <f>IF('1. Live'!S26='check-Jul''26'!S26,"",'1. Live'!S26-'check-Jul''26'!S26)</f>
        <v>28.904034160910985</v>
      </c>
      <c r="T26" s="17">
        <f>IF('1. Live'!T26='check-Jul''26'!T26,"",'1. Live'!T26-'check-Jul''26'!T26)</f>
        <v>28.772400905695115</v>
      </c>
      <c r="U26" s="10">
        <f>IF('1. Live'!U26='check-Jul''26'!U26,"",'1. Live'!U26-'check-Jul''26'!U26)</f>
        <v>1.683207990891805</v>
      </c>
      <c r="V26" s="2" t="str">
        <f>IF('1. Live'!V26='check-Jul''26'!V26,"",'1. Live'!V26-'check-Jul''26'!V26)</f>
        <v/>
      </c>
      <c r="W26" s="67"/>
      <c r="AA26" s="25" t="str">
        <f>IF('1. Live'!AA26='check-Jul''26'!W26,"",'1. Live'!AA26-'check-Jul''26'!W26)</f>
        <v/>
      </c>
      <c r="AB26" s="25" t="str">
        <f>IF('1. Live'!AF26='check-Jul''26'!AB26,"",'1. Live'!AF26-'check-Jul''26'!AB26)</f>
        <v/>
      </c>
      <c r="AC26" s="25" t="str">
        <f>IF('1. Live'!AG26='check-Jul''26'!AC26,"",'1. Live'!AG26-'check-Jul''26'!AC26)</f>
        <v/>
      </c>
      <c r="AD26" s="25" t="str">
        <f>IF('1. Live'!AH26='check-Jul''26'!AD26,"",'1. Live'!AH26-'check-Jul''26'!AD26)</f>
        <v/>
      </c>
      <c r="AE26" s="25" t="str">
        <f>IF('1. Live'!AI26='check-Jul''26'!AE26,"",'1. Live'!AI26-'check-Jul''26'!AE26)</f>
        <v/>
      </c>
      <c r="AF26" s="25" t="str">
        <f>IF('1. Live'!AJ26='check-Jul''26'!AF26,"",'1. Live'!AJ26-'check-Jul''26'!AF26)</f>
        <v/>
      </c>
      <c r="AG26" s="25" t="str">
        <f>IF('1. Live'!AK26='check-Jul''26'!AG26,"",'1. Live'!AK26-'check-Jul''26'!AG26)</f>
        <v/>
      </c>
      <c r="AH26" s="25" t="str">
        <f>IF('1. Live'!AL26='check-Jul''26'!AH26,"",'1. Live'!AL26-'check-Jul''26'!AH26)</f>
        <v/>
      </c>
      <c r="AI26" s="25" t="str">
        <f>IF('1. Live'!AM26='check-Jul''26'!AI26,"",'1. Live'!AM26-'check-Jul''26'!AI26)</f>
        <v/>
      </c>
      <c r="AJ26" s="25" t="str">
        <f>IF('1. Live'!AN26='check-Jul''26'!AJ26,"",'1. Live'!AN26-'check-Jul''26'!AJ26)</f>
        <v/>
      </c>
      <c r="AK26" s="25" t="str">
        <f>IF('1. Live'!AO26='check-Jul''26'!AK26,"",'1. Live'!AO26-'check-Jul''26'!AK26)</f>
        <v/>
      </c>
      <c r="AL26" s="25" t="str">
        <f>IF('1. Live'!AP26='check-Jul''26'!AL26,"",'1. Live'!AP26-'check-Jul''26'!AL26)</f>
        <v/>
      </c>
      <c r="AM26" s="25" t="str">
        <f>IF('1. Live'!AQ26='check-Jul''26'!AM26,"",'1. Live'!AQ26-'check-Jul''26'!AM26)</f>
        <v/>
      </c>
      <c r="AN26" s="25" t="str">
        <f>IF('1. Live'!AR26='check-Jul''26'!AN26,"",'1. Live'!AR26-'check-Jul''26'!AN26)</f>
        <v/>
      </c>
      <c r="AO26" s="25" t="str">
        <f>IF('1. Live'!AS26='check-Jul''26'!AO26,"",'1. Live'!AS26-'check-Jul''26'!AO26)</f>
        <v/>
      </c>
      <c r="AP26" s="25" t="str">
        <f>IF('1. Live'!AT26='check-Jul''26'!AP26,"",'1. Live'!AT26-'check-Jul''26'!AP26)</f>
        <v/>
      </c>
      <c r="AQ26" s="25" t="str">
        <f>IF('1. Live'!AU26='check-Jul''26'!AQ26,"",'1. Live'!AU26-'check-Jul''26'!AQ26)</f>
        <v/>
      </c>
      <c r="AR26" s="25" t="str">
        <f>IF('1. Live'!AV26='check-Jul''26'!AR26,"",'1. Live'!AV26-'check-Jul''26'!AR26)</f>
        <v/>
      </c>
      <c r="AS26" s="25" t="str">
        <f>IF('1. Live'!AW26='check-Jul''26'!AS26,"",'1. Live'!AW26-'check-Jul''26'!AS26)</f>
        <v/>
      </c>
      <c r="AT26" s="25" t="str">
        <f>IF('1. Live'!AX26='check-Jul''26'!AT26,"",'1. Live'!AX26-'check-Jul''26'!AT26)</f>
        <v/>
      </c>
      <c r="AU26" s="25" t="str">
        <f>IF('1. Live'!AY26='check-Jul''26'!AU26,"",'1. Live'!AY26-'check-Jul''26'!AU26)</f>
        <v/>
      </c>
      <c r="AV26" s="25" t="str">
        <f>IF('1. Live'!AZ26='check-Jul''26'!AV26,"",'1. Live'!AZ26-'check-Jul''26'!AV26)</f>
        <v/>
      </c>
      <c r="AW26" s="25" t="str">
        <f>IF('1. Live'!BA26='check-Jul''26'!AW26,"",'1. Live'!BA26-'check-Jul''26'!AW26)</f>
        <v/>
      </c>
      <c r="AX26" s="25" t="str">
        <f>IF('1. Live'!BB26='check-Jul''26'!AX26,"",'1. Live'!BB26-'check-Jul''26'!AX26)</f>
        <v/>
      </c>
      <c r="AY26" s="25" t="str">
        <f>IF('1. Live'!BC26='check-Jul''26'!AY26,"",'1. Live'!BC26-'check-Jul''26'!AY26)</f>
        <v/>
      </c>
      <c r="AZ26" s="25" t="str">
        <f>IF('1. Live'!BD26='check-Jul''26'!AZ26,"",'1. Live'!BD26-'check-Jul''26'!AZ26)</f>
        <v/>
      </c>
      <c r="BA26" s="25" t="str">
        <f>IF('1. Live'!BE26='check-Jul''26'!BA26,"",'1. Live'!BE26-'check-Jul''26'!BA26)</f>
        <v/>
      </c>
      <c r="BB26" s="25" t="str">
        <f>IF('1. Live'!BF26='check-Jul''26'!BB26,"",'1. Live'!BF26-'check-Jul''26'!BB26)</f>
        <v/>
      </c>
      <c r="BC26" s="25" t="str">
        <f>IF('1. Live'!BG26='check-Jul''26'!BC26,"",'1. Live'!BG26-'check-Jul''26'!BC26)</f>
        <v/>
      </c>
      <c r="BD26" s="25" t="str">
        <f>IF('1. Live'!BH26='check-Jul''26'!BD26,"",'1. Live'!BH26-'check-Jul''26'!BD26)</f>
        <v/>
      </c>
      <c r="BE26" s="25" t="str">
        <f>IF('1. Live'!BI26='check-Jul''26'!BE26,"",'1. Live'!BI26-'check-Jul''26'!BE26)</f>
        <v/>
      </c>
      <c r="BF26" s="25" t="str">
        <f>IF('1. Live'!BJ26='check-Jul''26'!BF26,"",'1. Live'!BJ26-'check-Jul''26'!BF26)</f>
        <v/>
      </c>
      <c r="BG26" s="25" t="str">
        <f>IF('1. Live'!BK26='check-Jul''26'!BG26,"",'1. Live'!BK26-'check-Jul''26'!BG26)</f>
        <v/>
      </c>
      <c r="BH26" s="25" t="str">
        <f>IF('1. Live'!BL26='check-Jul''26'!BH26,"",'1. Live'!BL26-'check-Jul''26'!BH26)</f>
        <v/>
      </c>
      <c r="BI26" s="25" t="str">
        <f>IF('1. Live'!BM26='check-Jul''26'!BI26,"",'1. Live'!BM26-'check-Jul''26'!BI26)</f>
        <v/>
      </c>
      <c r="BJ26" s="25" t="str">
        <f>IF('1. Live'!BN26='check-Jul''26'!BJ26,"",'1. Live'!BN26-'check-Jul''26'!BJ26)</f>
        <v/>
      </c>
      <c r="BK26" s="25" t="str">
        <f>IF('1. Live'!BO26='check-Jul''26'!BK26,"",'1. Live'!BO26-'check-Jul''26'!BK26)</f>
        <v/>
      </c>
      <c r="BL26" s="25" t="str">
        <f>IF('1. Live'!BP26='check-Jul''26'!BL26,"",'1. Live'!BP26-'check-Jul''26'!BL26)</f>
        <v/>
      </c>
      <c r="BM26" s="25" t="str">
        <f>IF('1. Live'!BQ26='check-Jul''26'!BM26,"",'1. Live'!BQ26-'check-Jul''26'!BM26)</f>
        <v/>
      </c>
      <c r="BN26" s="25" t="str">
        <f>IF('1. Live'!BR26='check-Jul''26'!BN26,"",'1. Live'!BR26-'check-Jul''26'!BN26)</f>
        <v/>
      </c>
      <c r="BO26" s="25" t="str">
        <f>IF('1. Live'!BS26='check-Jul''26'!BO26,"",'1. Live'!BS26-'check-Jul''26'!BO26)</f>
        <v/>
      </c>
      <c r="BP26" s="25" t="str">
        <f>IF('1. Live'!BT26='check-Jul''26'!BP26,"",'1. Live'!BT26-'check-Jul''26'!BP26)</f>
        <v/>
      </c>
      <c r="BQ26" s="25" t="str">
        <f>IF('1. Live'!BU26='check-Jul''26'!BQ26,"",'1. Live'!BU26-'check-Jul''26'!BQ26)</f>
        <v/>
      </c>
      <c r="BR26" s="25" t="str">
        <f>IF('1. Live'!BV26='check-Jul''26'!BR26,"",'1. Live'!BV26-'check-Jul''26'!BR26)</f>
        <v/>
      </c>
      <c r="BS26" s="25" t="str">
        <f>IF('1. Live'!BW26='check-Jul''26'!BS26,"",'1. Live'!BW26-'check-Jul''26'!BS26)</f>
        <v/>
      </c>
      <c r="BT26" s="25" t="str">
        <f>IF('1. Live'!BX26='check-Jul''26'!BT26,"",'1. Live'!BX26-'check-Jul''26'!BT26)</f>
        <v/>
      </c>
      <c r="BU26" s="25" t="str">
        <f>IF('1. Live'!BY26='check-Jul''26'!BU26,"",'1. Live'!BY26-'check-Jul''26'!BU26)</f>
        <v/>
      </c>
      <c r="BV26" s="25" t="str">
        <f>IF('1. Live'!BZ26='check-Jul''26'!BV26,"",'1. Live'!BZ26-'check-Jul''26'!BV26)</f>
        <v/>
      </c>
      <c r="BW26" s="25" t="str">
        <f>IF('1. Live'!CA26='check-Jul''26'!BW26,"",'1. Live'!CA26-'check-Jul''26'!BW26)</f>
        <v/>
      </c>
      <c r="BX26" s="25" t="str">
        <f>IF('1. Live'!CB26='check-Jul''26'!BX26,"",'1. Live'!CB26-'check-Jul''26'!BX26)</f>
        <v/>
      </c>
      <c r="BY26" s="25" t="str">
        <f>IF('1. Live'!CC26='check-Jul''26'!BY26,"",'1. Live'!CC26-'check-Jul''26'!BY26)</f>
        <v/>
      </c>
      <c r="BZ26" s="25" t="str">
        <f>IF('1. Live'!CD26='check-Jul''26'!BZ26,"",'1. Live'!CD26-'check-Jul''26'!BZ26)</f>
        <v/>
      </c>
      <c r="CA26" s="25" t="str">
        <f>IF('1. Live'!CE26='check-Jul''26'!CA26,"",'1. Live'!CE26-'check-Jul''26'!CA26)</f>
        <v/>
      </c>
      <c r="CB26" s="25" t="str">
        <f>IF('1. Live'!CF26='check-Jul''26'!CB26,"",'1. Live'!CF26-'check-Jul''26'!CB26)</f>
        <v/>
      </c>
      <c r="CC26" s="25" t="str">
        <f>IF('1. Live'!CG26='check-Jul''26'!CC26,"",'1. Live'!CG26-'check-Jul''26'!CC26)</f>
        <v/>
      </c>
      <c r="CD26" s="25" t="str">
        <f>IF('1. Live'!CH26='check-Jul''26'!CD26,"",'1. Live'!CH26-'check-Jul''26'!CD26)</f>
        <v/>
      </c>
      <c r="CE26" s="25" t="str">
        <f>IF('1. Live'!CI26='check-Jul''26'!CE26,"",'1. Live'!CI26-'check-Jul''26'!CE26)</f>
        <v/>
      </c>
      <c r="CF26" s="25" t="str">
        <f>IF('1. Live'!CJ26='check-Jul''26'!CF26,"",'1. Live'!CJ26-'check-Jul''26'!CF26)</f>
        <v/>
      </c>
      <c r="CG26" s="25" t="str">
        <f>IF('1. Live'!CK26='check-Jul''26'!CG26,"",'1. Live'!CK26-'check-Jul''26'!CG26)</f>
        <v/>
      </c>
      <c r="CH26" s="25" t="str">
        <f>IF('1. Live'!CL26='check-Jul''26'!CH26,"",'1. Live'!CL26-'check-Jul''26'!CH26)</f>
        <v/>
      </c>
      <c r="CI26" s="25" t="str">
        <f>IF('1. Live'!CM26='check-Jul''26'!CI26,"",'1. Live'!CM26-'check-Jul''26'!CI26)</f>
        <v/>
      </c>
      <c r="CJ26" s="25" t="str">
        <f>IF('1. Live'!CN26='check-Jul''26'!CJ26,"",'1. Live'!CN26-'check-Jul''26'!CJ26)</f>
        <v/>
      </c>
      <c r="CK26" s="25" t="str">
        <f>IF('1. Live'!CO26='check-Jul''26'!CK26,"",'1. Live'!CO26-'check-Jul''26'!CK26)</f>
        <v/>
      </c>
      <c r="CL26" s="25" t="str">
        <f>IF('1. Live'!CP26='check-Jul''26'!CL26,"",'1. Live'!CP26-'check-Jul''26'!CL26)</f>
        <v/>
      </c>
      <c r="CM26" s="25" t="str">
        <f>IF('1. Live'!CQ26='check-Jul''26'!CM26,"",'1. Live'!CQ26-'check-Jul''26'!CM26)</f>
        <v/>
      </c>
      <c r="CN26" s="25" t="str">
        <f>IF('1. Live'!CR26='check-Jul''26'!CN26,"",'1. Live'!CR26-'check-Jul''26'!CN26)</f>
        <v/>
      </c>
      <c r="CO26" s="25" t="str">
        <f>IF('1. Live'!CS26='check-Jul''26'!CO26,"",'1. Live'!CS26-'check-Jul''26'!CO26)</f>
        <v/>
      </c>
      <c r="CP26" s="25" t="str">
        <f>IF('1. Live'!CT26='check-Jul''26'!CP26,"",'1. Live'!CT26-'check-Jul''26'!CP26)</f>
        <v/>
      </c>
      <c r="CQ26" s="25" t="str">
        <f>IF('1. Live'!CU26='check-Jul''26'!CQ26,"",'1. Live'!CU26-'check-Jul''26'!CQ26)</f>
        <v/>
      </c>
      <c r="CR26" s="25" t="str">
        <f>IF('1. Live'!CV26='check-Jul''26'!CR26,"",'1. Live'!CV26-'check-Jul''26'!CR26)</f>
        <v/>
      </c>
      <c r="CS26" s="25" t="str">
        <f>IF('1. Live'!CW26='check-Jul''26'!CS26,"",'1. Live'!CW26-'check-Jul''26'!CS26)</f>
        <v/>
      </c>
      <c r="CT26" s="25" t="str">
        <f>IF('1. Live'!CX26='check-Jul''26'!CT26,"",'1. Live'!CX26-'check-Jul''26'!CT26)</f>
        <v/>
      </c>
      <c r="CU26" s="25" t="str">
        <f>IF('1. Live'!CY26='check-Jul''26'!CU26,"",'1. Live'!CY26-'check-Jul''26'!CU26)</f>
        <v/>
      </c>
      <c r="CV26" s="25" t="str">
        <f>IF('1. Live'!CZ26='check-Jul''26'!CV26,"",'1. Live'!CZ26-'check-Jul''26'!CV26)</f>
        <v/>
      </c>
    </row>
    <row r="27" spans="2:100" x14ac:dyDescent="0.25">
      <c r="B27" s="66"/>
      <c r="C27" s="4" t="s">
        <v>278</v>
      </c>
      <c r="D27" s="2" t="s">
        <v>60</v>
      </c>
      <c r="E27" s="2" t="s">
        <v>847</v>
      </c>
      <c r="F27" s="2" t="s">
        <v>853</v>
      </c>
      <c r="G27" s="2" t="s">
        <v>862</v>
      </c>
      <c r="H27" s="153"/>
      <c r="I27" s="32" t="s">
        <v>245</v>
      </c>
      <c r="J27" s="2" t="s">
        <v>76</v>
      </c>
      <c r="K27" s="2" t="s">
        <v>526</v>
      </c>
      <c r="L27" s="6">
        <v>2023</v>
      </c>
      <c r="M27" s="6" t="s">
        <v>52</v>
      </c>
      <c r="N27" s="90" t="str">
        <f>IF('1. Live'!N27='check-Jul''26'!N27,"",'1. Live'!N27-'check-Jul''26'!N27)</f>
        <v/>
      </c>
      <c r="O27" s="17" t="str">
        <f>IF('1. Live'!O27='check-Jul''26'!O27,"",'1. Live'!O27-'check-Jul''26'!O27)</f>
        <v/>
      </c>
      <c r="P27" s="17" t="str">
        <f>IF('1. Live'!P27='check-Jul''26'!P27,"",'1. Live'!P27-'check-Jul''26'!P27)</f>
        <v/>
      </c>
      <c r="Q27" s="17" t="str">
        <f>IF('1. Live'!Q27='check-Jul''26'!Q27,"",'1. Live'!Q27-'check-Jul''26'!Q27)</f>
        <v/>
      </c>
      <c r="R27" s="17" t="str">
        <f>IF('1. Live'!R27='check-Jul''26'!R27,"",'1. Live'!R27-'check-Jul''26'!R27)</f>
        <v/>
      </c>
      <c r="S27" s="17">
        <f>IF('1. Live'!S27='check-Jul''26'!S27,"",'1. Live'!S27-'check-Jul''26'!S27)</f>
        <v>2.8833815265766889</v>
      </c>
      <c r="T27" s="17">
        <f>IF('1. Live'!T27='check-Jul''26'!T27,"",'1. Live'!T27-'check-Jul''26'!T27)</f>
        <v>2.8833815265766884</v>
      </c>
      <c r="U27" s="10">
        <f>IF('1. Live'!U27='check-Jul''26'!U27,"",'1. Live'!U27-'check-Jul''26'!U27)</f>
        <v>1.065597520691385</v>
      </c>
      <c r="V27" s="79" t="str">
        <f>IF('1. Live'!V27='check-Jul''26'!V27,"",'1. Live'!V27-'check-Jul''26'!V27)</f>
        <v/>
      </c>
      <c r="W27" s="67"/>
      <c r="AA27" s="25" t="str">
        <f>IF('1. Live'!AA27='check-Jul''26'!W27,"",'1. Live'!AA27-'check-Jul''26'!W27)</f>
        <v/>
      </c>
      <c r="AB27" s="25" t="str">
        <f>IF('1. Live'!AF27='check-Jul''26'!AB27,"",'1. Live'!AF27-'check-Jul''26'!AB27)</f>
        <v/>
      </c>
      <c r="AC27" s="25" t="str">
        <f>IF('1. Live'!AG27='check-Jul''26'!AC27,"",'1. Live'!AG27-'check-Jul''26'!AC27)</f>
        <v/>
      </c>
      <c r="AD27" s="25" t="str">
        <f>IF('1. Live'!AH27='check-Jul''26'!AD27,"",'1. Live'!AH27-'check-Jul''26'!AD27)</f>
        <v/>
      </c>
      <c r="AE27" s="25" t="str">
        <f>IF('1. Live'!AI27='check-Jul''26'!AE27,"",'1. Live'!AI27-'check-Jul''26'!AE27)</f>
        <v/>
      </c>
      <c r="AF27" s="25" t="str">
        <f>IF('1. Live'!AJ27='check-Jul''26'!AF27,"",'1. Live'!AJ27-'check-Jul''26'!AF27)</f>
        <v/>
      </c>
      <c r="AG27" s="25" t="str">
        <f>IF('1. Live'!AK27='check-Jul''26'!AG27,"",'1. Live'!AK27-'check-Jul''26'!AG27)</f>
        <v/>
      </c>
      <c r="AH27" s="25" t="str">
        <f>IF('1. Live'!AL27='check-Jul''26'!AH27,"",'1. Live'!AL27-'check-Jul''26'!AH27)</f>
        <v/>
      </c>
      <c r="AI27" s="25" t="str">
        <f>IF('1. Live'!AM27='check-Jul''26'!AI27,"",'1. Live'!AM27-'check-Jul''26'!AI27)</f>
        <v/>
      </c>
      <c r="AJ27" s="25" t="str">
        <f>IF('1. Live'!AN27='check-Jul''26'!AJ27,"",'1. Live'!AN27-'check-Jul''26'!AJ27)</f>
        <v/>
      </c>
      <c r="AK27" s="25" t="str">
        <f>IF('1. Live'!AO27='check-Jul''26'!AK27,"",'1. Live'!AO27-'check-Jul''26'!AK27)</f>
        <v/>
      </c>
      <c r="AL27" s="25" t="str">
        <f>IF('1. Live'!AP27='check-Jul''26'!AL27,"",'1. Live'!AP27-'check-Jul''26'!AL27)</f>
        <v/>
      </c>
      <c r="AM27" s="25" t="str">
        <f>IF('1. Live'!AQ27='check-Jul''26'!AM27,"",'1. Live'!AQ27-'check-Jul''26'!AM27)</f>
        <v/>
      </c>
      <c r="AN27" s="25" t="str">
        <f>IF('1. Live'!AR27='check-Jul''26'!AN27,"",'1. Live'!AR27-'check-Jul''26'!AN27)</f>
        <v/>
      </c>
      <c r="AO27" s="25" t="str">
        <f>IF('1. Live'!AS27='check-Jul''26'!AO27,"",'1. Live'!AS27-'check-Jul''26'!AO27)</f>
        <v/>
      </c>
      <c r="AP27" s="25" t="str">
        <f>IF('1. Live'!AT27='check-Jul''26'!AP27,"",'1. Live'!AT27-'check-Jul''26'!AP27)</f>
        <v/>
      </c>
      <c r="AQ27" s="25" t="str">
        <f>IF('1. Live'!AU27='check-Jul''26'!AQ27,"",'1. Live'!AU27-'check-Jul''26'!AQ27)</f>
        <v/>
      </c>
      <c r="AR27" s="25" t="str">
        <f>IF('1. Live'!AV27='check-Jul''26'!AR27,"",'1. Live'!AV27-'check-Jul''26'!AR27)</f>
        <v/>
      </c>
      <c r="AS27" s="25" t="str">
        <f>IF('1. Live'!AW27='check-Jul''26'!AS27,"",'1. Live'!AW27-'check-Jul''26'!AS27)</f>
        <v/>
      </c>
      <c r="AT27" s="25" t="str">
        <f>IF('1. Live'!AX27='check-Jul''26'!AT27,"",'1. Live'!AX27-'check-Jul''26'!AT27)</f>
        <v/>
      </c>
      <c r="AU27" s="25" t="str">
        <f>IF('1. Live'!AY27='check-Jul''26'!AU27,"",'1. Live'!AY27-'check-Jul''26'!AU27)</f>
        <v/>
      </c>
      <c r="AV27" s="25" t="str">
        <f>IF('1. Live'!AZ27='check-Jul''26'!AV27,"",'1. Live'!AZ27-'check-Jul''26'!AV27)</f>
        <v/>
      </c>
      <c r="AW27" s="25" t="str">
        <f>IF('1. Live'!BA27='check-Jul''26'!AW27,"",'1. Live'!BA27-'check-Jul''26'!AW27)</f>
        <v/>
      </c>
      <c r="AX27" s="25" t="str">
        <f>IF('1. Live'!BB27='check-Jul''26'!AX27,"",'1. Live'!BB27-'check-Jul''26'!AX27)</f>
        <v/>
      </c>
      <c r="AY27" s="25" t="str">
        <f>IF('1. Live'!BC27='check-Jul''26'!AY27,"",'1. Live'!BC27-'check-Jul''26'!AY27)</f>
        <v/>
      </c>
      <c r="AZ27" s="25" t="str">
        <f>IF('1. Live'!BD27='check-Jul''26'!AZ27,"",'1. Live'!BD27-'check-Jul''26'!AZ27)</f>
        <v/>
      </c>
      <c r="BA27" s="25" t="str">
        <f>IF('1. Live'!BE27='check-Jul''26'!BA27,"",'1. Live'!BE27-'check-Jul''26'!BA27)</f>
        <v/>
      </c>
      <c r="BB27" s="25" t="str">
        <f>IF('1. Live'!BF27='check-Jul''26'!BB27,"",'1. Live'!BF27-'check-Jul''26'!BB27)</f>
        <v/>
      </c>
      <c r="BC27" s="25" t="str">
        <f>IF('1. Live'!BG27='check-Jul''26'!BC27,"",'1. Live'!BG27-'check-Jul''26'!BC27)</f>
        <v/>
      </c>
      <c r="BD27" s="25" t="str">
        <f>IF('1. Live'!BH27='check-Jul''26'!BD27,"",'1. Live'!BH27-'check-Jul''26'!BD27)</f>
        <v/>
      </c>
      <c r="BE27" s="25" t="str">
        <f>IF('1. Live'!BI27='check-Jul''26'!BE27,"",'1. Live'!BI27-'check-Jul''26'!BE27)</f>
        <v/>
      </c>
      <c r="BF27" s="25" t="str">
        <f>IF('1. Live'!BJ27='check-Jul''26'!BF27,"",'1. Live'!BJ27-'check-Jul''26'!BF27)</f>
        <v/>
      </c>
      <c r="BG27" s="25" t="str">
        <f>IF('1. Live'!BK27='check-Jul''26'!BG27,"",'1. Live'!BK27-'check-Jul''26'!BG27)</f>
        <v/>
      </c>
      <c r="BH27" s="25" t="str">
        <f>IF('1. Live'!BL27='check-Jul''26'!BH27,"",'1. Live'!BL27-'check-Jul''26'!BH27)</f>
        <v/>
      </c>
      <c r="BI27" s="25" t="str">
        <f>IF('1. Live'!BM27='check-Jul''26'!BI27,"",'1. Live'!BM27-'check-Jul''26'!BI27)</f>
        <v/>
      </c>
      <c r="BJ27" s="25" t="str">
        <f>IF('1. Live'!BN27='check-Jul''26'!BJ27,"",'1. Live'!BN27-'check-Jul''26'!BJ27)</f>
        <v/>
      </c>
      <c r="BK27" s="25" t="str">
        <f>IF('1. Live'!BO27='check-Jul''26'!BK27,"",'1. Live'!BO27-'check-Jul''26'!BK27)</f>
        <v/>
      </c>
      <c r="BL27" s="25" t="str">
        <f>IF('1. Live'!BP27='check-Jul''26'!BL27,"",'1. Live'!BP27-'check-Jul''26'!BL27)</f>
        <v/>
      </c>
      <c r="BM27" s="25" t="str">
        <f>IF('1. Live'!BQ27='check-Jul''26'!BM27,"",'1. Live'!BQ27-'check-Jul''26'!BM27)</f>
        <v/>
      </c>
      <c r="BN27" s="25" t="str">
        <f>IF('1. Live'!BR27='check-Jul''26'!BN27,"",'1. Live'!BR27-'check-Jul''26'!BN27)</f>
        <v/>
      </c>
      <c r="BO27" s="25" t="str">
        <f>IF('1. Live'!BS27='check-Jul''26'!BO27,"",'1. Live'!BS27-'check-Jul''26'!BO27)</f>
        <v/>
      </c>
      <c r="BP27" s="25" t="str">
        <f>IF('1. Live'!BT27='check-Jul''26'!BP27,"",'1. Live'!BT27-'check-Jul''26'!BP27)</f>
        <v/>
      </c>
      <c r="BQ27" s="25" t="str">
        <f>IF('1. Live'!BU27='check-Jul''26'!BQ27,"",'1. Live'!BU27-'check-Jul''26'!BQ27)</f>
        <v/>
      </c>
      <c r="BR27" s="25" t="str">
        <f>IF('1. Live'!BV27='check-Jul''26'!BR27,"",'1. Live'!BV27-'check-Jul''26'!BR27)</f>
        <v/>
      </c>
      <c r="BS27" s="25" t="str">
        <f>IF('1. Live'!BW27='check-Jul''26'!BS27,"",'1. Live'!BW27-'check-Jul''26'!BS27)</f>
        <v/>
      </c>
      <c r="BT27" s="25" t="str">
        <f>IF('1. Live'!BX27='check-Jul''26'!BT27,"",'1. Live'!BX27-'check-Jul''26'!BT27)</f>
        <v/>
      </c>
      <c r="BU27" s="25" t="str">
        <f>IF('1. Live'!BY27='check-Jul''26'!BU27,"",'1. Live'!BY27-'check-Jul''26'!BU27)</f>
        <v/>
      </c>
      <c r="BV27" s="25" t="str">
        <f>IF('1. Live'!BZ27='check-Jul''26'!BV27,"",'1. Live'!BZ27-'check-Jul''26'!BV27)</f>
        <v/>
      </c>
      <c r="BW27" s="25" t="str">
        <f>IF('1. Live'!CA27='check-Jul''26'!BW27,"",'1. Live'!CA27-'check-Jul''26'!BW27)</f>
        <v/>
      </c>
      <c r="BX27" s="25" t="str">
        <f>IF('1. Live'!CB27='check-Jul''26'!BX27,"",'1. Live'!CB27-'check-Jul''26'!BX27)</f>
        <v/>
      </c>
      <c r="BY27" s="25" t="str">
        <f>IF('1. Live'!CC27='check-Jul''26'!BY27,"",'1. Live'!CC27-'check-Jul''26'!BY27)</f>
        <v/>
      </c>
      <c r="BZ27" s="25" t="str">
        <f>IF('1. Live'!CD27='check-Jul''26'!BZ27,"",'1. Live'!CD27-'check-Jul''26'!BZ27)</f>
        <v/>
      </c>
      <c r="CA27" s="25" t="str">
        <f>IF('1. Live'!CE27='check-Jul''26'!CA27,"",'1. Live'!CE27-'check-Jul''26'!CA27)</f>
        <v/>
      </c>
      <c r="CB27" s="25" t="str">
        <f>IF('1. Live'!CF27='check-Jul''26'!CB27,"",'1. Live'!CF27-'check-Jul''26'!CB27)</f>
        <v/>
      </c>
      <c r="CC27" s="25" t="str">
        <f>IF('1. Live'!CG27='check-Jul''26'!CC27,"",'1. Live'!CG27-'check-Jul''26'!CC27)</f>
        <v/>
      </c>
      <c r="CD27" s="25" t="str">
        <f>IF('1. Live'!CH27='check-Jul''26'!CD27,"",'1. Live'!CH27-'check-Jul''26'!CD27)</f>
        <v/>
      </c>
      <c r="CE27" s="25" t="str">
        <f>IF('1. Live'!CI27='check-Jul''26'!CE27,"",'1. Live'!CI27-'check-Jul''26'!CE27)</f>
        <v/>
      </c>
      <c r="CF27" s="25" t="str">
        <f>IF('1. Live'!CJ27='check-Jul''26'!CF27,"",'1. Live'!CJ27-'check-Jul''26'!CF27)</f>
        <v/>
      </c>
      <c r="CG27" s="25" t="str">
        <f>IF('1. Live'!CK27='check-Jul''26'!CG27,"",'1. Live'!CK27-'check-Jul''26'!CG27)</f>
        <v/>
      </c>
      <c r="CH27" s="25" t="str">
        <f>IF('1. Live'!CL27='check-Jul''26'!CH27,"",'1. Live'!CL27-'check-Jul''26'!CH27)</f>
        <v/>
      </c>
      <c r="CI27" s="25" t="str">
        <f>IF('1. Live'!CM27='check-Jul''26'!CI27,"",'1. Live'!CM27-'check-Jul''26'!CI27)</f>
        <v/>
      </c>
      <c r="CJ27" s="25" t="str">
        <f>IF('1. Live'!CN27='check-Jul''26'!CJ27,"",'1. Live'!CN27-'check-Jul''26'!CJ27)</f>
        <v/>
      </c>
      <c r="CK27" s="25" t="str">
        <f>IF('1. Live'!CO27='check-Jul''26'!CK27,"",'1. Live'!CO27-'check-Jul''26'!CK27)</f>
        <v/>
      </c>
      <c r="CL27" s="25" t="str">
        <f>IF('1. Live'!CP27='check-Jul''26'!CL27,"",'1. Live'!CP27-'check-Jul''26'!CL27)</f>
        <v/>
      </c>
      <c r="CM27" s="25" t="str">
        <f>IF('1. Live'!CQ27='check-Jul''26'!CM27,"",'1. Live'!CQ27-'check-Jul''26'!CM27)</f>
        <v/>
      </c>
      <c r="CN27" s="25" t="str">
        <f>IF('1. Live'!CR27='check-Jul''26'!CN27,"",'1. Live'!CR27-'check-Jul''26'!CN27)</f>
        <v/>
      </c>
      <c r="CO27" s="25" t="str">
        <f>IF('1. Live'!CS27='check-Jul''26'!CO27,"",'1. Live'!CS27-'check-Jul''26'!CO27)</f>
        <v/>
      </c>
      <c r="CP27" s="25" t="str">
        <f>IF('1. Live'!CT27='check-Jul''26'!CP27,"",'1. Live'!CT27-'check-Jul''26'!CP27)</f>
        <v/>
      </c>
      <c r="CQ27" s="25" t="str">
        <f>IF('1. Live'!CU27='check-Jul''26'!CQ27,"",'1. Live'!CU27-'check-Jul''26'!CQ27)</f>
        <v/>
      </c>
      <c r="CR27" s="25" t="str">
        <f>IF('1. Live'!CV27='check-Jul''26'!CR27,"",'1. Live'!CV27-'check-Jul''26'!CR27)</f>
        <v/>
      </c>
      <c r="CS27" s="25" t="str">
        <f>IF('1. Live'!CW27='check-Jul''26'!CS27,"",'1. Live'!CW27-'check-Jul''26'!CS27)</f>
        <v/>
      </c>
      <c r="CT27" s="25" t="str">
        <f>IF('1. Live'!CX27='check-Jul''26'!CT27,"",'1. Live'!CX27-'check-Jul''26'!CT27)</f>
        <v/>
      </c>
      <c r="CU27" s="25" t="str">
        <f>IF('1. Live'!CY27='check-Jul''26'!CU27,"",'1. Live'!CY27-'check-Jul''26'!CU27)</f>
        <v/>
      </c>
      <c r="CV27" s="25" t="str">
        <f>IF('1. Live'!CZ27='check-Jul''26'!CV27,"",'1. Live'!CZ27-'check-Jul''26'!CV27)</f>
        <v/>
      </c>
    </row>
    <row r="28" spans="2:100" x14ac:dyDescent="0.25">
      <c r="B28" s="66"/>
      <c r="C28" s="4" t="s">
        <v>155</v>
      </c>
      <c r="D28" s="2" t="s">
        <v>62</v>
      </c>
      <c r="E28" s="2" t="s">
        <v>847</v>
      </c>
      <c r="F28" s="2" t="s">
        <v>165</v>
      </c>
      <c r="G28" s="2" t="s">
        <v>862</v>
      </c>
      <c r="H28" s="153"/>
      <c r="I28" s="32" t="s">
        <v>245</v>
      </c>
      <c r="J28" s="2" t="s">
        <v>76</v>
      </c>
      <c r="K28" s="2" t="s">
        <v>526</v>
      </c>
      <c r="L28" s="6">
        <v>2021</v>
      </c>
      <c r="M28" s="6" t="s">
        <v>52</v>
      </c>
      <c r="N28" s="90" t="str">
        <f>IF('1. Live'!N28='check-Jul''26'!N28,"",'1. Live'!N28-'check-Jul''26'!N28)</f>
        <v/>
      </c>
      <c r="O28" s="17" t="str">
        <f>IF('1. Live'!O28='check-Jul''26'!O28,"",'1. Live'!O28-'check-Jul''26'!O28)</f>
        <v/>
      </c>
      <c r="P28" s="17" t="str">
        <f ca="1">IF('1. Live'!P28='check-Jul''26'!P28,"",'1. Live'!P28-'check-Jul''26'!P28)</f>
        <v/>
      </c>
      <c r="Q28" s="17" t="str">
        <f ca="1">IF('1. Live'!Q28='check-Jul''26'!Q28,"",'1. Live'!Q28-'check-Jul''26'!Q28)</f>
        <v/>
      </c>
      <c r="R28" s="17" t="str">
        <f>IF('1. Live'!R28='check-Jul''26'!R28,"",'1. Live'!R28-'check-Jul''26'!R28)</f>
        <v/>
      </c>
      <c r="S28" s="17">
        <f>IF('1. Live'!S28='check-Jul''26'!S28,"",'1. Live'!S28-'check-Jul''26'!S28)</f>
        <v>1.3511869999999995</v>
      </c>
      <c r="T28" s="17">
        <f ca="1">IF('1. Live'!T28='check-Jul''26'!T28,"",'1. Live'!T28-'check-Jul''26'!T28)</f>
        <v>1.3511869999999995</v>
      </c>
      <c r="U28" s="10">
        <f ca="1">IF('1. Live'!U28='check-Jul''26'!U28,"",'1. Live'!U28-'check-Jul''26'!U28)</f>
        <v>8.591846029483885E-2</v>
      </c>
      <c r="V28" s="2" t="str">
        <f>IF('1. Live'!V28='check-Jul''26'!V28,"",'1. Live'!V28-'check-Jul''26'!V28)</f>
        <v/>
      </c>
      <c r="W28" s="67"/>
      <c r="AA28" s="25" t="str">
        <f>IF('1. Live'!AA28='check-Jul''26'!W28,"",'1. Live'!AA28-'check-Jul''26'!W28)</f>
        <v/>
      </c>
      <c r="AB28" s="25" t="str">
        <f>IF('1. Live'!AF28='check-Jul''26'!AB28,"",'1. Live'!AF28-'check-Jul''26'!AB28)</f>
        <v/>
      </c>
      <c r="AC28" s="25" t="str">
        <f>IF('1. Live'!AG28='check-Jul''26'!AC28,"",'1. Live'!AG28-'check-Jul''26'!AC28)</f>
        <v/>
      </c>
      <c r="AD28" s="25" t="str">
        <f>IF('1. Live'!AH28='check-Jul''26'!AD28,"",'1. Live'!AH28-'check-Jul''26'!AD28)</f>
        <v/>
      </c>
      <c r="AE28" s="25" t="str">
        <f>IF('1. Live'!AI28='check-Jul''26'!AE28,"",'1. Live'!AI28-'check-Jul''26'!AE28)</f>
        <v/>
      </c>
      <c r="AF28" s="25" t="str">
        <f>IF('1. Live'!AJ28='check-Jul''26'!AF28,"",'1. Live'!AJ28-'check-Jul''26'!AF28)</f>
        <v/>
      </c>
      <c r="AG28" s="25" t="str">
        <f>IF('1. Live'!AK28='check-Jul''26'!AG28,"",'1. Live'!AK28-'check-Jul''26'!AG28)</f>
        <v/>
      </c>
      <c r="AH28" s="25" t="str">
        <f>IF('1. Live'!AL28='check-Jul''26'!AH28,"",'1. Live'!AL28-'check-Jul''26'!AH28)</f>
        <v/>
      </c>
      <c r="AI28" s="25" t="str">
        <f>IF('1. Live'!AM28='check-Jul''26'!AI28,"",'1. Live'!AM28-'check-Jul''26'!AI28)</f>
        <v/>
      </c>
      <c r="AJ28" s="25" t="str">
        <f>IF('1. Live'!AN28='check-Jul''26'!AJ28,"",'1. Live'!AN28-'check-Jul''26'!AJ28)</f>
        <v/>
      </c>
      <c r="AK28" s="25" t="str">
        <f>IF('1. Live'!AO28='check-Jul''26'!AK28,"",'1. Live'!AO28-'check-Jul''26'!AK28)</f>
        <v/>
      </c>
      <c r="AL28" s="25" t="str">
        <f>IF('1. Live'!AP28='check-Jul''26'!AL28,"",'1. Live'!AP28-'check-Jul''26'!AL28)</f>
        <v/>
      </c>
      <c r="AM28" s="25" t="str">
        <f>IF('1. Live'!AQ28='check-Jul''26'!AM28,"",'1. Live'!AQ28-'check-Jul''26'!AM28)</f>
        <v/>
      </c>
      <c r="AN28" s="25" t="str">
        <f>IF('1. Live'!AR28='check-Jul''26'!AN28,"",'1. Live'!AR28-'check-Jul''26'!AN28)</f>
        <v/>
      </c>
      <c r="AO28" s="25" t="str">
        <f>IF('1. Live'!AS28='check-Jul''26'!AO28,"",'1. Live'!AS28-'check-Jul''26'!AO28)</f>
        <v/>
      </c>
      <c r="AP28" s="25" t="str">
        <f>IF('1. Live'!AT28='check-Jul''26'!AP28,"",'1. Live'!AT28-'check-Jul''26'!AP28)</f>
        <v/>
      </c>
      <c r="AQ28" s="25" t="str">
        <f>IF('1. Live'!AU28='check-Jul''26'!AQ28,"",'1. Live'!AU28-'check-Jul''26'!AQ28)</f>
        <v/>
      </c>
      <c r="AR28" s="25" t="str">
        <f>IF('1. Live'!AV28='check-Jul''26'!AR28,"",'1. Live'!AV28-'check-Jul''26'!AR28)</f>
        <v/>
      </c>
      <c r="AS28" s="25" t="str">
        <f>IF('1. Live'!AW28='check-Jul''26'!AS28,"",'1. Live'!AW28-'check-Jul''26'!AS28)</f>
        <v/>
      </c>
      <c r="AT28" s="25" t="str">
        <f>IF('1. Live'!AX28='check-Jul''26'!AT28,"",'1. Live'!AX28-'check-Jul''26'!AT28)</f>
        <v/>
      </c>
      <c r="AU28" s="25" t="str">
        <f>IF('1. Live'!AY28='check-Jul''26'!AU28,"",'1. Live'!AY28-'check-Jul''26'!AU28)</f>
        <v/>
      </c>
      <c r="AV28" s="25" t="str">
        <f>IF('1. Live'!AZ28='check-Jul''26'!AV28,"",'1. Live'!AZ28-'check-Jul''26'!AV28)</f>
        <v/>
      </c>
      <c r="AW28" s="25" t="str">
        <f>IF('1. Live'!BA28='check-Jul''26'!AW28,"",'1. Live'!BA28-'check-Jul''26'!AW28)</f>
        <v/>
      </c>
      <c r="AX28" s="25" t="str">
        <f>IF('1. Live'!BB28='check-Jul''26'!AX28,"",'1. Live'!BB28-'check-Jul''26'!AX28)</f>
        <v/>
      </c>
      <c r="AY28" s="25" t="str">
        <f>IF('1. Live'!BC28='check-Jul''26'!AY28,"",'1. Live'!BC28-'check-Jul''26'!AY28)</f>
        <v/>
      </c>
      <c r="AZ28" s="25" t="str">
        <f>IF('1. Live'!BD28='check-Jul''26'!AZ28,"",'1. Live'!BD28-'check-Jul''26'!AZ28)</f>
        <v/>
      </c>
      <c r="BA28" s="25" t="str">
        <f>IF('1. Live'!BE28='check-Jul''26'!BA28,"",'1. Live'!BE28-'check-Jul''26'!BA28)</f>
        <v/>
      </c>
      <c r="BB28" s="25" t="str">
        <f>IF('1. Live'!BF28='check-Jul''26'!BB28,"",'1. Live'!BF28-'check-Jul''26'!BB28)</f>
        <v/>
      </c>
      <c r="BC28" s="25" t="str">
        <f>IF('1. Live'!BG28='check-Jul''26'!BC28,"",'1. Live'!BG28-'check-Jul''26'!BC28)</f>
        <v/>
      </c>
      <c r="BD28" s="25" t="str">
        <f>IF('1. Live'!BH28='check-Jul''26'!BD28,"",'1. Live'!BH28-'check-Jul''26'!BD28)</f>
        <v/>
      </c>
      <c r="BE28" s="25" t="str">
        <f>IF('1. Live'!BI28='check-Jul''26'!BE28,"",'1. Live'!BI28-'check-Jul''26'!BE28)</f>
        <v/>
      </c>
      <c r="BF28" s="25" t="str">
        <f>IF('1. Live'!BJ28='check-Jul''26'!BF28,"",'1. Live'!BJ28-'check-Jul''26'!BF28)</f>
        <v/>
      </c>
      <c r="BG28" s="25" t="str">
        <f>IF('1. Live'!BK28='check-Jul''26'!BG28,"",'1. Live'!BK28-'check-Jul''26'!BG28)</f>
        <v/>
      </c>
      <c r="BH28" s="25" t="str">
        <f>IF('1. Live'!BL28='check-Jul''26'!BH28,"",'1. Live'!BL28-'check-Jul''26'!BH28)</f>
        <v/>
      </c>
      <c r="BI28" s="25" t="str">
        <f>IF('1. Live'!BM28='check-Jul''26'!BI28,"",'1. Live'!BM28-'check-Jul''26'!BI28)</f>
        <v/>
      </c>
      <c r="BJ28" s="25" t="str">
        <f>IF('1. Live'!BN28='check-Jul''26'!BJ28,"",'1. Live'!BN28-'check-Jul''26'!BJ28)</f>
        <v/>
      </c>
      <c r="BK28" s="25" t="str">
        <f>IF('1. Live'!BO28='check-Jul''26'!BK28,"",'1. Live'!BO28-'check-Jul''26'!BK28)</f>
        <v/>
      </c>
      <c r="BL28" s="25" t="str">
        <f>IF('1. Live'!BP28='check-Jul''26'!BL28,"",'1. Live'!BP28-'check-Jul''26'!BL28)</f>
        <v/>
      </c>
      <c r="BM28" s="25" t="str">
        <f>IF('1. Live'!BQ28='check-Jul''26'!BM28,"",'1. Live'!BQ28-'check-Jul''26'!BM28)</f>
        <v/>
      </c>
      <c r="BN28" s="25" t="str">
        <f>IF('1. Live'!BR28='check-Jul''26'!BN28,"",'1. Live'!BR28-'check-Jul''26'!BN28)</f>
        <v/>
      </c>
      <c r="BO28" s="25" t="str">
        <f>IF('1. Live'!BS28='check-Jul''26'!BO28,"",'1. Live'!BS28-'check-Jul''26'!BO28)</f>
        <v/>
      </c>
      <c r="BP28" s="25" t="str">
        <f>IF('1. Live'!BT28='check-Jul''26'!BP28,"",'1. Live'!BT28-'check-Jul''26'!BP28)</f>
        <v/>
      </c>
      <c r="BQ28" s="25" t="str">
        <f>IF('1. Live'!BU28='check-Jul''26'!BQ28,"",'1. Live'!BU28-'check-Jul''26'!BQ28)</f>
        <v/>
      </c>
      <c r="BR28" s="25" t="str">
        <f>IF('1. Live'!BV28='check-Jul''26'!BR28,"",'1. Live'!BV28-'check-Jul''26'!BR28)</f>
        <v/>
      </c>
      <c r="BS28" s="25" t="str">
        <f>IF('1. Live'!BW28='check-Jul''26'!BS28,"",'1. Live'!BW28-'check-Jul''26'!BS28)</f>
        <v/>
      </c>
      <c r="BT28" s="25" t="str">
        <f>IF('1. Live'!BX28='check-Jul''26'!BT28,"",'1. Live'!BX28-'check-Jul''26'!BT28)</f>
        <v/>
      </c>
      <c r="BU28" s="25" t="str">
        <f>IF('1. Live'!BY28='check-Jul''26'!BU28,"",'1. Live'!BY28-'check-Jul''26'!BU28)</f>
        <v/>
      </c>
      <c r="BV28" s="25" t="str">
        <f>IF('1. Live'!BZ28='check-Jul''26'!BV28,"",'1. Live'!BZ28-'check-Jul''26'!BV28)</f>
        <v/>
      </c>
      <c r="BW28" s="25" t="str">
        <f>IF('1. Live'!CA28='check-Jul''26'!BW28,"",'1. Live'!CA28-'check-Jul''26'!BW28)</f>
        <v/>
      </c>
      <c r="BX28" s="25" t="str">
        <f>IF('1. Live'!CB28='check-Jul''26'!BX28,"",'1. Live'!CB28-'check-Jul''26'!BX28)</f>
        <v/>
      </c>
      <c r="BY28" s="25" t="str">
        <f>IF('1. Live'!CC28='check-Jul''26'!BY28,"",'1. Live'!CC28-'check-Jul''26'!BY28)</f>
        <v/>
      </c>
      <c r="BZ28" s="25" t="str">
        <f>IF('1. Live'!CD28='check-Jul''26'!BZ28,"",'1. Live'!CD28-'check-Jul''26'!BZ28)</f>
        <v/>
      </c>
      <c r="CA28" s="25" t="str">
        <f>IF('1. Live'!CE28='check-Jul''26'!CA28,"",'1. Live'!CE28-'check-Jul''26'!CA28)</f>
        <v/>
      </c>
      <c r="CB28" s="25" t="str">
        <f>IF('1. Live'!CF28='check-Jul''26'!CB28,"",'1. Live'!CF28-'check-Jul''26'!CB28)</f>
        <v/>
      </c>
      <c r="CC28" s="25" t="str">
        <f>IF('1. Live'!CG28='check-Jul''26'!CC28,"",'1. Live'!CG28-'check-Jul''26'!CC28)</f>
        <v/>
      </c>
      <c r="CD28" s="25" t="str">
        <f>IF('1. Live'!CH28='check-Jul''26'!CD28,"",'1. Live'!CH28-'check-Jul''26'!CD28)</f>
        <v/>
      </c>
      <c r="CE28" s="25" t="str">
        <f>IF('1. Live'!CI28='check-Jul''26'!CE28,"",'1. Live'!CI28-'check-Jul''26'!CE28)</f>
        <v/>
      </c>
      <c r="CF28" s="25" t="str">
        <f>IF('1. Live'!CJ28='check-Jul''26'!CF28,"",'1. Live'!CJ28-'check-Jul''26'!CF28)</f>
        <v/>
      </c>
      <c r="CG28" s="25" t="str">
        <f>IF('1. Live'!CK28='check-Jul''26'!CG28,"",'1. Live'!CK28-'check-Jul''26'!CG28)</f>
        <v/>
      </c>
      <c r="CH28" s="25" t="str">
        <f>IF('1. Live'!CL28='check-Jul''26'!CH28,"",'1. Live'!CL28-'check-Jul''26'!CH28)</f>
        <v/>
      </c>
      <c r="CI28" s="25" t="str">
        <f>IF('1. Live'!CM28='check-Jul''26'!CI28,"",'1. Live'!CM28-'check-Jul''26'!CI28)</f>
        <v/>
      </c>
      <c r="CJ28" s="25" t="str">
        <f>IF('1. Live'!CN28='check-Jul''26'!CJ28,"",'1. Live'!CN28-'check-Jul''26'!CJ28)</f>
        <v/>
      </c>
      <c r="CK28" s="25" t="str">
        <f>IF('1. Live'!CO28='check-Jul''26'!CK28,"",'1. Live'!CO28-'check-Jul''26'!CK28)</f>
        <v/>
      </c>
      <c r="CL28" s="25" t="str">
        <f>IF('1. Live'!CP28='check-Jul''26'!CL28,"",'1. Live'!CP28-'check-Jul''26'!CL28)</f>
        <v/>
      </c>
      <c r="CM28" s="25" t="str">
        <f>IF('1. Live'!CQ28='check-Jul''26'!CM28,"",'1. Live'!CQ28-'check-Jul''26'!CM28)</f>
        <v/>
      </c>
      <c r="CN28" s="25" t="str">
        <f>IF('1. Live'!CR28='check-Jul''26'!CN28,"",'1. Live'!CR28-'check-Jul''26'!CN28)</f>
        <v/>
      </c>
      <c r="CO28" s="25" t="str">
        <f>IF('1. Live'!CS28='check-Jul''26'!CO28,"",'1. Live'!CS28-'check-Jul''26'!CO28)</f>
        <v/>
      </c>
      <c r="CP28" s="25" t="str">
        <f>IF('1. Live'!CT28='check-Jul''26'!CP28,"",'1. Live'!CT28-'check-Jul''26'!CP28)</f>
        <v/>
      </c>
      <c r="CQ28" s="25" t="str">
        <f>IF('1. Live'!CU28='check-Jul''26'!CQ28,"",'1. Live'!CU28-'check-Jul''26'!CQ28)</f>
        <v/>
      </c>
      <c r="CR28" s="25" t="str">
        <f>IF('1. Live'!CV28='check-Jul''26'!CR28,"",'1. Live'!CV28-'check-Jul''26'!CR28)</f>
        <v/>
      </c>
      <c r="CS28" s="25" t="str">
        <f>IF('1. Live'!CW28='check-Jul''26'!CS28,"",'1. Live'!CW28-'check-Jul''26'!CS28)</f>
        <v/>
      </c>
      <c r="CT28" s="25" t="str">
        <f>IF('1. Live'!CX28='check-Jul''26'!CT28,"",'1. Live'!CX28-'check-Jul''26'!CT28)</f>
        <v/>
      </c>
      <c r="CU28" s="25" t="str">
        <f>IF('1. Live'!CY28='check-Jul''26'!CU28,"",'1. Live'!CY28-'check-Jul''26'!CU28)</f>
        <v/>
      </c>
      <c r="CV28" s="25" t="str">
        <f>IF('1. Live'!CZ28='check-Jul''26'!CV28,"",'1. Live'!CZ28-'check-Jul''26'!CV28)</f>
        <v/>
      </c>
    </row>
    <row r="29" spans="2:100" x14ac:dyDescent="0.25">
      <c r="B29" s="66"/>
      <c r="C29" s="4"/>
      <c r="D29" s="153"/>
      <c r="E29" s="153"/>
      <c r="F29" s="153"/>
      <c r="G29" s="153"/>
      <c r="H29" s="153"/>
      <c r="I29" s="32"/>
      <c r="J29" s="2"/>
      <c r="K29" s="2"/>
      <c r="L29" s="2"/>
      <c r="M29" s="6"/>
      <c r="N29" s="90" t="str">
        <f>IF('1. Live'!N29='check-Jul''26'!N29,"",'1. Live'!N29-'check-Jul''26'!N29)</f>
        <v/>
      </c>
      <c r="O29" s="17" t="str">
        <f>IF('1. Live'!O29='check-Jul''26'!O29,"",'1. Live'!O29-'check-Jul''26'!O29)</f>
        <v/>
      </c>
      <c r="P29" s="17" t="str">
        <f>IF('1. Live'!P29='check-Jul''26'!P29,"",'1. Live'!P29-'check-Jul''26'!P29)</f>
        <v/>
      </c>
      <c r="Q29" s="17" t="str">
        <f>IF('1. Live'!Q29='check-Jul''26'!Q29,"",'1. Live'!Q29-'check-Jul''26'!Q29)</f>
        <v/>
      </c>
      <c r="R29" s="17" t="str">
        <f>IF('1. Live'!R29='check-Jul''26'!R29,"",'1. Live'!R29-'check-Jul''26'!R29)</f>
        <v/>
      </c>
      <c r="S29" s="17" t="str">
        <f>IF('1. Live'!S29='check-Jul''26'!S29,"",'1. Live'!S29-'check-Jul''26'!S29)</f>
        <v/>
      </c>
      <c r="T29" s="17" t="str">
        <f>IF('1. Live'!T29='check-Jul''26'!T29,"",'1. Live'!T29-'check-Jul''26'!T29)</f>
        <v/>
      </c>
      <c r="U29" s="10" t="str">
        <f>IF('1. Live'!U29='check-Jul''26'!U29,"",'1. Live'!U29-'check-Jul''26'!U29)</f>
        <v/>
      </c>
      <c r="V29" s="87" t="str">
        <f>IF('1. Live'!V29='check-Jul''26'!V29,"",'1. Live'!V29-'check-Jul''26'!V29)</f>
        <v/>
      </c>
      <c r="W29" s="67"/>
      <c r="AA29" s="25" t="str">
        <f>IF('1. Live'!AA29='check-Jul''26'!W29,"",'1. Live'!AA29-'check-Jul''26'!W29)</f>
        <v/>
      </c>
      <c r="AB29" s="25" t="str">
        <f>IF('1. Live'!AF29='check-Jul''26'!AB29,"",'1. Live'!AF29-'check-Jul''26'!AB29)</f>
        <v/>
      </c>
      <c r="AC29" s="25" t="str">
        <f>IF('1. Live'!AG29='check-Jul''26'!AC29,"",'1. Live'!AG29-'check-Jul''26'!AC29)</f>
        <v/>
      </c>
      <c r="AD29" s="25" t="str">
        <f>IF('1. Live'!AH29='check-Jul''26'!AD29,"",'1. Live'!AH29-'check-Jul''26'!AD29)</f>
        <v/>
      </c>
      <c r="AE29" s="25" t="str">
        <f>IF('1. Live'!AI29='check-Jul''26'!AE29,"",'1. Live'!AI29-'check-Jul''26'!AE29)</f>
        <v/>
      </c>
      <c r="AF29" s="25" t="str">
        <f>IF('1. Live'!AJ29='check-Jul''26'!AF29,"",'1. Live'!AJ29-'check-Jul''26'!AF29)</f>
        <v/>
      </c>
      <c r="AG29" s="25" t="str">
        <f>IF('1. Live'!AK29='check-Jul''26'!AG29,"",'1. Live'!AK29-'check-Jul''26'!AG29)</f>
        <v/>
      </c>
      <c r="AH29" s="25" t="str">
        <f>IF('1. Live'!AL29='check-Jul''26'!AH29,"",'1. Live'!AL29-'check-Jul''26'!AH29)</f>
        <v/>
      </c>
      <c r="AI29" s="25" t="str">
        <f>IF('1. Live'!AM29='check-Jul''26'!AI29,"",'1. Live'!AM29-'check-Jul''26'!AI29)</f>
        <v/>
      </c>
      <c r="AJ29" s="25" t="str">
        <f>IF('1. Live'!AN29='check-Jul''26'!AJ29,"",'1. Live'!AN29-'check-Jul''26'!AJ29)</f>
        <v/>
      </c>
      <c r="AK29" s="25" t="str">
        <f>IF('1. Live'!AO29='check-Jul''26'!AK29,"",'1. Live'!AO29-'check-Jul''26'!AK29)</f>
        <v/>
      </c>
      <c r="AL29" s="25" t="str">
        <f>IF('1. Live'!AP29='check-Jul''26'!AL29,"",'1. Live'!AP29-'check-Jul''26'!AL29)</f>
        <v/>
      </c>
      <c r="AM29" s="25" t="str">
        <f>IF('1. Live'!AQ29='check-Jul''26'!AM29,"",'1. Live'!AQ29-'check-Jul''26'!AM29)</f>
        <v/>
      </c>
      <c r="AN29" s="25" t="str">
        <f>IF('1. Live'!AR29='check-Jul''26'!AN29,"",'1. Live'!AR29-'check-Jul''26'!AN29)</f>
        <v/>
      </c>
      <c r="AO29" s="25" t="str">
        <f>IF('1. Live'!AS29='check-Jul''26'!AO29,"",'1. Live'!AS29-'check-Jul''26'!AO29)</f>
        <v/>
      </c>
      <c r="AP29" s="25" t="str">
        <f>IF('1. Live'!AT29='check-Jul''26'!AP29,"",'1. Live'!AT29-'check-Jul''26'!AP29)</f>
        <v/>
      </c>
      <c r="AQ29" s="25" t="str">
        <f>IF('1. Live'!AU29='check-Jul''26'!AQ29,"",'1. Live'!AU29-'check-Jul''26'!AQ29)</f>
        <v/>
      </c>
      <c r="AR29" s="25" t="str">
        <f>IF('1. Live'!AV29='check-Jul''26'!AR29,"",'1. Live'!AV29-'check-Jul''26'!AR29)</f>
        <v/>
      </c>
      <c r="AS29" s="25" t="str">
        <f>IF('1. Live'!AW29='check-Jul''26'!AS29,"",'1. Live'!AW29-'check-Jul''26'!AS29)</f>
        <v/>
      </c>
      <c r="AT29" s="25" t="str">
        <f>IF('1. Live'!AX29='check-Jul''26'!AT29,"",'1. Live'!AX29-'check-Jul''26'!AT29)</f>
        <v/>
      </c>
      <c r="AU29" s="25" t="str">
        <f>IF('1. Live'!AY29='check-Jul''26'!AU29,"",'1. Live'!AY29-'check-Jul''26'!AU29)</f>
        <v/>
      </c>
      <c r="AV29" s="25" t="str">
        <f>IF('1. Live'!AZ29='check-Jul''26'!AV29,"",'1. Live'!AZ29-'check-Jul''26'!AV29)</f>
        <v/>
      </c>
      <c r="AW29" s="25" t="str">
        <f>IF('1. Live'!BA29='check-Jul''26'!AW29,"",'1. Live'!BA29-'check-Jul''26'!AW29)</f>
        <v/>
      </c>
      <c r="AX29" s="25" t="str">
        <f>IF('1. Live'!BB29='check-Jul''26'!AX29,"",'1. Live'!BB29-'check-Jul''26'!AX29)</f>
        <v/>
      </c>
      <c r="AY29" s="25" t="str">
        <f>IF('1. Live'!BC29='check-Jul''26'!AY29,"",'1. Live'!BC29-'check-Jul''26'!AY29)</f>
        <v/>
      </c>
      <c r="AZ29" s="25" t="str">
        <f>IF('1. Live'!BD29='check-Jul''26'!AZ29,"",'1. Live'!BD29-'check-Jul''26'!AZ29)</f>
        <v/>
      </c>
      <c r="BA29" s="25" t="str">
        <f>IF('1. Live'!BE29='check-Jul''26'!BA29,"",'1. Live'!BE29-'check-Jul''26'!BA29)</f>
        <v/>
      </c>
      <c r="BB29" s="25" t="str">
        <f>IF('1. Live'!BF29='check-Jul''26'!BB29,"",'1. Live'!BF29-'check-Jul''26'!BB29)</f>
        <v/>
      </c>
      <c r="BC29" s="25" t="str">
        <f>IF('1. Live'!BG29='check-Jul''26'!BC29,"",'1. Live'!BG29-'check-Jul''26'!BC29)</f>
        <v/>
      </c>
      <c r="BD29" s="25" t="str">
        <f>IF('1. Live'!BH29='check-Jul''26'!BD29,"",'1. Live'!BH29-'check-Jul''26'!BD29)</f>
        <v/>
      </c>
      <c r="BE29" s="25" t="str">
        <f>IF('1. Live'!BI29='check-Jul''26'!BE29,"",'1. Live'!BI29-'check-Jul''26'!BE29)</f>
        <v/>
      </c>
      <c r="BF29" s="25" t="str">
        <f>IF('1. Live'!BJ29='check-Jul''26'!BF29,"",'1. Live'!BJ29-'check-Jul''26'!BF29)</f>
        <v/>
      </c>
      <c r="BG29" s="25" t="str">
        <f>IF('1. Live'!BK29='check-Jul''26'!BG29,"",'1. Live'!BK29-'check-Jul''26'!BG29)</f>
        <v/>
      </c>
      <c r="BH29" s="25" t="str">
        <f>IF('1. Live'!BL29='check-Jul''26'!BH29,"",'1. Live'!BL29-'check-Jul''26'!BH29)</f>
        <v/>
      </c>
      <c r="BI29" s="25" t="str">
        <f>IF('1. Live'!BM29='check-Jul''26'!BI29,"",'1. Live'!BM29-'check-Jul''26'!BI29)</f>
        <v/>
      </c>
      <c r="BJ29" s="25" t="str">
        <f>IF('1. Live'!BN29='check-Jul''26'!BJ29,"",'1. Live'!BN29-'check-Jul''26'!BJ29)</f>
        <v/>
      </c>
      <c r="BK29" s="25" t="str">
        <f>IF('1. Live'!BO29='check-Jul''26'!BK29,"",'1. Live'!BO29-'check-Jul''26'!BK29)</f>
        <v/>
      </c>
      <c r="BL29" s="25" t="str">
        <f>IF('1. Live'!BP29='check-Jul''26'!BL29,"",'1. Live'!BP29-'check-Jul''26'!BL29)</f>
        <v/>
      </c>
      <c r="BM29" s="25" t="str">
        <f>IF('1. Live'!BQ29='check-Jul''26'!BM29,"",'1. Live'!BQ29-'check-Jul''26'!BM29)</f>
        <v/>
      </c>
      <c r="BN29" s="25" t="str">
        <f>IF('1. Live'!BR29='check-Jul''26'!BN29,"",'1. Live'!BR29-'check-Jul''26'!BN29)</f>
        <v/>
      </c>
      <c r="BO29" s="25" t="str">
        <f>IF('1. Live'!BS29='check-Jul''26'!BO29,"",'1. Live'!BS29-'check-Jul''26'!BO29)</f>
        <v/>
      </c>
      <c r="BP29" s="25" t="str">
        <f>IF('1. Live'!BT29='check-Jul''26'!BP29,"",'1. Live'!BT29-'check-Jul''26'!BP29)</f>
        <v/>
      </c>
      <c r="BQ29" s="25" t="str">
        <f>IF('1. Live'!BU29='check-Jul''26'!BQ29,"",'1. Live'!BU29-'check-Jul''26'!BQ29)</f>
        <v/>
      </c>
      <c r="BR29" s="25" t="str">
        <f>IF('1. Live'!BV29='check-Jul''26'!BR29,"",'1. Live'!BV29-'check-Jul''26'!BR29)</f>
        <v/>
      </c>
      <c r="BS29" s="25" t="str">
        <f>IF('1. Live'!BW29='check-Jul''26'!BS29,"",'1. Live'!BW29-'check-Jul''26'!BS29)</f>
        <v/>
      </c>
      <c r="BT29" s="25" t="str">
        <f>IF('1. Live'!BX29='check-Jul''26'!BT29,"",'1. Live'!BX29-'check-Jul''26'!BT29)</f>
        <v/>
      </c>
      <c r="BU29" s="25" t="str">
        <f>IF('1. Live'!BY29='check-Jul''26'!BU29,"",'1. Live'!BY29-'check-Jul''26'!BU29)</f>
        <v/>
      </c>
      <c r="BV29" s="25" t="str">
        <f>IF('1. Live'!BZ29='check-Jul''26'!BV29,"",'1. Live'!BZ29-'check-Jul''26'!BV29)</f>
        <v/>
      </c>
      <c r="BW29" s="25" t="str">
        <f>IF('1. Live'!CA29='check-Jul''26'!BW29,"",'1. Live'!CA29-'check-Jul''26'!BW29)</f>
        <v/>
      </c>
      <c r="BX29" s="25" t="str">
        <f>IF('1. Live'!CB29='check-Jul''26'!BX29,"",'1. Live'!CB29-'check-Jul''26'!BX29)</f>
        <v/>
      </c>
      <c r="BY29" s="25" t="str">
        <f>IF('1. Live'!CC29='check-Jul''26'!BY29,"",'1. Live'!CC29-'check-Jul''26'!BY29)</f>
        <v/>
      </c>
      <c r="BZ29" s="25" t="str">
        <f>IF('1. Live'!CD29='check-Jul''26'!BZ29,"",'1. Live'!CD29-'check-Jul''26'!BZ29)</f>
        <v/>
      </c>
      <c r="CA29" s="25" t="str">
        <f>IF('1. Live'!CE29='check-Jul''26'!CA29,"",'1. Live'!CE29-'check-Jul''26'!CA29)</f>
        <v/>
      </c>
      <c r="CB29" s="25" t="str">
        <f>IF('1. Live'!CF29='check-Jul''26'!CB29,"",'1. Live'!CF29-'check-Jul''26'!CB29)</f>
        <v/>
      </c>
      <c r="CC29" s="25" t="str">
        <f>IF('1. Live'!CG29='check-Jul''26'!CC29,"",'1. Live'!CG29-'check-Jul''26'!CC29)</f>
        <v/>
      </c>
      <c r="CD29" s="25" t="str">
        <f>IF('1. Live'!CH29='check-Jul''26'!CD29,"",'1. Live'!CH29-'check-Jul''26'!CD29)</f>
        <v/>
      </c>
      <c r="CE29" s="25" t="str">
        <f>IF('1. Live'!CI29='check-Jul''26'!CE29,"",'1. Live'!CI29-'check-Jul''26'!CE29)</f>
        <v/>
      </c>
      <c r="CF29" s="25" t="str">
        <f>IF('1. Live'!CJ29='check-Jul''26'!CF29,"",'1. Live'!CJ29-'check-Jul''26'!CF29)</f>
        <v/>
      </c>
      <c r="CG29" s="25" t="str">
        <f>IF('1. Live'!CK29='check-Jul''26'!CG29,"",'1. Live'!CK29-'check-Jul''26'!CG29)</f>
        <v/>
      </c>
      <c r="CH29" s="25" t="str">
        <f>IF('1. Live'!CL29='check-Jul''26'!CH29,"",'1. Live'!CL29-'check-Jul''26'!CH29)</f>
        <v/>
      </c>
      <c r="CI29" s="25" t="str">
        <f>IF('1. Live'!CM29='check-Jul''26'!CI29,"",'1. Live'!CM29-'check-Jul''26'!CI29)</f>
        <v/>
      </c>
      <c r="CJ29" s="25" t="str">
        <f>IF('1. Live'!CN29='check-Jul''26'!CJ29,"",'1. Live'!CN29-'check-Jul''26'!CJ29)</f>
        <v/>
      </c>
      <c r="CK29" s="25" t="str">
        <f>IF('1. Live'!CO29='check-Jul''26'!CK29,"",'1. Live'!CO29-'check-Jul''26'!CK29)</f>
        <v/>
      </c>
      <c r="CL29" s="25" t="str">
        <f>IF('1. Live'!CP29='check-Jul''26'!CL29,"",'1. Live'!CP29-'check-Jul''26'!CL29)</f>
        <v/>
      </c>
      <c r="CM29" s="25" t="str">
        <f>IF('1. Live'!CQ29='check-Jul''26'!CM29,"",'1. Live'!CQ29-'check-Jul''26'!CM29)</f>
        <v/>
      </c>
      <c r="CN29" s="25" t="str">
        <f>IF('1. Live'!CR29='check-Jul''26'!CN29,"",'1. Live'!CR29-'check-Jul''26'!CN29)</f>
        <v/>
      </c>
      <c r="CO29" s="25" t="str">
        <f>IF('1. Live'!CS29='check-Jul''26'!CO29,"",'1. Live'!CS29-'check-Jul''26'!CO29)</f>
        <v/>
      </c>
      <c r="CP29" s="25" t="str">
        <f>IF('1. Live'!CT29='check-Jul''26'!CP29,"",'1. Live'!CT29-'check-Jul''26'!CP29)</f>
        <v/>
      </c>
      <c r="CQ29" s="25" t="str">
        <f>IF('1. Live'!CU29='check-Jul''26'!CQ29,"",'1. Live'!CU29-'check-Jul''26'!CQ29)</f>
        <v/>
      </c>
      <c r="CR29" s="25" t="str">
        <f>IF('1. Live'!CV29='check-Jul''26'!CR29,"",'1. Live'!CV29-'check-Jul''26'!CR29)</f>
        <v/>
      </c>
      <c r="CS29" s="25" t="str">
        <f>IF('1. Live'!CW29='check-Jul''26'!CS29,"",'1. Live'!CW29-'check-Jul''26'!CS29)</f>
        <v/>
      </c>
      <c r="CT29" s="25" t="str">
        <f>IF('1. Live'!CX29='check-Jul''26'!CT29,"",'1. Live'!CX29-'check-Jul''26'!CT29)</f>
        <v/>
      </c>
      <c r="CU29" s="25" t="str">
        <f>IF('1. Live'!CY29='check-Jul''26'!CU29,"",'1. Live'!CY29-'check-Jul''26'!CU29)</f>
        <v/>
      </c>
      <c r="CV29" s="25" t="str">
        <f>IF('1. Live'!CZ29='check-Jul''26'!CV29,"",'1. Live'!CZ29-'check-Jul''26'!CV29)</f>
        <v/>
      </c>
    </row>
    <row r="30" spans="2:100" s="70" customFormat="1" x14ac:dyDescent="0.25">
      <c r="B30" s="68"/>
      <c r="C30" s="9"/>
      <c r="D30" s="9"/>
      <c r="E30" s="9"/>
      <c r="F30" s="9"/>
      <c r="G30" s="9"/>
      <c r="H30" s="9"/>
      <c r="I30" s="9"/>
      <c r="J30" s="9"/>
      <c r="K30" s="9"/>
      <c r="L30" s="9"/>
      <c r="M30" s="9"/>
      <c r="N30" s="93" t="str">
        <f>IF('1. Live'!N30='check-Jul''26'!N30,"",'1. Live'!N30-'check-Jul''26'!N30)</f>
        <v/>
      </c>
      <c r="O30" s="18">
        <f ca="1">IF('1. Live'!O30='check-Jul''26'!O30,"",'1. Live'!O30-'check-Jul''26'!O30)</f>
        <v>0.20887781338001332</v>
      </c>
      <c r="P30" s="18">
        <f ca="1">IF('1. Live'!P30='check-Jul''26'!P30,"",'1. Live'!P30-'check-Jul''26'!P30)</f>
        <v>0.13163325521588831</v>
      </c>
      <c r="Q30" s="18">
        <f ca="1">IF('1. Live'!Q30='check-Jul''26'!Q30,"",'1. Live'!Q30-'check-Jul''26'!Q30)</f>
        <v>7.7244558164133892E-2</v>
      </c>
      <c r="R30" s="18" t="str">
        <f ca="1">IF('1. Live'!R30='check-Jul''26'!R30,"",'1. Live'!R30-'check-Jul''26'!R30)</f>
        <v/>
      </c>
      <c r="S30" s="18">
        <f>IF('1. Live'!S30='check-Jul''26'!S30,"",'1. Live'!S30-'check-Jul''26'!S30)</f>
        <v>35.628894737487713</v>
      </c>
      <c r="T30" s="18">
        <f ca="1">IF('1. Live'!T30='check-Jul''26'!T30,"",'1. Live'!T30-'check-Jul''26'!T30)</f>
        <v>35.497261482271824</v>
      </c>
      <c r="U30" s="11">
        <f ca="1">IF('1. Live'!U30='check-Jul''26'!U30,"",'1. Live'!U30-'check-Jul''26'!U30)</f>
        <v>7.9883193225095406E-2</v>
      </c>
      <c r="V30" s="9" t="str">
        <f>IF('1. Live'!V30='check-Jul''26'!V30,"",'1. Live'!V30-'check-Jul''26'!V30)</f>
        <v/>
      </c>
      <c r="W30" s="69"/>
      <c r="AA30" s="70" t="str">
        <f>IF('1. Live'!AA30='check-Jul''26'!W30,"",'1. Live'!AA30-'check-Jul''26'!W30)</f>
        <v/>
      </c>
      <c r="AB30" s="70" t="str">
        <f>IF('1. Live'!AF30='check-Jul''26'!AB30,"",'1. Live'!AF30-'check-Jul''26'!AB30)</f>
        <v/>
      </c>
      <c r="AC30" s="70" t="str">
        <f>IF('1. Live'!AG30='check-Jul''26'!AC30,"",'1. Live'!AG30-'check-Jul''26'!AC30)</f>
        <v/>
      </c>
      <c r="AD30" s="70" t="str">
        <f>IF('1. Live'!AH30='check-Jul''26'!AD30,"",'1. Live'!AH30-'check-Jul''26'!AD30)</f>
        <v/>
      </c>
      <c r="AE30" s="70" t="str">
        <f>IF('1. Live'!AI30='check-Jul''26'!AE30,"",'1. Live'!AI30-'check-Jul''26'!AE30)</f>
        <v/>
      </c>
      <c r="AF30" s="70" t="str">
        <f>IF('1. Live'!AJ30='check-Jul''26'!AF30,"",'1. Live'!AJ30-'check-Jul''26'!AF30)</f>
        <v/>
      </c>
      <c r="AG30" s="70" t="str">
        <f>IF('1. Live'!AK30='check-Jul''26'!AG30,"",'1. Live'!AK30-'check-Jul''26'!AG30)</f>
        <v/>
      </c>
      <c r="AH30" s="70" t="str">
        <f>IF('1. Live'!AL30='check-Jul''26'!AH30,"",'1. Live'!AL30-'check-Jul''26'!AH30)</f>
        <v/>
      </c>
      <c r="AI30" s="70" t="str">
        <f>IF('1. Live'!AM30='check-Jul''26'!AI30,"",'1. Live'!AM30-'check-Jul''26'!AI30)</f>
        <v/>
      </c>
      <c r="AJ30" s="70" t="str">
        <f>IF('1. Live'!AN30='check-Jul''26'!AJ30,"",'1. Live'!AN30-'check-Jul''26'!AJ30)</f>
        <v/>
      </c>
      <c r="AK30" s="70" t="str">
        <f>IF('1. Live'!AO30='check-Jul''26'!AK30,"",'1. Live'!AO30-'check-Jul''26'!AK30)</f>
        <v/>
      </c>
      <c r="AL30" s="70" t="str">
        <f>IF('1. Live'!AP30='check-Jul''26'!AL30,"",'1. Live'!AP30-'check-Jul''26'!AL30)</f>
        <v/>
      </c>
      <c r="AM30" s="70" t="str">
        <f>IF('1. Live'!AQ30='check-Jul''26'!AM30,"",'1. Live'!AQ30-'check-Jul''26'!AM30)</f>
        <v/>
      </c>
      <c r="AN30" s="70" t="str">
        <f>IF('1. Live'!AR30='check-Jul''26'!AN30,"",'1. Live'!AR30-'check-Jul''26'!AN30)</f>
        <v/>
      </c>
      <c r="AO30" s="70" t="str">
        <f>IF('1. Live'!AS30='check-Jul''26'!AO30,"",'1. Live'!AS30-'check-Jul''26'!AO30)</f>
        <v/>
      </c>
      <c r="AP30" s="70" t="str">
        <f>IF('1. Live'!AT30='check-Jul''26'!AP30,"",'1. Live'!AT30-'check-Jul''26'!AP30)</f>
        <v/>
      </c>
      <c r="AQ30" s="70" t="str">
        <f>IF('1. Live'!AU30='check-Jul''26'!AQ30,"",'1. Live'!AU30-'check-Jul''26'!AQ30)</f>
        <v/>
      </c>
      <c r="AR30" s="70" t="str">
        <f>IF('1. Live'!AV30='check-Jul''26'!AR30,"",'1. Live'!AV30-'check-Jul''26'!AR30)</f>
        <v/>
      </c>
      <c r="AS30" s="70" t="str">
        <f>IF('1. Live'!AW30='check-Jul''26'!AS30,"",'1. Live'!AW30-'check-Jul''26'!AS30)</f>
        <v/>
      </c>
      <c r="AT30" s="70" t="str">
        <f>IF('1. Live'!AX30='check-Jul''26'!AT30,"",'1. Live'!AX30-'check-Jul''26'!AT30)</f>
        <v/>
      </c>
      <c r="AU30" s="70" t="str">
        <f>IF('1. Live'!AY30='check-Jul''26'!AU30,"",'1. Live'!AY30-'check-Jul''26'!AU30)</f>
        <v/>
      </c>
      <c r="AV30" s="70" t="str">
        <f>IF('1. Live'!AZ30='check-Jul''26'!AV30,"",'1. Live'!AZ30-'check-Jul''26'!AV30)</f>
        <v/>
      </c>
      <c r="AW30" s="70" t="str">
        <f>IF('1. Live'!BA30='check-Jul''26'!AW30,"",'1. Live'!BA30-'check-Jul''26'!AW30)</f>
        <v/>
      </c>
      <c r="AX30" s="70" t="str">
        <f>IF('1. Live'!BB30='check-Jul''26'!AX30,"",'1. Live'!BB30-'check-Jul''26'!AX30)</f>
        <v/>
      </c>
      <c r="AY30" s="70" t="str">
        <f>IF('1. Live'!BC30='check-Jul''26'!AY30,"",'1. Live'!BC30-'check-Jul''26'!AY30)</f>
        <v/>
      </c>
      <c r="AZ30" s="70" t="str">
        <f>IF('1. Live'!BD30='check-Jul''26'!AZ30,"",'1. Live'!BD30-'check-Jul''26'!AZ30)</f>
        <v/>
      </c>
      <c r="BA30" s="70" t="str">
        <f>IF('1. Live'!BE30='check-Jul''26'!BA30,"",'1. Live'!BE30-'check-Jul''26'!BA30)</f>
        <v/>
      </c>
      <c r="BB30" s="70" t="str">
        <f>IF('1. Live'!BF30='check-Jul''26'!BB30,"",'1. Live'!BF30-'check-Jul''26'!BB30)</f>
        <v/>
      </c>
      <c r="BC30" s="70" t="str">
        <f>IF('1. Live'!BG30='check-Jul''26'!BC30,"",'1. Live'!BG30-'check-Jul''26'!BC30)</f>
        <v/>
      </c>
      <c r="BD30" s="70" t="str">
        <f>IF('1. Live'!BH30='check-Jul''26'!BD30,"",'1. Live'!BH30-'check-Jul''26'!BD30)</f>
        <v/>
      </c>
      <c r="BE30" s="70" t="str">
        <f>IF('1. Live'!BI30='check-Jul''26'!BE30,"",'1. Live'!BI30-'check-Jul''26'!BE30)</f>
        <v/>
      </c>
      <c r="BF30" s="70" t="str">
        <f>IF('1. Live'!BJ30='check-Jul''26'!BF30,"",'1. Live'!BJ30-'check-Jul''26'!BF30)</f>
        <v/>
      </c>
      <c r="BG30" s="70" t="str">
        <f>IF('1. Live'!BK30='check-Jul''26'!BG30,"",'1. Live'!BK30-'check-Jul''26'!BG30)</f>
        <v/>
      </c>
      <c r="BH30" s="70" t="str">
        <f>IF('1. Live'!BL30='check-Jul''26'!BH30,"",'1. Live'!BL30-'check-Jul''26'!BH30)</f>
        <v/>
      </c>
      <c r="BI30" s="70" t="str">
        <f>IF('1. Live'!BM30='check-Jul''26'!BI30,"",'1. Live'!BM30-'check-Jul''26'!BI30)</f>
        <v/>
      </c>
      <c r="BJ30" s="70" t="str">
        <f>IF('1. Live'!BN30='check-Jul''26'!BJ30,"",'1. Live'!BN30-'check-Jul''26'!BJ30)</f>
        <v/>
      </c>
      <c r="BK30" s="70" t="str">
        <f>IF('1. Live'!BO30='check-Jul''26'!BK30,"",'1. Live'!BO30-'check-Jul''26'!BK30)</f>
        <v/>
      </c>
      <c r="BL30" s="70" t="str">
        <f>IF('1. Live'!BP30='check-Jul''26'!BL30,"",'1. Live'!BP30-'check-Jul''26'!BL30)</f>
        <v/>
      </c>
      <c r="BM30" s="70" t="str">
        <f>IF('1. Live'!BQ30='check-Jul''26'!BM30,"",'1. Live'!BQ30-'check-Jul''26'!BM30)</f>
        <v/>
      </c>
      <c r="BN30" s="70" t="str">
        <f>IF('1. Live'!BR30='check-Jul''26'!BN30,"",'1. Live'!BR30-'check-Jul''26'!BN30)</f>
        <v/>
      </c>
      <c r="BO30" s="70" t="str">
        <f>IF('1. Live'!BS30='check-Jul''26'!BO30,"",'1. Live'!BS30-'check-Jul''26'!BO30)</f>
        <v/>
      </c>
      <c r="BP30" s="70" t="str">
        <f>IF('1. Live'!BT30='check-Jul''26'!BP30,"",'1. Live'!BT30-'check-Jul''26'!BP30)</f>
        <v/>
      </c>
      <c r="BQ30" s="70" t="str">
        <f>IF('1. Live'!BU30='check-Jul''26'!BQ30,"",'1. Live'!BU30-'check-Jul''26'!BQ30)</f>
        <v/>
      </c>
      <c r="BR30" s="70" t="str">
        <f>IF('1. Live'!BV30='check-Jul''26'!BR30,"",'1. Live'!BV30-'check-Jul''26'!BR30)</f>
        <v/>
      </c>
      <c r="BS30" s="70" t="str">
        <f>IF('1. Live'!BW30='check-Jul''26'!BS30,"",'1. Live'!BW30-'check-Jul''26'!BS30)</f>
        <v/>
      </c>
      <c r="BT30" s="70" t="str">
        <f>IF('1. Live'!BX30='check-Jul''26'!BT30,"",'1. Live'!BX30-'check-Jul''26'!BT30)</f>
        <v/>
      </c>
      <c r="BU30" s="70" t="str">
        <f>IF('1. Live'!BY30='check-Jul''26'!BU30,"",'1. Live'!BY30-'check-Jul''26'!BU30)</f>
        <v/>
      </c>
      <c r="BV30" s="70" t="str">
        <f>IF('1. Live'!BZ30='check-Jul''26'!BV30,"",'1. Live'!BZ30-'check-Jul''26'!BV30)</f>
        <v/>
      </c>
      <c r="BW30" s="70" t="str">
        <f>IF('1. Live'!CA30='check-Jul''26'!BW30,"",'1. Live'!CA30-'check-Jul''26'!BW30)</f>
        <v/>
      </c>
      <c r="BX30" s="70" t="str">
        <f>IF('1. Live'!CB30='check-Jul''26'!BX30,"",'1. Live'!CB30-'check-Jul''26'!BX30)</f>
        <v/>
      </c>
      <c r="BY30" s="70" t="str">
        <f>IF('1. Live'!CC30='check-Jul''26'!BY30,"",'1. Live'!CC30-'check-Jul''26'!BY30)</f>
        <v/>
      </c>
      <c r="BZ30" s="70" t="str">
        <f>IF('1. Live'!CD30='check-Jul''26'!BZ30,"",'1. Live'!CD30-'check-Jul''26'!BZ30)</f>
        <v/>
      </c>
      <c r="CA30" s="70" t="str">
        <f>IF('1. Live'!CE30='check-Jul''26'!CA30,"",'1. Live'!CE30-'check-Jul''26'!CA30)</f>
        <v/>
      </c>
      <c r="CB30" s="70" t="str">
        <f>IF('1. Live'!CF30='check-Jul''26'!CB30,"",'1. Live'!CF30-'check-Jul''26'!CB30)</f>
        <v/>
      </c>
      <c r="CC30" s="70" t="str">
        <f>IF('1. Live'!CG30='check-Jul''26'!CC30,"",'1. Live'!CG30-'check-Jul''26'!CC30)</f>
        <v/>
      </c>
      <c r="CD30" s="70" t="str">
        <f>IF('1. Live'!CH30='check-Jul''26'!CD30,"",'1. Live'!CH30-'check-Jul''26'!CD30)</f>
        <v/>
      </c>
      <c r="CE30" s="70" t="str">
        <f>IF('1. Live'!CI30='check-Jul''26'!CE30,"",'1. Live'!CI30-'check-Jul''26'!CE30)</f>
        <v/>
      </c>
      <c r="CF30" s="70" t="str">
        <f>IF('1. Live'!CJ30='check-Jul''26'!CF30,"",'1. Live'!CJ30-'check-Jul''26'!CF30)</f>
        <v/>
      </c>
      <c r="CG30" s="70" t="str">
        <f>IF('1. Live'!CK30='check-Jul''26'!CG30,"",'1. Live'!CK30-'check-Jul''26'!CG30)</f>
        <v/>
      </c>
      <c r="CH30" s="70" t="str">
        <f>IF('1. Live'!CL30='check-Jul''26'!CH30,"",'1. Live'!CL30-'check-Jul''26'!CH30)</f>
        <v/>
      </c>
      <c r="CI30" s="70" t="str">
        <f>IF('1. Live'!CM30='check-Jul''26'!CI30,"",'1. Live'!CM30-'check-Jul''26'!CI30)</f>
        <v/>
      </c>
      <c r="CJ30" s="70" t="str">
        <f>IF('1. Live'!CN30='check-Jul''26'!CJ30,"",'1. Live'!CN30-'check-Jul''26'!CJ30)</f>
        <v/>
      </c>
      <c r="CK30" s="70" t="str">
        <f>IF('1. Live'!CO30='check-Jul''26'!CK30,"",'1. Live'!CO30-'check-Jul''26'!CK30)</f>
        <v/>
      </c>
      <c r="CL30" s="70" t="str">
        <f>IF('1. Live'!CP30='check-Jul''26'!CL30,"",'1. Live'!CP30-'check-Jul''26'!CL30)</f>
        <v/>
      </c>
      <c r="CM30" s="70" t="str">
        <f>IF('1. Live'!CQ30='check-Jul''26'!CM30,"",'1. Live'!CQ30-'check-Jul''26'!CM30)</f>
        <v/>
      </c>
      <c r="CN30" s="70" t="str">
        <f>IF('1. Live'!CR30='check-Jul''26'!CN30,"",'1. Live'!CR30-'check-Jul''26'!CN30)</f>
        <v/>
      </c>
      <c r="CO30" s="70" t="str">
        <f>IF('1. Live'!CS30='check-Jul''26'!CO30,"",'1. Live'!CS30-'check-Jul''26'!CO30)</f>
        <v/>
      </c>
      <c r="CP30" s="70" t="str">
        <f>IF('1. Live'!CT30='check-Jul''26'!CP30,"",'1. Live'!CT30-'check-Jul''26'!CP30)</f>
        <v/>
      </c>
      <c r="CQ30" s="70" t="str">
        <f>IF('1. Live'!CU30='check-Jul''26'!CQ30,"",'1. Live'!CU30-'check-Jul''26'!CQ30)</f>
        <v/>
      </c>
      <c r="CR30" s="70" t="str">
        <f>IF('1. Live'!CV30='check-Jul''26'!CR30,"",'1. Live'!CV30-'check-Jul''26'!CR30)</f>
        <v/>
      </c>
      <c r="CS30" s="70" t="str">
        <f>IF('1. Live'!CW30='check-Jul''26'!CS30,"",'1. Live'!CW30-'check-Jul''26'!CS30)</f>
        <v/>
      </c>
      <c r="CT30" s="70" t="str">
        <f>IF('1. Live'!CX30='check-Jul''26'!CT30,"",'1. Live'!CX30-'check-Jul''26'!CT30)</f>
        <v/>
      </c>
      <c r="CU30" s="70" t="str">
        <f>IF('1. Live'!CY30='check-Jul''26'!CU30,"",'1. Live'!CY30-'check-Jul''26'!CU30)</f>
        <v/>
      </c>
      <c r="CV30" s="70" t="str">
        <f>IF('1. Live'!CZ30='check-Jul''26'!CV30,"",'1. Live'!CZ30-'check-Jul''26'!CV30)</f>
        <v/>
      </c>
    </row>
    <row r="31" spans="2:100" s="70" customFormat="1" x14ac:dyDescent="0.25">
      <c r="B31" s="68"/>
      <c r="C31" s="143"/>
      <c r="D31" s="143"/>
      <c r="E31" s="143"/>
      <c r="F31" s="143"/>
      <c r="G31" s="143"/>
      <c r="H31" s="143"/>
      <c r="I31" s="143"/>
      <c r="J31" s="143"/>
      <c r="K31" s="143"/>
      <c r="L31" s="143"/>
      <c r="M31" s="143"/>
      <c r="N31" s="92" t="str">
        <f>IF('1. Live'!N31='check-Jul''26'!N31,"",'1. Live'!N31-'check-Jul''26'!N31)</f>
        <v/>
      </c>
      <c r="O31" s="144" t="str">
        <f>IF('1. Live'!O31='check-Jul''26'!O31,"",'1. Live'!O31-'check-Jul''26'!O31)</f>
        <v/>
      </c>
      <c r="P31" s="144" t="str">
        <f>IF('1. Live'!P31='check-Jul''26'!P31,"",'1. Live'!P31-'check-Jul''26'!P31)</f>
        <v/>
      </c>
      <c r="Q31" s="144" t="str">
        <f>IF('1. Live'!Q31='check-Jul''26'!Q31,"",'1. Live'!Q31-'check-Jul''26'!Q31)</f>
        <v/>
      </c>
      <c r="R31" s="144" t="str">
        <f>IF('1. Live'!R31='check-Jul''26'!R31,"",'1. Live'!R31-'check-Jul''26'!R31)</f>
        <v/>
      </c>
      <c r="S31" s="144" t="str">
        <f>IF('1. Live'!S31='check-Jul''26'!S31,"",'1. Live'!S31-'check-Jul''26'!S31)</f>
        <v/>
      </c>
      <c r="T31" s="144" t="str">
        <f>IF('1. Live'!T31='check-Jul''26'!T31,"",'1. Live'!T31-'check-Jul''26'!T31)</f>
        <v/>
      </c>
      <c r="U31" s="145" t="str">
        <f>IF('1. Live'!U31='check-Jul''26'!U31,"",'1. Live'!U31-'check-Jul''26'!U31)</f>
        <v/>
      </c>
      <c r="V31" s="143" t="str">
        <f>IF('1. Live'!V31='check-Jul''26'!V31,"",'1. Live'!V31-'check-Jul''26'!V31)</f>
        <v/>
      </c>
      <c r="W31" s="69"/>
      <c r="AA31" s="70" t="str">
        <f>IF('1. Live'!AA31='check-Jul''26'!W31,"",'1. Live'!AA31-'check-Jul''26'!W31)</f>
        <v/>
      </c>
      <c r="AB31" s="70" t="str">
        <f>IF('1. Live'!AF31='check-Jul''26'!AB31,"",'1. Live'!AF31-'check-Jul''26'!AB31)</f>
        <v/>
      </c>
      <c r="AC31" s="70" t="str">
        <f>IF('1. Live'!AG31='check-Jul''26'!AC31,"",'1. Live'!AG31-'check-Jul''26'!AC31)</f>
        <v/>
      </c>
      <c r="AD31" s="70" t="str">
        <f>IF('1. Live'!AH31='check-Jul''26'!AD31,"",'1. Live'!AH31-'check-Jul''26'!AD31)</f>
        <v/>
      </c>
      <c r="AE31" s="70" t="str">
        <f>IF('1. Live'!AI31='check-Jul''26'!AE31,"",'1. Live'!AI31-'check-Jul''26'!AE31)</f>
        <v/>
      </c>
      <c r="AF31" s="70" t="str">
        <f>IF('1. Live'!AJ31='check-Jul''26'!AF31,"",'1. Live'!AJ31-'check-Jul''26'!AF31)</f>
        <v/>
      </c>
      <c r="AG31" s="70" t="str">
        <f>IF('1. Live'!AK31='check-Jul''26'!AG31,"",'1. Live'!AK31-'check-Jul''26'!AG31)</f>
        <v/>
      </c>
      <c r="AH31" s="70" t="str">
        <f>IF('1. Live'!AL31='check-Jul''26'!AH31,"",'1. Live'!AL31-'check-Jul''26'!AH31)</f>
        <v/>
      </c>
      <c r="AI31" s="70" t="str">
        <f>IF('1. Live'!AM31='check-Jul''26'!AI31,"",'1. Live'!AM31-'check-Jul''26'!AI31)</f>
        <v/>
      </c>
      <c r="AJ31" s="70" t="str">
        <f>IF('1. Live'!AN31='check-Jul''26'!AJ31,"",'1. Live'!AN31-'check-Jul''26'!AJ31)</f>
        <v/>
      </c>
      <c r="AK31" s="70" t="str">
        <f>IF('1. Live'!AO31='check-Jul''26'!AK31,"",'1. Live'!AO31-'check-Jul''26'!AK31)</f>
        <v/>
      </c>
      <c r="AL31" s="70" t="str">
        <f>IF('1. Live'!AP31='check-Jul''26'!AL31,"",'1. Live'!AP31-'check-Jul''26'!AL31)</f>
        <v/>
      </c>
      <c r="AM31" s="70" t="str">
        <f>IF('1. Live'!AQ31='check-Jul''26'!AM31,"",'1. Live'!AQ31-'check-Jul''26'!AM31)</f>
        <v/>
      </c>
      <c r="AN31" s="70" t="str">
        <f>IF('1. Live'!AR31='check-Jul''26'!AN31,"",'1. Live'!AR31-'check-Jul''26'!AN31)</f>
        <v/>
      </c>
      <c r="AO31" s="70" t="str">
        <f>IF('1. Live'!AS31='check-Jul''26'!AO31,"",'1. Live'!AS31-'check-Jul''26'!AO31)</f>
        <v/>
      </c>
      <c r="AP31" s="70" t="str">
        <f>IF('1. Live'!AT31='check-Jul''26'!AP31,"",'1. Live'!AT31-'check-Jul''26'!AP31)</f>
        <v/>
      </c>
      <c r="AQ31" s="70" t="str">
        <f>IF('1. Live'!AU31='check-Jul''26'!AQ31,"",'1. Live'!AU31-'check-Jul''26'!AQ31)</f>
        <v/>
      </c>
      <c r="AR31" s="70" t="str">
        <f>IF('1. Live'!AV31='check-Jul''26'!AR31,"",'1. Live'!AV31-'check-Jul''26'!AR31)</f>
        <v/>
      </c>
      <c r="AS31" s="70" t="str">
        <f>IF('1. Live'!AW31='check-Jul''26'!AS31,"",'1. Live'!AW31-'check-Jul''26'!AS31)</f>
        <v/>
      </c>
      <c r="AT31" s="70" t="str">
        <f>IF('1. Live'!AX31='check-Jul''26'!AT31,"",'1. Live'!AX31-'check-Jul''26'!AT31)</f>
        <v/>
      </c>
      <c r="AU31" s="70" t="str">
        <f>IF('1. Live'!AY31='check-Jul''26'!AU31,"",'1. Live'!AY31-'check-Jul''26'!AU31)</f>
        <v/>
      </c>
      <c r="AV31" s="70" t="str">
        <f>IF('1. Live'!AZ31='check-Jul''26'!AV31,"",'1. Live'!AZ31-'check-Jul''26'!AV31)</f>
        <v/>
      </c>
      <c r="AW31" s="70" t="str">
        <f>IF('1. Live'!BA31='check-Jul''26'!AW31,"",'1. Live'!BA31-'check-Jul''26'!AW31)</f>
        <v/>
      </c>
      <c r="AX31" s="70" t="str">
        <f>IF('1. Live'!BB31='check-Jul''26'!AX31,"",'1. Live'!BB31-'check-Jul''26'!AX31)</f>
        <v/>
      </c>
      <c r="AY31" s="70" t="str">
        <f>IF('1. Live'!BC31='check-Jul''26'!AY31,"",'1. Live'!BC31-'check-Jul''26'!AY31)</f>
        <v/>
      </c>
      <c r="AZ31" s="70" t="str">
        <f>IF('1. Live'!BD31='check-Jul''26'!AZ31,"",'1. Live'!BD31-'check-Jul''26'!AZ31)</f>
        <v/>
      </c>
      <c r="BA31" s="70" t="str">
        <f>IF('1. Live'!BE31='check-Jul''26'!BA31,"",'1. Live'!BE31-'check-Jul''26'!BA31)</f>
        <v/>
      </c>
      <c r="BB31" s="70" t="str">
        <f>IF('1. Live'!BF31='check-Jul''26'!BB31,"",'1. Live'!BF31-'check-Jul''26'!BB31)</f>
        <v/>
      </c>
      <c r="BC31" s="70" t="str">
        <f>IF('1. Live'!BG31='check-Jul''26'!BC31,"",'1. Live'!BG31-'check-Jul''26'!BC31)</f>
        <v/>
      </c>
      <c r="BD31" s="70" t="str">
        <f>IF('1. Live'!BH31='check-Jul''26'!BD31,"",'1. Live'!BH31-'check-Jul''26'!BD31)</f>
        <v/>
      </c>
      <c r="BE31" s="70" t="str">
        <f>IF('1. Live'!BI31='check-Jul''26'!BE31,"",'1. Live'!BI31-'check-Jul''26'!BE31)</f>
        <v/>
      </c>
      <c r="BF31" s="70" t="str">
        <f>IF('1. Live'!BJ31='check-Jul''26'!BF31,"",'1. Live'!BJ31-'check-Jul''26'!BF31)</f>
        <v/>
      </c>
      <c r="BG31" s="70" t="str">
        <f>IF('1. Live'!BK31='check-Jul''26'!BG31,"",'1. Live'!BK31-'check-Jul''26'!BG31)</f>
        <v/>
      </c>
      <c r="BH31" s="70" t="str">
        <f>IF('1. Live'!BL31='check-Jul''26'!BH31,"",'1. Live'!BL31-'check-Jul''26'!BH31)</f>
        <v/>
      </c>
      <c r="BI31" s="70" t="str">
        <f>IF('1. Live'!BM31='check-Jul''26'!BI31,"",'1. Live'!BM31-'check-Jul''26'!BI31)</f>
        <v/>
      </c>
      <c r="BJ31" s="70" t="str">
        <f>IF('1. Live'!BN31='check-Jul''26'!BJ31,"",'1. Live'!BN31-'check-Jul''26'!BJ31)</f>
        <v/>
      </c>
      <c r="BK31" s="70" t="str">
        <f>IF('1. Live'!BO31='check-Jul''26'!BK31,"",'1. Live'!BO31-'check-Jul''26'!BK31)</f>
        <v/>
      </c>
      <c r="BL31" s="70" t="str">
        <f>IF('1. Live'!BP31='check-Jul''26'!BL31,"",'1. Live'!BP31-'check-Jul''26'!BL31)</f>
        <v/>
      </c>
      <c r="BM31" s="70" t="str">
        <f>IF('1. Live'!BQ31='check-Jul''26'!BM31,"",'1. Live'!BQ31-'check-Jul''26'!BM31)</f>
        <v/>
      </c>
      <c r="BN31" s="70" t="str">
        <f>IF('1. Live'!BR31='check-Jul''26'!BN31,"",'1. Live'!BR31-'check-Jul''26'!BN31)</f>
        <v/>
      </c>
      <c r="BO31" s="70" t="str">
        <f>IF('1. Live'!BS31='check-Jul''26'!BO31,"",'1. Live'!BS31-'check-Jul''26'!BO31)</f>
        <v/>
      </c>
      <c r="BP31" s="70" t="str">
        <f>IF('1. Live'!BT31='check-Jul''26'!BP31,"",'1. Live'!BT31-'check-Jul''26'!BP31)</f>
        <v/>
      </c>
      <c r="BQ31" s="70" t="str">
        <f>IF('1. Live'!BU31='check-Jul''26'!BQ31,"",'1. Live'!BU31-'check-Jul''26'!BQ31)</f>
        <v/>
      </c>
      <c r="BR31" s="70" t="str">
        <f>IF('1. Live'!BV31='check-Jul''26'!BR31,"",'1. Live'!BV31-'check-Jul''26'!BR31)</f>
        <v/>
      </c>
      <c r="BS31" s="70" t="str">
        <f>IF('1. Live'!BW31='check-Jul''26'!BS31,"",'1. Live'!BW31-'check-Jul''26'!BS31)</f>
        <v/>
      </c>
      <c r="BT31" s="70" t="str">
        <f>IF('1. Live'!BX31='check-Jul''26'!BT31,"",'1. Live'!BX31-'check-Jul''26'!BT31)</f>
        <v/>
      </c>
      <c r="BU31" s="70" t="str">
        <f>IF('1. Live'!BY31='check-Jul''26'!BU31,"",'1. Live'!BY31-'check-Jul''26'!BU31)</f>
        <v/>
      </c>
      <c r="BV31" s="70" t="str">
        <f>IF('1. Live'!BZ31='check-Jul''26'!BV31,"",'1. Live'!BZ31-'check-Jul''26'!BV31)</f>
        <v/>
      </c>
      <c r="BW31" s="70" t="str">
        <f>IF('1. Live'!CA31='check-Jul''26'!BW31,"",'1. Live'!CA31-'check-Jul''26'!BW31)</f>
        <v/>
      </c>
      <c r="BX31" s="70" t="str">
        <f>IF('1. Live'!CB31='check-Jul''26'!BX31,"",'1. Live'!CB31-'check-Jul''26'!BX31)</f>
        <v/>
      </c>
      <c r="BY31" s="70" t="str">
        <f>IF('1. Live'!CC31='check-Jul''26'!BY31,"",'1. Live'!CC31-'check-Jul''26'!BY31)</f>
        <v/>
      </c>
      <c r="BZ31" s="70" t="str">
        <f>IF('1. Live'!CD31='check-Jul''26'!BZ31,"",'1. Live'!CD31-'check-Jul''26'!BZ31)</f>
        <v/>
      </c>
      <c r="CA31" s="70" t="str">
        <f>IF('1. Live'!CE31='check-Jul''26'!CA31,"",'1. Live'!CE31-'check-Jul''26'!CA31)</f>
        <v/>
      </c>
      <c r="CB31" s="70" t="str">
        <f>IF('1. Live'!CF31='check-Jul''26'!CB31,"",'1. Live'!CF31-'check-Jul''26'!CB31)</f>
        <v/>
      </c>
      <c r="CC31" s="70" t="str">
        <f>IF('1. Live'!CG31='check-Jul''26'!CC31,"",'1. Live'!CG31-'check-Jul''26'!CC31)</f>
        <v/>
      </c>
      <c r="CD31" s="70" t="str">
        <f>IF('1. Live'!CH31='check-Jul''26'!CD31,"",'1. Live'!CH31-'check-Jul''26'!CD31)</f>
        <v/>
      </c>
      <c r="CE31" s="70" t="str">
        <f>IF('1. Live'!CI31='check-Jul''26'!CE31,"",'1. Live'!CI31-'check-Jul''26'!CE31)</f>
        <v/>
      </c>
      <c r="CF31" s="70" t="str">
        <f>IF('1. Live'!CJ31='check-Jul''26'!CF31,"",'1. Live'!CJ31-'check-Jul''26'!CF31)</f>
        <v/>
      </c>
      <c r="CG31" s="70" t="str">
        <f>IF('1. Live'!CK31='check-Jul''26'!CG31,"",'1. Live'!CK31-'check-Jul''26'!CG31)</f>
        <v/>
      </c>
      <c r="CH31" s="70" t="str">
        <f>IF('1. Live'!CL31='check-Jul''26'!CH31,"",'1. Live'!CL31-'check-Jul''26'!CH31)</f>
        <v/>
      </c>
      <c r="CI31" s="70" t="str">
        <f>IF('1. Live'!CM31='check-Jul''26'!CI31,"",'1. Live'!CM31-'check-Jul''26'!CI31)</f>
        <v/>
      </c>
      <c r="CJ31" s="70" t="str">
        <f>IF('1. Live'!CN31='check-Jul''26'!CJ31,"",'1. Live'!CN31-'check-Jul''26'!CJ31)</f>
        <v/>
      </c>
      <c r="CK31" s="70" t="str">
        <f>IF('1. Live'!CO31='check-Jul''26'!CK31,"",'1. Live'!CO31-'check-Jul''26'!CK31)</f>
        <v/>
      </c>
      <c r="CL31" s="70" t="str">
        <f>IF('1. Live'!CP31='check-Jul''26'!CL31,"",'1. Live'!CP31-'check-Jul''26'!CL31)</f>
        <v/>
      </c>
      <c r="CM31" s="70" t="str">
        <f>IF('1. Live'!CQ31='check-Jul''26'!CM31,"",'1. Live'!CQ31-'check-Jul''26'!CM31)</f>
        <v/>
      </c>
      <c r="CN31" s="70" t="str">
        <f>IF('1. Live'!CR31='check-Jul''26'!CN31,"",'1. Live'!CR31-'check-Jul''26'!CN31)</f>
        <v/>
      </c>
      <c r="CO31" s="70" t="str">
        <f>IF('1. Live'!CS31='check-Jul''26'!CO31,"",'1. Live'!CS31-'check-Jul''26'!CO31)</f>
        <v/>
      </c>
      <c r="CP31" s="70" t="str">
        <f>IF('1. Live'!CT31='check-Jul''26'!CP31,"",'1. Live'!CT31-'check-Jul''26'!CP31)</f>
        <v/>
      </c>
      <c r="CQ31" s="70" t="str">
        <f>IF('1. Live'!CU31='check-Jul''26'!CQ31,"",'1. Live'!CU31-'check-Jul''26'!CQ31)</f>
        <v/>
      </c>
      <c r="CR31" s="70" t="str">
        <f>IF('1. Live'!CV31='check-Jul''26'!CR31,"",'1. Live'!CV31-'check-Jul''26'!CR31)</f>
        <v/>
      </c>
      <c r="CS31" s="70" t="str">
        <f>IF('1. Live'!CW31='check-Jul''26'!CS31,"",'1. Live'!CW31-'check-Jul''26'!CS31)</f>
        <v/>
      </c>
      <c r="CT31" s="70" t="str">
        <f>IF('1. Live'!CX31='check-Jul''26'!CT31,"",'1. Live'!CX31-'check-Jul''26'!CT31)</f>
        <v/>
      </c>
      <c r="CU31" s="70" t="str">
        <f>IF('1. Live'!CY31='check-Jul''26'!CU31,"",'1. Live'!CY31-'check-Jul''26'!CU31)</f>
        <v/>
      </c>
      <c r="CV31" s="70" t="str">
        <f>IF('1. Live'!CZ31='check-Jul''26'!CV31,"",'1. Live'!CZ31-'check-Jul''26'!CV31)</f>
        <v/>
      </c>
    </row>
    <row r="32" spans="2:100" s="70" customFormat="1" x14ac:dyDescent="0.25">
      <c r="B32" s="68"/>
      <c r="C32" s="394" t="s">
        <v>524</v>
      </c>
      <c r="D32" s="559"/>
      <c r="E32" s="559"/>
      <c r="F32" s="559"/>
      <c r="G32" s="559"/>
      <c r="H32" s="559"/>
      <c r="I32" s="316"/>
      <c r="J32" s="317"/>
      <c r="K32" s="317"/>
      <c r="L32" s="317"/>
      <c r="M32" s="318"/>
      <c r="N32" s="319" t="str">
        <f>IF('1. Live'!N32='check-Jul''26'!N32,"",'1. Live'!N32-'check-Jul''26'!N32)</f>
        <v/>
      </c>
      <c r="O32" s="320" t="str">
        <f>IF('1. Live'!O32='check-Jul''26'!O32,"",'1. Live'!O32-'check-Jul''26'!O32)</f>
        <v/>
      </c>
      <c r="P32" s="320" t="str">
        <f>IF('1. Live'!P32='check-Jul''26'!P32,"",'1. Live'!P32-'check-Jul''26'!P32)</f>
        <v/>
      </c>
      <c r="Q32" s="320" t="str">
        <f>IF('1. Live'!Q32='check-Jul''26'!Q32,"",'1. Live'!Q32-'check-Jul''26'!Q32)</f>
        <v/>
      </c>
      <c r="R32" s="320" t="str">
        <f>IF('1. Live'!R32='check-Jul''26'!R32,"",'1. Live'!R32-'check-Jul''26'!R32)</f>
        <v/>
      </c>
      <c r="S32" s="320" t="str">
        <f>IF('1. Live'!S32='check-Jul''26'!S32,"",'1. Live'!S32-'check-Jul''26'!S32)</f>
        <v/>
      </c>
      <c r="T32" s="320" t="str">
        <f>IF('1. Live'!T32='check-Jul''26'!T32,"",'1. Live'!T32-'check-Jul''26'!T32)</f>
        <v/>
      </c>
      <c r="U32" s="321" t="str">
        <f>IF('1. Live'!U32='check-Jul''26'!U32,"",'1. Live'!U32-'check-Jul''26'!U32)</f>
        <v/>
      </c>
      <c r="V32" s="317" t="str">
        <f>IF('1. Live'!V32='check-Jul''26'!V32,"",'1. Live'!V32-'check-Jul''26'!V32)</f>
        <v/>
      </c>
      <c r="W32" s="69"/>
      <c r="AA32" s="70" t="str">
        <f>IF('1. Live'!AA32='check-Jul''26'!W32,"",'1. Live'!AA32-'check-Jul''26'!W32)</f>
        <v/>
      </c>
      <c r="AB32" s="70" t="str">
        <f>IF('1. Live'!AF32='check-Jul''26'!AB32,"",'1. Live'!AF32-'check-Jul''26'!AB32)</f>
        <v/>
      </c>
      <c r="AC32" s="70" t="str">
        <f>IF('1. Live'!AG32='check-Jul''26'!AC32,"",'1. Live'!AG32-'check-Jul''26'!AC32)</f>
        <v/>
      </c>
      <c r="AD32" s="70" t="str">
        <f>IF('1. Live'!AH32='check-Jul''26'!AD32,"",'1. Live'!AH32-'check-Jul''26'!AD32)</f>
        <v/>
      </c>
      <c r="AE32" s="70" t="str">
        <f>IF('1. Live'!AI32='check-Jul''26'!AE32,"",'1. Live'!AI32-'check-Jul''26'!AE32)</f>
        <v/>
      </c>
      <c r="AF32" s="70" t="str">
        <f>IF('1. Live'!AJ32='check-Jul''26'!AF32,"",'1. Live'!AJ32-'check-Jul''26'!AF32)</f>
        <v/>
      </c>
      <c r="AG32" s="70" t="str">
        <f>IF('1. Live'!AK32='check-Jul''26'!AG32,"",'1. Live'!AK32-'check-Jul''26'!AG32)</f>
        <v/>
      </c>
      <c r="AH32" s="70" t="str">
        <f>IF('1. Live'!AL32='check-Jul''26'!AH32,"",'1. Live'!AL32-'check-Jul''26'!AH32)</f>
        <v/>
      </c>
      <c r="AI32" s="70" t="str">
        <f>IF('1. Live'!AM32='check-Jul''26'!AI32,"",'1. Live'!AM32-'check-Jul''26'!AI32)</f>
        <v/>
      </c>
      <c r="AJ32" s="70" t="str">
        <f>IF('1. Live'!AN32='check-Jul''26'!AJ32,"",'1. Live'!AN32-'check-Jul''26'!AJ32)</f>
        <v/>
      </c>
      <c r="AK32" s="70" t="str">
        <f>IF('1. Live'!AO32='check-Jul''26'!AK32,"",'1. Live'!AO32-'check-Jul''26'!AK32)</f>
        <v/>
      </c>
      <c r="AL32" s="70" t="str">
        <f>IF('1. Live'!AP32='check-Jul''26'!AL32,"",'1. Live'!AP32-'check-Jul''26'!AL32)</f>
        <v/>
      </c>
      <c r="AM32" s="70" t="str">
        <f>IF('1. Live'!AQ32='check-Jul''26'!AM32,"",'1. Live'!AQ32-'check-Jul''26'!AM32)</f>
        <v/>
      </c>
      <c r="AN32" s="70" t="str">
        <f>IF('1. Live'!AR32='check-Jul''26'!AN32,"",'1. Live'!AR32-'check-Jul''26'!AN32)</f>
        <v/>
      </c>
      <c r="AO32" s="70" t="str">
        <f>IF('1. Live'!AS32='check-Jul''26'!AO32,"",'1. Live'!AS32-'check-Jul''26'!AO32)</f>
        <v/>
      </c>
      <c r="AP32" s="70" t="str">
        <f>IF('1. Live'!AT32='check-Jul''26'!AP32,"",'1. Live'!AT32-'check-Jul''26'!AP32)</f>
        <v/>
      </c>
      <c r="AQ32" s="70" t="str">
        <f>IF('1. Live'!AU32='check-Jul''26'!AQ32,"",'1. Live'!AU32-'check-Jul''26'!AQ32)</f>
        <v/>
      </c>
      <c r="AR32" s="70" t="str">
        <f>IF('1. Live'!AV32='check-Jul''26'!AR32,"",'1. Live'!AV32-'check-Jul''26'!AR32)</f>
        <v/>
      </c>
      <c r="AS32" s="70" t="str">
        <f>IF('1. Live'!AW32='check-Jul''26'!AS32,"",'1. Live'!AW32-'check-Jul''26'!AS32)</f>
        <v/>
      </c>
      <c r="AT32" s="70" t="str">
        <f>IF('1. Live'!AX32='check-Jul''26'!AT32,"",'1. Live'!AX32-'check-Jul''26'!AT32)</f>
        <v/>
      </c>
      <c r="AU32" s="70" t="str">
        <f>IF('1. Live'!AY32='check-Jul''26'!AU32,"",'1. Live'!AY32-'check-Jul''26'!AU32)</f>
        <v/>
      </c>
      <c r="AV32" s="70" t="str">
        <f>IF('1. Live'!AZ32='check-Jul''26'!AV32,"",'1. Live'!AZ32-'check-Jul''26'!AV32)</f>
        <v/>
      </c>
      <c r="AW32" s="70" t="str">
        <f>IF('1. Live'!BA32='check-Jul''26'!AW32,"",'1. Live'!BA32-'check-Jul''26'!AW32)</f>
        <v/>
      </c>
      <c r="AX32" s="70" t="str">
        <f>IF('1. Live'!BB32='check-Jul''26'!AX32,"",'1. Live'!BB32-'check-Jul''26'!AX32)</f>
        <v/>
      </c>
      <c r="AY32" s="70" t="str">
        <f>IF('1. Live'!BC32='check-Jul''26'!AY32,"",'1. Live'!BC32-'check-Jul''26'!AY32)</f>
        <v/>
      </c>
      <c r="AZ32" s="70" t="str">
        <f>IF('1. Live'!BD32='check-Jul''26'!AZ32,"",'1. Live'!BD32-'check-Jul''26'!AZ32)</f>
        <v/>
      </c>
      <c r="BA32" s="70" t="str">
        <f>IF('1. Live'!BE32='check-Jul''26'!BA32,"",'1. Live'!BE32-'check-Jul''26'!BA32)</f>
        <v/>
      </c>
      <c r="BB32" s="70" t="str">
        <f>IF('1. Live'!BF32='check-Jul''26'!BB32,"",'1. Live'!BF32-'check-Jul''26'!BB32)</f>
        <v/>
      </c>
      <c r="BC32" s="70" t="str">
        <f>IF('1. Live'!BG32='check-Jul''26'!BC32,"",'1. Live'!BG32-'check-Jul''26'!BC32)</f>
        <v/>
      </c>
      <c r="BD32" s="70" t="str">
        <f>IF('1. Live'!BH32='check-Jul''26'!BD32,"",'1. Live'!BH32-'check-Jul''26'!BD32)</f>
        <v/>
      </c>
      <c r="BE32" s="70" t="str">
        <f>IF('1. Live'!BI32='check-Jul''26'!BE32,"",'1. Live'!BI32-'check-Jul''26'!BE32)</f>
        <v/>
      </c>
      <c r="BF32" s="70" t="str">
        <f>IF('1. Live'!BJ32='check-Jul''26'!BF32,"",'1. Live'!BJ32-'check-Jul''26'!BF32)</f>
        <v/>
      </c>
      <c r="BG32" s="70" t="str">
        <f>IF('1. Live'!BK32='check-Jul''26'!BG32,"",'1. Live'!BK32-'check-Jul''26'!BG32)</f>
        <v/>
      </c>
      <c r="BH32" s="70" t="str">
        <f>IF('1. Live'!BL32='check-Jul''26'!BH32,"",'1. Live'!BL32-'check-Jul''26'!BH32)</f>
        <v/>
      </c>
      <c r="BI32" s="70" t="str">
        <f>IF('1. Live'!BM32='check-Jul''26'!BI32,"",'1. Live'!BM32-'check-Jul''26'!BI32)</f>
        <v/>
      </c>
      <c r="BJ32" s="70" t="str">
        <f>IF('1. Live'!BN32='check-Jul''26'!BJ32,"",'1. Live'!BN32-'check-Jul''26'!BJ32)</f>
        <v/>
      </c>
      <c r="BK32" s="70" t="str">
        <f>IF('1. Live'!BO32='check-Jul''26'!BK32,"",'1. Live'!BO32-'check-Jul''26'!BK32)</f>
        <v/>
      </c>
      <c r="BL32" s="70" t="str">
        <f>IF('1. Live'!BP32='check-Jul''26'!BL32,"",'1. Live'!BP32-'check-Jul''26'!BL32)</f>
        <v/>
      </c>
      <c r="BM32" s="70" t="str">
        <f>IF('1. Live'!BQ32='check-Jul''26'!BM32,"",'1. Live'!BQ32-'check-Jul''26'!BM32)</f>
        <v/>
      </c>
      <c r="BN32" s="70" t="str">
        <f>IF('1. Live'!BR32='check-Jul''26'!BN32,"",'1. Live'!BR32-'check-Jul''26'!BN32)</f>
        <v/>
      </c>
      <c r="BO32" s="70" t="str">
        <f>IF('1. Live'!BS32='check-Jul''26'!BO32,"",'1. Live'!BS32-'check-Jul''26'!BO32)</f>
        <v/>
      </c>
      <c r="BP32" s="70" t="str">
        <f>IF('1. Live'!BT32='check-Jul''26'!BP32,"",'1. Live'!BT32-'check-Jul''26'!BP32)</f>
        <v/>
      </c>
      <c r="BQ32" s="70" t="str">
        <f>IF('1. Live'!BU32='check-Jul''26'!BQ32,"",'1. Live'!BU32-'check-Jul''26'!BQ32)</f>
        <v/>
      </c>
      <c r="BR32" s="70" t="str">
        <f>IF('1. Live'!BV32='check-Jul''26'!BR32,"",'1. Live'!BV32-'check-Jul''26'!BR32)</f>
        <v/>
      </c>
      <c r="BS32" s="70" t="str">
        <f>IF('1. Live'!BW32='check-Jul''26'!BS32,"",'1. Live'!BW32-'check-Jul''26'!BS32)</f>
        <v/>
      </c>
      <c r="BT32" s="70" t="str">
        <f>IF('1. Live'!BX32='check-Jul''26'!BT32,"",'1. Live'!BX32-'check-Jul''26'!BT32)</f>
        <v/>
      </c>
      <c r="BU32" s="70" t="str">
        <f>IF('1. Live'!BY32='check-Jul''26'!BU32,"",'1. Live'!BY32-'check-Jul''26'!BU32)</f>
        <v/>
      </c>
      <c r="BV32" s="70" t="str">
        <f>IF('1. Live'!BZ32='check-Jul''26'!BV32,"",'1. Live'!BZ32-'check-Jul''26'!BV32)</f>
        <v/>
      </c>
      <c r="BW32" s="70" t="str">
        <f>IF('1. Live'!CA32='check-Jul''26'!BW32,"",'1. Live'!CA32-'check-Jul''26'!BW32)</f>
        <v/>
      </c>
      <c r="BX32" s="70" t="str">
        <f>IF('1. Live'!CB32='check-Jul''26'!BX32,"",'1. Live'!CB32-'check-Jul''26'!BX32)</f>
        <v/>
      </c>
      <c r="BY32" s="70" t="str">
        <f>IF('1. Live'!CC32='check-Jul''26'!BY32,"",'1. Live'!CC32-'check-Jul''26'!BY32)</f>
        <v/>
      </c>
      <c r="BZ32" s="70" t="str">
        <f>IF('1. Live'!CD32='check-Jul''26'!BZ32,"",'1. Live'!CD32-'check-Jul''26'!BZ32)</f>
        <v/>
      </c>
      <c r="CA32" s="70" t="str">
        <f>IF('1. Live'!CE32='check-Jul''26'!CA32,"",'1. Live'!CE32-'check-Jul''26'!CA32)</f>
        <v/>
      </c>
      <c r="CB32" s="70" t="str">
        <f>IF('1. Live'!CF32='check-Jul''26'!CB32,"",'1. Live'!CF32-'check-Jul''26'!CB32)</f>
        <v/>
      </c>
      <c r="CC32" s="70" t="str">
        <f>IF('1. Live'!CG32='check-Jul''26'!CC32,"",'1. Live'!CG32-'check-Jul''26'!CC32)</f>
        <v/>
      </c>
      <c r="CD32" s="70" t="str">
        <f>IF('1. Live'!CH32='check-Jul''26'!CD32,"",'1. Live'!CH32-'check-Jul''26'!CD32)</f>
        <v/>
      </c>
      <c r="CE32" s="70" t="str">
        <f>IF('1. Live'!CI32='check-Jul''26'!CE32,"",'1. Live'!CI32-'check-Jul''26'!CE32)</f>
        <v/>
      </c>
      <c r="CF32" s="70" t="str">
        <f>IF('1. Live'!CJ32='check-Jul''26'!CF32,"",'1. Live'!CJ32-'check-Jul''26'!CF32)</f>
        <v/>
      </c>
      <c r="CG32" s="70" t="str">
        <f>IF('1. Live'!CK32='check-Jul''26'!CG32,"",'1. Live'!CK32-'check-Jul''26'!CG32)</f>
        <v/>
      </c>
      <c r="CH32" s="70" t="str">
        <f>IF('1. Live'!CL32='check-Jul''26'!CH32,"",'1. Live'!CL32-'check-Jul''26'!CH32)</f>
        <v/>
      </c>
      <c r="CI32" s="70" t="str">
        <f>IF('1. Live'!CM32='check-Jul''26'!CI32,"",'1. Live'!CM32-'check-Jul''26'!CI32)</f>
        <v/>
      </c>
      <c r="CJ32" s="70" t="str">
        <f>IF('1. Live'!CN32='check-Jul''26'!CJ32,"",'1. Live'!CN32-'check-Jul''26'!CJ32)</f>
        <v/>
      </c>
      <c r="CK32" s="70" t="str">
        <f>IF('1. Live'!CO32='check-Jul''26'!CK32,"",'1. Live'!CO32-'check-Jul''26'!CK32)</f>
        <v/>
      </c>
      <c r="CL32" s="70" t="str">
        <f>IF('1. Live'!CP32='check-Jul''26'!CL32,"",'1. Live'!CP32-'check-Jul''26'!CL32)</f>
        <v/>
      </c>
      <c r="CM32" s="70" t="str">
        <f>IF('1. Live'!CQ32='check-Jul''26'!CM32,"",'1. Live'!CQ32-'check-Jul''26'!CM32)</f>
        <v/>
      </c>
      <c r="CN32" s="70" t="str">
        <f>IF('1. Live'!CR32='check-Jul''26'!CN32,"",'1. Live'!CR32-'check-Jul''26'!CN32)</f>
        <v/>
      </c>
      <c r="CO32" s="70" t="str">
        <f>IF('1. Live'!CS32='check-Jul''26'!CO32,"",'1. Live'!CS32-'check-Jul''26'!CO32)</f>
        <v/>
      </c>
      <c r="CP32" s="70" t="str">
        <f>IF('1. Live'!CT32='check-Jul''26'!CP32,"",'1. Live'!CT32-'check-Jul''26'!CP32)</f>
        <v/>
      </c>
      <c r="CQ32" s="70" t="str">
        <f>IF('1. Live'!CU32='check-Jul''26'!CQ32,"",'1. Live'!CU32-'check-Jul''26'!CQ32)</f>
        <v/>
      </c>
      <c r="CR32" s="70" t="str">
        <f>IF('1. Live'!CV32='check-Jul''26'!CR32,"",'1. Live'!CV32-'check-Jul''26'!CR32)</f>
        <v/>
      </c>
      <c r="CS32" s="70" t="str">
        <f>IF('1. Live'!CW32='check-Jul''26'!CS32,"",'1. Live'!CW32-'check-Jul''26'!CS32)</f>
        <v/>
      </c>
      <c r="CT32" s="70" t="str">
        <f>IF('1. Live'!CX32='check-Jul''26'!CT32,"",'1. Live'!CX32-'check-Jul''26'!CT32)</f>
        <v/>
      </c>
      <c r="CU32" s="70" t="str">
        <f>IF('1. Live'!CY32='check-Jul''26'!CU32,"",'1. Live'!CY32-'check-Jul''26'!CU32)</f>
        <v/>
      </c>
      <c r="CV32" s="70" t="str">
        <f>IF('1. Live'!CZ32='check-Jul''26'!CV32,"",'1. Live'!CZ32-'check-Jul''26'!CV32)</f>
        <v/>
      </c>
    </row>
    <row r="33" spans="2:100" s="70" customFormat="1" x14ac:dyDescent="0.25">
      <c r="B33" s="68"/>
      <c r="C33" s="4" t="s">
        <v>518</v>
      </c>
      <c r="D33" s="2" t="s">
        <v>62</v>
      </c>
      <c r="E33" s="2" t="s">
        <v>850</v>
      </c>
      <c r="F33" s="2" t="s">
        <v>165</v>
      </c>
      <c r="G33" s="2" t="s">
        <v>861</v>
      </c>
      <c r="H33" s="153"/>
      <c r="I33" s="32" t="s">
        <v>243</v>
      </c>
      <c r="J33" s="2" t="s">
        <v>76</v>
      </c>
      <c r="K33" s="2" t="s">
        <v>519</v>
      </c>
      <c r="L33" s="6">
        <v>2024</v>
      </c>
      <c r="M33" s="6" t="s">
        <v>632</v>
      </c>
      <c r="N33" s="90" t="str">
        <f>IF('1. Live'!N33='check-Jul''26'!N33,"",'1. Live'!N33-'check-Jul''26'!N33)</f>
        <v/>
      </c>
      <c r="O33" s="17" t="str">
        <f ca="1">IF('1. Live'!O33='check-Jul''26'!O33,"",'1. Live'!O33-'check-Jul''26'!O33)</f>
        <v/>
      </c>
      <c r="P33" s="17" t="str">
        <f ca="1">IF('1. Live'!P33='check-Jul''26'!P33,"",'1. Live'!P33-'check-Jul''26'!P33)</f>
        <v/>
      </c>
      <c r="Q33" s="17" t="str">
        <f ca="1">IF('1. Live'!Q33='check-Jul''26'!Q33,"",'1. Live'!Q33-'check-Jul''26'!Q33)</f>
        <v/>
      </c>
      <c r="R33" s="17" t="str">
        <f ca="1">IF('1. Live'!R33='check-Jul''26'!R33,"",'1. Live'!R33-'check-Jul''26'!R33)</f>
        <v/>
      </c>
      <c r="S33" s="17" t="str">
        <f>IF('1. Live'!S33='check-Jul''26'!S33,"",'1. Live'!S33-'check-Jul''26'!S33)</f>
        <v/>
      </c>
      <c r="T33" s="17" t="str">
        <f ca="1">IF('1. Live'!T33='check-Jul''26'!T33,"",'1. Live'!T33-'check-Jul''26'!T33)</f>
        <v/>
      </c>
      <c r="U33" s="10" t="str">
        <f ca="1">IF('1. Live'!U33='check-Jul''26'!U33,"",'1. Live'!U33-'check-Jul''26'!U33)</f>
        <v/>
      </c>
      <c r="V33" s="87" t="str">
        <f>IF('1. Live'!V33='check-Jul''26'!V33,"",'1. Live'!V33-'check-Jul''26'!V33)</f>
        <v/>
      </c>
      <c r="W33" s="69"/>
      <c r="AA33" s="70" t="str">
        <f>IF('1. Live'!AA33='check-Jul''26'!W33,"",'1. Live'!AA33-'check-Jul''26'!W33)</f>
        <v/>
      </c>
      <c r="AB33" s="70" t="str">
        <f>IF('1. Live'!AF33='check-Jul''26'!AB33,"",'1. Live'!AF33-'check-Jul''26'!AB33)</f>
        <v/>
      </c>
      <c r="AC33" s="70" t="str">
        <f>IF('1. Live'!AG33='check-Jul''26'!AC33,"",'1. Live'!AG33-'check-Jul''26'!AC33)</f>
        <v/>
      </c>
      <c r="AD33" s="70" t="str">
        <f>IF('1. Live'!AH33='check-Jul''26'!AD33,"",'1. Live'!AH33-'check-Jul''26'!AD33)</f>
        <v/>
      </c>
      <c r="AE33" s="70" t="str">
        <f>IF('1. Live'!AI33='check-Jul''26'!AE33,"",'1. Live'!AI33-'check-Jul''26'!AE33)</f>
        <v/>
      </c>
      <c r="AF33" s="70" t="str">
        <f>IF('1. Live'!AJ33='check-Jul''26'!AF33,"",'1. Live'!AJ33-'check-Jul''26'!AF33)</f>
        <v/>
      </c>
      <c r="AG33" s="70" t="str">
        <f>IF('1. Live'!AK33='check-Jul''26'!AG33,"",'1. Live'!AK33-'check-Jul''26'!AG33)</f>
        <v/>
      </c>
      <c r="AH33" s="70" t="str">
        <f>IF('1. Live'!AL33='check-Jul''26'!AH33,"",'1. Live'!AL33-'check-Jul''26'!AH33)</f>
        <v/>
      </c>
      <c r="AI33" s="70" t="str">
        <f>IF('1. Live'!AM33='check-Jul''26'!AI33,"",'1. Live'!AM33-'check-Jul''26'!AI33)</f>
        <v/>
      </c>
      <c r="AJ33" s="70" t="str">
        <f>IF('1. Live'!AN33='check-Jul''26'!AJ33,"",'1. Live'!AN33-'check-Jul''26'!AJ33)</f>
        <v/>
      </c>
      <c r="AK33" s="70" t="str">
        <f>IF('1. Live'!AO33='check-Jul''26'!AK33,"",'1. Live'!AO33-'check-Jul''26'!AK33)</f>
        <v/>
      </c>
      <c r="AL33" s="70" t="str">
        <f>IF('1. Live'!AP33='check-Jul''26'!AL33,"",'1. Live'!AP33-'check-Jul''26'!AL33)</f>
        <v/>
      </c>
      <c r="AM33" s="70" t="str">
        <f>IF('1. Live'!AQ33='check-Jul''26'!AM33,"",'1. Live'!AQ33-'check-Jul''26'!AM33)</f>
        <v/>
      </c>
      <c r="AN33" s="70" t="str">
        <f>IF('1. Live'!AR33='check-Jul''26'!AN33,"",'1. Live'!AR33-'check-Jul''26'!AN33)</f>
        <v/>
      </c>
      <c r="AO33" s="70" t="str">
        <f>IF('1. Live'!AS33='check-Jul''26'!AO33,"",'1. Live'!AS33-'check-Jul''26'!AO33)</f>
        <v/>
      </c>
      <c r="AP33" s="70" t="str">
        <f>IF('1. Live'!AT33='check-Jul''26'!AP33,"",'1. Live'!AT33-'check-Jul''26'!AP33)</f>
        <v/>
      </c>
      <c r="AQ33" s="70" t="str">
        <f>IF('1. Live'!AU33='check-Jul''26'!AQ33,"",'1. Live'!AU33-'check-Jul''26'!AQ33)</f>
        <v/>
      </c>
      <c r="AR33" s="70" t="str">
        <f>IF('1. Live'!AV33='check-Jul''26'!AR33,"",'1. Live'!AV33-'check-Jul''26'!AR33)</f>
        <v/>
      </c>
      <c r="AS33" s="70" t="str">
        <f>IF('1. Live'!AW33='check-Jul''26'!AS33,"",'1. Live'!AW33-'check-Jul''26'!AS33)</f>
        <v/>
      </c>
      <c r="AT33" s="70" t="str">
        <f>IF('1. Live'!AX33='check-Jul''26'!AT33,"",'1. Live'!AX33-'check-Jul''26'!AT33)</f>
        <v/>
      </c>
      <c r="AU33" s="70" t="str">
        <f>IF('1. Live'!AY33='check-Jul''26'!AU33,"",'1. Live'!AY33-'check-Jul''26'!AU33)</f>
        <v/>
      </c>
      <c r="AV33" s="70" t="str">
        <f>IF('1. Live'!AZ33='check-Jul''26'!AV33,"",'1. Live'!AZ33-'check-Jul''26'!AV33)</f>
        <v/>
      </c>
      <c r="AW33" s="70" t="str">
        <f>IF('1. Live'!BA33='check-Jul''26'!AW33,"",'1. Live'!BA33-'check-Jul''26'!AW33)</f>
        <v/>
      </c>
      <c r="AX33" s="70" t="str">
        <f>IF('1. Live'!BB33='check-Jul''26'!AX33,"",'1. Live'!BB33-'check-Jul''26'!AX33)</f>
        <v/>
      </c>
      <c r="AY33" s="70" t="str">
        <f>IF('1. Live'!BC33='check-Jul''26'!AY33,"",'1. Live'!BC33-'check-Jul''26'!AY33)</f>
        <v/>
      </c>
      <c r="AZ33" s="70" t="str">
        <f>IF('1. Live'!BD33='check-Jul''26'!AZ33,"",'1. Live'!BD33-'check-Jul''26'!AZ33)</f>
        <v/>
      </c>
      <c r="BA33" s="70" t="str">
        <f>IF('1. Live'!BE33='check-Jul''26'!BA33,"",'1. Live'!BE33-'check-Jul''26'!BA33)</f>
        <v/>
      </c>
      <c r="BB33" s="70" t="str">
        <f>IF('1. Live'!BF33='check-Jul''26'!BB33,"",'1. Live'!BF33-'check-Jul''26'!BB33)</f>
        <v/>
      </c>
      <c r="BC33" s="70" t="str">
        <f>IF('1. Live'!BG33='check-Jul''26'!BC33,"",'1. Live'!BG33-'check-Jul''26'!BC33)</f>
        <v/>
      </c>
      <c r="BD33" s="70" t="str">
        <f>IF('1. Live'!BH33='check-Jul''26'!BD33,"",'1. Live'!BH33-'check-Jul''26'!BD33)</f>
        <v/>
      </c>
      <c r="BE33" s="70" t="str">
        <f>IF('1. Live'!BI33='check-Jul''26'!BE33,"",'1. Live'!BI33-'check-Jul''26'!BE33)</f>
        <v/>
      </c>
      <c r="BF33" s="70" t="str">
        <f>IF('1. Live'!BJ33='check-Jul''26'!BF33,"",'1. Live'!BJ33-'check-Jul''26'!BF33)</f>
        <v/>
      </c>
      <c r="BG33" s="70" t="str">
        <f>IF('1. Live'!BK33='check-Jul''26'!BG33,"",'1. Live'!BK33-'check-Jul''26'!BG33)</f>
        <v/>
      </c>
      <c r="BH33" s="70" t="str">
        <f>IF('1. Live'!BL33='check-Jul''26'!BH33,"",'1. Live'!BL33-'check-Jul''26'!BH33)</f>
        <v/>
      </c>
      <c r="BI33" s="70" t="str">
        <f>IF('1. Live'!BM33='check-Jul''26'!BI33,"",'1. Live'!BM33-'check-Jul''26'!BI33)</f>
        <v/>
      </c>
      <c r="BJ33" s="70" t="str">
        <f>IF('1. Live'!BN33='check-Jul''26'!BJ33,"",'1. Live'!BN33-'check-Jul''26'!BJ33)</f>
        <v/>
      </c>
      <c r="BK33" s="70" t="str">
        <f>IF('1. Live'!BO33='check-Jul''26'!BK33,"",'1. Live'!BO33-'check-Jul''26'!BK33)</f>
        <v/>
      </c>
      <c r="BL33" s="70" t="str">
        <f>IF('1. Live'!BP33='check-Jul''26'!BL33,"",'1. Live'!BP33-'check-Jul''26'!BL33)</f>
        <v/>
      </c>
      <c r="BM33" s="70" t="str">
        <f>IF('1. Live'!BQ33='check-Jul''26'!BM33,"",'1. Live'!BQ33-'check-Jul''26'!BM33)</f>
        <v/>
      </c>
      <c r="BN33" s="70" t="str">
        <f>IF('1. Live'!BR33='check-Jul''26'!BN33,"",'1. Live'!BR33-'check-Jul''26'!BN33)</f>
        <v/>
      </c>
      <c r="BO33" s="70" t="str">
        <f>IF('1. Live'!BS33='check-Jul''26'!BO33,"",'1. Live'!BS33-'check-Jul''26'!BO33)</f>
        <v/>
      </c>
      <c r="BP33" s="70" t="str">
        <f>IF('1. Live'!BT33='check-Jul''26'!BP33,"",'1. Live'!BT33-'check-Jul''26'!BP33)</f>
        <v/>
      </c>
      <c r="BQ33" s="70" t="str">
        <f>IF('1. Live'!BU33='check-Jul''26'!BQ33,"",'1. Live'!BU33-'check-Jul''26'!BQ33)</f>
        <v/>
      </c>
      <c r="BR33" s="70" t="str">
        <f>IF('1. Live'!BV33='check-Jul''26'!BR33,"",'1. Live'!BV33-'check-Jul''26'!BR33)</f>
        <v/>
      </c>
      <c r="BS33" s="70" t="str">
        <f>IF('1. Live'!BW33='check-Jul''26'!BS33,"",'1. Live'!BW33-'check-Jul''26'!BS33)</f>
        <v/>
      </c>
      <c r="BT33" s="70" t="str">
        <f>IF('1. Live'!BX33='check-Jul''26'!BT33,"",'1. Live'!BX33-'check-Jul''26'!BT33)</f>
        <v/>
      </c>
      <c r="BU33" s="70" t="str">
        <f>IF('1. Live'!BY33='check-Jul''26'!BU33,"",'1. Live'!BY33-'check-Jul''26'!BU33)</f>
        <v/>
      </c>
      <c r="BV33" s="70" t="str">
        <f>IF('1. Live'!BZ33='check-Jul''26'!BV33,"",'1. Live'!BZ33-'check-Jul''26'!BV33)</f>
        <v/>
      </c>
      <c r="BW33" s="70" t="str">
        <f>IF('1. Live'!CA33='check-Jul''26'!BW33,"",'1. Live'!CA33-'check-Jul''26'!BW33)</f>
        <v/>
      </c>
      <c r="BX33" s="70" t="str">
        <f>IF('1. Live'!CB33='check-Jul''26'!BX33,"",'1. Live'!CB33-'check-Jul''26'!BX33)</f>
        <v/>
      </c>
      <c r="BY33" s="70" t="str">
        <f>IF('1. Live'!CC33='check-Jul''26'!BY33,"",'1. Live'!CC33-'check-Jul''26'!BY33)</f>
        <v/>
      </c>
      <c r="BZ33" s="70" t="str">
        <f>IF('1. Live'!CD33='check-Jul''26'!BZ33,"",'1. Live'!CD33-'check-Jul''26'!BZ33)</f>
        <v/>
      </c>
      <c r="CA33" s="70" t="str">
        <f>IF('1. Live'!CE33='check-Jul''26'!CA33,"",'1. Live'!CE33-'check-Jul''26'!CA33)</f>
        <v/>
      </c>
      <c r="CB33" s="70" t="str">
        <f>IF('1. Live'!CF33='check-Jul''26'!CB33,"",'1. Live'!CF33-'check-Jul''26'!CB33)</f>
        <v/>
      </c>
      <c r="CC33" s="70" t="str">
        <f>IF('1. Live'!CG33='check-Jul''26'!CC33,"",'1. Live'!CG33-'check-Jul''26'!CC33)</f>
        <v/>
      </c>
      <c r="CD33" s="70" t="str">
        <f>IF('1. Live'!CH33='check-Jul''26'!CD33,"",'1. Live'!CH33-'check-Jul''26'!CD33)</f>
        <v/>
      </c>
      <c r="CE33" s="70" t="str">
        <f>IF('1. Live'!CI33='check-Jul''26'!CE33,"",'1. Live'!CI33-'check-Jul''26'!CE33)</f>
        <v/>
      </c>
      <c r="CF33" s="70" t="str">
        <f>IF('1. Live'!CJ33='check-Jul''26'!CF33,"",'1. Live'!CJ33-'check-Jul''26'!CF33)</f>
        <v/>
      </c>
      <c r="CG33" s="70" t="str">
        <f>IF('1. Live'!CK33='check-Jul''26'!CG33,"",'1. Live'!CK33-'check-Jul''26'!CG33)</f>
        <v/>
      </c>
      <c r="CH33" s="70" t="str">
        <f>IF('1. Live'!CL33='check-Jul''26'!CH33,"",'1. Live'!CL33-'check-Jul''26'!CH33)</f>
        <v/>
      </c>
      <c r="CI33" s="70" t="str">
        <f>IF('1. Live'!CM33='check-Jul''26'!CI33,"",'1. Live'!CM33-'check-Jul''26'!CI33)</f>
        <v/>
      </c>
      <c r="CJ33" s="70" t="str">
        <f>IF('1. Live'!CN33='check-Jul''26'!CJ33,"",'1. Live'!CN33-'check-Jul''26'!CJ33)</f>
        <v/>
      </c>
      <c r="CK33" s="70" t="str">
        <f>IF('1. Live'!CO33='check-Jul''26'!CK33,"",'1. Live'!CO33-'check-Jul''26'!CK33)</f>
        <v/>
      </c>
      <c r="CL33" s="70" t="str">
        <f>IF('1. Live'!CP33='check-Jul''26'!CL33,"",'1. Live'!CP33-'check-Jul''26'!CL33)</f>
        <v/>
      </c>
      <c r="CM33" s="70" t="str">
        <f>IF('1. Live'!CQ33='check-Jul''26'!CM33,"",'1. Live'!CQ33-'check-Jul''26'!CM33)</f>
        <v/>
      </c>
      <c r="CN33" s="70" t="str">
        <f>IF('1. Live'!CR33='check-Jul''26'!CN33,"",'1. Live'!CR33-'check-Jul''26'!CN33)</f>
        <v/>
      </c>
      <c r="CO33" s="70" t="str">
        <f>IF('1. Live'!CS33='check-Jul''26'!CO33,"",'1. Live'!CS33-'check-Jul''26'!CO33)</f>
        <v/>
      </c>
      <c r="CP33" s="70" t="str">
        <f>IF('1. Live'!CT33='check-Jul''26'!CP33,"",'1. Live'!CT33-'check-Jul''26'!CP33)</f>
        <v/>
      </c>
      <c r="CQ33" s="70" t="str">
        <f>IF('1. Live'!CU33='check-Jul''26'!CQ33,"",'1. Live'!CU33-'check-Jul''26'!CQ33)</f>
        <v/>
      </c>
      <c r="CR33" s="70" t="str">
        <f>IF('1. Live'!CV33='check-Jul''26'!CR33,"",'1. Live'!CV33-'check-Jul''26'!CR33)</f>
        <v/>
      </c>
      <c r="CS33" s="70" t="str">
        <f>IF('1. Live'!CW33='check-Jul''26'!CS33,"",'1. Live'!CW33-'check-Jul''26'!CS33)</f>
        <v/>
      </c>
      <c r="CT33" s="70" t="str">
        <f>IF('1. Live'!CX33='check-Jul''26'!CT33,"",'1. Live'!CX33-'check-Jul''26'!CT33)</f>
        <v/>
      </c>
      <c r="CU33" s="70" t="str">
        <f>IF('1. Live'!CY33='check-Jul''26'!CU33,"",'1. Live'!CY33-'check-Jul''26'!CU33)</f>
        <v/>
      </c>
      <c r="CV33" s="70" t="str">
        <f>IF('1. Live'!CZ33='check-Jul''26'!CV33,"",'1. Live'!CZ33-'check-Jul''26'!CV33)</f>
        <v/>
      </c>
    </row>
    <row r="34" spans="2:100" s="70" customFormat="1" x14ac:dyDescent="0.25">
      <c r="B34" s="68"/>
      <c r="C34" s="4" t="s">
        <v>569</v>
      </c>
      <c r="D34" s="2" t="s">
        <v>62</v>
      </c>
      <c r="E34" s="2" t="s">
        <v>850</v>
      </c>
      <c r="F34" s="2" t="s">
        <v>571</v>
      </c>
      <c r="G34" s="2" t="s">
        <v>857</v>
      </c>
      <c r="H34" s="153"/>
      <c r="I34" s="32" t="s">
        <v>243</v>
      </c>
      <c r="J34" s="2" t="s">
        <v>76</v>
      </c>
      <c r="K34" s="2" t="s">
        <v>519</v>
      </c>
      <c r="L34" s="6">
        <v>2024</v>
      </c>
      <c r="M34" s="6"/>
      <c r="N34" s="90" t="str">
        <f>IF('1. Live'!N34='check-Jul''26'!N34,"",'1. Live'!N34-'check-Jul''26'!N34)</f>
        <v/>
      </c>
      <c r="O34" s="17" t="str">
        <f>IF('1. Live'!O34='check-Jul''26'!O34,"",'1. Live'!O34-'check-Jul''26'!O34)</f>
        <v/>
      </c>
      <c r="P34" s="17" t="str">
        <f ca="1">IF('1. Live'!P34='check-Jul''26'!P34,"",'1. Live'!P34-'check-Jul''26'!P34)</f>
        <v/>
      </c>
      <c r="Q34" s="17" t="str">
        <f ca="1">IF('1. Live'!Q34='check-Jul''26'!Q34,"",'1. Live'!Q34-'check-Jul''26'!Q34)</f>
        <v/>
      </c>
      <c r="R34" s="17" t="str">
        <f ca="1">IF('1. Live'!R34='check-Jul''26'!R34,"",'1. Live'!R34-'check-Jul''26'!R34)</f>
        <v/>
      </c>
      <c r="S34" s="17" t="str">
        <f>IF('1. Live'!S34='check-Jul''26'!S34,"",'1. Live'!S34-'check-Jul''26'!S34)</f>
        <v/>
      </c>
      <c r="T34" s="17" t="str">
        <f ca="1">IF('1. Live'!T34='check-Jul''26'!T34,"",'1. Live'!T34-'check-Jul''26'!T34)</f>
        <v/>
      </c>
      <c r="U34" s="10" t="str">
        <f ca="1">IF('1. Live'!U34='check-Jul''26'!U34,"",'1. Live'!U34-'check-Jul''26'!U34)</f>
        <v/>
      </c>
      <c r="V34" s="87" t="str">
        <f>IF('1. Live'!V34='check-Jul''26'!V34,"",'1. Live'!V34-'check-Jul''26'!V34)</f>
        <v/>
      </c>
      <c r="W34" s="69"/>
      <c r="AA34" s="70" t="str">
        <f>IF('1. Live'!AA34='check-Jul''26'!W35,"",'1. Live'!AA34-'check-Jul''26'!W35)</f>
        <v/>
      </c>
      <c r="AB34" s="70" t="str">
        <f>IF('1. Live'!AF34='check-Jul''26'!AB35,"",'1. Live'!AF34-'check-Jul''26'!AB35)</f>
        <v/>
      </c>
      <c r="AC34" s="70" t="str">
        <f>IF('1. Live'!AG34='check-Jul''26'!AC35,"",'1. Live'!AG34-'check-Jul''26'!AC35)</f>
        <v/>
      </c>
      <c r="AD34" s="70" t="str">
        <f>IF('1. Live'!AH34='check-Jul''26'!AD35,"",'1. Live'!AH34-'check-Jul''26'!AD35)</f>
        <v/>
      </c>
      <c r="AE34" s="70" t="str">
        <f>IF('1. Live'!AI34='check-Jul''26'!AE35,"",'1. Live'!AI34-'check-Jul''26'!AE35)</f>
        <v/>
      </c>
      <c r="AF34" s="70" t="str">
        <f>IF('1. Live'!AJ34='check-Jul''26'!AF35,"",'1. Live'!AJ34-'check-Jul''26'!AF35)</f>
        <v/>
      </c>
      <c r="AG34" s="70" t="str">
        <f>IF('1. Live'!AK34='check-Jul''26'!AG35,"",'1. Live'!AK34-'check-Jul''26'!AG35)</f>
        <v/>
      </c>
      <c r="AH34" s="70" t="str">
        <f>IF('1. Live'!AL34='check-Jul''26'!AH35,"",'1. Live'!AL34-'check-Jul''26'!AH35)</f>
        <v/>
      </c>
      <c r="AI34" s="70" t="str">
        <f>IF('1. Live'!AM34='check-Jul''26'!AI35,"",'1. Live'!AM34-'check-Jul''26'!AI35)</f>
        <v/>
      </c>
      <c r="AJ34" s="70" t="str">
        <f>IF('1. Live'!AN34='check-Jul''26'!AJ35,"",'1. Live'!AN34-'check-Jul''26'!AJ35)</f>
        <v/>
      </c>
      <c r="AK34" s="70" t="str">
        <f>IF('1. Live'!AO34='check-Jul''26'!AK35,"",'1. Live'!AO34-'check-Jul''26'!AK35)</f>
        <v/>
      </c>
      <c r="AL34" s="70" t="str">
        <f>IF('1. Live'!AP34='check-Jul''26'!AL35,"",'1. Live'!AP34-'check-Jul''26'!AL35)</f>
        <v/>
      </c>
      <c r="AM34" s="70" t="str">
        <f>IF('1. Live'!AQ34='check-Jul''26'!AM35,"",'1. Live'!AQ34-'check-Jul''26'!AM35)</f>
        <v/>
      </c>
      <c r="AN34" s="70" t="str">
        <f>IF('1. Live'!AR34='check-Jul''26'!AN35,"",'1. Live'!AR34-'check-Jul''26'!AN35)</f>
        <v/>
      </c>
      <c r="AO34" s="70" t="str">
        <f>IF('1. Live'!AS34='check-Jul''26'!AO35,"",'1. Live'!AS34-'check-Jul''26'!AO35)</f>
        <v/>
      </c>
      <c r="AP34" s="70" t="str">
        <f>IF('1. Live'!AT34='check-Jul''26'!AP35,"",'1. Live'!AT34-'check-Jul''26'!AP35)</f>
        <v/>
      </c>
      <c r="AQ34" s="70" t="str">
        <f>IF('1. Live'!AU34='check-Jul''26'!AQ35,"",'1. Live'!AU34-'check-Jul''26'!AQ35)</f>
        <v/>
      </c>
      <c r="AR34" s="70" t="str">
        <f>IF('1. Live'!AV34='check-Jul''26'!AR35,"",'1. Live'!AV34-'check-Jul''26'!AR35)</f>
        <v/>
      </c>
      <c r="AS34" s="70" t="str">
        <f>IF('1. Live'!AW34='check-Jul''26'!AS35,"",'1. Live'!AW34-'check-Jul''26'!AS35)</f>
        <v/>
      </c>
      <c r="AT34" s="70" t="str">
        <f>IF('1. Live'!AX34='check-Jul''26'!AT35,"",'1. Live'!AX34-'check-Jul''26'!AT35)</f>
        <v/>
      </c>
      <c r="AU34" s="70" t="str">
        <f>IF('1. Live'!AY34='check-Jul''26'!AU35,"",'1. Live'!AY34-'check-Jul''26'!AU35)</f>
        <v/>
      </c>
      <c r="AV34" s="70" t="str">
        <f>IF('1. Live'!AZ34='check-Jul''26'!AV35,"",'1. Live'!AZ34-'check-Jul''26'!AV35)</f>
        <v/>
      </c>
      <c r="AW34" s="70" t="str">
        <f>IF('1. Live'!BA34='check-Jul''26'!AW35,"",'1. Live'!BA34-'check-Jul''26'!AW35)</f>
        <v/>
      </c>
      <c r="AX34" s="70" t="str">
        <f>IF('1. Live'!BB34='check-Jul''26'!AX35,"",'1. Live'!BB34-'check-Jul''26'!AX35)</f>
        <v/>
      </c>
      <c r="AY34" s="70" t="str">
        <f>IF('1. Live'!BC34='check-Jul''26'!AY35,"",'1. Live'!BC34-'check-Jul''26'!AY35)</f>
        <v/>
      </c>
      <c r="AZ34" s="70" t="str">
        <f>IF('1. Live'!BD34='check-Jul''26'!AZ35,"",'1. Live'!BD34-'check-Jul''26'!AZ35)</f>
        <v/>
      </c>
      <c r="BA34" s="70" t="str">
        <f>IF('1. Live'!BE34='check-Jul''26'!BA35,"",'1. Live'!BE34-'check-Jul''26'!BA35)</f>
        <v/>
      </c>
      <c r="BB34" s="70" t="str">
        <f>IF('1. Live'!BF34='check-Jul''26'!BB35,"",'1. Live'!BF34-'check-Jul''26'!BB35)</f>
        <v/>
      </c>
      <c r="BC34" s="70" t="str">
        <f>IF('1. Live'!BG34='check-Jul''26'!BC35,"",'1. Live'!BG34-'check-Jul''26'!BC35)</f>
        <v/>
      </c>
      <c r="BD34" s="70" t="str">
        <f>IF('1. Live'!BH34='check-Jul''26'!BD35,"",'1. Live'!BH34-'check-Jul''26'!BD35)</f>
        <v/>
      </c>
      <c r="BE34" s="70" t="str">
        <f>IF('1. Live'!BI34='check-Jul''26'!BE35,"",'1. Live'!BI34-'check-Jul''26'!BE35)</f>
        <v/>
      </c>
      <c r="BF34" s="70" t="str">
        <f>IF('1. Live'!BJ34='check-Jul''26'!BF35,"",'1. Live'!BJ34-'check-Jul''26'!BF35)</f>
        <v/>
      </c>
      <c r="BG34" s="70" t="str">
        <f>IF('1. Live'!BK34='check-Jul''26'!BG35,"",'1. Live'!BK34-'check-Jul''26'!BG35)</f>
        <v/>
      </c>
      <c r="BH34" s="70" t="str">
        <f>IF('1. Live'!BL34='check-Jul''26'!BH35,"",'1. Live'!BL34-'check-Jul''26'!BH35)</f>
        <v/>
      </c>
      <c r="BI34" s="70" t="str">
        <f>IF('1. Live'!BM34='check-Jul''26'!BI35,"",'1. Live'!BM34-'check-Jul''26'!BI35)</f>
        <v/>
      </c>
      <c r="BJ34" s="70" t="str">
        <f>IF('1. Live'!BN34='check-Jul''26'!BJ35,"",'1. Live'!BN34-'check-Jul''26'!BJ35)</f>
        <v/>
      </c>
      <c r="BK34" s="70" t="str">
        <f>IF('1. Live'!BO34='check-Jul''26'!BK35,"",'1. Live'!BO34-'check-Jul''26'!BK35)</f>
        <v/>
      </c>
      <c r="BL34" s="70" t="str">
        <f>IF('1. Live'!BP34='check-Jul''26'!BL35,"",'1. Live'!BP34-'check-Jul''26'!BL35)</f>
        <v/>
      </c>
      <c r="BM34" s="70" t="str">
        <f>IF('1. Live'!BQ34='check-Jul''26'!BM35,"",'1. Live'!BQ34-'check-Jul''26'!BM35)</f>
        <v/>
      </c>
      <c r="BN34" s="70" t="str">
        <f>IF('1. Live'!BR34='check-Jul''26'!BN35,"",'1. Live'!BR34-'check-Jul''26'!BN35)</f>
        <v/>
      </c>
      <c r="BO34" s="70" t="str">
        <f>IF('1. Live'!BS34='check-Jul''26'!BO35,"",'1. Live'!BS34-'check-Jul''26'!BO35)</f>
        <v/>
      </c>
      <c r="BP34" s="70" t="str">
        <f>IF('1. Live'!BT34='check-Jul''26'!BP35,"",'1. Live'!BT34-'check-Jul''26'!BP35)</f>
        <v/>
      </c>
      <c r="BQ34" s="70" t="str">
        <f>IF('1. Live'!BU34='check-Jul''26'!BQ35,"",'1. Live'!BU34-'check-Jul''26'!BQ35)</f>
        <v/>
      </c>
      <c r="BR34" s="70" t="str">
        <f>IF('1. Live'!BV34='check-Jul''26'!BR35,"",'1. Live'!BV34-'check-Jul''26'!BR35)</f>
        <v/>
      </c>
      <c r="BS34" s="70" t="str">
        <f>IF('1. Live'!BW34='check-Jul''26'!BS35,"",'1. Live'!BW34-'check-Jul''26'!BS35)</f>
        <v/>
      </c>
      <c r="BT34" s="70" t="str">
        <f>IF('1. Live'!BX34='check-Jul''26'!BT35,"",'1. Live'!BX34-'check-Jul''26'!BT35)</f>
        <v/>
      </c>
      <c r="BU34" s="70" t="str">
        <f>IF('1. Live'!BY34='check-Jul''26'!BU35,"",'1. Live'!BY34-'check-Jul''26'!BU35)</f>
        <v/>
      </c>
      <c r="BV34" s="70" t="str">
        <f>IF('1. Live'!BZ34='check-Jul''26'!BV35,"",'1. Live'!BZ34-'check-Jul''26'!BV35)</f>
        <v/>
      </c>
      <c r="BW34" s="70" t="str">
        <f>IF('1. Live'!CA34='check-Jul''26'!BW35,"",'1. Live'!CA34-'check-Jul''26'!BW35)</f>
        <v/>
      </c>
      <c r="BX34" s="70" t="str">
        <f>IF('1. Live'!CB34='check-Jul''26'!BX35,"",'1. Live'!CB34-'check-Jul''26'!BX35)</f>
        <v/>
      </c>
      <c r="BY34" s="70" t="str">
        <f>IF('1. Live'!CC34='check-Jul''26'!BY35,"",'1. Live'!CC34-'check-Jul''26'!BY35)</f>
        <v/>
      </c>
      <c r="BZ34" s="70" t="str">
        <f>IF('1. Live'!CD34='check-Jul''26'!BZ35,"",'1. Live'!CD34-'check-Jul''26'!BZ35)</f>
        <v/>
      </c>
      <c r="CA34" s="70" t="str">
        <f>IF('1. Live'!CE34='check-Jul''26'!CA35,"",'1. Live'!CE34-'check-Jul''26'!CA35)</f>
        <v/>
      </c>
      <c r="CB34" s="70" t="str">
        <f>IF('1. Live'!CF34='check-Jul''26'!CB35,"",'1. Live'!CF34-'check-Jul''26'!CB35)</f>
        <v/>
      </c>
      <c r="CC34" s="70" t="str">
        <f>IF('1. Live'!CG34='check-Jul''26'!CC35,"",'1. Live'!CG34-'check-Jul''26'!CC35)</f>
        <v/>
      </c>
      <c r="CD34" s="70" t="str">
        <f>IF('1. Live'!CH34='check-Jul''26'!CD35,"",'1. Live'!CH34-'check-Jul''26'!CD35)</f>
        <v/>
      </c>
      <c r="CE34" s="70" t="str">
        <f>IF('1. Live'!CI34='check-Jul''26'!CE35,"",'1. Live'!CI34-'check-Jul''26'!CE35)</f>
        <v/>
      </c>
      <c r="CF34" s="70" t="str">
        <f>IF('1. Live'!CJ34='check-Jul''26'!CF35,"",'1. Live'!CJ34-'check-Jul''26'!CF35)</f>
        <v/>
      </c>
      <c r="CG34" s="70" t="str">
        <f>IF('1. Live'!CK34='check-Jul''26'!CG35,"",'1. Live'!CK34-'check-Jul''26'!CG35)</f>
        <v/>
      </c>
      <c r="CH34" s="70" t="str">
        <f>IF('1. Live'!CL34='check-Jul''26'!CH35,"",'1. Live'!CL34-'check-Jul''26'!CH35)</f>
        <v/>
      </c>
      <c r="CI34" s="70" t="str">
        <f>IF('1. Live'!CM34='check-Jul''26'!CI35,"",'1. Live'!CM34-'check-Jul''26'!CI35)</f>
        <v/>
      </c>
      <c r="CJ34" s="70" t="str">
        <f>IF('1. Live'!CN34='check-Jul''26'!CJ35,"",'1. Live'!CN34-'check-Jul''26'!CJ35)</f>
        <v/>
      </c>
      <c r="CK34" s="70" t="str">
        <f>IF('1. Live'!CO34='check-Jul''26'!CK35,"",'1. Live'!CO34-'check-Jul''26'!CK35)</f>
        <v/>
      </c>
      <c r="CL34" s="70" t="str">
        <f>IF('1. Live'!CP34='check-Jul''26'!CL35,"",'1. Live'!CP34-'check-Jul''26'!CL35)</f>
        <v/>
      </c>
      <c r="CM34" s="70" t="str">
        <f>IF('1. Live'!CQ34='check-Jul''26'!CM35,"",'1. Live'!CQ34-'check-Jul''26'!CM35)</f>
        <v/>
      </c>
      <c r="CN34" s="70" t="str">
        <f>IF('1. Live'!CR34='check-Jul''26'!CN35,"",'1. Live'!CR34-'check-Jul''26'!CN35)</f>
        <v/>
      </c>
      <c r="CO34" s="70" t="str">
        <f>IF('1. Live'!CS34='check-Jul''26'!CO35,"",'1. Live'!CS34-'check-Jul''26'!CO35)</f>
        <v/>
      </c>
      <c r="CP34" s="70" t="str">
        <f>IF('1. Live'!CT34='check-Jul''26'!CP35,"",'1. Live'!CT34-'check-Jul''26'!CP35)</f>
        <v/>
      </c>
      <c r="CQ34" s="70" t="str">
        <f>IF('1. Live'!CU34='check-Jul''26'!CQ35,"",'1. Live'!CU34-'check-Jul''26'!CQ35)</f>
        <v/>
      </c>
      <c r="CR34" s="70" t="str">
        <f>IF('1. Live'!CV34='check-Jul''26'!CR35,"",'1. Live'!CV34-'check-Jul''26'!CR35)</f>
        <v/>
      </c>
      <c r="CS34" s="70" t="str">
        <f>IF('1. Live'!CW34='check-Jul''26'!CS35,"",'1. Live'!CW34-'check-Jul''26'!CS35)</f>
        <v/>
      </c>
      <c r="CT34" s="70" t="str">
        <f>IF('1. Live'!CX34='check-Jul''26'!CT35,"",'1. Live'!CX34-'check-Jul''26'!CT35)</f>
        <v/>
      </c>
      <c r="CU34" s="70" t="str">
        <f>IF('1. Live'!CY34='check-Jul''26'!CU35,"",'1. Live'!CY34-'check-Jul''26'!CU35)</f>
        <v/>
      </c>
      <c r="CV34" s="70" t="str">
        <f>IF('1. Live'!CZ34='check-Jul''26'!CV35,"",'1. Live'!CZ34-'check-Jul''26'!CV35)</f>
        <v/>
      </c>
    </row>
    <row r="35" spans="2:100" s="70" customFormat="1" x14ac:dyDescent="0.25">
      <c r="B35" s="68"/>
      <c r="C35" s="4" t="s">
        <v>641</v>
      </c>
      <c r="D35" s="2" t="s">
        <v>62</v>
      </c>
      <c r="E35" s="2" t="s">
        <v>368</v>
      </c>
      <c r="F35" s="2" t="s">
        <v>165</v>
      </c>
      <c r="G35" s="2" t="s">
        <v>857</v>
      </c>
      <c r="H35" s="153"/>
      <c r="I35" s="32" t="s">
        <v>243</v>
      </c>
      <c r="J35" s="2" t="s">
        <v>76</v>
      </c>
      <c r="K35" s="2" t="s">
        <v>519</v>
      </c>
      <c r="L35" s="6">
        <v>2024</v>
      </c>
      <c r="M35" s="6" t="s">
        <v>642</v>
      </c>
      <c r="N35" s="90" t="str">
        <f>IF('1. Live'!N35='check-Jul''26'!N35,"",'1. Live'!N35-'check-Jul''26'!N35)</f>
        <v/>
      </c>
      <c r="O35" s="17" t="str">
        <f>IF('1. Live'!O35='check-Jul''26'!O35,"",'1. Live'!O35-'check-Jul''26'!O35)</f>
        <v/>
      </c>
      <c r="P35" s="17" t="str">
        <f ca="1">IF('1. Live'!P35='check-Jul''26'!P35,"",'1. Live'!P35-'check-Jul''26'!P35)</f>
        <v/>
      </c>
      <c r="Q35" s="17" t="str">
        <f ca="1">IF('1. Live'!Q35='check-Jul''26'!Q35,"",'1. Live'!Q35-'check-Jul''26'!Q35)</f>
        <v/>
      </c>
      <c r="R35" s="17" t="str">
        <f ca="1">IF('1. Live'!R35='check-Jul''26'!R35,"",'1. Live'!R35-'check-Jul''26'!R35)</f>
        <v/>
      </c>
      <c r="S35" s="17" t="str">
        <f>IF('1. Live'!S35='check-Jul''26'!S35,"",'1. Live'!S35-'check-Jul''26'!S35)</f>
        <v/>
      </c>
      <c r="T35" s="17" t="str">
        <f ca="1">IF('1. Live'!T35='check-Jul''26'!T35,"",'1. Live'!T35-'check-Jul''26'!T35)</f>
        <v/>
      </c>
      <c r="U35" s="10" t="str">
        <f ca="1">IF('1. Live'!U35='check-Jul''26'!U35,"",'1. Live'!U35-'check-Jul''26'!U35)</f>
        <v/>
      </c>
      <c r="V35" s="507" t="str">
        <f>IF('1. Live'!V35='check-Jul''26'!V35,"",'1. Live'!V35-'check-Jul''26'!V35)</f>
        <v/>
      </c>
      <c r="W35" s="69"/>
      <c r="AA35" s="70" t="str">
        <f>IF('1. Live'!AA35='check-Jul''26'!W36,"",'1. Live'!AA35-'check-Jul''26'!W36)</f>
        <v/>
      </c>
      <c r="AB35" s="70" t="str">
        <f>IF('1. Live'!AF35='check-Jul''26'!AB36,"",'1. Live'!AF35-'check-Jul''26'!AB36)</f>
        <v/>
      </c>
      <c r="AC35" s="70" t="str">
        <f>IF('1. Live'!AG35='check-Jul''26'!AC36,"",'1. Live'!AG35-'check-Jul''26'!AC36)</f>
        <v/>
      </c>
      <c r="AD35" s="70" t="str">
        <f>IF('1. Live'!AH35='check-Jul''26'!AD36,"",'1. Live'!AH35-'check-Jul''26'!AD36)</f>
        <v/>
      </c>
      <c r="AE35" s="70" t="str">
        <f>IF('1. Live'!AI35='check-Jul''26'!AE36,"",'1. Live'!AI35-'check-Jul''26'!AE36)</f>
        <v/>
      </c>
      <c r="AF35" s="70" t="str">
        <f>IF('1. Live'!AJ35='check-Jul''26'!AF36,"",'1. Live'!AJ35-'check-Jul''26'!AF36)</f>
        <v/>
      </c>
      <c r="AG35" s="70" t="str">
        <f>IF('1. Live'!AK35='check-Jul''26'!AG36,"",'1. Live'!AK35-'check-Jul''26'!AG36)</f>
        <v/>
      </c>
      <c r="AH35" s="70" t="str">
        <f>IF('1. Live'!AL35='check-Jul''26'!AH36,"",'1. Live'!AL35-'check-Jul''26'!AH36)</f>
        <v/>
      </c>
      <c r="AI35" s="70" t="str">
        <f>IF('1. Live'!AM35='check-Jul''26'!AI36,"",'1. Live'!AM35-'check-Jul''26'!AI36)</f>
        <v/>
      </c>
      <c r="AJ35" s="70" t="str">
        <f>IF('1. Live'!AN35='check-Jul''26'!AJ36,"",'1. Live'!AN35-'check-Jul''26'!AJ36)</f>
        <v/>
      </c>
      <c r="AK35" s="70" t="str">
        <f>IF('1. Live'!AO35='check-Jul''26'!AK36,"",'1. Live'!AO35-'check-Jul''26'!AK36)</f>
        <v/>
      </c>
      <c r="AL35" s="70" t="str">
        <f>IF('1. Live'!AP35='check-Jul''26'!AL36,"",'1. Live'!AP35-'check-Jul''26'!AL36)</f>
        <v/>
      </c>
      <c r="AM35" s="70" t="str">
        <f>IF('1. Live'!AQ35='check-Jul''26'!AM36,"",'1. Live'!AQ35-'check-Jul''26'!AM36)</f>
        <v/>
      </c>
      <c r="AN35" s="70" t="str">
        <f>IF('1. Live'!AR35='check-Jul''26'!AN36,"",'1. Live'!AR35-'check-Jul''26'!AN36)</f>
        <v/>
      </c>
      <c r="AO35" s="70" t="str">
        <f>IF('1. Live'!AS35='check-Jul''26'!AO36,"",'1. Live'!AS35-'check-Jul''26'!AO36)</f>
        <v/>
      </c>
      <c r="AP35" s="70" t="str">
        <f>IF('1. Live'!AT35='check-Jul''26'!AP36,"",'1. Live'!AT35-'check-Jul''26'!AP36)</f>
        <v/>
      </c>
      <c r="AQ35" s="70" t="str">
        <f>IF('1. Live'!AU35='check-Jul''26'!AQ36,"",'1. Live'!AU35-'check-Jul''26'!AQ36)</f>
        <v/>
      </c>
      <c r="AR35" s="70" t="str">
        <f>IF('1. Live'!AV35='check-Jul''26'!AR36,"",'1. Live'!AV35-'check-Jul''26'!AR36)</f>
        <v/>
      </c>
      <c r="AS35" s="70" t="str">
        <f>IF('1. Live'!AW35='check-Jul''26'!AS36,"",'1. Live'!AW35-'check-Jul''26'!AS36)</f>
        <v/>
      </c>
      <c r="AT35" s="70" t="str">
        <f>IF('1. Live'!AX35='check-Jul''26'!AT36,"",'1. Live'!AX35-'check-Jul''26'!AT36)</f>
        <v/>
      </c>
      <c r="AU35" s="70" t="str">
        <f>IF('1. Live'!AY35='check-Jul''26'!AU36,"",'1. Live'!AY35-'check-Jul''26'!AU36)</f>
        <v/>
      </c>
      <c r="AV35" s="70" t="str">
        <f>IF('1. Live'!AZ35='check-Jul''26'!AV36,"",'1. Live'!AZ35-'check-Jul''26'!AV36)</f>
        <v/>
      </c>
      <c r="AW35" s="70" t="str">
        <f>IF('1. Live'!BA35='check-Jul''26'!AW36,"",'1. Live'!BA35-'check-Jul''26'!AW36)</f>
        <v/>
      </c>
      <c r="AX35" s="70" t="str">
        <f>IF('1. Live'!BB35='check-Jul''26'!AX36,"",'1. Live'!BB35-'check-Jul''26'!AX36)</f>
        <v/>
      </c>
      <c r="AY35" s="70" t="str">
        <f>IF('1. Live'!BC35='check-Jul''26'!AY36,"",'1. Live'!BC35-'check-Jul''26'!AY36)</f>
        <v/>
      </c>
      <c r="AZ35" s="70" t="str">
        <f>IF('1. Live'!BD35='check-Jul''26'!AZ36,"",'1. Live'!BD35-'check-Jul''26'!AZ36)</f>
        <v/>
      </c>
      <c r="BA35" s="70" t="str">
        <f>IF('1. Live'!BE35='check-Jul''26'!BA36,"",'1. Live'!BE35-'check-Jul''26'!BA36)</f>
        <v/>
      </c>
      <c r="BB35" s="70" t="str">
        <f>IF('1. Live'!BF35='check-Jul''26'!BB36,"",'1. Live'!BF35-'check-Jul''26'!BB36)</f>
        <v/>
      </c>
      <c r="BC35" s="70" t="str">
        <f>IF('1. Live'!BG35='check-Jul''26'!BC36,"",'1. Live'!BG35-'check-Jul''26'!BC36)</f>
        <v/>
      </c>
      <c r="BD35" s="70" t="str">
        <f>IF('1. Live'!BH35='check-Jul''26'!BD36,"",'1. Live'!BH35-'check-Jul''26'!BD36)</f>
        <v/>
      </c>
      <c r="BE35" s="70" t="str">
        <f>IF('1. Live'!BI35='check-Jul''26'!BE36,"",'1. Live'!BI35-'check-Jul''26'!BE36)</f>
        <v/>
      </c>
      <c r="BF35" s="70" t="str">
        <f>IF('1. Live'!BJ35='check-Jul''26'!BF36,"",'1. Live'!BJ35-'check-Jul''26'!BF36)</f>
        <v/>
      </c>
      <c r="BG35" s="70" t="str">
        <f>IF('1. Live'!BK35='check-Jul''26'!BG36,"",'1. Live'!BK35-'check-Jul''26'!BG36)</f>
        <v/>
      </c>
      <c r="BH35" s="70" t="str">
        <f>IF('1. Live'!BL35='check-Jul''26'!BH36,"",'1. Live'!BL35-'check-Jul''26'!BH36)</f>
        <v/>
      </c>
      <c r="BI35" s="70" t="str">
        <f>IF('1. Live'!BM35='check-Jul''26'!BI36,"",'1. Live'!BM35-'check-Jul''26'!BI36)</f>
        <v/>
      </c>
      <c r="BJ35" s="70" t="str">
        <f>IF('1. Live'!BN35='check-Jul''26'!BJ36,"",'1. Live'!BN35-'check-Jul''26'!BJ36)</f>
        <v/>
      </c>
      <c r="BK35" s="70" t="str">
        <f>IF('1. Live'!BO35='check-Jul''26'!BK36,"",'1. Live'!BO35-'check-Jul''26'!BK36)</f>
        <v/>
      </c>
      <c r="BL35" s="70" t="str">
        <f>IF('1. Live'!BP35='check-Jul''26'!BL36,"",'1. Live'!BP35-'check-Jul''26'!BL36)</f>
        <v/>
      </c>
      <c r="BM35" s="70" t="str">
        <f>IF('1. Live'!BQ35='check-Jul''26'!BM36,"",'1. Live'!BQ35-'check-Jul''26'!BM36)</f>
        <v/>
      </c>
      <c r="BN35" s="70" t="str">
        <f>IF('1. Live'!BR35='check-Jul''26'!BN36,"",'1. Live'!BR35-'check-Jul''26'!BN36)</f>
        <v/>
      </c>
      <c r="BO35" s="70" t="str">
        <f>IF('1. Live'!BS35='check-Jul''26'!BO36,"",'1. Live'!BS35-'check-Jul''26'!BO36)</f>
        <v/>
      </c>
      <c r="BP35" s="70" t="str">
        <f>IF('1. Live'!BT35='check-Jul''26'!BP36,"",'1. Live'!BT35-'check-Jul''26'!BP36)</f>
        <v/>
      </c>
      <c r="BQ35" s="70" t="str">
        <f>IF('1. Live'!BU35='check-Jul''26'!BQ36,"",'1. Live'!BU35-'check-Jul''26'!BQ36)</f>
        <v/>
      </c>
      <c r="BR35" s="70" t="str">
        <f>IF('1. Live'!BV35='check-Jul''26'!BR36,"",'1. Live'!BV35-'check-Jul''26'!BR36)</f>
        <v/>
      </c>
      <c r="BS35" s="70" t="str">
        <f>IF('1. Live'!BW35='check-Jul''26'!BS36,"",'1. Live'!BW35-'check-Jul''26'!BS36)</f>
        <v/>
      </c>
      <c r="BT35" s="70" t="str">
        <f>IF('1. Live'!BX35='check-Jul''26'!BT36,"",'1. Live'!BX35-'check-Jul''26'!BT36)</f>
        <v/>
      </c>
      <c r="BU35" s="70" t="str">
        <f>IF('1. Live'!BY35='check-Jul''26'!BU36,"",'1. Live'!BY35-'check-Jul''26'!BU36)</f>
        <v/>
      </c>
      <c r="BV35" s="70" t="str">
        <f>IF('1. Live'!BZ35='check-Jul''26'!BV36,"",'1. Live'!BZ35-'check-Jul''26'!BV36)</f>
        <v/>
      </c>
      <c r="BW35" s="70" t="str">
        <f>IF('1. Live'!CA35='check-Jul''26'!BW36,"",'1. Live'!CA35-'check-Jul''26'!BW36)</f>
        <v/>
      </c>
      <c r="BX35" s="70" t="str">
        <f>IF('1. Live'!CB35='check-Jul''26'!BX36,"",'1. Live'!CB35-'check-Jul''26'!BX36)</f>
        <v/>
      </c>
      <c r="BY35" s="70" t="str">
        <f>IF('1. Live'!CC35='check-Jul''26'!BY36,"",'1. Live'!CC35-'check-Jul''26'!BY36)</f>
        <v/>
      </c>
      <c r="BZ35" s="70" t="str">
        <f>IF('1. Live'!CD35='check-Jul''26'!BZ36,"",'1. Live'!CD35-'check-Jul''26'!BZ36)</f>
        <v/>
      </c>
      <c r="CA35" s="70" t="str">
        <f>IF('1. Live'!CE35='check-Jul''26'!CA36,"",'1. Live'!CE35-'check-Jul''26'!CA36)</f>
        <v/>
      </c>
      <c r="CB35" s="70" t="str">
        <f>IF('1. Live'!CF35='check-Jul''26'!CB36,"",'1. Live'!CF35-'check-Jul''26'!CB36)</f>
        <v/>
      </c>
      <c r="CC35" s="70" t="str">
        <f>IF('1. Live'!CG35='check-Jul''26'!CC36,"",'1. Live'!CG35-'check-Jul''26'!CC36)</f>
        <v/>
      </c>
      <c r="CD35" s="70" t="str">
        <f>IF('1. Live'!CH35='check-Jul''26'!CD36,"",'1. Live'!CH35-'check-Jul''26'!CD36)</f>
        <v/>
      </c>
      <c r="CE35" s="70" t="str">
        <f>IF('1. Live'!CI35='check-Jul''26'!CE36,"",'1. Live'!CI35-'check-Jul''26'!CE36)</f>
        <v/>
      </c>
      <c r="CF35" s="70" t="str">
        <f>IF('1. Live'!CJ35='check-Jul''26'!CF36,"",'1. Live'!CJ35-'check-Jul''26'!CF36)</f>
        <v/>
      </c>
      <c r="CG35" s="70" t="str">
        <f>IF('1. Live'!CK35='check-Jul''26'!CG36,"",'1. Live'!CK35-'check-Jul''26'!CG36)</f>
        <v/>
      </c>
      <c r="CH35" s="70" t="str">
        <f>IF('1. Live'!CL35='check-Jul''26'!CH36,"",'1. Live'!CL35-'check-Jul''26'!CH36)</f>
        <v/>
      </c>
      <c r="CI35" s="70" t="str">
        <f>IF('1. Live'!CM35='check-Jul''26'!CI36,"",'1. Live'!CM35-'check-Jul''26'!CI36)</f>
        <v/>
      </c>
      <c r="CJ35" s="70" t="str">
        <f>IF('1. Live'!CN35='check-Jul''26'!CJ36,"",'1. Live'!CN35-'check-Jul''26'!CJ36)</f>
        <v/>
      </c>
      <c r="CK35" s="70" t="str">
        <f>IF('1. Live'!CO35='check-Jul''26'!CK36,"",'1. Live'!CO35-'check-Jul''26'!CK36)</f>
        <v/>
      </c>
      <c r="CL35" s="70" t="str">
        <f>IF('1. Live'!CP35='check-Jul''26'!CL36,"",'1. Live'!CP35-'check-Jul''26'!CL36)</f>
        <v/>
      </c>
      <c r="CM35" s="70" t="str">
        <f>IF('1. Live'!CQ35='check-Jul''26'!CM36,"",'1. Live'!CQ35-'check-Jul''26'!CM36)</f>
        <v/>
      </c>
      <c r="CN35" s="70" t="str">
        <f>IF('1. Live'!CR35='check-Jul''26'!CN36,"",'1. Live'!CR35-'check-Jul''26'!CN36)</f>
        <v/>
      </c>
      <c r="CO35" s="70" t="str">
        <f>IF('1. Live'!CS35='check-Jul''26'!CO36,"",'1. Live'!CS35-'check-Jul''26'!CO36)</f>
        <v/>
      </c>
      <c r="CP35" s="70" t="str">
        <f>IF('1. Live'!CT35='check-Jul''26'!CP36,"",'1. Live'!CT35-'check-Jul''26'!CP36)</f>
        <v/>
      </c>
      <c r="CQ35" s="70" t="str">
        <f>IF('1. Live'!CU35='check-Jul''26'!CQ36,"",'1. Live'!CU35-'check-Jul''26'!CQ36)</f>
        <v/>
      </c>
      <c r="CR35" s="70" t="str">
        <f>IF('1. Live'!CV35='check-Jul''26'!CR36,"",'1. Live'!CV35-'check-Jul''26'!CR36)</f>
        <v/>
      </c>
      <c r="CS35" s="70" t="str">
        <f>IF('1. Live'!CW35='check-Jul''26'!CS36,"",'1. Live'!CW35-'check-Jul''26'!CS36)</f>
        <v/>
      </c>
      <c r="CT35" s="70" t="str">
        <f>IF('1. Live'!CX35='check-Jul''26'!CT36,"",'1. Live'!CX35-'check-Jul''26'!CT36)</f>
        <v/>
      </c>
      <c r="CU35" s="70" t="str">
        <f>IF('1. Live'!CY35='check-Jul''26'!CU36,"",'1. Live'!CY35-'check-Jul''26'!CU36)</f>
        <v/>
      </c>
      <c r="CV35" s="70" t="str">
        <f>IF('1. Live'!CZ35='check-Jul''26'!CV36,"",'1. Live'!CZ35-'check-Jul''26'!CV36)</f>
        <v/>
      </c>
    </row>
    <row r="36" spans="2:100" s="70" customFormat="1" x14ac:dyDescent="0.25">
      <c r="B36" s="68"/>
      <c r="C36" s="4" t="s">
        <v>671</v>
      </c>
      <c r="D36" s="2" t="s">
        <v>62</v>
      </c>
      <c r="E36" s="2" t="s">
        <v>847</v>
      </c>
      <c r="F36" s="2" t="s">
        <v>165</v>
      </c>
      <c r="G36" s="2" t="s">
        <v>863</v>
      </c>
      <c r="H36" s="153"/>
      <c r="I36" s="32" t="s">
        <v>243</v>
      </c>
      <c r="J36" s="2" t="s">
        <v>76</v>
      </c>
      <c r="K36" s="2" t="s">
        <v>519</v>
      </c>
      <c r="L36" s="6">
        <v>2024</v>
      </c>
      <c r="M36" s="6" t="s">
        <v>349</v>
      </c>
      <c r="N36" s="90" t="str">
        <f>IF('1. Live'!N36='check-Jul''26'!N36,"",'1. Live'!N36-'check-Jul''26'!N36)</f>
        <v/>
      </c>
      <c r="O36" s="17" t="str">
        <f ca="1">IF('1. Live'!O36='check-Jul''26'!O36,"",'1. Live'!O36-'check-Jul''26'!O36)</f>
        <v/>
      </c>
      <c r="P36" s="17" t="str">
        <f ca="1">IF('1. Live'!P36='check-Jul''26'!P36,"",'1. Live'!P36-'check-Jul''26'!P36)</f>
        <v/>
      </c>
      <c r="Q36" s="17" t="str">
        <f>IF('1. Live'!Q36='check-Jul''26'!Q36,"",'1. Live'!Q36-'check-Jul''26'!Q36)</f>
        <v/>
      </c>
      <c r="R36" s="17" t="str">
        <f>IF('1. Live'!R36='check-Jul''26'!R36,"",'1. Live'!R36-'check-Jul''26'!R36)</f>
        <v/>
      </c>
      <c r="S36" s="17" t="str">
        <f>IF('1. Live'!S36='check-Jul''26'!S36,"",'1. Live'!S36-'check-Jul''26'!S36)</f>
        <v/>
      </c>
      <c r="T36" s="17" t="str">
        <f ca="1">IF('1. Live'!T36='check-Jul''26'!T36,"",'1. Live'!T36-'check-Jul''26'!T36)</f>
        <v/>
      </c>
      <c r="U36" s="10" t="str">
        <f ca="1">IF('1. Live'!U36='check-Jul''26'!U36,"",'1. Live'!U36-'check-Jul''26'!U36)</f>
        <v/>
      </c>
      <c r="V36" s="87" t="str">
        <f>IF('1. Live'!V36='check-Jul''26'!V36,"",'1. Live'!V36-'check-Jul''26'!V36)</f>
        <v/>
      </c>
      <c r="W36" s="69"/>
      <c r="AA36" s="70" t="str">
        <f>IF('1. Live'!AA36='check-Jul''26'!W37,"",'1. Live'!AA36-'check-Jul''26'!W37)</f>
        <v/>
      </c>
      <c r="AB36" s="70" t="str">
        <f>IF('1. Live'!AF36='check-Jul''26'!AB37,"",'1. Live'!AF36-'check-Jul''26'!AB37)</f>
        <v/>
      </c>
      <c r="AC36" s="70" t="str">
        <f>IF('1. Live'!AG36='check-Jul''26'!AC37,"",'1. Live'!AG36-'check-Jul''26'!AC37)</f>
        <v/>
      </c>
      <c r="AD36" s="70" t="str">
        <f>IF('1. Live'!AH36='check-Jul''26'!AD37,"",'1. Live'!AH36-'check-Jul''26'!AD37)</f>
        <v/>
      </c>
      <c r="AE36" s="70" t="str">
        <f>IF('1. Live'!AI36='check-Jul''26'!AE37,"",'1. Live'!AI36-'check-Jul''26'!AE37)</f>
        <v/>
      </c>
      <c r="AF36" s="70" t="str">
        <f>IF('1. Live'!AJ36='check-Jul''26'!AF37,"",'1. Live'!AJ36-'check-Jul''26'!AF37)</f>
        <v/>
      </c>
      <c r="AG36" s="70" t="str">
        <f>IF('1. Live'!AK36='check-Jul''26'!AG37,"",'1. Live'!AK36-'check-Jul''26'!AG37)</f>
        <v/>
      </c>
      <c r="AH36" s="70" t="str">
        <f>IF('1. Live'!AL36='check-Jul''26'!AH37,"",'1. Live'!AL36-'check-Jul''26'!AH37)</f>
        <v/>
      </c>
      <c r="AI36" s="70" t="str">
        <f>IF('1. Live'!AM36='check-Jul''26'!AI37,"",'1. Live'!AM36-'check-Jul''26'!AI37)</f>
        <v/>
      </c>
      <c r="AJ36" s="70" t="str">
        <f>IF('1. Live'!AN36='check-Jul''26'!AJ37,"",'1. Live'!AN36-'check-Jul''26'!AJ37)</f>
        <v/>
      </c>
      <c r="AK36" s="70" t="str">
        <f>IF('1. Live'!AO36='check-Jul''26'!AK37,"",'1. Live'!AO36-'check-Jul''26'!AK37)</f>
        <v/>
      </c>
      <c r="AL36" s="70" t="str">
        <f>IF('1. Live'!AP36='check-Jul''26'!AL37,"",'1. Live'!AP36-'check-Jul''26'!AL37)</f>
        <v/>
      </c>
      <c r="AM36" s="70" t="str">
        <f>IF('1. Live'!AQ36='check-Jul''26'!AM37,"",'1. Live'!AQ36-'check-Jul''26'!AM37)</f>
        <v/>
      </c>
      <c r="AN36" s="70" t="str">
        <f>IF('1. Live'!AR36='check-Jul''26'!AN37,"",'1. Live'!AR36-'check-Jul''26'!AN37)</f>
        <v/>
      </c>
      <c r="AO36" s="70" t="str">
        <f>IF('1. Live'!AS36='check-Jul''26'!AO37,"",'1. Live'!AS36-'check-Jul''26'!AO37)</f>
        <v/>
      </c>
      <c r="AP36" s="70" t="str">
        <f>IF('1. Live'!AT36='check-Jul''26'!AP37,"",'1. Live'!AT36-'check-Jul''26'!AP37)</f>
        <v/>
      </c>
      <c r="AQ36" s="70" t="str">
        <f>IF('1. Live'!AU36='check-Jul''26'!AQ37,"",'1. Live'!AU36-'check-Jul''26'!AQ37)</f>
        <v/>
      </c>
      <c r="AR36" s="70" t="str">
        <f>IF('1. Live'!AV36='check-Jul''26'!AR37,"",'1. Live'!AV36-'check-Jul''26'!AR37)</f>
        <v/>
      </c>
      <c r="AS36" s="70" t="str">
        <f>IF('1. Live'!AW36='check-Jul''26'!AS37,"",'1. Live'!AW36-'check-Jul''26'!AS37)</f>
        <v/>
      </c>
      <c r="AT36" s="70" t="str">
        <f>IF('1. Live'!AX36='check-Jul''26'!AT37,"",'1. Live'!AX36-'check-Jul''26'!AT37)</f>
        <v/>
      </c>
      <c r="AU36" s="70" t="str">
        <f>IF('1. Live'!AY36='check-Jul''26'!AU37,"",'1. Live'!AY36-'check-Jul''26'!AU37)</f>
        <v/>
      </c>
      <c r="AV36" s="70" t="str">
        <f>IF('1. Live'!AZ36='check-Jul''26'!AV37,"",'1. Live'!AZ36-'check-Jul''26'!AV37)</f>
        <v/>
      </c>
      <c r="AW36" s="70" t="str">
        <f>IF('1. Live'!BA36='check-Jul''26'!AW37,"",'1. Live'!BA36-'check-Jul''26'!AW37)</f>
        <v/>
      </c>
      <c r="AX36" s="70" t="str">
        <f>IF('1. Live'!BB36='check-Jul''26'!AX37,"",'1. Live'!BB36-'check-Jul''26'!AX37)</f>
        <v/>
      </c>
      <c r="AY36" s="70" t="str">
        <f>IF('1. Live'!BC36='check-Jul''26'!AY37,"",'1. Live'!BC36-'check-Jul''26'!AY37)</f>
        <v/>
      </c>
      <c r="AZ36" s="70" t="str">
        <f>IF('1. Live'!BD36='check-Jul''26'!AZ37,"",'1. Live'!BD36-'check-Jul''26'!AZ37)</f>
        <v/>
      </c>
      <c r="BA36" s="70" t="str">
        <f>IF('1. Live'!BE36='check-Jul''26'!BA37,"",'1. Live'!BE36-'check-Jul''26'!BA37)</f>
        <v/>
      </c>
      <c r="BB36" s="70" t="str">
        <f>IF('1. Live'!BF36='check-Jul''26'!BB37,"",'1. Live'!BF36-'check-Jul''26'!BB37)</f>
        <v/>
      </c>
      <c r="BC36" s="70" t="str">
        <f>IF('1. Live'!BG36='check-Jul''26'!BC37,"",'1. Live'!BG36-'check-Jul''26'!BC37)</f>
        <v/>
      </c>
      <c r="BD36" s="70" t="str">
        <f>IF('1. Live'!BH36='check-Jul''26'!BD37,"",'1. Live'!BH36-'check-Jul''26'!BD37)</f>
        <v/>
      </c>
      <c r="BE36" s="70" t="str">
        <f>IF('1. Live'!BI36='check-Jul''26'!BE37,"",'1. Live'!BI36-'check-Jul''26'!BE37)</f>
        <v/>
      </c>
      <c r="BF36" s="70" t="str">
        <f>IF('1. Live'!BJ36='check-Jul''26'!BF37,"",'1. Live'!BJ36-'check-Jul''26'!BF37)</f>
        <v/>
      </c>
      <c r="BG36" s="70" t="str">
        <f>IF('1. Live'!BK36='check-Jul''26'!BG37,"",'1. Live'!BK36-'check-Jul''26'!BG37)</f>
        <v/>
      </c>
      <c r="BH36" s="70" t="str">
        <f>IF('1. Live'!BL36='check-Jul''26'!BH37,"",'1. Live'!BL36-'check-Jul''26'!BH37)</f>
        <v/>
      </c>
      <c r="BI36" s="70" t="str">
        <f>IF('1. Live'!BM36='check-Jul''26'!BI37,"",'1. Live'!BM36-'check-Jul''26'!BI37)</f>
        <v/>
      </c>
      <c r="BJ36" s="70" t="str">
        <f>IF('1. Live'!BN36='check-Jul''26'!BJ37,"",'1. Live'!BN36-'check-Jul''26'!BJ37)</f>
        <v/>
      </c>
      <c r="BK36" s="70" t="str">
        <f>IF('1. Live'!BO36='check-Jul''26'!BK37,"",'1. Live'!BO36-'check-Jul''26'!BK37)</f>
        <v/>
      </c>
      <c r="BL36" s="70" t="str">
        <f>IF('1. Live'!BP36='check-Jul''26'!BL37,"",'1. Live'!BP36-'check-Jul''26'!BL37)</f>
        <v/>
      </c>
      <c r="BM36" s="70" t="str">
        <f>IF('1. Live'!BQ36='check-Jul''26'!BM37,"",'1. Live'!BQ36-'check-Jul''26'!BM37)</f>
        <v/>
      </c>
      <c r="BN36" s="70" t="str">
        <f>IF('1. Live'!BR36='check-Jul''26'!BN37,"",'1. Live'!BR36-'check-Jul''26'!BN37)</f>
        <v/>
      </c>
      <c r="BO36" s="70" t="str">
        <f>IF('1. Live'!BS36='check-Jul''26'!BO37,"",'1. Live'!BS36-'check-Jul''26'!BO37)</f>
        <v/>
      </c>
      <c r="BP36" s="70" t="str">
        <f>IF('1. Live'!BT36='check-Jul''26'!BP37,"",'1. Live'!BT36-'check-Jul''26'!BP37)</f>
        <v/>
      </c>
      <c r="BQ36" s="70" t="str">
        <f>IF('1. Live'!BU36='check-Jul''26'!BQ37,"",'1. Live'!BU36-'check-Jul''26'!BQ37)</f>
        <v/>
      </c>
      <c r="BR36" s="70" t="str">
        <f>IF('1. Live'!BV36='check-Jul''26'!BR37,"",'1. Live'!BV36-'check-Jul''26'!BR37)</f>
        <v/>
      </c>
      <c r="BS36" s="70" t="str">
        <f>IF('1. Live'!BW36='check-Jul''26'!BS37,"",'1. Live'!BW36-'check-Jul''26'!BS37)</f>
        <v/>
      </c>
      <c r="BT36" s="70" t="str">
        <f>IF('1. Live'!BX36='check-Jul''26'!BT37,"",'1. Live'!BX36-'check-Jul''26'!BT37)</f>
        <v/>
      </c>
      <c r="BU36" s="70" t="str">
        <f>IF('1. Live'!BY36='check-Jul''26'!BU37,"",'1. Live'!BY36-'check-Jul''26'!BU37)</f>
        <v/>
      </c>
      <c r="BV36" s="70" t="str">
        <f>IF('1. Live'!BZ36='check-Jul''26'!BV37,"",'1. Live'!BZ36-'check-Jul''26'!BV37)</f>
        <v/>
      </c>
      <c r="BW36" s="70" t="str">
        <f>IF('1. Live'!CA36='check-Jul''26'!BW37,"",'1. Live'!CA36-'check-Jul''26'!BW37)</f>
        <v/>
      </c>
      <c r="BX36" s="70" t="str">
        <f>IF('1. Live'!CB36='check-Jul''26'!BX37,"",'1. Live'!CB36-'check-Jul''26'!BX37)</f>
        <v/>
      </c>
      <c r="BY36" s="70" t="str">
        <f>IF('1. Live'!CC36='check-Jul''26'!BY37,"",'1. Live'!CC36-'check-Jul''26'!BY37)</f>
        <v/>
      </c>
      <c r="BZ36" s="70" t="str">
        <f>IF('1. Live'!CD36='check-Jul''26'!BZ37,"",'1. Live'!CD36-'check-Jul''26'!BZ37)</f>
        <v/>
      </c>
      <c r="CA36" s="70" t="str">
        <f>IF('1. Live'!CE36='check-Jul''26'!CA37,"",'1. Live'!CE36-'check-Jul''26'!CA37)</f>
        <v/>
      </c>
      <c r="CB36" s="70" t="str">
        <f>IF('1. Live'!CF36='check-Jul''26'!CB37,"",'1. Live'!CF36-'check-Jul''26'!CB37)</f>
        <v/>
      </c>
      <c r="CC36" s="70" t="str">
        <f>IF('1. Live'!CG36='check-Jul''26'!CC37,"",'1. Live'!CG36-'check-Jul''26'!CC37)</f>
        <v/>
      </c>
      <c r="CD36" s="70" t="str">
        <f>IF('1. Live'!CH36='check-Jul''26'!CD37,"",'1. Live'!CH36-'check-Jul''26'!CD37)</f>
        <v/>
      </c>
      <c r="CE36" s="70" t="str">
        <f>IF('1. Live'!CI36='check-Jul''26'!CE37,"",'1. Live'!CI36-'check-Jul''26'!CE37)</f>
        <v/>
      </c>
      <c r="CF36" s="70" t="str">
        <f>IF('1. Live'!CJ36='check-Jul''26'!CF37,"",'1. Live'!CJ36-'check-Jul''26'!CF37)</f>
        <v/>
      </c>
      <c r="CG36" s="70" t="str">
        <f>IF('1. Live'!CK36='check-Jul''26'!CG37,"",'1. Live'!CK36-'check-Jul''26'!CG37)</f>
        <v/>
      </c>
      <c r="CH36" s="70" t="str">
        <f>IF('1. Live'!CL36='check-Jul''26'!CH37,"",'1. Live'!CL36-'check-Jul''26'!CH37)</f>
        <v/>
      </c>
      <c r="CI36" s="70" t="str">
        <f>IF('1. Live'!CM36='check-Jul''26'!CI37,"",'1. Live'!CM36-'check-Jul''26'!CI37)</f>
        <v/>
      </c>
      <c r="CJ36" s="70" t="str">
        <f>IF('1. Live'!CN36='check-Jul''26'!CJ37,"",'1. Live'!CN36-'check-Jul''26'!CJ37)</f>
        <v/>
      </c>
      <c r="CK36" s="70" t="str">
        <f>IF('1. Live'!CO36='check-Jul''26'!CK37,"",'1. Live'!CO36-'check-Jul''26'!CK37)</f>
        <v/>
      </c>
      <c r="CL36" s="70" t="str">
        <f>IF('1. Live'!CP36='check-Jul''26'!CL37,"",'1. Live'!CP36-'check-Jul''26'!CL37)</f>
        <v/>
      </c>
      <c r="CM36" s="70" t="str">
        <f>IF('1. Live'!CQ36='check-Jul''26'!CM37,"",'1. Live'!CQ36-'check-Jul''26'!CM37)</f>
        <v/>
      </c>
      <c r="CN36" s="70" t="str">
        <f>IF('1. Live'!CR36='check-Jul''26'!CN37,"",'1. Live'!CR36-'check-Jul''26'!CN37)</f>
        <v/>
      </c>
      <c r="CO36" s="70" t="str">
        <f>IF('1. Live'!CS36='check-Jul''26'!CO37,"",'1. Live'!CS36-'check-Jul''26'!CO37)</f>
        <v/>
      </c>
      <c r="CP36" s="70" t="str">
        <f>IF('1. Live'!CT36='check-Jul''26'!CP37,"",'1. Live'!CT36-'check-Jul''26'!CP37)</f>
        <v/>
      </c>
      <c r="CQ36" s="70" t="str">
        <f>IF('1. Live'!CU36='check-Jul''26'!CQ37,"",'1. Live'!CU36-'check-Jul''26'!CQ37)</f>
        <v/>
      </c>
      <c r="CR36" s="70" t="str">
        <f>IF('1. Live'!CV36='check-Jul''26'!CR37,"",'1. Live'!CV36-'check-Jul''26'!CR37)</f>
        <v/>
      </c>
      <c r="CS36" s="70" t="str">
        <f>IF('1. Live'!CW36='check-Jul''26'!CS37,"",'1. Live'!CW36-'check-Jul''26'!CS37)</f>
        <v/>
      </c>
      <c r="CT36" s="70" t="str">
        <f>IF('1. Live'!CX36='check-Jul''26'!CT37,"",'1. Live'!CX36-'check-Jul''26'!CT37)</f>
        <v/>
      </c>
      <c r="CU36" s="70" t="str">
        <f>IF('1. Live'!CY36='check-Jul''26'!CU37,"",'1. Live'!CY36-'check-Jul''26'!CU37)</f>
        <v/>
      </c>
      <c r="CV36" s="70" t="str">
        <f>IF('1. Live'!CZ36='check-Jul''26'!CV37,"",'1. Live'!CZ36-'check-Jul''26'!CV37)</f>
        <v/>
      </c>
    </row>
    <row r="37" spans="2:100" s="70" customFormat="1" x14ac:dyDescent="0.25">
      <c r="B37" s="68"/>
      <c r="C37" s="4" t="s">
        <v>715</v>
      </c>
      <c r="D37" s="2" t="s">
        <v>62</v>
      </c>
      <c r="E37" s="2" t="s">
        <v>847</v>
      </c>
      <c r="F37" s="2" t="s">
        <v>165</v>
      </c>
      <c r="G37" s="2" t="s">
        <v>861</v>
      </c>
      <c r="H37" s="153"/>
      <c r="I37" s="32" t="s">
        <v>243</v>
      </c>
      <c r="J37" s="2" t="s">
        <v>76</v>
      </c>
      <c r="K37" s="2" t="s">
        <v>519</v>
      </c>
      <c r="L37" s="6">
        <v>2025</v>
      </c>
      <c r="M37" s="6" t="s">
        <v>716</v>
      </c>
      <c r="N37" s="90" t="str">
        <f>IF('1. Live'!N37='check-Jul''26'!N37,"",'1. Live'!N37-'check-Jul''26'!N37)</f>
        <v/>
      </c>
      <c r="O37" s="17" t="str">
        <f ca="1">IF('1. Live'!O37='check-Jul''26'!O37,"",'1. Live'!O37-'check-Jul''26'!O37)</f>
        <v/>
      </c>
      <c r="P37" s="17" t="str">
        <f ca="1">IF('1. Live'!P37='check-Jul''26'!P37,"",'1. Live'!P37-'check-Jul''26'!P37)</f>
        <v/>
      </c>
      <c r="Q37" s="17" t="str">
        <f>IF('1. Live'!Q37='check-Jul''26'!Q37,"",'1. Live'!Q37-'check-Jul''26'!Q37)</f>
        <v/>
      </c>
      <c r="R37" s="17" t="str">
        <f>IF('1. Live'!R37='check-Jul''26'!R37,"",'1. Live'!R37-'check-Jul''26'!R37)</f>
        <v/>
      </c>
      <c r="S37" s="17" t="str">
        <f>IF('1. Live'!S37='check-Jul''26'!S37,"",'1. Live'!S37-'check-Jul''26'!S37)</f>
        <v/>
      </c>
      <c r="T37" s="17" t="str">
        <f ca="1">IF('1. Live'!T37='check-Jul''26'!T37,"",'1. Live'!T37-'check-Jul''26'!T37)</f>
        <v/>
      </c>
      <c r="U37" s="10" t="str">
        <f ca="1">IF('1. Live'!U37='check-Jul''26'!U37,"",'1. Live'!U37-'check-Jul''26'!U37)</f>
        <v/>
      </c>
      <c r="V37" s="87" t="str">
        <f>IF('1. Live'!V37='check-Jul''26'!V37,"",'1. Live'!V37-'check-Jul''26'!V37)</f>
        <v/>
      </c>
      <c r="W37" s="69"/>
      <c r="AA37" s="70" t="str">
        <f>IF('1. Live'!AA37='check-Jul''26'!W38,"",'1. Live'!AA37-'check-Jul''26'!W38)</f>
        <v/>
      </c>
      <c r="AB37" s="70" t="str">
        <f>IF('1. Live'!AF37='check-Jul''26'!AB38,"",'1. Live'!AF37-'check-Jul''26'!AB38)</f>
        <v/>
      </c>
      <c r="AC37" s="70" t="str">
        <f>IF('1. Live'!AG37='check-Jul''26'!AC38,"",'1. Live'!AG37-'check-Jul''26'!AC38)</f>
        <v/>
      </c>
      <c r="AD37" s="70" t="str">
        <f>IF('1. Live'!AH37='check-Jul''26'!AD38,"",'1. Live'!AH37-'check-Jul''26'!AD38)</f>
        <v/>
      </c>
      <c r="AE37" s="70" t="str">
        <f>IF('1. Live'!AI37='check-Jul''26'!AE38,"",'1. Live'!AI37-'check-Jul''26'!AE38)</f>
        <v/>
      </c>
      <c r="AF37" s="70" t="str">
        <f>IF('1. Live'!AJ37='check-Jul''26'!AF38,"",'1. Live'!AJ37-'check-Jul''26'!AF38)</f>
        <v/>
      </c>
      <c r="AG37" s="70" t="str">
        <f>IF('1. Live'!AK37='check-Jul''26'!AG38,"",'1. Live'!AK37-'check-Jul''26'!AG38)</f>
        <v/>
      </c>
      <c r="AH37" s="70" t="str">
        <f>IF('1. Live'!AL37='check-Jul''26'!AH38,"",'1. Live'!AL37-'check-Jul''26'!AH38)</f>
        <v/>
      </c>
      <c r="AI37" s="70" t="str">
        <f>IF('1. Live'!AM37='check-Jul''26'!AI38,"",'1. Live'!AM37-'check-Jul''26'!AI38)</f>
        <v/>
      </c>
      <c r="AJ37" s="70" t="str">
        <f>IF('1. Live'!AN37='check-Jul''26'!AJ38,"",'1. Live'!AN37-'check-Jul''26'!AJ38)</f>
        <v/>
      </c>
      <c r="AK37" s="70" t="str">
        <f>IF('1. Live'!AO37='check-Jul''26'!AK38,"",'1. Live'!AO37-'check-Jul''26'!AK38)</f>
        <v/>
      </c>
      <c r="AL37" s="70" t="str">
        <f>IF('1. Live'!AP37='check-Jul''26'!AL38,"",'1. Live'!AP37-'check-Jul''26'!AL38)</f>
        <v/>
      </c>
      <c r="AM37" s="70" t="str">
        <f>IF('1. Live'!AQ37='check-Jul''26'!AM38,"",'1. Live'!AQ37-'check-Jul''26'!AM38)</f>
        <v/>
      </c>
      <c r="AN37" s="70" t="str">
        <f>IF('1. Live'!AR37='check-Jul''26'!AN38,"",'1. Live'!AR37-'check-Jul''26'!AN38)</f>
        <v/>
      </c>
      <c r="AO37" s="70" t="str">
        <f>IF('1. Live'!AS37='check-Jul''26'!AO38,"",'1. Live'!AS37-'check-Jul''26'!AO38)</f>
        <v/>
      </c>
      <c r="AP37" s="70" t="str">
        <f>IF('1. Live'!AT37='check-Jul''26'!AP38,"",'1. Live'!AT37-'check-Jul''26'!AP38)</f>
        <v/>
      </c>
      <c r="AQ37" s="70" t="str">
        <f>IF('1. Live'!AU37='check-Jul''26'!AQ38,"",'1. Live'!AU37-'check-Jul''26'!AQ38)</f>
        <v/>
      </c>
      <c r="AR37" s="70" t="str">
        <f>IF('1. Live'!AV37='check-Jul''26'!AR38,"",'1. Live'!AV37-'check-Jul''26'!AR38)</f>
        <v/>
      </c>
      <c r="AS37" s="70" t="str">
        <f>IF('1. Live'!AW37='check-Jul''26'!AS38,"",'1. Live'!AW37-'check-Jul''26'!AS38)</f>
        <v/>
      </c>
      <c r="AT37" s="70" t="str">
        <f>IF('1. Live'!AX37='check-Jul''26'!AT38,"",'1. Live'!AX37-'check-Jul''26'!AT38)</f>
        <v/>
      </c>
      <c r="AU37" s="70" t="str">
        <f>IF('1. Live'!AY37='check-Jul''26'!AU38,"",'1. Live'!AY37-'check-Jul''26'!AU38)</f>
        <v/>
      </c>
      <c r="AV37" s="70" t="str">
        <f>IF('1. Live'!AZ37='check-Jul''26'!AV38,"",'1. Live'!AZ37-'check-Jul''26'!AV38)</f>
        <v/>
      </c>
      <c r="AW37" s="70" t="str">
        <f>IF('1. Live'!BA37='check-Jul''26'!AW38,"",'1. Live'!BA37-'check-Jul''26'!AW38)</f>
        <v/>
      </c>
      <c r="AX37" s="70" t="str">
        <f>IF('1. Live'!BB37='check-Jul''26'!AX38,"",'1. Live'!BB37-'check-Jul''26'!AX38)</f>
        <v/>
      </c>
      <c r="AY37" s="70" t="str">
        <f>IF('1. Live'!BC37='check-Jul''26'!AY38,"",'1. Live'!BC37-'check-Jul''26'!AY38)</f>
        <v/>
      </c>
      <c r="AZ37" s="70" t="str">
        <f>IF('1. Live'!BD37='check-Jul''26'!AZ38,"",'1. Live'!BD37-'check-Jul''26'!AZ38)</f>
        <v/>
      </c>
      <c r="BA37" s="70" t="str">
        <f>IF('1. Live'!BE37='check-Jul''26'!BA38,"",'1. Live'!BE37-'check-Jul''26'!BA38)</f>
        <v/>
      </c>
      <c r="BB37" s="70" t="str">
        <f>IF('1. Live'!BF37='check-Jul''26'!BB38,"",'1. Live'!BF37-'check-Jul''26'!BB38)</f>
        <v/>
      </c>
      <c r="BC37" s="70" t="str">
        <f>IF('1. Live'!BG37='check-Jul''26'!BC38,"",'1. Live'!BG37-'check-Jul''26'!BC38)</f>
        <v/>
      </c>
      <c r="BD37" s="70" t="str">
        <f>IF('1. Live'!BH37='check-Jul''26'!BD38,"",'1. Live'!BH37-'check-Jul''26'!BD38)</f>
        <v/>
      </c>
      <c r="BE37" s="70" t="str">
        <f>IF('1. Live'!BI37='check-Jul''26'!BE38,"",'1. Live'!BI37-'check-Jul''26'!BE38)</f>
        <v/>
      </c>
      <c r="BF37" s="70" t="str">
        <f>IF('1. Live'!BJ37='check-Jul''26'!BF38,"",'1. Live'!BJ37-'check-Jul''26'!BF38)</f>
        <v/>
      </c>
      <c r="BG37" s="70" t="str">
        <f>IF('1. Live'!BK37='check-Jul''26'!BG38,"",'1. Live'!BK37-'check-Jul''26'!BG38)</f>
        <v/>
      </c>
      <c r="BH37" s="70" t="str">
        <f>IF('1. Live'!BL37='check-Jul''26'!BH38,"",'1. Live'!BL37-'check-Jul''26'!BH38)</f>
        <v/>
      </c>
      <c r="BI37" s="70" t="str">
        <f>IF('1. Live'!BM37='check-Jul''26'!BI38,"",'1. Live'!BM37-'check-Jul''26'!BI38)</f>
        <v/>
      </c>
      <c r="BJ37" s="70" t="str">
        <f>IF('1. Live'!BN37='check-Jul''26'!BJ38,"",'1. Live'!BN37-'check-Jul''26'!BJ38)</f>
        <v/>
      </c>
      <c r="BK37" s="70" t="str">
        <f>IF('1. Live'!BO37='check-Jul''26'!BK38,"",'1. Live'!BO37-'check-Jul''26'!BK38)</f>
        <v/>
      </c>
      <c r="BL37" s="70" t="str">
        <f>IF('1. Live'!BP37='check-Jul''26'!BL38,"",'1. Live'!BP37-'check-Jul''26'!BL38)</f>
        <v/>
      </c>
      <c r="BM37" s="70" t="str">
        <f>IF('1. Live'!BQ37='check-Jul''26'!BM38,"",'1. Live'!BQ37-'check-Jul''26'!BM38)</f>
        <v/>
      </c>
      <c r="BN37" s="70" t="str">
        <f>IF('1. Live'!BR37='check-Jul''26'!BN38,"",'1. Live'!BR37-'check-Jul''26'!BN38)</f>
        <v/>
      </c>
      <c r="BO37" s="70" t="str">
        <f>IF('1. Live'!BS37='check-Jul''26'!BO38,"",'1. Live'!BS37-'check-Jul''26'!BO38)</f>
        <v/>
      </c>
      <c r="BP37" s="70" t="str">
        <f>IF('1. Live'!BT37='check-Jul''26'!BP38,"",'1. Live'!BT37-'check-Jul''26'!BP38)</f>
        <v/>
      </c>
      <c r="BQ37" s="70" t="str">
        <f>IF('1. Live'!BU37='check-Jul''26'!BQ38,"",'1. Live'!BU37-'check-Jul''26'!BQ38)</f>
        <v/>
      </c>
      <c r="BR37" s="70" t="str">
        <f>IF('1. Live'!BV37='check-Jul''26'!BR38,"",'1. Live'!BV37-'check-Jul''26'!BR38)</f>
        <v/>
      </c>
      <c r="BS37" s="70" t="str">
        <f>IF('1. Live'!BW37='check-Jul''26'!BS38,"",'1. Live'!BW37-'check-Jul''26'!BS38)</f>
        <v/>
      </c>
      <c r="BT37" s="70" t="str">
        <f>IF('1. Live'!BX37='check-Jul''26'!BT38,"",'1. Live'!BX37-'check-Jul''26'!BT38)</f>
        <v/>
      </c>
      <c r="BU37" s="70" t="str">
        <f>IF('1. Live'!BY37='check-Jul''26'!BU38,"",'1. Live'!BY37-'check-Jul''26'!BU38)</f>
        <v/>
      </c>
      <c r="BV37" s="70" t="str">
        <f>IF('1. Live'!BZ37='check-Jul''26'!BV38,"",'1. Live'!BZ37-'check-Jul''26'!BV38)</f>
        <v/>
      </c>
      <c r="BW37" s="70" t="str">
        <f>IF('1. Live'!CA37='check-Jul''26'!BW38,"",'1. Live'!CA37-'check-Jul''26'!BW38)</f>
        <v/>
      </c>
      <c r="BX37" s="70" t="str">
        <f>IF('1. Live'!CB37='check-Jul''26'!BX38,"",'1. Live'!CB37-'check-Jul''26'!BX38)</f>
        <v/>
      </c>
      <c r="BY37" s="70" t="str">
        <f>IF('1. Live'!CC37='check-Jul''26'!BY38,"",'1. Live'!CC37-'check-Jul''26'!BY38)</f>
        <v/>
      </c>
      <c r="BZ37" s="70" t="str">
        <f>IF('1. Live'!CD37='check-Jul''26'!BZ38,"",'1. Live'!CD37-'check-Jul''26'!BZ38)</f>
        <v/>
      </c>
      <c r="CA37" s="70" t="str">
        <f>IF('1. Live'!CE37='check-Jul''26'!CA38,"",'1. Live'!CE37-'check-Jul''26'!CA38)</f>
        <v/>
      </c>
      <c r="CB37" s="70" t="str">
        <f>IF('1. Live'!CF37='check-Jul''26'!CB38,"",'1. Live'!CF37-'check-Jul''26'!CB38)</f>
        <v/>
      </c>
      <c r="CC37" s="70" t="str">
        <f>IF('1. Live'!CG37='check-Jul''26'!CC38,"",'1. Live'!CG37-'check-Jul''26'!CC38)</f>
        <v/>
      </c>
      <c r="CD37" s="70" t="str">
        <f>IF('1. Live'!CH37='check-Jul''26'!CD38,"",'1. Live'!CH37-'check-Jul''26'!CD38)</f>
        <v/>
      </c>
      <c r="CE37" s="70" t="str">
        <f>IF('1. Live'!CI37='check-Jul''26'!CE38,"",'1. Live'!CI37-'check-Jul''26'!CE38)</f>
        <v/>
      </c>
      <c r="CF37" s="70" t="str">
        <f>IF('1. Live'!CJ37='check-Jul''26'!CF38,"",'1. Live'!CJ37-'check-Jul''26'!CF38)</f>
        <v/>
      </c>
      <c r="CG37" s="70" t="str">
        <f>IF('1. Live'!CK37='check-Jul''26'!CG38,"",'1. Live'!CK37-'check-Jul''26'!CG38)</f>
        <v/>
      </c>
      <c r="CH37" s="70" t="str">
        <f>IF('1. Live'!CL37='check-Jul''26'!CH38,"",'1. Live'!CL37-'check-Jul''26'!CH38)</f>
        <v/>
      </c>
      <c r="CI37" s="70" t="str">
        <f>IF('1. Live'!CM37='check-Jul''26'!CI38,"",'1. Live'!CM37-'check-Jul''26'!CI38)</f>
        <v/>
      </c>
      <c r="CJ37" s="70" t="str">
        <f>IF('1. Live'!CN37='check-Jul''26'!CJ38,"",'1. Live'!CN37-'check-Jul''26'!CJ38)</f>
        <v/>
      </c>
      <c r="CK37" s="70" t="str">
        <f>IF('1. Live'!CO37='check-Jul''26'!CK38,"",'1. Live'!CO37-'check-Jul''26'!CK38)</f>
        <v/>
      </c>
      <c r="CL37" s="70" t="str">
        <f>IF('1. Live'!CP37='check-Jul''26'!CL38,"",'1. Live'!CP37-'check-Jul''26'!CL38)</f>
        <v/>
      </c>
      <c r="CM37" s="70" t="str">
        <f>IF('1. Live'!CQ37='check-Jul''26'!CM38,"",'1. Live'!CQ37-'check-Jul''26'!CM38)</f>
        <v/>
      </c>
      <c r="CN37" s="70" t="str">
        <f>IF('1. Live'!CR37='check-Jul''26'!CN38,"",'1. Live'!CR37-'check-Jul''26'!CN38)</f>
        <v/>
      </c>
      <c r="CO37" s="70" t="str">
        <f>IF('1. Live'!CS37='check-Jul''26'!CO38,"",'1. Live'!CS37-'check-Jul''26'!CO38)</f>
        <v/>
      </c>
      <c r="CP37" s="70" t="str">
        <f>IF('1. Live'!CT37='check-Jul''26'!CP38,"",'1. Live'!CT37-'check-Jul''26'!CP38)</f>
        <v/>
      </c>
      <c r="CQ37" s="70" t="str">
        <f>IF('1. Live'!CU37='check-Jul''26'!CQ38,"",'1. Live'!CU37-'check-Jul''26'!CQ38)</f>
        <v/>
      </c>
      <c r="CR37" s="70" t="str">
        <f>IF('1. Live'!CV37='check-Jul''26'!CR38,"",'1. Live'!CV37-'check-Jul''26'!CR38)</f>
        <v/>
      </c>
      <c r="CS37" s="70" t="str">
        <f>IF('1. Live'!CW37='check-Jul''26'!CS38,"",'1. Live'!CW37-'check-Jul''26'!CS38)</f>
        <v/>
      </c>
      <c r="CT37" s="70" t="str">
        <f>IF('1. Live'!CX37='check-Jul''26'!CT38,"",'1. Live'!CX37-'check-Jul''26'!CT38)</f>
        <v/>
      </c>
      <c r="CU37" s="70" t="str">
        <f>IF('1. Live'!CY37='check-Jul''26'!CU38,"",'1. Live'!CY37-'check-Jul''26'!CU38)</f>
        <v/>
      </c>
      <c r="CV37" s="70" t="str">
        <f>IF('1. Live'!CZ37='check-Jul''26'!CV38,"",'1. Live'!CZ37-'check-Jul''26'!CV38)</f>
        <v/>
      </c>
    </row>
    <row r="38" spans="2:100" x14ac:dyDescent="0.25">
      <c r="B38" s="66"/>
      <c r="C38" s="4" t="s">
        <v>788</v>
      </c>
      <c r="D38" s="2" t="s">
        <v>62</v>
      </c>
      <c r="E38" s="2" t="s">
        <v>847</v>
      </c>
      <c r="F38" s="2" t="s">
        <v>165</v>
      </c>
      <c r="G38" s="2" t="s">
        <v>855</v>
      </c>
      <c r="H38" s="153"/>
      <c r="I38" s="32" t="s">
        <v>243</v>
      </c>
      <c r="J38" s="2" t="s">
        <v>76</v>
      </c>
      <c r="K38" s="2" t="s">
        <v>519</v>
      </c>
      <c r="L38" s="6"/>
      <c r="M38" s="6"/>
      <c r="N38" s="542" t="str">
        <f>IF('1. Live'!N38='check-Jul''26'!N38,"",'1. Live'!N38-'check-Jul''26'!N38)</f>
        <v/>
      </c>
      <c r="O38" s="17" t="str">
        <f ca="1">IF('1. Live'!O38='check-Jul''26'!O38,"",'1. Live'!O38-'check-Jul''26'!O38)</f>
        <v/>
      </c>
      <c r="P38" s="17" t="str">
        <f ca="1">IF('1. Live'!P38='check-Jul''26'!P38,"",'1. Live'!P38-'check-Jul''26'!P38)</f>
        <v/>
      </c>
      <c r="Q38" s="17" t="str">
        <f>IF('1. Live'!Q38='check-Jul''26'!Q38,"",'1. Live'!Q38-'check-Jul''26'!Q38)</f>
        <v/>
      </c>
      <c r="R38" s="17" t="str">
        <f ca="1">IF('1. Live'!R38='check-Jul''26'!R38,"",'1. Live'!R38-'check-Jul''26'!R38)</f>
        <v/>
      </c>
      <c r="S38" s="17">
        <f>IF('1. Live'!S38='check-Jul''26'!S38,"",'1. Live'!S38-'check-Jul''26'!S38)</f>
        <v>-50.840214769999989</v>
      </c>
      <c r="T38" s="17">
        <f ca="1">IF('1. Live'!T38='check-Jul''26'!T38,"",'1. Live'!T38-'check-Jul''26'!T38)</f>
        <v>-50.840214769999989</v>
      </c>
      <c r="U38" s="10" t="str">
        <f ca="1">IF('1. Live'!U38='check-Jul''26'!U38,"",'1. Live'!U38-'check-Jul''26'!U38)</f>
        <v/>
      </c>
      <c r="V38" s="87" t="str">
        <f>IF('1. Live'!V38='check-Jul''26'!V38,"",'1. Live'!V38-'check-Jul''26'!V38)</f>
        <v/>
      </c>
      <c r="W38" s="67"/>
      <c r="AA38" s="25" t="str">
        <f>IF('1. Live'!AA38='check-Jul''26'!W39,"",'1. Live'!AA38-'check-Jul''26'!W39)</f>
        <v/>
      </c>
      <c r="AB38" s="25" t="str">
        <f>IF('1. Live'!AF38='check-Jul''26'!AB39,"",'1. Live'!AF38-'check-Jul''26'!AB39)</f>
        <v/>
      </c>
      <c r="AC38" s="25" t="str">
        <f>IF('1. Live'!AG38='check-Jul''26'!AC39,"",'1. Live'!AG38-'check-Jul''26'!AC39)</f>
        <v/>
      </c>
      <c r="AD38" s="25" t="str">
        <f>IF('1. Live'!AH38='check-Jul''26'!AD39,"",'1. Live'!AH38-'check-Jul''26'!AD39)</f>
        <v/>
      </c>
      <c r="AE38" s="25" t="str">
        <f>IF('1. Live'!AI38='check-Jul''26'!AE39,"",'1. Live'!AI38-'check-Jul''26'!AE39)</f>
        <v/>
      </c>
      <c r="AF38" s="25" t="str">
        <f>IF('1. Live'!AJ38='check-Jul''26'!AF39,"",'1. Live'!AJ38-'check-Jul''26'!AF39)</f>
        <v/>
      </c>
      <c r="AG38" s="25" t="str">
        <f>IF('1. Live'!AK38='check-Jul''26'!AG39,"",'1. Live'!AK38-'check-Jul''26'!AG39)</f>
        <v/>
      </c>
      <c r="AH38" s="25" t="str">
        <f>IF('1. Live'!AL38='check-Jul''26'!AH39,"",'1. Live'!AL38-'check-Jul''26'!AH39)</f>
        <v/>
      </c>
      <c r="AI38" s="25" t="str">
        <f>IF('1. Live'!AM38='check-Jul''26'!AI39,"",'1. Live'!AM38-'check-Jul''26'!AI39)</f>
        <v/>
      </c>
      <c r="AJ38" s="25" t="str">
        <f>IF('1. Live'!AN38='check-Jul''26'!AJ39,"",'1. Live'!AN38-'check-Jul''26'!AJ39)</f>
        <v/>
      </c>
      <c r="AK38" s="25" t="str">
        <f>IF('1. Live'!AO38='check-Jul''26'!AK39,"",'1. Live'!AO38-'check-Jul''26'!AK39)</f>
        <v/>
      </c>
      <c r="AL38" s="25" t="str">
        <f>IF('1. Live'!AP38='check-Jul''26'!AL39,"",'1. Live'!AP38-'check-Jul''26'!AL39)</f>
        <v/>
      </c>
      <c r="AM38" s="25" t="str">
        <f>IF('1. Live'!AQ38='check-Jul''26'!AM39,"",'1. Live'!AQ38-'check-Jul''26'!AM39)</f>
        <v/>
      </c>
      <c r="AN38" s="25" t="str">
        <f>IF('1. Live'!AR38='check-Jul''26'!AN39,"",'1. Live'!AR38-'check-Jul''26'!AN39)</f>
        <v/>
      </c>
      <c r="AO38" s="25" t="str">
        <f>IF('1. Live'!AS38='check-Jul''26'!AO39,"",'1. Live'!AS38-'check-Jul''26'!AO39)</f>
        <v/>
      </c>
      <c r="AP38" s="25" t="str">
        <f>IF('1. Live'!AT38='check-Jul''26'!AP39,"",'1. Live'!AT38-'check-Jul''26'!AP39)</f>
        <v/>
      </c>
      <c r="AQ38" s="25" t="str">
        <f>IF('1. Live'!AU38='check-Jul''26'!AQ39,"",'1. Live'!AU38-'check-Jul''26'!AQ39)</f>
        <v/>
      </c>
      <c r="AR38" s="25" t="str">
        <f>IF('1. Live'!AV38='check-Jul''26'!AR39,"",'1. Live'!AV38-'check-Jul''26'!AR39)</f>
        <v/>
      </c>
      <c r="AS38" s="25" t="str">
        <f>IF('1. Live'!AW38='check-Jul''26'!AS39,"",'1. Live'!AW38-'check-Jul''26'!AS39)</f>
        <v/>
      </c>
      <c r="AT38" s="25" t="str">
        <f>IF('1. Live'!AX38='check-Jul''26'!AT39,"",'1. Live'!AX38-'check-Jul''26'!AT39)</f>
        <v/>
      </c>
      <c r="AU38" s="25" t="str">
        <f>IF('1. Live'!AY38='check-Jul''26'!AU39,"",'1. Live'!AY38-'check-Jul''26'!AU39)</f>
        <v/>
      </c>
      <c r="AV38" s="25" t="str">
        <f>IF('1. Live'!AZ38='check-Jul''26'!AV39,"",'1. Live'!AZ38-'check-Jul''26'!AV39)</f>
        <v/>
      </c>
      <c r="AW38" s="25" t="str">
        <f>IF('1. Live'!BA38='check-Jul''26'!AW39,"",'1. Live'!BA38-'check-Jul''26'!AW39)</f>
        <v/>
      </c>
      <c r="AX38" s="25" t="str">
        <f>IF('1. Live'!BB38='check-Jul''26'!AX39,"",'1. Live'!BB38-'check-Jul''26'!AX39)</f>
        <v/>
      </c>
      <c r="AY38" s="25" t="str">
        <f>IF('1. Live'!BC38='check-Jul''26'!AY39,"",'1. Live'!BC38-'check-Jul''26'!AY39)</f>
        <v/>
      </c>
      <c r="AZ38" s="25" t="str">
        <f>IF('1. Live'!BD38='check-Jul''26'!AZ39,"",'1. Live'!BD38-'check-Jul''26'!AZ39)</f>
        <v/>
      </c>
      <c r="BA38" s="25" t="str">
        <f>IF('1. Live'!BE38='check-Jul''26'!BA39,"",'1. Live'!BE38-'check-Jul''26'!BA39)</f>
        <v/>
      </c>
      <c r="BB38" s="25" t="str">
        <f>IF('1. Live'!BF38='check-Jul''26'!BB39,"",'1. Live'!BF38-'check-Jul''26'!BB39)</f>
        <v/>
      </c>
      <c r="BC38" s="25" t="str">
        <f>IF('1. Live'!BG38='check-Jul''26'!BC39,"",'1. Live'!BG38-'check-Jul''26'!BC39)</f>
        <v/>
      </c>
      <c r="BD38" s="25" t="str">
        <f>IF('1. Live'!BH38='check-Jul''26'!BD39,"",'1. Live'!BH38-'check-Jul''26'!BD39)</f>
        <v/>
      </c>
      <c r="BE38" s="25" t="str">
        <f>IF('1. Live'!BI38='check-Jul''26'!BE39,"",'1. Live'!BI38-'check-Jul''26'!BE39)</f>
        <v/>
      </c>
      <c r="BF38" s="25" t="str">
        <f>IF('1. Live'!BJ38='check-Jul''26'!BF39,"",'1. Live'!BJ38-'check-Jul''26'!BF39)</f>
        <v/>
      </c>
      <c r="BG38" s="25" t="str">
        <f>IF('1. Live'!BK38='check-Jul''26'!BG39,"",'1. Live'!BK38-'check-Jul''26'!BG39)</f>
        <v/>
      </c>
      <c r="BH38" s="25" t="str">
        <f>IF('1. Live'!BL38='check-Jul''26'!BH39,"",'1. Live'!BL38-'check-Jul''26'!BH39)</f>
        <v/>
      </c>
      <c r="BI38" s="25" t="str">
        <f>IF('1. Live'!BM38='check-Jul''26'!BI39,"",'1. Live'!BM38-'check-Jul''26'!BI39)</f>
        <v/>
      </c>
      <c r="BJ38" s="25" t="str">
        <f>IF('1. Live'!BN38='check-Jul''26'!BJ39,"",'1. Live'!BN38-'check-Jul''26'!BJ39)</f>
        <v/>
      </c>
      <c r="BK38" s="25" t="str">
        <f>IF('1. Live'!BO38='check-Jul''26'!BK39,"",'1. Live'!BO38-'check-Jul''26'!BK39)</f>
        <v/>
      </c>
      <c r="BL38" s="25" t="str">
        <f>IF('1. Live'!BP38='check-Jul''26'!BL39,"",'1. Live'!BP38-'check-Jul''26'!BL39)</f>
        <v/>
      </c>
      <c r="BM38" s="25" t="str">
        <f>IF('1. Live'!BQ38='check-Jul''26'!BM39,"",'1. Live'!BQ38-'check-Jul''26'!BM39)</f>
        <v/>
      </c>
      <c r="BN38" s="25" t="str">
        <f>IF('1. Live'!BR38='check-Jul''26'!BN39,"",'1. Live'!BR38-'check-Jul''26'!BN39)</f>
        <v/>
      </c>
      <c r="BO38" s="25" t="str">
        <f>IF('1. Live'!BS38='check-Jul''26'!BO39,"",'1. Live'!BS38-'check-Jul''26'!BO39)</f>
        <v/>
      </c>
      <c r="BP38" s="25" t="str">
        <f>IF('1. Live'!BT38='check-Jul''26'!BP39,"",'1. Live'!BT38-'check-Jul''26'!BP39)</f>
        <v/>
      </c>
      <c r="BQ38" s="25" t="str">
        <f>IF('1. Live'!BU38='check-Jul''26'!BQ39,"",'1. Live'!BU38-'check-Jul''26'!BQ39)</f>
        <v/>
      </c>
      <c r="BR38" s="25" t="str">
        <f>IF('1. Live'!BV38='check-Jul''26'!BR39,"",'1. Live'!BV38-'check-Jul''26'!BR39)</f>
        <v/>
      </c>
      <c r="BS38" s="25" t="str">
        <f>IF('1. Live'!BW38='check-Jul''26'!BS39,"",'1. Live'!BW38-'check-Jul''26'!BS39)</f>
        <v/>
      </c>
      <c r="BT38" s="25" t="str">
        <f>IF('1. Live'!BX38='check-Jul''26'!BT39,"",'1. Live'!BX38-'check-Jul''26'!BT39)</f>
        <v/>
      </c>
      <c r="BU38" s="25" t="str">
        <f>IF('1. Live'!BY38='check-Jul''26'!BU39,"",'1. Live'!BY38-'check-Jul''26'!BU39)</f>
        <v/>
      </c>
      <c r="BV38" s="25" t="str">
        <f>IF('1. Live'!BZ38='check-Jul''26'!BV39,"",'1. Live'!BZ38-'check-Jul''26'!BV39)</f>
        <v/>
      </c>
      <c r="BW38" s="25" t="str">
        <f>IF('1. Live'!CA38='check-Jul''26'!BW39,"",'1. Live'!CA38-'check-Jul''26'!BW39)</f>
        <v/>
      </c>
      <c r="BX38" s="25" t="str">
        <f>IF('1. Live'!CB38='check-Jul''26'!BX39,"",'1. Live'!CB38-'check-Jul''26'!BX39)</f>
        <v/>
      </c>
      <c r="BY38" s="25" t="str">
        <f>IF('1. Live'!CC38='check-Jul''26'!BY39,"",'1. Live'!CC38-'check-Jul''26'!BY39)</f>
        <v/>
      </c>
      <c r="BZ38" s="25" t="str">
        <f>IF('1. Live'!CD38='check-Jul''26'!BZ39,"",'1. Live'!CD38-'check-Jul''26'!BZ39)</f>
        <v/>
      </c>
      <c r="CA38" s="25" t="str">
        <f>IF('1. Live'!CE38='check-Jul''26'!CA39,"",'1. Live'!CE38-'check-Jul''26'!CA39)</f>
        <v/>
      </c>
      <c r="CB38" s="25" t="str">
        <f>IF('1. Live'!CF38='check-Jul''26'!CB39,"",'1. Live'!CF38-'check-Jul''26'!CB39)</f>
        <v/>
      </c>
      <c r="CC38" s="25" t="str">
        <f>IF('1. Live'!CG38='check-Jul''26'!CC39,"",'1. Live'!CG38-'check-Jul''26'!CC39)</f>
        <v/>
      </c>
      <c r="CD38" s="25" t="str">
        <f>IF('1. Live'!CH38='check-Jul''26'!CD39,"",'1. Live'!CH38-'check-Jul''26'!CD39)</f>
        <v/>
      </c>
      <c r="CE38" s="25" t="str">
        <f>IF('1. Live'!CI38='check-Jul''26'!CE39,"",'1. Live'!CI38-'check-Jul''26'!CE39)</f>
        <v/>
      </c>
      <c r="CF38" s="25" t="str">
        <f>IF('1. Live'!CJ38='check-Jul''26'!CF39,"",'1. Live'!CJ38-'check-Jul''26'!CF39)</f>
        <v/>
      </c>
      <c r="CG38" s="25" t="str">
        <f>IF('1. Live'!CK38='check-Jul''26'!CG39,"",'1. Live'!CK38-'check-Jul''26'!CG39)</f>
        <v/>
      </c>
      <c r="CH38" s="25" t="str">
        <f>IF('1. Live'!CL38='check-Jul''26'!CH39,"",'1. Live'!CL38-'check-Jul''26'!CH39)</f>
        <v/>
      </c>
      <c r="CI38" s="25" t="str">
        <f>IF('1. Live'!CM38='check-Jul''26'!CI39,"",'1. Live'!CM38-'check-Jul''26'!CI39)</f>
        <v/>
      </c>
      <c r="CJ38" s="25" t="str">
        <f>IF('1. Live'!CN38='check-Jul''26'!CJ39,"",'1. Live'!CN38-'check-Jul''26'!CJ39)</f>
        <v/>
      </c>
      <c r="CK38" s="25" t="str">
        <f>IF('1. Live'!CO38='check-Jul''26'!CK39,"",'1. Live'!CO38-'check-Jul''26'!CK39)</f>
        <v/>
      </c>
      <c r="CL38" s="25" t="str">
        <f>IF('1. Live'!CP38='check-Jul''26'!CL39,"",'1. Live'!CP38-'check-Jul''26'!CL39)</f>
        <v/>
      </c>
      <c r="CM38" s="25" t="str">
        <f>IF('1. Live'!CQ38='check-Jul''26'!CM39,"",'1. Live'!CQ38-'check-Jul''26'!CM39)</f>
        <v/>
      </c>
      <c r="CN38" s="25" t="str">
        <f>IF('1. Live'!CR38='check-Jul''26'!CN39,"",'1. Live'!CR38-'check-Jul''26'!CN39)</f>
        <v/>
      </c>
      <c r="CO38" s="25" t="str">
        <f>IF('1. Live'!CS38='check-Jul''26'!CO39,"",'1. Live'!CS38-'check-Jul''26'!CO39)</f>
        <v/>
      </c>
      <c r="CP38" s="25" t="str">
        <f>IF('1. Live'!CT38='check-Jul''26'!CP39,"",'1. Live'!CT38-'check-Jul''26'!CP39)</f>
        <v/>
      </c>
      <c r="CQ38" s="25" t="str">
        <f>IF('1. Live'!CU38='check-Jul''26'!CQ39,"",'1. Live'!CU38-'check-Jul''26'!CQ39)</f>
        <v/>
      </c>
      <c r="CR38" s="25" t="str">
        <f>IF('1. Live'!CV38='check-Jul''26'!CR39,"",'1. Live'!CV38-'check-Jul''26'!CR39)</f>
        <v/>
      </c>
      <c r="CS38" s="25" t="str">
        <f>IF('1. Live'!CW38='check-Jul''26'!CS39,"",'1. Live'!CW38-'check-Jul''26'!CS39)</f>
        <v/>
      </c>
      <c r="CT38" s="25" t="str">
        <f>IF('1. Live'!CX38='check-Jul''26'!CT39,"",'1. Live'!CX38-'check-Jul''26'!CT39)</f>
        <v/>
      </c>
      <c r="CU38" s="25" t="str">
        <f>IF('1. Live'!CY38='check-Jul''26'!CU39,"",'1. Live'!CY38-'check-Jul''26'!CU39)</f>
        <v/>
      </c>
      <c r="CV38" s="25" t="str">
        <f>IF('1. Live'!CZ38='check-Jul''26'!CV39,"",'1. Live'!CZ38-'check-Jul''26'!CV39)</f>
        <v/>
      </c>
    </row>
    <row r="39" spans="2:100" x14ac:dyDescent="0.25">
      <c r="B39" s="66"/>
      <c r="C39" s="5"/>
      <c r="D39" s="143"/>
      <c r="E39" s="143"/>
      <c r="F39" s="143"/>
      <c r="G39" s="143"/>
      <c r="H39" s="143"/>
      <c r="I39" s="13"/>
      <c r="J39" s="7"/>
      <c r="K39" s="7"/>
      <c r="L39" s="14"/>
      <c r="M39" s="14"/>
      <c r="N39" s="168" t="str">
        <f>IF('1. Live'!N39='check-Jul''26'!N39,"",'1. Live'!N39-'check-Jul''26'!N39)</f>
        <v/>
      </c>
      <c r="O39" s="17" t="str">
        <f>IF('1. Live'!O39='check-Jul''26'!O39,"",'1. Live'!O39-'check-Jul''26'!O39)</f>
        <v/>
      </c>
      <c r="P39" s="24" t="str">
        <f>IF('1. Live'!P39='check-Jul''26'!P39,"",'1. Live'!P39-'check-Jul''26'!P39)</f>
        <v/>
      </c>
      <c r="Q39" s="24" t="str">
        <f>IF('1. Live'!Q39='check-Jul''26'!Q39,"",'1. Live'!Q39-'check-Jul''26'!Q39)</f>
        <v/>
      </c>
      <c r="R39" s="24" t="str">
        <f>IF('1. Live'!R39='check-Jul''26'!R39,"",'1. Live'!R39-'check-Jul''26'!R39)</f>
        <v/>
      </c>
      <c r="S39" s="24" t="str">
        <f>IF('1. Live'!S39='check-Jul''26'!S39,"",'1. Live'!S39-'check-Jul''26'!S39)</f>
        <v/>
      </c>
      <c r="T39" s="24" t="str">
        <f>IF('1. Live'!T39='check-Jul''26'!T39,"",'1. Live'!T39-'check-Jul''26'!T39)</f>
        <v/>
      </c>
      <c r="U39" s="15" t="str">
        <f>IF('1. Live'!U39='check-Jul''26'!U39,"",'1. Live'!U39-'check-Jul''26'!U39)</f>
        <v/>
      </c>
      <c r="V39" s="178" t="str">
        <f>IF('1. Live'!V39='check-Jul''26'!V39,"",'1. Live'!V39-'check-Jul''26'!V39)</f>
        <v/>
      </c>
      <c r="W39" s="67"/>
      <c r="AA39" s="25" t="str">
        <f>IF('1. Live'!AA39='check-Jul''26'!W40,"",'1. Live'!AA39-'check-Jul''26'!W40)</f>
        <v/>
      </c>
      <c r="AB39" s="25" t="str">
        <f>IF('1. Live'!AF39='check-Jul''26'!AB40,"",'1. Live'!AF39-'check-Jul''26'!AB40)</f>
        <v/>
      </c>
      <c r="AC39" s="25" t="str">
        <f>IF('1. Live'!AG39='check-Jul''26'!AC40,"",'1. Live'!AG39-'check-Jul''26'!AC40)</f>
        <v/>
      </c>
      <c r="AD39" s="25" t="str">
        <f>IF('1. Live'!AH39='check-Jul''26'!AD40,"",'1. Live'!AH39-'check-Jul''26'!AD40)</f>
        <v/>
      </c>
      <c r="AE39" s="25" t="str">
        <f>IF('1. Live'!AI39='check-Jul''26'!AE40,"",'1. Live'!AI39-'check-Jul''26'!AE40)</f>
        <v/>
      </c>
      <c r="AF39" s="25" t="str">
        <f>IF('1. Live'!AJ39='check-Jul''26'!AF40,"",'1. Live'!AJ39-'check-Jul''26'!AF40)</f>
        <v/>
      </c>
      <c r="AG39" s="25" t="str">
        <f>IF('1. Live'!AK39='check-Jul''26'!AG40,"",'1. Live'!AK39-'check-Jul''26'!AG40)</f>
        <v/>
      </c>
      <c r="AH39" s="25" t="str">
        <f>IF('1. Live'!AL39='check-Jul''26'!AH40,"",'1. Live'!AL39-'check-Jul''26'!AH40)</f>
        <v/>
      </c>
      <c r="AI39" s="25" t="str">
        <f>IF('1. Live'!AM39='check-Jul''26'!AI40,"",'1. Live'!AM39-'check-Jul''26'!AI40)</f>
        <v/>
      </c>
      <c r="AJ39" s="25" t="str">
        <f>IF('1. Live'!AN39='check-Jul''26'!AJ40,"",'1. Live'!AN39-'check-Jul''26'!AJ40)</f>
        <v/>
      </c>
      <c r="AK39" s="25" t="str">
        <f>IF('1. Live'!AO39='check-Jul''26'!AK40,"",'1. Live'!AO39-'check-Jul''26'!AK40)</f>
        <v/>
      </c>
      <c r="AL39" s="25" t="str">
        <f>IF('1. Live'!AP39='check-Jul''26'!AL40,"",'1. Live'!AP39-'check-Jul''26'!AL40)</f>
        <v/>
      </c>
      <c r="AM39" s="25" t="str">
        <f>IF('1. Live'!AQ39='check-Jul''26'!AM40,"",'1. Live'!AQ39-'check-Jul''26'!AM40)</f>
        <v/>
      </c>
      <c r="AN39" s="25" t="str">
        <f>IF('1. Live'!AR39='check-Jul''26'!AN40,"",'1. Live'!AR39-'check-Jul''26'!AN40)</f>
        <v/>
      </c>
      <c r="AO39" s="25" t="str">
        <f>IF('1. Live'!AS39='check-Jul''26'!AO40,"",'1. Live'!AS39-'check-Jul''26'!AO40)</f>
        <v/>
      </c>
      <c r="AP39" s="25" t="str">
        <f>IF('1. Live'!AT39='check-Jul''26'!AP40,"",'1. Live'!AT39-'check-Jul''26'!AP40)</f>
        <v/>
      </c>
      <c r="AQ39" s="25" t="str">
        <f>IF('1. Live'!AU39='check-Jul''26'!AQ40,"",'1. Live'!AU39-'check-Jul''26'!AQ40)</f>
        <v/>
      </c>
      <c r="AR39" s="25" t="str">
        <f>IF('1. Live'!AV39='check-Jul''26'!AR40,"",'1. Live'!AV39-'check-Jul''26'!AR40)</f>
        <v/>
      </c>
      <c r="AS39" s="25" t="str">
        <f>IF('1. Live'!AW39='check-Jul''26'!AS40,"",'1. Live'!AW39-'check-Jul''26'!AS40)</f>
        <v/>
      </c>
      <c r="AT39" s="25" t="str">
        <f>IF('1. Live'!AX39='check-Jul''26'!AT40,"",'1. Live'!AX39-'check-Jul''26'!AT40)</f>
        <v/>
      </c>
      <c r="AU39" s="25" t="str">
        <f>IF('1. Live'!AY39='check-Jul''26'!AU40,"",'1. Live'!AY39-'check-Jul''26'!AU40)</f>
        <v/>
      </c>
      <c r="AV39" s="25" t="str">
        <f>IF('1. Live'!AZ39='check-Jul''26'!AV40,"",'1. Live'!AZ39-'check-Jul''26'!AV40)</f>
        <v/>
      </c>
      <c r="AW39" s="25" t="str">
        <f>IF('1. Live'!BA39='check-Jul''26'!AW40,"",'1. Live'!BA39-'check-Jul''26'!AW40)</f>
        <v/>
      </c>
      <c r="AX39" s="25" t="str">
        <f>IF('1. Live'!BB39='check-Jul''26'!AX40,"",'1. Live'!BB39-'check-Jul''26'!AX40)</f>
        <v/>
      </c>
      <c r="AY39" s="25" t="str">
        <f>IF('1. Live'!BC39='check-Jul''26'!AY40,"",'1. Live'!BC39-'check-Jul''26'!AY40)</f>
        <v/>
      </c>
      <c r="AZ39" s="25" t="str">
        <f>IF('1. Live'!BD39='check-Jul''26'!AZ40,"",'1. Live'!BD39-'check-Jul''26'!AZ40)</f>
        <v/>
      </c>
      <c r="BA39" s="25" t="str">
        <f>IF('1. Live'!BE39='check-Jul''26'!BA40,"",'1. Live'!BE39-'check-Jul''26'!BA40)</f>
        <v/>
      </c>
      <c r="BB39" s="25" t="str">
        <f>IF('1. Live'!BF39='check-Jul''26'!BB40,"",'1. Live'!BF39-'check-Jul''26'!BB40)</f>
        <v/>
      </c>
      <c r="BC39" s="25" t="str">
        <f>IF('1. Live'!BG39='check-Jul''26'!BC40,"",'1. Live'!BG39-'check-Jul''26'!BC40)</f>
        <v/>
      </c>
      <c r="BD39" s="25" t="str">
        <f>IF('1. Live'!BH39='check-Jul''26'!BD40,"",'1. Live'!BH39-'check-Jul''26'!BD40)</f>
        <v/>
      </c>
      <c r="BE39" s="25" t="str">
        <f>IF('1. Live'!BI39='check-Jul''26'!BE40,"",'1. Live'!BI39-'check-Jul''26'!BE40)</f>
        <v/>
      </c>
      <c r="BF39" s="25" t="str">
        <f>IF('1. Live'!BJ39='check-Jul''26'!BF40,"",'1. Live'!BJ39-'check-Jul''26'!BF40)</f>
        <v/>
      </c>
      <c r="BG39" s="25" t="str">
        <f>IF('1. Live'!BK39='check-Jul''26'!BG40,"",'1. Live'!BK39-'check-Jul''26'!BG40)</f>
        <v/>
      </c>
      <c r="BH39" s="25" t="str">
        <f>IF('1. Live'!BL39='check-Jul''26'!BH40,"",'1. Live'!BL39-'check-Jul''26'!BH40)</f>
        <v/>
      </c>
      <c r="BI39" s="25" t="str">
        <f>IF('1. Live'!BM39='check-Jul''26'!BI40,"",'1. Live'!BM39-'check-Jul''26'!BI40)</f>
        <v/>
      </c>
      <c r="BJ39" s="25" t="str">
        <f>IF('1. Live'!BN39='check-Jul''26'!BJ40,"",'1. Live'!BN39-'check-Jul''26'!BJ40)</f>
        <v/>
      </c>
      <c r="BK39" s="25" t="str">
        <f>IF('1. Live'!BO39='check-Jul''26'!BK40,"",'1. Live'!BO39-'check-Jul''26'!BK40)</f>
        <v/>
      </c>
      <c r="BL39" s="25" t="str">
        <f>IF('1. Live'!BP39='check-Jul''26'!BL40,"",'1. Live'!BP39-'check-Jul''26'!BL40)</f>
        <v/>
      </c>
      <c r="BM39" s="25" t="str">
        <f>IF('1. Live'!BQ39='check-Jul''26'!BM40,"",'1. Live'!BQ39-'check-Jul''26'!BM40)</f>
        <v/>
      </c>
      <c r="BN39" s="25" t="str">
        <f>IF('1. Live'!BR39='check-Jul''26'!BN40,"",'1. Live'!BR39-'check-Jul''26'!BN40)</f>
        <v/>
      </c>
      <c r="BO39" s="25" t="str">
        <f>IF('1. Live'!BS39='check-Jul''26'!BO40,"",'1. Live'!BS39-'check-Jul''26'!BO40)</f>
        <v/>
      </c>
      <c r="BP39" s="25" t="str">
        <f>IF('1. Live'!BT39='check-Jul''26'!BP40,"",'1. Live'!BT39-'check-Jul''26'!BP40)</f>
        <v/>
      </c>
      <c r="BQ39" s="25" t="str">
        <f>IF('1. Live'!BU39='check-Jul''26'!BQ40,"",'1. Live'!BU39-'check-Jul''26'!BQ40)</f>
        <v/>
      </c>
      <c r="BR39" s="25" t="str">
        <f>IF('1. Live'!BV39='check-Jul''26'!BR40,"",'1. Live'!BV39-'check-Jul''26'!BR40)</f>
        <v/>
      </c>
      <c r="BS39" s="25" t="str">
        <f>IF('1. Live'!BW39='check-Jul''26'!BS40,"",'1. Live'!BW39-'check-Jul''26'!BS40)</f>
        <v/>
      </c>
      <c r="BT39" s="25" t="str">
        <f>IF('1. Live'!BX39='check-Jul''26'!BT40,"",'1. Live'!BX39-'check-Jul''26'!BT40)</f>
        <v/>
      </c>
      <c r="BU39" s="25" t="str">
        <f>IF('1. Live'!BY39='check-Jul''26'!BU40,"",'1. Live'!BY39-'check-Jul''26'!BU40)</f>
        <v/>
      </c>
      <c r="BV39" s="25" t="str">
        <f>IF('1. Live'!BZ39='check-Jul''26'!BV40,"",'1. Live'!BZ39-'check-Jul''26'!BV40)</f>
        <v/>
      </c>
      <c r="BW39" s="25" t="str">
        <f>IF('1. Live'!CA39='check-Jul''26'!BW40,"",'1. Live'!CA39-'check-Jul''26'!BW40)</f>
        <v/>
      </c>
      <c r="BX39" s="25" t="str">
        <f>IF('1. Live'!CB39='check-Jul''26'!BX40,"",'1. Live'!CB39-'check-Jul''26'!BX40)</f>
        <v/>
      </c>
      <c r="BY39" s="25" t="str">
        <f>IF('1. Live'!CC39='check-Jul''26'!BY40,"",'1. Live'!CC39-'check-Jul''26'!BY40)</f>
        <v/>
      </c>
      <c r="BZ39" s="25" t="str">
        <f>IF('1. Live'!CD39='check-Jul''26'!BZ40,"",'1. Live'!CD39-'check-Jul''26'!BZ40)</f>
        <v/>
      </c>
      <c r="CA39" s="25" t="str">
        <f>IF('1. Live'!CE39='check-Jul''26'!CA40,"",'1. Live'!CE39-'check-Jul''26'!CA40)</f>
        <v/>
      </c>
      <c r="CB39" s="25" t="str">
        <f>IF('1. Live'!CF39='check-Jul''26'!CB40,"",'1. Live'!CF39-'check-Jul''26'!CB40)</f>
        <v/>
      </c>
      <c r="CC39" s="25" t="str">
        <f>IF('1. Live'!CG39='check-Jul''26'!CC40,"",'1. Live'!CG39-'check-Jul''26'!CC40)</f>
        <v/>
      </c>
      <c r="CD39" s="25" t="str">
        <f>IF('1. Live'!CH39='check-Jul''26'!CD40,"",'1. Live'!CH39-'check-Jul''26'!CD40)</f>
        <v/>
      </c>
      <c r="CE39" s="25" t="str">
        <f>IF('1. Live'!CI39='check-Jul''26'!CE40,"",'1. Live'!CI39-'check-Jul''26'!CE40)</f>
        <v/>
      </c>
      <c r="CF39" s="25" t="str">
        <f>IF('1. Live'!CJ39='check-Jul''26'!CF40,"",'1. Live'!CJ39-'check-Jul''26'!CF40)</f>
        <v/>
      </c>
      <c r="CG39" s="25" t="str">
        <f>IF('1. Live'!CK39='check-Jul''26'!CG40,"",'1. Live'!CK39-'check-Jul''26'!CG40)</f>
        <v/>
      </c>
      <c r="CH39" s="25" t="str">
        <f>IF('1. Live'!CL39='check-Jul''26'!CH40,"",'1. Live'!CL39-'check-Jul''26'!CH40)</f>
        <v/>
      </c>
      <c r="CI39" s="25" t="str">
        <f>IF('1. Live'!CM39='check-Jul''26'!CI40,"",'1. Live'!CM39-'check-Jul''26'!CI40)</f>
        <v/>
      </c>
      <c r="CJ39" s="25" t="str">
        <f>IF('1. Live'!CN39='check-Jul''26'!CJ40,"",'1. Live'!CN39-'check-Jul''26'!CJ40)</f>
        <v/>
      </c>
      <c r="CK39" s="25" t="str">
        <f>IF('1. Live'!CO39='check-Jul''26'!CK40,"",'1. Live'!CO39-'check-Jul''26'!CK40)</f>
        <v/>
      </c>
      <c r="CL39" s="25" t="str">
        <f>IF('1. Live'!CP39='check-Jul''26'!CL40,"",'1. Live'!CP39-'check-Jul''26'!CL40)</f>
        <v/>
      </c>
      <c r="CM39" s="25" t="str">
        <f>IF('1. Live'!CQ39='check-Jul''26'!CM40,"",'1. Live'!CQ39-'check-Jul''26'!CM40)</f>
        <v/>
      </c>
      <c r="CN39" s="25" t="str">
        <f>IF('1. Live'!CR39='check-Jul''26'!CN40,"",'1. Live'!CR39-'check-Jul''26'!CN40)</f>
        <v/>
      </c>
      <c r="CO39" s="25" t="str">
        <f>IF('1. Live'!CS39='check-Jul''26'!CO40,"",'1. Live'!CS39-'check-Jul''26'!CO40)</f>
        <v/>
      </c>
      <c r="CP39" s="25" t="str">
        <f>IF('1. Live'!CT39='check-Jul''26'!CP40,"",'1. Live'!CT39-'check-Jul''26'!CP40)</f>
        <v/>
      </c>
      <c r="CQ39" s="25" t="str">
        <f>IF('1. Live'!CU39='check-Jul''26'!CQ40,"",'1. Live'!CU39-'check-Jul''26'!CQ40)</f>
        <v/>
      </c>
      <c r="CR39" s="25" t="str">
        <f>IF('1. Live'!CV39='check-Jul''26'!CR40,"",'1. Live'!CV39-'check-Jul''26'!CR40)</f>
        <v/>
      </c>
      <c r="CS39" s="25" t="str">
        <f>IF('1. Live'!CW39='check-Jul''26'!CS40,"",'1. Live'!CW39-'check-Jul''26'!CS40)</f>
        <v/>
      </c>
      <c r="CT39" s="25" t="str">
        <f>IF('1. Live'!CX39='check-Jul''26'!CT40,"",'1. Live'!CX39-'check-Jul''26'!CT40)</f>
        <v/>
      </c>
      <c r="CU39" s="25" t="str">
        <f>IF('1. Live'!CY39='check-Jul''26'!CU40,"",'1. Live'!CY39-'check-Jul''26'!CU40)</f>
        <v/>
      </c>
      <c r="CV39" s="25" t="str">
        <f>IF('1. Live'!CZ39='check-Jul''26'!CV40,"",'1. Live'!CZ39-'check-Jul''26'!CV40)</f>
        <v/>
      </c>
    </row>
    <row r="40" spans="2:100" s="70" customFormat="1" x14ac:dyDescent="0.25">
      <c r="B40" s="68"/>
      <c r="C40" s="9"/>
      <c r="D40" s="9"/>
      <c r="E40" s="9"/>
      <c r="F40" s="9"/>
      <c r="G40" s="9"/>
      <c r="H40" s="9"/>
      <c r="I40" s="9"/>
      <c r="J40" s="9"/>
      <c r="K40" s="9"/>
      <c r="L40" s="9"/>
      <c r="M40" s="9"/>
      <c r="N40" s="93" t="str">
        <f>IF('1. Live'!N40='check-Jul''26'!N40,"",'1. Live'!N40-'check-Jul''26'!N40)</f>
        <v/>
      </c>
      <c r="O40" s="18" t="str">
        <f ca="1">IF('1. Live'!O40='check-Jul''26'!O40,"",'1. Live'!O40-'check-Jul''26'!O40)</f>
        <v/>
      </c>
      <c r="P40" s="18" t="str">
        <f ca="1">IF('1. Live'!P40='check-Jul''26'!P40,"",'1. Live'!P40-'check-Jul''26'!P40)</f>
        <v/>
      </c>
      <c r="Q40" s="18" t="str">
        <f ca="1">IF('1. Live'!Q40='check-Jul''26'!Q40,"",'1. Live'!Q40-'check-Jul''26'!Q40)</f>
        <v/>
      </c>
      <c r="R40" s="18" t="str">
        <f ca="1">IF('1. Live'!R40='check-Jul''26'!R40,"",'1. Live'!R40-'check-Jul''26'!R40)</f>
        <v/>
      </c>
      <c r="S40" s="18">
        <f>IF('1. Live'!S40='check-Jul''26'!S40,"",'1. Live'!S40-'check-Jul''26'!S40)</f>
        <v>-50.840214769999989</v>
      </c>
      <c r="T40" s="18">
        <f ca="1">IF('1. Live'!T40='check-Jul''26'!T40,"",'1. Live'!T40-'check-Jul''26'!T40)</f>
        <v>-50.840214769999989</v>
      </c>
      <c r="U40" s="11">
        <f ca="1">IF('1. Live'!U40='check-Jul''26'!U40,"",'1. Live'!U40-'check-Jul''26'!U40)</f>
        <v>-0.19489837377232044</v>
      </c>
      <c r="V40" s="9" t="str">
        <f>IF('1. Live'!V40='check-Jul''26'!V40,"",'1. Live'!V40-'check-Jul''26'!V40)</f>
        <v/>
      </c>
      <c r="W40" s="69"/>
      <c r="AA40" s="70" t="str">
        <f>IF('1. Live'!AA41='check-Jul''26'!W42,"",'1. Live'!AA41-'check-Jul''26'!W42)</f>
        <v/>
      </c>
      <c r="AB40" s="70" t="str">
        <f>IF('1. Live'!AF41='check-Jul''26'!AB42,"",'1. Live'!AF41-'check-Jul''26'!AB42)</f>
        <v/>
      </c>
      <c r="AC40" s="70" t="str">
        <f>IF('1. Live'!AG41='check-Jul''26'!AC42,"",'1. Live'!AG41-'check-Jul''26'!AC42)</f>
        <v/>
      </c>
      <c r="AD40" s="70" t="str">
        <f>IF('1. Live'!AH41='check-Jul''26'!AD42,"",'1. Live'!AH41-'check-Jul''26'!AD42)</f>
        <v/>
      </c>
      <c r="AE40" s="70" t="str">
        <f>IF('1. Live'!AI41='check-Jul''26'!AE42,"",'1. Live'!AI41-'check-Jul''26'!AE42)</f>
        <v/>
      </c>
      <c r="AF40" s="70" t="str">
        <f>IF('1. Live'!AJ41='check-Jul''26'!AF42,"",'1. Live'!AJ41-'check-Jul''26'!AF42)</f>
        <v/>
      </c>
      <c r="AG40" s="70" t="str">
        <f>IF('1. Live'!AK41='check-Jul''26'!AG42,"",'1. Live'!AK41-'check-Jul''26'!AG42)</f>
        <v/>
      </c>
      <c r="AH40" s="70" t="str">
        <f>IF('1. Live'!AL41='check-Jul''26'!AH42,"",'1. Live'!AL41-'check-Jul''26'!AH42)</f>
        <v/>
      </c>
      <c r="AI40" s="70" t="str">
        <f>IF('1. Live'!AM41='check-Jul''26'!AI42,"",'1. Live'!AM41-'check-Jul''26'!AI42)</f>
        <v/>
      </c>
      <c r="AJ40" s="70" t="str">
        <f>IF('1. Live'!AN41='check-Jul''26'!AJ42,"",'1. Live'!AN41-'check-Jul''26'!AJ42)</f>
        <v/>
      </c>
      <c r="AK40" s="70" t="str">
        <f>IF('1. Live'!AO41='check-Jul''26'!AK42,"",'1. Live'!AO41-'check-Jul''26'!AK42)</f>
        <v/>
      </c>
      <c r="AL40" s="70" t="str">
        <f>IF('1. Live'!AP41='check-Jul''26'!AL42,"",'1. Live'!AP41-'check-Jul''26'!AL42)</f>
        <v/>
      </c>
      <c r="AM40" s="70" t="str">
        <f>IF('1. Live'!AQ41='check-Jul''26'!AM42,"",'1. Live'!AQ41-'check-Jul''26'!AM42)</f>
        <v/>
      </c>
      <c r="AN40" s="70" t="str">
        <f>IF('1. Live'!AR41='check-Jul''26'!AN42,"",'1. Live'!AR41-'check-Jul''26'!AN42)</f>
        <v/>
      </c>
      <c r="AO40" s="70" t="str">
        <f>IF('1. Live'!AS41='check-Jul''26'!AO42,"",'1. Live'!AS41-'check-Jul''26'!AO42)</f>
        <v/>
      </c>
      <c r="AP40" s="70" t="str">
        <f>IF('1. Live'!AT41='check-Jul''26'!AP42,"",'1. Live'!AT41-'check-Jul''26'!AP42)</f>
        <v/>
      </c>
      <c r="AQ40" s="70" t="str">
        <f>IF('1. Live'!AU41='check-Jul''26'!AQ42,"",'1. Live'!AU41-'check-Jul''26'!AQ42)</f>
        <v/>
      </c>
      <c r="AR40" s="70" t="str">
        <f>IF('1. Live'!AV41='check-Jul''26'!AR42,"",'1. Live'!AV41-'check-Jul''26'!AR42)</f>
        <v/>
      </c>
      <c r="AS40" s="70" t="str">
        <f>IF('1. Live'!AW41='check-Jul''26'!AS42,"",'1. Live'!AW41-'check-Jul''26'!AS42)</f>
        <v/>
      </c>
      <c r="AT40" s="70" t="str">
        <f>IF('1. Live'!AX41='check-Jul''26'!AT42,"",'1. Live'!AX41-'check-Jul''26'!AT42)</f>
        <v/>
      </c>
      <c r="AU40" s="70" t="str">
        <f>IF('1. Live'!AY41='check-Jul''26'!AU42,"",'1. Live'!AY41-'check-Jul''26'!AU42)</f>
        <v/>
      </c>
      <c r="AV40" s="70" t="str">
        <f>IF('1. Live'!AZ41='check-Jul''26'!AV42,"",'1. Live'!AZ41-'check-Jul''26'!AV42)</f>
        <v/>
      </c>
      <c r="AW40" s="70" t="str">
        <f>IF('1. Live'!BA41='check-Jul''26'!AW42,"",'1. Live'!BA41-'check-Jul''26'!AW42)</f>
        <v/>
      </c>
      <c r="AX40" s="70" t="str">
        <f>IF('1. Live'!BB41='check-Jul''26'!AX42,"",'1. Live'!BB41-'check-Jul''26'!AX42)</f>
        <v/>
      </c>
      <c r="AY40" s="70" t="str">
        <f>IF('1. Live'!BC41='check-Jul''26'!AY42,"",'1. Live'!BC41-'check-Jul''26'!AY42)</f>
        <v/>
      </c>
      <c r="AZ40" s="70" t="str">
        <f>IF('1. Live'!BD41='check-Jul''26'!AZ42,"",'1. Live'!BD41-'check-Jul''26'!AZ42)</f>
        <v/>
      </c>
      <c r="BA40" s="70" t="str">
        <f>IF('1. Live'!BE41='check-Jul''26'!BA42,"",'1. Live'!BE41-'check-Jul''26'!BA42)</f>
        <v/>
      </c>
      <c r="BB40" s="70" t="str">
        <f>IF('1. Live'!BF41='check-Jul''26'!BB42,"",'1. Live'!BF41-'check-Jul''26'!BB42)</f>
        <v/>
      </c>
      <c r="BC40" s="70" t="str">
        <f>IF('1. Live'!BG41='check-Jul''26'!BC42,"",'1. Live'!BG41-'check-Jul''26'!BC42)</f>
        <v/>
      </c>
      <c r="BD40" s="70" t="str">
        <f>IF('1. Live'!BH41='check-Jul''26'!BD42,"",'1. Live'!BH41-'check-Jul''26'!BD42)</f>
        <v/>
      </c>
      <c r="BE40" s="70" t="str">
        <f>IF('1. Live'!BI41='check-Jul''26'!BE42,"",'1. Live'!BI41-'check-Jul''26'!BE42)</f>
        <v/>
      </c>
      <c r="BF40" s="70" t="str">
        <f>IF('1. Live'!BJ41='check-Jul''26'!BF42,"",'1. Live'!BJ41-'check-Jul''26'!BF42)</f>
        <v/>
      </c>
      <c r="BG40" s="70" t="str">
        <f>IF('1. Live'!BK41='check-Jul''26'!BG42,"",'1. Live'!BK41-'check-Jul''26'!BG42)</f>
        <v/>
      </c>
      <c r="BH40" s="70" t="str">
        <f>IF('1. Live'!BL41='check-Jul''26'!BH42,"",'1. Live'!BL41-'check-Jul''26'!BH42)</f>
        <v/>
      </c>
      <c r="BI40" s="70" t="str">
        <f>IF('1. Live'!BM41='check-Jul''26'!BI42,"",'1. Live'!BM41-'check-Jul''26'!BI42)</f>
        <v/>
      </c>
      <c r="BJ40" s="70" t="str">
        <f>IF('1. Live'!BN41='check-Jul''26'!BJ42,"",'1. Live'!BN41-'check-Jul''26'!BJ42)</f>
        <v/>
      </c>
      <c r="BK40" s="70" t="str">
        <f>IF('1. Live'!BO41='check-Jul''26'!BK42,"",'1. Live'!BO41-'check-Jul''26'!BK42)</f>
        <v/>
      </c>
      <c r="BL40" s="70" t="str">
        <f>IF('1. Live'!BP41='check-Jul''26'!BL42,"",'1. Live'!BP41-'check-Jul''26'!BL42)</f>
        <v/>
      </c>
      <c r="BM40" s="70" t="str">
        <f>IF('1. Live'!BQ41='check-Jul''26'!BM42,"",'1. Live'!BQ41-'check-Jul''26'!BM42)</f>
        <v/>
      </c>
      <c r="BN40" s="70" t="str">
        <f>IF('1. Live'!BR41='check-Jul''26'!BN42,"",'1. Live'!BR41-'check-Jul''26'!BN42)</f>
        <v/>
      </c>
      <c r="BO40" s="70" t="str">
        <f>IF('1. Live'!BS41='check-Jul''26'!BO42,"",'1. Live'!BS41-'check-Jul''26'!BO42)</f>
        <v/>
      </c>
      <c r="BP40" s="70" t="str">
        <f>IF('1. Live'!BT41='check-Jul''26'!BP42,"",'1. Live'!BT41-'check-Jul''26'!BP42)</f>
        <v/>
      </c>
      <c r="BQ40" s="70" t="str">
        <f>IF('1. Live'!BU41='check-Jul''26'!BQ42,"",'1. Live'!BU41-'check-Jul''26'!BQ42)</f>
        <v/>
      </c>
      <c r="BR40" s="70" t="str">
        <f>IF('1. Live'!BV41='check-Jul''26'!BR42,"",'1. Live'!BV41-'check-Jul''26'!BR42)</f>
        <v/>
      </c>
      <c r="BS40" s="70" t="str">
        <f>IF('1. Live'!BW41='check-Jul''26'!BS42,"",'1. Live'!BW41-'check-Jul''26'!BS42)</f>
        <v/>
      </c>
      <c r="BT40" s="70" t="str">
        <f>IF('1. Live'!BX41='check-Jul''26'!BT42,"",'1. Live'!BX41-'check-Jul''26'!BT42)</f>
        <v/>
      </c>
      <c r="BU40" s="70" t="str">
        <f>IF('1. Live'!BY41='check-Jul''26'!BU42,"",'1. Live'!BY41-'check-Jul''26'!BU42)</f>
        <v/>
      </c>
      <c r="BV40" s="70" t="str">
        <f>IF('1. Live'!BZ41='check-Jul''26'!BV42,"",'1. Live'!BZ41-'check-Jul''26'!BV42)</f>
        <v/>
      </c>
      <c r="BW40" s="70" t="str">
        <f>IF('1. Live'!CA41='check-Jul''26'!BW42,"",'1. Live'!CA41-'check-Jul''26'!BW42)</f>
        <v/>
      </c>
      <c r="BX40" s="70" t="str">
        <f>IF('1. Live'!CB41='check-Jul''26'!BX42,"",'1. Live'!CB41-'check-Jul''26'!BX42)</f>
        <v/>
      </c>
      <c r="BY40" s="70" t="str">
        <f>IF('1. Live'!CC41='check-Jul''26'!BY42,"",'1. Live'!CC41-'check-Jul''26'!BY42)</f>
        <v/>
      </c>
      <c r="BZ40" s="70" t="str">
        <f>IF('1. Live'!CD41='check-Jul''26'!BZ42,"",'1. Live'!CD41-'check-Jul''26'!BZ42)</f>
        <v/>
      </c>
      <c r="CA40" s="70" t="str">
        <f>IF('1. Live'!CE41='check-Jul''26'!CA42,"",'1. Live'!CE41-'check-Jul''26'!CA42)</f>
        <v/>
      </c>
      <c r="CB40" s="70" t="str">
        <f>IF('1. Live'!CF41='check-Jul''26'!CB42,"",'1. Live'!CF41-'check-Jul''26'!CB42)</f>
        <v/>
      </c>
      <c r="CC40" s="70" t="str">
        <f>IF('1. Live'!CG41='check-Jul''26'!CC42,"",'1. Live'!CG41-'check-Jul''26'!CC42)</f>
        <v/>
      </c>
      <c r="CD40" s="70" t="str">
        <f>IF('1. Live'!CH41='check-Jul''26'!CD42,"",'1. Live'!CH41-'check-Jul''26'!CD42)</f>
        <v/>
      </c>
      <c r="CE40" s="70" t="str">
        <f>IF('1. Live'!CI41='check-Jul''26'!CE42,"",'1. Live'!CI41-'check-Jul''26'!CE42)</f>
        <v/>
      </c>
      <c r="CF40" s="70" t="str">
        <f>IF('1. Live'!CJ41='check-Jul''26'!CF42,"",'1. Live'!CJ41-'check-Jul''26'!CF42)</f>
        <v/>
      </c>
      <c r="CG40" s="70" t="str">
        <f>IF('1. Live'!CK41='check-Jul''26'!CG42,"",'1. Live'!CK41-'check-Jul''26'!CG42)</f>
        <v/>
      </c>
      <c r="CH40" s="70" t="str">
        <f>IF('1. Live'!CL41='check-Jul''26'!CH42,"",'1. Live'!CL41-'check-Jul''26'!CH42)</f>
        <v/>
      </c>
      <c r="CI40" s="70" t="str">
        <f>IF('1. Live'!CM41='check-Jul''26'!CI42,"",'1. Live'!CM41-'check-Jul''26'!CI42)</f>
        <v/>
      </c>
      <c r="CJ40" s="70" t="str">
        <f>IF('1. Live'!CN41='check-Jul''26'!CJ42,"",'1. Live'!CN41-'check-Jul''26'!CJ42)</f>
        <v/>
      </c>
      <c r="CK40" s="70" t="str">
        <f>IF('1. Live'!CO41='check-Jul''26'!CK42,"",'1. Live'!CO41-'check-Jul''26'!CK42)</f>
        <v/>
      </c>
      <c r="CL40" s="70" t="str">
        <f>IF('1. Live'!CP41='check-Jul''26'!CL42,"",'1. Live'!CP41-'check-Jul''26'!CL42)</f>
        <v/>
      </c>
      <c r="CM40" s="70" t="str">
        <f>IF('1. Live'!CQ41='check-Jul''26'!CM42,"",'1. Live'!CQ41-'check-Jul''26'!CM42)</f>
        <v/>
      </c>
      <c r="CN40" s="70" t="str">
        <f>IF('1. Live'!CR41='check-Jul''26'!CN42,"",'1. Live'!CR41-'check-Jul''26'!CN42)</f>
        <v/>
      </c>
      <c r="CO40" s="70" t="str">
        <f>IF('1. Live'!CS41='check-Jul''26'!CO42,"",'1. Live'!CS41-'check-Jul''26'!CO42)</f>
        <v/>
      </c>
      <c r="CP40" s="70" t="str">
        <f>IF('1. Live'!CT41='check-Jul''26'!CP42,"",'1. Live'!CT41-'check-Jul''26'!CP42)</f>
        <v/>
      </c>
      <c r="CQ40" s="70" t="str">
        <f>IF('1. Live'!CU41='check-Jul''26'!CQ42,"",'1. Live'!CU41-'check-Jul''26'!CQ42)</f>
        <v/>
      </c>
      <c r="CR40" s="70" t="str">
        <f>IF('1. Live'!CV41='check-Jul''26'!CR42,"",'1. Live'!CV41-'check-Jul''26'!CR42)</f>
        <v/>
      </c>
      <c r="CS40" s="70" t="str">
        <f>IF('1. Live'!CW41='check-Jul''26'!CS42,"",'1. Live'!CW41-'check-Jul''26'!CS42)</f>
        <v/>
      </c>
      <c r="CT40" s="70" t="str">
        <f>IF('1. Live'!CX41='check-Jul''26'!CT42,"",'1. Live'!CX41-'check-Jul''26'!CT42)</f>
        <v/>
      </c>
      <c r="CU40" s="70" t="str">
        <f>IF('1. Live'!CY41='check-Jul''26'!CU42,"",'1. Live'!CY41-'check-Jul''26'!CU42)</f>
        <v/>
      </c>
      <c r="CV40" s="70" t="str">
        <f>IF('1. Live'!CZ41='check-Jul''26'!CV42,"",'1. Live'!CZ41-'check-Jul''26'!CV42)</f>
        <v/>
      </c>
    </row>
    <row r="41" spans="2:100" s="70" customFormat="1" x14ac:dyDescent="0.25">
      <c r="B41" s="68"/>
      <c r="C41" s="143"/>
      <c r="D41" s="143"/>
      <c r="E41" s="143"/>
      <c r="F41" s="143"/>
      <c r="G41" s="143"/>
      <c r="H41" s="143"/>
      <c r="I41" s="143"/>
      <c r="J41" s="143"/>
      <c r="K41" s="143"/>
      <c r="L41" s="143"/>
      <c r="M41" s="143"/>
      <c r="N41" s="92" t="str">
        <f>IF('1. Live'!N41='check-Jul''26'!N41,"",'1. Live'!N41-'check-Jul''26'!N41)</f>
        <v/>
      </c>
      <c r="O41" s="144" t="str">
        <f>IF('1. Live'!O41='check-Jul''26'!O41,"",'1. Live'!O41-'check-Jul''26'!O41)</f>
        <v/>
      </c>
      <c r="P41" s="144" t="str">
        <f>IF('1. Live'!P41='check-Jul''26'!P41,"",'1. Live'!P41-'check-Jul''26'!P41)</f>
        <v/>
      </c>
      <c r="Q41" s="144" t="str">
        <f>IF('1. Live'!Q41='check-Jul''26'!Q41,"",'1. Live'!Q41-'check-Jul''26'!Q41)</f>
        <v/>
      </c>
      <c r="R41" s="144" t="str">
        <f>IF('1. Live'!R41='check-Jul''26'!R41,"",'1. Live'!R41-'check-Jul''26'!R41)</f>
        <v/>
      </c>
      <c r="S41" s="144" t="str">
        <f>IF('1. Live'!S41='check-Jul''26'!S41,"",'1. Live'!S41-'check-Jul''26'!S41)</f>
        <v/>
      </c>
      <c r="T41" s="144" t="str">
        <f>IF('1. Live'!T41='check-Jul''26'!T41,"",'1. Live'!T41-'check-Jul''26'!T41)</f>
        <v/>
      </c>
      <c r="U41" s="145" t="str">
        <f>IF('1. Live'!U41='check-Jul''26'!U41,"",'1. Live'!U41-'check-Jul''26'!U41)</f>
        <v/>
      </c>
      <c r="V41" s="143" t="str">
        <f>IF('1. Live'!V41='check-Jul''26'!V41,"",'1. Live'!V41-'check-Jul''26'!V41)</f>
        <v/>
      </c>
      <c r="W41" s="69"/>
    </row>
    <row r="42" spans="2:100" s="70" customFormat="1" x14ac:dyDescent="0.25">
      <c r="B42" s="68"/>
      <c r="C42" s="394" t="s">
        <v>525</v>
      </c>
      <c r="D42" s="559"/>
      <c r="E42" s="559"/>
      <c r="F42" s="559"/>
      <c r="G42" s="559"/>
      <c r="H42" s="559"/>
      <c r="I42" s="316"/>
      <c r="J42" s="317"/>
      <c r="K42" s="317"/>
      <c r="L42" s="317"/>
      <c r="M42" s="318"/>
      <c r="N42" s="319" t="str">
        <f>IF('1. Live'!N42='check-Jul''26'!N42,"",'1. Live'!N42-'check-Jul''26'!N42)</f>
        <v/>
      </c>
      <c r="O42" s="320" t="str">
        <f>IF('1. Live'!O42='check-Jul''26'!O42,"",'1. Live'!O42-'check-Jul''26'!O42)</f>
        <v/>
      </c>
      <c r="P42" s="320" t="str">
        <f>IF('1. Live'!P42='check-Jul''26'!P42,"",'1. Live'!P42-'check-Jul''26'!P42)</f>
        <v/>
      </c>
      <c r="Q42" s="320" t="str">
        <f>IF('1. Live'!Q42='check-Jul''26'!Q42,"",'1. Live'!Q42-'check-Jul''26'!Q42)</f>
        <v/>
      </c>
      <c r="R42" s="320" t="str">
        <f>IF('1. Live'!R42='check-Jul''26'!R42,"",'1. Live'!R42-'check-Jul''26'!R42)</f>
        <v/>
      </c>
      <c r="S42" s="320" t="str">
        <f>IF('1. Live'!S42='check-Jul''26'!S42,"",'1. Live'!S42-'check-Jul''26'!S42)</f>
        <v/>
      </c>
      <c r="T42" s="320" t="str">
        <f>IF('1. Live'!T42='check-Jul''26'!T42,"",'1. Live'!T42-'check-Jul''26'!T42)</f>
        <v/>
      </c>
      <c r="U42" s="321" t="str">
        <f>IF('1. Live'!U42='check-Jul''26'!U42,"",'1. Live'!U42-'check-Jul''26'!U42)</f>
        <v/>
      </c>
      <c r="V42" s="317" t="str">
        <f>IF('1. Live'!V42='check-Jul''26'!V42,"",'1. Live'!V42-'check-Jul''26'!V42)</f>
        <v/>
      </c>
      <c r="W42" s="69"/>
      <c r="AA42" s="70" t="str">
        <f>IF('1. Live'!AA42='check-Jul''26'!W43,"",'1. Live'!AA42-'check-Jul''26'!W43)</f>
        <v/>
      </c>
      <c r="AB42" s="70" t="str">
        <f>IF('1. Live'!AF42='check-Jul''26'!AB43,"",'1. Live'!AF42-'check-Jul''26'!AB43)</f>
        <v/>
      </c>
      <c r="AC42" s="70" t="str">
        <f>IF('1. Live'!AG42='check-Jul''26'!AC43,"",'1. Live'!AG42-'check-Jul''26'!AC43)</f>
        <v/>
      </c>
      <c r="AD42" s="70" t="str">
        <f>IF('1. Live'!AH42='check-Jul''26'!AD43,"",'1. Live'!AH42-'check-Jul''26'!AD43)</f>
        <v/>
      </c>
      <c r="AE42" s="70" t="str">
        <f>IF('1. Live'!AI42='check-Jul''26'!AE43,"",'1. Live'!AI42-'check-Jul''26'!AE43)</f>
        <v/>
      </c>
      <c r="AF42" s="70" t="str">
        <f>IF('1. Live'!AJ42='check-Jul''26'!AF43,"",'1. Live'!AJ42-'check-Jul''26'!AF43)</f>
        <v/>
      </c>
      <c r="AG42" s="70" t="str">
        <f>IF('1. Live'!AK42='check-Jul''26'!AG43,"",'1. Live'!AK42-'check-Jul''26'!AG43)</f>
        <v/>
      </c>
      <c r="AH42" s="70" t="str">
        <f>IF('1. Live'!AL42='check-Jul''26'!AH43,"",'1. Live'!AL42-'check-Jul''26'!AH43)</f>
        <v/>
      </c>
      <c r="AI42" s="70" t="str">
        <f>IF('1. Live'!AM42='check-Jul''26'!AI43,"",'1. Live'!AM42-'check-Jul''26'!AI43)</f>
        <v/>
      </c>
      <c r="AJ42" s="70" t="str">
        <f>IF('1. Live'!AN42='check-Jul''26'!AJ43,"",'1. Live'!AN42-'check-Jul''26'!AJ43)</f>
        <v/>
      </c>
      <c r="AK42" s="70" t="str">
        <f>IF('1. Live'!AO42='check-Jul''26'!AK43,"",'1. Live'!AO42-'check-Jul''26'!AK43)</f>
        <v/>
      </c>
      <c r="AL42" s="70" t="str">
        <f>IF('1. Live'!AP42='check-Jul''26'!AL43,"",'1. Live'!AP42-'check-Jul''26'!AL43)</f>
        <v/>
      </c>
      <c r="AM42" s="70" t="str">
        <f>IF('1. Live'!AQ42='check-Jul''26'!AM43,"",'1. Live'!AQ42-'check-Jul''26'!AM43)</f>
        <v/>
      </c>
      <c r="AN42" s="70" t="str">
        <f>IF('1. Live'!AR42='check-Jul''26'!AN43,"",'1. Live'!AR42-'check-Jul''26'!AN43)</f>
        <v/>
      </c>
      <c r="AO42" s="70" t="str">
        <f>IF('1. Live'!AS42='check-Jul''26'!AO43,"",'1. Live'!AS42-'check-Jul''26'!AO43)</f>
        <v/>
      </c>
      <c r="AP42" s="70" t="str">
        <f>IF('1. Live'!AT42='check-Jul''26'!AP43,"",'1. Live'!AT42-'check-Jul''26'!AP43)</f>
        <v/>
      </c>
      <c r="AQ42" s="70" t="str">
        <f>IF('1. Live'!AU42='check-Jul''26'!AQ43,"",'1. Live'!AU42-'check-Jul''26'!AQ43)</f>
        <v/>
      </c>
      <c r="AR42" s="70" t="str">
        <f>IF('1. Live'!AV42='check-Jul''26'!AR43,"",'1. Live'!AV42-'check-Jul''26'!AR43)</f>
        <v/>
      </c>
      <c r="AS42" s="70" t="str">
        <f>IF('1. Live'!AW42='check-Jul''26'!AS43,"",'1. Live'!AW42-'check-Jul''26'!AS43)</f>
        <v/>
      </c>
      <c r="AT42" s="70" t="str">
        <f>IF('1. Live'!AX42='check-Jul''26'!AT43,"",'1. Live'!AX42-'check-Jul''26'!AT43)</f>
        <v/>
      </c>
      <c r="AU42" s="70" t="str">
        <f>IF('1. Live'!AY42='check-Jul''26'!AU43,"",'1. Live'!AY42-'check-Jul''26'!AU43)</f>
        <v/>
      </c>
      <c r="AV42" s="70" t="str">
        <f>IF('1. Live'!AZ42='check-Jul''26'!AV43,"",'1. Live'!AZ42-'check-Jul''26'!AV43)</f>
        <v/>
      </c>
      <c r="AW42" s="70" t="str">
        <f>IF('1. Live'!BA42='check-Jul''26'!AW43,"",'1. Live'!BA42-'check-Jul''26'!AW43)</f>
        <v/>
      </c>
      <c r="AX42" s="70" t="str">
        <f>IF('1. Live'!BB42='check-Jul''26'!AX43,"",'1. Live'!BB42-'check-Jul''26'!AX43)</f>
        <v/>
      </c>
      <c r="AY42" s="70" t="str">
        <f>IF('1. Live'!BC42='check-Jul''26'!AY43,"",'1. Live'!BC42-'check-Jul''26'!AY43)</f>
        <v/>
      </c>
      <c r="AZ42" s="70" t="str">
        <f>IF('1. Live'!BD42='check-Jul''26'!AZ43,"",'1. Live'!BD42-'check-Jul''26'!AZ43)</f>
        <v/>
      </c>
      <c r="BA42" s="70" t="str">
        <f>IF('1. Live'!BE42='check-Jul''26'!BA43,"",'1. Live'!BE42-'check-Jul''26'!BA43)</f>
        <v/>
      </c>
      <c r="BB42" s="70" t="str">
        <f>IF('1. Live'!BF42='check-Jul''26'!BB43,"",'1. Live'!BF42-'check-Jul''26'!BB43)</f>
        <v/>
      </c>
      <c r="BC42" s="70" t="str">
        <f>IF('1. Live'!BG42='check-Jul''26'!BC43,"",'1. Live'!BG42-'check-Jul''26'!BC43)</f>
        <v/>
      </c>
      <c r="BD42" s="70" t="str">
        <f>IF('1. Live'!BH42='check-Jul''26'!BD43,"",'1. Live'!BH42-'check-Jul''26'!BD43)</f>
        <v/>
      </c>
      <c r="BE42" s="70" t="str">
        <f>IF('1. Live'!BI42='check-Jul''26'!BE43,"",'1. Live'!BI42-'check-Jul''26'!BE43)</f>
        <v/>
      </c>
      <c r="BF42" s="70" t="str">
        <f>IF('1. Live'!BJ42='check-Jul''26'!BF43,"",'1. Live'!BJ42-'check-Jul''26'!BF43)</f>
        <v/>
      </c>
      <c r="BG42" s="70" t="str">
        <f>IF('1. Live'!BK42='check-Jul''26'!BG43,"",'1. Live'!BK42-'check-Jul''26'!BG43)</f>
        <v/>
      </c>
      <c r="BH42" s="70" t="str">
        <f>IF('1. Live'!BL42='check-Jul''26'!BH43,"",'1. Live'!BL42-'check-Jul''26'!BH43)</f>
        <v/>
      </c>
      <c r="BI42" s="70" t="str">
        <f>IF('1. Live'!BM42='check-Jul''26'!BI43,"",'1. Live'!BM42-'check-Jul''26'!BI43)</f>
        <v/>
      </c>
      <c r="BJ42" s="70" t="str">
        <f>IF('1. Live'!BN42='check-Jul''26'!BJ43,"",'1. Live'!BN42-'check-Jul''26'!BJ43)</f>
        <v/>
      </c>
      <c r="BK42" s="70" t="str">
        <f>IF('1. Live'!BO42='check-Jul''26'!BK43,"",'1. Live'!BO42-'check-Jul''26'!BK43)</f>
        <v/>
      </c>
      <c r="BL42" s="70" t="str">
        <f>IF('1. Live'!BP42='check-Jul''26'!BL43,"",'1. Live'!BP42-'check-Jul''26'!BL43)</f>
        <v/>
      </c>
      <c r="BM42" s="70" t="str">
        <f>IF('1. Live'!BQ42='check-Jul''26'!BM43,"",'1. Live'!BQ42-'check-Jul''26'!BM43)</f>
        <v/>
      </c>
      <c r="BN42" s="70" t="str">
        <f>IF('1. Live'!BR42='check-Jul''26'!BN43,"",'1. Live'!BR42-'check-Jul''26'!BN43)</f>
        <v/>
      </c>
      <c r="BO42" s="70" t="str">
        <f>IF('1. Live'!BS42='check-Jul''26'!BO43,"",'1. Live'!BS42-'check-Jul''26'!BO43)</f>
        <v/>
      </c>
      <c r="BP42" s="70" t="str">
        <f>IF('1. Live'!BT42='check-Jul''26'!BP43,"",'1. Live'!BT42-'check-Jul''26'!BP43)</f>
        <v/>
      </c>
      <c r="BQ42" s="70" t="str">
        <f>IF('1. Live'!BU42='check-Jul''26'!BQ43,"",'1. Live'!BU42-'check-Jul''26'!BQ43)</f>
        <v/>
      </c>
      <c r="BR42" s="70" t="str">
        <f>IF('1. Live'!BV42='check-Jul''26'!BR43,"",'1. Live'!BV42-'check-Jul''26'!BR43)</f>
        <v/>
      </c>
      <c r="BS42" s="70" t="str">
        <f>IF('1. Live'!BW42='check-Jul''26'!BS43,"",'1. Live'!BW42-'check-Jul''26'!BS43)</f>
        <v/>
      </c>
      <c r="BT42" s="70" t="str">
        <f>IF('1. Live'!BX42='check-Jul''26'!BT43,"",'1. Live'!BX42-'check-Jul''26'!BT43)</f>
        <v/>
      </c>
      <c r="BU42" s="70" t="str">
        <f>IF('1. Live'!BY42='check-Jul''26'!BU43,"",'1. Live'!BY42-'check-Jul''26'!BU43)</f>
        <v/>
      </c>
      <c r="BV42" s="70" t="str">
        <f>IF('1. Live'!BZ42='check-Jul''26'!BV43,"",'1. Live'!BZ42-'check-Jul''26'!BV43)</f>
        <v/>
      </c>
      <c r="BW42" s="70" t="str">
        <f>IF('1. Live'!CA42='check-Jul''26'!BW43,"",'1. Live'!CA42-'check-Jul''26'!BW43)</f>
        <v/>
      </c>
      <c r="BX42" s="70" t="str">
        <f>IF('1. Live'!CB42='check-Jul''26'!BX43,"",'1. Live'!CB42-'check-Jul''26'!BX43)</f>
        <v/>
      </c>
      <c r="BY42" s="70" t="str">
        <f>IF('1. Live'!CC42='check-Jul''26'!BY43,"",'1. Live'!CC42-'check-Jul''26'!BY43)</f>
        <v/>
      </c>
      <c r="BZ42" s="70" t="str">
        <f>IF('1. Live'!CD42='check-Jul''26'!BZ43,"",'1. Live'!CD42-'check-Jul''26'!BZ43)</f>
        <v/>
      </c>
      <c r="CA42" s="70" t="str">
        <f>IF('1. Live'!CE42='check-Jul''26'!CA43,"",'1. Live'!CE42-'check-Jul''26'!CA43)</f>
        <v/>
      </c>
      <c r="CB42" s="70" t="str">
        <f>IF('1. Live'!CF42='check-Jul''26'!CB43,"",'1. Live'!CF42-'check-Jul''26'!CB43)</f>
        <v/>
      </c>
      <c r="CC42" s="70" t="str">
        <f>IF('1. Live'!CG42='check-Jul''26'!CC43,"",'1. Live'!CG42-'check-Jul''26'!CC43)</f>
        <v/>
      </c>
      <c r="CD42" s="70" t="str">
        <f>IF('1. Live'!CH42='check-Jul''26'!CD43,"",'1. Live'!CH42-'check-Jul''26'!CD43)</f>
        <v/>
      </c>
      <c r="CE42" s="70" t="str">
        <f>IF('1. Live'!CI42='check-Jul''26'!CE43,"",'1. Live'!CI42-'check-Jul''26'!CE43)</f>
        <v/>
      </c>
      <c r="CF42" s="70" t="str">
        <f>IF('1. Live'!CJ42='check-Jul''26'!CF43,"",'1. Live'!CJ42-'check-Jul''26'!CF43)</f>
        <v/>
      </c>
      <c r="CG42" s="70" t="str">
        <f>IF('1. Live'!CK42='check-Jul''26'!CG43,"",'1. Live'!CK42-'check-Jul''26'!CG43)</f>
        <v/>
      </c>
      <c r="CH42" s="70" t="str">
        <f>IF('1. Live'!CL42='check-Jul''26'!CH43,"",'1. Live'!CL42-'check-Jul''26'!CH43)</f>
        <v/>
      </c>
      <c r="CI42" s="70" t="str">
        <f>IF('1. Live'!CM42='check-Jul''26'!CI43,"",'1. Live'!CM42-'check-Jul''26'!CI43)</f>
        <v/>
      </c>
      <c r="CJ42" s="70" t="str">
        <f>IF('1. Live'!CN42='check-Jul''26'!CJ43,"",'1. Live'!CN42-'check-Jul''26'!CJ43)</f>
        <v/>
      </c>
      <c r="CK42" s="70" t="str">
        <f>IF('1. Live'!CO42='check-Jul''26'!CK43,"",'1. Live'!CO42-'check-Jul''26'!CK43)</f>
        <v/>
      </c>
      <c r="CL42" s="70" t="str">
        <f>IF('1. Live'!CP42='check-Jul''26'!CL43,"",'1. Live'!CP42-'check-Jul''26'!CL43)</f>
        <v/>
      </c>
      <c r="CM42" s="70" t="str">
        <f>IF('1. Live'!CQ42='check-Jul''26'!CM43,"",'1. Live'!CQ42-'check-Jul''26'!CM43)</f>
        <v/>
      </c>
      <c r="CN42" s="70" t="str">
        <f>IF('1. Live'!CR42='check-Jul''26'!CN43,"",'1. Live'!CR42-'check-Jul''26'!CN43)</f>
        <v/>
      </c>
      <c r="CO42" s="70" t="str">
        <f>IF('1. Live'!CS42='check-Jul''26'!CO43,"",'1. Live'!CS42-'check-Jul''26'!CO43)</f>
        <v/>
      </c>
      <c r="CP42" s="70" t="str">
        <f>IF('1. Live'!CT42='check-Jul''26'!CP43,"",'1. Live'!CT42-'check-Jul''26'!CP43)</f>
        <v/>
      </c>
      <c r="CQ42" s="70" t="str">
        <f>IF('1. Live'!CU42='check-Jul''26'!CQ43,"",'1. Live'!CU42-'check-Jul''26'!CQ43)</f>
        <v/>
      </c>
      <c r="CR42" s="70" t="str">
        <f>IF('1. Live'!CV42='check-Jul''26'!CR43,"",'1. Live'!CV42-'check-Jul''26'!CR43)</f>
        <v/>
      </c>
      <c r="CS42" s="70" t="str">
        <f>IF('1. Live'!CW42='check-Jul''26'!CS43,"",'1. Live'!CW42-'check-Jul''26'!CS43)</f>
        <v/>
      </c>
      <c r="CT42" s="70" t="str">
        <f>IF('1. Live'!CX42='check-Jul''26'!CT43,"",'1. Live'!CX42-'check-Jul''26'!CT43)</f>
        <v/>
      </c>
      <c r="CU42" s="70" t="str">
        <f>IF('1. Live'!CY42='check-Jul''26'!CU43,"",'1. Live'!CY42-'check-Jul''26'!CU43)</f>
        <v/>
      </c>
      <c r="CV42" s="70" t="str">
        <f>IF('1. Live'!CZ42='check-Jul''26'!CV43,"",'1. Live'!CZ42-'check-Jul''26'!CV43)</f>
        <v/>
      </c>
    </row>
    <row r="43" spans="2:100" x14ac:dyDescent="0.25">
      <c r="B43" s="66"/>
      <c r="C43" s="4" t="s">
        <v>378</v>
      </c>
      <c r="D43" s="153" t="s">
        <v>62</v>
      </c>
      <c r="E43" s="2" t="s">
        <v>847</v>
      </c>
      <c r="F43" s="2" t="s">
        <v>383</v>
      </c>
      <c r="G43" s="2" t="s">
        <v>857</v>
      </c>
      <c r="H43" s="153"/>
      <c r="I43" s="32" t="s">
        <v>243</v>
      </c>
      <c r="J43" s="2" t="s">
        <v>76</v>
      </c>
      <c r="K43" s="2" t="s">
        <v>549</v>
      </c>
      <c r="L43" s="6">
        <v>2024</v>
      </c>
      <c r="M43" s="6" t="s">
        <v>381</v>
      </c>
      <c r="N43" s="90" t="str">
        <f>IF('1. Live'!N43='check-Jul''26'!N43,"",'1. Live'!N43-'check-Jul''26'!N43)</f>
        <v/>
      </c>
      <c r="O43" s="17" t="str">
        <f ca="1">IF('1. Live'!O43='check-Jul''26'!O43,"",'1. Live'!O43-'check-Jul''26'!O43)</f>
        <v/>
      </c>
      <c r="P43" s="17" t="str">
        <f ca="1">IF('1. Live'!P43='check-Jul''26'!P43,"",'1. Live'!P43-'check-Jul''26'!P43)</f>
        <v/>
      </c>
      <c r="Q43" s="17" t="str">
        <f ca="1">IF('1. Live'!Q43='check-Jul''26'!Q43,"",'1. Live'!Q43-'check-Jul''26'!Q43)</f>
        <v/>
      </c>
      <c r="R43" s="17" t="str">
        <f ca="1">IF('1. Live'!R43='check-Jul''26'!R43,"",'1. Live'!R43-'check-Jul''26'!R43)</f>
        <v/>
      </c>
      <c r="S43" s="17" t="str">
        <f ca="1">IF('1. Live'!S43='check-Jul''26'!S43,"",'1. Live'!S43-'check-Jul''26'!S43)</f>
        <v/>
      </c>
      <c r="T43" s="17" t="str">
        <f ca="1">IF('1. Live'!T43='check-Jul''26'!T43,"",'1. Live'!T43-'check-Jul''26'!T43)</f>
        <v/>
      </c>
      <c r="U43" s="10" t="str">
        <f ca="1">IF('1. Live'!U43='check-Jul''26'!U43,"",'1. Live'!U43-'check-Jul''26'!U43)</f>
        <v/>
      </c>
      <c r="V43" s="2" t="str">
        <f>IF('1. Live'!V43='check-Jul''26'!V43,"",'1. Live'!V43-'check-Jul''26'!V43)</f>
        <v/>
      </c>
      <c r="W43" s="67"/>
      <c r="AA43" s="25" t="str">
        <f>IF('1. Live'!AA43='check-Jul''26'!W44,"",'1. Live'!AA43-'check-Jul''26'!W44)</f>
        <v/>
      </c>
      <c r="AB43" s="25" t="str">
        <f>IF('1. Live'!AF43='check-Jul''26'!AB44,"",'1. Live'!AF43-'check-Jul''26'!AB44)</f>
        <v/>
      </c>
      <c r="AC43" s="25" t="str">
        <f>IF('1. Live'!AG43='check-Jul''26'!AC44,"",'1. Live'!AG43-'check-Jul''26'!AC44)</f>
        <v/>
      </c>
      <c r="AD43" s="25" t="str">
        <f>IF('1. Live'!AH43='check-Jul''26'!AD44,"",'1. Live'!AH43-'check-Jul''26'!AD44)</f>
        <v/>
      </c>
      <c r="AE43" s="25" t="str">
        <f>IF('1. Live'!AI43='check-Jul''26'!AE44,"",'1. Live'!AI43-'check-Jul''26'!AE44)</f>
        <v/>
      </c>
      <c r="AF43" s="25" t="str">
        <f>IF('1. Live'!AJ43='check-Jul''26'!AF44,"",'1. Live'!AJ43-'check-Jul''26'!AF44)</f>
        <v/>
      </c>
      <c r="AG43" s="25" t="str">
        <f>IF('1. Live'!AK43='check-Jul''26'!AG44,"",'1. Live'!AK43-'check-Jul''26'!AG44)</f>
        <v/>
      </c>
      <c r="AH43" s="25" t="str">
        <f>IF('1. Live'!AL43='check-Jul''26'!AH44,"",'1. Live'!AL43-'check-Jul''26'!AH44)</f>
        <v/>
      </c>
      <c r="AI43" s="25" t="str">
        <f>IF('1. Live'!AM43='check-Jul''26'!AI44,"",'1. Live'!AM43-'check-Jul''26'!AI44)</f>
        <v/>
      </c>
      <c r="AJ43" s="25" t="str">
        <f>IF('1. Live'!AN43='check-Jul''26'!AJ44,"",'1. Live'!AN43-'check-Jul''26'!AJ44)</f>
        <v/>
      </c>
      <c r="AK43" s="25" t="str">
        <f>IF('1. Live'!AO43='check-Jul''26'!AK44,"",'1. Live'!AO43-'check-Jul''26'!AK44)</f>
        <v/>
      </c>
      <c r="AL43" s="25" t="str">
        <f>IF('1. Live'!AP43='check-Jul''26'!AL44,"",'1. Live'!AP43-'check-Jul''26'!AL44)</f>
        <v/>
      </c>
      <c r="AM43" s="25" t="str">
        <f>IF('1. Live'!AQ43='check-Jul''26'!AM44,"",'1. Live'!AQ43-'check-Jul''26'!AM44)</f>
        <v/>
      </c>
      <c r="AN43" s="25" t="str">
        <f>IF('1. Live'!AR43='check-Jul''26'!AN44,"",'1. Live'!AR43-'check-Jul''26'!AN44)</f>
        <v/>
      </c>
      <c r="AO43" s="25" t="str">
        <f>IF('1. Live'!AS43='check-Jul''26'!AO44,"",'1. Live'!AS43-'check-Jul''26'!AO44)</f>
        <v/>
      </c>
      <c r="AP43" s="25" t="str">
        <f>IF('1. Live'!AT43='check-Jul''26'!AP44,"",'1. Live'!AT43-'check-Jul''26'!AP44)</f>
        <v/>
      </c>
      <c r="AQ43" s="25" t="str">
        <f>IF('1. Live'!AU43='check-Jul''26'!AQ44,"",'1. Live'!AU43-'check-Jul''26'!AQ44)</f>
        <v/>
      </c>
      <c r="AR43" s="25" t="str">
        <f>IF('1. Live'!AV43='check-Jul''26'!AR44,"",'1. Live'!AV43-'check-Jul''26'!AR44)</f>
        <v/>
      </c>
      <c r="AS43" s="25" t="str">
        <f>IF('1. Live'!AW43='check-Jul''26'!AS44,"",'1. Live'!AW43-'check-Jul''26'!AS44)</f>
        <v/>
      </c>
      <c r="AT43" s="25" t="str">
        <f>IF('1. Live'!AX43='check-Jul''26'!AT44,"",'1. Live'!AX43-'check-Jul''26'!AT44)</f>
        <v/>
      </c>
      <c r="AU43" s="25" t="str">
        <f>IF('1. Live'!AY43='check-Jul''26'!AU44,"",'1. Live'!AY43-'check-Jul''26'!AU44)</f>
        <v/>
      </c>
      <c r="AV43" s="25" t="str">
        <f>IF('1. Live'!AZ43='check-Jul''26'!AV44,"",'1. Live'!AZ43-'check-Jul''26'!AV44)</f>
        <v/>
      </c>
      <c r="AW43" s="25" t="str">
        <f>IF('1. Live'!BA43='check-Jul''26'!AW44,"",'1. Live'!BA43-'check-Jul''26'!AW44)</f>
        <v/>
      </c>
      <c r="AX43" s="25" t="str">
        <f>IF('1. Live'!BB43='check-Jul''26'!AX44,"",'1. Live'!BB43-'check-Jul''26'!AX44)</f>
        <v/>
      </c>
      <c r="AY43" s="25" t="str">
        <f>IF('1. Live'!BC43='check-Jul''26'!AY44,"",'1. Live'!BC43-'check-Jul''26'!AY44)</f>
        <v/>
      </c>
      <c r="AZ43" s="25" t="str">
        <f>IF('1. Live'!BD43='check-Jul''26'!AZ44,"",'1. Live'!BD43-'check-Jul''26'!AZ44)</f>
        <v/>
      </c>
      <c r="BA43" s="25" t="str">
        <f>IF('1. Live'!BE43='check-Jul''26'!BA44,"",'1. Live'!BE43-'check-Jul''26'!BA44)</f>
        <v/>
      </c>
      <c r="BB43" s="25" t="str">
        <f>IF('1. Live'!BF43='check-Jul''26'!BB44,"",'1. Live'!BF43-'check-Jul''26'!BB44)</f>
        <v/>
      </c>
      <c r="BC43" s="25" t="str">
        <f>IF('1. Live'!BG43='check-Jul''26'!BC44,"",'1. Live'!BG43-'check-Jul''26'!BC44)</f>
        <v/>
      </c>
      <c r="BD43" s="25" t="str">
        <f>IF('1. Live'!BH43='check-Jul''26'!BD44,"",'1. Live'!BH43-'check-Jul''26'!BD44)</f>
        <v/>
      </c>
      <c r="BE43" s="25" t="str">
        <f>IF('1. Live'!BI43='check-Jul''26'!BE44,"",'1. Live'!BI43-'check-Jul''26'!BE44)</f>
        <v/>
      </c>
      <c r="BF43" s="25" t="str">
        <f>IF('1. Live'!BJ43='check-Jul''26'!BF44,"",'1. Live'!BJ43-'check-Jul''26'!BF44)</f>
        <v/>
      </c>
      <c r="BG43" s="25" t="str">
        <f>IF('1. Live'!BK43='check-Jul''26'!BG44,"",'1. Live'!BK43-'check-Jul''26'!BG44)</f>
        <v/>
      </c>
      <c r="BH43" s="25" t="str">
        <f>IF('1. Live'!BL43='check-Jul''26'!BH44,"",'1. Live'!BL43-'check-Jul''26'!BH44)</f>
        <v/>
      </c>
      <c r="BI43" s="25" t="str">
        <f>IF('1. Live'!BM43='check-Jul''26'!BI44,"",'1. Live'!BM43-'check-Jul''26'!BI44)</f>
        <v/>
      </c>
      <c r="BJ43" s="25" t="str">
        <f>IF('1. Live'!BN43='check-Jul''26'!BJ44,"",'1. Live'!BN43-'check-Jul''26'!BJ44)</f>
        <v/>
      </c>
      <c r="BK43" s="25" t="str">
        <f>IF('1. Live'!BO43='check-Jul''26'!BK44,"",'1. Live'!BO43-'check-Jul''26'!BK44)</f>
        <v/>
      </c>
      <c r="BL43" s="25" t="str">
        <f>IF('1. Live'!BP43='check-Jul''26'!BL44,"",'1. Live'!BP43-'check-Jul''26'!BL44)</f>
        <v/>
      </c>
      <c r="BM43" s="25" t="str">
        <f>IF('1. Live'!BQ43='check-Jul''26'!BM44,"",'1. Live'!BQ43-'check-Jul''26'!BM44)</f>
        <v/>
      </c>
      <c r="BN43" s="25" t="str">
        <f>IF('1. Live'!BR43='check-Jul''26'!BN44,"",'1. Live'!BR43-'check-Jul''26'!BN44)</f>
        <v/>
      </c>
      <c r="BO43" s="25" t="str">
        <f>IF('1. Live'!BS43='check-Jul''26'!BO44,"",'1. Live'!BS43-'check-Jul''26'!BO44)</f>
        <v/>
      </c>
      <c r="BP43" s="25" t="str">
        <f>IF('1. Live'!BT43='check-Jul''26'!BP44,"",'1. Live'!BT43-'check-Jul''26'!BP44)</f>
        <v/>
      </c>
      <c r="BQ43" s="25" t="str">
        <f>IF('1. Live'!BU43='check-Jul''26'!BQ44,"",'1. Live'!BU43-'check-Jul''26'!BQ44)</f>
        <v/>
      </c>
      <c r="BR43" s="25" t="str">
        <f>IF('1. Live'!BV43='check-Jul''26'!BR44,"",'1. Live'!BV43-'check-Jul''26'!BR44)</f>
        <v/>
      </c>
      <c r="BS43" s="25" t="str">
        <f>IF('1. Live'!BW43='check-Jul''26'!BS44,"",'1. Live'!BW43-'check-Jul''26'!BS44)</f>
        <v/>
      </c>
      <c r="BT43" s="25" t="str">
        <f>IF('1. Live'!BX43='check-Jul''26'!BT44,"",'1. Live'!BX43-'check-Jul''26'!BT44)</f>
        <v/>
      </c>
      <c r="BU43" s="25" t="str">
        <f>IF('1. Live'!BY43='check-Jul''26'!BU44,"",'1. Live'!BY43-'check-Jul''26'!BU44)</f>
        <v/>
      </c>
      <c r="BV43" s="25" t="str">
        <f>IF('1. Live'!BZ43='check-Jul''26'!BV44,"",'1. Live'!BZ43-'check-Jul''26'!BV44)</f>
        <v/>
      </c>
      <c r="BW43" s="25" t="str">
        <f>IF('1. Live'!CA43='check-Jul''26'!BW44,"",'1. Live'!CA43-'check-Jul''26'!BW44)</f>
        <v/>
      </c>
      <c r="BX43" s="25" t="str">
        <f>IF('1. Live'!CB43='check-Jul''26'!BX44,"",'1. Live'!CB43-'check-Jul''26'!BX44)</f>
        <v/>
      </c>
      <c r="BY43" s="25" t="str">
        <f>IF('1. Live'!CC43='check-Jul''26'!BY44,"",'1. Live'!CC43-'check-Jul''26'!BY44)</f>
        <v/>
      </c>
      <c r="BZ43" s="25" t="str">
        <f>IF('1. Live'!CD43='check-Jul''26'!BZ44,"",'1. Live'!CD43-'check-Jul''26'!BZ44)</f>
        <v/>
      </c>
      <c r="CA43" s="25" t="str">
        <f>IF('1. Live'!CE43='check-Jul''26'!CA44,"",'1. Live'!CE43-'check-Jul''26'!CA44)</f>
        <v/>
      </c>
      <c r="CB43" s="25" t="str">
        <f>IF('1. Live'!CF43='check-Jul''26'!CB44,"",'1. Live'!CF43-'check-Jul''26'!CB44)</f>
        <v/>
      </c>
      <c r="CC43" s="25" t="str">
        <f>IF('1. Live'!CG43='check-Jul''26'!CC44,"",'1. Live'!CG43-'check-Jul''26'!CC44)</f>
        <v/>
      </c>
      <c r="CD43" s="25" t="str">
        <f>IF('1. Live'!CH43='check-Jul''26'!CD44,"",'1. Live'!CH43-'check-Jul''26'!CD44)</f>
        <v/>
      </c>
      <c r="CE43" s="25" t="str">
        <f>IF('1. Live'!CI43='check-Jul''26'!CE44,"",'1. Live'!CI43-'check-Jul''26'!CE44)</f>
        <v/>
      </c>
      <c r="CF43" s="25" t="str">
        <f>IF('1. Live'!CJ43='check-Jul''26'!CF44,"",'1. Live'!CJ43-'check-Jul''26'!CF44)</f>
        <v/>
      </c>
      <c r="CG43" s="25" t="str">
        <f>IF('1. Live'!CK43='check-Jul''26'!CG44,"",'1. Live'!CK43-'check-Jul''26'!CG44)</f>
        <v/>
      </c>
      <c r="CH43" s="25" t="str">
        <f>IF('1. Live'!CL43='check-Jul''26'!CH44,"",'1. Live'!CL43-'check-Jul''26'!CH44)</f>
        <v/>
      </c>
      <c r="CI43" s="25" t="str">
        <f>IF('1. Live'!CM43='check-Jul''26'!CI44,"",'1. Live'!CM43-'check-Jul''26'!CI44)</f>
        <v/>
      </c>
      <c r="CJ43" s="25" t="str">
        <f>IF('1. Live'!CN43='check-Jul''26'!CJ44,"",'1. Live'!CN43-'check-Jul''26'!CJ44)</f>
        <v/>
      </c>
      <c r="CK43" s="25" t="str">
        <f>IF('1. Live'!CO43='check-Jul''26'!CK44,"",'1. Live'!CO43-'check-Jul''26'!CK44)</f>
        <v/>
      </c>
      <c r="CL43" s="25" t="str">
        <f>IF('1. Live'!CP43='check-Jul''26'!CL44,"",'1. Live'!CP43-'check-Jul''26'!CL44)</f>
        <v/>
      </c>
      <c r="CM43" s="25" t="str">
        <f>IF('1. Live'!CQ43='check-Jul''26'!CM44,"",'1. Live'!CQ43-'check-Jul''26'!CM44)</f>
        <v/>
      </c>
      <c r="CN43" s="25" t="str">
        <f>IF('1. Live'!CR43='check-Jul''26'!CN44,"",'1. Live'!CR43-'check-Jul''26'!CN44)</f>
        <v/>
      </c>
      <c r="CO43" s="25" t="str">
        <f>IF('1. Live'!CS43='check-Jul''26'!CO44,"",'1. Live'!CS43-'check-Jul''26'!CO44)</f>
        <v/>
      </c>
      <c r="CP43" s="25" t="str">
        <f>IF('1. Live'!CT43='check-Jul''26'!CP44,"",'1. Live'!CT43-'check-Jul''26'!CP44)</f>
        <v/>
      </c>
      <c r="CQ43" s="25" t="str">
        <f>IF('1. Live'!CU43='check-Jul''26'!CQ44,"",'1. Live'!CU43-'check-Jul''26'!CQ44)</f>
        <v/>
      </c>
      <c r="CR43" s="25" t="str">
        <f>IF('1. Live'!CV43='check-Jul''26'!CR44,"",'1. Live'!CV43-'check-Jul''26'!CR44)</f>
        <v/>
      </c>
      <c r="CS43" s="25" t="str">
        <f>IF('1. Live'!CW43='check-Jul''26'!CS44,"",'1. Live'!CW43-'check-Jul''26'!CS44)</f>
        <v/>
      </c>
      <c r="CT43" s="25" t="str">
        <f>IF('1. Live'!CX43='check-Jul''26'!CT44,"",'1. Live'!CX43-'check-Jul''26'!CT44)</f>
        <v/>
      </c>
      <c r="CU43" s="25" t="str">
        <f>IF('1. Live'!CY43='check-Jul''26'!CU44,"",'1. Live'!CY43-'check-Jul''26'!CU44)</f>
        <v/>
      </c>
      <c r="CV43" s="25" t="str">
        <f>IF('1. Live'!CZ43='check-Jul''26'!CV44,"",'1. Live'!CZ43-'check-Jul''26'!CV44)</f>
        <v/>
      </c>
    </row>
    <row r="44" spans="2:100" x14ac:dyDescent="0.25">
      <c r="B44" s="66"/>
      <c r="C44" s="5"/>
      <c r="D44" s="143"/>
      <c r="E44" s="143"/>
      <c r="F44" s="143"/>
      <c r="G44" s="143"/>
      <c r="H44" s="143"/>
      <c r="I44" s="13"/>
      <c r="J44" s="7"/>
      <c r="K44" s="7"/>
      <c r="L44" s="14"/>
      <c r="M44" s="14"/>
      <c r="N44" s="168" t="str">
        <f>IF('1. Live'!N44='check-Jul''26'!N44,"",'1. Live'!N44-'check-Jul''26'!N44)</f>
        <v/>
      </c>
      <c r="O44" s="24" t="str">
        <f>IF('1. Live'!O44='check-Jul''26'!O44,"",'1. Live'!O44-'check-Jul''26'!O44)</f>
        <v/>
      </c>
      <c r="P44" s="24" t="str">
        <f>IF('1. Live'!P44='check-Jul''26'!P44,"",'1. Live'!P44-'check-Jul''26'!P44)</f>
        <v/>
      </c>
      <c r="Q44" s="24" t="str">
        <f>IF('1. Live'!Q44='check-Jul''26'!Q44,"",'1. Live'!Q44-'check-Jul''26'!Q44)</f>
        <v/>
      </c>
      <c r="R44" s="24" t="str">
        <f>IF('1. Live'!R44='check-Jul''26'!R44,"",'1. Live'!R44-'check-Jul''26'!R44)</f>
        <v/>
      </c>
      <c r="S44" s="24" t="str">
        <f>IF('1. Live'!S44='check-Jul''26'!S44,"",'1. Live'!S44-'check-Jul''26'!S44)</f>
        <v/>
      </c>
      <c r="T44" s="24" t="str">
        <f>IF('1. Live'!T44='check-Jul''26'!T44,"",'1. Live'!T44-'check-Jul''26'!T44)</f>
        <v/>
      </c>
      <c r="U44" s="15" t="str">
        <f>IF('1. Live'!U44='check-Jul''26'!U44,"",'1. Live'!U44-'check-Jul''26'!U44)</f>
        <v/>
      </c>
      <c r="V44" s="7" t="str">
        <f>IF('1. Live'!V44='check-Jul''26'!V44,"",'1. Live'!V44-'check-Jul''26'!V44)</f>
        <v/>
      </c>
      <c r="W44" s="67"/>
      <c r="AA44" s="25" t="str">
        <f>IF('1. Live'!AA44='check-Jul''26'!W45,"",'1. Live'!AA44-'check-Jul''26'!W45)</f>
        <v/>
      </c>
      <c r="AB44" s="25" t="str">
        <f>IF('1. Live'!AF44='check-Jul''26'!AB45,"",'1. Live'!AF44-'check-Jul''26'!AB45)</f>
        <v/>
      </c>
      <c r="AC44" s="25" t="str">
        <f>IF('1. Live'!AG44='check-Jul''26'!AC45,"",'1. Live'!AG44-'check-Jul''26'!AC45)</f>
        <v/>
      </c>
      <c r="AD44" s="25" t="str">
        <f>IF('1. Live'!AH44='check-Jul''26'!AD45,"",'1. Live'!AH44-'check-Jul''26'!AD45)</f>
        <v/>
      </c>
      <c r="AE44" s="25" t="str">
        <f>IF('1. Live'!AI44='check-Jul''26'!AE45,"",'1. Live'!AI44-'check-Jul''26'!AE45)</f>
        <v/>
      </c>
      <c r="AF44" s="25" t="str">
        <f>IF('1. Live'!AJ44='check-Jul''26'!AF45,"",'1. Live'!AJ44-'check-Jul''26'!AF45)</f>
        <v/>
      </c>
      <c r="AG44" s="25" t="str">
        <f>IF('1. Live'!AK44='check-Jul''26'!AG45,"",'1. Live'!AK44-'check-Jul''26'!AG45)</f>
        <v/>
      </c>
      <c r="AH44" s="25" t="str">
        <f>IF('1. Live'!AL44='check-Jul''26'!AH45,"",'1. Live'!AL44-'check-Jul''26'!AH45)</f>
        <v/>
      </c>
      <c r="AI44" s="25" t="str">
        <f>IF('1. Live'!AM44='check-Jul''26'!AI45,"",'1. Live'!AM44-'check-Jul''26'!AI45)</f>
        <v/>
      </c>
      <c r="AJ44" s="25" t="str">
        <f>IF('1. Live'!AN44='check-Jul''26'!AJ45,"",'1. Live'!AN44-'check-Jul''26'!AJ45)</f>
        <v/>
      </c>
      <c r="AK44" s="25" t="str">
        <f>IF('1. Live'!AO44='check-Jul''26'!AK45,"",'1. Live'!AO44-'check-Jul''26'!AK45)</f>
        <v/>
      </c>
      <c r="AL44" s="25" t="str">
        <f>IF('1. Live'!AP44='check-Jul''26'!AL45,"",'1. Live'!AP44-'check-Jul''26'!AL45)</f>
        <v/>
      </c>
      <c r="AM44" s="25" t="str">
        <f>IF('1. Live'!AQ44='check-Jul''26'!AM45,"",'1. Live'!AQ44-'check-Jul''26'!AM45)</f>
        <v/>
      </c>
      <c r="AN44" s="25" t="str">
        <f>IF('1. Live'!AR44='check-Jul''26'!AN45,"",'1. Live'!AR44-'check-Jul''26'!AN45)</f>
        <v/>
      </c>
      <c r="AO44" s="25" t="str">
        <f>IF('1. Live'!AS44='check-Jul''26'!AO45,"",'1. Live'!AS44-'check-Jul''26'!AO45)</f>
        <v/>
      </c>
      <c r="AP44" s="25" t="str">
        <f>IF('1. Live'!AT44='check-Jul''26'!AP45,"",'1. Live'!AT44-'check-Jul''26'!AP45)</f>
        <v/>
      </c>
      <c r="AQ44" s="25" t="str">
        <f>IF('1. Live'!AU44='check-Jul''26'!AQ45,"",'1. Live'!AU44-'check-Jul''26'!AQ45)</f>
        <v/>
      </c>
      <c r="AR44" s="25" t="str">
        <f>IF('1. Live'!AV44='check-Jul''26'!AR45,"",'1. Live'!AV44-'check-Jul''26'!AR45)</f>
        <v/>
      </c>
      <c r="AS44" s="25" t="str">
        <f>IF('1. Live'!AW44='check-Jul''26'!AS45,"",'1. Live'!AW44-'check-Jul''26'!AS45)</f>
        <v/>
      </c>
      <c r="AT44" s="25" t="str">
        <f>IF('1. Live'!AX44='check-Jul''26'!AT45,"",'1. Live'!AX44-'check-Jul''26'!AT45)</f>
        <v/>
      </c>
      <c r="AU44" s="25" t="str">
        <f>IF('1. Live'!AY44='check-Jul''26'!AU45,"",'1. Live'!AY44-'check-Jul''26'!AU45)</f>
        <v/>
      </c>
      <c r="AV44" s="25" t="str">
        <f>IF('1. Live'!AZ44='check-Jul''26'!AV45,"",'1. Live'!AZ44-'check-Jul''26'!AV45)</f>
        <v/>
      </c>
      <c r="AW44" s="25" t="str">
        <f>IF('1. Live'!BA44='check-Jul''26'!AW45,"",'1. Live'!BA44-'check-Jul''26'!AW45)</f>
        <v/>
      </c>
      <c r="AX44" s="25" t="str">
        <f>IF('1. Live'!BB44='check-Jul''26'!AX45,"",'1. Live'!BB44-'check-Jul''26'!AX45)</f>
        <v/>
      </c>
      <c r="AY44" s="25" t="str">
        <f>IF('1. Live'!BC44='check-Jul''26'!AY45,"",'1. Live'!BC44-'check-Jul''26'!AY45)</f>
        <v/>
      </c>
      <c r="AZ44" s="25" t="str">
        <f>IF('1. Live'!BD44='check-Jul''26'!AZ45,"",'1. Live'!BD44-'check-Jul''26'!AZ45)</f>
        <v/>
      </c>
      <c r="BA44" s="25" t="str">
        <f>IF('1. Live'!BE44='check-Jul''26'!BA45,"",'1. Live'!BE44-'check-Jul''26'!BA45)</f>
        <v/>
      </c>
      <c r="BB44" s="25" t="str">
        <f>IF('1. Live'!BF44='check-Jul''26'!BB45,"",'1. Live'!BF44-'check-Jul''26'!BB45)</f>
        <v/>
      </c>
      <c r="BC44" s="25" t="str">
        <f>IF('1. Live'!BG44='check-Jul''26'!BC45,"",'1. Live'!BG44-'check-Jul''26'!BC45)</f>
        <v/>
      </c>
      <c r="BD44" s="25" t="str">
        <f>IF('1. Live'!BH44='check-Jul''26'!BD45,"",'1. Live'!BH44-'check-Jul''26'!BD45)</f>
        <v/>
      </c>
      <c r="BE44" s="25" t="str">
        <f>IF('1. Live'!BI44='check-Jul''26'!BE45,"",'1. Live'!BI44-'check-Jul''26'!BE45)</f>
        <v/>
      </c>
      <c r="BF44" s="25" t="str">
        <f>IF('1. Live'!BJ44='check-Jul''26'!BF45,"",'1. Live'!BJ44-'check-Jul''26'!BF45)</f>
        <v/>
      </c>
      <c r="BG44" s="25" t="str">
        <f>IF('1. Live'!BK44='check-Jul''26'!BG45,"",'1. Live'!BK44-'check-Jul''26'!BG45)</f>
        <v/>
      </c>
      <c r="BH44" s="25" t="str">
        <f>IF('1. Live'!BL44='check-Jul''26'!BH45,"",'1. Live'!BL44-'check-Jul''26'!BH45)</f>
        <v/>
      </c>
      <c r="BI44" s="25" t="str">
        <f>IF('1. Live'!BM44='check-Jul''26'!BI45,"",'1. Live'!BM44-'check-Jul''26'!BI45)</f>
        <v/>
      </c>
      <c r="BJ44" s="25" t="str">
        <f>IF('1. Live'!BN44='check-Jul''26'!BJ45,"",'1. Live'!BN44-'check-Jul''26'!BJ45)</f>
        <v/>
      </c>
      <c r="BK44" s="25" t="str">
        <f>IF('1. Live'!BO44='check-Jul''26'!BK45,"",'1. Live'!BO44-'check-Jul''26'!BK45)</f>
        <v/>
      </c>
      <c r="BL44" s="25" t="str">
        <f>IF('1. Live'!BP44='check-Jul''26'!BL45,"",'1. Live'!BP44-'check-Jul''26'!BL45)</f>
        <v/>
      </c>
      <c r="BM44" s="25" t="str">
        <f>IF('1. Live'!BQ44='check-Jul''26'!BM45,"",'1. Live'!BQ44-'check-Jul''26'!BM45)</f>
        <v/>
      </c>
      <c r="BN44" s="25" t="str">
        <f>IF('1. Live'!BR44='check-Jul''26'!BN45,"",'1. Live'!BR44-'check-Jul''26'!BN45)</f>
        <v/>
      </c>
      <c r="BO44" s="25" t="str">
        <f>IF('1. Live'!BS44='check-Jul''26'!BO45,"",'1. Live'!BS44-'check-Jul''26'!BO45)</f>
        <v/>
      </c>
      <c r="BP44" s="25" t="str">
        <f>IF('1. Live'!BT44='check-Jul''26'!BP45,"",'1. Live'!BT44-'check-Jul''26'!BP45)</f>
        <v/>
      </c>
      <c r="BQ44" s="25" t="str">
        <f>IF('1. Live'!BU44='check-Jul''26'!BQ45,"",'1. Live'!BU44-'check-Jul''26'!BQ45)</f>
        <v/>
      </c>
      <c r="BR44" s="25" t="str">
        <f>IF('1. Live'!BV44='check-Jul''26'!BR45,"",'1. Live'!BV44-'check-Jul''26'!BR45)</f>
        <v/>
      </c>
      <c r="BS44" s="25" t="str">
        <f>IF('1. Live'!BW44='check-Jul''26'!BS45,"",'1. Live'!BW44-'check-Jul''26'!BS45)</f>
        <v/>
      </c>
      <c r="BT44" s="25" t="str">
        <f>IF('1. Live'!BX44='check-Jul''26'!BT45,"",'1. Live'!BX44-'check-Jul''26'!BT45)</f>
        <v/>
      </c>
      <c r="BU44" s="25" t="str">
        <f>IF('1. Live'!BY44='check-Jul''26'!BU45,"",'1. Live'!BY44-'check-Jul''26'!BU45)</f>
        <v/>
      </c>
      <c r="BV44" s="25" t="str">
        <f>IF('1. Live'!BZ44='check-Jul''26'!BV45,"",'1. Live'!BZ44-'check-Jul''26'!BV45)</f>
        <v/>
      </c>
      <c r="BW44" s="25" t="str">
        <f>IF('1. Live'!CA44='check-Jul''26'!BW45,"",'1. Live'!CA44-'check-Jul''26'!BW45)</f>
        <v/>
      </c>
      <c r="BX44" s="25" t="str">
        <f>IF('1. Live'!CB44='check-Jul''26'!BX45,"",'1. Live'!CB44-'check-Jul''26'!BX45)</f>
        <v/>
      </c>
      <c r="BY44" s="25" t="str">
        <f>IF('1. Live'!CC44='check-Jul''26'!BY45,"",'1. Live'!CC44-'check-Jul''26'!BY45)</f>
        <v/>
      </c>
      <c r="BZ44" s="25" t="str">
        <f>IF('1. Live'!CD44='check-Jul''26'!BZ45,"",'1. Live'!CD44-'check-Jul''26'!BZ45)</f>
        <v/>
      </c>
      <c r="CA44" s="25" t="str">
        <f>IF('1. Live'!CE44='check-Jul''26'!CA45,"",'1. Live'!CE44-'check-Jul''26'!CA45)</f>
        <v/>
      </c>
      <c r="CB44" s="25" t="str">
        <f>IF('1. Live'!CF44='check-Jul''26'!CB45,"",'1. Live'!CF44-'check-Jul''26'!CB45)</f>
        <v/>
      </c>
      <c r="CC44" s="25" t="str">
        <f>IF('1. Live'!CG44='check-Jul''26'!CC45,"",'1. Live'!CG44-'check-Jul''26'!CC45)</f>
        <v/>
      </c>
      <c r="CD44" s="25" t="str">
        <f>IF('1. Live'!CH44='check-Jul''26'!CD45,"",'1. Live'!CH44-'check-Jul''26'!CD45)</f>
        <v/>
      </c>
      <c r="CE44" s="25" t="str">
        <f>IF('1. Live'!CI44='check-Jul''26'!CE45,"",'1. Live'!CI44-'check-Jul''26'!CE45)</f>
        <v/>
      </c>
      <c r="CF44" s="25" t="str">
        <f>IF('1. Live'!CJ44='check-Jul''26'!CF45,"",'1. Live'!CJ44-'check-Jul''26'!CF45)</f>
        <v/>
      </c>
      <c r="CG44" s="25" t="str">
        <f>IF('1. Live'!CK44='check-Jul''26'!CG45,"",'1. Live'!CK44-'check-Jul''26'!CG45)</f>
        <v/>
      </c>
      <c r="CH44" s="25" t="str">
        <f>IF('1. Live'!CL44='check-Jul''26'!CH45,"",'1. Live'!CL44-'check-Jul''26'!CH45)</f>
        <v/>
      </c>
      <c r="CI44" s="25" t="str">
        <f>IF('1. Live'!CM44='check-Jul''26'!CI45,"",'1. Live'!CM44-'check-Jul''26'!CI45)</f>
        <v/>
      </c>
      <c r="CJ44" s="25" t="str">
        <f>IF('1. Live'!CN44='check-Jul''26'!CJ45,"",'1. Live'!CN44-'check-Jul''26'!CJ45)</f>
        <v/>
      </c>
      <c r="CK44" s="25" t="str">
        <f>IF('1. Live'!CO44='check-Jul''26'!CK45,"",'1. Live'!CO44-'check-Jul''26'!CK45)</f>
        <v/>
      </c>
      <c r="CL44" s="25" t="str">
        <f>IF('1. Live'!CP44='check-Jul''26'!CL45,"",'1. Live'!CP44-'check-Jul''26'!CL45)</f>
        <v/>
      </c>
      <c r="CM44" s="25" t="str">
        <f>IF('1. Live'!CQ44='check-Jul''26'!CM45,"",'1. Live'!CQ44-'check-Jul''26'!CM45)</f>
        <v/>
      </c>
      <c r="CN44" s="25" t="str">
        <f>IF('1. Live'!CR44='check-Jul''26'!CN45,"",'1. Live'!CR44-'check-Jul''26'!CN45)</f>
        <v/>
      </c>
      <c r="CO44" s="25" t="str">
        <f>IF('1. Live'!CS44='check-Jul''26'!CO45,"",'1. Live'!CS44-'check-Jul''26'!CO45)</f>
        <v/>
      </c>
      <c r="CP44" s="25" t="str">
        <f>IF('1. Live'!CT44='check-Jul''26'!CP45,"",'1. Live'!CT44-'check-Jul''26'!CP45)</f>
        <v/>
      </c>
      <c r="CQ44" s="25" t="str">
        <f>IF('1. Live'!CU44='check-Jul''26'!CQ45,"",'1. Live'!CU44-'check-Jul''26'!CQ45)</f>
        <v/>
      </c>
      <c r="CR44" s="25" t="str">
        <f>IF('1. Live'!CV44='check-Jul''26'!CR45,"",'1. Live'!CV44-'check-Jul''26'!CR45)</f>
        <v/>
      </c>
      <c r="CS44" s="25" t="str">
        <f>IF('1. Live'!CW44='check-Jul''26'!CS45,"",'1. Live'!CW44-'check-Jul''26'!CS45)</f>
        <v/>
      </c>
      <c r="CT44" s="25" t="str">
        <f>IF('1. Live'!CX44='check-Jul''26'!CT45,"",'1. Live'!CX44-'check-Jul''26'!CT45)</f>
        <v/>
      </c>
      <c r="CU44" s="25" t="str">
        <f>IF('1. Live'!CY44='check-Jul''26'!CU45,"",'1. Live'!CY44-'check-Jul''26'!CU45)</f>
        <v/>
      </c>
      <c r="CV44" s="25" t="str">
        <f>IF('1. Live'!CZ44='check-Jul''26'!CV45,"",'1. Live'!CZ44-'check-Jul''26'!CV45)</f>
        <v/>
      </c>
    </row>
    <row r="45" spans="2:100" s="70" customFormat="1" x14ac:dyDescent="0.25">
      <c r="B45" s="68"/>
      <c r="C45" s="9"/>
      <c r="D45" s="9"/>
      <c r="E45" s="9"/>
      <c r="F45" s="9"/>
      <c r="G45" s="9"/>
      <c r="H45" s="9"/>
      <c r="I45" s="9"/>
      <c r="J45" s="9"/>
      <c r="K45" s="9"/>
      <c r="L45" s="9"/>
      <c r="M45" s="9"/>
      <c r="N45" s="93" t="str">
        <f>IF('1. Live'!N45='check-Jul''26'!N45,"",'1. Live'!N45-'check-Jul''26'!N45)</f>
        <v/>
      </c>
      <c r="O45" s="18" t="str">
        <f ca="1">IF('1. Live'!O45='check-Jul''26'!O45,"",'1. Live'!O45-'check-Jul''26'!O45)</f>
        <v/>
      </c>
      <c r="P45" s="18" t="str">
        <f ca="1">IF('1. Live'!P45='check-Jul''26'!P45,"",'1. Live'!P45-'check-Jul''26'!P45)</f>
        <v/>
      </c>
      <c r="Q45" s="18" t="str">
        <f ca="1">IF('1. Live'!Q45='check-Jul''26'!Q45,"",'1. Live'!Q45-'check-Jul''26'!Q45)</f>
        <v/>
      </c>
      <c r="R45" s="18" t="str">
        <f ca="1">IF('1. Live'!R45='check-Jul''26'!R45,"",'1. Live'!R45-'check-Jul''26'!R45)</f>
        <v/>
      </c>
      <c r="S45" s="18" t="str">
        <f ca="1">IF('1. Live'!S45='check-Jul''26'!S45,"",'1. Live'!S45-'check-Jul''26'!S45)</f>
        <v/>
      </c>
      <c r="T45" s="18" t="str">
        <f ca="1">IF('1. Live'!T45='check-Jul''26'!T45,"",'1. Live'!T45-'check-Jul''26'!T45)</f>
        <v/>
      </c>
      <c r="U45" s="11" t="str">
        <f ca="1">IF('1. Live'!U45='check-Jul''26'!U45,"",'1. Live'!U45-'check-Jul''26'!U45)</f>
        <v/>
      </c>
      <c r="V45" s="9" t="str">
        <f>IF('1. Live'!V45='check-Jul''26'!V45,"",'1. Live'!V45-'check-Jul''26'!V45)</f>
        <v/>
      </c>
      <c r="W45" s="69"/>
      <c r="AA45" s="70" t="str">
        <f>IF('1. Live'!AA45='check-Jul''26'!W46,"",'1. Live'!AA45-'check-Jul''26'!W46)</f>
        <v/>
      </c>
      <c r="AB45" s="70" t="str">
        <f>IF('1. Live'!AF45='check-Jul''26'!AB46,"",'1. Live'!AF45-'check-Jul''26'!AB46)</f>
        <v/>
      </c>
      <c r="AC45" s="70" t="str">
        <f>IF('1. Live'!AG45='check-Jul''26'!AC46,"",'1. Live'!AG45-'check-Jul''26'!AC46)</f>
        <v/>
      </c>
      <c r="AD45" s="70" t="str">
        <f>IF('1. Live'!AH45='check-Jul''26'!AD46,"",'1. Live'!AH45-'check-Jul''26'!AD46)</f>
        <v/>
      </c>
      <c r="AE45" s="70" t="str">
        <f>IF('1. Live'!AI45='check-Jul''26'!AE46,"",'1. Live'!AI45-'check-Jul''26'!AE46)</f>
        <v/>
      </c>
      <c r="AF45" s="70" t="str">
        <f>IF('1. Live'!AJ45='check-Jul''26'!AF46,"",'1. Live'!AJ45-'check-Jul''26'!AF46)</f>
        <v/>
      </c>
      <c r="AG45" s="70" t="str">
        <f>IF('1. Live'!AK45='check-Jul''26'!AG46,"",'1. Live'!AK45-'check-Jul''26'!AG46)</f>
        <v/>
      </c>
      <c r="AH45" s="70" t="str">
        <f>IF('1. Live'!AL45='check-Jul''26'!AH46,"",'1. Live'!AL45-'check-Jul''26'!AH46)</f>
        <v/>
      </c>
      <c r="AI45" s="70" t="str">
        <f>IF('1. Live'!AM45='check-Jul''26'!AI46,"",'1. Live'!AM45-'check-Jul''26'!AI46)</f>
        <v/>
      </c>
      <c r="AJ45" s="70" t="str">
        <f>IF('1. Live'!AN45='check-Jul''26'!AJ46,"",'1. Live'!AN45-'check-Jul''26'!AJ46)</f>
        <v/>
      </c>
      <c r="AK45" s="70" t="str">
        <f>IF('1. Live'!AO45='check-Jul''26'!AK46,"",'1. Live'!AO45-'check-Jul''26'!AK46)</f>
        <v/>
      </c>
      <c r="AL45" s="70" t="str">
        <f>IF('1. Live'!AP45='check-Jul''26'!AL46,"",'1. Live'!AP45-'check-Jul''26'!AL46)</f>
        <v/>
      </c>
      <c r="AM45" s="70" t="str">
        <f>IF('1. Live'!AQ45='check-Jul''26'!AM46,"",'1. Live'!AQ45-'check-Jul''26'!AM46)</f>
        <v/>
      </c>
      <c r="AN45" s="70" t="str">
        <f>IF('1. Live'!AR45='check-Jul''26'!AN46,"",'1. Live'!AR45-'check-Jul''26'!AN46)</f>
        <v/>
      </c>
      <c r="AO45" s="70" t="str">
        <f>IF('1. Live'!AS45='check-Jul''26'!AO46,"",'1. Live'!AS45-'check-Jul''26'!AO46)</f>
        <v/>
      </c>
      <c r="AP45" s="70" t="str">
        <f>IF('1. Live'!AT45='check-Jul''26'!AP46,"",'1. Live'!AT45-'check-Jul''26'!AP46)</f>
        <v/>
      </c>
      <c r="AQ45" s="70" t="str">
        <f>IF('1. Live'!AU45='check-Jul''26'!AQ46,"",'1. Live'!AU45-'check-Jul''26'!AQ46)</f>
        <v/>
      </c>
      <c r="AR45" s="70" t="str">
        <f>IF('1. Live'!AV45='check-Jul''26'!AR46,"",'1. Live'!AV45-'check-Jul''26'!AR46)</f>
        <v/>
      </c>
      <c r="AS45" s="70" t="str">
        <f>IF('1. Live'!AW45='check-Jul''26'!AS46,"",'1. Live'!AW45-'check-Jul''26'!AS46)</f>
        <v/>
      </c>
      <c r="AT45" s="70" t="str">
        <f>IF('1. Live'!AX45='check-Jul''26'!AT46,"",'1. Live'!AX45-'check-Jul''26'!AT46)</f>
        <v/>
      </c>
      <c r="AU45" s="70" t="str">
        <f>IF('1. Live'!AY45='check-Jul''26'!AU46,"",'1. Live'!AY45-'check-Jul''26'!AU46)</f>
        <v/>
      </c>
      <c r="AV45" s="70" t="str">
        <f>IF('1. Live'!AZ45='check-Jul''26'!AV46,"",'1. Live'!AZ45-'check-Jul''26'!AV46)</f>
        <v/>
      </c>
      <c r="AW45" s="70" t="str">
        <f>IF('1. Live'!BA45='check-Jul''26'!AW46,"",'1. Live'!BA45-'check-Jul''26'!AW46)</f>
        <v/>
      </c>
      <c r="AX45" s="70" t="str">
        <f>IF('1. Live'!BB45='check-Jul''26'!AX46,"",'1. Live'!BB45-'check-Jul''26'!AX46)</f>
        <v/>
      </c>
      <c r="AY45" s="70" t="str">
        <f>IF('1. Live'!BC45='check-Jul''26'!AY46,"",'1. Live'!BC45-'check-Jul''26'!AY46)</f>
        <v/>
      </c>
      <c r="AZ45" s="70" t="str">
        <f>IF('1. Live'!BD45='check-Jul''26'!AZ46,"",'1. Live'!BD45-'check-Jul''26'!AZ46)</f>
        <v/>
      </c>
      <c r="BA45" s="70" t="str">
        <f>IF('1. Live'!BE45='check-Jul''26'!BA46,"",'1. Live'!BE45-'check-Jul''26'!BA46)</f>
        <v/>
      </c>
      <c r="BB45" s="70" t="str">
        <f>IF('1. Live'!BF45='check-Jul''26'!BB46,"",'1. Live'!BF45-'check-Jul''26'!BB46)</f>
        <v/>
      </c>
      <c r="BC45" s="70" t="str">
        <f>IF('1. Live'!BG45='check-Jul''26'!BC46,"",'1. Live'!BG45-'check-Jul''26'!BC46)</f>
        <v/>
      </c>
      <c r="BD45" s="70" t="str">
        <f>IF('1. Live'!BH45='check-Jul''26'!BD46,"",'1. Live'!BH45-'check-Jul''26'!BD46)</f>
        <v/>
      </c>
      <c r="BE45" s="70" t="str">
        <f>IF('1. Live'!BI45='check-Jul''26'!BE46,"",'1. Live'!BI45-'check-Jul''26'!BE46)</f>
        <v/>
      </c>
      <c r="BF45" s="70" t="str">
        <f>IF('1. Live'!BJ45='check-Jul''26'!BF46,"",'1. Live'!BJ45-'check-Jul''26'!BF46)</f>
        <v/>
      </c>
      <c r="BG45" s="70" t="str">
        <f>IF('1. Live'!BK45='check-Jul''26'!BG46,"",'1. Live'!BK45-'check-Jul''26'!BG46)</f>
        <v/>
      </c>
      <c r="BH45" s="70" t="str">
        <f>IF('1. Live'!BL45='check-Jul''26'!BH46,"",'1. Live'!BL45-'check-Jul''26'!BH46)</f>
        <v/>
      </c>
      <c r="BI45" s="70" t="str">
        <f>IF('1. Live'!BM45='check-Jul''26'!BI46,"",'1. Live'!BM45-'check-Jul''26'!BI46)</f>
        <v/>
      </c>
      <c r="BJ45" s="70" t="str">
        <f>IF('1. Live'!BN45='check-Jul''26'!BJ46,"",'1. Live'!BN45-'check-Jul''26'!BJ46)</f>
        <v/>
      </c>
      <c r="BK45" s="70" t="str">
        <f>IF('1. Live'!BO45='check-Jul''26'!BK46,"",'1. Live'!BO45-'check-Jul''26'!BK46)</f>
        <v/>
      </c>
      <c r="BL45" s="70" t="str">
        <f>IF('1. Live'!BP45='check-Jul''26'!BL46,"",'1. Live'!BP45-'check-Jul''26'!BL46)</f>
        <v/>
      </c>
      <c r="BM45" s="70" t="str">
        <f>IF('1. Live'!BQ45='check-Jul''26'!BM46,"",'1. Live'!BQ45-'check-Jul''26'!BM46)</f>
        <v/>
      </c>
      <c r="BN45" s="70" t="str">
        <f>IF('1. Live'!BR45='check-Jul''26'!BN46,"",'1. Live'!BR45-'check-Jul''26'!BN46)</f>
        <v/>
      </c>
      <c r="BO45" s="70" t="str">
        <f>IF('1. Live'!BS45='check-Jul''26'!BO46,"",'1. Live'!BS45-'check-Jul''26'!BO46)</f>
        <v/>
      </c>
      <c r="BP45" s="70" t="str">
        <f>IF('1. Live'!BT45='check-Jul''26'!BP46,"",'1. Live'!BT45-'check-Jul''26'!BP46)</f>
        <v/>
      </c>
      <c r="BQ45" s="70" t="str">
        <f>IF('1. Live'!BU45='check-Jul''26'!BQ46,"",'1. Live'!BU45-'check-Jul''26'!BQ46)</f>
        <v/>
      </c>
      <c r="BR45" s="70" t="str">
        <f>IF('1. Live'!BV45='check-Jul''26'!BR46,"",'1. Live'!BV45-'check-Jul''26'!BR46)</f>
        <v/>
      </c>
      <c r="BS45" s="70" t="str">
        <f>IF('1. Live'!BW45='check-Jul''26'!BS46,"",'1. Live'!BW45-'check-Jul''26'!BS46)</f>
        <v/>
      </c>
      <c r="BT45" s="70" t="str">
        <f>IF('1. Live'!BX45='check-Jul''26'!BT46,"",'1. Live'!BX45-'check-Jul''26'!BT46)</f>
        <v/>
      </c>
      <c r="BU45" s="70" t="str">
        <f>IF('1. Live'!BY45='check-Jul''26'!BU46,"",'1. Live'!BY45-'check-Jul''26'!BU46)</f>
        <v/>
      </c>
      <c r="BV45" s="70" t="str">
        <f>IF('1. Live'!BZ45='check-Jul''26'!BV46,"",'1. Live'!BZ45-'check-Jul''26'!BV46)</f>
        <v/>
      </c>
      <c r="BW45" s="70" t="str">
        <f>IF('1. Live'!CA45='check-Jul''26'!BW46,"",'1. Live'!CA45-'check-Jul''26'!BW46)</f>
        <v/>
      </c>
      <c r="BX45" s="70" t="str">
        <f>IF('1. Live'!CB45='check-Jul''26'!BX46,"",'1. Live'!CB45-'check-Jul''26'!BX46)</f>
        <v/>
      </c>
      <c r="BY45" s="70" t="str">
        <f>IF('1. Live'!CC45='check-Jul''26'!BY46,"",'1. Live'!CC45-'check-Jul''26'!BY46)</f>
        <v/>
      </c>
      <c r="BZ45" s="70" t="str">
        <f>IF('1. Live'!CD45='check-Jul''26'!BZ46,"",'1. Live'!CD45-'check-Jul''26'!BZ46)</f>
        <v/>
      </c>
      <c r="CA45" s="70" t="str">
        <f>IF('1. Live'!CE45='check-Jul''26'!CA46,"",'1. Live'!CE45-'check-Jul''26'!CA46)</f>
        <v/>
      </c>
      <c r="CB45" s="70" t="str">
        <f>IF('1. Live'!CF45='check-Jul''26'!CB46,"",'1. Live'!CF45-'check-Jul''26'!CB46)</f>
        <v/>
      </c>
      <c r="CC45" s="70" t="str">
        <f>IF('1. Live'!CG45='check-Jul''26'!CC46,"",'1. Live'!CG45-'check-Jul''26'!CC46)</f>
        <v/>
      </c>
      <c r="CD45" s="70" t="str">
        <f>IF('1. Live'!CH45='check-Jul''26'!CD46,"",'1. Live'!CH45-'check-Jul''26'!CD46)</f>
        <v/>
      </c>
      <c r="CE45" s="70" t="str">
        <f>IF('1. Live'!CI45='check-Jul''26'!CE46,"",'1. Live'!CI45-'check-Jul''26'!CE46)</f>
        <v/>
      </c>
      <c r="CF45" s="70" t="str">
        <f>IF('1. Live'!CJ45='check-Jul''26'!CF46,"",'1. Live'!CJ45-'check-Jul''26'!CF46)</f>
        <v/>
      </c>
      <c r="CG45" s="70" t="str">
        <f>IF('1. Live'!CK45='check-Jul''26'!CG46,"",'1. Live'!CK45-'check-Jul''26'!CG46)</f>
        <v/>
      </c>
      <c r="CH45" s="70" t="str">
        <f>IF('1. Live'!CL45='check-Jul''26'!CH46,"",'1. Live'!CL45-'check-Jul''26'!CH46)</f>
        <v/>
      </c>
      <c r="CI45" s="70" t="str">
        <f>IF('1. Live'!CM45='check-Jul''26'!CI46,"",'1. Live'!CM45-'check-Jul''26'!CI46)</f>
        <v/>
      </c>
      <c r="CJ45" s="70" t="str">
        <f>IF('1. Live'!CN45='check-Jul''26'!CJ46,"",'1. Live'!CN45-'check-Jul''26'!CJ46)</f>
        <v/>
      </c>
      <c r="CK45" s="70" t="str">
        <f>IF('1. Live'!CO45='check-Jul''26'!CK46,"",'1. Live'!CO45-'check-Jul''26'!CK46)</f>
        <v/>
      </c>
      <c r="CL45" s="70" t="str">
        <f>IF('1. Live'!CP45='check-Jul''26'!CL46,"",'1. Live'!CP45-'check-Jul''26'!CL46)</f>
        <v/>
      </c>
      <c r="CM45" s="70" t="str">
        <f>IF('1. Live'!CQ45='check-Jul''26'!CM46,"",'1. Live'!CQ45-'check-Jul''26'!CM46)</f>
        <v/>
      </c>
      <c r="CN45" s="70" t="str">
        <f>IF('1. Live'!CR45='check-Jul''26'!CN46,"",'1. Live'!CR45-'check-Jul''26'!CN46)</f>
        <v/>
      </c>
      <c r="CO45" s="70" t="str">
        <f>IF('1. Live'!CS45='check-Jul''26'!CO46,"",'1. Live'!CS45-'check-Jul''26'!CO46)</f>
        <v/>
      </c>
      <c r="CP45" s="70" t="str">
        <f>IF('1. Live'!CT45='check-Jul''26'!CP46,"",'1. Live'!CT45-'check-Jul''26'!CP46)</f>
        <v/>
      </c>
      <c r="CQ45" s="70" t="str">
        <f>IF('1. Live'!CU45='check-Jul''26'!CQ46,"",'1. Live'!CU45-'check-Jul''26'!CQ46)</f>
        <v/>
      </c>
      <c r="CR45" s="70" t="str">
        <f>IF('1. Live'!CV45='check-Jul''26'!CR46,"",'1. Live'!CV45-'check-Jul''26'!CR46)</f>
        <v/>
      </c>
      <c r="CS45" s="70" t="str">
        <f>IF('1. Live'!CW45='check-Jul''26'!CS46,"",'1. Live'!CW45-'check-Jul''26'!CS46)</f>
        <v/>
      </c>
      <c r="CT45" s="70" t="str">
        <f>IF('1. Live'!CX45='check-Jul''26'!CT46,"",'1. Live'!CX45-'check-Jul''26'!CT46)</f>
        <v/>
      </c>
      <c r="CU45" s="70" t="str">
        <f>IF('1. Live'!CY45='check-Jul''26'!CU46,"",'1. Live'!CY45-'check-Jul''26'!CU46)</f>
        <v/>
      </c>
      <c r="CV45" s="70" t="str">
        <f>IF('1. Live'!CZ45='check-Jul''26'!CV46,"",'1. Live'!CZ45-'check-Jul''26'!CV46)</f>
        <v/>
      </c>
    </row>
    <row r="46" spans="2:100" s="70" customFormat="1" x14ac:dyDescent="0.25">
      <c r="B46" s="68"/>
      <c r="C46" s="143"/>
      <c r="D46" s="143"/>
      <c r="E46" s="143"/>
      <c r="F46" s="143"/>
      <c r="G46" s="143"/>
      <c r="H46" s="143"/>
      <c r="I46" s="143"/>
      <c r="J46" s="143"/>
      <c r="K46" s="143"/>
      <c r="L46" s="143"/>
      <c r="M46" s="143"/>
      <c r="N46" s="92" t="str">
        <f>IF('1. Live'!N46='check-Jul''26'!N46,"",'1. Live'!N46-'check-Jul''26'!N46)</f>
        <v/>
      </c>
      <c r="O46" s="144" t="str">
        <f>IF('1. Live'!O46='check-Jul''26'!O46,"",'1. Live'!O46-'check-Jul''26'!O46)</f>
        <v/>
      </c>
      <c r="P46" s="144" t="str">
        <f>IF('1. Live'!P46='check-Jul''26'!P46,"",'1. Live'!P46-'check-Jul''26'!P46)</f>
        <v/>
      </c>
      <c r="Q46" s="144" t="str">
        <f>IF('1. Live'!Q46='check-Jul''26'!Q46,"",'1. Live'!Q46-'check-Jul''26'!Q46)</f>
        <v/>
      </c>
      <c r="R46" s="144" t="str">
        <f>IF('1. Live'!R46='check-Jul''26'!R46,"",'1. Live'!R46-'check-Jul''26'!R46)</f>
        <v/>
      </c>
      <c r="S46" s="144" t="str">
        <f>IF('1. Live'!S46='check-Jul''26'!S46,"",'1. Live'!S46-'check-Jul''26'!S46)</f>
        <v/>
      </c>
      <c r="T46" s="144" t="str">
        <f>IF('1. Live'!T46='check-Jul''26'!T46,"",'1. Live'!T46-'check-Jul''26'!T46)</f>
        <v/>
      </c>
      <c r="U46" s="145" t="str">
        <f>IF('1. Live'!U46='check-Jul''26'!U46,"",'1. Live'!U46-'check-Jul''26'!U46)</f>
        <v/>
      </c>
      <c r="V46" s="143" t="str">
        <f>IF('1. Live'!V46='check-Jul''26'!V46,"",'1. Live'!V46-'check-Jul''26'!V46)</f>
        <v/>
      </c>
      <c r="W46" s="69"/>
      <c r="AA46" s="70" t="str">
        <f>IF('1. Live'!AA46='check-Jul''26'!W47,"",'1. Live'!AA46-'check-Jul''26'!W47)</f>
        <v/>
      </c>
      <c r="AB46" s="70" t="str">
        <f>IF('1. Live'!AF46='check-Jul''26'!AB47,"",'1. Live'!AF46-'check-Jul''26'!AB47)</f>
        <v/>
      </c>
      <c r="AC46" s="70" t="str">
        <f>IF('1. Live'!AG46='check-Jul''26'!AC47,"",'1. Live'!AG46-'check-Jul''26'!AC47)</f>
        <v/>
      </c>
      <c r="AD46" s="70" t="str">
        <f>IF('1. Live'!AH46='check-Jul''26'!AD47,"",'1. Live'!AH46-'check-Jul''26'!AD47)</f>
        <v/>
      </c>
      <c r="AE46" s="70" t="str">
        <f>IF('1. Live'!AI46='check-Jul''26'!AE47,"",'1. Live'!AI46-'check-Jul''26'!AE47)</f>
        <v/>
      </c>
      <c r="AF46" s="70" t="str">
        <f>IF('1. Live'!AJ46='check-Jul''26'!AF47,"",'1. Live'!AJ46-'check-Jul''26'!AF47)</f>
        <v/>
      </c>
      <c r="AG46" s="70" t="str">
        <f>IF('1. Live'!AK46='check-Jul''26'!AG47,"",'1. Live'!AK46-'check-Jul''26'!AG47)</f>
        <v/>
      </c>
      <c r="AH46" s="70" t="str">
        <f>IF('1. Live'!AL46='check-Jul''26'!AH47,"",'1. Live'!AL46-'check-Jul''26'!AH47)</f>
        <v/>
      </c>
      <c r="AI46" s="70" t="str">
        <f>IF('1. Live'!AM46='check-Jul''26'!AI47,"",'1. Live'!AM46-'check-Jul''26'!AI47)</f>
        <v/>
      </c>
      <c r="AJ46" s="70" t="str">
        <f>IF('1. Live'!AN46='check-Jul''26'!AJ47,"",'1. Live'!AN46-'check-Jul''26'!AJ47)</f>
        <v/>
      </c>
      <c r="AK46" s="70" t="str">
        <f>IF('1. Live'!AO46='check-Jul''26'!AK47,"",'1. Live'!AO46-'check-Jul''26'!AK47)</f>
        <v/>
      </c>
      <c r="AL46" s="70" t="str">
        <f>IF('1. Live'!AP46='check-Jul''26'!AL47,"",'1. Live'!AP46-'check-Jul''26'!AL47)</f>
        <v/>
      </c>
      <c r="AM46" s="70" t="str">
        <f>IF('1. Live'!AQ46='check-Jul''26'!AM47,"",'1. Live'!AQ46-'check-Jul''26'!AM47)</f>
        <v/>
      </c>
      <c r="AN46" s="70" t="str">
        <f>IF('1. Live'!AR46='check-Jul''26'!AN47,"",'1. Live'!AR46-'check-Jul''26'!AN47)</f>
        <v/>
      </c>
      <c r="AO46" s="70" t="str">
        <f>IF('1. Live'!AS46='check-Jul''26'!AO47,"",'1. Live'!AS46-'check-Jul''26'!AO47)</f>
        <v/>
      </c>
      <c r="AP46" s="70" t="str">
        <f>IF('1. Live'!AT46='check-Jul''26'!AP47,"",'1. Live'!AT46-'check-Jul''26'!AP47)</f>
        <v/>
      </c>
      <c r="AQ46" s="70" t="str">
        <f>IF('1. Live'!AU46='check-Jul''26'!AQ47,"",'1. Live'!AU46-'check-Jul''26'!AQ47)</f>
        <v/>
      </c>
      <c r="AR46" s="70" t="str">
        <f>IF('1. Live'!AV46='check-Jul''26'!AR47,"",'1. Live'!AV46-'check-Jul''26'!AR47)</f>
        <v/>
      </c>
      <c r="AS46" s="70" t="str">
        <f>IF('1. Live'!AW46='check-Jul''26'!AS47,"",'1. Live'!AW46-'check-Jul''26'!AS47)</f>
        <v/>
      </c>
      <c r="AT46" s="70" t="str">
        <f>IF('1. Live'!AX46='check-Jul''26'!AT47,"",'1. Live'!AX46-'check-Jul''26'!AT47)</f>
        <v/>
      </c>
      <c r="AU46" s="70" t="str">
        <f>IF('1. Live'!AY46='check-Jul''26'!AU47,"",'1. Live'!AY46-'check-Jul''26'!AU47)</f>
        <v/>
      </c>
      <c r="AV46" s="70" t="str">
        <f>IF('1. Live'!AZ46='check-Jul''26'!AV47,"",'1. Live'!AZ46-'check-Jul''26'!AV47)</f>
        <v/>
      </c>
      <c r="AW46" s="70" t="str">
        <f>IF('1. Live'!BA46='check-Jul''26'!AW47,"",'1. Live'!BA46-'check-Jul''26'!AW47)</f>
        <v/>
      </c>
      <c r="AX46" s="70" t="str">
        <f>IF('1. Live'!BB46='check-Jul''26'!AX47,"",'1. Live'!BB46-'check-Jul''26'!AX47)</f>
        <v/>
      </c>
      <c r="AY46" s="70" t="str">
        <f>IF('1. Live'!BC46='check-Jul''26'!AY47,"",'1. Live'!BC46-'check-Jul''26'!AY47)</f>
        <v/>
      </c>
      <c r="AZ46" s="70" t="str">
        <f>IF('1. Live'!BD46='check-Jul''26'!AZ47,"",'1. Live'!BD46-'check-Jul''26'!AZ47)</f>
        <v/>
      </c>
      <c r="BA46" s="70" t="str">
        <f>IF('1. Live'!BE46='check-Jul''26'!BA47,"",'1. Live'!BE46-'check-Jul''26'!BA47)</f>
        <v/>
      </c>
      <c r="BB46" s="70" t="str">
        <f>IF('1. Live'!BF46='check-Jul''26'!BB47,"",'1. Live'!BF46-'check-Jul''26'!BB47)</f>
        <v/>
      </c>
      <c r="BC46" s="70" t="str">
        <f>IF('1. Live'!BG46='check-Jul''26'!BC47,"",'1. Live'!BG46-'check-Jul''26'!BC47)</f>
        <v/>
      </c>
      <c r="BD46" s="70" t="str">
        <f>IF('1. Live'!BH46='check-Jul''26'!BD47,"",'1. Live'!BH46-'check-Jul''26'!BD47)</f>
        <v/>
      </c>
      <c r="BE46" s="70" t="str">
        <f>IF('1. Live'!BI46='check-Jul''26'!BE47,"",'1. Live'!BI46-'check-Jul''26'!BE47)</f>
        <v/>
      </c>
      <c r="BF46" s="70" t="str">
        <f>IF('1. Live'!BJ46='check-Jul''26'!BF47,"",'1. Live'!BJ46-'check-Jul''26'!BF47)</f>
        <v/>
      </c>
      <c r="BG46" s="70" t="str">
        <f>IF('1. Live'!BK46='check-Jul''26'!BG47,"",'1. Live'!BK46-'check-Jul''26'!BG47)</f>
        <v/>
      </c>
      <c r="BH46" s="70" t="str">
        <f>IF('1. Live'!BL46='check-Jul''26'!BH47,"",'1. Live'!BL46-'check-Jul''26'!BH47)</f>
        <v/>
      </c>
      <c r="BI46" s="70" t="str">
        <f>IF('1. Live'!BM46='check-Jul''26'!BI47,"",'1. Live'!BM46-'check-Jul''26'!BI47)</f>
        <v/>
      </c>
      <c r="BJ46" s="70" t="str">
        <f>IF('1. Live'!BN46='check-Jul''26'!BJ47,"",'1. Live'!BN46-'check-Jul''26'!BJ47)</f>
        <v/>
      </c>
      <c r="BK46" s="70" t="str">
        <f>IF('1. Live'!BO46='check-Jul''26'!BK47,"",'1. Live'!BO46-'check-Jul''26'!BK47)</f>
        <v/>
      </c>
      <c r="BL46" s="70" t="str">
        <f>IF('1. Live'!BP46='check-Jul''26'!BL47,"",'1. Live'!BP46-'check-Jul''26'!BL47)</f>
        <v/>
      </c>
      <c r="BM46" s="70" t="str">
        <f>IF('1. Live'!BQ46='check-Jul''26'!BM47,"",'1. Live'!BQ46-'check-Jul''26'!BM47)</f>
        <v/>
      </c>
      <c r="BN46" s="70" t="str">
        <f>IF('1. Live'!BR46='check-Jul''26'!BN47,"",'1. Live'!BR46-'check-Jul''26'!BN47)</f>
        <v/>
      </c>
      <c r="BO46" s="70" t="str">
        <f>IF('1. Live'!BS46='check-Jul''26'!BO47,"",'1. Live'!BS46-'check-Jul''26'!BO47)</f>
        <v/>
      </c>
      <c r="BP46" s="70" t="str">
        <f>IF('1. Live'!BT46='check-Jul''26'!BP47,"",'1. Live'!BT46-'check-Jul''26'!BP47)</f>
        <v/>
      </c>
      <c r="BQ46" s="70" t="str">
        <f>IF('1. Live'!BU46='check-Jul''26'!BQ47,"",'1. Live'!BU46-'check-Jul''26'!BQ47)</f>
        <v/>
      </c>
      <c r="BR46" s="70" t="str">
        <f>IF('1. Live'!BV46='check-Jul''26'!BR47,"",'1. Live'!BV46-'check-Jul''26'!BR47)</f>
        <v/>
      </c>
      <c r="BS46" s="70" t="str">
        <f>IF('1. Live'!BW46='check-Jul''26'!BS47,"",'1. Live'!BW46-'check-Jul''26'!BS47)</f>
        <v/>
      </c>
      <c r="BT46" s="70" t="str">
        <f>IF('1. Live'!BX46='check-Jul''26'!BT47,"",'1. Live'!BX46-'check-Jul''26'!BT47)</f>
        <v/>
      </c>
      <c r="BU46" s="70" t="str">
        <f>IF('1. Live'!BY46='check-Jul''26'!BU47,"",'1. Live'!BY46-'check-Jul''26'!BU47)</f>
        <v/>
      </c>
      <c r="BV46" s="70" t="str">
        <f>IF('1. Live'!BZ46='check-Jul''26'!BV47,"",'1. Live'!BZ46-'check-Jul''26'!BV47)</f>
        <v/>
      </c>
      <c r="BW46" s="70" t="str">
        <f>IF('1. Live'!CA46='check-Jul''26'!BW47,"",'1. Live'!CA46-'check-Jul''26'!BW47)</f>
        <v/>
      </c>
      <c r="BX46" s="70" t="str">
        <f>IF('1. Live'!CB46='check-Jul''26'!BX47,"",'1. Live'!CB46-'check-Jul''26'!BX47)</f>
        <v/>
      </c>
      <c r="BY46" s="70" t="str">
        <f>IF('1. Live'!CC46='check-Jul''26'!BY47,"",'1. Live'!CC46-'check-Jul''26'!BY47)</f>
        <v/>
      </c>
      <c r="BZ46" s="70" t="str">
        <f>IF('1. Live'!CD46='check-Jul''26'!BZ47,"",'1. Live'!CD46-'check-Jul''26'!BZ47)</f>
        <v/>
      </c>
      <c r="CA46" s="70" t="str">
        <f>IF('1. Live'!CE46='check-Jul''26'!CA47,"",'1. Live'!CE46-'check-Jul''26'!CA47)</f>
        <v/>
      </c>
      <c r="CB46" s="70" t="str">
        <f>IF('1. Live'!CF46='check-Jul''26'!CB47,"",'1. Live'!CF46-'check-Jul''26'!CB47)</f>
        <v/>
      </c>
      <c r="CC46" s="70" t="str">
        <f>IF('1. Live'!CG46='check-Jul''26'!CC47,"",'1. Live'!CG46-'check-Jul''26'!CC47)</f>
        <v/>
      </c>
      <c r="CD46" s="70" t="str">
        <f>IF('1. Live'!CH46='check-Jul''26'!CD47,"",'1. Live'!CH46-'check-Jul''26'!CD47)</f>
        <v/>
      </c>
      <c r="CE46" s="70" t="str">
        <f>IF('1. Live'!CI46='check-Jul''26'!CE47,"",'1. Live'!CI46-'check-Jul''26'!CE47)</f>
        <v/>
      </c>
      <c r="CF46" s="70" t="str">
        <f>IF('1. Live'!CJ46='check-Jul''26'!CF47,"",'1. Live'!CJ46-'check-Jul''26'!CF47)</f>
        <v/>
      </c>
      <c r="CG46" s="70" t="str">
        <f>IF('1. Live'!CK46='check-Jul''26'!CG47,"",'1. Live'!CK46-'check-Jul''26'!CG47)</f>
        <v/>
      </c>
      <c r="CH46" s="70" t="str">
        <f>IF('1. Live'!CL46='check-Jul''26'!CH47,"",'1. Live'!CL46-'check-Jul''26'!CH47)</f>
        <v/>
      </c>
      <c r="CI46" s="70" t="str">
        <f>IF('1. Live'!CM46='check-Jul''26'!CI47,"",'1. Live'!CM46-'check-Jul''26'!CI47)</f>
        <v/>
      </c>
      <c r="CJ46" s="70" t="str">
        <f>IF('1. Live'!CN46='check-Jul''26'!CJ47,"",'1. Live'!CN46-'check-Jul''26'!CJ47)</f>
        <v/>
      </c>
      <c r="CK46" s="70" t="str">
        <f>IF('1. Live'!CO46='check-Jul''26'!CK47,"",'1. Live'!CO46-'check-Jul''26'!CK47)</f>
        <v/>
      </c>
      <c r="CL46" s="70" t="str">
        <f>IF('1. Live'!CP46='check-Jul''26'!CL47,"",'1. Live'!CP46-'check-Jul''26'!CL47)</f>
        <v/>
      </c>
      <c r="CM46" s="70" t="str">
        <f>IF('1. Live'!CQ46='check-Jul''26'!CM47,"",'1. Live'!CQ46-'check-Jul''26'!CM47)</f>
        <v/>
      </c>
      <c r="CN46" s="70" t="str">
        <f>IF('1. Live'!CR46='check-Jul''26'!CN47,"",'1. Live'!CR46-'check-Jul''26'!CN47)</f>
        <v/>
      </c>
      <c r="CO46" s="70" t="str">
        <f>IF('1. Live'!CS46='check-Jul''26'!CO47,"",'1. Live'!CS46-'check-Jul''26'!CO47)</f>
        <v/>
      </c>
      <c r="CP46" s="70" t="str">
        <f>IF('1. Live'!CT46='check-Jul''26'!CP47,"",'1. Live'!CT46-'check-Jul''26'!CP47)</f>
        <v/>
      </c>
      <c r="CQ46" s="70" t="str">
        <f>IF('1. Live'!CU46='check-Jul''26'!CQ47,"",'1. Live'!CU46-'check-Jul''26'!CQ47)</f>
        <v/>
      </c>
      <c r="CR46" s="70" t="str">
        <f>IF('1. Live'!CV46='check-Jul''26'!CR47,"",'1. Live'!CV46-'check-Jul''26'!CR47)</f>
        <v/>
      </c>
      <c r="CS46" s="70" t="str">
        <f>IF('1. Live'!CW46='check-Jul''26'!CS47,"",'1. Live'!CW46-'check-Jul''26'!CS47)</f>
        <v/>
      </c>
      <c r="CT46" s="70" t="str">
        <f>IF('1. Live'!CX46='check-Jul''26'!CT47,"",'1. Live'!CX46-'check-Jul''26'!CT47)</f>
        <v/>
      </c>
      <c r="CU46" s="70" t="str">
        <f>IF('1. Live'!CY46='check-Jul''26'!CU47,"",'1. Live'!CY46-'check-Jul''26'!CU47)</f>
        <v/>
      </c>
      <c r="CV46" s="70" t="str">
        <f>IF('1. Live'!CZ46='check-Jul''26'!CV47,"",'1. Live'!CZ46-'check-Jul''26'!CV47)</f>
        <v/>
      </c>
    </row>
    <row r="47" spans="2:100" s="70" customFormat="1" x14ac:dyDescent="0.25">
      <c r="B47" s="68"/>
      <c r="C47" s="394" t="s">
        <v>737</v>
      </c>
      <c r="D47" s="559"/>
      <c r="E47" s="559"/>
      <c r="F47" s="559"/>
      <c r="G47" s="559"/>
      <c r="H47" s="559"/>
      <c r="I47" s="316"/>
      <c r="J47" s="317"/>
      <c r="K47" s="317"/>
      <c r="L47" s="317"/>
      <c r="M47" s="318"/>
      <c r="N47" s="319" t="str">
        <f>IF('1. Live'!N47='check-Jul''26'!N47,"",'1. Live'!N47-'check-Jul''26'!N47)</f>
        <v/>
      </c>
      <c r="O47" s="320" t="str">
        <f>IF('1. Live'!O47='check-Jul''26'!O47,"",'1. Live'!O47-'check-Jul''26'!O47)</f>
        <v/>
      </c>
      <c r="P47" s="320" t="str">
        <f>IF('1. Live'!P47='check-Jul''26'!P47,"",'1. Live'!P47-'check-Jul''26'!P47)</f>
        <v/>
      </c>
      <c r="Q47" s="320" t="str">
        <f>IF('1. Live'!Q47='check-Jul''26'!Q47,"",'1. Live'!Q47-'check-Jul''26'!Q47)</f>
        <v/>
      </c>
      <c r="R47" s="320" t="str">
        <f>IF('1. Live'!R47='check-Jul''26'!R47,"",'1. Live'!R47-'check-Jul''26'!R47)</f>
        <v/>
      </c>
      <c r="S47" s="320" t="str">
        <f>IF('1. Live'!S47='check-Jul''26'!S47,"",'1. Live'!S47-'check-Jul''26'!S47)</f>
        <v/>
      </c>
      <c r="T47" s="320" t="str">
        <f>IF('1. Live'!T47='check-Jul''26'!T47,"",'1. Live'!T47-'check-Jul''26'!T47)</f>
        <v/>
      </c>
      <c r="U47" s="321" t="str">
        <f>IF('1. Live'!U47='check-Jul''26'!U47,"",'1. Live'!U47-'check-Jul''26'!U47)</f>
        <v/>
      </c>
      <c r="V47" s="317" t="str">
        <f>IF('1. Live'!V47='check-Jul''26'!V47,"",'1. Live'!V47-'check-Jul''26'!V47)</f>
        <v/>
      </c>
      <c r="W47" s="69"/>
      <c r="AA47" s="70" t="str">
        <f>IF('1. Live'!AA47='check-Jul''26'!W48,"",'1. Live'!AA47-'check-Jul''26'!W48)</f>
        <v/>
      </c>
      <c r="AB47" s="70" t="str">
        <f>IF('1. Live'!AF47='check-Jul''26'!AB48,"",'1. Live'!AF47-'check-Jul''26'!AB48)</f>
        <v/>
      </c>
      <c r="AC47" s="70" t="str">
        <f>IF('1. Live'!AG47='check-Jul''26'!AC48,"",'1. Live'!AG47-'check-Jul''26'!AC48)</f>
        <v/>
      </c>
      <c r="AD47" s="70" t="str">
        <f>IF('1. Live'!AH47='check-Jul''26'!AD48,"",'1. Live'!AH47-'check-Jul''26'!AD48)</f>
        <v/>
      </c>
      <c r="AE47" s="70" t="str">
        <f>IF('1. Live'!AI47='check-Jul''26'!AE48,"",'1. Live'!AI47-'check-Jul''26'!AE48)</f>
        <v/>
      </c>
      <c r="AF47" s="70" t="str">
        <f>IF('1. Live'!AJ47='check-Jul''26'!AF48,"",'1. Live'!AJ47-'check-Jul''26'!AF48)</f>
        <v/>
      </c>
      <c r="AG47" s="70" t="str">
        <f>IF('1. Live'!AK47='check-Jul''26'!AG48,"",'1. Live'!AK47-'check-Jul''26'!AG48)</f>
        <v/>
      </c>
      <c r="AH47" s="70" t="str">
        <f>IF('1. Live'!AL47='check-Jul''26'!AH48,"",'1. Live'!AL47-'check-Jul''26'!AH48)</f>
        <v/>
      </c>
      <c r="AI47" s="70" t="str">
        <f>IF('1. Live'!AM47='check-Jul''26'!AI48,"",'1. Live'!AM47-'check-Jul''26'!AI48)</f>
        <v/>
      </c>
      <c r="AJ47" s="70" t="str">
        <f>IF('1. Live'!AN47='check-Jul''26'!AJ48,"",'1. Live'!AN47-'check-Jul''26'!AJ48)</f>
        <v/>
      </c>
      <c r="AK47" s="70" t="str">
        <f>IF('1. Live'!AO47='check-Jul''26'!AK48,"",'1. Live'!AO47-'check-Jul''26'!AK48)</f>
        <v/>
      </c>
      <c r="AL47" s="70" t="str">
        <f>IF('1. Live'!AP47='check-Jul''26'!AL48,"",'1. Live'!AP47-'check-Jul''26'!AL48)</f>
        <v/>
      </c>
      <c r="AM47" s="70" t="str">
        <f>IF('1. Live'!AQ47='check-Jul''26'!AM48,"",'1. Live'!AQ47-'check-Jul''26'!AM48)</f>
        <v/>
      </c>
      <c r="AN47" s="70" t="str">
        <f>IF('1. Live'!AR47='check-Jul''26'!AN48,"",'1. Live'!AR47-'check-Jul''26'!AN48)</f>
        <v/>
      </c>
      <c r="AO47" s="70" t="str">
        <f>IF('1. Live'!AS47='check-Jul''26'!AO48,"",'1. Live'!AS47-'check-Jul''26'!AO48)</f>
        <v/>
      </c>
      <c r="AP47" s="70" t="str">
        <f>IF('1. Live'!AT47='check-Jul''26'!AP48,"",'1. Live'!AT47-'check-Jul''26'!AP48)</f>
        <v/>
      </c>
      <c r="AQ47" s="70" t="str">
        <f>IF('1. Live'!AU47='check-Jul''26'!AQ48,"",'1. Live'!AU47-'check-Jul''26'!AQ48)</f>
        <v/>
      </c>
      <c r="AR47" s="70" t="str">
        <f>IF('1. Live'!AV47='check-Jul''26'!AR48,"",'1. Live'!AV47-'check-Jul''26'!AR48)</f>
        <v/>
      </c>
      <c r="AS47" s="70" t="str">
        <f>IF('1. Live'!AW47='check-Jul''26'!AS48,"",'1. Live'!AW47-'check-Jul''26'!AS48)</f>
        <v/>
      </c>
      <c r="AT47" s="70" t="str">
        <f>IF('1. Live'!AX47='check-Jul''26'!AT48,"",'1. Live'!AX47-'check-Jul''26'!AT48)</f>
        <v/>
      </c>
      <c r="AU47" s="70" t="str">
        <f>IF('1. Live'!AY47='check-Jul''26'!AU48,"",'1. Live'!AY47-'check-Jul''26'!AU48)</f>
        <v/>
      </c>
      <c r="AV47" s="70" t="str">
        <f>IF('1. Live'!AZ47='check-Jul''26'!AV48,"",'1. Live'!AZ47-'check-Jul''26'!AV48)</f>
        <v/>
      </c>
      <c r="AW47" s="70" t="str">
        <f>IF('1. Live'!BA47='check-Jul''26'!AW48,"",'1. Live'!BA47-'check-Jul''26'!AW48)</f>
        <v/>
      </c>
      <c r="AX47" s="70" t="str">
        <f>IF('1. Live'!BB47='check-Jul''26'!AX48,"",'1. Live'!BB47-'check-Jul''26'!AX48)</f>
        <v/>
      </c>
      <c r="AY47" s="70" t="str">
        <f>IF('1. Live'!BC47='check-Jul''26'!AY48,"",'1. Live'!BC47-'check-Jul''26'!AY48)</f>
        <v/>
      </c>
      <c r="AZ47" s="70" t="str">
        <f>IF('1. Live'!BD47='check-Jul''26'!AZ48,"",'1. Live'!BD47-'check-Jul''26'!AZ48)</f>
        <v/>
      </c>
      <c r="BA47" s="70" t="str">
        <f>IF('1. Live'!BE47='check-Jul''26'!BA48,"",'1. Live'!BE47-'check-Jul''26'!BA48)</f>
        <v/>
      </c>
      <c r="BB47" s="70" t="str">
        <f>IF('1. Live'!BF47='check-Jul''26'!BB48,"",'1. Live'!BF47-'check-Jul''26'!BB48)</f>
        <v/>
      </c>
      <c r="BC47" s="70" t="str">
        <f>IF('1. Live'!BG47='check-Jul''26'!BC48,"",'1. Live'!BG47-'check-Jul''26'!BC48)</f>
        <v/>
      </c>
      <c r="BD47" s="70" t="str">
        <f>IF('1. Live'!BH47='check-Jul''26'!BD48,"",'1. Live'!BH47-'check-Jul''26'!BD48)</f>
        <v/>
      </c>
      <c r="BE47" s="70" t="str">
        <f>IF('1. Live'!BI47='check-Jul''26'!BE48,"",'1. Live'!BI47-'check-Jul''26'!BE48)</f>
        <v/>
      </c>
      <c r="BF47" s="70" t="str">
        <f>IF('1. Live'!BJ47='check-Jul''26'!BF48,"",'1. Live'!BJ47-'check-Jul''26'!BF48)</f>
        <v/>
      </c>
      <c r="BG47" s="70" t="str">
        <f>IF('1. Live'!BK47='check-Jul''26'!BG48,"",'1. Live'!BK47-'check-Jul''26'!BG48)</f>
        <v/>
      </c>
      <c r="BH47" s="70" t="str">
        <f>IF('1. Live'!BL47='check-Jul''26'!BH48,"",'1. Live'!BL47-'check-Jul''26'!BH48)</f>
        <v/>
      </c>
      <c r="BI47" s="70" t="str">
        <f>IF('1. Live'!BM47='check-Jul''26'!BI48,"",'1. Live'!BM47-'check-Jul''26'!BI48)</f>
        <v/>
      </c>
      <c r="BJ47" s="70" t="str">
        <f>IF('1. Live'!BN47='check-Jul''26'!BJ48,"",'1. Live'!BN47-'check-Jul''26'!BJ48)</f>
        <v/>
      </c>
      <c r="BK47" s="70" t="str">
        <f>IF('1. Live'!BO47='check-Jul''26'!BK48,"",'1. Live'!BO47-'check-Jul''26'!BK48)</f>
        <v/>
      </c>
      <c r="BL47" s="70" t="str">
        <f>IF('1. Live'!BP47='check-Jul''26'!BL48,"",'1. Live'!BP47-'check-Jul''26'!BL48)</f>
        <v/>
      </c>
      <c r="BM47" s="70" t="str">
        <f>IF('1. Live'!BQ47='check-Jul''26'!BM48,"",'1. Live'!BQ47-'check-Jul''26'!BM48)</f>
        <v/>
      </c>
      <c r="BN47" s="70" t="str">
        <f>IF('1. Live'!BR47='check-Jul''26'!BN48,"",'1. Live'!BR47-'check-Jul''26'!BN48)</f>
        <v/>
      </c>
      <c r="BO47" s="70" t="str">
        <f>IF('1. Live'!BS47='check-Jul''26'!BO48,"",'1. Live'!BS47-'check-Jul''26'!BO48)</f>
        <v/>
      </c>
      <c r="BP47" s="70" t="str">
        <f>IF('1. Live'!BT47='check-Jul''26'!BP48,"",'1. Live'!BT47-'check-Jul''26'!BP48)</f>
        <v/>
      </c>
      <c r="BQ47" s="70" t="str">
        <f>IF('1. Live'!BU47='check-Jul''26'!BQ48,"",'1. Live'!BU47-'check-Jul''26'!BQ48)</f>
        <v/>
      </c>
      <c r="BR47" s="70" t="str">
        <f>IF('1. Live'!BV47='check-Jul''26'!BR48,"",'1. Live'!BV47-'check-Jul''26'!BR48)</f>
        <v/>
      </c>
      <c r="BS47" s="70" t="str">
        <f>IF('1. Live'!BW47='check-Jul''26'!BS48,"",'1. Live'!BW47-'check-Jul''26'!BS48)</f>
        <v/>
      </c>
      <c r="BT47" s="70" t="str">
        <f>IF('1. Live'!BX47='check-Jul''26'!BT48,"",'1. Live'!BX47-'check-Jul''26'!BT48)</f>
        <v/>
      </c>
      <c r="BU47" s="70" t="str">
        <f>IF('1. Live'!BY47='check-Jul''26'!BU48,"",'1. Live'!BY47-'check-Jul''26'!BU48)</f>
        <v/>
      </c>
      <c r="BV47" s="70" t="str">
        <f>IF('1. Live'!BZ47='check-Jul''26'!BV48,"",'1. Live'!BZ47-'check-Jul''26'!BV48)</f>
        <v/>
      </c>
      <c r="BW47" s="70" t="str">
        <f>IF('1. Live'!CA47='check-Jul''26'!BW48,"",'1. Live'!CA47-'check-Jul''26'!BW48)</f>
        <v/>
      </c>
      <c r="BX47" s="70" t="str">
        <f>IF('1. Live'!CB47='check-Jul''26'!BX48,"",'1. Live'!CB47-'check-Jul''26'!BX48)</f>
        <v/>
      </c>
      <c r="BY47" s="70" t="str">
        <f>IF('1. Live'!CC47='check-Jul''26'!BY48,"",'1. Live'!CC47-'check-Jul''26'!BY48)</f>
        <v/>
      </c>
      <c r="BZ47" s="70" t="str">
        <f>IF('1. Live'!CD47='check-Jul''26'!BZ48,"",'1. Live'!CD47-'check-Jul''26'!BZ48)</f>
        <v/>
      </c>
      <c r="CA47" s="70" t="str">
        <f>IF('1. Live'!CE47='check-Jul''26'!CA48,"",'1. Live'!CE47-'check-Jul''26'!CA48)</f>
        <v/>
      </c>
      <c r="CB47" s="70" t="str">
        <f>IF('1. Live'!CF47='check-Jul''26'!CB48,"",'1. Live'!CF47-'check-Jul''26'!CB48)</f>
        <v/>
      </c>
      <c r="CC47" s="70" t="str">
        <f>IF('1. Live'!CG47='check-Jul''26'!CC48,"",'1. Live'!CG47-'check-Jul''26'!CC48)</f>
        <v/>
      </c>
      <c r="CD47" s="70" t="str">
        <f>IF('1. Live'!CH47='check-Jul''26'!CD48,"",'1. Live'!CH47-'check-Jul''26'!CD48)</f>
        <v/>
      </c>
      <c r="CE47" s="70" t="str">
        <f>IF('1. Live'!CI47='check-Jul''26'!CE48,"",'1. Live'!CI47-'check-Jul''26'!CE48)</f>
        <v/>
      </c>
      <c r="CF47" s="70" t="str">
        <f>IF('1. Live'!CJ47='check-Jul''26'!CF48,"",'1. Live'!CJ47-'check-Jul''26'!CF48)</f>
        <v/>
      </c>
      <c r="CG47" s="70" t="str">
        <f>IF('1. Live'!CK47='check-Jul''26'!CG48,"",'1. Live'!CK47-'check-Jul''26'!CG48)</f>
        <v/>
      </c>
      <c r="CH47" s="70" t="str">
        <f>IF('1. Live'!CL47='check-Jul''26'!CH48,"",'1. Live'!CL47-'check-Jul''26'!CH48)</f>
        <v/>
      </c>
      <c r="CI47" s="70" t="str">
        <f>IF('1. Live'!CM47='check-Jul''26'!CI48,"",'1. Live'!CM47-'check-Jul''26'!CI48)</f>
        <v/>
      </c>
      <c r="CJ47" s="70" t="str">
        <f>IF('1. Live'!CN47='check-Jul''26'!CJ48,"",'1. Live'!CN47-'check-Jul''26'!CJ48)</f>
        <v/>
      </c>
      <c r="CK47" s="70" t="str">
        <f>IF('1. Live'!CO47='check-Jul''26'!CK48,"",'1. Live'!CO47-'check-Jul''26'!CK48)</f>
        <v/>
      </c>
      <c r="CL47" s="70" t="str">
        <f>IF('1. Live'!CP47='check-Jul''26'!CL48,"",'1. Live'!CP47-'check-Jul''26'!CL48)</f>
        <v/>
      </c>
      <c r="CM47" s="70" t="str">
        <f>IF('1. Live'!CQ47='check-Jul''26'!CM48,"",'1. Live'!CQ47-'check-Jul''26'!CM48)</f>
        <v/>
      </c>
      <c r="CN47" s="70" t="str">
        <f>IF('1. Live'!CR47='check-Jul''26'!CN48,"",'1. Live'!CR47-'check-Jul''26'!CN48)</f>
        <v/>
      </c>
      <c r="CO47" s="70" t="str">
        <f>IF('1. Live'!CS47='check-Jul''26'!CO48,"",'1. Live'!CS47-'check-Jul''26'!CO48)</f>
        <v/>
      </c>
      <c r="CP47" s="70" t="str">
        <f>IF('1. Live'!CT47='check-Jul''26'!CP48,"",'1. Live'!CT47-'check-Jul''26'!CP48)</f>
        <v/>
      </c>
      <c r="CQ47" s="70" t="str">
        <f>IF('1. Live'!CU47='check-Jul''26'!CQ48,"",'1. Live'!CU47-'check-Jul''26'!CQ48)</f>
        <v/>
      </c>
      <c r="CR47" s="70" t="str">
        <f>IF('1. Live'!CV47='check-Jul''26'!CR48,"",'1. Live'!CV47-'check-Jul''26'!CR48)</f>
        <v/>
      </c>
      <c r="CS47" s="70" t="str">
        <f>IF('1. Live'!CW47='check-Jul''26'!CS48,"",'1. Live'!CW47-'check-Jul''26'!CS48)</f>
        <v/>
      </c>
      <c r="CT47" s="70" t="str">
        <f>IF('1. Live'!CX47='check-Jul''26'!CT48,"",'1. Live'!CX47-'check-Jul''26'!CT48)</f>
        <v/>
      </c>
      <c r="CU47" s="70" t="str">
        <f>IF('1. Live'!CY47='check-Jul''26'!CU48,"",'1. Live'!CY47-'check-Jul''26'!CU48)</f>
        <v/>
      </c>
      <c r="CV47" s="70" t="str">
        <f>IF('1. Live'!CZ47='check-Jul''26'!CV48,"",'1. Live'!CZ47-'check-Jul''26'!CV48)</f>
        <v/>
      </c>
    </row>
    <row r="48" spans="2:100" s="70" customFormat="1" x14ac:dyDescent="0.25">
      <c r="B48" s="68"/>
      <c r="C48" s="4" t="s">
        <v>670</v>
      </c>
      <c r="D48" s="153" t="s">
        <v>867</v>
      </c>
      <c r="E48" s="2" t="s">
        <v>847</v>
      </c>
      <c r="F48" s="2" t="s">
        <v>383</v>
      </c>
      <c r="G48" s="2" t="s">
        <v>862</v>
      </c>
      <c r="H48" s="153"/>
      <c r="I48" s="32" t="s">
        <v>677</v>
      </c>
      <c r="J48" s="2" t="s">
        <v>76</v>
      </c>
      <c r="K48" s="2" t="s">
        <v>668</v>
      </c>
      <c r="L48" s="6"/>
      <c r="M48" s="6"/>
      <c r="N48" s="90" t="str">
        <f>IF('1. Live'!N48='check-Jul''26'!N48,"",'1. Live'!N48-'check-Jul''26'!N48)</f>
        <v/>
      </c>
      <c r="O48" s="17">
        <f>IF('1. Live'!O48='check-Jul''26'!O48,"",'1. Live'!O48-'check-Jul''26'!O48)</f>
        <v>359.79804000000013</v>
      </c>
      <c r="P48" s="17">
        <f>IF('1. Live'!P48='check-Jul''26'!P48,"",'1. Live'!P48-'check-Jul''26'!P48)</f>
        <v>-72.338055449999842</v>
      </c>
      <c r="Q48" s="17">
        <f>IF('1. Live'!Q48='check-Jul''26'!Q48,"",'1. Live'!Q48-'check-Jul''26'!Q48)</f>
        <v>432.13609544999986</v>
      </c>
      <c r="R48" s="17">
        <f>IF('1. Live'!R48='check-Jul''26'!R48,"",'1. Live'!R48-'check-Jul''26'!R48)</f>
        <v>-4.8999999968657448E-7</v>
      </c>
      <c r="S48" s="17">
        <f>IF('1. Live'!S48='check-Jul''26'!S48,"",'1. Live'!S48-'check-Jul''26'!S48)</f>
        <v>367.13102962999994</v>
      </c>
      <c r="T48" s="17">
        <f>IF('1. Live'!T48='check-Jul''26'!T48,"",'1. Live'!T48-'check-Jul''26'!T48)</f>
        <v>424.78023258999974</v>
      </c>
      <c r="U48" s="10">
        <f>IF('1. Live'!U48='check-Jul''26'!U48,"",'1. Live'!U48-'check-Jul''26'!U48)</f>
        <v>1.2186285537204153</v>
      </c>
      <c r="V48" s="87" t="str">
        <f>IF('1. Live'!V48='check-Jul''26'!V48,"",'1. Live'!V48-'check-Jul''26'!V48)</f>
        <v/>
      </c>
      <c r="W48" s="69"/>
      <c r="AA48" s="70" t="str">
        <f>IF('1. Live'!AA48='check-Jul''26'!W49,"",'1. Live'!AA48-'check-Jul''26'!W49)</f>
        <v/>
      </c>
      <c r="AB48" s="70" t="str">
        <f>IF('1. Live'!AF48='check-Jul''26'!AB49,"",'1. Live'!AF48-'check-Jul''26'!AB49)</f>
        <v/>
      </c>
      <c r="AC48" s="70" t="str">
        <f>IF('1. Live'!AG48='check-Jul''26'!AC49,"",'1. Live'!AG48-'check-Jul''26'!AC49)</f>
        <v/>
      </c>
      <c r="AD48" s="70" t="str">
        <f>IF('1. Live'!AH48='check-Jul''26'!AD49,"",'1. Live'!AH48-'check-Jul''26'!AD49)</f>
        <v/>
      </c>
      <c r="AE48" s="70" t="str">
        <f>IF('1. Live'!AI48='check-Jul''26'!AE49,"",'1. Live'!AI48-'check-Jul''26'!AE49)</f>
        <v/>
      </c>
      <c r="AF48" s="70" t="str">
        <f>IF('1. Live'!AJ48='check-Jul''26'!AF49,"",'1. Live'!AJ48-'check-Jul''26'!AF49)</f>
        <v/>
      </c>
      <c r="AG48" s="70" t="str">
        <f>IF('1. Live'!AK48='check-Jul''26'!AG49,"",'1. Live'!AK48-'check-Jul''26'!AG49)</f>
        <v/>
      </c>
      <c r="AH48" s="70" t="str">
        <f>IF('1. Live'!AL48='check-Jul''26'!AH49,"",'1. Live'!AL48-'check-Jul''26'!AH49)</f>
        <v/>
      </c>
      <c r="AI48" s="70" t="str">
        <f>IF('1. Live'!AM48='check-Jul''26'!AI49,"",'1. Live'!AM48-'check-Jul''26'!AI49)</f>
        <v/>
      </c>
      <c r="AJ48" s="70" t="str">
        <f>IF('1. Live'!AN48='check-Jul''26'!AJ49,"",'1. Live'!AN48-'check-Jul''26'!AJ49)</f>
        <v/>
      </c>
      <c r="AK48" s="70" t="str">
        <f>IF('1. Live'!AO48='check-Jul''26'!AK49,"",'1. Live'!AO48-'check-Jul''26'!AK49)</f>
        <v/>
      </c>
      <c r="AL48" s="70" t="str">
        <f>IF('1. Live'!AP48='check-Jul''26'!AL49,"",'1. Live'!AP48-'check-Jul''26'!AL49)</f>
        <v/>
      </c>
      <c r="AM48" s="70" t="str">
        <f>IF('1. Live'!AQ48='check-Jul''26'!AM49,"",'1. Live'!AQ48-'check-Jul''26'!AM49)</f>
        <v/>
      </c>
      <c r="AN48" s="70" t="str">
        <f>IF('1. Live'!AR48='check-Jul''26'!AN49,"",'1. Live'!AR48-'check-Jul''26'!AN49)</f>
        <v/>
      </c>
      <c r="AO48" s="70" t="str">
        <f>IF('1. Live'!AS48='check-Jul''26'!AO49,"",'1. Live'!AS48-'check-Jul''26'!AO49)</f>
        <v/>
      </c>
      <c r="AP48" s="70" t="str">
        <f>IF('1. Live'!AT48='check-Jul''26'!AP49,"",'1. Live'!AT48-'check-Jul''26'!AP49)</f>
        <v/>
      </c>
      <c r="AQ48" s="70" t="str">
        <f>IF('1. Live'!AU48='check-Jul''26'!AQ49,"",'1. Live'!AU48-'check-Jul''26'!AQ49)</f>
        <v/>
      </c>
      <c r="AR48" s="70" t="str">
        <f>IF('1. Live'!AV48='check-Jul''26'!AR49,"",'1. Live'!AV48-'check-Jul''26'!AR49)</f>
        <v/>
      </c>
      <c r="AS48" s="70" t="str">
        <f>IF('1. Live'!AW48='check-Jul''26'!AS49,"",'1. Live'!AW48-'check-Jul''26'!AS49)</f>
        <v/>
      </c>
      <c r="AT48" s="70" t="str">
        <f>IF('1. Live'!AX48='check-Jul''26'!AT49,"",'1. Live'!AX48-'check-Jul''26'!AT49)</f>
        <v/>
      </c>
      <c r="AU48" s="70" t="str">
        <f>IF('1. Live'!AY48='check-Jul''26'!AU49,"",'1. Live'!AY48-'check-Jul''26'!AU49)</f>
        <v/>
      </c>
      <c r="AV48" s="70" t="str">
        <f>IF('1. Live'!AZ48='check-Jul''26'!AV49,"",'1. Live'!AZ48-'check-Jul''26'!AV49)</f>
        <v/>
      </c>
      <c r="AW48" s="70" t="str">
        <f>IF('1. Live'!BA48='check-Jul''26'!AW49,"",'1. Live'!BA48-'check-Jul''26'!AW49)</f>
        <v/>
      </c>
      <c r="AX48" s="70" t="str">
        <f>IF('1. Live'!BB48='check-Jul''26'!AX49,"",'1. Live'!BB48-'check-Jul''26'!AX49)</f>
        <v/>
      </c>
      <c r="AY48" s="70" t="str">
        <f>IF('1. Live'!BC48='check-Jul''26'!AY49,"",'1. Live'!BC48-'check-Jul''26'!AY49)</f>
        <v/>
      </c>
      <c r="AZ48" s="70" t="str">
        <f>IF('1. Live'!BD48='check-Jul''26'!AZ49,"",'1. Live'!BD48-'check-Jul''26'!AZ49)</f>
        <v/>
      </c>
      <c r="BA48" s="70" t="str">
        <f>IF('1. Live'!BE48='check-Jul''26'!BA49,"",'1. Live'!BE48-'check-Jul''26'!BA49)</f>
        <v/>
      </c>
      <c r="BB48" s="70" t="str">
        <f>IF('1. Live'!BF48='check-Jul''26'!BB49,"",'1. Live'!BF48-'check-Jul''26'!BB49)</f>
        <v/>
      </c>
      <c r="BC48" s="70" t="str">
        <f>IF('1. Live'!BG48='check-Jul''26'!BC49,"",'1. Live'!BG48-'check-Jul''26'!BC49)</f>
        <v/>
      </c>
      <c r="BD48" s="70" t="str">
        <f>IF('1. Live'!BH48='check-Jul''26'!BD49,"",'1. Live'!BH48-'check-Jul''26'!BD49)</f>
        <v/>
      </c>
      <c r="BE48" s="70" t="str">
        <f>IF('1. Live'!BI48='check-Jul''26'!BE49,"",'1. Live'!BI48-'check-Jul''26'!BE49)</f>
        <v/>
      </c>
      <c r="BF48" s="70" t="str">
        <f>IF('1. Live'!BJ48='check-Jul''26'!BF49,"",'1. Live'!BJ48-'check-Jul''26'!BF49)</f>
        <v/>
      </c>
      <c r="BG48" s="70" t="str">
        <f>IF('1. Live'!BK48='check-Jul''26'!BG49,"",'1. Live'!BK48-'check-Jul''26'!BG49)</f>
        <v/>
      </c>
      <c r="BH48" s="70" t="str">
        <f>IF('1. Live'!BL48='check-Jul''26'!BH49,"",'1. Live'!BL48-'check-Jul''26'!BH49)</f>
        <v/>
      </c>
      <c r="BI48" s="70" t="str">
        <f>IF('1. Live'!BM48='check-Jul''26'!BI49,"",'1. Live'!BM48-'check-Jul''26'!BI49)</f>
        <v/>
      </c>
      <c r="BJ48" s="70" t="str">
        <f>IF('1. Live'!BN48='check-Jul''26'!BJ49,"",'1. Live'!BN48-'check-Jul''26'!BJ49)</f>
        <v/>
      </c>
      <c r="BK48" s="70" t="str">
        <f>IF('1. Live'!BO48='check-Jul''26'!BK49,"",'1. Live'!BO48-'check-Jul''26'!BK49)</f>
        <v/>
      </c>
      <c r="BL48" s="70" t="str">
        <f>IF('1. Live'!BP48='check-Jul''26'!BL49,"",'1. Live'!BP48-'check-Jul''26'!BL49)</f>
        <v/>
      </c>
      <c r="BM48" s="70" t="str">
        <f>IF('1. Live'!BQ48='check-Jul''26'!BM49,"",'1. Live'!BQ48-'check-Jul''26'!BM49)</f>
        <v/>
      </c>
      <c r="BN48" s="70" t="str">
        <f>IF('1. Live'!BR48='check-Jul''26'!BN49,"",'1. Live'!BR48-'check-Jul''26'!BN49)</f>
        <v/>
      </c>
      <c r="BO48" s="70" t="str">
        <f>IF('1. Live'!BS48='check-Jul''26'!BO49,"",'1. Live'!BS48-'check-Jul''26'!BO49)</f>
        <v/>
      </c>
      <c r="BP48" s="70" t="str">
        <f>IF('1. Live'!BT48='check-Jul''26'!BP49,"",'1. Live'!BT48-'check-Jul''26'!BP49)</f>
        <v/>
      </c>
      <c r="BQ48" s="70" t="str">
        <f>IF('1. Live'!BU48='check-Jul''26'!BQ49,"",'1. Live'!BU48-'check-Jul''26'!BQ49)</f>
        <v/>
      </c>
      <c r="BR48" s="70" t="str">
        <f>IF('1. Live'!BV48='check-Jul''26'!BR49,"",'1. Live'!BV48-'check-Jul''26'!BR49)</f>
        <v/>
      </c>
      <c r="BS48" s="70" t="str">
        <f>IF('1. Live'!BW48='check-Jul''26'!BS49,"",'1. Live'!BW48-'check-Jul''26'!BS49)</f>
        <v/>
      </c>
      <c r="BT48" s="70" t="str">
        <f>IF('1. Live'!BX48='check-Jul''26'!BT49,"",'1. Live'!BX48-'check-Jul''26'!BT49)</f>
        <v/>
      </c>
      <c r="BU48" s="70" t="str">
        <f>IF('1. Live'!BY48='check-Jul''26'!BU49,"",'1. Live'!BY48-'check-Jul''26'!BU49)</f>
        <v/>
      </c>
      <c r="BV48" s="70" t="str">
        <f>IF('1. Live'!BZ48='check-Jul''26'!BV49,"",'1. Live'!BZ48-'check-Jul''26'!BV49)</f>
        <v/>
      </c>
      <c r="BW48" s="70" t="str">
        <f>IF('1. Live'!CA48='check-Jul''26'!BW49,"",'1. Live'!CA48-'check-Jul''26'!BW49)</f>
        <v/>
      </c>
      <c r="BX48" s="70" t="str">
        <f>IF('1. Live'!CB48='check-Jul''26'!BX49,"",'1. Live'!CB48-'check-Jul''26'!BX49)</f>
        <v/>
      </c>
      <c r="BY48" s="70" t="str">
        <f>IF('1. Live'!CC48='check-Jul''26'!BY49,"",'1. Live'!CC48-'check-Jul''26'!BY49)</f>
        <v/>
      </c>
      <c r="BZ48" s="70" t="str">
        <f>IF('1. Live'!CD48='check-Jul''26'!BZ49,"",'1. Live'!CD48-'check-Jul''26'!BZ49)</f>
        <v/>
      </c>
      <c r="CA48" s="70" t="str">
        <f>IF('1. Live'!CE48='check-Jul''26'!CA49,"",'1. Live'!CE48-'check-Jul''26'!CA49)</f>
        <v/>
      </c>
      <c r="CB48" s="70" t="str">
        <f>IF('1. Live'!CF48='check-Jul''26'!CB49,"",'1. Live'!CF48-'check-Jul''26'!CB49)</f>
        <v/>
      </c>
      <c r="CC48" s="70" t="str">
        <f>IF('1. Live'!CG48='check-Jul''26'!CC49,"",'1. Live'!CG48-'check-Jul''26'!CC49)</f>
        <v/>
      </c>
      <c r="CD48" s="70" t="str">
        <f>IF('1. Live'!CH48='check-Jul''26'!CD49,"",'1. Live'!CH48-'check-Jul''26'!CD49)</f>
        <v/>
      </c>
      <c r="CE48" s="70" t="str">
        <f>IF('1. Live'!CI48='check-Jul''26'!CE49,"",'1. Live'!CI48-'check-Jul''26'!CE49)</f>
        <v/>
      </c>
      <c r="CF48" s="70" t="str">
        <f>IF('1. Live'!CJ48='check-Jul''26'!CF49,"",'1. Live'!CJ48-'check-Jul''26'!CF49)</f>
        <v/>
      </c>
      <c r="CG48" s="70" t="str">
        <f>IF('1. Live'!CK48='check-Jul''26'!CG49,"",'1. Live'!CK48-'check-Jul''26'!CG49)</f>
        <v/>
      </c>
      <c r="CH48" s="70" t="str">
        <f>IF('1. Live'!CL48='check-Jul''26'!CH49,"",'1. Live'!CL48-'check-Jul''26'!CH49)</f>
        <v/>
      </c>
      <c r="CI48" s="70" t="str">
        <f>IF('1. Live'!CM48='check-Jul''26'!CI49,"",'1. Live'!CM48-'check-Jul''26'!CI49)</f>
        <v/>
      </c>
      <c r="CJ48" s="70" t="str">
        <f>IF('1. Live'!CN48='check-Jul''26'!CJ49,"",'1. Live'!CN48-'check-Jul''26'!CJ49)</f>
        <v/>
      </c>
      <c r="CK48" s="70" t="str">
        <f>IF('1. Live'!CO48='check-Jul''26'!CK49,"",'1. Live'!CO48-'check-Jul''26'!CK49)</f>
        <v/>
      </c>
      <c r="CL48" s="70" t="str">
        <f>IF('1. Live'!CP48='check-Jul''26'!CL49,"",'1. Live'!CP48-'check-Jul''26'!CL49)</f>
        <v/>
      </c>
      <c r="CM48" s="70" t="str">
        <f>IF('1. Live'!CQ48='check-Jul''26'!CM49,"",'1. Live'!CQ48-'check-Jul''26'!CM49)</f>
        <v/>
      </c>
      <c r="CN48" s="70" t="str">
        <f>IF('1. Live'!CR48='check-Jul''26'!CN49,"",'1. Live'!CR48-'check-Jul''26'!CN49)</f>
        <v/>
      </c>
      <c r="CO48" s="70" t="str">
        <f>IF('1. Live'!CS48='check-Jul''26'!CO49,"",'1. Live'!CS48-'check-Jul''26'!CO49)</f>
        <v/>
      </c>
      <c r="CP48" s="70" t="str">
        <f>IF('1. Live'!CT48='check-Jul''26'!CP49,"",'1. Live'!CT48-'check-Jul''26'!CP49)</f>
        <v/>
      </c>
      <c r="CQ48" s="70" t="str">
        <f>IF('1. Live'!CU48='check-Jul''26'!CQ49,"",'1. Live'!CU48-'check-Jul''26'!CQ49)</f>
        <v/>
      </c>
      <c r="CR48" s="70" t="str">
        <f>IF('1. Live'!CV48='check-Jul''26'!CR49,"",'1. Live'!CV48-'check-Jul''26'!CR49)</f>
        <v/>
      </c>
      <c r="CS48" s="70" t="str">
        <f>IF('1. Live'!CW48='check-Jul''26'!CS49,"",'1. Live'!CW48-'check-Jul''26'!CS49)</f>
        <v/>
      </c>
      <c r="CT48" s="70" t="str">
        <f>IF('1. Live'!CX48='check-Jul''26'!CT49,"",'1. Live'!CX48-'check-Jul''26'!CT49)</f>
        <v/>
      </c>
      <c r="CU48" s="70" t="str">
        <f>IF('1. Live'!CY48='check-Jul''26'!CU49,"",'1. Live'!CY48-'check-Jul''26'!CU49)</f>
        <v/>
      </c>
      <c r="CV48" s="70" t="str">
        <f>IF('1. Live'!CZ48='check-Jul''26'!CV49,"",'1. Live'!CZ48-'check-Jul''26'!CV49)</f>
        <v/>
      </c>
    </row>
    <row r="49" spans="2:100" s="70" customFormat="1" x14ac:dyDescent="0.25">
      <c r="B49" s="68"/>
      <c r="C49" s="4" t="s">
        <v>709</v>
      </c>
      <c r="D49" s="153" t="s">
        <v>867</v>
      </c>
      <c r="E49" s="2" t="s">
        <v>847</v>
      </c>
      <c r="F49" s="2" t="s">
        <v>383</v>
      </c>
      <c r="G49" s="2" t="s">
        <v>862</v>
      </c>
      <c r="H49" s="153"/>
      <c r="I49" s="32" t="s">
        <v>710</v>
      </c>
      <c r="J49" s="2" t="s">
        <v>76</v>
      </c>
      <c r="K49" s="2" t="s">
        <v>668</v>
      </c>
      <c r="L49" s="6">
        <v>2024</v>
      </c>
      <c r="M49" s="6" t="s">
        <v>271</v>
      </c>
      <c r="N49" s="90" t="str">
        <f>IF('1. Live'!N49='check-Jul''26'!N49,"",'1. Live'!N49-'check-Jul''26'!N49)</f>
        <v/>
      </c>
      <c r="O49" s="17">
        <f>IF('1. Live'!O49='check-Jul''26'!O49,"",'1. Live'!O49-'check-Jul''26'!O49)</f>
        <v>-478.39803999999998</v>
      </c>
      <c r="P49" s="17">
        <f>IF('1. Live'!P49='check-Jul''26'!P49,"",'1. Live'!P49-'check-Jul''26'!P49)</f>
        <v>-18.248013999999955</v>
      </c>
      <c r="Q49" s="17">
        <f>IF('1. Live'!Q49='check-Jul''26'!Q49,"",'1. Live'!Q49-'check-Jul''26'!Q49)</f>
        <v>-460.15002600000003</v>
      </c>
      <c r="R49" s="17" t="str">
        <f>IF('1. Live'!R49='check-Jul''26'!R49,"",'1. Live'!R49-'check-Jul''26'!R49)</f>
        <v/>
      </c>
      <c r="S49" s="17">
        <f>IF('1. Live'!S49='check-Jul''26'!S49,"",'1. Live'!S49-'check-Jul''26'!S49)</f>
        <v>438.51654499999995</v>
      </c>
      <c r="T49" s="17">
        <f>IF('1. Live'!T49='check-Jul''26'!T49,"",'1. Live'!T49-'check-Jul''26'!T49)</f>
        <v>456.76455899999985</v>
      </c>
      <c r="U49" s="10">
        <f>IF('1. Live'!U49='check-Jul''26'!U49,"",'1. Live'!U49-'check-Jul''26'!U49)</f>
        <v>1.6374980385813469</v>
      </c>
      <c r="V49" s="87" t="str">
        <f>IF('1. Live'!V49='check-Jul''26'!V49,"",'1. Live'!V49-'check-Jul''26'!V49)</f>
        <v/>
      </c>
      <c r="W49" s="69"/>
      <c r="AA49" s="70" t="str">
        <f>IF('1. Live'!AA49='check-Jul''26'!W50,"",'1. Live'!AA49-'check-Jul''26'!W50)</f>
        <v/>
      </c>
      <c r="AB49" s="70" t="str">
        <f>IF('1. Live'!AF49='check-Jul''26'!AB50,"",'1. Live'!AF49-'check-Jul''26'!AB50)</f>
        <v/>
      </c>
      <c r="AC49" s="70" t="str">
        <f>IF('1. Live'!AG49='check-Jul''26'!AC50,"",'1. Live'!AG49-'check-Jul''26'!AC50)</f>
        <v/>
      </c>
      <c r="AD49" s="70" t="str">
        <f>IF('1. Live'!AH49='check-Jul''26'!AD50,"",'1. Live'!AH49-'check-Jul''26'!AD50)</f>
        <v/>
      </c>
      <c r="AE49" s="70" t="str">
        <f>IF('1. Live'!AI49='check-Jul''26'!AE50,"",'1. Live'!AI49-'check-Jul''26'!AE50)</f>
        <v/>
      </c>
      <c r="AF49" s="70" t="str">
        <f>IF('1. Live'!AJ49='check-Jul''26'!AF50,"",'1. Live'!AJ49-'check-Jul''26'!AF50)</f>
        <v/>
      </c>
      <c r="AG49" s="70" t="str">
        <f>IF('1. Live'!AK49='check-Jul''26'!AG50,"",'1. Live'!AK49-'check-Jul''26'!AG50)</f>
        <v/>
      </c>
      <c r="AH49" s="70" t="str">
        <f>IF('1. Live'!AL49='check-Jul''26'!AH50,"",'1. Live'!AL49-'check-Jul''26'!AH50)</f>
        <v/>
      </c>
      <c r="AI49" s="70" t="str">
        <f>IF('1. Live'!AM49='check-Jul''26'!AI50,"",'1. Live'!AM49-'check-Jul''26'!AI50)</f>
        <v/>
      </c>
      <c r="AJ49" s="70" t="str">
        <f>IF('1. Live'!AN49='check-Jul''26'!AJ50,"",'1. Live'!AN49-'check-Jul''26'!AJ50)</f>
        <v/>
      </c>
      <c r="AK49" s="70" t="str">
        <f>IF('1. Live'!AO49='check-Jul''26'!AK50,"",'1. Live'!AO49-'check-Jul''26'!AK50)</f>
        <v/>
      </c>
      <c r="AL49" s="70" t="str">
        <f>IF('1. Live'!AP49='check-Jul''26'!AL50,"",'1. Live'!AP49-'check-Jul''26'!AL50)</f>
        <v/>
      </c>
      <c r="AM49" s="70" t="str">
        <f>IF('1. Live'!AQ49='check-Jul''26'!AM50,"",'1. Live'!AQ49-'check-Jul''26'!AM50)</f>
        <v/>
      </c>
      <c r="AN49" s="70" t="str">
        <f>IF('1. Live'!AR49='check-Jul''26'!AN50,"",'1. Live'!AR49-'check-Jul''26'!AN50)</f>
        <v/>
      </c>
      <c r="AO49" s="70" t="str">
        <f>IF('1. Live'!AS49='check-Jul''26'!AO50,"",'1. Live'!AS49-'check-Jul''26'!AO50)</f>
        <v/>
      </c>
      <c r="AP49" s="70" t="str">
        <f>IF('1. Live'!AT49='check-Jul''26'!AP50,"",'1. Live'!AT49-'check-Jul''26'!AP50)</f>
        <v/>
      </c>
      <c r="AQ49" s="70" t="str">
        <f>IF('1. Live'!AU49='check-Jul''26'!AQ50,"",'1. Live'!AU49-'check-Jul''26'!AQ50)</f>
        <v/>
      </c>
      <c r="AR49" s="70" t="str">
        <f>IF('1. Live'!AV49='check-Jul''26'!AR50,"",'1. Live'!AV49-'check-Jul''26'!AR50)</f>
        <v/>
      </c>
      <c r="AS49" s="70" t="str">
        <f>IF('1. Live'!AW49='check-Jul''26'!AS50,"",'1. Live'!AW49-'check-Jul''26'!AS50)</f>
        <v/>
      </c>
      <c r="AT49" s="70" t="str">
        <f>IF('1. Live'!AX49='check-Jul''26'!AT50,"",'1. Live'!AX49-'check-Jul''26'!AT50)</f>
        <v/>
      </c>
      <c r="AU49" s="70" t="str">
        <f>IF('1. Live'!AY49='check-Jul''26'!AU50,"",'1. Live'!AY49-'check-Jul''26'!AU50)</f>
        <v/>
      </c>
      <c r="AV49" s="70" t="str">
        <f>IF('1. Live'!AZ49='check-Jul''26'!AV50,"",'1. Live'!AZ49-'check-Jul''26'!AV50)</f>
        <v/>
      </c>
      <c r="AW49" s="70" t="str">
        <f>IF('1. Live'!BA49='check-Jul''26'!AW50,"",'1. Live'!BA49-'check-Jul''26'!AW50)</f>
        <v/>
      </c>
      <c r="AX49" s="70" t="str">
        <f>IF('1. Live'!BB49='check-Jul''26'!AX50,"",'1. Live'!BB49-'check-Jul''26'!AX50)</f>
        <v/>
      </c>
      <c r="AY49" s="70" t="str">
        <f>IF('1. Live'!BC49='check-Jul''26'!AY50,"",'1. Live'!BC49-'check-Jul''26'!AY50)</f>
        <v/>
      </c>
      <c r="AZ49" s="70" t="str">
        <f>IF('1. Live'!BD49='check-Jul''26'!AZ50,"",'1. Live'!BD49-'check-Jul''26'!AZ50)</f>
        <v/>
      </c>
      <c r="BA49" s="70" t="str">
        <f>IF('1. Live'!BE49='check-Jul''26'!BA50,"",'1. Live'!BE49-'check-Jul''26'!BA50)</f>
        <v/>
      </c>
      <c r="BB49" s="70" t="str">
        <f>IF('1. Live'!BF49='check-Jul''26'!BB50,"",'1. Live'!BF49-'check-Jul''26'!BB50)</f>
        <v/>
      </c>
      <c r="BC49" s="70" t="str">
        <f>IF('1. Live'!BG49='check-Jul''26'!BC50,"",'1. Live'!BG49-'check-Jul''26'!BC50)</f>
        <v/>
      </c>
      <c r="BD49" s="70" t="str">
        <f>IF('1. Live'!BH49='check-Jul''26'!BD50,"",'1. Live'!BH49-'check-Jul''26'!BD50)</f>
        <v/>
      </c>
      <c r="BE49" s="70" t="str">
        <f>IF('1. Live'!BI49='check-Jul''26'!BE50,"",'1. Live'!BI49-'check-Jul''26'!BE50)</f>
        <v/>
      </c>
      <c r="BF49" s="70" t="str">
        <f>IF('1. Live'!BJ49='check-Jul''26'!BF50,"",'1. Live'!BJ49-'check-Jul''26'!BF50)</f>
        <v/>
      </c>
      <c r="BG49" s="70" t="str">
        <f>IF('1. Live'!BK49='check-Jul''26'!BG50,"",'1. Live'!BK49-'check-Jul''26'!BG50)</f>
        <v/>
      </c>
      <c r="BH49" s="70" t="str">
        <f>IF('1. Live'!BL49='check-Jul''26'!BH50,"",'1. Live'!BL49-'check-Jul''26'!BH50)</f>
        <v/>
      </c>
      <c r="BI49" s="70" t="str">
        <f>IF('1. Live'!BM49='check-Jul''26'!BI50,"",'1. Live'!BM49-'check-Jul''26'!BI50)</f>
        <v/>
      </c>
      <c r="BJ49" s="70" t="str">
        <f>IF('1. Live'!BN49='check-Jul''26'!BJ50,"",'1. Live'!BN49-'check-Jul''26'!BJ50)</f>
        <v/>
      </c>
      <c r="BK49" s="70" t="str">
        <f>IF('1. Live'!BO49='check-Jul''26'!BK50,"",'1. Live'!BO49-'check-Jul''26'!BK50)</f>
        <v/>
      </c>
      <c r="BL49" s="70" t="str">
        <f>IF('1. Live'!BP49='check-Jul''26'!BL50,"",'1. Live'!BP49-'check-Jul''26'!BL50)</f>
        <v/>
      </c>
      <c r="BM49" s="70" t="str">
        <f>IF('1. Live'!BQ49='check-Jul''26'!BM50,"",'1. Live'!BQ49-'check-Jul''26'!BM50)</f>
        <v/>
      </c>
      <c r="BN49" s="70" t="str">
        <f>IF('1. Live'!BR49='check-Jul''26'!BN50,"",'1. Live'!BR49-'check-Jul''26'!BN50)</f>
        <v/>
      </c>
      <c r="BO49" s="70" t="str">
        <f>IF('1. Live'!BS49='check-Jul''26'!BO50,"",'1. Live'!BS49-'check-Jul''26'!BO50)</f>
        <v/>
      </c>
      <c r="BP49" s="70" t="str">
        <f>IF('1. Live'!BT49='check-Jul''26'!BP50,"",'1. Live'!BT49-'check-Jul''26'!BP50)</f>
        <v/>
      </c>
      <c r="BQ49" s="70" t="str">
        <f>IF('1. Live'!BU49='check-Jul''26'!BQ50,"",'1. Live'!BU49-'check-Jul''26'!BQ50)</f>
        <v/>
      </c>
      <c r="BR49" s="70" t="str">
        <f>IF('1. Live'!BV49='check-Jul''26'!BR50,"",'1. Live'!BV49-'check-Jul''26'!BR50)</f>
        <v/>
      </c>
      <c r="BS49" s="70" t="str">
        <f>IF('1. Live'!BW49='check-Jul''26'!BS50,"",'1. Live'!BW49-'check-Jul''26'!BS50)</f>
        <v/>
      </c>
      <c r="BT49" s="70" t="str">
        <f>IF('1. Live'!BX49='check-Jul''26'!BT50,"",'1. Live'!BX49-'check-Jul''26'!BT50)</f>
        <v/>
      </c>
      <c r="BU49" s="70" t="str">
        <f>IF('1. Live'!BY49='check-Jul''26'!BU50,"",'1. Live'!BY49-'check-Jul''26'!BU50)</f>
        <v/>
      </c>
      <c r="BV49" s="70" t="str">
        <f>IF('1. Live'!BZ49='check-Jul''26'!BV50,"",'1. Live'!BZ49-'check-Jul''26'!BV50)</f>
        <v/>
      </c>
      <c r="BW49" s="70" t="str">
        <f>IF('1. Live'!CA49='check-Jul''26'!BW50,"",'1. Live'!CA49-'check-Jul''26'!BW50)</f>
        <v/>
      </c>
      <c r="BX49" s="70" t="str">
        <f>IF('1. Live'!CB49='check-Jul''26'!BX50,"",'1. Live'!CB49-'check-Jul''26'!BX50)</f>
        <v/>
      </c>
      <c r="BY49" s="70" t="str">
        <f>IF('1. Live'!CC49='check-Jul''26'!BY50,"",'1. Live'!CC49-'check-Jul''26'!BY50)</f>
        <v/>
      </c>
      <c r="BZ49" s="70" t="str">
        <f>IF('1. Live'!CD49='check-Jul''26'!BZ50,"",'1. Live'!CD49-'check-Jul''26'!BZ50)</f>
        <v/>
      </c>
      <c r="CA49" s="70" t="str">
        <f>IF('1. Live'!CE49='check-Jul''26'!CA50,"",'1. Live'!CE49-'check-Jul''26'!CA50)</f>
        <v/>
      </c>
      <c r="CB49" s="70" t="str">
        <f>IF('1. Live'!CF49='check-Jul''26'!CB50,"",'1. Live'!CF49-'check-Jul''26'!CB50)</f>
        <v/>
      </c>
      <c r="CC49" s="70" t="str">
        <f>IF('1. Live'!CG49='check-Jul''26'!CC50,"",'1. Live'!CG49-'check-Jul''26'!CC50)</f>
        <v/>
      </c>
      <c r="CD49" s="70" t="str">
        <f>IF('1. Live'!CH49='check-Jul''26'!CD50,"",'1. Live'!CH49-'check-Jul''26'!CD50)</f>
        <v/>
      </c>
      <c r="CE49" s="70" t="str">
        <f>IF('1. Live'!CI49='check-Jul''26'!CE50,"",'1. Live'!CI49-'check-Jul''26'!CE50)</f>
        <v/>
      </c>
      <c r="CF49" s="70" t="str">
        <f>IF('1. Live'!CJ49='check-Jul''26'!CF50,"",'1. Live'!CJ49-'check-Jul''26'!CF50)</f>
        <v/>
      </c>
      <c r="CG49" s="70" t="str">
        <f>IF('1. Live'!CK49='check-Jul''26'!CG50,"",'1. Live'!CK49-'check-Jul''26'!CG50)</f>
        <v/>
      </c>
      <c r="CH49" s="70" t="str">
        <f>IF('1. Live'!CL49='check-Jul''26'!CH50,"",'1. Live'!CL49-'check-Jul''26'!CH50)</f>
        <v/>
      </c>
      <c r="CI49" s="70" t="str">
        <f>IF('1. Live'!CM49='check-Jul''26'!CI50,"",'1. Live'!CM49-'check-Jul''26'!CI50)</f>
        <v/>
      </c>
      <c r="CJ49" s="70" t="str">
        <f>IF('1. Live'!CN49='check-Jul''26'!CJ50,"",'1. Live'!CN49-'check-Jul''26'!CJ50)</f>
        <v/>
      </c>
      <c r="CK49" s="70" t="str">
        <f>IF('1. Live'!CO49='check-Jul''26'!CK50,"",'1. Live'!CO49-'check-Jul''26'!CK50)</f>
        <v/>
      </c>
      <c r="CL49" s="70" t="str">
        <f>IF('1. Live'!CP49='check-Jul''26'!CL50,"",'1. Live'!CP49-'check-Jul''26'!CL50)</f>
        <v/>
      </c>
      <c r="CM49" s="70" t="str">
        <f>IF('1. Live'!CQ49='check-Jul''26'!CM50,"",'1. Live'!CQ49-'check-Jul''26'!CM50)</f>
        <v/>
      </c>
      <c r="CN49" s="70" t="str">
        <f>IF('1. Live'!CR49='check-Jul''26'!CN50,"",'1. Live'!CR49-'check-Jul''26'!CN50)</f>
        <v/>
      </c>
      <c r="CO49" s="70" t="str">
        <f>IF('1. Live'!CS49='check-Jul''26'!CO50,"",'1. Live'!CS49-'check-Jul''26'!CO50)</f>
        <v/>
      </c>
      <c r="CP49" s="70" t="str">
        <f>IF('1. Live'!CT49='check-Jul''26'!CP50,"",'1. Live'!CT49-'check-Jul''26'!CP50)</f>
        <v/>
      </c>
      <c r="CQ49" s="70" t="str">
        <f>IF('1. Live'!CU49='check-Jul''26'!CQ50,"",'1. Live'!CU49-'check-Jul''26'!CQ50)</f>
        <v/>
      </c>
      <c r="CR49" s="70" t="str">
        <f>IF('1. Live'!CV49='check-Jul''26'!CR50,"",'1. Live'!CV49-'check-Jul''26'!CR50)</f>
        <v/>
      </c>
      <c r="CS49" s="70" t="str">
        <f>IF('1. Live'!CW49='check-Jul''26'!CS50,"",'1. Live'!CW49-'check-Jul''26'!CS50)</f>
        <v/>
      </c>
      <c r="CT49" s="70" t="str">
        <f>IF('1. Live'!CX49='check-Jul''26'!CT50,"",'1. Live'!CX49-'check-Jul''26'!CT50)</f>
        <v/>
      </c>
      <c r="CU49" s="70" t="str">
        <f>IF('1. Live'!CY49='check-Jul''26'!CU50,"",'1. Live'!CY49-'check-Jul''26'!CU50)</f>
        <v/>
      </c>
      <c r="CV49" s="70" t="str">
        <f>IF('1. Live'!CZ49='check-Jul''26'!CV50,"",'1. Live'!CZ49-'check-Jul''26'!CV50)</f>
        <v/>
      </c>
    </row>
    <row r="50" spans="2:100" s="70" customFormat="1" x14ac:dyDescent="0.25">
      <c r="B50" s="68"/>
      <c r="C50" s="4" t="s">
        <v>667</v>
      </c>
      <c r="D50" s="153" t="s">
        <v>867</v>
      </c>
      <c r="E50" s="2" t="s">
        <v>847</v>
      </c>
      <c r="F50" s="2" t="s">
        <v>383</v>
      </c>
      <c r="G50" s="2" t="s">
        <v>862</v>
      </c>
      <c r="H50" s="153"/>
      <c r="I50" s="32" t="s">
        <v>678</v>
      </c>
      <c r="J50" s="2" t="s">
        <v>76</v>
      </c>
      <c r="K50" s="2" t="s">
        <v>668</v>
      </c>
      <c r="L50" s="6">
        <v>2024</v>
      </c>
      <c r="M50" s="6" t="s">
        <v>271</v>
      </c>
      <c r="N50" s="90" t="str">
        <f>IF('1. Live'!N50='check-Jul''26'!N50,"",'1. Live'!N50-'check-Jul''26'!N50)</f>
        <v/>
      </c>
      <c r="O50" s="17" t="str">
        <f>IF('1. Live'!O50='check-Jul''26'!O50,"",'1. Live'!O50-'check-Jul''26'!O50)</f>
        <v/>
      </c>
      <c r="P50" s="17" t="str">
        <f>IF('1. Live'!P50='check-Jul''26'!P50,"",'1. Live'!P50-'check-Jul''26'!P50)</f>
        <v/>
      </c>
      <c r="Q50" s="17" t="str">
        <f>IF('1. Live'!Q50='check-Jul''26'!Q50,"",'1. Live'!Q50-'check-Jul''26'!Q50)</f>
        <v/>
      </c>
      <c r="R50" s="17" t="str">
        <f>IF('1. Live'!R50='check-Jul''26'!R50,"",'1. Live'!R50-'check-Jul''26'!R50)</f>
        <v/>
      </c>
      <c r="S50" s="17" t="str">
        <f>IF('1. Live'!S50='check-Jul''26'!S50,"",'1. Live'!S50-'check-Jul''26'!S50)</f>
        <v/>
      </c>
      <c r="T50" s="17" t="str">
        <f>IF('1. Live'!T50='check-Jul''26'!T50,"",'1. Live'!T50-'check-Jul''26'!T50)</f>
        <v/>
      </c>
      <c r="U50" s="10" t="str">
        <f>IF('1. Live'!U50='check-Jul''26'!U50,"",'1. Live'!U50-'check-Jul''26'!U50)</f>
        <v/>
      </c>
      <c r="V50" s="87" t="str">
        <f>IF('1. Live'!V50='check-Jul''26'!V50,"",'1. Live'!V50-'check-Jul''26'!V50)</f>
        <v/>
      </c>
      <c r="W50" s="69"/>
      <c r="AA50" s="70" t="str">
        <f>IF('1. Live'!AA50='check-Jul''26'!W51,"",'1. Live'!AA50-'check-Jul''26'!W51)</f>
        <v/>
      </c>
      <c r="AB50" s="70" t="str">
        <f>IF('1. Live'!AF50='check-Jul''26'!AB51,"",'1. Live'!AF50-'check-Jul''26'!AB51)</f>
        <v/>
      </c>
      <c r="AC50" s="70" t="str">
        <f>IF('1. Live'!AG50='check-Jul''26'!AC51,"",'1. Live'!AG50-'check-Jul''26'!AC51)</f>
        <v/>
      </c>
      <c r="AD50" s="70" t="str">
        <f>IF('1. Live'!AH50='check-Jul''26'!AD51,"",'1. Live'!AH50-'check-Jul''26'!AD51)</f>
        <v/>
      </c>
      <c r="AE50" s="70" t="str">
        <f>IF('1. Live'!AI50='check-Jul''26'!AE51,"",'1. Live'!AI50-'check-Jul''26'!AE51)</f>
        <v/>
      </c>
      <c r="AF50" s="70" t="str">
        <f>IF('1. Live'!AJ50='check-Jul''26'!AF51,"",'1. Live'!AJ50-'check-Jul''26'!AF51)</f>
        <v/>
      </c>
      <c r="AG50" s="70" t="str">
        <f>IF('1. Live'!AK50='check-Jul''26'!AG51,"",'1. Live'!AK50-'check-Jul''26'!AG51)</f>
        <v/>
      </c>
      <c r="AH50" s="70" t="str">
        <f>IF('1. Live'!AL50='check-Jul''26'!AH51,"",'1. Live'!AL50-'check-Jul''26'!AH51)</f>
        <v/>
      </c>
      <c r="AI50" s="70" t="str">
        <f>IF('1. Live'!AM50='check-Jul''26'!AI51,"",'1. Live'!AM50-'check-Jul''26'!AI51)</f>
        <v/>
      </c>
      <c r="AJ50" s="70" t="str">
        <f>IF('1. Live'!AN50='check-Jul''26'!AJ51,"",'1. Live'!AN50-'check-Jul''26'!AJ51)</f>
        <v/>
      </c>
      <c r="AK50" s="70" t="str">
        <f>IF('1. Live'!AO50='check-Jul''26'!AK51,"",'1. Live'!AO50-'check-Jul''26'!AK51)</f>
        <v/>
      </c>
      <c r="AL50" s="70" t="str">
        <f>IF('1. Live'!AP50='check-Jul''26'!AL51,"",'1. Live'!AP50-'check-Jul''26'!AL51)</f>
        <v/>
      </c>
      <c r="AM50" s="70" t="str">
        <f>IF('1. Live'!AQ50='check-Jul''26'!AM51,"",'1. Live'!AQ50-'check-Jul''26'!AM51)</f>
        <v/>
      </c>
      <c r="AN50" s="70" t="str">
        <f>IF('1. Live'!AR50='check-Jul''26'!AN51,"",'1. Live'!AR50-'check-Jul''26'!AN51)</f>
        <v/>
      </c>
      <c r="AO50" s="70" t="str">
        <f>IF('1. Live'!AS50='check-Jul''26'!AO51,"",'1. Live'!AS50-'check-Jul''26'!AO51)</f>
        <v/>
      </c>
      <c r="AP50" s="70" t="str">
        <f>IF('1. Live'!AT50='check-Jul''26'!AP51,"",'1. Live'!AT50-'check-Jul''26'!AP51)</f>
        <v/>
      </c>
      <c r="AQ50" s="70" t="str">
        <f>IF('1. Live'!AU50='check-Jul''26'!AQ51,"",'1. Live'!AU50-'check-Jul''26'!AQ51)</f>
        <v/>
      </c>
      <c r="AR50" s="70" t="str">
        <f>IF('1. Live'!AV50='check-Jul''26'!AR51,"",'1. Live'!AV50-'check-Jul''26'!AR51)</f>
        <v/>
      </c>
      <c r="AS50" s="70" t="str">
        <f>IF('1. Live'!AW50='check-Jul''26'!AS51,"",'1. Live'!AW50-'check-Jul''26'!AS51)</f>
        <v/>
      </c>
      <c r="AT50" s="70" t="str">
        <f>IF('1. Live'!AX50='check-Jul''26'!AT51,"",'1. Live'!AX50-'check-Jul''26'!AT51)</f>
        <v/>
      </c>
      <c r="AU50" s="70" t="str">
        <f>IF('1. Live'!AY50='check-Jul''26'!AU51,"",'1. Live'!AY50-'check-Jul''26'!AU51)</f>
        <v/>
      </c>
      <c r="AV50" s="70" t="str">
        <f>IF('1. Live'!AZ50='check-Jul''26'!AV51,"",'1. Live'!AZ50-'check-Jul''26'!AV51)</f>
        <v/>
      </c>
      <c r="AW50" s="70" t="str">
        <f>IF('1. Live'!BA50='check-Jul''26'!AW51,"",'1. Live'!BA50-'check-Jul''26'!AW51)</f>
        <v/>
      </c>
      <c r="AX50" s="70" t="str">
        <f>IF('1. Live'!BB50='check-Jul''26'!AX51,"",'1. Live'!BB50-'check-Jul''26'!AX51)</f>
        <v/>
      </c>
      <c r="AY50" s="70" t="str">
        <f>IF('1. Live'!BC50='check-Jul''26'!AY51,"",'1. Live'!BC50-'check-Jul''26'!AY51)</f>
        <v/>
      </c>
      <c r="AZ50" s="70" t="str">
        <f>IF('1. Live'!BD50='check-Jul''26'!AZ51,"",'1. Live'!BD50-'check-Jul''26'!AZ51)</f>
        <v/>
      </c>
      <c r="BA50" s="70" t="str">
        <f>IF('1. Live'!BE50='check-Jul''26'!BA51,"",'1. Live'!BE50-'check-Jul''26'!BA51)</f>
        <v/>
      </c>
      <c r="BB50" s="70" t="str">
        <f>IF('1. Live'!BF50='check-Jul''26'!BB51,"",'1. Live'!BF50-'check-Jul''26'!BB51)</f>
        <v/>
      </c>
      <c r="BC50" s="70" t="str">
        <f>IF('1. Live'!BG50='check-Jul''26'!BC51,"",'1. Live'!BG50-'check-Jul''26'!BC51)</f>
        <v/>
      </c>
      <c r="BD50" s="70" t="str">
        <f>IF('1. Live'!BH50='check-Jul''26'!BD51,"",'1. Live'!BH50-'check-Jul''26'!BD51)</f>
        <v/>
      </c>
      <c r="BE50" s="70" t="str">
        <f>IF('1. Live'!BI50='check-Jul''26'!BE51,"",'1. Live'!BI50-'check-Jul''26'!BE51)</f>
        <v/>
      </c>
      <c r="BF50" s="70" t="str">
        <f>IF('1. Live'!BJ50='check-Jul''26'!BF51,"",'1. Live'!BJ50-'check-Jul''26'!BF51)</f>
        <v/>
      </c>
      <c r="BG50" s="70" t="str">
        <f>IF('1. Live'!BK50='check-Jul''26'!BG51,"",'1. Live'!BK50-'check-Jul''26'!BG51)</f>
        <v/>
      </c>
      <c r="BH50" s="70" t="str">
        <f>IF('1. Live'!BL50='check-Jul''26'!BH51,"",'1. Live'!BL50-'check-Jul''26'!BH51)</f>
        <v/>
      </c>
      <c r="BI50" s="70" t="str">
        <f>IF('1. Live'!BM50='check-Jul''26'!BI51,"",'1. Live'!BM50-'check-Jul''26'!BI51)</f>
        <v/>
      </c>
      <c r="BJ50" s="70" t="str">
        <f>IF('1. Live'!BN50='check-Jul''26'!BJ51,"",'1. Live'!BN50-'check-Jul''26'!BJ51)</f>
        <v/>
      </c>
      <c r="BK50" s="70" t="str">
        <f>IF('1. Live'!BO50='check-Jul''26'!BK51,"",'1. Live'!BO50-'check-Jul''26'!BK51)</f>
        <v/>
      </c>
      <c r="BL50" s="70" t="str">
        <f>IF('1. Live'!BP50='check-Jul''26'!BL51,"",'1. Live'!BP50-'check-Jul''26'!BL51)</f>
        <v/>
      </c>
      <c r="BM50" s="70" t="str">
        <f>IF('1. Live'!BQ50='check-Jul''26'!BM51,"",'1. Live'!BQ50-'check-Jul''26'!BM51)</f>
        <v/>
      </c>
      <c r="BN50" s="70" t="str">
        <f>IF('1. Live'!BR50='check-Jul''26'!BN51,"",'1. Live'!BR50-'check-Jul''26'!BN51)</f>
        <v/>
      </c>
      <c r="BO50" s="70" t="str">
        <f>IF('1. Live'!BS50='check-Jul''26'!BO51,"",'1. Live'!BS50-'check-Jul''26'!BO51)</f>
        <v/>
      </c>
      <c r="BP50" s="70" t="str">
        <f>IF('1. Live'!BT50='check-Jul''26'!BP51,"",'1. Live'!BT50-'check-Jul''26'!BP51)</f>
        <v/>
      </c>
      <c r="BQ50" s="70" t="str">
        <f>IF('1. Live'!BU50='check-Jul''26'!BQ51,"",'1. Live'!BU50-'check-Jul''26'!BQ51)</f>
        <v/>
      </c>
      <c r="BR50" s="70" t="str">
        <f>IF('1. Live'!BV50='check-Jul''26'!BR51,"",'1. Live'!BV50-'check-Jul''26'!BR51)</f>
        <v/>
      </c>
      <c r="BS50" s="70" t="str">
        <f>IF('1. Live'!BW50='check-Jul''26'!BS51,"",'1. Live'!BW50-'check-Jul''26'!BS51)</f>
        <v/>
      </c>
      <c r="BT50" s="70" t="str">
        <f>IF('1. Live'!BX50='check-Jul''26'!BT51,"",'1. Live'!BX50-'check-Jul''26'!BT51)</f>
        <v/>
      </c>
      <c r="BU50" s="70" t="str">
        <f>IF('1. Live'!BY50='check-Jul''26'!BU51,"",'1. Live'!BY50-'check-Jul''26'!BU51)</f>
        <v/>
      </c>
      <c r="BV50" s="70" t="str">
        <f>IF('1. Live'!BZ50='check-Jul''26'!BV51,"",'1. Live'!BZ50-'check-Jul''26'!BV51)</f>
        <v/>
      </c>
      <c r="BW50" s="70" t="str">
        <f>IF('1. Live'!CA50='check-Jul''26'!BW51,"",'1. Live'!CA50-'check-Jul''26'!BW51)</f>
        <v/>
      </c>
      <c r="BX50" s="70" t="str">
        <f>IF('1. Live'!CB50='check-Jul''26'!BX51,"",'1. Live'!CB50-'check-Jul''26'!BX51)</f>
        <v/>
      </c>
      <c r="BY50" s="70" t="str">
        <f>IF('1. Live'!CC50='check-Jul''26'!BY51,"",'1. Live'!CC50-'check-Jul''26'!BY51)</f>
        <v/>
      </c>
      <c r="BZ50" s="70" t="str">
        <f>IF('1. Live'!CD50='check-Jul''26'!BZ51,"",'1. Live'!CD50-'check-Jul''26'!BZ51)</f>
        <v/>
      </c>
      <c r="CA50" s="70" t="str">
        <f>IF('1. Live'!CE50='check-Jul''26'!CA51,"",'1. Live'!CE50-'check-Jul''26'!CA51)</f>
        <v/>
      </c>
      <c r="CB50" s="70" t="str">
        <f>IF('1. Live'!CF50='check-Jul''26'!CB51,"",'1. Live'!CF50-'check-Jul''26'!CB51)</f>
        <v/>
      </c>
      <c r="CC50" s="70" t="str">
        <f>IF('1. Live'!CG50='check-Jul''26'!CC51,"",'1. Live'!CG50-'check-Jul''26'!CC51)</f>
        <v/>
      </c>
      <c r="CD50" s="70" t="str">
        <f>IF('1. Live'!CH50='check-Jul''26'!CD51,"",'1. Live'!CH50-'check-Jul''26'!CD51)</f>
        <v/>
      </c>
      <c r="CE50" s="70" t="str">
        <f>IF('1. Live'!CI50='check-Jul''26'!CE51,"",'1. Live'!CI50-'check-Jul''26'!CE51)</f>
        <v/>
      </c>
      <c r="CF50" s="70" t="str">
        <f>IF('1. Live'!CJ50='check-Jul''26'!CF51,"",'1. Live'!CJ50-'check-Jul''26'!CF51)</f>
        <v/>
      </c>
      <c r="CG50" s="70" t="str">
        <f>IF('1. Live'!CK50='check-Jul''26'!CG51,"",'1. Live'!CK50-'check-Jul''26'!CG51)</f>
        <v/>
      </c>
      <c r="CH50" s="70" t="str">
        <f>IF('1. Live'!CL50='check-Jul''26'!CH51,"",'1. Live'!CL50-'check-Jul''26'!CH51)</f>
        <v/>
      </c>
      <c r="CI50" s="70" t="str">
        <f>IF('1. Live'!CM50='check-Jul''26'!CI51,"",'1. Live'!CM50-'check-Jul''26'!CI51)</f>
        <v/>
      </c>
      <c r="CJ50" s="70" t="str">
        <f>IF('1. Live'!CN50='check-Jul''26'!CJ51,"",'1. Live'!CN50-'check-Jul''26'!CJ51)</f>
        <v/>
      </c>
      <c r="CK50" s="70" t="str">
        <f>IF('1. Live'!CO50='check-Jul''26'!CK51,"",'1. Live'!CO50-'check-Jul''26'!CK51)</f>
        <v/>
      </c>
      <c r="CL50" s="70" t="str">
        <f>IF('1. Live'!CP50='check-Jul''26'!CL51,"",'1. Live'!CP50-'check-Jul''26'!CL51)</f>
        <v/>
      </c>
      <c r="CM50" s="70" t="str">
        <f>IF('1. Live'!CQ50='check-Jul''26'!CM51,"",'1. Live'!CQ50-'check-Jul''26'!CM51)</f>
        <v/>
      </c>
      <c r="CN50" s="70" t="str">
        <f>IF('1. Live'!CR50='check-Jul''26'!CN51,"",'1. Live'!CR50-'check-Jul''26'!CN51)</f>
        <v/>
      </c>
      <c r="CO50" s="70" t="str">
        <f>IF('1. Live'!CS50='check-Jul''26'!CO51,"",'1. Live'!CS50-'check-Jul''26'!CO51)</f>
        <v/>
      </c>
      <c r="CP50" s="70" t="str">
        <f>IF('1. Live'!CT50='check-Jul''26'!CP51,"",'1. Live'!CT50-'check-Jul''26'!CP51)</f>
        <v/>
      </c>
      <c r="CQ50" s="70" t="str">
        <f>IF('1. Live'!CU50='check-Jul''26'!CQ51,"",'1. Live'!CU50-'check-Jul''26'!CQ51)</f>
        <v/>
      </c>
      <c r="CR50" s="70" t="str">
        <f>IF('1. Live'!CV50='check-Jul''26'!CR51,"",'1. Live'!CV50-'check-Jul''26'!CR51)</f>
        <v/>
      </c>
      <c r="CS50" s="70" t="str">
        <f>IF('1. Live'!CW50='check-Jul''26'!CS51,"",'1. Live'!CW50-'check-Jul''26'!CS51)</f>
        <v/>
      </c>
      <c r="CT50" s="70" t="str">
        <f>IF('1. Live'!CX50='check-Jul''26'!CT51,"",'1. Live'!CX50-'check-Jul''26'!CT51)</f>
        <v/>
      </c>
      <c r="CU50" s="70" t="str">
        <f>IF('1. Live'!CY50='check-Jul''26'!CU51,"",'1. Live'!CY50-'check-Jul''26'!CU51)</f>
        <v/>
      </c>
      <c r="CV50" s="70" t="str">
        <f>IF('1. Live'!CZ50='check-Jul''26'!CV51,"",'1. Live'!CZ50-'check-Jul''26'!CV51)</f>
        <v/>
      </c>
    </row>
    <row r="51" spans="2:100" s="70" customFormat="1" x14ac:dyDescent="0.25">
      <c r="B51" s="68"/>
      <c r="C51" s="5"/>
      <c r="D51" s="143"/>
      <c r="E51" s="143"/>
      <c r="F51" s="143"/>
      <c r="G51" s="143"/>
      <c r="H51" s="143"/>
      <c r="I51" s="13"/>
      <c r="J51" s="7"/>
      <c r="K51" s="7"/>
      <c r="L51" s="6">
        <v>2024</v>
      </c>
      <c r="M51" s="14" t="s">
        <v>143</v>
      </c>
      <c r="N51" s="168" t="str">
        <f>IF('1. Live'!N51='check-Jul''26'!N51,"",'1. Live'!N51-'check-Jul''26'!N51)</f>
        <v/>
      </c>
      <c r="O51" s="24" t="str">
        <f>IF('1. Live'!O51='check-Jul''26'!O51,"",'1. Live'!O51-'check-Jul''26'!O51)</f>
        <v/>
      </c>
      <c r="P51" s="24" t="str">
        <f>IF('1. Live'!P51='check-Jul''26'!P51,"",'1. Live'!P51-'check-Jul''26'!P51)</f>
        <v/>
      </c>
      <c r="Q51" s="24" t="str">
        <f>IF('1. Live'!Q51='check-Jul''26'!Q51,"",'1. Live'!Q51-'check-Jul''26'!Q51)</f>
        <v/>
      </c>
      <c r="R51" s="24" t="str">
        <f>IF('1. Live'!R51='check-Jul''26'!R51,"",'1. Live'!R51-'check-Jul''26'!R51)</f>
        <v/>
      </c>
      <c r="S51" s="24" t="str">
        <f>IF('1. Live'!S51='check-Jul''26'!S51,"",'1. Live'!S51-'check-Jul''26'!S51)</f>
        <v/>
      </c>
      <c r="T51" s="24" t="str">
        <f>IF('1. Live'!T51='check-Jul''26'!T51,"",'1. Live'!T51-'check-Jul''26'!T51)</f>
        <v/>
      </c>
      <c r="U51" s="15" t="str">
        <f>IF('1. Live'!U51='check-Jul''26'!U51,"",'1. Live'!U51-'check-Jul''26'!U51)</f>
        <v/>
      </c>
      <c r="V51" s="178" t="str">
        <f>IF('1. Live'!V51='check-Jul''26'!V51,"",'1. Live'!V51-'check-Jul''26'!V51)</f>
        <v/>
      </c>
      <c r="W51" s="69"/>
      <c r="AA51" s="70" t="str">
        <f>IF('1. Live'!AA51='check-Jul''26'!W52,"",'1. Live'!AA51-'check-Jul''26'!W52)</f>
        <v/>
      </c>
      <c r="AB51" s="70" t="str">
        <f>IF('1. Live'!AF51='check-Jul''26'!AB52,"",'1. Live'!AF51-'check-Jul''26'!AB52)</f>
        <v/>
      </c>
      <c r="AC51" s="70" t="str">
        <f>IF('1. Live'!AG51='check-Jul''26'!AC52,"",'1. Live'!AG51-'check-Jul''26'!AC52)</f>
        <v/>
      </c>
      <c r="AD51" s="70" t="str">
        <f>IF('1. Live'!AH51='check-Jul''26'!AD52,"",'1. Live'!AH51-'check-Jul''26'!AD52)</f>
        <v/>
      </c>
      <c r="AE51" s="70" t="str">
        <f>IF('1. Live'!AI51='check-Jul''26'!AE52,"",'1. Live'!AI51-'check-Jul''26'!AE52)</f>
        <v/>
      </c>
      <c r="AF51" s="70" t="str">
        <f>IF('1. Live'!AJ51='check-Jul''26'!AF52,"",'1. Live'!AJ51-'check-Jul''26'!AF52)</f>
        <v/>
      </c>
      <c r="AG51" s="70" t="str">
        <f>IF('1. Live'!AK51='check-Jul''26'!AG52,"",'1. Live'!AK51-'check-Jul''26'!AG52)</f>
        <v/>
      </c>
      <c r="AH51" s="70" t="str">
        <f>IF('1. Live'!AL51='check-Jul''26'!AH52,"",'1. Live'!AL51-'check-Jul''26'!AH52)</f>
        <v/>
      </c>
      <c r="AI51" s="70" t="str">
        <f>IF('1. Live'!AM51='check-Jul''26'!AI52,"",'1. Live'!AM51-'check-Jul''26'!AI52)</f>
        <v/>
      </c>
      <c r="AJ51" s="70" t="str">
        <f>IF('1. Live'!AN51='check-Jul''26'!AJ52,"",'1. Live'!AN51-'check-Jul''26'!AJ52)</f>
        <v/>
      </c>
      <c r="AK51" s="70" t="str">
        <f>IF('1. Live'!AO51='check-Jul''26'!AK52,"",'1. Live'!AO51-'check-Jul''26'!AK52)</f>
        <v/>
      </c>
      <c r="AL51" s="70" t="str">
        <f>IF('1. Live'!AP51='check-Jul''26'!AL52,"",'1. Live'!AP51-'check-Jul''26'!AL52)</f>
        <v/>
      </c>
      <c r="AM51" s="70" t="str">
        <f>IF('1. Live'!AQ51='check-Jul''26'!AM52,"",'1. Live'!AQ51-'check-Jul''26'!AM52)</f>
        <v/>
      </c>
      <c r="AN51" s="70" t="str">
        <f>IF('1. Live'!AR51='check-Jul''26'!AN52,"",'1. Live'!AR51-'check-Jul''26'!AN52)</f>
        <v/>
      </c>
      <c r="AO51" s="70" t="str">
        <f>IF('1. Live'!AS51='check-Jul''26'!AO52,"",'1. Live'!AS51-'check-Jul''26'!AO52)</f>
        <v/>
      </c>
      <c r="AP51" s="70" t="str">
        <f>IF('1. Live'!AT51='check-Jul''26'!AP52,"",'1. Live'!AT51-'check-Jul''26'!AP52)</f>
        <v/>
      </c>
      <c r="AQ51" s="70" t="str">
        <f>IF('1. Live'!AU51='check-Jul''26'!AQ52,"",'1. Live'!AU51-'check-Jul''26'!AQ52)</f>
        <v/>
      </c>
      <c r="AR51" s="70" t="str">
        <f>IF('1. Live'!AV51='check-Jul''26'!AR52,"",'1. Live'!AV51-'check-Jul''26'!AR52)</f>
        <v/>
      </c>
      <c r="AS51" s="70" t="str">
        <f>IF('1. Live'!AW51='check-Jul''26'!AS52,"",'1. Live'!AW51-'check-Jul''26'!AS52)</f>
        <v/>
      </c>
      <c r="AT51" s="70" t="str">
        <f>IF('1. Live'!AX51='check-Jul''26'!AT52,"",'1. Live'!AX51-'check-Jul''26'!AT52)</f>
        <v/>
      </c>
      <c r="AU51" s="70" t="str">
        <f>IF('1. Live'!AY51='check-Jul''26'!AU52,"",'1. Live'!AY51-'check-Jul''26'!AU52)</f>
        <v/>
      </c>
      <c r="AV51" s="70" t="str">
        <f>IF('1. Live'!AZ51='check-Jul''26'!AV52,"",'1. Live'!AZ51-'check-Jul''26'!AV52)</f>
        <v/>
      </c>
      <c r="AW51" s="70" t="str">
        <f>IF('1. Live'!BA51='check-Jul''26'!AW52,"",'1. Live'!BA51-'check-Jul''26'!AW52)</f>
        <v/>
      </c>
      <c r="AX51" s="70" t="str">
        <f>IF('1. Live'!BB51='check-Jul''26'!AX52,"",'1. Live'!BB51-'check-Jul''26'!AX52)</f>
        <v/>
      </c>
      <c r="AY51" s="70" t="str">
        <f>IF('1. Live'!BC51='check-Jul''26'!AY52,"",'1. Live'!BC51-'check-Jul''26'!AY52)</f>
        <v/>
      </c>
      <c r="AZ51" s="70" t="str">
        <f>IF('1. Live'!BD51='check-Jul''26'!AZ52,"",'1. Live'!BD51-'check-Jul''26'!AZ52)</f>
        <v/>
      </c>
      <c r="BA51" s="70" t="str">
        <f>IF('1. Live'!BE51='check-Jul''26'!BA52,"",'1. Live'!BE51-'check-Jul''26'!BA52)</f>
        <v/>
      </c>
      <c r="BB51" s="70" t="str">
        <f>IF('1. Live'!BF51='check-Jul''26'!BB52,"",'1. Live'!BF51-'check-Jul''26'!BB52)</f>
        <v/>
      </c>
      <c r="BC51" s="70" t="str">
        <f>IF('1. Live'!BG51='check-Jul''26'!BC52,"",'1. Live'!BG51-'check-Jul''26'!BC52)</f>
        <v/>
      </c>
      <c r="BD51" s="70" t="str">
        <f>IF('1. Live'!BH51='check-Jul''26'!BD52,"",'1. Live'!BH51-'check-Jul''26'!BD52)</f>
        <v/>
      </c>
      <c r="BE51" s="70" t="str">
        <f>IF('1. Live'!BI51='check-Jul''26'!BE52,"",'1. Live'!BI51-'check-Jul''26'!BE52)</f>
        <v/>
      </c>
      <c r="BF51" s="70" t="str">
        <f>IF('1. Live'!BJ51='check-Jul''26'!BF52,"",'1. Live'!BJ51-'check-Jul''26'!BF52)</f>
        <v/>
      </c>
      <c r="BG51" s="70" t="str">
        <f>IF('1. Live'!BK51='check-Jul''26'!BG52,"",'1. Live'!BK51-'check-Jul''26'!BG52)</f>
        <v/>
      </c>
      <c r="BH51" s="70" t="str">
        <f>IF('1. Live'!BL51='check-Jul''26'!BH52,"",'1. Live'!BL51-'check-Jul''26'!BH52)</f>
        <v/>
      </c>
      <c r="BI51" s="70" t="str">
        <f>IF('1. Live'!BM51='check-Jul''26'!BI52,"",'1. Live'!BM51-'check-Jul''26'!BI52)</f>
        <v/>
      </c>
      <c r="BJ51" s="70" t="str">
        <f>IF('1. Live'!BN51='check-Jul''26'!BJ52,"",'1. Live'!BN51-'check-Jul''26'!BJ52)</f>
        <v/>
      </c>
      <c r="BK51" s="70" t="str">
        <f>IF('1. Live'!BO51='check-Jul''26'!BK52,"",'1. Live'!BO51-'check-Jul''26'!BK52)</f>
        <v/>
      </c>
      <c r="BL51" s="70" t="str">
        <f>IF('1. Live'!BP51='check-Jul''26'!BL52,"",'1. Live'!BP51-'check-Jul''26'!BL52)</f>
        <v/>
      </c>
      <c r="BM51" s="70" t="str">
        <f>IF('1. Live'!BQ51='check-Jul''26'!BM52,"",'1. Live'!BQ51-'check-Jul''26'!BM52)</f>
        <v/>
      </c>
      <c r="BN51" s="70" t="str">
        <f>IF('1. Live'!BR51='check-Jul''26'!BN52,"",'1. Live'!BR51-'check-Jul''26'!BN52)</f>
        <v/>
      </c>
      <c r="BO51" s="70" t="str">
        <f>IF('1. Live'!BS51='check-Jul''26'!BO52,"",'1. Live'!BS51-'check-Jul''26'!BO52)</f>
        <v/>
      </c>
      <c r="BP51" s="70" t="str">
        <f>IF('1. Live'!BT51='check-Jul''26'!BP52,"",'1. Live'!BT51-'check-Jul''26'!BP52)</f>
        <v/>
      </c>
      <c r="BQ51" s="70" t="str">
        <f>IF('1. Live'!BU51='check-Jul''26'!BQ52,"",'1. Live'!BU51-'check-Jul''26'!BQ52)</f>
        <v/>
      </c>
      <c r="BR51" s="70" t="str">
        <f>IF('1. Live'!BV51='check-Jul''26'!BR52,"",'1. Live'!BV51-'check-Jul''26'!BR52)</f>
        <v/>
      </c>
      <c r="BS51" s="70" t="str">
        <f>IF('1. Live'!BW51='check-Jul''26'!BS52,"",'1. Live'!BW51-'check-Jul''26'!BS52)</f>
        <v/>
      </c>
      <c r="BT51" s="70" t="str">
        <f>IF('1. Live'!BX51='check-Jul''26'!BT52,"",'1. Live'!BX51-'check-Jul''26'!BT52)</f>
        <v/>
      </c>
      <c r="BU51" s="70" t="str">
        <f>IF('1. Live'!BY51='check-Jul''26'!BU52,"",'1. Live'!BY51-'check-Jul''26'!BU52)</f>
        <v/>
      </c>
      <c r="BV51" s="70" t="str">
        <f>IF('1. Live'!BZ51='check-Jul''26'!BV52,"",'1. Live'!BZ51-'check-Jul''26'!BV52)</f>
        <v/>
      </c>
      <c r="BW51" s="70" t="str">
        <f>IF('1. Live'!CA51='check-Jul''26'!BW52,"",'1. Live'!CA51-'check-Jul''26'!BW52)</f>
        <v/>
      </c>
      <c r="BX51" s="70" t="str">
        <f>IF('1. Live'!CB51='check-Jul''26'!BX52,"",'1. Live'!CB51-'check-Jul''26'!BX52)</f>
        <v/>
      </c>
      <c r="BY51" s="70" t="str">
        <f>IF('1. Live'!CC51='check-Jul''26'!BY52,"",'1. Live'!CC51-'check-Jul''26'!BY52)</f>
        <v/>
      </c>
      <c r="BZ51" s="70" t="str">
        <f>IF('1. Live'!CD51='check-Jul''26'!BZ52,"",'1. Live'!CD51-'check-Jul''26'!BZ52)</f>
        <v/>
      </c>
      <c r="CA51" s="70" t="str">
        <f>IF('1. Live'!CE51='check-Jul''26'!CA52,"",'1. Live'!CE51-'check-Jul''26'!CA52)</f>
        <v/>
      </c>
      <c r="CB51" s="70" t="str">
        <f>IF('1. Live'!CF51='check-Jul''26'!CB52,"",'1. Live'!CF51-'check-Jul''26'!CB52)</f>
        <v/>
      </c>
      <c r="CC51" s="70" t="str">
        <f>IF('1. Live'!CG51='check-Jul''26'!CC52,"",'1. Live'!CG51-'check-Jul''26'!CC52)</f>
        <v/>
      </c>
      <c r="CD51" s="70" t="str">
        <f>IF('1. Live'!CH51='check-Jul''26'!CD52,"",'1. Live'!CH51-'check-Jul''26'!CD52)</f>
        <v/>
      </c>
      <c r="CE51" s="70" t="str">
        <f>IF('1. Live'!CI51='check-Jul''26'!CE52,"",'1. Live'!CI51-'check-Jul''26'!CE52)</f>
        <v/>
      </c>
      <c r="CF51" s="70" t="str">
        <f>IF('1. Live'!CJ51='check-Jul''26'!CF52,"",'1. Live'!CJ51-'check-Jul''26'!CF52)</f>
        <v/>
      </c>
      <c r="CG51" s="70" t="str">
        <f>IF('1. Live'!CK51='check-Jul''26'!CG52,"",'1. Live'!CK51-'check-Jul''26'!CG52)</f>
        <v/>
      </c>
      <c r="CH51" s="70" t="str">
        <f>IF('1. Live'!CL51='check-Jul''26'!CH52,"",'1. Live'!CL51-'check-Jul''26'!CH52)</f>
        <v/>
      </c>
      <c r="CI51" s="70" t="str">
        <f>IF('1. Live'!CM51='check-Jul''26'!CI52,"",'1. Live'!CM51-'check-Jul''26'!CI52)</f>
        <v/>
      </c>
      <c r="CJ51" s="70" t="str">
        <f>IF('1. Live'!CN51='check-Jul''26'!CJ52,"",'1. Live'!CN51-'check-Jul''26'!CJ52)</f>
        <v/>
      </c>
      <c r="CK51" s="70" t="str">
        <f>IF('1. Live'!CO51='check-Jul''26'!CK52,"",'1. Live'!CO51-'check-Jul''26'!CK52)</f>
        <v/>
      </c>
      <c r="CL51" s="70" t="str">
        <f>IF('1. Live'!CP51='check-Jul''26'!CL52,"",'1. Live'!CP51-'check-Jul''26'!CL52)</f>
        <v/>
      </c>
      <c r="CM51" s="70" t="str">
        <f>IF('1. Live'!CQ51='check-Jul''26'!CM52,"",'1. Live'!CQ51-'check-Jul''26'!CM52)</f>
        <v/>
      </c>
      <c r="CN51" s="70" t="str">
        <f>IF('1. Live'!CR51='check-Jul''26'!CN52,"",'1. Live'!CR51-'check-Jul''26'!CN52)</f>
        <v/>
      </c>
      <c r="CO51" s="70" t="str">
        <f>IF('1. Live'!CS51='check-Jul''26'!CO52,"",'1. Live'!CS51-'check-Jul''26'!CO52)</f>
        <v/>
      </c>
      <c r="CP51" s="70" t="str">
        <f>IF('1. Live'!CT51='check-Jul''26'!CP52,"",'1. Live'!CT51-'check-Jul''26'!CP52)</f>
        <v/>
      </c>
      <c r="CQ51" s="70" t="str">
        <f>IF('1. Live'!CU51='check-Jul''26'!CQ52,"",'1. Live'!CU51-'check-Jul''26'!CQ52)</f>
        <v/>
      </c>
      <c r="CR51" s="70" t="str">
        <f>IF('1. Live'!CV51='check-Jul''26'!CR52,"",'1. Live'!CV51-'check-Jul''26'!CR52)</f>
        <v/>
      </c>
      <c r="CS51" s="70" t="str">
        <f>IF('1. Live'!CW51='check-Jul''26'!CS52,"",'1. Live'!CW51-'check-Jul''26'!CS52)</f>
        <v/>
      </c>
      <c r="CT51" s="70" t="str">
        <f>IF('1. Live'!CX51='check-Jul''26'!CT52,"",'1. Live'!CX51-'check-Jul''26'!CT52)</f>
        <v/>
      </c>
      <c r="CU51" s="70" t="str">
        <f>IF('1. Live'!CY51='check-Jul''26'!CU52,"",'1. Live'!CY51-'check-Jul''26'!CU52)</f>
        <v/>
      </c>
      <c r="CV51" s="70" t="str">
        <f>IF('1. Live'!CZ51='check-Jul''26'!CV52,"",'1. Live'!CZ51-'check-Jul''26'!CV52)</f>
        <v/>
      </c>
    </row>
    <row r="52" spans="2:100" s="70" customFormat="1" x14ac:dyDescent="0.25">
      <c r="B52" s="68"/>
      <c r="C52" s="9"/>
      <c r="D52" s="9"/>
      <c r="E52" s="9"/>
      <c r="F52" s="9"/>
      <c r="G52" s="9"/>
      <c r="H52" s="9"/>
      <c r="I52" s="9"/>
      <c r="J52" s="9"/>
      <c r="K52" s="9"/>
      <c r="L52" s="9"/>
      <c r="M52" s="9"/>
      <c r="N52" s="93" t="str">
        <f>IF('1. Live'!N52='check-Jul''26'!N52,"",'1. Live'!N52-'check-Jul''26'!N52)</f>
        <v/>
      </c>
      <c r="O52" s="18">
        <f>IF('1. Live'!O52='check-Jul''26'!O52,"",'1. Live'!O52-'check-Jul''26'!O52)</f>
        <v>-118.59999999999991</v>
      </c>
      <c r="P52" s="18">
        <f>IF('1. Live'!P52='check-Jul''26'!P52,"",'1. Live'!P52-'check-Jul''26'!P52)</f>
        <v>-90.586069449999854</v>
      </c>
      <c r="Q52" s="18">
        <f>IF('1. Live'!Q52='check-Jul''26'!Q52,"",'1. Live'!Q52-'check-Jul''26'!Q52)</f>
        <v>-28.013930549999941</v>
      </c>
      <c r="R52" s="18">
        <f>IF('1. Live'!R52='check-Jul''26'!R52,"",'1. Live'!R52-'check-Jul''26'!R52)</f>
        <v>-4.8999999968657448E-7</v>
      </c>
      <c r="S52" s="18">
        <f>IF('1. Live'!S52='check-Jul''26'!S52,"",'1. Live'!S52-'check-Jul''26'!S52)</f>
        <v>805.64757462999978</v>
      </c>
      <c r="T52" s="18">
        <f>IF('1. Live'!T52='check-Jul''26'!T52,"",'1. Live'!T52-'check-Jul''26'!T52)</f>
        <v>881.54479158999959</v>
      </c>
      <c r="U52" s="11">
        <f>IF('1. Live'!U52='check-Jul''26'!U52,"",'1. Live'!U52-'check-Jul''26'!U52)</f>
        <v>1.3713397024071319</v>
      </c>
      <c r="V52" s="9" t="str">
        <f>IF('1. Live'!V52='check-Jul''26'!V52,"",'1. Live'!V52-'check-Jul''26'!V52)</f>
        <v/>
      </c>
      <c r="W52" s="69"/>
      <c r="AA52" s="70" t="str">
        <f>IF('1. Live'!AA52='check-Jul''26'!W53,"",'1. Live'!AA52-'check-Jul''26'!W53)</f>
        <v/>
      </c>
      <c r="AB52" s="70" t="str">
        <f>IF('1. Live'!AF52='check-Jul''26'!AB53,"",'1. Live'!AF52-'check-Jul''26'!AB53)</f>
        <v/>
      </c>
      <c r="AC52" s="70" t="str">
        <f>IF('1. Live'!AG52='check-Jul''26'!AC53,"",'1. Live'!AG52-'check-Jul''26'!AC53)</f>
        <v/>
      </c>
      <c r="AD52" s="70" t="str">
        <f>IF('1. Live'!AH52='check-Jul''26'!AD53,"",'1. Live'!AH52-'check-Jul''26'!AD53)</f>
        <v/>
      </c>
      <c r="AE52" s="70" t="str">
        <f>IF('1. Live'!AI52='check-Jul''26'!AE53,"",'1. Live'!AI52-'check-Jul''26'!AE53)</f>
        <v/>
      </c>
      <c r="AF52" s="70" t="str">
        <f>IF('1. Live'!AJ52='check-Jul''26'!AF53,"",'1. Live'!AJ52-'check-Jul''26'!AF53)</f>
        <v/>
      </c>
      <c r="AG52" s="70" t="str">
        <f>IF('1. Live'!AK52='check-Jul''26'!AG53,"",'1. Live'!AK52-'check-Jul''26'!AG53)</f>
        <v/>
      </c>
      <c r="AH52" s="70" t="str">
        <f>IF('1. Live'!AL52='check-Jul''26'!AH53,"",'1. Live'!AL52-'check-Jul''26'!AH53)</f>
        <v/>
      </c>
      <c r="AI52" s="70" t="str">
        <f>IF('1. Live'!AM52='check-Jul''26'!AI53,"",'1. Live'!AM52-'check-Jul''26'!AI53)</f>
        <v/>
      </c>
      <c r="AJ52" s="70" t="str">
        <f>IF('1. Live'!AN52='check-Jul''26'!AJ53,"",'1. Live'!AN52-'check-Jul''26'!AJ53)</f>
        <v/>
      </c>
      <c r="AK52" s="70" t="str">
        <f>IF('1. Live'!AO52='check-Jul''26'!AK53,"",'1. Live'!AO52-'check-Jul''26'!AK53)</f>
        <v/>
      </c>
      <c r="AL52" s="70" t="str">
        <f>IF('1. Live'!AP52='check-Jul''26'!AL53,"",'1. Live'!AP52-'check-Jul''26'!AL53)</f>
        <v/>
      </c>
      <c r="AM52" s="70" t="str">
        <f>IF('1. Live'!AQ52='check-Jul''26'!AM53,"",'1. Live'!AQ52-'check-Jul''26'!AM53)</f>
        <v/>
      </c>
      <c r="AN52" s="70" t="str">
        <f>IF('1. Live'!AR52='check-Jul''26'!AN53,"",'1. Live'!AR52-'check-Jul''26'!AN53)</f>
        <v/>
      </c>
      <c r="AO52" s="70" t="str">
        <f>IF('1. Live'!AS52='check-Jul''26'!AO53,"",'1. Live'!AS52-'check-Jul''26'!AO53)</f>
        <v/>
      </c>
      <c r="AP52" s="70" t="str">
        <f>IF('1. Live'!AT52='check-Jul''26'!AP53,"",'1. Live'!AT52-'check-Jul''26'!AP53)</f>
        <v/>
      </c>
      <c r="AQ52" s="70" t="str">
        <f>IF('1. Live'!AU52='check-Jul''26'!AQ53,"",'1. Live'!AU52-'check-Jul''26'!AQ53)</f>
        <v/>
      </c>
      <c r="AR52" s="70" t="str">
        <f>IF('1. Live'!AV52='check-Jul''26'!AR53,"",'1. Live'!AV52-'check-Jul''26'!AR53)</f>
        <v/>
      </c>
      <c r="AS52" s="70" t="str">
        <f>IF('1. Live'!AW52='check-Jul''26'!AS53,"",'1. Live'!AW52-'check-Jul''26'!AS53)</f>
        <v/>
      </c>
      <c r="AT52" s="70" t="str">
        <f>IF('1. Live'!AX52='check-Jul''26'!AT53,"",'1. Live'!AX52-'check-Jul''26'!AT53)</f>
        <v/>
      </c>
      <c r="AU52" s="70" t="str">
        <f>IF('1. Live'!AY52='check-Jul''26'!AU53,"",'1. Live'!AY52-'check-Jul''26'!AU53)</f>
        <v/>
      </c>
      <c r="AV52" s="70" t="str">
        <f>IF('1. Live'!AZ52='check-Jul''26'!AV53,"",'1. Live'!AZ52-'check-Jul''26'!AV53)</f>
        <v/>
      </c>
      <c r="AW52" s="70" t="str">
        <f>IF('1. Live'!BA52='check-Jul''26'!AW53,"",'1. Live'!BA52-'check-Jul''26'!AW53)</f>
        <v/>
      </c>
      <c r="AX52" s="70" t="str">
        <f>IF('1. Live'!BB52='check-Jul''26'!AX53,"",'1. Live'!BB52-'check-Jul''26'!AX53)</f>
        <v/>
      </c>
      <c r="AY52" s="70" t="str">
        <f>IF('1. Live'!BC52='check-Jul''26'!AY53,"",'1. Live'!BC52-'check-Jul''26'!AY53)</f>
        <v/>
      </c>
      <c r="AZ52" s="70" t="str">
        <f>IF('1. Live'!BD52='check-Jul''26'!AZ53,"",'1. Live'!BD52-'check-Jul''26'!AZ53)</f>
        <v/>
      </c>
      <c r="BA52" s="70" t="str">
        <f>IF('1. Live'!BE52='check-Jul''26'!BA53,"",'1. Live'!BE52-'check-Jul''26'!BA53)</f>
        <v/>
      </c>
      <c r="BB52" s="70" t="str">
        <f>IF('1. Live'!BF52='check-Jul''26'!BB53,"",'1. Live'!BF52-'check-Jul''26'!BB53)</f>
        <v/>
      </c>
      <c r="BC52" s="70" t="str">
        <f>IF('1. Live'!BG52='check-Jul''26'!BC53,"",'1. Live'!BG52-'check-Jul''26'!BC53)</f>
        <v/>
      </c>
      <c r="BD52" s="70" t="str">
        <f>IF('1. Live'!BH52='check-Jul''26'!BD53,"",'1. Live'!BH52-'check-Jul''26'!BD53)</f>
        <v/>
      </c>
      <c r="BE52" s="70" t="str">
        <f>IF('1. Live'!BI52='check-Jul''26'!BE53,"",'1. Live'!BI52-'check-Jul''26'!BE53)</f>
        <v/>
      </c>
      <c r="BF52" s="70" t="str">
        <f>IF('1. Live'!BJ52='check-Jul''26'!BF53,"",'1. Live'!BJ52-'check-Jul''26'!BF53)</f>
        <v/>
      </c>
      <c r="BG52" s="70" t="str">
        <f>IF('1. Live'!BK52='check-Jul''26'!BG53,"",'1. Live'!BK52-'check-Jul''26'!BG53)</f>
        <v/>
      </c>
      <c r="BH52" s="70" t="str">
        <f>IF('1. Live'!BL52='check-Jul''26'!BH53,"",'1. Live'!BL52-'check-Jul''26'!BH53)</f>
        <v/>
      </c>
      <c r="BI52" s="70" t="str">
        <f>IF('1. Live'!BM52='check-Jul''26'!BI53,"",'1. Live'!BM52-'check-Jul''26'!BI53)</f>
        <v/>
      </c>
      <c r="BJ52" s="70" t="str">
        <f>IF('1. Live'!BN52='check-Jul''26'!BJ53,"",'1. Live'!BN52-'check-Jul''26'!BJ53)</f>
        <v/>
      </c>
      <c r="BK52" s="70" t="str">
        <f>IF('1. Live'!BO52='check-Jul''26'!BK53,"",'1. Live'!BO52-'check-Jul''26'!BK53)</f>
        <v/>
      </c>
      <c r="BL52" s="70" t="str">
        <f>IF('1. Live'!BP52='check-Jul''26'!BL53,"",'1. Live'!BP52-'check-Jul''26'!BL53)</f>
        <v/>
      </c>
      <c r="BM52" s="70" t="str">
        <f>IF('1. Live'!BQ52='check-Jul''26'!BM53,"",'1. Live'!BQ52-'check-Jul''26'!BM53)</f>
        <v/>
      </c>
      <c r="BN52" s="70" t="str">
        <f>IF('1. Live'!BR52='check-Jul''26'!BN53,"",'1. Live'!BR52-'check-Jul''26'!BN53)</f>
        <v/>
      </c>
      <c r="BO52" s="70" t="str">
        <f>IF('1. Live'!BS52='check-Jul''26'!BO53,"",'1. Live'!BS52-'check-Jul''26'!BO53)</f>
        <v/>
      </c>
      <c r="BP52" s="70" t="str">
        <f>IF('1. Live'!BT52='check-Jul''26'!BP53,"",'1. Live'!BT52-'check-Jul''26'!BP53)</f>
        <v/>
      </c>
      <c r="BQ52" s="70" t="str">
        <f>IF('1. Live'!BU52='check-Jul''26'!BQ53,"",'1. Live'!BU52-'check-Jul''26'!BQ53)</f>
        <v/>
      </c>
      <c r="BR52" s="70" t="str">
        <f>IF('1. Live'!BV52='check-Jul''26'!BR53,"",'1. Live'!BV52-'check-Jul''26'!BR53)</f>
        <v/>
      </c>
      <c r="BS52" s="70" t="str">
        <f>IF('1. Live'!BW52='check-Jul''26'!BS53,"",'1. Live'!BW52-'check-Jul''26'!BS53)</f>
        <v/>
      </c>
      <c r="BT52" s="70" t="str">
        <f>IF('1. Live'!BX52='check-Jul''26'!BT53,"",'1. Live'!BX52-'check-Jul''26'!BT53)</f>
        <v/>
      </c>
      <c r="BU52" s="70" t="str">
        <f>IF('1. Live'!BY52='check-Jul''26'!BU53,"",'1. Live'!BY52-'check-Jul''26'!BU53)</f>
        <v/>
      </c>
      <c r="BV52" s="70" t="str">
        <f>IF('1. Live'!BZ52='check-Jul''26'!BV53,"",'1. Live'!BZ52-'check-Jul''26'!BV53)</f>
        <v/>
      </c>
      <c r="BW52" s="70" t="str">
        <f>IF('1. Live'!CA52='check-Jul''26'!BW53,"",'1. Live'!CA52-'check-Jul''26'!BW53)</f>
        <v/>
      </c>
      <c r="BX52" s="70" t="str">
        <f>IF('1. Live'!CB52='check-Jul''26'!BX53,"",'1. Live'!CB52-'check-Jul''26'!BX53)</f>
        <v/>
      </c>
      <c r="BY52" s="70" t="str">
        <f>IF('1. Live'!CC52='check-Jul''26'!BY53,"",'1. Live'!CC52-'check-Jul''26'!BY53)</f>
        <v/>
      </c>
      <c r="BZ52" s="70" t="str">
        <f>IF('1. Live'!CD52='check-Jul''26'!BZ53,"",'1. Live'!CD52-'check-Jul''26'!BZ53)</f>
        <v/>
      </c>
      <c r="CA52" s="70" t="str">
        <f>IF('1. Live'!CE52='check-Jul''26'!CA53,"",'1. Live'!CE52-'check-Jul''26'!CA53)</f>
        <v/>
      </c>
      <c r="CB52" s="70" t="str">
        <f>IF('1. Live'!CF52='check-Jul''26'!CB53,"",'1. Live'!CF52-'check-Jul''26'!CB53)</f>
        <v/>
      </c>
      <c r="CC52" s="70" t="str">
        <f>IF('1. Live'!CG52='check-Jul''26'!CC53,"",'1. Live'!CG52-'check-Jul''26'!CC53)</f>
        <v/>
      </c>
      <c r="CD52" s="70" t="str">
        <f>IF('1. Live'!CH52='check-Jul''26'!CD53,"",'1. Live'!CH52-'check-Jul''26'!CD53)</f>
        <v/>
      </c>
      <c r="CE52" s="70" t="str">
        <f>IF('1. Live'!CI52='check-Jul''26'!CE53,"",'1. Live'!CI52-'check-Jul''26'!CE53)</f>
        <v/>
      </c>
      <c r="CF52" s="70" t="str">
        <f>IF('1. Live'!CJ52='check-Jul''26'!CF53,"",'1. Live'!CJ52-'check-Jul''26'!CF53)</f>
        <v/>
      </c>
      <c r="CG52" s="70" t="str">
        <f>IF('1. Live'!CK52='check-Jul''26'!CG53,"",'1. Live'!CK52-'check-Jul''26'!CG53)</f>
        <v/>
      </c>
      <c r="CH52" s="70" t="str">
        <f>IF('1. Live'!CL52='check-Jul''26'!CH53,"",'1. Live'!CL52-'check-Jul''26'!CH53)</f>
        <v/>
      </c>
      <c r="CI52" s="70" t="str">
        <f>IF('1. Live'!CM52='check-Jul''26'!CI53,"",'1. Live'!CM52-'check-Jul''26'!CI53)</f>
        <v/>
      </c>
      <c r="CJ52" s="70" t="str">
        <f>IF('1. Live'!CN52='check-Jul''26'!CJ53,"",'1. Live'!CN52-'check-Jul''26'!CJ53)</f>
        <v/>
      </c>
      <c r="CK52" s="70" t="str">
        <f>IF('1. Live'!CO52='check-Jul''26'!CK53,"",'1. Live'!CO52-'check-Jul''26'!CK53)</f>
        <v/>
      </c>
      <c r="CL52" s="70" t="str">
        <f>IF('1. Live'!CP52='check-Jul''26'!CL53,"",'1. Live'!CP52-'check-Jul''26'!CL53)</f>
        <v/>
      </c>
      <c r="CM52" s="70" t="str">
        <f>IF('1. Live'!CQ52='check-Jul''26'!CM53,"",'1. Live'!CQ52-'check-Jul''26'!CM53)</f>
        <v/>
      </c>
      <c r="CN52" s="70" t="str">
        <f>IF('1. Live'!CR52='check-Jul''26'!CN53,"",'1. Live'!CR52-'check-Jul''26'!CN53)</f>
        <v/>
      </c>
      <c r="CO52" s="70" t="str">
        <f>IF('1. Live'!CS52='check-Jul''26'!CO53,"",'1. Live'!CS52-'check-Jul''26'!CO53)</f>
        <v/>
      </c>
      <c r="CP52" s="70" t="str">
        <f>IF('1. Live'!CT52='check-Jul''26'!CP53,"",'1. Live'!CT52-'check-Jul''26'!CP53)</f>
        <v/>
      </c>
      <c r="CQ52" s="70" t="str">
        <f>IF('1. Live'!CU52='check-Jul''26'!CQ53,"",'1. Live'!CU52-'check-Jul''26'!CQ53)</f>
        <v/>
      </c>
      <c r="CR52" s="70" t="str">
        <f>IF('1. Live'!CV52='check-Jul''26'!CR53,"",'1. Live'!CV52-'check-Jul''26'!CR53)</f>
        <v/>
      </c>
      <c r="CS52" s="70" t="str">
        <f>IF('1. Live'!CW52='check-Jul''26'!CS53,"",'1. Live'!CW52-'check-Jul''26'!CS53)</f>
        <v/>
      </c>
      <c r="CT52" s="70" t="str">
        <f>IF('1. Live'!CX52='check-Jul''26'!CT53,"",'1. Live'!CX52-'check-Jul''26'!CT53)</f>
        <v/>
      </c>
      <c r="CU52" s="70" t="str">
        <f>IF('1. Live'!CY52='check-Jul''26'!CU53,"",'1. Live'!CY52-'check-Jul''26'!CU53)</f>
        <v/>
      </c>
      <c r="CV52" s="70" t="str">
        <f>IF('1. Live'!CZ52='check-Jul''26'!CV53,"",'1. Live'!CZ52-'check-Jul''26'!CV53)</f>
        <v/>
      </c>
    </row>
    <row r="53" spans="2:100" s="70" customFormat="1" x14ac:dyDescent="0.25">
      <c r="B53" s="68"/>
      <c r="C53" s="143"/>
      <c r="D53" s="143"/>
      <c r="E53" s="143"/>
      <c r="F53" s="143"/>
      <c r="G53" s="143"/>
      <c r="H53" s="143"/>
      <c r="I53" s="143"/>
      <c r="J53" s="143"/>
      <c r="K53" s="143"/>
      <c r="L53" s="143"/>
      <c r="M53" s="143"/>
      <c r="N53" s="92" t="str">
        <f>IF('1. Live'!N53='check-Jul''26'!N53,"",'1. Live'!N53-'check-Jul''26'!N53)</f>
        <v/>
      </c>
      <c r="O53" s="144" t="str">
        <f>IF('1. Live'!O53='check-Jul''26'!O53,"",'1. Live'!O53-'check-Jul''26'!O53)</f>
        <v/>
      </c>
      <c r="P53" s="144" t="str">
        <f>IF('1. Live'!P53='check-Jul''26'!P53,"",'1. Live'!P53-'check-Jul''26'!P53)</f>
        <v/>
      </c>
      <c r="Q53" s="144" t="str">
        <f>IF('1. Live'!Q53='check-Jul''26'!Q53,"",'1. Live'!Q53-'check-Jul''26'!Q53)</f>
        <v/>
      </c>
      <c r="R53" s="144" t="str">
        <f>IF('1. Live'!R53='check-Jul''26'!R53,"",'1. Live'!R53-'check-Jul''26'!R53)</f>
        <v/>
      </c>
      <c r="S53" s="144" t="str">
        <f>IF('1. Live'!S53='check-Jul''26'!S53,"",'1. Live'!S53-'check-Jul''26'!S53)</f>
        <v/>
      </c>
      <c r="T53" s="144" t="str">
        <f>IF('1. Live'!T53='check-Jul''26'!T53,"",'1. Live'!T53-'check-Jul''26'!T53)</f>
        <v/>
      </c>
      <c r="U53" s="145" t="str">
        <f>IF('1. Live'!U53='check-Jul''26'!U53,"",'1. Live'!U53-'check-Jul''26'!U53)</f>
        <v/>
      </c>
      <c r="V53" s="143" t="str">
        <f>IF('1. Live'!V53='check-Jul''26'!V53,"",'1. Live'!V53-'check-Jul''26'!V53)</f>
        <v/>
      </c>
      <c r="W53" s="69"/>
      <c r="AA53" s="70" t="str">
        <f>IF('1. Live'!AA53='check-Jul''26'!W54,"",'1. Live'!AA53-'check-Jul''26'!W54)</f>
        <v/>
      </c>
      <c r="AB53" s="70" t="str">
        <f>IF('1. Live'!AF53='check-Jul''26'!AB54,"",'1. Live'!AF53-'check-Jul''26'!AB54)</f>
        <v/>
      </c>
      <c r="AC53" s="70" t="str">
        <f>IF('1. Live'!AG53='check-Jul''26'!AC54,"",'1. Live'!AG53-'check-Jul''26'!AC54)</f>
        <v/>
      </c>
      <c r="AD53" s="70" t="str">
        <f>IF('1. Live'!AH53='check-Jul''26'!AD54,"",'1. Live'!AH53-'check-Jul''26'!AD54)</f>
        <v/>
      </c>
      <c r="AE53" s="70" t="str">
        <f>IF('1. Live'!AI53='check-Jul''26'!AE54,"",'1. Live'!AI53-'check-Jul''26'!AE54)</f>
        <v/>
      </c>
      <c r="AF53" s="70" t="str">
        <f>IF('1. Live'!AJ53='check-Jul''26'!AF54,"",'1. Live'!AJ53-'check-Jul''26'!AF54)</f>
        <v/>
      </c>
      <c r="AG53" s="70" t="str">
        <f>IF('1. Live'!AK53='check-Jul''26'!AG54,"",'1. Live'!AK53-'check-Jul''26'!AG54)</f>
        <v/>
      </c>
      <c r="AH53" s="70" t="str">
        <f>IF('1. Live'!AL53='check-Jul''26'!AH54,"",'1. Live'!AL53-'check-Jul''26'!AH54)</f>
        <v/>
      </c>
      <c r="AI53" s="70" t="str">
        <f>IF('1. Live'!AM53='check-Jul''26'!AI54,"",'1. Live'!AM53-'check-Jul''26'!AI54)</f>
        <v/>
      </c>
      <c r="AJ53" s="70" t="str">
        <f>IF('1. Live'!AN53='check-Jul''26'!AJ54,"",'1. Live'!AN53-'check-Jul''26'!AJ54)</f>
        <v/>
      </c>
      <c r="AK53" s="70" t="str">
        <f>IF('1. Live'!AO53='check-Jul''26'!AK54,"",'1. Live'!AO53-'check-Jul''26'!AK54)</f>
        <v/>
      </c>
      <c r="AL53" s="70" t="str">
        <f>IF('1. Live'!AP53='check-Jul''26'!AL54,"",'1. Live'!AP53-'check-Jul''26'!AL54)</f>
        <v/>
      </c>
      <c r="AM53" s="70" t="str">
        <f>IF('1. Live'!AQ53='check-Jul''26'!AM54,"",'1. Live'!AQ53-'check-Jul''26'!AM54)</f>
        <v/>
      </c>
      <c r="AN53" s="70" t="str">
        <f>IF('1. Live'!AR53='check-Jul''26'!AN54,"",'1. Live'!AR53-'check-Jul''26'!AN54)</f>
        <v/>
      </c>
      <c r="AO53" s="70" t="str">
        <f>IF('1. Live'!AS53='check-Jul''26'!AO54,"",'1. Live'!AS53-'check-Jul''26'!AO54)</f>
        <v/>
      </c>
      <c r="AP53" s="70" t="str">
        <f>IF('1. Live'!AT53='check-Jul''26'!AP54,"",'1. Live'!AT53-'check-Jul''26'!AP54)</f>
        <v/>
      </c>
      <c r="AQ53" s="70" t="str">
        <f>IF('1. Live'!AU53='check-Jul''26'!AQ54,"",'1. Live'!AU53-'check-Jul''26'!AQ54)</f>
        <v/>
      </c>
      <c r="AR53" s="70" t="str">
        <f>IF('1. Live'!AV53='check-Jul''26'!AR54,"",'1. Live'!AV53-'check-Jul''26'!AR54)</f>
        <v/>
      </c>
      <c r="AS53" s="70" t="str">
        <f>IF('1. Live'!AW53='check-Jul''26'!AS54,"",'1. Live'!AW53-'check-Jul''26'!AS54)</f>
        <v/>
      </c>
      <c r="AT53" s="70" t="str">
        <f>IF('1. Live'!AX53='check-Jul''26'!AT54,"",'1. Live'!AX53-'check-Jul''26'!AT54)</f>
        <v/>
      </c>
      <c r="AU53" s="70" t="str">
        <f>IF('1. Live'!AY53='check-Jul''26'!AU54,"",'1. Live'!AY53-'check-Jul''26'!AU54)</f>
        <v/>
      </c>
      <c r="AV53" s="70" t="str">
        <f>IF('1. Live'!AZ53='check-Jul''26'!AV54,"",'1. Live'!AZ53-'check-Jul''26'!AV54)</f>
        <v/>
      </c>
      <c r="AW53" s="70" t="str">
        <f>IF('1. Live'!BA53='check-Jul''26'!AW54,"",'1. Live'!BA53-'check-Jul''26'!AW54)</f>
        <v/>
      </c>
      <c r="AX53" s="70" t="str">
        <f>IF('1. Live'!BB53='check-Jul''26'!AX54,"",'1. Live'!BB53-'check-Jul''26'!AX54)</f>
        <v/>
      </c>
      <c r="AY53" s="70" t="str">
        <f>IF('1. Live'!BC53='check-Jul''26'!AY54,"",'1. Live'!BC53-'check-Jul''26'!AY54)</f>
        <v/>
      </c>
      <c r="AZ53" s="70" t="str">
        <f>IF('1. Live'!BD53='check-Jul''26'!AZ54,"",'1. Live'!BD53-'check-Jul''26'!AZ54)</f>
        <v/>
      </c>
      <c r="BA53" s="70" t="str">
        <f>IF('1. Live'!BE53='check-Jul''26'!BA54,"",'1. Live'!BE53-'check-Jul''26'!BA54)</f>
        <v/>
      </c>
      <c r="BB53" s="70" t="str">
        <f>IF('1. Live'!BF53='check-Jul''26'!BB54,"",'1. Live'!BF53-'check-Jul''26'!BB54)</f>
        <v/>
      </c>
      <c r="BC53" s="70" t="str">
        <f>IF('1. Live'!BG53='check-Jul''26'!BC54,"",'1. Live'!BG53-'check-Jul''26'!BC54)</f>
        <v/>
      </c>
      <c r="BD53" s="70" t="str">
        <f>IF('1. Live'!BH53='check-Jul''26'!BD54,"",'1. Live'!BH53-'check-Jul''26'!BD54)</f>
        <v/>
      </c>
      <c r="BE53" s="70" t="str">
        <f>IF('1. Live'!BI53='check-Jul''26'!BE54,"",'1. Live'!BI53-'check-Jul''26'!BE54)</f>
        <v/>
      </c>
      <c r="BF53" s="70" t="str">
        <f>IF('1. Live'!BJ53='check-Jul''26'!BF54,"",'1. Live'!BJ53-'check-Jul''26'!BF54)</f>
        <v/>
      </c>
      <c r="BG53" s="70" t="str">
        <f>IF('1. Live'!BK53='check-Jul''26'!BG54,"",'1. Live'!BK53-'check-Jul''26'!BG54)</f>
        <v/>
      </c>
      <c r="BH53" s="70" t="str">
        <f>IF('1. Live'!BL53='check-Jul''26'!BH54,"",'1. Live'!BL53-'check-Jul''26'!BH54)</f>
        <v/>
      </c>
      <c r="BI53" s="70" t="str">
        <f>IF('1. Live'!BM53='check-Jul''26'!BI54,"",'1. Live'!BM53-'check-Jul''26'!BI54)</f>
        <v/>
      </c>
      <c r="BJ53" s="70" t="str">
        <f>IF('1. Live'!BN53='check-Jul''26'!BJ54,"",'1. Live'!BN53-'check-Jul''26'!BJ54)</f>
        <v/>
      </c>
      <c r="BK53" s="70" t="str">
        <f>IF('1. Live'!BO53='check-Jul''26'!BK54,"",'1. Live'!BO53-'check-Jul''26'!BK54)</f>
        <v/>
      </c>
      <c r="BL53" s="70" t="str">
        <f>IF('1. Live'!BP53='check-Jul''26'!BL54,"",'1. Live'!BP53-'check-Jul''26'!BL54)</f>
        <v/>
      </c>
      <c r="BM53" s="70" t="str">
        <f>IF('1. Live'!BQ53='check-Jul''26'!BM54,"",'1. Live'!BQ53-'check-Jul''26'!BM54)</f>
        <v/>
      </c>
      <c r="BN53" s="70" t="str">
        <f>IF('1. Live'!BR53='check-Jul''26'!BN54,"",'1. Live'!BR53-'check-Jul''26'!BN54)</f>
        <v/>
      </c>
      <c r="BO53" s="70" t="str">
        <f>IF('1. Live'!BS53='check-Jul''26'!BO54,"",'1. Live'!BS53-'check-Jul''26'!BO54)</f>
        <v/>
      </c>
      <c r="BP53" s="70" t="str">
        <f>IF('1. Live'!BT53='check-Jul''26'!BP54,"",'1. Live'!BT53-'check-Jul''26'!BP54)</f>
        <v/>
      </c>
      <c r="BQ53" s="70" t="str">
        <f>IF('1. Live'!BU53='check-Jul''26'!BQ54,"",'1. Live'!BU53-'check-Jul''26'!BQ54)</f>
        <v/>
      </c>
      <c r="BR53" s="70" t="str">
        <f>IF('1. Live'!BV53='check-Jul''26'!BR54,"",'1. Live'!BV53-'check-Jul''26'!BR54)</f>
        <v/>
      </c>
      <c r="BS53" s="70" t="str">
        <f>IF('1. Live'!BW53='check-Jul''26'!BS54,"",'1. Live'!BW53-'check-Jul''26'!BS54)</f>
        <v/>
      </c>
      <c r="BT53" s="70" t="str">
        <f>IF('1. Live'!BX53='check-Jul''26'!BT54,"",'1. Live'!BX53-'check-Jul''26'!BT54)</f>
        <v/>
      </c>
      <c r="BU53" s="70" t="str">
        <f>IF('1. Live'!BY53='check-Jul''26'!BU54,"",'1. Live'!BY53-'check-Jul''26'!BU54)</f>
        <v/>
      </c>
      <c r="BV53" s="70" t="str">
        <f>IF('1. Live'!BZ53='check-Jul''26'!BV54,"",'1. Live'!BZ53-'check-Jul''26'!BV54)</f>
        <v/>
      </c>
      <c r="BW53" s="70" t="str">
        <f>IF('1. Live'!CA53='check-Jul''26'!BW54,"",'1. Live'!CA53-'check-Jul''26'!BW54)</f>
        <v/>
      </c>
      <c r="BX53" s="70" t="str">
        <f>IF('1. Live'!CB53='check-Jul''26'!BX54,"",'1. Live'!CB53-'check-Jul''26'!BX54)</f>
        <v/>
      </c>
      <c r="BY53" s="70" t="str">
        <f>IF('1. Live'!CC53='check-Jul''26'!BY54,"",'1. Live'!CC53-'check-Jul''26'!BY54)</f>
        <v/>
      </c>
      <c r="BZ53" s="70" t="str">
        <f>IF('1. Live'!CD53='check-Jul''26'!BZ54,"",'1. Live'!CD53-'check-Jul''26'!BZ54)</f>
        <v/>
      </c>
      <c r="CA53" s="70" t="str">
        <f>IF('1. Live'!CE53='check-Jul''26'!CA54,"",'1. Live'!CE53-'check-Jul''26'!CA54)</f>
        <v/>
      </c>
      <c r="CB53" s="70" t="str">
        <f>IF('1. Live'!CF53='check-Jul''26'!CB54,"",'1. Live'!CF53-'check-Jul''26'!CB54)</f>
        <v/>
      </c>
      <c r="CC53" s="70" t="str">
        <f>IF('1. Live'!CG53='check-Jul''26'!CC54,"",'1. Live'!CG53-'check-Jul''26'!CC54)</f>
        <v/>
      </c>
      <c r="CD53" s="70" t="str">
        <f>IF('1. Live'!CH53='check-Jul''26'!CD54,"",'1. Live'!CH53-'check-Jul''26'!CD54)</f>
        <v/>
      </c>
      <c r="CE53" s="70" t="str">
        <f>IF('1. Live'!CI53='check-Jul''26'!CE54,"",'1. Live'!CI53-'check-Jul''26'!CE54)</f>
        <v/>
      </c>
      <c r="CF53" s="70" t="str">
        <f>IF('1. Live'!CJ53='check-Jul''26'!CF54,"",'1. Live'!CJ53-'check-Jul''26'!CF54)</f>
        <v/>
      </c>
      <c r="CG53" s="70" t="str">
        <f>IF('1. Live'!CK53='check-Jul''26'!CG54,"",'1. Live'!CK53-'check-Jul''26'!CG54)</f>
        <v/>
      </c>
      <c r="CH53" s="70" t="str">
        <f>IF('1. Live'!CL53='check-Jul''26'!CH54,"",'1. Live'!CL53-'check-Jul''26'!CH54)</f>
        <v/>
      </c>
      <c r="CI53" s="70" t="str">
        <f>IF('1. Live'!CM53='check-Jul''26'!CI54,"",'1. Live'!CM53-'check-Jul''26'!CI54)</f>
        <v/>
      </c>
      <c r="CJ53" s="70" t="str">
        <f>IF('1. Live'!CN53='check-Jul''26'!CJ54,"",'1. Live'!CN53-'check-Jul''26'!CJ54)</f>
        <v/>
      </c>
      <c r="CK53" s="70" t="str">
        <f>IF('1. Live'!CO53='check-Jul''26'!CK54,"",'1. Live'!CO53-'check-Jul''26'!CK54)</f>
        <v/>
      </c>
      <c r="CL53" s="70" t="str">
        <f>IF('1. Live'!CP53='check-Jul''26'!CL54,"",'1. Live'!CP53-'check-Jul''26'!CL54)</f>
        <v/>
      </c>
      <c r="CM53" s="70" t="str">
        <f>IF('1. Live'!CQ53='check-Jul''26'!CM54,"",'1. Live'!CQ53-'check-Jul''26'!CM54)</f>
        <v/>
      </c>
      <c r="CN53" s="70" t="str">
        <f>IF('1. Live'!CR53='check-Jul''26'!CN54,"",'1. Live'!CR53-'check-Jul''26'!CN54)</f>
        <v/>
      </c>
      <c r="CO53" s="70" t="str">
        <f>IF('1. Live'!CS53='check-Jul''26'!CO54,"",'1. Live'!CS53-'check-Jul''26'!CO54)</f>
        <v/>
      </c>
      <c r="CP53" s="70" t="str">
        <f>IF('1. Live'!CT53='check-Jul''26'!CP54,"",'1. Live'!CT53-'check-Jul''26'!CP54)</f>
        <v/>
      </c>
      <c r="CQ53" s="70" t="str">
        <f>IF('1. Live'!CU53='check-Jul''26'!CQ54,"",'1. Live'!CU53-'check-Jul''26'!CQ54)</f>
        <v/>
      </c>
      <c r="CR53" s="70" t="str">
        <f>IF('1. Live'!CV53='check-Jul''26'!CR54,"",'1. Live'!CV53-'check-Jul''26'!CR54)</f>
        <v/>
      </c>
      <c r="CS53" s="70" t="str">
        <f>IF('1. Live'!CW53='check-Jul''26'!CS54,"",'1. Live'!CW53-'check-Jul''26'!CS54)</f>
        <v/>
      </c>
      <c r="CT53" s="70" t="str">
        <f>IF('1. Live'!CX53='check-Jul''26'!CT54,"",'1. Live'!CX53-'check-Jul''26'!CT54)</f>
        <v/>
      </c>
      <c r="CU53" s="70" t="str">
        <f>IF('1. Live'!CY53='check-Jul''26'!CU54,"",'1. Live'!CY53-'check-Jul''26'!CU54)</f>
        <v/>
      </c>
      <c r="CV53" s="70" t="str">
        <f>IF('1. Live'!CZ53='check-Jul''26'!CV54,"",'1. Live'!CZ53-'check-Jul''26'!CV54)</f>
        <v/>
      </c>
    </row>
    <row r="54" spans="2:100" s="70" customFormat="1" x14ac:dyDescent="0.25">
      <c r="B54" s="68"/>
      <c r="C54" s="333"/>
      <c r="D54" s="334"/>
      <c r="E54" s="334"/>
      <c r="F54" s="334"/>
      <c r="G54" s="334"/>
      <c r="H54" s="334"/>
      <c r="I54" s="333"/>
      <c r="J54" s="334"/>
      <c r="K54" s="334"/>
      <c r="L54" s="334"/>
      <c r="M54" s="334"/>
      <c r="N54" s="388" t="str">
        <f>IF('1. Live'!N54='check-Jul''26'!N54,"",'1. Live'!N54-'check-Jul''26'!N54)</f>
        <v/>
      </c>
      <c r="O54" s="389">
        <f ca="1">IF('1. Live'!O54='check-Jul''26'!O54,"",'1. Live'!O54-'check-Jul''26'!O54)</f>
        <v>-118.39112218662012</v>
      </c>
      <c r="P54" s="389">
        <f ca="1">IF('1. Live'!P54='check-Jul''26'!P54,"",'1. Live'!P54-'check-Jul''26'!P54)</f>
        <v>-90.454436194783966</v>
      </c>
      <c r="Q54" s="389">
        <f ca="1">IF('1. Live'!Q54='check-Jul''26'!Q54,"",'1. Live'!Q54-'check-Jul''26'!Q54)</f>
        <v>-27.936685991835702</v>
      </c>
      <c r="R54" s="389">
        <f ca="1">IF('1. Live'!R54='check-Jul''26'!R54,"",'1. Live'!R54-'check-Jul''26'!R54)</f>
        <v>-4.90000005015645E-7</v>
      </c>
      <c r="S54" s="389">
        <f ca="1">IF('1. Live'!S54='check-Jul''26'!S54,"",'1. Live'!S54-'check-Jul''26'!S54)</f>
        <v>807.2796633620469</v>
      </c>
      <c r="T54" s="552">
        <f ca="1">IF('1. Live'!T54='check-Jul''26'!T54,"",'1. Live'!T54-'check-Jul''26'!T54)</f>
        <v>883.04524706683151</v>
      </c>
      <c r="U54" s="390">
        <f ca="1">IF('1. Live'!U54='check-Jul''26'!U54,"",'1. Live'!U54-'check-Jul''26'!U54)</f>
        <v>0.54621987250177106</v>
      </c>
      <c r="V54" s="334" t="str">
        <f>IF('1. Live'!V54='check-Jul''26'!V54,"",'1. Live'!V54-'check-Jul''26'!V54)</f>
        <v/>
      </c>
      <c r="W54" s="69"/>
      <c r="AA54" s="70" t="str">
        <f>IF('1. Live'!AA54='check-Jul''26'!W55,"",'1. Live'!AA54-'check-Jul''26'!W55)</f>
        <v/>
      </c>
      <c r="AB54" s="70" t="str">
        <f>IF('1. Live'!AF54='check-Jul''26'!AB55,"",'1. Live'!AF54-'check-Jul''26'!AB55)</f>
        <v/>
      </c>
      <c r="AC54" s="70" t="str">
        <f>IF('1. Live'!AG54='check-Jul''26'!AC55,"",'1. Live'!AG54-'check-Jul''26'!AC55)</f>
        <v/>
      </c>
      <c r="AD54" s="70" t="str">
        <f>IF('1. Live'!AH54='check-Jul''26'!AD55,"",'1. Live'!AH54-'check-Jul''26'!AD55)</f>
        <v/>
      </c>
      <c r="AE54" s="70" t="str">
        <f>IF('1. Live'!AI54='check-Jul''26'!AE55,"",'1. Live'!AI54-'check-Jul''26'!AE55)</f>
        <v/>
      </c>
      <c r="AF54" s="70" t="str">
        <f>IF('1. Live'!AJ54='check-Jul''26'!AF55,"",'1. Live'!AJ54-'check-Jul''26'!AF55)</f>
        <v/>
      </c>
      <c r="AG54" s="70" t="str">
        <f>IF('1. Live'!AK54='check-Jul''26'!AG55,"",'1. Live'!AK54-'check-Jul''26'!AG55)</f>
        <v/>
      </c>
      <c r="AH54" s="70" t="str">
        <f>IF('1. Live'!AL54='check-Jul''26'!AH55,"",'1. Live'!AL54-'check-Jul''26'!AH55)</f>
        <v/>
      </c>
      <c r="AI54" s="70" t="str">
        <f>IF('1. Live'!AM54='check-Jul''26'!AI55,"",'1. Live'!AM54-'check-Jul''26'!AI55)</f>
        <v/>
      </c>
      <c r="AJ54" s="70" t="str">
        <f>IF('1. Live'!AN54='check-Jul''26'!AJ55,"",'1. Live'!AN54-'check-Jul''26'!AJ55)</f>
        <v/>
      </c>
      <c r="AK54" s="70" t="str">
        <f>IF('1. Live'!AO54='check-Jul''26'!AK55,"",'1. Live'!AO54-'check-Jul''26'!AK55)</f>
        <v/>
      </c>
      <c r="AL54" s="70" t="str">
        <f>IF('1. Live'!AP54='check-Jul''26'!AL55,"",'1. Live'!AP54-'check-Jul''26'!AL55)</f>
        <v/>
      </c>
      <c r="AM54" s="70" t="str">
        <f>IF('1. Live'!AQ54='check-Jul''26'!AM55,"",'1. Live'!AQ54-'check-Jul''26'!AM55)</f>
        <v/>
      </c>
      <c r="AN54" s="70" t="str">
        <f>IF('1. Live'!AR54='check-Jul''26'!AN55,"",'1. Live'!AR54-'check-Jul''26'!AN55)</f>
        <v/>
      </c>
      <c r="AO54" s="70" t="str">
        <f>IF('1. Live'!AS54='check-Jul''26'!AO55,"",'1. Live'!AS54-'check-Jul''26'!AO55)</f>
        <v/>
      </c>
      <c r="AP54" s="70" t="str">
        <f>IF('1. Live'!AT54='check-Jul''26'!AP55,"",'1. Live'!AT54-'check-Jul''26'!AP55)</f>
        <v/>
      </c>
      <c r="AQ54" s="70" t="str">
        <f>IF('1. Live'!AU54='check-Jul''26'!AQ55,"",'1. Live'!AU54-'check-Jul''26'!AQ55)</f>
        <v/>
      </c>
      <c r="AR54" s="70" t="str">
        <f>IF('1. Live'!AV54='check-Jul''26'!AR55,"",'1. Live'!AV54-'check-Jul''26'!AR55)</f>
        <v/>
      </c>
      <c r="AS54" s="70" t="str">
        <f>IF('1. Live'!AW54='check-Jul''26'!AS55,"",'1. Live'!AW54-'check-Jul''26'!AS55)</f>
        <v/>
      </c>
      <c r="AT54" s="70" t="str">
        <f>IF('1. Live'!AX54='check-Jul''26'!AT55,"",'1. Live'!AX54-'check-Jul''26'!AT55)</f>
        <v/>
      </c>
      <c r="AU54" s="70" t="str">
        <f>IF('1. Live'!AY54='check-Jul''26'!AU55,"",'1. Live'!AY54-'check-Jul''26'!AU55)</f>
        <v/>
      </c>
      <c r="AV54" s="70" t="str">
        <f>IF('1. Live'!AZ54='check-Jul''26'!AV55,"",'1. Live'!AZ54-'check-Jul''26'!AV55)</f>
        <v/>
      </c>
      <c r="AW54" s="70" t="str">
        <f>IF('1. Live'!BA54='check-Jul''26'!AW55,"",'1. Live'!BA54-'check-Jul''26'!AW55)</f>
        <v/>
      </c>
      <c r="AX54" s="70" t="str">
        <f>IF('1. Live'!BB54='check-Jul''26'!AX55,"",'1. Live'!BB54-'check-Jul''26'!AX55)</f>
        <v/>
      </c>
      <c r="AY54" s="70" t="str">
        <f>IF('1. Live'!BC54='check-Jul''26'!AY55,"",'1. Live'!BC54-'check-Jul''26'!AY55)</f>
        <v/>
      </c>
      <c r="AZ54" s="70" t="str">
        <f>IF('1. Live'!BD54='check-Jul''26'!AZ55,"",'1. Live'!BD54-'check-Jul''26'!AZ55)</f>
        <v/>
      </c>
      <c r="BA54" s="70" t="str">
        <f>IF('1. Live'!BE54='check-Jul''26'!BA55,"",'1. Live'!BE54-'check-Jul''26'!BA55)</f>
        <v/>
      </c>
      <c r="BB54" s="70" t="str">
        <f>IF('1. Live'!BF54='check-Jul''26'!BB55,"",'1. Live'!BF54-'check-Jul''26'!BB55)</f>
        <v/>
      </c>
      <c r="BC54" s="70" t="str">
        <f>IF('1. Live'!BG54='check-Jul''26'!BC55,"",'1. Live'!BG54-'check-Jul''26'!BC55)</f>
        <v/>
      </c>
      <c r="BD54" s="70" t="str">
        <f>IF('1. Live'!BH54='check-Jul''26'!BD55,"",'1. Live'!BH54-'check-Jul''26'!BD55)</f>
        <v/>
      </c>
      <c r="BE54" s="70" t="str">
        <f>IF('1. Live'!BI54='check-Jul''26'!BE55,"",'1. Live'!BI54-'check-Jul''26'!BE55)</f>
        <v/>
      </c>
      <c r="BF54" s="70" t="str">
        <f>IF('1. Live'!BJ54='check-Jul''26'!BF55,"",'1. Live'!BJ54-'check-Jul''26'!BF55)</f>
        <v/>
      </c>
      <c r="BG54" s="70" t="str">
        <f>IF('1. Live'!BK54='check-Jul''26'!BG55,"",'1. Live'!BK54-'check-Jul''26'!BG55)</f>
        <v/>
      </c>
      <c r="BH54" s="70" t="str">
        <f>IF('1. Live'!BL54='check-Jul''26'!BH55,"",'1. Live'!BL54-'check-Jul''26'!BH55)</f>
        <v/>
      </c>
      <c r="BI54" s="70" t="str">
        <f>IF('1. Live'!BM54='check-Jul''26'!BI55,"",'1. Live'!BM54-'check-Jul''26'!BI55)</f>
        <v/>
      </c>
      <c r="BJ54" s="70" t="str">
        <f>IF('1. Live'!BN54='check-Jul''26'!BJ55,"",'1. Live'!BN54-'check-Jul''26'!BJ55)</f>
        <v/>
      </c>
      <c r="BK54" s="70" t="str">
        <f>IF('1. Live'!BO54='check-Jul''26'!BK55,"",'1. Live'!BO54-'check-Jul''26'!BK55)</f>
        <v/>
      </c>
      <c r="BL54" s="70" t="str">
        <f>IF('1. Live'!BP54='check-Jul''26'!BL55,"",'1. Live'!BP54-'check-Jul''26'!BL55)</f>
        <v/>
      </c>
      <c r="BM54" s="70" t="str">
        <f>IF('1. Live'!BQ54='check-Jul''26'!BM55,"",'1. Live'!BQ54-'check-Jul''26'!BM55)</f>
        <v/>
      </c>
      <c r="BN54" s="70" t="str">
        <f>IF('1. Live'!BR54='check-Jul''26'!BN55,"",'1. Live'!BR54-'check-Jul''26'!BN55)</f>
        <v/>
      </c>
      <c r="BO54" s="70" t="str">
        <f>IF('1. Live'!BS54='check-Jul''26'!BO55,"",'1. Live'!BS54-'check-Jul''26'!BO55)</f>
        <v/>
      </c>
      <c r="BP54" s="70" t="str">
        <f>IF('1. Live'!BT54='check-Jul''26'!BP55,"",'1. Live'!BT54-'check-Jul''26'!BP55)</f>
        <v/>
      </c>
      <c r="BQ54" s="70" t="str">
        <f>IF('1. Live'!BU54='check-Jul''26'!BQ55,"",'1. Live'!BU54-'check-Jul''26'!BQ55)</f>
        <v/>
      </c>
      <c r="BR54" s="70" t="str">
        <f>IF('1. Live'!BV54='check-Jul''26'!BR55,"",'1. Live'!BV54-'check-Jul''26'!BR55)</f>
        <v/>
      </c>
      <c r="BS54" s="70" t="str">
        <f>IF('1. Live'!BW54='check-Jul''26'!BS55,"",'1. Live'!BW54-'check-Jul''26'!BS55)</f>
        <v/>
      </c>
      <c r="BT54" s="70" t="str">
        <f>IF('1. Live'!BX54='check-Jul''26'!BT55,"",'1. Live'!BX54-'check-Jul''26'!BT55)</f>
        <v/>
      </c>
      <c r="BU54" s="70" t="str">
        <f>IF('1. Live'!BY54='check-Jul''26'!BU55,"",'1. Live'!BY54-'check-Jul''26'!BU55)</f>
        <v/>
      </c>
      <c r="BV54" s="70" t="str">
        <f>IF('1. Live'!BZ54='check-Jul''26'!BV55,"",'1. Live'!BZ54-'check-Jul''26'!BV55)</f>
        <v/>
      </c>
      <c r="BW54" s="70" t="str">
        <f>IF('1. Live'!CA54='check-Jul''26'!BW55,"",'1. Live'!CA54-'check-Jul''26'!BW55)</f>
        <v/>
      </c>
      <c r="BX54" s="70" t="str">
        <f>IF('1. Live'!CB54='check-Jul''26'!BX55,"",'1. Live'!CB54-'check-Jul''26'!BX55)</f>
        <v/>
      </c>
      <c r="BY54" s="70" t="str">
        <f>IF('1. Live'!CC54='check-Jul''26'!BY55,"",'1. Live'!CC54-'check-Jul''26'!BY55)</f>
        <v/>
      </c>
      <c r="BZ54" s="70" t="str">
        <f>IF('1. Live'!CD54='check-Jul''26'!BZ55,"",'1. Live'!CD54-'check-Jul''26'!BZ55)</f>
        <v/>
      </c>
      <c r="CA54" s="70" t="str">
        <f>IF('1. Live'!CE54='check-Jul''26'!CA55,"",'1. Live'!CE54-'check-Jul''26'!CA55)</f>
        <v/>
      </c>
      <c r="CB54" s="70" t="str">
        <f>IF('1. Live'!CF54='check-Jul''26'!CB55,"",'1. Live'!CF54-'check-Jul''26'!CB55)</f>
        <v/>
      </c>
      <c r="CC54" s="70" t="str">
        <f>IF('1. Live'!CG54='check-Jul''26'!CC55,"",'1. Live'!CG54-'check-Jul''26'!CC55)</f>
        <v/>
      </c>
      <c r="CD54" s="70" t="str">
        <f>IF('1. Live'!CH54='check-Jul''26'!CD55,"",'1. Live'!CH54-'check-Jul''26'!CD55)</f>
        <v/>
      </c>
      <c r="CE54" s="70" t="str">
        <f>IF('1. Live'!CI54='check-Jul''26'!CE55,"",'1. Live'!CI54-'check-Jul''26'!CE55)</f>
        <v/>
      </c>
      <c r="CF54" s="70" t="str">
        <f>IF('1. Live'!CJ54='check-Jul''26'!CF55,"",'1. Live'!CJ54-'check-Jul''26'!CF55)</f>
        <v/>
      </c>
      <c r="CG54" s="70" t="str">
        <f>IF('1. Live'!CK54='check-Jul''26'!CG55,"",'1. Live'!CK54-'check-Jul''26'!CG55)</f>
        <v/>
      </c>
      <c r="CH54" s="70" t="str">
        <f>IF('1. Live'!CL54='check-Jul''26'!CH55,"",'1. Live'!CL54-'check-Jul''26'!CH55)</f>
        <v/>
      </c>
      <c r="CI54" s="70" t="str">
        <f>IF('1. Live'!CM54='check-Jul''26'!CI55,"",'1. Live'!CM54-'check-Jul''26'!CI55)</f>
        <v/>
      </c>
      <c r="CJ54" s="70" t="str">
        <f>IF('1. Live'!CN54='check-Jul''26'!CJ55,"",'1. Live'!CN54-'check-Jul''26'!CJ55)</f>
        <v/>
      </c>
      <c r="CK54" s="70" t="str">
        <f>IF('1. Live'!CO54='check-Jul''26'!CK55,"",'1. Live'!CO54-'check-Jul''26'!CK55)</f>
        <v/>
      </c>
      <c r="CL54" s="70" t="str">
        <f>IF('1. Live'!CP54='check-Jul''26'!CL55,"",'1. Live'!CP54-'check-Jul''26'!CL55)</f>
        <v/>
      </c>
      <c r="CM54" s="70" t="str">
        <f>IF('1. Live'!CQ54='check-Jul''26'!CM55,"",'1. Live'!CQ54-'check-Jul''26'!CM55)</f>
        <v/>
      </c>
      <c r="CN54" s="70" t="str">
        <f>IF('1. Live'!CR54='check-Jul''26'!CN55,"",'1. Live'!CR54-'check-Jul''26'!CN55)</f>
        <v/>
      </c>
      <c r="CO54" s="70" t="str">
        <f>IF('1. Live'!CS54='check-Jul''26'!CO55,"",'1. Live'!CS54-'check-Jul''26'!CO55)</f>
        <v/>
      </c>
      <c r="CP54" s="70" t="str">
        <f>IF('1. Live'!CT54='check-Jul''26'!CP55,"",'1. Live'!CT54-'check-Jul''26'!CP55)</f>
        <v/>
      </c>
      <c r="CQ54" s="70" t="str">
        <f>IF('1. Live'!CU54='check-Jul''26'!CQ55,"",'1. Live'!CU54-'check-Jul''26'!CQ55)</f>
        <v/>
      </c>
      <c r="CR54" s="70" t="str">
        <f>IF('1. Live'!CV54='check-Jul''26'!CR55,"",'1. Live'!CV54-'check-Jul''26'!CR55)</f>
        <v/>
      </c>
      <c r="CS54" s="70" t="str">
        <f>IF('1. Live'!CW54='check-Jul''26'!CS55,"",'1. Live'!CW54-'check-Jul''26'!CS55)</f>
        <v/>
      </c>
      <c r="CT54" s="70" t="str">
        <f>IF('1. Live'!CX54='check-Jul''26'!CT55,"",'1. Live'!CX54-'check-Jul''26'!CT55)</f>
        <v/>
      </c>
      <c r="CU54" s="70" t="str">
        <f>IF('1. Live'!CY54='check-Jul''26'!CU55,"",'1. Live'!CY54-'check-Jul''26'!CU55)</f>
        <v/>
      </c>
      <c r="CV54" s="70" t="str">
        <f>IF('1. Live'!CZ54='check-Jul''26'!CV55,"",'1. Live'!CZ54-'check-Jul''26'!CV55)</f>
        <v/>
      </c>
    </row>
    <row r="55" spans="2:100" s="176" customFormat="1" ht="15.75" thickBot="1" x14ac:dyDescent="0.3">
      <c r="B55" s="169"/>
      <c r="C55" s="170"/>
      <c r="D55" s="560"/>
      <c r="E55" s="560"/>
      <c r="F55" s="560"/>
      <c r="G55" s="560"/>
      <c r="H55" s="560"/>
      <c r="I55" s="170"/>
      <c r="J55" s="171"/>
      <c r="K55" s="171"/>
      <c r="L55" s="171"/>
      <c r="M55" s="171"/>
      <c r="N55" s="172" t="str">
        <f>IF('1. Live'!N55='check-Jul''26'!N55,"",'1. Live'!N55-'check-Jul''26'!N55)</f>
        <v/>
      </c>
      <c r="O55" s="173" t="str">
        <f>IF('1. Live'!O55='check-Jul''26'!O55,"",'1. Live'!O55-'check-Jul''26'!O55)</f>
        <v/>
      </c>
      <c r="P55" s="173" t="str">
        <f>IF('1. Live'!P55='check-Jul''26'!P55,"",'1. Live'!P55-'check-Jul''26'!P55)</f>
        <v/>
      </c>
      <c r="Q55" s="173" t="str">
        <f>IF('1. Live'!Q55='check-Jul''26'!Q55,"",'1. Live'!Q55-'check-Jul''26'!Q55)</f>
        <v/>
      </c>
      <c r="R55" s="173" t="str">
        <f>IF('1. Live'!R55='check-Jul''26'!R55,"",'1. Live'!R55-'check-Jul''26'!R55)</f>
        <v/>
      </c>
      <c r="S55" s="173" t="str">
        <f>IF('1. Live'!S55='check-Jul''26'!S55,"",'1. Live'!S55-'check-Jul''26'!S55)</f>
        <v/>
      </c>
      <c r="T55" s="173" t="str">
        <f>IF('1. Live'!T55='check-Jul''26'!T55,"",'1. Live'!T55-'check-Jul''26'!T55)</f>
        <v/>
      </c>
      <c r="U55" s="174" t="str">
        <f>IF('1. Live'!U55='check-Jul''26'!U55,"",'1. Live'!U55-'check-Jul''26'!U55)</f>
        <v/>
      </c>
      <c r="V55" s="171" t="str">
        <f>IF('1. Live'!V55='check-Jul''26'!V55,"",'1. Live'!V55-'check-Jul''26'!V55)</f>
        <v/>
      </c>
      <c r="W55" s="175"/>
      <c r="AA55" s="176" t="str">
        <f>IF('1. Live'!AA66='check-Jul''26'!W66,"",'1. Live'!AA66-'check-Jul''26'!W66)</f>
        <v/>
      </c>
      <c r="AB55" s="176" t="str">
        <f>IF('1. Live'!AF66='check-Jul''26'!AB66,"",'1. Live'!AF66-'check-Jul''26'!AB66)</f>
        <v/>
      </c>
      <c r="AC55" s="176" t="str">
        <f>IF('1. Live'!AG66='check-Jul''26'!AC66,"",'1. Live'!AG66-'check-Jul''26'!AC66)</f>
        <v/>
      </c>
      <c r="AD55" s="176" t="str">
        <f>IF('1. Live'!AH66='check-Jul''26'!AD66,"",'1. Live'!AH66-'check-Jul''26'!AD66)</f>
        <v/>
      </c>
      <c r="AE55" s="176" t="str">
        <f>IF('1. Live'!AI66='check-Jul''26'!AE66,"",'1. Live'!AI66-'check-Jul''26'!AE66)</f>
        <v/>
      </c>
      <c r="AF55" s="176" t="str">
        <f>IF('1. Live'!AJ66='check-Jul''26'!AF66,"",'1. Live'!AJ66-'check-Jul''26'!AF66)</f>
        <v/>
      </c>
      <c r="AG55" s="176" t="str">
        <f>IF('1. Live'!AK66='check-Jul''26'!AG66,"",'1. Live'!AK66-'check-Jul''26'!AG66)</f>
        <v/>
      </c>
      <c r="AH55" s="176" t="str">
        <f>IF('1. Live'!AL66='check-Jul''26'!AH66,"",'1. Live'!AL66-'check-Jul''26'!AH66)</f>
        <v/>
      </c>
      <c r="AI55" s="176" t="str">
        <f>IF('1. Live'!AM66='check-Jul''26'!AI66,"",'1. Live'!AM66-'check-Jul''26'!AI66)</f>
        <v/>
      </c>
      <c r="AJ55" s="176" t="str">
        <f>IF('1. Live'!AN66='check-Jul''26'!AJ66,"",'1. Live'!AN66-'check-Jul''26'!AJ66)</f>
        <v/>
      </c>
      <c r="AK55" s="176" t="str">
        <f>IF('1. Live'!AO66='check-Jul''26'!AK66,"",'1. Live'!AO66-'check-Jul''26'!AK66)</f>
        <v/>
      </c>
      <c r="AL55" s="176" t="str">
        <f>IF('1. Live'!AP66='check-Jul''26'!AL66,"",'1. Live'!AP66-'check-Jul''26'!AL66)</f>
        <v/>
      </c>
      <c r="AM55" s="176" t="str">
        <f>IF('1. Live'!AQ66='check-Jul''26'!AM66,"",'1. Live'!AQ66-'check-Jul''26'!AM66)</f>
        <v/>
      </c>
      <c r="AN55" s="176" t="str">
        <f>IF('1. Live'!AR66='check-Jul''26'!AN66,"",'1. Live'!AR66-'check-Jul''26'!AN66)</f>
        <v/>
      </c>
      <c r="AO55" s="176" t="str">
        <f>IF('1. Live'!AS66='check-Jul''26'!AO66,"",'1. Live'!AS66-'check-Jul''26'!AO66)</f>
        <v/>
      </c>
      <c r="AP55" s="176" t="str">
        <f>IF('1. Live'!AT66='check-Jul''26'!AP66,"",'1. Live'!AT66-'check-Jul''26'!AP66)</f>
        <v/>
      </c>
      <c r="AQ55" s="176" t="str">
        <f>IF('1. Live'!AU66='check-Jul''26'!AQ66,"",'1. Live'!AU66-'check-Jul''26'!AQ66)</f>
        <v/>
      </c>
      <c r="AR55" s="176" t="str">
        <f>IF('1. Live'!AV66='check-Jul''26'!AR66,"",'1. Live'!AV66-'check-Jul''26'!AR66)</f>
        <v/>
      </c>
      <c r="AS55" s="176" t="str">
        <f>IF('1. Live'!AW66='check-Jul''26'!AS66,"",'1. Live'!AW66-'check-Jul''26'!AS66)</f>
        <v/>
      </c>
      <c r="AT55" s="176" t="str">
        <f>IF('1. Live'!AX66='check-Jul''26'!AT66,"",'1. Live'!AX66-'check-Jul''26'!AT66)</f>
        <v/>
      </c>
      <c r="AU55" s="176" t="str">
        <f>IF('1. Live'!AY66='check-Jul''26'!AU66,"",'1. Live'!AY66-'check-Jul''26'!AU66)</f>
        <v/>
      </c>
      <c r="AV55" s="176" t="str">
        <f>IF('1. Live'!AZ66='check-Jul''26'!AV66,"",'1. Live'!AZ66-'check-Jul''26'!AV66)</f>
        <v/>
      </c>
      <c r="AW55" s="176" t="str">
        <f>IF('1. Live'!BA66='check-Jul''26'!AW66,"",'1. Live'!BA66-'check-Jul''26'!AW66)</f>
        <v/>
      </c>
      <c r="AX55" s="176" t="str">
        <f>IF('1. Live'!BB66='check-Jul''26'!AX66,"",'1. Live'!BB66-'check-Jul''26'!AX66)</f>
        <v/>
      </c>
      <c r="AY55" s="176" t="str">
        <f>IF('1. Live'!BC66='check-Jul''26'!AY66,"",'1. Live'!BC66-'check-Jul''26'!AY66)</f>
        <v/>
      </c>
      <c r="AZ55" s="176" t="str">
        <f>IF('1. Live'!BD66='check-Jul''26'!AZ66,"",'1. Live'!BD66-'check-Jul''26'!AZ66)</f>
        <v/>
      </c>
      <c r="BA55" s="176" t="str">
        <f>IF('1. Live'!BE66='check-Jul''26'!BA66,"",'1. Live'!BE66-'check-Jul''26'!BA66)</f>
        <v/>
      </c>
      <c r="BB55" s="176" t="str">
        <f>IF('1. Live'!BF66='check-Jul''26'!BB66,"",'1. Live'!BF66-'check-Jul''26'!BB66)</f>
        <v/>
      </c>
      <c r="BC55" s="176" t="str">
        <f>IF('1. Live'!BG66='check-Jul''26'!BC66,"",'1. Live'!BG66-'check-Jul''26'!BC66)</f>
        <v/>
      </c>
      <c r="BD55" s="176" t="str">
        <f>IF('1. Live'!BH66='check-Jul''26'!BD66,"",'1. Live'!BH66-'check-Jul''26'!BD66)</f>
        <v/>
      </c>
      <c r="BE55" s="176" t="str">
        <f>IF('1. Live'!BI66='check-Jul''26'!BE66,"",'1. Live'!BI66-'check-Jul''26'!BE66)</f>
        <v/>
      </c>
      <c r="BF55" s="176" t="str">
        <f>IF('1. Live'!BJ66='check-Jul''26'!BF66,"",'1. Live'!BJ66-'check-Jul''26'!BF66)</f>
        <v/>
      </c>
      <c r="BG55" s="176" t="str">
        <f>IF('1. Live'!BK66='check-Jul''26'!BG66,"",'1. Live'!BK66-'check-Jul''26'!BG66)</f>
        <v/>
      </c>
      <c r="BH55" s="176" t="str">
        <f>IF('1. Live'!BL66='check-Jul''26'!BH66,"",'1. Live'!BL66-'check-Jul''26'!BH66)</f>
        <v/>
      </c>
      <c r="BI55" s="176" t="str">
        <f>IF('1. Live'!BM66='check-Jul''26'!BI66,"",'1. Live'!BM66-'check-Jul''26'!BI66)</f>
        <v/>
      </c>
      <c r="BJ55" s="176" t="str">
        <f>IF('1. Live'!BN66='check-Jul''26'!BJ66,"",'1. Live'!BN66-'check-Jul''26'!BJ66)</f>
        <v/>
      </c>
      <c r="BK55" s="176" t="str">
        <f>IF('1. Live'!BO66='check-Jul''26'!BK66,"",'1. Live'!BO66-'check-Jul''26'!BK66)</f>
        <v/>
      </c>
      <c r="BL55" s="176" t="str">
        <f>IF('1. Live'!BP66='check-Jul''26'!BL66,"",'1. Live'!BP66-'check-Jul''26'!BL66)</f>
        <v/>
      </c>
      <c r="BM55" s="176" t="str">
        <f>IF('1. Live'!BQ66='check-Jul''26'!BM66,"",'1. Live'!BQ66-'check-Jul''26'!BM66)</f>
        <v/>
      </c>
      <c r="BN55" s="176" t="str">
        <f>IF('1. Live'!BR66='check-Jul''26'!BN66,"",'1. Live'!BR66-'check-Jul''26'!BN66)</f>
        <v/>
      </c>
      <c r="BO55" s="176" t="str">
        <f>IF('1. Live'!BS66='check-Jul''26'!BO66,"",'1. Live'!BS66-'check-Jul''26'!BO66)</f>
        <v/>
      </c>
      <c r="BP55" s="176" t="str">
        <f>IF('1. Live'!BT66='check-Jul''26'!BP66,"",'1. Live'!BT66-'check-Jul''26'!BP66)</f>
        <v/>
      </c>
      <c r="BQ55" s="176" t="str">
        <f>IF('1. Live'!BU66='check-Jul''26'!BQ66,"",'1. Live'!BU66-'check-Jul''26'!BQ66)</f>
        <v/>
      </c>
      <c r="BR55" s="176" t="str">
        <f>IF('1. Live'!BV66='check-Jul''26'!BR66,"",'1. Live'!BV66-'check-Jul''26'!BR66)</f>
        <v/>
      </c>
      <c r="BS55" s="176" t="str">
        <f>IF('1. Live'!BW66='check-Jul''26'!BS66,"",'1. Live'!BW66-'check-Jul''26'!BS66)</f>
        <v/>
      </c>
      <c r="BT55" s="176" t="str">
        <f>IF('1. Live'!BX66='check-Jul''26'!BT66,"",'1. Live'!BX66-'check-Jul''26'!BT66)</f>
        <v/>
      </c>
      <c r="BU55" s="176" t="str">
        <f>IF('1. Live'!BY66='check-Jul''26'!BU66,"",'1. Live'!BY66-'check-Jul''26'!BU66)</f>
        <v/>
      </c>
      <c r="BV55" s="176" t="str">
        <f>IF('1. Live'!BZ66='check-Jul''26'!BV66,"",'1. Live'!BZ66-'check-Jul''26'!BV66)</f>
        <v/>
      </c>
      <c r="BW55" s="176" t="str">
        <f>IF('1. Live'!CA66='check-Jul''26'!BW66,"",'1. Live'!CA66-'check-Jul''26'!BW66)</f>
        <v/>
      </c>
      <c r="BX55" s="176" t="str">
        <f>IF('1. Live'!CB66='check-Jul''26'!BX66,"",'1. Live'!CB66-'check-Jul''26'!BX66)</f>
        <v/>
      </c>
      <c r="BY55" s="176" t="str">
        <f>IF('1. Live'!CC66='check-Jul''26'!BY66,"",'1. Live'!CC66-'check-Jul''26'!BY66)</f>
        <v/>
      </c>
      <c r="BZ55" s="176" t="str">
        <f>IF('1. Live'!CD66='check-Jul''26'!BZ66,"",'1. Live'!CD66-'check-Jul''26'!BZ66)</f>
        <v/>
      </c>
      <c r="CA55" s="176" t="str">
        <f>IF('1. Live'!CE66='check-Jul''26'!CA66,"",'1. Live'!CE66-'check-Jul''26'!CA66)</f>
        <v/>
      </c>
      <c r="CB55" s="176" t="str">
        <f>IF('1. Live'!CF66='check-Jul''26'!CB66,"",'1. Live'!CF66-'check-Jul''26'!CB66)</f>
        <v/>
      </c>
      <c r="CC55" s="176" t="str">
        <f>IF('1. Live'!CG66='check-Jul''26'!CC66,"",'1. Live'!CG66-'check-Jul''26'!CC66)</f>
        <v/>
      </c>
      <c r="CD55" s="176" t="str">
        <f>IF('1. Live'!CH66='check-Jul''26'!CD66,"",'1. Live'!CH66-'check-Jul''26'!CD66)</f>
        <v/>
      </c>
      <c r="CE55" s="176" t="str">
        <f>IF('1. Live'!CI66='check-Jul''26'!CE66,"",'1. Live'!CI66-'check-Jul''26'!CE66)</f>
        <v/>
      </c>
      <c r="CF55" s="176" t="str">
        <f>IF('1. Live'!CJ66='check-Jul''26'!CF66,"",'1. Live'!CJ66-'check-Jul''26'!CF66)</f>
        <v/>
      </c>
      <c r="CG55" s="176" t="str">
        <f>IF('1. Live'!CK66='check-Jul''26'!CG66,"",'1. Live'!CK66-'check-Jul''26'!CG66)</f>
        <v/>
      </c>
      <c r="CH55" s="176" t="str">
        <f>IF('1. Live'!CL66='check-Jul''26'!CH66,"",'1. Live'!CL66-'check-Jul''26'!CH66)</f>
        <v/>
      </c>
      <c r="CI55" s="176" t="str">
        <f>IF('1. Live'!CM66='check-Jul''26'!CI66,"",'1. Live'!CM66-'check-Jul''26'!CI66)</f>
        <v/>
      </c>
      <c r="CJ55" s="176" t="str">
        <f>IF('1. Live'!CN66='check-Jul''26'!CJ66,"",'1. Live'!CN66-'check-Jul''26'!CJ66)</f>
        <v/>
      </c>
      <c r="CK55" s="176" t="str">
        <f>IF('1. Live'!CO66='check-Jul''26'!CK66,"",'1. Live'!CO66-'check-Jul''26'!CK66)</f>
        <v/>
      </c>
      <c r="CL55" s="176" t="str">
        <f>IF('1. Live'!CP66='check-Jul''26'!CL66,"",'1. Live'!CP66-'check-Jul''26'!CL66)</f>
        <v/>
      </c>
      <c r="CM55" s="176" t="str">
        <f>IF('1. Live'!CQ66='check-Jul''26'!CM66,"",'1. Live'!CQ66-'check-Jul''26'!CM66)</f>
        <v/>
      </c>
      <c r="CN55" s="176" t="str">
        <f>IF('1. Live'!CR66='check-Jul''26'!CN66,"",'1. Live'!CR66-'check-Jul''26'!CN66)</f>
        <v/>
      </c>
      <c r="CO55" s="176" t="str">
        <f>IF('1. Live'!CS66='check-Jul''26'!CO66,"",'1. Live'!CS66-'check-Jul''26'!CO66)</f>
        <v/>
      </c>
      <c r="CP55" s="176" t="str">
        <f>IF('1. Live'!CT66='check-Jul''26'!CP66,"",'1. Live'!CT66-'check-Jul''26'!CP66)</f>
        <v/>
      </c>
      <c r="CQ55" s="176" t="str">
        <f>IF('1. Live'!CU66='check-Jul''26'!CQ66,"",'1. Live'!CU66-'check-Jul''26'!CQ66)</f>
        <v/>
      </c>
      <c r="CR55" s="176" t="str">
        <f>IF('1. Live'!CV66='check-Jul''26'!CR66,"",'1. Live'!CV66-'check-Jul''26'!CR66)</f>
        <v/>
      </c>
      <c r="CS55" s="176" t="str">
        <f>IF('1. Live'!CW66='check-Jul''26'!CS66,"",'1. Live'!CW66-'check-Jul''26'!CS66)</f>
        <v/>
      </c>
      <c r="CT55" s="176" t="str">
        <f>IF('1. Live'!CX66='check-Jul''26'!CT66,"",'1. Live'!CX66-'check-Jul''26'!CT66)</f>
        <v/>
      </c>
      <c r="CU55" s="176" t="str">
        <f>IF('1. Live'!CY66='check-Jul''26'!CU66,"",'1. Live'!CY66-'check-Jul''26'!CU66)</f>
        <v/>
      </c>
      <c r="CV55" s="176" t="str">
        <f>IF('1. Live'!CZ66='check-Jul''26'!CV66,"",'1. Live'!CZ66-'check-Jul''26'!CV66)</f>
        <v/>
      </c>
    </row>
    <row r="56" spans="2:100" x14ac:dyDescent="0.25">
      <c r="N56" s="76"/>
      <c r="O56" s="26" t="str">
        <f>IF('1. Live'!O56='check-Jul''26'!O56,"",'1. Live'!O56-'check-Jul''26'!O56)</f>
        <v/>
      </c>
      <c r="P56" s="26" t="str">
        <f>IF('1. Live'!P56='check-Jul''26'!P56,"",'1. Live'!P56-'check-Jul''26'!P56)</f>
        <v/>
      </c>
      <c r="Q56" s="26" t="str">
        <f>IF('1. Live'!Q56='check-Jul''26'!Q56,"",'1. Live'!Q56-'check-Jul''26'!Q56)</f>
        <v/>
      </c>
      <c r="R56" s="26" t="str">
        <f>IF('1. Live'!R56='check-Jul''26'!R56,"",'1. Live'!R56-'check-Jul''26'!R56)</f>
        <v/>
      </c>
      <c r="S56" s="26" t="str">
        <f>IF('1. Live'!S56='check-Jul''26'!S56,"",'1. Live'!S56-'check-Jul''26'!S56)</f>
        <v/>
      </c>
      <c r="T56" s="26" t="str">
        <f>IF('1. Live'!T56='check-Jul''26'!T56,"",'1. Live'!T56-'check-Jul''26'!T56)</f>
        <v/>
      </c>
      <c r="U56" s="80" t="str">
        <f>IF('1. Live'!U56='check-Jul''26'!U56,"",'1. Live'!U56-'check-Jul''26'!U56)</f>
        <v/>
      </c>
      <c r="V56" s="26" t="str">
        <f>IF('1. Live'!V56='check-Jul''26'!V56,"",'1. Live'!V56-'check-Jul''26'!V56)</f>
        <v/>
      </c>
      <c r="W56" s="25" t="str">
        <f>IF('1. Live'!T67='check-Jul''26'!O66,"",'1. Live'!T67-'check-Jul''26'!O66)</f>
        <v/>
      </c>
      <c r="X56" s="25" t="str">
        <f>IF('1. Live'!U67='check-Jul''26'!Q66,"",'1. Live'!U67-'check-Jul''26'!Q66)</f>
        <v/>
      </c>
      <c r="Y56" s="25" t="str">
        <f>IF('1. Live'!V67='check-Jul''26'!R66,"",'1. Live'!V67-'check-Jul''26'!R66)</f>
        <v/>
      </c>
      <c r="AB56" s="25" t="str">
        <f>IF('1. Live'!AF67='check-Jul''26'!AB67,"",'1. Live'!AF67-'check-Jul''26'!AB67)</f>
        <v/>
      </c>
      <c r="AC56" s="25" t="str">
        <f>IF('1. Live'!AG67='check-Jul''26'!AC67,"",'1. Live'!AG67-'check-Jul''26'!AC67)</f>
        <v/>
      </c>
      <c r="AD56" s="25" t="str">
        <f>IF('1. Live'!AH67='check-Jul''26'!AD67,"",'1. Live'!AH67-'check-Jul''26'!AD67)</f>
        <v/>
      </c>
      <c r="AE56" s="25" t="str">
        <f>IF('1. Live'!AI67='check-Jul''26'!AE67,"",'1. Live'!AI67-'check-Jul''26'!AE67)</f>
        <v/>
      </c>
      <c r="AF56" s="25" t="str">
        <f>IF('1. Live'!AJ67='check-Jul''26'!AF67,"",'1. Live'!AJ67-'check-Jul''26'!AF67)</f>
        <v/>
      </c>
      <c r="AG56" s="25" t="str">
        <f>IF('1. Live'!AK67='check-Jul''26'!AG67,"",'1. Live'!AK67-'check-Jul''26'!AG67)</f>
        <v/>
      </c>
      <c r="AH56" s="25" t="str">
        <f>IF('1. Live'!AL67='check-Jul''26'!AH67,"",'1. Live'!AL67-'check-Jul''26'!AH67)</f>
        <v/>
      </c>
      <c r="AI56" s="25" t="str">
        <f>IF('1. Live'!AM67='check-Jul''26'!AI67,"",'1. Live'!AM67-'check-Jul''26'!AI67)</f>
        <v/>
      </c>
      <c r="AJ56" s="25" t="str">
        <f>IF('1. Live'!AN67='check-Jul''26'!AJ67,"",'1. Live'!AN67-'check-Jul''26'!AJ67)</f>
        <v/>
      </c>
      <c r="AK56" s="25" t="str">
        <f>IF('1. Live'!AO67='check-Jul''26'!AK67,"",'1. Live'!AO67-'check-Jul''26'!AK67)</f>
        <v/>
      </c>
      <c r="AL56" s="25" t="str">
        <f>IF('1. Live'!AP67='check-Jul''26'!AL67,"",'1. Live'!AP67-'check-Jul''26'!AL67)</f>
        <v/>
      </c>
      <c r="AM56" s="25" t="str">
        <f>IF('1. Live'!AQ67='check-Jul''26'!AM67,"",'1. Live'!AQ67-'check-Jul''26'!AM67)</f>
        <v/>
      </c>
      <c r="AN56" s="25" t="str">
        <f>IF('1. Live'!AR67='check-Jul''26'!AN67,"",'1. Live'!AR67-'check-Jul''26'!AN67)</f>
        <v/>
      </c>
      <c r="AO56" s="25" t="str">
        <f>IF('1. Live'!AS67='check-Jul''26'!AO67,"",'1. Live'!AS67-'check-Jul''26'!AO67)</f>
        <v/>
      </c>
      <c r="AP56" s="25" t="str">
        <f>IF('1. Live'!AT67='check-Jul''26'!AP67,"",'1. Live'!AT67-'check-Jul''26'!AP67)</f>
        <v/>
      </c>
      <c r="AQ56" s="25" t="str">
        <f>IF('1. Live'!AU67='check-Jul''26'!AQ67,"",'1. Live'!AU67-'check-Jul''26'!AQ67)</f>
        <v/>
      </c>
      <c r="AR56" s="25" t="str">
        <f>IF('1. Live'!AV67='check-Jul''26'!AR67,"",'1. Live'!AV67-'check-Jul''26'!AR67)</f>
        <v/>
      </c>
      <c r="AS56" s="25" t="str">
        <f>IF('1. Live'!AW67='check-Jul''26'!AS67,"",'1. Live'!AW67-'check-Jul''26'!AS67)</f>
        <v/>
      </c>
      <c r="AT56" s="25" t="str">
        <f>IF('1. Live'!AX67='check-Jul''26'!AT67,"",'1. Live'!AX67-'check-Jul''26'!AT67)</f>
        <v/>
      </c>
      <c r="AU56" s="25" t="str">
        <f>IF('1. Live'!AY67='check-Jul''26'!AU67,"",'1. Live'!AY67-'check-Jul''26'!AU67)</f>
        <v/>
      </c>
      <c r="AV56" s="25" t="str">
        <f>IF('1. Live'!AZ67='check-Jul''26'!AV67,"",'1. Live'!AZ67-'check-Jul''26'!AV67)</f>
        <v/>
      </c>
      <c r="AW56" s="25" t="str">
        <f>IF('1. Live'!BA67='check-Jul''26'!AW67,"",'1. Live'!BA67-'check-Jul''26'!AW67)</f>
        <v/>
      </c>
      <c r="AX56" s="25" t="str">
        <f>IF('1. Live'!BB67='check-Jul''26'!AX67,"",'1. Live'!BB67-'check-Jul''26'!AX67)</f>
        <v/>
      </c>
      <c r="AY56" s="25" t="str">
        <f>IF('1. Live'!BC67='check-Jul''26'!AY67,"",'1. Live'!BC67-'check-Jul''26'!AY67)</f>
        <v/>
      </c>
      <c r="AZ56" s="25" t="str">
        <f>IF('1. Live'!BD67='check-Jul''26'!AZ67,"",'1. Live'!BD67-'check-Jul''26'!AZ67)</f>
        <v/>
      </c>
      <c r="BA56" s="25" t="str">
        <f>IF('1. Live'!BE67='check-Jul''26'!BA67,"",'1. Live'!BE67-'check-Jul''26'!BA67)</f>
        <v/>
      </c>
      <c r="BB56" s="25" t="str">
        <f>IF('1. Live'!BF67='check-Jul''26'!BB67,"",'1. Live'!BF67-'check-Jul''26'!BB67)</f>
        <v/>
      </c>
      <c r="BC56" s="25" t="str">
        <f>IF('1. Live'!BG67='check-Jul''26'!BC67,"",'1. Live'!BG67-'check-Jul''26'!BC67)</f>
        <v/>
      </c>
      <c r="BD56" s="25" t="str">
        <f>IF('1. Live'!BH67='check-Jul''26'!BD67,"",'1. Live'!BH67-'check-Jul''26'!BD67)</f>
        <v/>
      </c>
      <c r="BE56" s="25" t="str">
        <f>IF('1. Live'!BI67='check-Jul''26'!BE67,"",'1. Live'!BI67-'check-Jul''26'!BE67)</f>
        <v/>
      </c>
      <c r="BF56" s="25" t="str">
        <f>IF('1. Live'!BJ67='check-Jul''26'!BF67,"",'1. Live'!BJ67-'check-Jul''26'!BF67)</f>
        <v/>
      </c>
      <c r="BG56" s="25" t="str">
        <f>IF('1. Live'!BK67='check-Jul''26'!BG67,"",'1. Live'!BK67-'check-Jul''26'!BG67)</f>
        <v/>
      </c>
      <c r="BH56" s="25" t="str">
        <f>IF('1. Live'!BL67='check-Jul''26'!BH67,"",'1. Live'!BL67-'check-Jul''26'!BH67)</f>
        <v/>
      </c>
      <c r="BI56" s="25" t="str">
        <f>IF('1. Live'!BM67='check-Jul''26'!BI67,"",'1. Live'!BM67-'check-Jul''26'!BI67)</f>
        <v/>
      </c>
      <c r="BJ56" s="25" t="str">
        <f>IF('1. Live'!BN67='check-Jul''26'!BJ67,"",'1. Live'!BN67-'check-Jul''26'!BJ67)</f>
        <v/>
      </c>
      <c r="BK56" s="25" t="str">
        <f>IF('1. Live'!BO67='check-Jul''26'!BK67,"",'1. Live'!BO67-'check-Jul''26'!BK67)</f>
        <v/>
      </c>
      <c r="BL56" s="25" t="str">
        <f>IF('1. Live'!BP67='check-Jul''26'!BL67,"",'1. Live'!BP67-'check-Jul''26'!BL67)</f>
        <v/>
      </c>
      <c r="BM56" s="25" t="str">
        <f>IF('1. Live'!BQ67='check-Jul''26'!BM67,"",'1. Live'!BQ67-'check-Jul''26'!BM67)</f>
        <v/>
      </c>
      <c r="BN56" s="25" t="str">
        <f>IF('1. Live'!BR67='check-Jul''26'!BN67,"",'1. Live'!BR67-'check-Jul''26'!BN67)</f>
        <v/>
      </c>
      <c r="BO56" s="25" t="str">
        <f>IF('1. Live'!BS67='check-Jul''26'!BO67,"",'1. Live'!BS67-'check-Jul''26'!BO67)</f>
        <v/>
      </c>
      <c r="BP56" s="25" t="str">
        <f>IF('1. Live'!BT67='check-Jul''26'!BP67,"",'1. Live'!BT67-'check-Jul''26'!BP67)</f>
        <v/>
      </c>
      <c r="BQ56" s="25" t="str">
        <f>IF('1. Live'!BU67='check-Jul''26'!BQ67,"",'1. Live'!BU67-'check-Jul''26'!BQ67)</f>
        <v/>
      </c>
      <c r="BR56" s="25" t="str">
        <f>IF('1. Live'!BV67='check-Jul''26'!BR67,"",'1. Live'!BV67-'check-Jul''26'!BR67)</f>
        <v/>
      </c>
      <c r="BS56" s="25" t="str">
        <f>IF('1. Live'!BW67='check-Jul''26'!BS67,"",'1. Live'!BW67-'check-Jul''26'!BS67)</f>
        <v/>
      </c>
      <c r="BT56" s="25" t="str">
        <f>IF('1. Live'!BX67='check-Jul''26'!BT67,"",'1. Live'!BX67-'check-Jul''26'!BT67)</f>
        <v/>
      </c>
      <c r="BU56" s="25" t="str">
        <f>IF('1. Live'!BY67='check-Jul''26'!BU67,"",'1. Live'!BY67-'check-Jul''26'!BU67)</f>
        <v/>
      </c>
      <c r="BV56" s="25" t="str">
        <f>IF('1. Live'!BZ67='check-Jul''26'!BV67,"",'1. Live'!BZ67-'check-Jul''26'!BV67)</f>
        <v/>
      </c>
      <c r="BW56" s="25" t="str">
        <f>IF('1. Live'!CA67='check-Jul''26'!BW67,"",'1. Live'!CA67-'check-Jul''26'!BW67)</f>
        <v/>
      </c>
      <c r="BX56" s="25" t="str">
        <f>IF('1. Live'!CB67='check-Jul''26'!BX67,"",'1. Live'!CB67-'check-Jul''26'!BX67)</f>
        <v/>
      </c>
      <c r="BY56" s="25" t="str">
        <f>IF('1. Live'!CC67='check-Jul''26'!BY67,"",'1. Live'!CC67-'check-Jul''26'!BY67)</f>
        <v/>
      </c>
      <c r="BZ56" s="25" t="str">
        <f>IF('1. Live'!CD67='check-Jul''26'!BZ67,"",'1. Live'!CD67-'check-Jul''26'!BZ67)</f>
        <v/>
      </c>
      <c r="CA56" s="25" t="str">
        <f>IF('1. Live'!CE67='check-Jul''26'!CA67,"",'1. Live'!CE67-'check-Jul''26'!CA67)</f>
        <v/>
      </c>
      <c r="CB56" s="25" t="str">
        <f>IF('1. Live'!CF67='check-Jul''26'!CB67,"",'1. Live'!CF67-'check-Jul''26'!CB67)</f>
        <v/>
      </c>
      <c r="CC56" s="25" t="str">
        <f>IF('1. Live'!CG67='check-Jul''26'!CC67,"",'1. Live'!CG67-'check-Jul''26'!CC67)</f>
        <v/>
      </c>
      <c r="CD56" s="25" t="str">
        <f>IF('1. Live'!CH67='check-Jul''26'!CD67,"",'1. Live'!CH67-'check-Jul''26'!CD67)</f>
        <v/>
      </c>
      <c r="CE56" s="25" t="str">
        <f>IF('1. Live'!CI67='check-Jul''26'!CE67,"",'1. Live'!CI67-'check-Jul''26'!CE67)</f>
        <v/>
      </c>
      <c r="CF56" s="25" t="str">
        <f>IF('1. Live'!CJ67='check-Jul''26'!CF67,"",'1. Live'!CJ67-'check-Jul''26'!CF67)</f>
        <v/>
      </c>
      <c r="CG56" s="25" t="str">
        <f>IF('1. Live'!CK67='check-Jul''26'!CG67,"",'1. Live'!CK67-'check-Jul''26'!CG67)</f>
        <v/>
      </c>
      <c r="CH56" s="25" t="str">
        <f>IF('1. Live'!CL67='check-Jul''26'!CH67,"",'1. Live'!CL67-'check-Jul''26'!CH67)</f>
        <v/>
      </c>
      <c r="CI56" s="25" t="str">
        <f>IF('1. Live'!CM67='check-Jul''26'!CI67,"",'1. Live'!CM67-'check-Jul''26'!CI67)</f>
        <v/>
      </c>
      <c r="CJ56" s="25" t="str">
        <f>IF('1. Live'!CN67='check-Jul''26'!CJ67,"",'1. Live'!CN67-'check-Jul''26'!CJ67)</f>
        <v/>
      </c>
      <c r="CK56" s="25" t="str">
        <f>IF('1. Live'!CO67='check-Jul''26'!CK67,"",'1. Live'!CO67-'check-Jul''26'!CK67)</f>
        <v/>
      </c>
      <c r="CL56" s="25" t="str">
        <f>IF('1. Live'!CP67='check-Jul''26'!CL67,"",'1. Live'!CP67-'check-Jul''26'!CL67)</f>
        <v/>
      </c>
      <c r="CM56" s="25" t="str">
        <f>IF('1. Live'!CQ67='check-Jul''26'!CM67,"",'1. Live'!CQ67-'check-Jul''26'!CM67)</f>
        <v/>
      </c>
      <c r="CN56" s="25" t="str">
        <f>IF('1. Live'!CR67='check-Jul''26'!CN67,"",'1. Live'!CR67-'check-Jul''26'!CN67)</f>
        <v/>
      </c>
      <c r="CO56" s="25" t="str">
        <f>IF('1. Live'!CS67='check-Jul''26'!CO67,"",'1. Live'!CS67-'check-Jul''26'!CO67)</f>
        <v/>
      </c>
      <c r="CP56" s="25" t="str">
        <f>IF('1. Live'!CT67='check-Jul''26'!CP67,"",'1. Live'!CT67-'check-Jul''26'!CP67)</f>
        <v/>
      </c>
      <c r="CQ56" s="25" t="str">
        <f>IF('1. Live'!CU67='check-Jul''26'!CQ67,"",'1. Live'!CU67-'check-Jul''26'!CQ67)</f>
        <v/>
      </c>
      <c r="CR56" s="25" t="str">
        <f>IF('1. Live'!CV67='check-Jul''26'!CR67,"",'1. Live'!CV67-'check-Jul''26'!CR67)</f>
        <v/>
      </c>
      <c r="CS56" s="25" t="str">
        <f>IF('1. Live'!CW67='check-Jul''26'!CS67,"",'1. Live'!CW67-'check-Jul''26'!CS67)</f>
        <v/>
      </c>
      <c r="CT56" s="25" t="str">
        <f>IF('1. Live'!CX67='check-Jul''26'!CT67,"",'1. Live'!CX67-'check-Jul''26'!CT67)</f>
        <v/>
      </c>
      <c r="CU56" s="25" t="str">
        <f>IF('1. Live'!CY67='check-Jul''26'!CU67,"",'1. Live'!CY67-'check-Jul''26'!CU67)</f>
        <v/>
      </c>
      <c r="CV56" s="25" t="str">
        <f>IF('1. Live'!CZ67='check-Jul''26'!CV67,"",'1. Live'!CZ67-'check-Jul''26'!CV67)</f>
        <v/>
      </c>
    </row>
    <row r="57" spans="2:100" x14ac:dyDescent="0.25">
      <c r="M57" s="195"/>
      <c r="N57" s="190"/>
      <c r="O57" s="414"/>
      <c r="P57" s="414"/>
      <c r="Q57" s="414" t="str">
        <f>IF('1. Live'!N68='check-Jul''26'!I67,"",'1. Live'!N68-'check-Jul''26'!I67)</f>
        <v/>
      </c>
      <c r="R57" s="414" t="str">
        <f>IF('1. Live'!O68='check-Jul''26'!J67,"",'1. Live'!O68-'check-Jul''26'!J67)</f>
        <v/>
      </c>
      <c r="S57" s="414" t="str">
        <f>IF('1. Live'!P68='check-Jul''26'!K67,"",'1. Live'!P68-'check-Jul''26'!K67)</f>
        <v/>
      </c>
      <c r="T57" s="414" t="str">
        <f>IF('1. Live'!Q68='check-Jul''26'!L67,"",'1. Live'!Q68-'check-Jul''26'!L67)</f>
        <v/>
      </c>
      <c r="U57" s="80" t="str">
        <f>IF('1. Live'!R68='check-Jul''26'!M67,"",'1. Live'!R68-'check-Jul''26'!M67)</f>
        <v/>
      </c>
      <c r="V57" s="26" t="str">
        <f>IF('1. Live'!S68='check-Jul''26'!N67,"",'1. Live'!S68-'check-Jul''26'!N67)</f>
        <v/>
      </c>
      <c r="W57" s="25" t="str">
        <f>IF('1. Live'!T68='check-Jul''26'!O67,"",'1. Live'!T68-'check-Jul''26'!O67)</f>
        <v/>
      </c>
      <c r="X57" s="25" t="str">
        <f>IF('1. Live'!U68='check-Jul''26'!Q67,"",'1. Live'!U68-'check-Jul''26'!Q67)</f>
        <v/>
      </c>
      <c r="Y57" s="25" t="str">
        <f>IF('1. Live'!V68='check-Jul''26'!R67,"",'1. Live'!V68-'check-Jul''26'!R67)</f>
        <v/>
      </c>
      <c r="AB57" s="25" t="str">
        <f>IF('1. Live'!AF68='check-Jul''26'!AB68,"",'1. Live'!AF68-'check-Jul''26'!AB68)</f>
        <v/>
      </c>
      <c r="AC57" s="25" t="str">
        <f>IF('1. Live'!AG68='check-Jul''26'!AC68,"",'1. Live'!AG68-'check-Jul''26'!AC68)</f>
        <v/>
      </c>
      <c r="AD57" s="25" t="str">
        <f>IF('1. Live'!AH68='check-Jul''26'!AD68,"",'1. Live'!AH68-'check-Jul''26'!AD68)</f>
        <v/>
      </c>
      <c r="AE57" s="25" t="str">
        <f>IF('1. Live'!AI68='check-Jul''26'!AE68,"",'1. Live'!AI68-'check-Jul''26'!AE68)</f>
        <v/>
      </c>
      <c r="AF57" s="25" t="str">
        <f>IF('1. Live'!AJ68='check-Jul''26'!AF68,"",'1. Live'!AJ68-'check-Jul''26'!AF68)</f>
        <v/>
      </c>
      <c r="AG57" s="25" t="str">
        <f>IF('1. Live'!AK68='check-Jul''26'!AG68,"",'1. Live'!AK68-'check-Jul''26'!AG68)</f>
        <v/>
      </c>
      <c r="AH57" s="25" t="str">
        <f>IF('1. Live'!AL68='check-Jul''26'!AH68,"",'1. Live'!AL68-'check-Jul''26'!AH68)</f>
        <v/>
      </c>
      <c r="AI57" s="25" t="str">
        <f>IF('1. Live'!AM68='check-Jul''26'!AI68,"",'1. Live'!AM68-'check-Jul''26'!AI68)</f>
        <v/>
      </c>
      <c r="AJ57" s="25" t="str">
        <f>IF('1. Live'!AN68='check-Jul''26'!AJ68,"",'1. Live'!AN68-'check-Jul''26'!AJ68)</f>
        <v/>
      </c>
      <c r="AK57" s="25" t="str">
        <f>IF('1. Live'!AO68='check-Jul''26'!AK68,"",'1. Live'!AO68-'check-Jul''26'!AK68)</f>
        <v/>
      </c>
      <c r="AL57" s="25" t="str">
        <f>IF('1. Live'!AP68='check-Jul''26'!AL68,"",'1. Live'!AP68-'check-Jul''26'!AL68)</f>
        <v/>
      </c>
      <c r="AM57" s="25" t="str">
        <f>IF('1. Live'!AQ68='check-Jul''26'!AM68,"",'1. Live'!AQ68-'check-Jul''26'!AM68)</f>
        <v/>
      </c>
      <c r="AN57" s="25" t="str">
        <f>IF('1. Live'!AR68='check-Jul''26'!AN68,"",'1. Live'!AR68-'check-Jul''26'!AN68)</f>
        <v/>
      </c>
      <c r="AO57" s="25" t="str">
        <f>IF('1. Live'!AS68='check-Jul''26'!AO68,"",'1. Live'!AS68-'check-Jul''26'!AO68)</f>
        <v/>
      </c>
      <c r="AP57" s="25" t="str">
        <f>IF('1. Live'!AT68='check-Jul''26'!AP68,"",'1. Live'!AT68-'check-Jul''26'!AP68)</f>
        <v/>
      </c>
      <c r="AQ57" s="25" t="str">
        <f>IF('1. Live'!AU68='check-Jul''26'!AQ68,"",'1. Live'!AU68-'check-Jul''26'!AQ68)</f>
        <v/>
      </c>
      <c r="AR57" s="25" t="str">
        <f>IF('1. Live'!AV68='check-Jul''26'!AR68,"",'1. Live'!AV68-'check-Jul''26'!AR68)</f>
        <v/>
      </c>
      <c r="AS57" s="25" t="str">
        <f>IF('1. Live'!AW68='check-Jul''26'!AS68,"",'1. Live'!AW68-'check-Jul''26'!AS68)</f>
        <v/>
      </c>
      <c r="AT57" s="25" t="str">
        <f>IF('1. Live'!AX68='check-Jul''26'!AT68,"",'1. Live'!AX68-'check-Jul''26'!AT68)</f>
        <v/>
      </c>
      <c r="AU57" s="25" t="str">
        <f>IF('1. Live'!AY68='check-Jul''26'!AU68,"",'1. Live'!AY68-'check-Jul''26'!AU68)</f>
        <v/>
      </c>
      <c r="AV57" s="25" t="str">
        <f>IF('1. Live'!AZ68='check-Jul''26'!AV68,"",'1. Live'!AZ68-'check-Jul''26'!AV68)</f>
        <v/>
      </c>
      <c r="AW57" s="25" t="str">
        <f>IF('1. Live'!BA68='check-Jul''26'!AW68,"",'1. Live'!BA68-'check-Jul''26'!AW68)</f>
        <v/>
      </c>
      <c r="AX57" s="25" t="str">
        <f>IF('1. Live'!BB68='check-Jul''26'!AX68,"",'1. Live'!BB68-'check-Jul''26'!AX68)</f>
        <v/>
      </c>
      <c r="AY57" s="25" t="str">
        <f>IF('1. Live'!BC68='check-Jul''26'!AY68,"",'1. Live'!BC68-'check-Jul''26'!AY68)</f>
        <v/>
      </c>
      <c r="AZ57" s="25" t="str">
        <f>IF('1. Live'!BD68='check-Jul''26'!AZ68,"",'1. Live'!BD68-'check-Jul''26'!AZ68)</f>
        <v/>
      </c>
      <c r="BA57" s="25" t="str">
        <f>IF('1. Live'!BE68='check-Jul''26'!BA68,"",'1. Live'!BE68-'check-Jul''26'!BA68)</f>
        <v/>
      </c>
      <c r="BB57" s="25" t="str">
        <f>IF('1. Live'!BF68='check-Jul''26'!BB68,"",'1. Live'!BF68-'check-Jul''26'!BB68)</f>
        <v/>
      </c>
      <c r="BC57" s="25" t="str">
        <f>IF('1. Live'!BG68='check-Jul''26'!BC68,"",'1. Live'!BG68-'check-Jul''26'!BC68)</f>
        <v/>
      </c>
      <c r="BD57" s="25" t="str">
        <f>IF('1. Live'!BH68='check-Jul''26'!BD68,"",'1. Live'!BH68-'check-Jul''26'!BD68)</f>
        <v/>
      </c>
      <c r="BE57" s="25" t="str">
        <f>IF('1. Live'!BI68='check-Jul''26'!BE68,"",'1. Live'!BI68-'check-Jul''26'!BE68)</f>
        <v/>
      </c>
      <c r="BF57" s="25" t="str">
        <f>IF('1. Live'!BJ68='check-Jul''26'!BF68,"",'1. Live'!BJ68-'check-Jul''26'!BF68)</f>
        <v/>
      </c>
      <c r="BG57" s="25" t="str">
        <f>IF('1. Live'!BK68='check-Jul''26'!BG68,"",'1. Live'!BK68-'check-Jul''26'!BG68)</f>
        <v/>
      </c>
      <c r="BH57" s="25" t="str">
        <f>IF('1. Live'!BL68='check-Jul''26'!BH68,"",'1. Live'!BL68-'check-Jul''26'!BH68)</f>
        <v/>
      </c>
      <c r="BI57" s="25" t="str">
        <f>IF('1. Live'!BM68='check-Jul''26'!BI68,"",'1. Live'!BM68-'check-Jul''26'!BI68)</f>
        <v/>
      </c>
      <c r="BJ57" s="25" t="str">
        <f>IF('1. Live'!BN68='check-Jul''26'!BJ68,"",'1. Live'!BN68-'check-Jul''26'!BJ68)</f>
        <v/>
      </c>
      <c r="BK57" s="25" t="str">
        <f>IF('1. Live'!BO68='check-Jul''26'!BK68,"",'1. Live'!BO68-'check-Jul''26'!BK68)</f>
        <v/>
      </c>
      <c r="BL57" s="25" t="str">
        <f>IF('1. Live'!BP68='check-Jul''26'!BL68,"",'1. Live'!BP68-'check-Jul''26'!BL68)</f>
        <v/>
      </c>
      <c r="BM57" s="25" t="str">
        <f>IF('1. Live'!BQ68='check-Jul''26'!BM68,"",'1. Live'!BQ68-'check-Jul''26'!BM68)</f>
        <v/>
      </c>
      <c r="BN57" s="25" t="str">
        <f>IF('1. Live'!BR68='check-Jul''26'!BN68,"",'1. Live'!BR68-'check-Jul''26'!BN68)</f>
        <v/>
      </c>
      <c r="BO57" s="25" t="str">
        <f>IF('1. Live'!BS68='check-Jul''26'!BO68,"",'1. Live'!BS68-'check-Jul''26'!BO68)</f>
        <v/>
      </c>
      <c r="BP57" s="25" t="str">
        <f>IF('1. Live'!BT68='check-Jul''26'!BP68,"",'1. Live'!BT68-'check-Jul''26'!BP68)</f>
        <v/>
      </c>
      <c r="BQ57" s="25" t="str">
        <f>IF('1. Live'!BU68='check-Jul''26'!BQ68,"",'1. Live'!BU68-'check-Jul''26'!BQ68)</f>
        <v/>
      </c>
      <c r="BR57" s="25" t="str">
        <f>IF('1. Live'!BV68='check-Jul''26'!BR68,"",'1. Live'!BV68-'check-Jul''26'!BR68)</f>
        <v/>
      </c>
      <c r="BS57" s="25" t="str">
        <f>IF('1. Live'!BW68='check-Jul''26'!BS68,"",'1. Live'!BW68-'check-Jul''26'!BS68)</f>
        <v/>
      </c>
      <c r="BT57" s="25" t="str">
        <f>IF('1. Live'!BX68='check-Jul''26'!BT68,"",'1. Live'!BX68-'check-Jul''26'!BT68)</f>
        <v/>
      </c>
      <c r="BU57" s="25" t="str">
        <f>IF('1. Live'!BY68='check-Jul''26'!BU68,"",'1. Live'!BY68-'check-Jul''26'!BU68)</f>
        <v/>
      </c>
      <c r="BV57" s="25" t="str">
        <f>IF('1. Live'!BZ68='check-Jul''26'!BV68,"",'1. Live'!BZ68-'check-Jul''26'!BV68)</f>
        <v/>
      </c>
      <c r="BW57" s="25" t="str">
        <f>IF('1. Live'!CA68='check-Jul''26'!BW68,"",'1. Live'!CA68-'check-Jul''26'!BW68)</f>
        <v/>
      </c>
      <c r="BX57" s="25" t="str">
        <f>IF('1. Live'!CB68='check-Jul''26'!BX68,"",'1. Live'!CB68-'check-Jul''26'!BX68)</f>
        <v/>
      </c>
      <c r="BY57" s="25" t="str">
        <f>IF('1. Live'!CC68='check-Jul''26'!BY68,"",'1. Live'!CC68-'check-Jul''26'!BY68)</f>
        <v/>
      </c>
      <c r="BZ57" s="25" t="str">
        <f>IF('1. Live'!CD68='check-Jul''26'!BZ68,"",'1. Live'!CD68-'check-Jul''26'!BZ68)</f>
        <v/>
      </c>
      <c r="CA57" s="25" t="str">
        <f>IF('1. Live'!CE68='check-Jul''26'!CA68,"",'1. Live'!CE68-'check-Jul''26'!CA68)</f>
        <v/>
      </c>
      <c r="CB57" s="25" t="str">
        <f>IF('1. Live'!CF68='check-Jul''26'!CB68,"",'1. Live'!CF68-'check-Jul''26'!CB68)</f>
        <v/>
      </c>
      <c r="CC57" s="25" t="str">
        <f>IF('1. Live'!CG68='check-Jul''26'!CC68,"",'1. Live'!CG68-'check-Jul''26'!CC68)</f>
        <v/>
      </c>
      <c r="CD57" s="25" t="str">
        <f>IF('1. Live'!CH68='check-Jul''26'!CD68,"",'1. Live'!CH68-'check-Jul''26'!CD68)</f>
        <v/>
      </c>
      <c r="CE57" s="25" t="str">
        <f>IF('1. Live'!CI68='check-Jul''26'!CE68,"",'1. Live'!CI68-'check-Jul''26'!CE68)</f>
        <v/>
      </c>
      <c r="CF57" s="25" t="str">
        <f>IF('1. Live'!CJ68='check-Jul''26'!CF68,"",'1. Live'!CJ68-'check-Jul''26'!CF68)</f>
        <v/>
      </c>
      <c r="CG57" s="25" t="str">
        <f>IF('1. Live'!CK68='check-Jul''26'!CG68,"",'1. Live'!CK68-'check-Jul''26'!CG68)</f>
        <v/>
      </c>
      <c r="CH57" s="25" t="str">
        <f>IF('1. Live'!CL68='check-Jul''26'!CH68,"",'1. Live'!CL68-'check-Jul''26'!CH68)</f>
        <v/>
      </c>
      <c r="CI57" s="25" t="str">
        <f>IF('1. Live'!CM68='check-Jul''26'!CI68,"",'1. Live'!CM68-'check-Jul''26'!CI68)</f>
        <v/>
      </c>
      <c r="CJ57" s="25" t="str">
        <f>IF('1. Live'!CN68='check-Jul''26'!CJ68,"",'1. Live'!CN68-'check-Jul''26'!CJ68)</f>
        <v/>
      </c>
      <c r="CK57" s="25" t="str">
        <f>IF('1. Live'!CO68='check-Jul''26'!CK68,"",'1. Live'!CO68-'check-Jul''26'!CK68)</f>
        <v/>
      </c>
      <c r="CL57" s="25" t="str">
        <f>IF('1. Live'!CP68='check-Jul''26'!CL68,"",'1. Live'!CP68-'check-Jul''26'!CL68)</f>
        <v/>
      </c>
      <c r="CM57" s="25" t="str">
        <f>IF('1. Live'!CQ68='check-Jul''26'!CM68,"",'1. Live'!CQ68-'check-Jul''26'!CM68)</f>
        <v/>
      </c>
      <c r="CN57" s="25" t="str">
        <f>IF('1. Live'!CR68='check-Jul''26'!CN68,"",'1. Live'!CR68-'check-Jul''26'!CN68)</f>
        <v/>
      </c>
      <c r="CO57" s="25" t="str">
        <f>IF('1. Live'!CS68='check-Jul''26'!CO68,"",'1. Live'!CS68-'check-Jul''26'!CO68)</f>
        <v/>
      </c>
      <c r="CP57" s="25" t="str">
        <f>IF('1. Live'!CT68='check-Jul''26'!CP68,"",'1. Live'!CT68-'check-Jul''26'!CP68)</f>
        <v/>
      </c>
      <c r="CQ57" s="25" t="str">
        <f>IF('1. Live'!CU68='check-Jul''26'!CQ68,"",'1. Live'!CU68-'check-Jul''26'!CQ68)</f>
        <v/>
      </c>
      <c r="CR57" s="25" t="str">
        <f>IF('1. Live'!CV68='check-Jul''26'!CR68,"",'1. Live'!CV68-'check-Jul''26'!CR68)</f>
        <v/>
      </c>
      <c r="CS57" s="25" t="str">
        <f>IF('1. Live'!CW68='check-Jul''26'!CS68,"",'1. Live'!CW68-'check-Jul''26'!CS68)</f>
        <v/>
      </c>
      <c r="CT57" s="25" t="str">
        <f>IF('1. Live'!CX68='check-Jul''26'!CT68,"",'1. Live'!CX68-'check-Jul''26'!CT68)</f>
        <v/>
      </c>
      <c r="CU57" s="25" t="str">
        <f>IF('1. Live'!CY68='check-Jul''26'!CU68,"",'1. Live'!CY68-'check-Jul''26'!CU68)</f>
        <v/>
      </c>
      <c r="CV57" s="25" t="str">
        <f>IF('1. Live'!CZ68='check-Jul''26'!CV68,"",'1. Live'!CZ68-'check-Jul''26'!CV68)</f>
        <v/>
      </c>
    </row>
    <row r="58" spans="2:100" x14ac:dyDescent="0.25">
      <c r="Q58" s="26" t="str">
        <f>IF('1. Live'!N76='check-Jul''26'!I76,"",'1. Live'!N76-'check-Jul''26'!I76)</f>
        <v/>
      </c>
      <c r="R58" s="26" t="str">
        <f>IF('1. Live'!O76='check-Jul''26'!J76,"",'1. Live'!O76-'check-Jul''26'!J76)</f>
        <v/>
      </c>
      <c r="S58" s="26" t="str">
        <f>IF('1. Live'!P76='check-Jul''26'!K76,"",'1. Live'!P76-'check-Jul''26'!K76)</f>
        <v/>
      </c>
      <c r="T58" s="26" t="str">
        <f>IF('1. Live'!Q76='check-Jul''26'!L76,"",'1. Live'!Q76-'check-Jul''26'!L76)</f>
        <v/>
      </c>
      <c r="U58" s="80" t="str">
        <f>IF('1. Live'!R76='check-Jul''26'!M76,"",'1. Live'!R76-'check-Jul''26'!M76)</f>
        <v/>
      </c>
      <c r="V58" s="26" t="str">
        <f>IF('1. Live'!S76='check-Jul''26'!N76,"",'1. Live'!S76-'check-Jul''26'!N76)</f>
        <v/>
      </c>
      <c r="W58" s="25" t="str">
        <f>IF('1. Live'!T76='check-Jul''26'!O76,"",'1. Live'!T76-'check-Jul''26'!O76)</f>
        <v/>
      </c>
      <c r="X58" s="25" t="str">
        <f>IF('1. Live'!U76='check-Jul''26'!Q76,"",'1. Live'!U76-'check-Jul''26'!Q76)</f>
        <v/>
      </c>
      <c r="Y58" s="25" t="str">
        <f>IF('1. Live'!V76='check-Jul''26'!R76,"",'1. Live'!V76-'check-Jul''26'!R76)</f>
        <v/>
      </c>
      <c r="AB58" s="25" t="str">
        <f>IF('1. Live'!AF76='check-Jul''26'!AB76,"",'1. Live'!AF76-'check-Jul''26'!AB76)</f>
        <v/>
      </c>
      <c r="AC58" s="25" t="str">
        <f>IF('1. Live'!AG76='check-Jul''26'!AC76,"",'1. Live'!AG76-'check-Jul''26'!AC76)</f>
        <v/>
      </c>
      <c r="AD58" s="25" t="str">
        <f>IF('1. Live'!AH76='check-Jul''26'!AD76,"",'1. Live'!AH76-'check-Jul''26'!AD76)</f>
        <v/>
      </c>
      <c r="AE58" s="25" t="str">
        <f>IF('1. Live'!AI76='check-Jul''26'!AE76,"",'1. Live'!AI76-'check-Jul''26'!AE76)</f>
        <v/>
      </c>
      <c r="AF58" s="25" t="str">
        <f>IF('1. Live'!AJ76='check-Jul''26'!AF76,"",'1. Live'!AJ76-'check-Jul''26'!AF76)</f>
        <v/>
      </c>
      <c r="AG58" s="25" t="str">
        <f>IF('1. Live'!AK76='check-Jul''26'!AG76,"",'1. Live'!AK76-'check-Jul''26'!AG76)</f>
        <v/>
      </c>
      <c r="AH58" s="25" t="str">
        <f>IF('1. Live'!AL76='check-Jul''26'!AH76,"",'1. Live'!AL76-'check-Jul''26'!AH76)</f>
        <v/>
      </c>
      <c r="AI58" s="25" t="str">
        <f>IF('1. Live'!AM76='check-Jul''26'!AI76,"",'1. Live'!AM76-'check-Jul''26'!AI76)</f>
        <v/>
      </c>
      <c r="AJ58" s="25" t="str">
        <f>IF('1. Live'!AN76='check-Jul''26'!AJ76,"",'1. Live'!AN76-'check-Jul''26'!AJ76)</f>
        <v/>
      </c>
      <c r="AK58" s="25" t="str">
        <f>IF('1. Live'!AO76='check-Jul''26'!AK76,"",'1. Live'!AO76-'check-Jul''26'!AK76)</f>
        <v/>
      </c>
      <c r="AL58" s="25" t="str">
        <f>IF('1. Live'!AP76='check-Jul''26'!AL76,"",'1. Live'!AP76-'check-Jul''26'!AL76)</f>
        <v/>
      </c>
      <c r="AM58" s="25" t="str">
        <f>IF('1. Live'!AQ76='check-Jul''26'!AM76,"",'1. Live'!AQ76-'check-Jul''26'!AM76)</f>
        <v/>
      </c>
      <c r="AN58" s="25" t="str">
        <f>IF('1. Live'!AR76='check-Jul''26'!AN76,"",'1. Live'!AR76-'check-Jul''26'!AN76)</f>
        <v/>
      </c>
      <c r="AO58" s="25" t="str">
        <f>IF('1. Live'!AS76='check-Jul''26'!AO76,"",'1. Live'!AS76-'check-Jul''26'!AO76)</f>
        <v/>
      </c>
      <c r="AP58" s="25" t="str">
        <f>IF('1. Live'!AT76='check-Jul''26'!AP76,"",'1. Live'!AT76-'check-Jul''26'!AP76)</f>
        <v/>
      </c>
      <c r="AQ58" s="25" t="str">
        <f>IF('1. Live'!AU76='check-Jul''26'!AQ76,"",'1. Live'!AU76-'check-Jul''26'!AQ76)</f>
        <v/>
      </c>
      <c r="AR58" s="25" t="str">
        <f>IF('1. Live'!AV76='check-Jul''26'!AR76,"",'1. Live'!AV76-'check-Jul''26'!AR76)</f>
        <v/>
      </c>
      <c r="AS58" s="25" t="str">
        <f>IF('1. Live'!AW76='check-Jul''26'!AS76,"",'1. Live'!AW76-'check-Jul''26'!AS76)</f>
        <v/>
      </c>
      <c r="AT58" s="25" t="str">
        <f>IF('1. Live'!AX76='check-Jul''26'!AT76,"",'1. Live'!AX76-'check-Jul''26'!AT76)</f>
        <v/>
      </c>
      <c r="AU58" s="25" t="str">
        <f>IF('1. Live'!AY76='check-Jul''26'!AU76,"",'1. Live'!AY76-'check-Jul''26'!AU76)</f>
        <v/>
      </c>
      <c r="AV58" s="25" t="str">
        <f>IF('1. Live'!AZ76='check-Jul''26'!AV76,"",'1. Live'!AZ76-'check-Jul''26'!AV76)</f>
        <v/>
      </c>
      <c r="AW58" s="25" t="str">
        <f>IF('1. Live'!BA76='check-Jul''26'!AW76,"",'1. Live'!BA76-'check-Jul''26'!AW76)</f>
        <v/>
      </c>
      <c r="AX58" s="25" t="str">
        <f>IF('1. Live'!BB76='check-Jul''26'!AX76,"",'1. Live'!BB76-'check-Jul''26'!AX76)</f>
        <v/>
      </c>
      <c r="AY58" s="25" t="str">
        <f>IF('1. Live'!BC76='check-Jul''26'!AY76,"",'1. Live'!BC76-'check-Jul''26'!AY76)</f>
        <v/>
      </c>
      <c r="AZ58" s="25" t="str">
        <f>IF('1. Live'!BD76='check-Jul''26'!AZ76,"",'1. Live'!BD76-'check-Jul''26'!AZ76)</f>
        <v/>
      </c>
      <c r="BA58" s="25" t="str">
        <f>IF('1. Live'!BE76='check-Jul''26'!BA76,"",'1. Live'!BE76-'check-Jul''26'!BA76)</f>
        <v/>
      </c>
      <c r="BB58" s="25" t="str">
        <f>IF('1. Live'!BF76='check-Jul''26'!BB76,"",'1. Live'!BF76-'check-Jul''26'!BB76)</f>
        <v/>
      </c>
      <c r="BC58" s="25" t="str">
        <f>IF('1. Live'!BG76='check-Jul''26'!BC76,"",'1. Live'!BG76-'check-Jul''26'!BC76)</f>
        <v/>
      </c>
      <c r="BD58" s="25" t="str">
        <f>IF('1. Live'!BH76='check-Jul''26'!BD76,"",'1. Live'!BH76-'check-Jul''26'!BD76)</f>
        <v/>
      </c>
      <c r="BE58" s="25" t="str">
        <f>IF('1. Live'!BI76='check-Jul''26'!BE76,"",'1. Live'!BI76-'check-Jul''26'!BE76)</f>
        <v/>
      </c>
      <c r="BF58" s="25" t="str">
        <f>IF('1. Live'!BJ76='check-Jul''26'!BF76,"",'1. Live'!BJ76-'check-Jul''26'!BF76)</f>
        <v/>
      </c>
      <c r="BG58" s="25" t="str">
        <f>IF('1. Live'!BK76='check-Jul''26'!BG76,"",'1. Live'!BK76-'check-Jul''26'!BG76)</f>
        <v/>
      </c>
      <c r="BH58" s="25" t="str">
        <f>IF('1. Live'!BL76='check-Jul''26'!BH76,"",'1. Live'!BL76-'check-Jul''26'!BH76)</f>
        <v/>
      </c>
      <c r="BI58" s="25" t="str">
        <f>IF('1. Live'!BM76='check-Jul''26'!BI76,"",'1. Live'!BM76-'check-Jul''26'!BI76)</f>
        <v/>
      </c>
      <c r="BJ58" s="25" t="str">
        <f>IF('1. Live'!BN76='check-Jul''26'!BJ76,"",'1. Live'!BN76-'check-Jul''26'!BJ76)</f>
        <v/>
      </c>
      <c r="BK58" s="25" t="str">
        <f>IF('1. Live'!BO76='check-Jul''26'!BK76,"",'1. Live'!BO76-'check-Jul''26'!BK76)</f>
        <v/>
      </c>
      <c r="BL58" s="25" t="str">
        <f>IF('1. Live'!BP76='check-Jul''26'!BL76,"",'1. Live'!BP76-'check-Jul''26'!BL76)</f>
        <v/>
      </c>
      <c r="BM58" s="25" t="str">
        <f>IF('1. Live'!BQ76='check-Jul''26'!BM76,"",'1. Live'!BQ76-'check-Jul''26'!BM76)</f>
        <v/>
      </c>
      <c r="BN58" s="25" t="str">
        <f>IF('1. Live'!BR76='check-Jul''26'!BN76,"",'1. Live'!BR76-'check-Jul''26'!BN76)</f>
        <v/>
      </c>
      <c r="BO58" s="25" t="str">
        <f>IF('1. Live'!BS76='check-Jul''26'!BO76,"",'1. Live'!BS76-'check-Jul''26'!BO76)</f>
        <v/>
      </c>
      <c r="BP58" s="25" t="str">
        <f>IF('1. Live'!BT76='check-Jul''26'!BP76,"",'1. Live'!BT76-'check-Jul''26'!BP76)</f>
        <v/>
      </c>
      <c r="BQ58" s="25" t="str">
        <f>IF('1. Live'!BU76='check-Jul''26'!BQ76,"",'1. Live'!BU76-'check-Jul''26'!BQ76)</f>
        <v/>
      </c>
      <c r="BR58" s="25" t="str">
        <f>IF('1. Live'!BV76='check-Jul''26'!BR76,"",'1. Live'!BV76-'check-Jul''26'!BR76)</f>
        <v/>
      </c>
      <c r="BS58" s="25" t="str">
        <f>IF('1. Live'!BW76='check-Jul''26'!BS76,"",'1. Live'!BW76-'check-Jul''26'!BS76)</f>
        <v/>
      </c>
      <c r="BT58" s="25" t="str">
        <f>IF('1. Live'!BX76='check-Jul''26'!BT76,"",'1. Live'!BX76-'check-Jul''26'!BT76)</f>
        <v/>
      </c>
      <c r="BU58" s="25" t="str">
        <f>IF('1. Live'!BY76='check-Jul''26'!BU76,"",'1. Live'!BY76-'check-Jul''26'!BU76)</f>
        <v/>
      </c>
      <c r="BV58" s="25" t="str">
        <f>IF('1. Live'!BZ76='check-Jul''26'!BV76,"",'1. Live'!BZ76-'check-Jul''26'!BV76)</f>
        <v/>
      </c>
      <c r="BW58" s="25" t="str">
        <f>IF('1. Live'!CA76='check-Jul''26'!BW76,"",'1. Live'!CA76-'check-Jul''26'!BW76)</f>
        <v/>
      </c>
      <c r="BX58" s="25" t="str">
        <f>IF('1. Live'!CB76='check-Jul''26'!BX76,"",'1. Live'!CB76-'check-Jul''26'!BX76)</f>
        <v/>
      </c>
      <c r="BY58" s="25" t="str">
        <f>IF('1. Live'!CC76='check-Jul''26'!BY76,"",'1. Live'!CC76-'check-Jul''26'!BY76)</f>
        <v/>
      </c>
      <c r="BZ58" s="25" t="str">
        <f>IF('1. Live'!CD76='check-Jul''26'!BZ76,"",'1. Live'!CD76-'check-Jul''26'!BZ76)</f>
        <v/>
      </c>
      <c r="CA58" s="25" t="str">
        <f>IF('1. Live'!CE76='check-Jul''26'!CA76,"",'1. Live'!CE76-'check-Jul''26'!CA76)</f>
        <v/>
      </c>
      <c r="CB58" s="25" t="str">
        <f>IF('1. Live'!CF76='check-Jul''26'!CB76,"",'1. Live'!CF76-'check-Jul''26'!CB76)</f>
        <v/>
      </c>
      <c r="CC58" s="25" t="str">
        <f>IF('1. Live'!CG76='check-Jul''26'!CC76,"",'1. Live'!CG76-'check-Jul''26'!CC76)</f>
        <v/>
      </c>
      <c r="CD58" s="25" t="str">
        <f>IF('1. Live'!CH76='check-Jul''26'!CD76,"",'1. Live'!CH76-'check-Jul''26'!CD76)</f>
        <v/>
      </c>
      <c r="CE58" s="25" t="str">
        <f>IF('1. Live'!CI76='check-Jul''26'!CE76,"",'1. Live'!CI76-'check-Jul''26'!CE76)</f>
        <v/>
      </c>
      <c r="CF58" s="25" t="str">
        <f>IF('1. Live'!CJ76='check-Jul''26'!CF76,"",'1. Live'!CJ76-'check-Jul''26'!CF76)</f>
        <v/>
      </c>
      <c r="CG58" s="25" t="str">
        <f>IF('1. Live'!CK76='check-Jul''26'!CG76,"",'1. Live'!CK76-'check-Jul''26'!CG76)</f>
        <v/>
      </c>
      <c r="CH58" s="25" t="str">
        <f>IF('1. Live'!CL76='check-Jul''26'!CH76,"",'1. Live'!CL76-'check-Jul''26'!CH76)</f>
        <v/>
      </c>
      <c r="CI58" s="25" t="str">
        <f>IF('1. Live'!CM76='check-Jul''26'!CI76,"",'1. Live'!CM76-'check-Jul''26'!CI76)</f>
        <v/>
      </c>
      <c r="CJ58" s="25" t="str">
        <f>IF('1. Live'!CN76='check-Jul''26'!CJ76,"",'1. Live'!CN76-'check-Jul''26'!CJ76)</f>
        <v/>
      </c>
      <c r="CK58" s="25" t="str">
        <f>IF('1. Live'!CO76='check-Jul''26'!CK76,"",'1. Live'!CO76-'check-Jul''26'!CK76)</f>
        <v/>
      </c>
      <c r="CL58" s="25" t="str">
        <f>IF('1. Live'!CP76='check-Jul''26'!CL76,"",'1. Live'!CP76-'check-Jul''26'!CL76)</f>
        <v/>
      </c>
      <c r="CM58" s="25" t="str">
        <f>IF('1. Live'!CQ76='check-Jul''26'!CM76,"",'1. Live'!CQ76-'check-Jul''26'!CM76)</f>
        <v/>
      </c>
      <c r="CN58" s="25" t="str">
        <f>IF('1. Live'!CR76='check-Jul''26'!CN76,"",'1. Live'!CR76-'check-Jul''26'!CN76)</f>
        <v/>
      </c>
      <c r="CO58" s="25" t="str">
        <f>IF('1. Live'!CS76='check-Jul''26'!CO76,"",'1. Live'!CS76-'check-Jul''26'!CO76)</f>
        <v/>
      </c>
      <c r="CP58" s="25" t="str">
        <f>IF('1. Live'!CT76='check-Jul''26'!CP76,"",'1. Live'!CT76-'check-Jul''26'!CP76)</f>
        <v/>
      </c>
      <c r="CQ58" s="25" t="str">
        <f>IF('1. Live'!CU76='check-Jul''26'!CQ76,"",'1. Live'!CU76-'check-Jul''26'!CQ76)</f>
        <v/>
      </c>
      <c r="CR58" s="25" t="str">
        <f>IF('1. Live'!CV76='check-Jul''26'!CR76,"",'1. Live'!CV76-'check-Jul''26'!CR76)</f>
        <v/>
      </c>
      <c r="CS58" s="25" t="str">
        <f>IF('1. Live'!CW76='check-Jul''26'!CS76,"",'1. Live'!CW76-'check-Jul''26'!CS76)</f>
        <v/>
      </c>
      <c r="CT58" s="25" t="str">
        <f>IF('1. Live'!CX76='check-Jul''26'!CT76,"",'1. Live'!CX76-'check-Jul''26'!CT76)</f>
        <v/>
      </c>
      <c r="CU58" s="25" t="str">
        <f>IF('1. Live'!CY76='check-Jul''26'!CU76,"",'1. Live'!CY76-'check-Jul''26'!CU76)</f>
        <v/>
      </c>
      <c r="CV58" s="25" t="str">
        <f>IF('1. Live'!CZ76='check-Jul''26'!CV76,"",'1. Live'!CZ76-'check-Jul''26'!CV76)</f>
        <v/>
      </c>
    </row>
    <row r="59" spans="2:100" x14ac:dyDescent="0.25">
      <c r="Q59" s="26" t="str">
        <f>IF('1. Live'!N77='check-Jul''26'!I77,"",'1. Live'!N77-'check-Jul''26'!I77)</f>
        <v/>
      </c>
      <c r="R59" s="26" t="str">
        <f>IF('1. Live'!O77='check-Jul''26'!J77,"",'1. Live'!O77-'check-Jul''26'!J77)</f>
        <v/>
      </c>
      <c r="S59" s="26" t="str">
        <f>IF('1. Live'!P77='check-Jul''26'!K77,"",'1. Live'!P77-'check-Jul''26'!K77)</f>
        <v/>
      </c>
      <c r="T59" s="26" t="str">
        <f>IF('1. Live'!Q77='check-Jul''26'!L77,"",'1. Live'!Q77-'check-Jul''26'!L77)</f>
        <v/>
      </c>
      <c r="U59" s="80" t="str">
        <f>IF('1. Live'!R77='check-Jul''26'!M77,"",'1. Live'!R77-'check-Jul''26'!M77)</f>
        <v/>
      </c>
      <c r="V59" s="26" t="str">
        <f>IF('1. Live'!S77='check-Jul''26'!N77,"",'1. Live'!S77-'check-Jul''26'!N77)</f>
        <v/>
      </c>
      <c r="W59" s="25" t="str">
        <f>IF('1. Live'!T77='check-Jul''26'!O77,"",'1. Live'!T77-'check-Jul''26'!O77)</f>
        <v/>
      </c>
      <c r="X59" s="25" t="str">
        <f>IF('1. Live'!U77='check-Jul''26'!Q77,"",'1. Live'!U77-'check-Jul''26'!Q77)</f>
        <v/>
      </c>
      <c r="Y59" s="25" t="str">
        <f>IF('1. Live'!V77='check-Jul''26'!R77,"",'1. Live'!V77-'check-Jul''26'!R77)</f>
        <v/>
      </c>
      <c r="AB59" s="25" t="str">
        <f>IF('1. Live'!AF77='check-Jul''26'!AB77,"",'1. Live'!AF77-'check-Jul''26'!AB77)</f>
        <v/>
      </c>
      <c r="AC59" s="25" t="str">
        <f>IF('1. Live'!AG77='check-Jul''26'!AC77,"",'1. Live'!AG77-'check-Jul''26'!AC77)</f>
        <v/>
      </c>
      <c r="AD59" s="25" t="str">
        <f>IF('1. Live'!AH77='check-Jul''26'!AD77,"",'1. Live'!AH77-'check-Jul''26'!AD77)</f>
        <v/>
      </c>
      <c r="AE59" s="25" t="str">
        <f>IF('1. Live'!AI77='check-Jul''26'!AE77,"",'1. Live'!AI77-'check-Jul''26'!AE77)</f>
        <v/>
      </c>
      <c r="AF59" s="25" t="str">
        <f>IF('1. Live'!AJ77='check-Jul''26'!AF77,"",'1. Live'!AJ77-'check-Jul''26'!AF77)</f>
        <v/>
      </c>
      <c r="AG59" s="25" t="str">
        <f>IF('1. Live'!AK77='check-Jul''26'!AG77,"",'1. Live'!AK77-'check-Jul''26'!AG77)</f>
        <v/>
      </c>
      <c r="AH59" s="25" t="str">
        <f>IF('1. Live'!AL77='check-Jul''26'!AH77,"",'1. Live'!AL77-'check-Jul''26'!AH77)</f>
        <v/>
      </c>
      <c r="AI59" s="25" t="str">
        <f>IF('1. Live'!AM77='check-Jul''26'!AI77,"",'1. Live'!AM77-'check-Jul''26'!AI77)</f>
        <v/>
      </c>
      <c r="AJ59" s="25" t="str">
        <f>IF('1. Live'!AN77='check-Jul''26'!AJ77,"",'1. Live'!AN77-'check-Jul''26'!AJ77)</f>
        <v/>
      </c>
      <c r="AK59" s="25" t="str">
        <f>IF('1. Live'!AO77='check-Jul''26'!AK77,"",'1. Live'!AO77-'check-Jul''26'!AK77)</f>
        <v/>
      </c>
      <c r="AL59" s="25" t="str">
        <f>IF('1. Live'!AP77='check-Jul''26'!AL77,"",'1. Live'!AP77-'check-Jul''26'!AL77)</f>
        <v/>
      </c>
      <c r="AM59" s="25" t="str">
        <f>IF('1. Live'!AQ77='check-Jul''26'!AM77,"",'1. Live'!AQ77-'check-Jul''26'!AM77)</f>
        <v/>
      </c>
      <c r="AN59" s="25" t="str">
        <f>IF('1. Live'!AR77='check-Jul''26'!AN77,"",'1. Live'!AR77-'check-Jul''26'!AN77)</f>
        <v/>
      </c>
      <c r="AO59" s="25" t="str">
        <f>IF('1. Live'!AS77='check-Jul''26'!AO77,"",'1. Live'!AS77-'check-Jul''26'!AO77)</f>
        <v/>
      </c>
      <c r="AP59" s="25" t="str">
        <f>IF('1. Live'!AT77='check-Jul''26'!AP77,"",'1. Live'!AT77-'check-Jul''26'!AP77)</f>
        <v/>
      </c>
      <c r="AQ59" s="25" t="str">
        <f>IF('1. Live'!AU77='check-Jul''26'!AQ77,"",'1. Live'!AU77-'check-Jul''26'!AQ77)</f>
        <v/>
      </c>
      <c r="AR59" s="25" t="str">
        <f>IF('1. Live'!AV77='check-Jul''26'!AR77,"",'1. Live'!AV77-'check-Jul''26'!AR77)</f>
        <v/>
      </c>
      <c r="AS59" s="25" t="str">
        <f>IF('1. Live'!AW77='check-Jul''26'!AS77,"",'1. Live'!AW77-'check-Jul''26'!AS77)</f>
        <v/>
      </c>
      <c r="AT59" s="25" t="str">
        <f>IF('1. Live'!AX77='check-Jul''26'!AT77,"",'1. Live'!AX77-'check-Jul''26'!AT77)</f>
        <v/>
      </c>
      <c r="AU59" s="25" t="str">
        <f>IF('1. Live'!AY77='check-Jul''26'!AU77,"",'1. Live'!AY77-'check-Jul''26'!AU77)</f>
        <v/>
      </c>
      <c r="AV59" s="25" t="str">
        <f>IF('1. Live'!AZ77='check-Jul''26'!AV77,"",'1. Live'!AZ77-'check-Jul''26'!AV77)</f>
        <v/>
      </c>
      <c r="AW59" s="25" t="str">
        <f>IF('1. Live'!BA77='check-Jul''26'!AW77,"",'1. Live'!BA77-'check-Jul''26'!AW77)</f>
        <v/>
      </c>
      <c r="AX59" s="25" t="str">
        <f>IF('1. Live'!BB77='check-Jul''26'!AX77,"",'1. Live'!BB77-'check-Jul''26'!AX77)</f>
        <v/>
      </c>
      <c r="AY59" s="25" t="str">
        <f>IF('1. Live'!BC77='check-Jul''26'!AY77,"",'1. Live'!BC77-'check-Jul''26'!AY77)</f>
        <v/>
      </c>
      <c r="AZ59" s="25" t="str">
        <f>IF('1. Live'!BD77='check-Jul''26'!AZ77,"",'1. Live'!BD77-'check-Jul''26'!AZ77)</f>
        <v/>
      </c>
      <c r="BA59" s="25" t="str">
        <f>IF('1. Live'!BE77='check-Jul''26'!BA77,"",'1. Live'!BE77-'check-Jul''26'!BA77)</f>
        <v/>
      </c>
      <c r="BB59" s="25" t="str">
        <f>IF('1. Live'!BF77='check-Jul''26'!BB77,"",'1. Live'!BF77-'check-Jul''26'!BB77)</f>
        <v/>
      </c>
      <c r="BC59" s="25" t="str">
        <f>IF('1. Live'!BG77='check-Jul''26'!BC77,"",'1. Live'!BG77-'check-Jul''26'!BC77)</f>
        <v/>
      </c>
      <c r="BD59" s="25" t="str">
        <f>IF('1. Live'!BH77='check-Jul''26'!BD77,"",'1. Live'!BH77-'check-Jul''26'!BD77)</f>
        <v/>
      </c>
      <c r="BE59" s="25" t="str">
        <f>IF('1. Live'!BI77='check-Jul''26'!BE77,"",'1. Live'!BI77-'check-Jul''26'!BE77)</f>
        <v/>
      </c>
      <c r="BF59" s="25" t="str">
        <f>IF('1. Live'!BJ77='check-Jul''26'!BF77,"",'1. Live'!BJ77-'check-Jul''26'!BF77)</f>
        <v/>
      </c>
      <c r="BG59" s="25" t="str">
        <f>IF('1. Live'!BK77='check-Jul''26'!BG77,"",'1. Live'!BK77-'check-Jul''26'!BG77)</f>
        <v/>
      </c>
      <c r="BH59" s="25" t="str">
        <f>IF('1. Live'!BL77='check-Jul''26'!BH77,"",'1. Live'!BL77-'check-Jul''26'!BH77)</f>
        <v/>
      </c>
      <c r="BI59" s="25" t="str">
        <f>IF('1. Live'!BM77='check-Jul''26'!BI77,"",'1. Live'!BM77-'check-Jul''26'!BI77)</f>
        <v/>
      </c>
      <c r="BJ59" s="25" t="str">
        <f>IF('1. Live'!BN77='check-Jul''26'!BJ77,"",'1. Live'!BN77-'check-Jul''26'!BJ77)</f>
        <v/>
      </c>
      <c r="BK59" s="25" t="str">
        <f>IF('1. Live'!BO77='check-Jul''26'!BK77,"",'1. Live'!BO77-'check-Jul''26'!BK77)</f>
        <v/>
      </c>
      <c r="BL59" s="25" t="str">
        <f>IF('1. Live'!BP77='check-Jul''26'!BL77,"",'1. Live'!BP77-'check-Jul''26'!BL77)</f>
        <v/>
      </c>
      <c r="BM59" s="25" t="str">
        <f>IF('1. Live'!BQ77='check-Jul''26'!BM77,"",'1. Live'!BQ77-'check-Jul''26'!BM77)</f>
        <v/>
      </c>
      <c r="BN59" s="25" t="str">
        <f>IF('1. Live'!BR77='check-Jul''26'!BN77,"",'1. Live'!BR77-'check-Jul''26'!BN77)</f>
        <v/>
      </c>
      <c r="BO59" s="25" t="str">
        <f>IF('1. Live'!BS77='check-Jul''26'!BO77,"",'1. Live'!BS77-'check-Jul''26'!BO77)</f>
        <v/>
      </c>
      <c r="BP59" s="25" t="str">
        <f>IF('1. Live'!BT77='check-Jul''26'!BP77,"",'1. Live'!BT77-'check-Jul''26'!BP77)</f>
        <v/>
      </c>
      <c r="BQ59" s="25" t="str">
        <f>IF('1. Live'!BU77='check-Jul''26'!BQ77,"",'1. Live'!BU77-'check-Jul''26'!BQ77)</f>
        <v/>
      </c>
      <c r="BR59" s="25" t="str">
        <f>IF('1. Live'!BV77='check-Jul''26'!BR77,"",'1. Live'!BV77-'check-Jul''26'!BR77)</f>
        <v/>
      </c>
      <c r="BS59" s="25" t="str">
        <f>IF('1. Live'!BW77='check-Jul''26'!BS77,"",'1. Live'!BW77-'check-Jul''26'!BS77)</f>
        <v/>
      </c>
      <c r="BT59" s="25" t="str">
        <f>IF('1. Live'!BX77='check-Jul''26'!BT77,"",'1. Live'!BX77-'check-Jul''26'!BT77)</f>
        <v/>
      </c>
      <c r="BU59" s="25" t="str">
        <f>IF('1. Live'!BY77='check-Jul''26'!BU77,"",'1. Live'!BY77-'check-Jul''26'!BU77)</f>
        <v/>
      </c>
      <c r="BV59" s="25" t="str">
        <f>IF('1. Live'!BZ77='check-Jul''26'!BV77,"",'1. Live'!BZ77-'check-Jul''26'!BV77)</f>
        <v/>
      </c>
      <c r="BW59" s="25" t="str">
        <f>IF('1. Live'!CA77='check-Jul''26'!BW77,"",'1. Live'!CA77-'check-Jul''26'!BW77)</f>
        <v/>
      </c>
      <c r="BX59" s="25" t="str">
        <f>IF('1. Live'!CB77='check-Jul''26'!BX77,"",'1. Live'!CB77-'check-Jul''26'!BX77)</f>
        <v/>
      </c>
      <c r="BY59" s="25" t="str">
        <f>IF('1. Live'!CC77='check-Jul''26'!BY77,"",'1. Live'!CC77-'check-Jul''26'!BY77)</f>
        <v/>
      </c>
      <c r="BZ59" s="25" t="str">
        <f>IF('1. Live'!CD77='check-Jul''26'!BZ77,"",'1. Live'!CD77-'check-Jul''26'!BZ77)</f>
        <v/>
      </c>
      <c r="CA59" s="25" t="str">
        <f>IF('1. Live'!CE77='check-Jul''26'!CA77,"",'1. Live'!CE77-'check-Jul''26'!CA77)</f>
        <v/>
      </c>
      <c r="CB59" s="25" t="str">
        <f>IF('1. Live'!CF77='check-Jul''26'!CB77,"",'1. Live'!CF77-'check-Jul''26'!CB77)</f>
        <v/>
      </c>
      <c r="CC59" s="25" t="str">
        <f>IF('1. Live'!CG77='check-Jul''26'!CC77,"",'1. Live'!CG77-'check-Jul''26'!CC77)</f>
        <v/>
      </c>
      <c r="CD59" s="25" t="str">
        <f>IF('1. Live'!CH77='check-Jul''26'!CD77,"",'1. Live'!CH77-'check-Jul''26'!CD77)</f>
        <v/>
      </c>
      <c r="CE59" s="25" t="str">
        <f>IF('1. Live'!CI77='check-Jul''26'!CE77,"",'1. Live'!CI77-'check-Jul''26'!CE77)</f>
        <v/>
      </c>
      <c r="CF59" s="25" t="str">
        <f>IF('1. Live'!CJ77='check-Jul''26'!CF77,"",'1. Live'!CJ77-'check-Jul''26'!CF77)</f>
        <v/>
      </c>
      <c r="CG59" s="25" t="str">
        <f>IF('1. Live'!CK77='check-Jul''26'!CG77,"",'1. Live'!CK77-'check-Jul''26'!CG77)</f>
        <v/>
      </c>
      <c r="CH59" s="25" t="str">
        <f>IF('1. Live'!CL77='check-Jul''26'!CH77,"",'1. Live'!CL77-'check-Jul''26'!CH77)</f>
        <v/>
      </c>
      <c r="CI59" s="25" t="str">
        <f>IF('1. Live'!CM77='check-Jul''26'!CI77,"",'1. Live'!CM77-'check-Jul''26'!CI77)</f>
        <v/>
      </c>
      <c r="CJ59" s="25" t="str">
        <f>IF('1. Live'!CN77='check-Jul''26'!CJ77,"",'1. Live'!CN77-'check-Jul''26'!CJ77)</f>
        <v/>
      </c>
      <c r="CK59" s="25" t="str">
        <f>IF('1. Live'!CO77='check-Jul''26'!CK77,"",'1. Live'!CO77-'check-Jul''26'!CK77)</f>
        <v/>
      </c>
      <c r="CL59" s="25" t="str">
        <f>IF('1. Live'!CP77='check-Jul''26'!CL77,"",'1. Live'!CP77-'check-Jul''26'!CL77)</f>
        <v/>
      </c>
      <c r="CM59" s="25" t="str">
        <f>IF('1. Live'!CQ77='check-Jul''26'!CM77,"",'1. Live'!CQ77-'check-Jul''26'!CM77)</f>
        <v/>
      </c>
      <c r="CN59" s="25" t="str">
        <f>IF('1. Live'!CR77='check-Jul''26'!CN77,"",'1. Live'!CR77-'check-Jul''26'!CN77)</f>
        <v/>
      </c>
      <c r="CO59" s="25" t="str">
        <f>IF('1. Live'!CS77='check-Jul''26'!CO77,"",'1. Live'!CS77-'check-Jul''26'!CO77)</f>
        <v/>
      </c>
      <c r="CP59" s="25" t="str">
        <f>IF('1. Live'!CT77='check-Jul''26'!CP77,"",'1. Live'!CT77-'check-Jul''26'!CP77)</f>
        <v/>
      </c>
      <c r="CQ59" s="25" t="str">
        <f>IF('1. Live'!CU77='check-Jul''26'!CQ77,"",'1. Live'!CU77-'check-Jul''26'!CQ77)</f>
        <v/>
      </c>
      <c r="CR59" s="25" t="str">
        <f>IF('1. Live'!CV77='check-Jul''26'!CR77,"",'1. Live'!CV77-'check-Jul''26'!CR77)</f>
        <v/>
      </c>
      <c r="CS59" s="25" t="str">
        <f>IF('1. Live'!CW77='check-Jul''26'!CS77,"",'1. Live'!CW77-'check-Jul''26'!CS77)</f>
        <v/>
      </c>
      <c r="CT59" s="25" t="str">
        <f>IF('1. Live'!CX77='check-Jul''26'!CT77,"",'1. Live'!CX77-'check-Jul''26'!CT77)</f>
        <v/>
      </c>
      <c r="CU59" s="25" t="str">
        <f>IF('1. Live'!CY77='check-Jul''26'!CU77,"",'1. Live'!CY77-'check-Jul''26'!CU77)</f>
        <v/>
      </c>
      <c r="CV59" s="25" t="str">
        <f>IF('1. Live'!CZ77='check-Jul''26'!CV77,"",'1. Live'!CZ77-'check-Jul''26'!CV77)</f>
        <v/>
      </c>
    </row>
    <row r="60" spans="2:100" x14ac:dyDescent="0.25">
      <c r="Q60" s="26" t="str">
        <f>IF('1. Live'!N78='check-Jul''26'!I78,"",'1. Live'!N78-'check-Jul''26'!I78)</f>
        <v/>
      </c>
      <c r="R60" s="26" t="str">
        <f>IF('1. Live'!O78='check-Jul''26'!J78,"",'1. Live'!O78-'check-Jul''26'!J78)</f>
        <v/>
      </c>
      <c r="S60" s="26" t="str">
        <f>IF('1. Live'!P78='check-Jul''26'!K78,"",'1. Live'!P78-'check-Jul''26'!K78)</f>
        <v/>
      </c>
      <c r="T60" s="26" t="str">
        <f>IF('1. Live'!Q78='check-Jul''26'!L78,"",'1. Live'!Q78-'check-Jul''26'!L78)</f>
        <v/>
      </c>
      <c r="U60" s="80" t="str">
        <f>IF('1. Live'!R78='check-Jul''26'!M78,"",'1. Live'!R78-'check-Jul''26'!M78)</f>
        <v/>
      </c>
      <c r="V60" s="26" t="str">
        <f>IF('1. Live'!S78='check-Jul''26'!N78,"",'1. Live'!S78-'check-Jul''26'!N78)</f>
        <v/>
      </c>
      <c r="W60" s="25" t="str">
        <f>IF('1. Live'!T78='check-Jul''26'!O78,"",'1. Live'!T78-'check-Jul''26'!O78)</f>
        <v/>
      </c>
      <c r="X60" s="25" t="str">
        <f>IF('1. Live'!U78='check-Jul''26'!Q78,"",'1. Live'!U78-'check-Jul''26'!Q78)</f>
        <v/>
      </c>
      <c r="Y60" s="25" t="str">
        <f>IF('1. Live'!V78='check-Jul''26'!R78,"",'1. Live'!V78-'check-Jul''26'!R78)</f>
        <v/>
      </c>
      <c r="AB60" s="25" t="str">
        <f>IF('1. Live'!AF78='check-Jul''26'!AB78,"",'1. Live'!AF78-'check-Jul''26'!AB78)</f>
        <v/>
      </c>
      <c r="AC60" s="25" t="str">
        <f>IF('1. Live'!AG78='check-Jul''26'!AC78,"",'1. Live'!AG78-'check-Jul''26'!AC78)</f>
        <v/>
      </c>
      <c r="AD60" s="25" t="str">
        <f>IF('1. Live'!AH78='check-Jul''26'!AD78,"",'1. Live'!AH78-'check-Jul''26'!AD78)</f>
        <v/>
      </c>
      <c r="AE60" s="25" t="str">
        <f>IF('1. Live'!AI78='check-Jul''26'!AE78,"",'1. Live'!AI78-'check-Jul''26'!AE78)</f>
        <v/>
      </c>
      <c r="AF60" s="25" t="str">
        <f>IF('1. Live'!AJ78='check-Jul''26'!AF78,"",'1. Live'!AJ78-'check-Jul''26'!AF78)</f>
        <v/>
      </c>
      <c r="AG60" s="25" t="str">
        <f>IF('1. Live'!AK78='check-Jul''26'!AG78,"",'1. Live'!AK78-'check-Jul''26'!AG78)</f>
        <v/>
      </c>
      <c r="AH60" s="25" t="str">
        <f>IF('1. Live'!AL78='check-Jul''26'!AH78,"",'1. Live'!AL78-'check-Jul''26'!AH78)</f>
        <v/>
      </c>
      <c r="AI60" s="25" t="str">
        <f>IF('1. Live'!AM78='check-Jul''26'!AI78,"",'1. Live'!AM78-'check-Jul''26'!AI78)</f>
        <v/>
      </c>
      <c r="AJ60" s="25" t="str">
        <f>IF('1. Live'!AN78='check-Jul''26'!AJ78,"",'1. Live'!AN78-'check-Jul''26'!AJ78)</f>
        <v/>
      </c>
      <c r="AK60" s="25" t="str">
        <f>IF('1. Live'!AO78='check-Jul''26'!AK78,"",'1. Live'!AO78-'check-Jul''26'!AK78)</f>
        <v/>
      </c>
      <c r="AL60" s="25" t="str">
        <f>IF('1. Live'!AP78='check-Jul''26'!AL78,"",'1. Live'!AP78-'check-Jul''26'!AL78)</f>
        <v/>
      </c>
      <c r="AM60" s="25" t="str">
        <f>IF('1. Live'!AQ78='check-Jul''26'!AM78,"",'1. Live'!AQ78-'check-Jul''26'!AM78)</f>
        <v/>
      </c>
      <c r="AN60" s="25" t="str">
        <f>IF('1. Live'!AR78='check-Jul''26'!AN78,"",'1. Live'!AR78-'check-Jul''26'!AN78)</f>
        <v/>
      </c>
      <c r="AO60" s="25" t="str">
        <f>IF('1. Live'!AS78='check-Jul''26'!AO78,"",'1. Live'!AS78-'check-Jul''26'!AO78)</f>
        <v/>
      </c>
      <c r="AP60" s="25" t="str">
        <f>IF('1. Live'!AT78='check-Jul''26'!AP78,"",'1. Live'!AT78-'check-Jul''26'!AP78)</f>
        <v/>
      </c>
      <c r="AQ60" s="25" t="str">
        <f>IF('1. Live'!AU78='check-Jul''26'!AQ78,"",'1. Live'!AU78-'check-Jul''26'!AQ78)</f>
        <v/>
      </c>
      <c r="AR60" s="25" t="str">
        <f>IF('1. Live'!AV78='check-Jul''26'!AR78,"",'1. Live'!AV78-'check-Jul''26'!AR78)</f>
        <v/>
      </c>
      <c r="AS60" s="25" t="str">
        <f>IF('1. Live'!AW78='check-Jul''26'!AS78,"",'1. Live'!AW78-'check-Jul''26'!AS78)</f>
        <v/>
      </c>
      <c r="AT60" s="25" t="str">
        <f>IF('1. Live'!AX78='check-Jul''26'!AT78,"",'1. Live'!AX78-'check-Jul''26'!AT78)</f>
        <v/>
      </c>
      <c r="AU60" s="25" t="str">
        <f>IF('1. Live'!AY78='check-Jul''26'!AU78,"",'1. Live'!AY78-'check-Jul''26'!AU78)</f>
        <v/>
      </c>
      <c r="AV60" s="25" t="str">
        <f>IF('1. Live'!AZ78='check-Jul''26'!AV78,"",'1. Live'!AZ78-'check-Jul''26'!AV78)</f>
        <v/>
      </c>
      <c r="AW60" s="25" t="str">
        <f>IF('1. Live'!BA78='check-Jul''26'!AW78,"",'1. Live'!BA78-'check-Jul''26'!AW78)</f>
        <v/>
      </c>
      <c r="AX60" s="25" t="str">
        <f>IF('1. Live'!BB78='check-Jul''26'!AX78,"",'1. Live'!BB78-'check-Jul''26'!AX78)</f>
        <v/>
      </c>
      <c r="AY60" s="25" t="str">
        <f>IF('1. Live'!BC78='check-Jul''26'!AY78,"",'1. Live'!BC78-'check-Jul''26'!AY78)</f>
        <v/>
      </c>
      <c r="AZ60" s="25" t="str">
        <f>IF('1. Live'!BD78='check-Jul''26'!AZ78,"",'1. Live'!BD78-'check-Jul''26'!AZ78)</f>
        <v/>
      </c>
      <c r="BA60" s="25" t="str">
        <f>IF('1. Live'!BE78='check-Jul''26'!BA78,"",'1. Live'!BE78-'check-Jul''26'!BA78)</f>
        <v/>
      </c>
      <c r="BB60" s="25" t="str">
        <f>IF('1. Live'!BF78='check-Jul''26'!BB78,"",'1. Live'!BF78-'check-Jul''26'!BB78)</f>
        <v/>
      </c>
      <c r="BC60" s="25" t="str">
        <f>IF('1. Live'!BG78='check-Jul''26'!BC78,"",'1. Live'!BG78-'check-Jul''26'!BC78)</f>
        <v/>
      </c>
      <c r="BD60" s="25" t="str">
        <f>IF('1. Live'!BH78='check-Jul''26'!BD78,"",'1. Live'!BH78-'check-Jul''26'!BD78)</f>
        <v/>
      </c>
      <c r="BE60" s="25" t="str">
        <f>IF('1. Live'!BI78='check-Jul''26'!BE78,"",'1. Live'!BI78-'check-Jul''26'!BE78)</f>
        <v/>
      </c>
      <c r="BF60" s="25" t="str">
        <f>IF('1. Live'!BJ78='check-Jul''26'!BF78,"",'1. Live'!BJ78-'check-Jul''26'!BF78)</f>
        <v/>
      </c>
      <c r="BG60" s="25" t="str">
        <f>IF('1. Live'!BK78='check-Jul''26'!BG78,"",'1. Live'!BK78-'check-Jul''26'!BG78)</f>
        <v/>
      </c>
      <c r="BH60" s="25" t="str">
        <f>IF('1. Live'!BL78='check-Jul''26'!BH78,"",'1. Live'!BL78-'check-Jul''26'!BH78)</f>
        <v/>
      </c>
      <c r="BI60" s="25" t="str">
        <f>IF('1. Live'!BM78='check-Jul''26'!BI78,"",'1. Live'!BM78-'check-Jul''26'!BI78)</f>
        <v/>
      </c>
      <c r="BJ60" s="25" t="str">
        <f>IF('1. Live'!BN78='check-Jul''26'!BJ78,"",'1. Live'!BN78-'check-Jul''26'!BJ78)</f>
        <v/>
      </c>
      <c r="BK60" s="25" t="str">
        <f>IF('1. Live'!BO78='check-Jul''26'!BK78,"",'1. Live'!BO78-'check-Jul''26'!BK78)</f>
        <v/>
      </c>
      <c r="BL60" s="25" t="str">
        <f>IF('1. Live'!BP78='check-Jul''26'!BL78,"",'1. Live'!BP78-'check-Jul''26'!BL78)</f>
        <v/>
      </c>
      <c r="BM60" s="25" t="str">
        <f>IF('1. Live'!BQ78='check-Jul''26'!BM78,"",'1. Live'!BQ78-'check-Jul''26'!BM78)</f>
        <v/>
      </c>
      <c r="BN60" s="25" t="str">
        <f>IF('1. Live'!BR78='check-Jul''26'!BN78,"",'1. Live'!BR78-'check-Jul''26'!BN78)</f>
        <v/>
      </c>
      <c r="BO60" s="25" t="str">
        <f>IF('1. Live'!BS78='check-Jul''26'!BO78,"",'1. Live'!BS78-'check-Jul''26'!BO78)</f>
        <v/>
      </c>
      <c r="BP60" s="25" t="str">
        <f>IF('1. Live'!BT78='check-Jul''26'!BP78,"",'1. Live'!BT78-'check-Jul''26'!BP78)</f>
        <v/>
      </c>
      <c r="BQ60" s="25" t="str">
        <f>IF('1. Live'!BU78='check-Jul''26'!BQ78,"",'1. Live'!BU78-'check-Jul''26'!BQ78)</f>
        <v/>
      </c>
      <c r="BR60" s="25" t="str">
        <f>IF('1. Live'!BV78='check-Jul''26'!BR78,"",'1. Live'!BV78-'check-Jul''26'!BR78)</f>
        <v/>
      </c>
      <c r="BS60" s="25" t="str">
        <f>IF('1. Live'!BW78='check-Jul''26'!BS78,"",'1. Live'!BW78-'check-Jul''26'!BS78)</f>
        <v/>
      </c>
      <c r="BT60" s="25" t="str">
        <f>IF('1. Live'!BX78='check-Jul''26'!BT78,"",'1. Live'!BX78-'check-Jul''26'!BT78)</f>
        <v/>
      </c>
      <c r="BU60" s="25" t="str">
        <f>IF('1. Live'!BY78='check-Jul''26'!BU78,"",'1. Live'!BY78-'check-Jul''26'!BU78)</f>
        <v/>
      </c>
      <c r="BV60" s="25" t="str">
        <f>IF('1. Live'!BZ78='check-Jul''26'!BV78,"",'1. Live'!BZ78-'check-Jul''26'!BV78)</f>
        <v/>
      </c>
      <c r="BW60" s="25" t="str">
        <f>IF('1. Live'!CA78='check-Jul''26'!BW78,"",'1. Live'!CA78-'check-Jul''26'!BW78)</f>
        <v/>
      </c>
      <c r="BX60" s="25" t="str">
        <f>IF('1. Live'!CB78='check-Jul''26'!BX78,"",'1. Live'!CB78-'check-Jul''26'!BX78)</f>
        <v/>
      </c>
      <c r="BY60" s="25" t="str">
        <f>IF('1. Live'!CC78='check-Jul''26'!BY78,"",'1. Live'!CC78-'check-Jul''26'!BY78)</f>
        <v/>
      </c>
      <c r="BZ60" s="25" t="str">
        <f>IF('1. Live'!CD78='check-Jul''26'!BZ78,"",'1. Live'!CD78-'check-Jul''26'!BZ78)</f>
        <v/>
      </c>
      <c r="CA60" s="25" t="str">
        <f>IF('1. Live'!CE78='check-Jul''26'!CA78,"",'1. Live'!CE78-'check-Jul''26'!CA78)</f>
        <v/>
      </c>
      <c r="CB60" s="25" t="str">
        <f>IF('1. Live'!CF78='check-Jul''26'!CB78,"",'1. Live'!CF78-'check-Jul''26'!CB78)</f>
        <v/>
      </c>
      <c r="CC60" s="25" t="str">
        <f>IF('1. Live'!CG78='check-Jul''26'!CC78,"",'1. Live'!CG78-'check-Jul''26'!CC78)</f>
        <v/>
      </c>
      <c r="CD60" s="25" t="str">
        <f>IF('1. Live'!CH78='check-Jul''26'!CD78,"",'1. Live'!CH78-'check-Jul''26'!CD78)</f>
        <v/>
      </c>
      <c r="CE60" s="25" t="str">
        <f>IF('1. Live'!CI78='check-Jul''26'!CE78,"",'1. Live'!CI78-'check-Jul''26'!CE78)</f>
        <v/>
      </c>
      <c r="CF60" s="25" t="str">
        <f>IF('1. Live'!CJ78='check-Jul''26'!CF78,"",'1. Live'!CJ78-'check-Jul''26'!CF78)</f>
        <v/>
      </c>
      <c r="CG60" s="25" t="str">
        <f>IF('1. Live'!CK78='check-Jul''26'!CG78,"",'1. Live'!CK78-'check-Jul''26'!CG78)</f>
        <v/>
      </c>
      <c r="CH60" s="25" t="str">
        <f>IF('1. Live'!CL78='check-Jul''26'!CH78,"",'1. Live'!CL78-'check-Jul''26'!CH78)</f>
        <v/>
      </c>
      <c r="CI60" s="25" t="str">
        <f>IF('1. Live'!CM78='check-Jul''26'!CI78,"",'1. Live'!CM78-'check-Jul''26'!CI78)</f>
        <v/>
      </c>
      <c r="CJ60" s="25" t="str">
        <f>IF('1. Live'!CN78='check-Jul''26'!CJ78,"",'1. Live'!CN78-'check-Jul''26'!CJ78)</f>
        <v/>
      </c>
      <c r="CK60" s="25" t="str">
        <f>IF('1. Live'!CO78='check-Jul''26'!CK78,"",'1. Live'!CO78-'check-Jul''26'!CK78)</f>
        <v/>
      </c>
      <c r="CL60" s="25" t="str">
        <f>IF('1. Live'!CP78='check-Jul''26'!CL78,"",'1. Live'!CP78-'check-Jul''26'!CL78)</f>
        <v/>
      </c>
      <c r="CM60" s="25" t="str">
        <f>IF('1. Live'!CQ78='check-Jul''26'!CM78,"",'1. Live'!CQ78-'check-Jul''26'!CM78)</f>
        <v/>
      </c>
      <c r="CN60" s="25" t="str">
        <f>IF('1. Live'!CR78='check-Jul''26'!CN78,"",'1. Live'!CR78-'check-Jul''26'!CN78)</f>
        <v/>
      </c>
      <c r="CO60" s="25" t="str">
        <f>IF('1. Live'!CS78='check-Jul''26'!CO78,"",'1. Live'!CS78-'check-Jul''26'!CO78)</f>
        <v/>
      </c>
      <c r="CP60" s="25" t="str">
        <f>IF('1. Live'!CT78='check-Jul''26'!CP78,"",'1. Live'!CT78-'check-Jul''26'!CP78)</f>
        <v/>
      </c>
      <c r="CQ60" s="25" t="str">
        <f>IF('1. Live'!CU78='check-Jul''26'!CQ78,"",'1. Live'!CU78-'check-Jul''26'!CQ78)</f>
        <v/>
      </c>
      <c r="CR60" s="25" t="str">
        <f>IF('1. Live'!CV78='check-Jul''26'!CR78,"",'1. Live'!CV78-'check-Jul''26'!CR78)</f>
        <v/>
      </c>
      <c r="CS60" s="25" t="str">
        <f>IF('1. Live'!CW78='check-Jul''26'!CS78,"",'1. Live'!CW78-'check-Jul''26'!CS78)</f>
        <v/>
      </c>
      <c r="CT60" s="25" t="str">
        <f>IF('1. Live'!CX78='check-Jul''26'!CT78,"",'1. Live'!CX78-'check-Jul''26'!CT78)</f>
        <v/>
      </c>
      <c r="CU60" s="25" t="str">
        <f>IF('1. Live'!CY78='check-Jul''26'!CU78,"",'1. Live'!CY78-'check-Jul''26'!CU78)</f>
        <v/>
      </c>
      <c r="CV60" s="25" t="str">
        <f>IF('1. Live'!CZ78='check-Jul''26'!CV78,"",'1. Live'!CZ78-'check-Jul''26'!CV78)</f>
        <v/>
      </c>
    </row>
    <row r="61" spans="2:100" x14ac:dyDescent="0.25">
      <c r="Q61" s="26" t="str">
        <f>IF('1. Live'!N79='check-Jul''26'!I79,"",'1. Live'!N79-'check-Jul''26'!I79)</f>
        <v/>
      </c>
      <c r="R61" s="26" t="str">
        <f>IF('1. Live'!O79='check-Jul''26'!J79,"",'1. Live'!O79-'check-Jul''26'!J79)</f>
        <v/>
      </c>
      <c r="S61" s="26" t="str">
        <f>IF('1. Live'!P79='check-Jul''26'!K79,"",'1. Live'!P79-'check-Jul''26'!K79)</f>
        <v/>
      </c>
      <c r="T61" s="26" t="str">
        <f>IF('1. Live'!Q79='check-Jul''26'!L79,"",'1. Live'!Q79-'check-Jul''26'!L79)</f>
        <v/>
      </c>
      <c r="U61" s="80" t="str">
        <f>IF('1. Live'!R79='check-Jul''26'!M79,"",'1. Live'!R79-'check-Jul''26'!M79)</f>
        <v/>
      </c>
      <c r="V61" s="26" t="str">
        <f>IF('1. Live'!S79='check-Jul''26'!N79,"",'1. Live'!S79-'check-Jul''26'!N79)</f>
        <v/>
      </c>
      <c r="W61" s="25" t="str">
        <f>IF('1. Live'!T79='check-Jul''26'!O79,"",'1. Live'!T79-'check-Jul''26'!O79)</f>
        <v/>
      </c>
      <c r="X61" s="25" t="str">
        <f>IF('1. Live'!U79='check-Jul''26'!Q79,"",'1. Live'!U79-'check-Jul''26'!Q79)</f>
        <v/>
      </c>
      <c r="Y61" s="25" t="str">
        <f>IF('1. Live'!V79='check-Jul''26'!R79,"",'1. Live'!V79-'check-Jul''26'!R79)</f>
        <v/>
      </c>
      <c r="AB61" s="25" t="str">
        <f>IF('1. Live'!AF79='check-Jul''26'!AB79,"",'1. Live'!AF79-'check-Jul''26'!AB79)</f>
        <v/>
      </c>
      <c r="AC61" s="25" t="str">
        <f>IF('1. Live'!AG79='check-Jul''26'!AC79,"",'1. Live'!AG79-'check-Jul''26'!AC79)</f>
        <v/>
      </c>
      <c r="AD61" s="25" t="str">
        <f>IF('1. Live'!AH79='check-Jul''26'!AD79,"",'1. Live'!AH79-'check-Jul''26'!AD79)</f>
        <v/>
      </c>
      <c r="AE61" s="25" t="str">
        <f>IF('1. Live'!AI79='check-Jul''26'!AE79,"",'1. Live'!AI79-'check-Jul''26'!AE79)</f>
        <v/>
      </c>
      <c r="AF61" s="25" t="str">
        <f>IF('1. Live'!AJ79='check-Jul''26'!AF79,"",'1. Live'!AJ79-'check-Jul''26'!AF79)</f>
        <v/>
      </c>
      <c r="AG61" s="25" t="str">
        <f>IF('1. Live'!AK79='check-Jul''26'!AG79,"",'1. Live'!AK79-'check-Jul''26'!AG79)</f>
        <v/>
      </c>
      <c r="AH61" s="25" t="str">
        <f>IF('1. Live'!AL79='check-Jul''26'!AH79,"",'1. Live'!AL79-'check-Jul''26'!AH79)</f>
        <v/>
      </c>
      <c r="AI61" s="25" t="str">
        <f>IF('1. Live'!AM79='check-Jul''26'!AI79,"",'1. Live'!AM79-'check-Jul''26'!AI79)</f>
        <v/>
      </c>
      <c r="AJ61" s="25" t="str">
        <f>IF('1. Live'!AN79='check-Jul''26'!AJ79,"",'1. Live'!AN79-'check-Jul''26'!AJ79)</f>
        <v/>
      </c>
      <c r="AK61" s="25" t="str">
        <f>IF('1. Live'!AO79='check-Jul''26'!AK79,"",'1. Live'!AO79-'check-Jul''26'!AK79)</f>
        <v/>
      </c>
      <c r="AL61" s="25" t="str">
        <f>IF('1. Live'!AP79='check-Jul''26'!AL79,"",'1. Live'!AP79-'check-Jul''26'!AL79)</f>
        <v/>
      </c>
      <c r="AM61" s="25" t="str">
        <f>IF('1. Live'!AQ79='check-Jul''26'!AM79,"",'1. Live'!AQ79-'check-Jul''26'!AM79)</f>
        <v/>
      </c>
      <c r="AN61" s="25" t="str">
        <f>IF('1. Live'!AR79='check-Jul''26'!AN79,"",'1. Live'!AR79-'check-Jul''26'!AN79)</f>
        <v/>
      </c>
      <c r="AO61" s="25" t="str">
        <f>IF('1. Live'!AS79='check-Jul''26'!AO79,"",'1. Live'!AS79-'check-Jul''26'!AO79)</f>
        <v/>
      </c>
      <c r="AP61" s="25" t="str">
        <f>IF('1. Live'!AT79='check-Jul''26'!AP79,"",'1. Live'!AT79-'check-Jul''26'!AP79)</f>
        <v/>
      </c>
      <c r="AQ61" s="25" t="str">
        <f>IF('1. Live'!AU79='check-Jul''26'!AQ79,"",'1. Live'!AU79-'check-Jul''26'!AQ79)</f>
        <v/>
      </c>
      <c r="AR61" s="25" t="str">
        <f>IF('1. Live'!AV79='check-Jul''26'!AR79,"",'1. Live'!AV79-'check-Jul''26'!AR79)</f>
        <v/>
      </c>
      <c r="AS61" s="25" t="str">
        <f>IF('1. Live'!AW79='check-Jul''26'!AS79,"",'1. Live'!AW79-'check-Jul''26'!AS79)</f>
        <v/>
      </c>
      <c r="AT61" s="25" t="str">
        <f>IF('1. Live'!AX79='check-Jul''26'!AT79,"",'1. Live'!AX79-'check-Jul''26'!AT79)</f>
        <v/>
      </c>
      <c r="AU61" s="25" t="str">
        <f>IF('1. Live'!AY79='check-Jul''26'!AU79,"",'1. Live'!AY79-'check-Jul''26'!AU79)</f>
        <v/>
      </c>
      <c r="AV61" s="25" t="str">
        <f>IF('1. Live'!AZ79='check-Jul''26'!AV79,"",'1. Live'!AZ79-'check-Jul''26'!AV79)</f>
        <v/>
      </c>
      <c r="AW61" s="25" t="str">
        <f>IF('1. Live'!BA79='check-Jul''26'!AW79,"",'1. Live'!BA79-'check-Jul''26'!AW79)</f>
        <v/>
      </c>
      <c r="AX61" s="25" t="str">
        <f>IF('1. Live'!BB79='check-Jul''26'!AX79,"",'1. Live'!BB79-'check-Jul''26'!AX79)</f>
        <v/>
      </c>
      <c r="AY61" s="25" t="str">
        <f>IF('1. Live'!BC79='check-Jul''26'!AY79,"",'1. Live'!BC79-'check-Jul''26'!AY79)</f>
        <v/>
      </c>
      <c r="AZ61" s="25" t="str">
        <f>IF('1. Live'!BD79='check-Jul''26'!AZ79,"",'1. Live'!BD79-'check-Jul''26'!AZ79)</f>
        <v/>
      </c>
      <c r="BA61" s="25" t="str">
        <f>IF('1. Live'!BE79='check-Jul''26'!BA79,"",'1. Live'!BE79-'check-Jul''26'!BA79)</f>
        <v/>
      </c>
      <c r="BB61" s="25" t="str">
        <f>IF('1. Live'!BF79='check-Jul''26'!BB79,"",'1. Live'!BF79-'check-Jul''26'!BB79)</f>
        <v/>
      </c>
      <c r="BC61" s="25" t="str">
        <f>IF('1. Live'!BG79='check-Jul''26'!BC79,"",'1. Live'!BG79-'check-Jul''26'!BC79)</f>
        <v/>
      </c>
      <c r="BD61" s="25" t="str">
        <f>IF('1. Live'!BH79='check-Jul''26'!BD79,"",'1. Live'!BH79-'check-Jul''26'!BD79)</f>
        <v/>
      </c>
      <c r="BE61" s="25" t="str">
        <f>IF('1. Live'!BI79='check-Jul''26'!BE79,"",'1. Live'!BI79-'check-Jul''26'!BE79)</f>
        <v/>
      </c>
      <c r="BF61" s="25" t="str">
        <f>IF('1. Live'!BJ79='check-Jul''26'!BF79,"",'1. Live'!BJ79-'check-Jul''26'!BF79)</f>
        <v/>
      </c>
      <c r="BG61" s="25" t="str">
        <f>IF('1. Live'!BK79='check-Jul''26'!BG79,"",'1. Live'!BK79-'check-Jul''26'!BG79)</f>
        <v/>
      </c>
      <c r="BH61" s="25" t="str">
        <f>IF('1. Live'!BL79='check-Jul''26'!BH79,"",'1. Live'!BL79-'check-Jul''26'!BH79)</f>
        <v/>
      </c>
      <c r="BI61" s="25" t="str">
        <f>IF('1. Live'!BM79='check-Jul''26'!BI79,"",'1. Live'!BM79-'check-Jul''26'!BI79)</f>
        <v/>
      </c>
      <c r="BJ61" s="25" t="str">
        <f>IF('1. Live'!BN79='check-Jul''26'!BJ79,"",'1. Live'!BN79-'check-Jul''26'!BJ79)</f>
        <v/>
      </c>
      <c r="BK61" s="25" t="str">
        <f>IF('1. Live'!BO79='check-Jul''26'!BK79,"",'1. Live'!BO79-'check-Jul''26'!BK79)</f>
        <v/>
      </c>
      <c r="BL61" s="25" t="str">
        <f>IF('1. Live'!BP79='check-Jul''26'!BL79,"",'1. Live'!BP79-'check-Jul''26'!BL79)</f>
        <v/>
      </c>
      <c r="BM61" s="25" t="str">
        <f>IF('1. Live'!BQ79='check-Jul''26'!BM79,"",'1. Live'!BQ79-'check-Jul''26'!BM79)</f>
        <v/>
      </c>
      <c r="BN61" s="25" t="str">
        <f>IF('1. Live'!BR79='check-Jul''26'!BN79,"",'1. Live'!BR79-'check-Jul''26'!BN79)</f>
        <v/>
      </c>
      <c r="BO61" s="25" t="str">
        <f>IF('1. Live'!BS79='check-Jul''26'!BO79,"",'1. Live'!BS79-'check-Jul''26'!BO79)</f>
        <v/>
      </c>
      <c r="BP61" s="25" t="str">
        <f>IF('1. Live'!BT79='check-Jul''26'!BP79,"",'1. Live'!BT79-'check-Jul''26'!BP79)</f>
        <v/>
      </c>
      <c r="BQ61" s="25" t="str">
        <f>IF('1. Live'!BU79='check-Jul''26'!BQ79,"",'1. Live'!BU79-'check-Jul''26'!BQ79)</f>
        <v/>
      </c>
      <c r="BR61" s="25" t="str">
        <f>IF('1. Live'!BV79='check-Jul''26'!BR79,"",'1. Live'!BV79-'check-Jul''26'!BR79)</f>
        <v/>
      </c>
      <c r="BS61" s="25" t="str">
        <f>IF('1. Live'!BW79='check-Jul''26'!BS79,"",'1. Live'!BW79-'check-Jul''26'!BS79)</f>
        <v/>
      </c>
      <c r="BT61" s="25" t="str">
        <f>IF('1. Live'!BX79='check-Jul''26'!BT79,"",'1. Live'!BX79-'check-Jul''26'!BT79)</f>
        <v/>
      </c>
      <c r="BU61" s="25" t="str">
        <f>IF('1. Live'!BY79='check-Jul''26'!BU79,"",'1. Live'!BY79-'check-Jul''26'!BU79)</f>
        <v/>
      </c>
      <c r="BV61" s="25" t="str">
        <f>IF('1. Live'!BZ79='check-Jul''26'!BV79,"",'1. Live'!BZ79-'check-Jul''26'!BV79)</f>
        <v/>
      </c>
      <c r="BW61" s="25" t="str">
        <f>IF('1. Live'!CA79='check-Jul''26'!BW79,"",'1. Live'!CA79-'check-Jul''26'!BW79)</f>
        <v/>
      </c>
      <c r="BX61" s="25" t="str">
        <f>IF('1. Live'!CB79='check-Jul''26'!BX79,"",'1. Live'!CB79-'check-Jul''26'!BX79)</f>
        <v/>
      </c>
      <c r="BY61" s="25" t="str">
        <f>IF('1. Live'!CC79='check-Jul''26'!BY79,"",'1. Live'!CC79-'check-Jul''26'!BY79)</f>
        <v/>
      </c>
      <c r="BZ61" s="25" t="str">
        <f>IF('1. Live'!CD79='check-Jul''26'!BZ79,"",'1. Live'!CD79-'check-Jul''26'!BZ79)</f>
        <v/>
      </c>
      <c r="CA61" s="25" t="str">
        <f>IF('1. Live'!CE79='check-Jul''26'!CA79,"",'1. Live'!CE79-'check-Jul''26'!CA79)</f>
        <v/>
      </c>
      <c r="CB61" s="25" t="str">
        <f>IF('1. Live'!CF79='check-Jul''26'!CB79,"",'1. Live'!CF79-'check-Jul''26'!CB79)</f>
        <v/>
      </c>
      <c r="CC61" s="25" t="str">
        <f>IF('1. Live'!CG79='check-Jul''26'!CC79,"",'1. Live'!CG79-'check-Jul''26'!CC79)</f>
        <v/>
      </c>
      <c r="CD61" s="25" t="str">
        <f>IF('1. Live'!CH79='check-Jul''26'!CD79,"",'1. Live'!CH79-'check-Jul''26'!CD79)</f>
        <v/>
      </c>
      <c r="CE61" s="25" t="str">
        <f>IF('1. Live'!CI79='check-Jul''26'!CE79,"",'1. Live'!CI79-'check-Jul''26'!CE79)</f>
        <v/>
      </c>
      <c r="CF61" s="25" t="str">
        <f>IF('1. Live'!CJ79='check-Jul''26'!CF79,"",'1. Live'!CJ79-'check-Jul''26'!CF79)</f>
        <v/>
      </c>
      <c r="CG61" s="25" t="str">
        <f>IF('1. Live'!CK79='check-Jul''26'!CG79,"",'1. Live'!CK79-'check-Jul''26'!CG79)</f>
        <v/>
      </c>
      <c r="CH61" s="25" t="str">
        <f>IF('1. Live'!CL79='check-Jul''26'!CH79,"",'1. Live'!CL79-'check-Jul''26'!CH79)</f>
        <v/>
      </c>
      <c r="CI61" s="25" t="str">
        <f>IF('1. Live'!CM79='check-Jul''26'!CI79,"",'1. Live'!CM79-'check-Jul''26'!CI79)</f>
        <v/>
      </c>
      <c r="CJ61" s="25" t="str">
        <f>IF('1. Live'!CN79='check-Jul''26'!CJ79,"",'1. Live'!CN79-'check-Jul''26'!CJ79)</f>
        <v/>
      </c>
      <c r="CK61" s="25" t="str">
        <f>IF('1. Live'!CO79='check-Jul''26'!CK79,"",'1. Live'!CO79-'check-Jul''26'!CK79)</f>
        <v/>
      </c>
      <c r="CL61" s="25" t="str">
        <f>IF('1. Live'!CP79='check-Jul''26'!CL79,"",'1. Live'!CP79-'check-Jul''26'!CL79)</f>
        <v/>
      </c>
      <c r="CM61" s="25" t="str">
        <f>IF('1. Live'!CQ79='check-Jul''26'!CM79,"",'1. Live'!CQ79-'check-Jul''26'!CM79)</f>
        <v/>
      </c>
      <c r="CN61" s="25" t="str">
        <f>IF('1. Live'!CR79='check-Jul''26'!CN79,"",'1. Live'!CR79-'check-Jul''26'!CN79)</f>
        <v/>
      </c>
      <c r="CO61" s="25" t="str">
        <f>IF('1. Live'!CS79='check-Jul''26'!CO79,"",'1. Live'!CS79-'check-Jul''26'!CO79)</f>
        <v/>
      </c>
      <c r="CP61" s="25" t="str">
        <f>IF('1. Live'!CT79='check-Jul''26'!CP79,"",'1. Live'!CT79-'check-Jul''26'!CP79)</f>
        <v/>
      </c>
      <c r="CQ61" s="25" t="str">
        <f>IF('1. Live'!CU79='check-Jul''26'!CQ79,"",'1. Live'!CU79-'check-Jul''26'!CQ79)</f>
        <v/>
      </c>
      <c r="CR61" s="25" t="str">
        <f>IF('1. Live'!CV79='check-Jul''26'!CR79,"",'1. Live'!CV79-'check-Jul''26'!CR79)</f>
        <v/>
      </c>
      <c r="CS61" s="25" t="str">
        <f>IF('1. Live'!CW79='check-Jul''26'!CS79,"",'1. Live'!CW79-'check-Jul''26'!CS79)</f>
        <v/>
      </c>
      <c r="CT61" s="25" t="str">
        <f>IF('1. Live'!CX79='check-Jul''26'!CT79,"",'1. Live'!CX79-'check-Jul''26'!CT79)</f>
        <v/>
      </c>
      <c r="CU61" s="25" t="str">
        <f>IF('1. Live'!CY79='check-Jul''26'!CU79,"",'1. Live'!CY79-'check-Jul''26'!CU79)</f>
        <v/>
      </c>
      <c r="CV61" s="25" t="str">
        <f>IF('1. Live'!CZ79='check-Jul''26'!CV79,"",'1. Live'!CZ79-'check-Jul''26'!CV79)</f>
        <v/>
      </c>
    </row>
    <row r="62" spans="2:100" x14ac:dyDescent="0.25">
      <c r="Q62" s="26" t="str">
        <f>IF('1. Live'!N80='check-Jul''26'!I80,"",'1. Live'!N80-'check-Jul''26'!I80)</f>
        <v/>
      </c>
      <c r="R62" s="26" t="str">
        <f>IF('1. Live'!O80='check-Jul''26'!J80,"",'1. Live'!O80-'check-Jul''26'!J80)</f>
        <v/>
      </c>
      <c r="S62" s="26" t="str">
        <f>IF('1. Live'!P80='check-Jul''26'!K80,"",'1. Live'!P80-'check-Jul''26'!K80)</f>
        <v/>
      </c>
      <c r="T62" s="26" t="str">
        <f>IF('1. Live'!Q80='check-Jul''26'!L80,"",'1. Live'!Q80-'check-Jul''26'!L80)</f>
        <v/>
      </c>
      <c r="U62" s="80" t="str">
        <f>IF('1. Live'!R80='check-Jul''26'!M80,"",'1. Live'!R80-'check-Jul''26'!M80)</f>
        <v/>
      </c>
      <c r="V62" s="26" t="str">
        <f>IF('1. Live'!S80='check-Jul''26'!N80,"",'1. Live'!S80-'check-Jul''26'!N80)</f>
        <v/>
      </c>
      <c r="W62" s="25" t="str">
        <f>IF('1. Live'!T80='check-Jul''26'!O80,"",'1. Live'!T80-'check-Jul''26'!O80)</f>
        <v/>
      </c>
      <c r="X62" s="25" t="str">
        <f>IF('1. Live'!U80='check-Jul''26'!Q80,"",'1. Live'!U80-'check-Jul''26'!Q80)</f>
        <v/>
      </c>
      <c r="Y62" s="25" t="str">
        <f>IF('1. Live'!V80='check-Jul''26'!R80,"",'1. Live'!V80-'check-Jul''26'!R80)</f>
        <v/>
      </c>
      <c r="Z62" s="25" t="str">
        <f>IF('1. Live'!W80='check-Jul''26'!S80,"",'1. Live'!W80-'check-Jul''26'!S80)</f>
        <v/>
      </c>
      <c r="AA62" s="25" t="str">
        <f>IF('1. Live'!X80='check-Jul''26'!T80,"",'1. Live'!X80-'check-Jul''26'!T80)</f>
        <v/>
      </c>
      <c r="AB62" s="25" t="str">
        <f>IF('1. Live'!AF80='check-Jul''26'!AB80,"",'1. Live'!AF80-'check-Jul''26'!AB80)</f>
        <v/>
      </c>
      <c r="AC62" s="25" t="str">
        <f>IF('1. Live'!AG80='check-Jul''26'!AC80,"",'1. Live'!AG80-'check-Jul''26'!AC80)</f>
        <v/>
      </c>
      <c r="AD62" s="25" t="str">
        <f>IF('1. Live'!AH80='check-Jul''26'!AD80,"",'1. Live'!AH80-'check-Jul''26'!AD80)</f>
        <v/>
      </c>
      <c r="AE62" s="25" t="str">
        <f>IF('1. Live'!AI80='check-Jul''26'!AE80,"",'1. Live'!AI80-'check-Jul''26'!AE80)</f>
        <v/>
      </c>
      <c r="AF62" s="25" t="str">
        <f>IF('1. Live'!AJ80='check-Jul''26'!AF80,"",'1. Live'!AJ80-'check-Jul''26'!AF80)</f>
        <v/>
      </c>
      <c r="AG62" s="25" t="str">
        <f>IF('1. Live'!AK80='check-Jul''26'!AG80,"",'1. Live'!AK80-'check-Jul''26'!AG80)</f>
        <v/>
      </c>
      <c r="AH62" s="25" t="str">
        <f>IF('1. Live'!AL80='check-Jul''26'!AH80,"",'1. Live'!AL80-'check-Jul''26'!AH80)</f>
        <v/>
      </c>
      <c r="AI62" s="25" t="str">
        <f>IF('1. Live'!AM80='check-Jul''26'!AI80,"",'1. Live'!AM80-'check-Jul''26'!AI80)</f>
        <v/>
      </c>
      <c r="AJ62" s="25" t="str">
        <f>IF('1. Live'!AN80='check-Jul''26'!AJ80,"",'1. Live'!AN80-'check-Jul''26'!AJ80)</f>
        <v/>
      </c>
      <c r="AK62" s="25" t="str">
        <f>IF('1. Live'!AO80='check-Jul''26'!AK80,"",'1. Live'!AO80-'check-Jul''26'!AK80)</f>
        <v/>
      </c>
      <c r="AL62" s="25" t="str">
        <f>IF('1. Live'!AP80='check-Jul''26'!AL80,"",'1. Live'!AP80-'check-Jul''26'!AL80)</f>
        <v/>
      </c>
      <c r="AM62" s="25" t="str">
        <f>IF('1. Live'!AQ80='check-Jul''26'!AM80,"",'1. Live'!AQ80-'check-Jul''26'!AM80)</f>
        <v/>
      </c>
      <c r="AN62" s="25" t="str">
        <f>IF('1. Live'!AR80='check-Jul''26'!AN80,"",'1. Live'!AR80-'check-Jul''26'!AN80)</f>
        <v/>
      </c>
      <c r="AO62" s="25" t="str">
        <f>IF('1. Live'!AS80='check-Jul''26'!AO80,"",'1. Live'!AS80-'check-Jul''26'!AO80)</f>
        <v/>
      </c>
      <c r="AP62" s="25" t="str">
        <f>IF('1. Live'!AT80='check-Jul''26'!AP80,"",'1. Live'!AT80-'check-Jul''26'!AP80)</f>
        <v/>
      </c>
      <c r="AQ62" s="25" t="str">
        <f>IF('1. Live'!AU80='check-Jul''26'!AQ80,"",'1. Live'!AU80-'check-Jul''26'!AQ80)</f>
        <v/>
      </c>
      <c r="AR62" s="25" t="str">
        <f>IF('1. Live'!AV80='check-Jul''26'!AR80,"",'1. Live'!AV80-'check-Jul''26'!AR80)</f>
        <v/>
      </c>
      <c r="AS62" s="25" t="str">
        <f>IF('1. Live'!AW80='check-Jul''26'!AS80,"",'1. Live'!AW80-'check-Jul''26'!AS80)</f>
        <v/>
      </c>
      <c r="AT62" s="25" t="str">
        <f>IF('1. Live'!AX80='check-Jul''26'!AT80,"",'1. Live'!AX80-'check-Jul''26'!AT80)</f>
        <v/>
      </c>
      <c r="AU62" s="25" t="str">
        <f>IF('1. Live'!AY80='check-Jul''26'!AU80,"",'1. Live'!AY80-'check-Jul''26'!AU80)</f>
        <v/>
      </c>
      <c r="AV62" s="25" t="str">
        <f>IF('1. Live'!AZ80='check-Jul''26'!AV80,"",'1. Live'!AZ80-'check-Jul''26'!AV80)</f>
        <v/>
      </c>
      <c r="AW62" s="25" t="str">
        <f>IF('1. Live'!BA80='check-Jul''26'!AW80,"",'1. Live'!BA80-'check-Jul''26'!AW80)</f>
        <v/>
      </c>
      <c r="AX62" s="25" t="str">
        <f>IF('1. Live'!BB80='check-Jul''26'!AX80,"",'1. Live'!BB80-'check-Jul''26'!AX80)</f>
        <v/>
      </c>
      <c r="AY62" s="25" t="str">
        <f>IF('1. Live'!BC80='check-Jul''26'!AY80,"",'1. Live'!BC80-'check-Jul''26'!AY80)</f>
        <v/>
      </c>
      <c r="AZ62" s="25" t="str">
        <f>IF('1. Live'!BD80='check-Jul''26'!AZ80,"",'1. Live'!BD80-'check-Jul''26'!AZ80)</f>
        <v/>
      </c>
      <c r="BA62" s="25" t="str">
        <f>IF('1. Live'!BE80='check-Jul''26'!BA80,"",'1. Live'!BE80-'check-Jul''26'!BA80)</f>
        <v/>
      </c>
      <c r="BB62" s="25" t="str">
        <f>IF('1. Live'!BF80='check-Jul''26'!BB80,"",'1. Live'!BF80-'check-Jul''26'!BB80)</f>
        <v/>
      </c>
      <c r="BC62" s="25" t="str">
        <f>IF('1. Live'!BG80='check-Jul''26'!BC80,"",'1. Live'!BG80-'check-Jul''26'!BC80)</f>
        <v/>
      </c>
      <c r="BD62" s="25" t="str">
        <f>IF('1. Live'!BH80='check-Jul''26'!BD80,"",'1. Live'!BH80-'check-Jul''26'!BD80)</f>
        <v/>
      </c>
      <c r="BE62" s="25" t="str">
        <f>IF('1. Live'!BI80='check-Jul''26'!BE80,"",'1. Live'!BI80-'check-Jul''26'!BE80)</f>
        <v/>
      </c>
      <c r="BF62" s="25" t="str">
        <f>IF('1. Live'!BJ80='check-Jul''26'!BF80,"",'1. Live'!BJ80-'check-Jul''26'!BF80)</f>
        <v/>
      </c>
      <c r="BG62" s="25" t="str">
        <f>IF('1. Live'!BK80='check-Jul''26'!BG80,"",'1. Live'!BK80-'check-Jul''26'!BG80)</f>
        <v/>
      </c>
      <c r="BH62" s="25" t="str">
        <f>IF('1. Live'!BL80='check-Jul''26'!BH80,"",'1. Live'!BL80-'check-Jul''26'!BH80)</f>
        <v/>
      </c>
      <c r="BI62" s="25" t="str">
        <f>IF('1. Live'!BM80='check-Jul''26'!BI80,"",'1. Live'!BM80-'check-Jul''26'!BI80)</f>
        <v/>
      </c>
      <c r="BJ62" s="25" t="str">
        <f>IF('1. Live'!BN80='check-Jul''26'!BJ80,"",'1. Live'!BN80-'check-Jul''26'!BJ80)</f>
        <v/>
      </c>
      <c r="BK62" s="25" t="str">
        <f>IF('1. Live'!BO80='check-Jul''26'!BK80,"",'1. Live'!BO80-'check-Jul''26'!BK80)</f>
        <v/>
      </c>
      <c r="BL62" s="25" t="str">
        <f>IF('1. Live'!BP80='check-Jul''26'!BL80,"",'1. Live'!BP80-'check-Jul''26'!BL80)</f>
        <v/>
      </c>
      <c r="BM62" s="25" t="str">
        <f>IF('1. Live'!BQ80='check-Jul''26'!BM80,"",'1. Live'!BQ80-'check-Jul''26'!BM80)</f>
        <v/>
      </c>
      <c r="BN62" s="25" t="str">
        <f>IF('1. Live'!BR80='check-Jul''26'!BN80,"",'1. Live'!BR80-'check-Jul''26'!BN80)</f>
        <v/>
      </c>
      <c r="BO62" s="25" t="str">
        <f>IF('1. Live'!BS80='check-Jul''26'!BO80,"",'1. Live'!BS80-'check-Jul''26'!BO80)</f>
        <v/>
      </c>
      <c r="BP62" s="25" t="str">
        <f>IF('1. Live'!BT80='check-Jul''26'!BP80,"",'1. Live'!BT80-'check-Jul''26'!BP80)</f>
        <v/>
      </c>
      <c r="BQ62" s="25" t="str">
        <f>IF('1. Live'!BU80='check-Jul''26'!BQ80,"",'1. Live'!BU80-'check-Jul''26'!BQ80)</f>
        <v/>
      </c>
      <c r="BR62" s="25" t="str">
        <f>IF('1. Live'!BV80='check-Jul''26'!BR80,"",'1. Live'!BV80-'check-Jul''26'!BR80)</f>
        <v/>
      </c>
      <c r="BS62" s="25" t="str">
        <f>IF('1. Live'!BW80='check-Jul''26'!BS80,"",'1. Live'!BW80-'check-Jul''26'!BS80)</f>
        <v/>
      </c>
      <c r="BT62" s="25" t="str">
        <f>IF('1. Live'!BX80='check-Jul''26'!BT80,"",'1. Live'!BX80-'check-Jul''26'!BT80)</f>
        <v/>
      </c>
      <c r="BU62" s="25" t="str">
        <f>IF('1. Live'!BY80='check-Jul''26'!BU80,"",'1. Live'!BY80-'check-Jul''26'!BU80)</f>
        <v/>
      </c>
      <c r="BV62" s="25" t="str">
        <f>IF('1. Live'!BZ80='check-Jul''26'!BV80,"",'1. Live'!BZ80-'check-Jul''26'!BV80)</f>
        <v/>
      </c>
      <c r="BW62" s="25" t="str">
        <f>IF('1. Live'!CA80='check-Jul''26'!BW80,"",'1. Live'!CA80-'check-Jul''26'!BW80)</f>
        <v/>
      </c>
      <c r="BX62" s="25" t="str">
        <f>IF('1. Live'!CB80='check-Jul''26'!BX80,"",'1. Live'!CB80-'check-Jul''26'!BX80)</f>
        <v/>
      </c>
      <c r="BY62" s="25" t="str">
        <f>IF('1. Live'!CC80='check-Jul''26'!BY80,"",'1. Live'!CC80-'check-Jul''26'!BY80)</f>
        <v/>
      </c>
      <c r="BZ62" s="25" t="str">
        <f>IF('1. Live'!CD80='check-Jul''26'!BZ80,"",'1. Live'!CD80-'check-Jul''26'!BZ80)</f>
        <v/>
      </c>
      <c r="CA62" s="25" t="str">
        <f>IF('1. Live'!CE80='check-Jul''26'!CA80,"",'1. Live'!CE80-'check-Jul''26'!CA80)</f>
        <v/>
      </c>
      <c r="CB62" s="25" t="str">
        <f>IF('1. Live'!CF80='check-Jul''26'!CB80,"",'1. Live'!CF80-'check-Jul''26'!CB80)</f>
        <v/>
      </c>
      <c r="CC62" s="25" t="str">
        <f>IF('1. Live'!CG80='check-Jul''26'!CC80,"",'1. Live'!CG80-'check-Jul''26'!CC80)</f>
        <v/>
      </c>
      <c r="CD62" s="25" t="str">
        <f>IF('1. Live'!CH80='check-Jul''26'!CD80,"",'1. Live'!CH80-'check-Jul''26'!CD80)</f>
        <v/>
      </c>
      <c r="CE62" s="25" t="str">
        <f>IF('1. Live'!CI80='check-Jul''26'!CE80,"",'1. Live'!CI80-'check-Jul''26'!CE80)</f>
        <v/>
      </c>
      <c r="CF62" s="25" t="str">
        <f>IF('1. Live'!CJ80='check-Jul''26'!CF80,"",'1. Live'!CJ80-'check-Jul''26'!CF80)</f>
        <v/>
      </c>
      <c r="CG62" s="25" t="str">
        <f>IF('1. Live'!CK80='check-Jul''26'!CG80,"",'1. Live'!CK80-'check-Jul''26'!CG80)</f>
        <v/>
      </c>
      <c r="CH62" s="25" t="str">
        <f>IF('1. Live'!CL80='check-Jul''26'!CH80,"",'1. Live'!CL80-'check-Jul''26'!CH80)</f>
        <v/>
      </c>
      <c r="CI62" s="25" t="str">
        <f>IF('1. Live'!CM80='check-Jul''26'!CI80,"",'1. Live'!CM80-'check-Jul''26'!CI80)</f>
        <v/>
      </c>
      <c r="CJ62" s="25" t="str">
        <f>IF('1. Live'!CN80='check-Jul''26'!CJ80,"",'1. Live'!CN80-'check-Jul''26'!CJ80)</f>
        <v/>
      </c>
      <c r="CK62" s="25" t="str">
        <f>IF('1. Live'!CO80='check-Jul''26'!CK80,"",'1. Live'!CO80-'check-Jul''26'!CK80)</f>
        <v/>
      </c>
      <c r="CL62" s="25" t="str">
        <f>IF('1. Live'!CP80='check-Jul''26'!CL80,"",'1. Live'!CP80-'check-Jul''26'!CL80)</f>
        <v/>
      </c>
      <c r="CM62" s="25" t="str">
        <f>IF('1. Live'!CQ80='check-Jul''26'!CM80,"",'1. Live'!CQ80-'check-Jul''26'!CM80)</f>
        <v/>
      </c>
      <c r="CN62" s="25" t="str">
        <f>IF('1. Live'!CR80='check-Jul''26'!CN80,"",'1. Live'!CR80-'check-Jul''26'!CN80)</f>
        <v/>
      </c>
      <c r="CO62" s="25" t="str">
        <f>IF('1. Live'!CS80='check-Jul''26'!CO80,"",'1. Live'!CS80-'check-Jul''26'!CO80)</f>
        <v/>
      </c>
      <c r="CP62" s="25" t="str">
        <f>IF('1. Live'!CT80='check-Jul''26'!CP80,"",'1. Live'!CT80-'check-Jul''26'!CP80)</f>
        <v/>
      </c>
      <c r="CQ62" s="25" t="str">
        <f>IF('1. Live'!CU80='check-Jul''26'!CQ80,"",'1. Live'!CU80-'check-Jul''26'!CQ80)</f>
        <v/>
      </c>
      <c r="CR62" s="25" t="str">
        <f>IF('1. Live'!CV80='check-Jul''26'!CR80,"",'1. Live'!CV80-'check-Jul''26'!CR80)</f>
        <v/>
      </c>
      <c r="CS62" s="25" t="str">
        <f>IF('1. Live'!CW80='check-Jul''26'!CS80,"",'1. Live'!CW80-'check-Jul''26'!CS80)</f>
        <v/>
      </c>
      <c r="CT62" s="25" t="str">
        <f>IF('1. Live'!CX80='check-Jul''26'!CT80,"",'1. Live'!CX80-'check-Jul''26'!CT80)</f>
        <v/>
      </c>
      <c r="CU62" s="25" t="str">
        <f>IF('1. Live'!CY80='check-Jul''26'!CU80,"",'1. Live'!CY80-'check-Jul''26'!CU80)</f>
        <v/>
      </c>
      <c r="CV62" s="25" t="str">
        <f>IF('1. Live'!CZ80='check-Jul''26'!CV80,"",'1. Live'!CZ80-'check-Jul''26'!CV80)</f>
        <v/>
      </c>
    </row>
    <row r="63" spans="2:100" x14ac:dyDescent="0.25">
      <c r="Q63" s="26" t="str">
        <f>IF('1. Live'!N81='check-Jul''26'!I81,"",'1. Live'!N81-'check-Jul''26'!I81)</f>
        <v/>
      </c>
      <c r="R63" s="26" t="str">
        <f>IF('1. Live'!O81='check-Jul''26'!J81,"",'1. Live'!O81-'check-Jul''26'!J81)</f>
        <v/>
      </c>
      <c r="S63" s="26" t="str">
        <f>IF('1. Live'!P81='check-Jul''26'!K81,"",'1. Live'!P81-'check-Jul''26'!K81)</f>
        <v/>
      </c>
      <c r="T63" s="26" t="str">
        <f>IF('1. Live'!Q81='check-Jul''26'!L81,"",'1. Live'!Q81-'check-Jul''26'!L81)</f>
        <v/>
      </c>
      <c r="U63" s="80" t="str">
        <f>IF('1. Live'!R81='check-Jul''26'!M81,"",'1. Live'!R81-'check-Jul''26'!M81)</f>
        <v/>
      </c>
      <c r="V63" s="26" t="str">
        <f>IF('1. Live'!S81='check-Jul''26'!N81,"",'1. Live'!S81-'check-Jul''26'!N81)</f>
        <v/>
      </c>
      <c r="W63" s="25" t="str">
        <f>IF('1. Live'!T81='check-Jul''26'!O81,"",'1. Live'!T81-'check-Jul''26'!O81)</f>
        <v/>
      </c>
      <c r="X63" s="25" t="str">
        <f>IF('1. Live'!U81='check-Jul''26'!Q81,"",'1. Live'!U81-'check-Jul''26'!Q81)</f>
        <v/>
      </c>
      <c r="Y63" s="25" t="str">
        <f>IF('1. Live'!V81='check-Jul''26'!R81,"",'1. Live'!V81-'check-Jul''26'!R81)</f>
        <v/>
      </c>
      <c r="Z63" s="25" t="str">
        <f>IF('1. Live'!W81='check-Jul''26'!S81,"",'1. Live'!W81-'check-Jul''26'!S81)</f>
        <v/>
      </c>
      <c r="AA63" s="25" t="str">
        <f>IF('1. Live'!X81='check-Jul''26'!T81,"",'1. Live'!X81-'check-Jul''26'!T81)</f>
        <v/>
      </c>
      <c r="AB63" s="25" t="str">
        <f>IF('1. Live'!AF81='check-Jul''26'!AB81,"",'1. Live'!AF81-'check-Jul''26'!AB81)</f>
        <v/>
      </c>
      <c r="AC63" s="25" t="str">
        <f>IF('1. Live'!AG81='check-Jul''26'!AC81,"",'1. Live'!AG81-'check-Jul''26'!AC81)</f>
        <v/>
      </c>
      <c r="AD63" s="25" t="str">
        <f>IF('1. Live'!AH81='check-Jul''26'!AD81,"",'1. Live'!AH81-'check-Jul''26'!AD81)</f>
        <v/>
      </c>
      <c r="AE63" s="25" t="str">
        <f>IF('1. Live'!AI81='check-Jul''26'!AE81,"",'1. Live'!AI81-'check-Jul''26'!AE81)</f>
        <v/>
      </c>
      <c r="AF63" s="25" t="str">
        <f>IF('1. Live'!AJ81='check-Jul''26'!AF81,"",'1. Live'!AJ81-'check-Jul''26'!AF81)</f>
        <v/>
      </c>
      <c r="AG63" s="25" t="str">
        <f>IF('1. Live'!AK81='check-Jul''26'!AG81,"",'1. Live'!AK81-'check-Jul''26'!AG81)</f>
        <v/>
      </c>
      <c r="AH63" s="25" t="str">
        <f>IF('1. Live'!AL81='check-Jul''26'!AH81,"",'1. Live'!AL81-'check-Jul''26'!AH81)</f>
        <v/>
      </c>
      <c r="AI63" s="25" t="str">
        <f>IF('1. Live'!AM81='check-Jul''26'!AI81,"",'1. Live'!AM81-'check-Jul''26'!AI81)</f>
        <v/>
      </c>
      <c r="AJ63" s="25" t="str">
        <f>IF('1. Live'!AN81='check-Jul''26'!AJ81,"",'1. Live'!AN81-'check-Jul''26'!AJ81)</f>
        <v/>
      </c>
      <c r="AK63" s="25" t="str">
        <f>IF('1. Live'!AO81='check-Jul''26'!AK81,"",'1. Live'!AO81-'check-Jul''26'!AK81)</f>
        <v/>
      </c>
      <c r="AL63" s="25" t="str">
        <f>IF('1. Live'!AP81='check-Jul''26'!AL81,"",'1. Live'!AP81-'check-Jul''26'!AL81)</f>
        <v/>
      </c>
      <c r="AM63" s="25" t="str">
        <f>IF('1. Live'!AQ81='check-Jul''26'!AM81,"",'1. Live'!AQ81-'check-Jul''26'!AM81)</f>
        <v/>
      </c>
      <c r="AN63" s="25" t="str">
        <f>IF('1. Live'!AR81='check-Jul''26'!AN81,"",'1. Live'!AR81-'check-Jul''26'!AN81)</f>
        <v/>
      </c>
      <c r="AO63" s="25" t="str">
        <f>IF('1. Live'!AS81='check-Jul''26'!AO81,"",'1. Live'!AS81-'check-Jul''26'!AO81)</f>
        <v/>
      </c>
      <c r="AP63" s="25" t="str">
        <f>IF('1. Live'!AT81='check-Jul''26'!AP81,"",'1. Live'!AT81-'check-Jul''26'!AP81)</f>
        <v/>
      </c>
      <c r="AQ63" s="25" t="str">
        <f>IF('1. Live'!AU81='check-Jul''26'!AQ81,"",'1. Live'!AU81-'check-Jul''26'!AQ81)</f>
        <v/>
      </c>
      <c r="AR63" s="25" t="str">
        <f>IF('1. Live'!AV81='check-Jul''26'!AR81,"",'1. Live'!AV81-'check-Jul''26'!AR81)</f>
        <v/>
      </c>
      <c r="AS63" s="25" t="str">
        <f>IF('1. Live'!AW81='check-Jul''26'!AS81,"",'1. Live'!AW81-'check-Jul''26'!AS81)</f>
        <v/>
      </c>
      <c r="AT63" s="25" t="str">
        <f>IF('1. Live'!AX81='check-Jul''26'!AT81,"",'1. Live'!AX81-'check-Jul''26'!AT81)</f>
        <v/>
      </c>
      <c r="AU63" s="25" t="str">
        <f>IF('1. Live'!AY81='check-Jul''26'!AU81,"",'1. Live'!AY81-'check-Jul''26'!AU81)</f>
        <v/>
      </c>
      <c r="AV63" s="25" t="str">
        <f>IF('1. Live'!AZ81='check-Jul''26'!AV81,"",'1. Live'!AZ81-'check-Jul''26'!AV81)</f>
        <v/>
      </c>
      <c r="AW63" s="25" t="str">
        <f>IF('1. Live'!BA81='check-Jul''26'!AW81,"",'1. Live'!BA81-'check-Jul''26'!AW81)</f>
        <v/>
      </c>
      <c r="AX63" s="25" t="str">
        <f>IF('1. Live'!BB81='check-Jul''26'!AX81,"",'1. Live'!BB81-'check-Jul''26'!AX81)</f>
        <v/>
      </c>
      <c r="AY63" s="25" t="str">
        <f>IF('1. Live'!BC81='check-Jul''26'!AY81,"",'1. Live'!BC81-'check-Jul''26'!AY81)</f>
        <v/>
      </c>
      <c r="AZ63" s="25" t="str">
        <f>IF('1. Live'!BD81='check-Jul''26'!AZ81,"",'1. Live'!BD81-'check-Jul''26'!AZ81)</f>
        <v/>
      </c>
      <c r="BA63" s="25" t="str">
        <f>IF('1. Live'!BE81='check-Jul''26'!BA81,"",'1. Live'!BE81-'check-Jul''26'!BA81)</f>
        <v/>
      </c>
      <c r="BB63" s="25" t="str">
        <f>IF('1. Live'!BF81='check-Jul''26'!BB81,"",'1. Live'!BF81-'check-Jul''26'!BB81)</f>
        <v/>
      </c>
      <c r="BC63" s="25" t="str">
        <f>IF('1. Live'!BG81='check-Jul''26'!BC81,"",'1. Live'!BG81-'check-Jul''26'!BC81)</f>
        <v/>
      </c>
      <c r="BD63" s="25" t="str">
        <f>IF('1. Live'!BH81='check-Jul''26'!BD81,"",'1. Live'!BH81-'check-Jul''26'!BD81)</f>
        <v/>
      </c>
      <c r="BE63" s="25" t="str">
        <f>IF('1. Live'!BI81='check-Jul''26'!BE81,"",'1. Live'!BI81-'check-Jul''26'!BE81)</f>
        <v/>
      </c>
      <c r="BF63" s="25" t="str">
        <f>IF('1. Live'!BJ81='check-Jul''26'!BF81,"",'1. Live'!BJ81-'check-Jul''26'!BF81)</f>
        <v/>
      </c>
      <c r="BG63" s="25" t="str">
        <f>IF('1. Live'!BK81='check-Jul''26'!BG81,"",'1. Live'!BK81-'check-Jul''26'!BG81)</f>
        <v/>
      </c>
      <c r="BH63" s="25" t="str">
        <f>IF('1. Live'!BL81='check-Jul''26'!BH81,"",'1. Live'!BL81-'check-Jul''26'!BH81)</f>
        <v/>
      </c>
      <c r="BI63" s="25" t="str">
        <f>IF('1. Live'!BM81='check-Jul''26'!BI81,"",'1. Live'!BM81-'check-Jul''26'!BI81)</f>
        <v/>
      </c>
      <c r="BJ63" s="25" t="str">
        <f>IF('1. Live'!BN81='check-Jul''26'!BJ81,"",'1. Live'!BN81-'check-Jul''26'!BJ81)</f>
        <v/>
      </c>
      <c r="BK63" s="25" t="str">
        <f>IF('1. Live'!BO81='check-Jul''26'!BK81,"",'1. Live'!BO81-'check-Jul''26'!BK81)</f>
        <v/>
      </c>
      <c r="BL63" s="25" t="str">
        <f>IF('1. Live'!BP81='check-Jul''26'!BL81,"",'1. Live'!BP81-'check-Jul''26'!BL81)</f>
        <v/>
      </c>
      <c r="BM63" s="25" t="str">
        <f>IF('1. Live'!BQ81='check-Jul''26'!BM81,"",'1. Live'!BQ81-'check-Jul''26'!BM81)</f>
        <v/>
      </c>
      <c r="BN63" s="25" t="str">
        <f>IF('1. Live'!BR81='check-Jul''26'!BN81,"",'1. Live'!BR81-'check-Jul''26'!BN81)</f>
        <v/>
      </c>
      <c r="BO63" s="25" t="str">
        <f>IF('1. Live'!BS81='check-Jul''26'!BO81,"",'1. Live'!BS81-'check-Jul''26'!BO81)</f>
        <v/>
      </c>
      <c r="BP63" s="25" t="str">
        <f>IF('1. Live'!BT81='check-Jul''26'!BP81,"",'1. Live'!BT81-'check-Jul''26'!BP81)</f>
        <v/>
      </c>
      <c r="BQ63" s="25" t="str">
        <f>IF('1. Live'!BU81='check-Jul''26'!BQ81,"",'1. Live'!BU81-'check-Jul''26'!BQ81)</f>
        <v/>
      </c>
      <c r="BR63" s="25" t="str">
        <f>IF('1. Live'!BV81='check-Jul''26'!BR81,"",'1. Live'!BV81-'check-Jul''26'!BR81)</f>
        <v/>
      </c>
      <c r="BS63" s="25" t="str">
        <f>IF('1. Live'!BW81='check-Jul''26'!BS81,"",'1. Live'!BW81-'check-Jul''26'!BS81)</f>
        <v/>
      </c>
      <c r="BT63" s="25" t="str">
        <f>IF('1. Live'!BX81='check-Jul''26'!BT81,"",'1. Live'!BX81-'check-Jul''26'!BT81)</f>
        <v/>
      </c>
      <c r="BU63" s="25" t="str">
        <f>IF('1. Live'!BY81='check-Jul''26'!BU81,"",'1. Live'!BY81-'check-Jul''26'!BU81)</f>
        <v/>
      </c>
      <c r="BV63" s="25" t="str">
        <f>IF('1. Live'!BZ81='check-Jul''26'!BV81,"",'1. Live'!BZ81-'check-Jul''26'!BV81)</f>
        <v/>
      </c>
      <c r="BW63" s="25" t="str">
        <f>IF('1. Live'!CA81='check-Jul''26'!BW81,"",'1. Live'!CA81-'check-Jul''26'!BW81)</f>
        <v/>
      </c>
      <c r="BX63" s="25" t="str">
        <f>IF('1. Live'!CB81='check-Jul''26'!BX81,"",'1. Live'!CB81-'check-Jul''26'!BX81)</f>
        <v/>
      </c>
      <c r="BY63" s="25" t="str">
        <f>IF('1. Live'!CC81='check-Jul''26'!BY81,"",'1. Live'!CC81-'check-Jul''26'!BY81)</f>
        <v/>
      </c>
      <c r="BZ63" s="25" t="str">
        <f>IF('1. Live'!CD81='check-Jul''26'!BZ81,"",'1. Live'!CD81-'check-Jul''26'!BZ81)</f>
        <v/>
      </c>
      <c r="CA63" s="25" t="str">
        <f>IF('1. Live'!CE81='check-Jul''26'!CA81,"",'1. Live'!CE81-'check-Jul''26'!CA81)</f>
        <v/>
      </c>
      <c r="CB63" s="25" t="str">
        <f>IF('1. Live'!CF81='check-Jul''26'!CB81,"",'1. Live'!CF81-'check-Jul''26'!CB81)</f>
        <v/>
      </c>
      <c r="CC63" s="25" t="str">
        <f>IF('1. Live'!CG81='check-Jul''26'!CC81,"",'1. Live'!CG81-'check-Jul''26'!CC81)</f>
        <v/>
      </c>
      <c r="CD63" s="25" t="str">
        <f>IF('1. Live'!CH81='check-Jul''26'!CD81,"",'1. Live'!CH81-'check-Jul''26'!CD81)</f>
        <v/>
      </c>
      <c r="CE63" s="25" t="str">
        <f>IF('1. Live'!CI81='check-Jul''26'!CE81,"",'1. Live'!CI81-'check-Jul''26'!CE81)</f>
        <v/>
      </c>
      <c r="CF63" s="25" t="str">
        <f>IF('1. Live'!CJ81='check-Jul''26'!CF81,"",'1. Live'!CJ81-'check-Jul''26'!CF81)</f>
        <v/>
      </c>
      <c r="CG63" s="25" t="str">
        <f>IF('1. Live'!CK81='check-Jul''26'!CG81,"",'1. Live'!CK81-'check-Jul''26'!CG81)</f>
        <v/>
      </c>
      <c r="CH63" s="25" t="str">
        <f>IF('1. Live'!CL81='check-Jul''26'!CH81,"",'1. Live'!CL81-'check-Jul''26'!CH81)</f>
        <v/>
      </c>
      <c r="CI63" s="25" t="str">
        <f>IF('1. Live'!CM81='check-Jul''26'!CI81,"",'1. Live'!CM81-'check-Jul''26'!CI81)</f>
        <v/>
      </c>
      <c r="CJ63" s="25" t="str">
        <f>IF('1. Live'!CN81='check-Jul''26'!CJ81,"",'1. Live'!CN81-'check-Jul''26'!CJ81)</f>
        <v/>
      </c>
      <c r="CK63" s="25" t="str">
        <f>IF('1. Live'!CO81='check-Jul''26'!CK81,"",'1. Live'!CO81-'check-Jul''26'!CK81)</f>
        <v/>
      </c>
      <c r="CL63" s="25" t="str">
        <f>IF('1. Live'!CP81='check-Jul''26'!CL81,"",'1. Live'!CP81-'check-Jul''26'!CL81)</f>
        <v/>
      </c>
      <c r="CM63" s="25" t="str">
        <f>IF('1. Live'!CQ81='check-Jul''26'!CM81,"",'1. Live'!CQ81-'check-Jul''26'!CM81)</f>
        <v/>
      </c>
      <c r="CN63" s="25" t="str">
        <f>IF('1. Live'!CR81='check-Jul''26'!CN81,"",'1. Live'!CR81-'check-Jul''26'!CN81)</f>
        <v/>
      </c>
      <c r="CO63" s="25" t="str">
        <f>IF('1. Live'!CS81='check-Jul''26'!CO81,"",'1. Live'!CS81-'check-Jul''26'!CO81)</f>
        <v/>
      </c>
      <c r="CP63" s="25" t="str">
        <f>IF('1. Live'!CT81='check-Jul''26'!CP81,"",'1. Live'!CT81-'check-Jul''26'!CP81)</f>
        <v/>
      </c>
      <c r="CQ63" s="25" t="str">
        <f>IF('1. Live'!CU81='check-Jul''26'!CQ81,"",'1. Live'!CU81-'check-Jul''26'!CQ81)</f>
        <v/>
      </c>
      <c r="CR63" s="25" t="str">
        <f>IF('1. Live'!CV81='check-Jul''26'!CR81,"",'1. Live'!CV81-'check-Jul''26'!CR81)</f>
        <v/>
      </c>
      <c r="CS63" s="25" t="str">
        <f>IF('1. Live'!CW81='check-Jul''26'!CS81,"",'1. Live'!CW81-'check-Jul''26'!CS81)</f>
        <v/>
      </c>
      <c r="CT63" s="25" t="str">
        <f>IF('1. Live'!CX81='check-Jul''26'!CT81,"",'1. Live'!CX81-'check-Jul''26'!CT81)</f>
        <v/>
      </c>
      <c r="CU63" s="25" t="str">
        <f>IF('1. Live'!CY81='check-Jul''26'!CU81,"",'1. Live'!CY81-'check-Jul''26'!CU81)</f>
        <v/>
      </c>
      <c r="CV63" s="25" t="str">
        <f>IF('1. Live'!CZ81='check-Jul''26'!CV81,"",'1. Live'!CZ81-'check-Jul''26'!CV81)</f>
        <v/>
      </c>
    </row>
    <row r="64" spans="2:100" x14ac:dyDescent="0.25">
      <c r="Q64" s="26" t="str">
        <f>IF('1. Live'!N82='check-Jul''26'!I82,"",'1. Live'!N82-'check-Jul''26'!I82)</f>
        <v/>
      </c>
      <c r="R64" s="26" t="str">
        <f>IF('1. Live'!O82='check-Jul''26'!J82,"",'1. Live'!O82-'check-Jul''26'!J82)</f>
        <v/>
      </c>
      <c r="S64" s="26" t="str">
        <f>IF('1. Live'!P82='check-Jul''26'!K82,"",'1. Live'!P82-'check-Jul''26'!K82)</f>
        <v/>
      </c>
      <c r="T64" s="26" t="str">
        <f>IF('1. Live'!Q82='check-Jul''26'!L82,"",'1. Live'!Q82-'check-Jul''26'!L82)</f>
        <v/>
      </c>
      <c r="U64" s="80" t="str">
        <f>IF('1. Live'!R82='check-Jul''26'!M82,"",'1. Live'!R82-'check-Jul''26'!M82)</f>
        <v/>
      </c>
      <c r="V64" s="26" t="str">
        <f>IF('1. Live'!S82='check-Jul''26'!N82,"",'1. Live'!S82-'check-Jul''26'!N82)</f>
        <v/>
      </c>
      <c r="W64" s="25" t="str">
        <f>IF('1. Live'!T82='check-Jul''26'!O82,"",'1. Live'!T82-'check-Jul''26'!O82)</f>
        <v/>
      </c>
      <c r="X64" s="25" t="str">
        <f>IF('1. Live'!U82='check-Jul''26'!Q82,"",'1. Live'!U82-'check-Jul''26'!Q82)</f>
        <v/>
      </c>
      <c r="Y64" s="25" t="str">
        <f>IF('1. Live'!V82='check-Jul''26'!R82,"",'1. Live'!V82-'check-Jul''26'!R82)</f>
        <v/>
      </c>
      <c r="Z64" s="25" t="str">
        <f>IF('1. Live'!W82='check-Jul''26'!S82,"",'1. Live'!W82-'check-Jul''26'!S82)</f>
        <v/>
      </c>
      <c r="AA64" s="25" t="str">
        <f>IF('1. Live'!X82='check-Jul''26'!T82,"",'1. Live'!X82-'check-Jul''26'!T82)</f>
        <v/>
      </c>
      <c r="AB64" s="25" t="str">
        <f>IF('1. Live'!AF82='check-Jul''26'!AB82,"",'1. Live'!AF82-'check-Jul''26'!AB82)</f>
        <v/>
      </c>
      <c r="AC64" s="25" t="str">
        <f>IF('1. Live'!AG82='check-Jul''26'!AC82,"",'1. Live'!AG82-'check-Jul''26'!AC82)</f>
        <v/>
      </c>
      <c r="AD64" s="25" t="str">
        <f>IF('1. Live'!AH82='check-Jul''26'!AD82,"",'1. Live'!AH82-'check-Jul''26'!AD82)</f>
        <v/>
      </c>
      <c r="AE64" s="25" t="str">
        <f>IF('1. Live'!AI82='check-Jul''26'!AE82,"",'1. Live'!AI82-'check-Jul''26'!AE82)</f>
        <v/>
      </c>
      <c r="AF64" s="25" t="str">
        <f>IF('1. Live'!AJ82='check-Jul''26'!AF82,"",'1. Live'!AJ82-'check-Jul''26'!AF82)</f>
        <v/>
      </c>
      <c r="AG64" s="25" t="str">
        <f>IF('1. Live'!AK82='check-Jul''26'!AG82,"",'1. Live'!AK82-'check-Jul''26'!AG82)</f>
        <v/>
      </c>
      <c r="AH64" s="25" t="str">
        <f>IF('1. Live'!AL82='check-Jul''26'!AH82,"",'1. Live'!AL82-'check-Jul''26'!AH82)</f>
        <v/>
      </c>
      <c r="AI64" s="25" t="str">
        <f>IF('1. Live'!AM82='check-Jul''26'!AI82,"",'1. Live'!AM82-'check-Jul''26'!AI82)</f>
        <v/>
      </c>
      <c r="AJ64" s="25" t="str">
        <f>IF('1. Live'!AN82='check-Jul''26'!AJ82,"",'1. Live'!AN82-'check-Jul''26'!AJ82)</f>
        <v/>
      </c>
      <c r="AK64" s="25" t="str">
        <f>IF('1. Live'!AO82='check-Jul''26'!AK82,"",'1. Live'!AO82-'check-Jul''26'!AK82)</f>
        <v/>
      </c>
      <c r="AL64" s="25" t="str">
        <f>IF('1. Live'!AP82='check-Jul''26'!AL82,"",'1. Live'!AP82-'check-Jul''26'!AL82)</f>
        <v/>
      </c>
      <c r="AM64" s="25" t="str">
        <f>IF('1. Live'!AQ82='check-Jul''26'!AM82,"",'1. Live'!AQ82-'check-Jul''26'!AM82)</f>
        <v/>
      </c>
      <c r="AN64" s="25" t="str">
        <f>IF('1. Live'!AR82='check-Jul''26'!AN82,"",'1. Live'!AR82-'check-Jul''26'!AN82)</f>
        <v/>
      </c>
      <c r="AO64" s="25" t="str">
        <f>IF('1. Live'!AS82='check-Jul''26'!AO82,"",'1. Live'!AS82-'check-Jul''26'!AO82)</f>
        <v/>
      </c>
      <c r="AP64" s="25" t="str">
        <f>IF('1. Live'!AT82='check-Jul''26'!AP82,"",'1. Live'!AT82-'check-Jul''26'!AP82)</f>
        <v/>
      </c>
      <c r="AQ64" s="25" t="str">
        <f>IF('1. Live'!AU82='check-Jul''26'!AQ82,"",'1. Live'!AU82-'check-Jul''26'!AQ82)</f>
        <v/>
      </c>
      <c r="AR64" s="25" t="str">
        <f>IF('1. Live'!AV82='check-Jul''26'!AR82,"",'1. Live'!AV82-'check-Jul''26'!AR82)</f>
        <v/>
      </c>
      <c r="AS64" s="25" t="str">
        <f>IF('1. Live'!AW82='check-Jul''26'!AS82,"",'1. Live'!AW82-'check-Jul''26'!AS82)</f>
        <v/>
      </c>
      <c r="AT64" s="25" t="str">
        <f>IF('1. Live'!AX82='check-Jul''26'!AT82,"",'1. Live'!AX82-'check-Jul''26'!AT82)</f>
        <v/>
      </c>
      <c r="AU64" s="25" t="str">
        <f>IF('1. Live'!AY82='check-Jul''26'!AU82,"",'1. Live'!AY82-'check-Jul''26'!AU82)</f>
        <v/>
      </c>
      <c r="AV64" s="25" t="str">
        <f>IF('1. Live'!AZ82='check-Jul''26'!AV82,"",'1. Live'!AZ82-'check-Jul''26'!AV82)</f>
        <v/>
      </c>
      <c r="AW64" s="25" t="str">
        <f>IF('1. Live'!BA82='check-Jul''26'!AW82,"",'1. Live'!BA82-'check-Jul''26'!AW82)</f>
        <v/>
      </c>
      <c r="AX64" s="25" t="str">
        <f>IF('1. Live'!BB82='check-Jul''26'!AX82,"",'1. Live'!BB82-'check-Jul''26'!AX82)</f>
        <v/>
      </c>
      <c r="AY64" s="25" t="str">
        <f>IF('1. Live'!BC82='check-Jul''26'!AY82,"",'1. Live'!BC82-'check-Jul''26'!AY82)</f>
        <v/>
      </c>
      <c r="AZ64" s="25" t="str">
        <f>IF('1. Live'!BD82='check-Jul''26'!AZ82,"",'1. Live'!BD82-'check-Jul''26'!AZ82)</f>
        <v/>
      </c>
      <c r="BA64" s="25" t="str">
        <f>IF('1. Live'!BE82='check-Jul''26'!BA82,"",'1. Live'!BE82-'check-Jul''26'!BA82)</f>
        <v/>
      </c>
      <c r="BB64" s="25" t="str">
        <f>IF('1. Live'!BF82='check-Jul''26'!BB82,"",'1. Live'!BF82-'check-Jul''26'!BB82)</f>
        <v/>
      </c>
      <c r="BC64" s="25" t="str">
        <f>IF('1. Live'!BG82='check-Jul''26'!BC82,"",'1. Live'!BG82-'check-Jul''26'!BC82)</f>
        <v/>
      </c>
      <c r="BD64" s="25" t="str">
        <f>IF('1. Live'!BH82='check-Jul''26'!BD82,"",'1. Live'!BH82-'check-Jul''26'!BD82)</f>
        <v/>
      </c>
      <c r="BE64" s="25" t="str">
        <f>IF('1. Live'!BI82='check-Jul''26'!BE82,"",'1. Live'!BI82-'check-Jul''26'!BE82)</f>
        <v/>
      </c>
      <c r="BF64" s="25" t="str">
        <f>IF('1. Live'!BJ82='check-Jul''26'!BF82,"",'1. Live'!BJ82-'check-Jul''26'!BF82)</f>
        <v/>
      </c>
      <c r="BG64" s="25" t="str">
        <f>IF('1. Live'!BK82='check-Jul''26'!BG82,"",'1. Live'!BK82-'check-Jul''26'!BG82)</f>
        <v/>
      </c>
      <c r="BH64" s="25" t="str">
        <f>IF('1. Live'!BL82='check-Jul''26'!BH82,"",'1. Live'!BL82-'check-Jul''26'!BH82)</f>
        <v/>
      </c>
      <c r="BI64" s="25" t="str">
        <f>IF('1. Live'!BM82='check-Jul''26'!BI82,"",'1. Live'!BM82-'check-Jul''26'!BI82)</f>
        <v/>
      </c>
      <c r="BJ64" s="25" t="str">
        <f>IF('1. Live'!BN82='check-Jul''26'!BJ82,"",'1. Live'!BN82-'check-Jul''26'!BJ82)</f>
        <v/>
      </c>
      <c r="BK64" s="25" t="str">
        <f>IF('1. Live'!BO82='check-Jul''26'!BK82,"",'1. Live'!BO82-'check-Jul''26'!BK82)</f>
        <v/>
      </c>
      <c r="BL64" s="25" t="str">
        <f>IF('1. Live'!BP82='check-Jul''26'!BL82,"",'1. Live'!BP82-'check-Jul''26'!BL82)</f>
        <v/>
      </c>
      <c r="BM64" s="25" t="str">
        <f>IF('1. Live'!BQ82='check-Jul''26'!BM82,"",'1. Live'!BQ82-'check-Jul''26'!BM82)</f>
        <v/>
      </c>
      <c r="BN64" s="25" t="str">
        <f>IF('1. Live'!BR82='check-Jul''26'!BN82,"",'1. Live'!BR82-'check-Jul''26'!BN82)</f>
        <v/>
      </c>
      <c r="BO64" s="25" t="str">
        <f>IF('1. Live'!BS82='check-Jul''26'!BO82,"",'1. Live'!BS82-'check-Jul''26'!BO82)</f>
        <v/>
      </c>
      <c r="BP64" s="25" t="str">
        <f>IF('1. Live'!BT82='check-Jul''26'!BP82,"",'1. Live'!BT82-'check-Jul''26'!BP82)</f>
        <v/>
      </c>
      <c r="BQ64" s="25" t="str">
        <f>IF('1. Live'!BU82='check-Jul''26'!BQ82,"",'1. Live'!BU82-'check-Jul''26'!BQ82)</f>
        <v/>
      </c>
      <c r="BR64" s="25" t="str">
        <f>IF('1. Live'!BV82='check-Jul''26'!BR82,"",'1. Live'!BV82-'check-Jul''26'!BR82)</f>
        <v/>
      </c>
      <c r="BS64" s="25" t="str">
        <f>IF('1. Live'!BW82='check-Jul''26'!BS82,"",'1. Live'!BW82-'check-Jul''26'!BS82)</f>
        <v/>
      </c>
      <c r="BT64" s="25" t="str">
        <f>IF('1. Live'!BX82='check-Jul''26'!BT82,"",'1. Live'!BX82-'check-Jul''26'!BT82)</f>
        <v/>
      </c>
      <c r="BU64" s="25" t="str">
        <f>IF('1. Live'!BY82='check-Jul''26'!BU82,"",'1. Live'!BY82-'check-Jul''26'!BU82)</f>
        <v/>
      </c>
      <c r="BV64" s="25" t="str">
        <f>IF('1. Live'!BZ82='check-Jul''26'!BV82,"",'1. Live'!BZ82-'check-Jul''26'!BV82)</f>
        <v/>
      </c>
      <c r="BW64" s="25" t="str">
        <f>IF('1. Live'!CA82='check-Jul''26'!BW82,"",'1. Live'!CA82-'check-Jul''26'!BW82)</f>
        <v/>
      </c>
      <c r="BX64" s="25" t="str">
        <f>IF('1. Live'!CB82='check-Jul''26'!BX82,"",'1. Live'!CB82-'check-Jul''26'!BX82)</f>
        <v/>
      </c>
      <c r="BY64" s="25" t="str">
        <f>IF('1. Live'!CC82='check-Jul''26'!BY82,"",'1. Live'!CC82-'check-Jul''26'!BY82)</f>
        <v/>
      </c>
      <c r="BZ64" s="25" t="str">
        <f>IF('1. Live'!CD82='check-Jul''26'!BZ82,"",'1. Live'!CD82-'check-Jul''26'!BZ82)</f>
        <v/>
      </c>
      <c r="CA64" s="25" t="str">
        <f>IF('1. Live'!CE82='check-Jul''26'!CA82,"",'1. Live'!CE82-'check-Jul''26'!CA82)</f>
        <v/>
      </c>
      <c r="CB64" s="25" t="str">
        <f>IF('1. Live'!CF82='check-Jul''26'!CB82,"",'1. Live'!CF82-'check-Jul''26'!CB82)</f>
        <v/>
      </c>
      <c r="CC64" s="25" t="str">
        <f>IF('1. Live'!CG82='check-Jul''26'!CC82,"",'1. Live'!CG82-'check-Jul''26'!CC82)</f>
        <v/>
      </c>
      <c r="CD64" s="25" t="str">
        <f>IF('1. Live'!CH82='check-Jul''26'!CD82,"",'1. Live'!CH82-'check-Jul''26'!CD82)</f>
        <v/>
      </c>
      <c r="CE64" s="25" t="str">
        <f>IF('1. Live'!CI82='check-Jul''26'!CE82,"",'1. Live'!CI82-'check-Jul''26'!CE82)</f>
        <v/>
      </c>
      <c r="CF64" s="25" t="str">
        <f>IF('1. Live'!CJ82='check-Jul''26'!CF82,"",'1. Live'!CJ82-'check-Jul''26'!CF82)</f>
        <v/>
      </c>
      <c r="CG64" s="25" t="str">
        <f>IF('1. Live'!CK82='check-Jul''26'!CG82,"",'1. Live'!CK82-'check-Jul''26'!CG82)</f>
        <v/>
      </c>
      <c r="CH64" s="25" t="str">
        <f>IF('1. Live'!CL82='check-Jul''26'!CH82,"",'1. Live'!CL82-'check-Jul''26'!CH82)</f>
        <v/>
      </c>
      <c r="CI64" s="25" t="str">
        <f>IF('1. Live'!CM82='check-Jul''26'!CI82,"",'1. Live'!CM82-'check-Jul''26'!CI82)</f>
        <v/>
      </c>
      <c r="CJ64" s="25" t="str">
        <f>IF('1. Live'!CN82='check-Jul''26'!CJ82,"",'1. Live'!CN82-'check-Jul''26'!CJ82)</f>
        <v/>
      </c>
      <c r="CK64" s="25" t="str">
        <f>IF('1. Live'!CO82='check-Jul''26'!CK82,"",'1. Live'!CO82-'check-Jul''26'!CK82)</f>
        <v/>
      </c>
      <c r="CL64" s="25" t="str">
        <f>IF('1. Live'!CP82='check-Jul''26'!CL82,"",'1. Live'!CP82-'check-Jul''26'!CL82)</f>
        <v/>
      </c>
      <c r="CM64" s="25" t="str">
        <f>IF('1. Live'!CQ82='check-Jul''26'!CM82,"",'1. Live'!CQ82-'check-Jul''26'!CM82)</f>
        <v/>
      </c>
      <c r="CN64" s="25" t="str">
        <f>IF('1. Live'!CR82='check-Jul''26'!CN82,"",'1. Live'!CR82-'check-Jul''26'!CN82)</f>
        <v/>
      </c>
      <c r="CO64" s="25" t="str">
        <f>IF('1. Live'!CS82='check-Jul''26'!CO82,"",'1. Live'!CS82-'check-Jul''26'!CO82)</f>
        <v/>
      </c>
      <c r="CP64" s="25" t="str">
        <f>IF('1. Live'!CT82='check-Jul''26'!CP82,"",'1. Live'!CT82-'check-Jul''26'!CP82)</f>
        <v/>
      </c>
      <c r="CQ64" s="25" t="str">
        <f>IF('1. Live'!CU82='check-Jul''26'!CQ82,"",'1. Live'!CU82-'check-Jul''26'!CQ82)</f>
        <v/>
      </c>
      <c r="CR64" s="25" t="str">
        <f>IF('1. Live'!CV82='check-Jul''26'!CR82,"",'1. Live'!CV82-'check-Jul''26'!CR82)</f>
        <v/>
      </c>
      <c r="CS64" s="25" t="str">
        <f>IF('1. Live'!CW82='check-Jul''26'!CS82,"",'1. Live'!CW82-'check-Jul''26'!CS82)</f>
        <v/>
      </c>
      <c r="CT64" s="25" t="str">
        <f>IF('1. Live'!CX82='check-Jul''26'!CT82,"",'1. Live'!CX82-'check-Jul''26'!CT82)</f>
        <v/>
      </c>
      <c r="CU64" s="25" t="str">
        <f>IF('1. Live'!CY82='check-Jul''26'!CU82,"",'1. Live'!CY82-'check-Jul''26'!CU82)</f>
        <v/>
      </c>
      <c r="CV64" s="25" t="str">
        <f>IF('1. Live'!CZ82='check-Jul''26'!CV82,"",'1. Live'!CZ82-'check-Jul''26'!CV82)</f>
        <v/>
      </c>
    </row>
    <row r="65" spans="17:100" x14ac:dyDescent="0.25">
      <c r="Q65" s="26" t="str">
        <f>IF('1. Live'!N83='check-Jul''26'!I83,"",'1. Live'!N83-'check-Jul''26'!I83)</f>
        <v/>
      </c>
      <c r="R65" s="26" t="str">
        <f>IF('1. Live'!O83='check-Jul''26'!J83,"",'1. Live'!O83-'check-Jul''26'!J83)</f>
        <v/>
      </c>
      <c r="S65" s="26" t="str">
        <f>IF('1. Live'!P83='check-Jul''26'!K83,"",'1. Live'!P83-'check-Jul''26'!K83)</f>
        <v/>
      </c>
      <c r="T65" s="26" t="str">
        <f>IF('1. Live'!Q83='check-Jul''26'!L83,"",'1. Live'!Q83-'check-Jul''26'!L83)</f>
        <v/>
      </c>
      <c r="U65" s="80" t="str">
        <f>IF('1. Live'!R83='check-Jul''26'!M83,"",'1. Live'!R83-'check-Jul''26'!M83)</f>
        <v/>
      </c>
      <c r="V65" s="26" t="str">
        <f>IF('1. Live'!S83='check-Jul''26'!N83,"",'1. Live'!S83-'check-Jul''26'!N83)</f>
        <v/>
      </c>
      <c r="W65" s="25" t="str">
        <f>IF('1. Live'!T83='check-Jul''26'!O83,"",'1. Live'!T83-'check-Jul''26'!O83)</f>
        <v/>
      </c>
      <c r="X65" s="25" t="str">
        <f>IF('1. Live'!U83='check-Jul''26'!Q83,"",'1. Live'!U83-'check-Jul''26'!Q83)</f>
        <v/>
      </c>
      <c r="Y65" s="25" t="str">
        <f>IF('1. Live'!V83='check-Jul''26'!R83,"",'1. Live'!V83-'check-Jul''26'!R83)</f>
        <v/>
      </c>
      <c r="Z65" s="25" t="str">
        <f>IF('1. Live'!W83='check-Jul''26'!S83,"",'1. Live'!W83-'check-Jul''26'!S83)</f>
        <v/>
      </c>
      <c r="AA65" s="25" t="str">
        <f>IF('1. Live'!X83='check-Jul''26'!T83,"",'1. Live'!X83-'check-Jul''26'!T83)</f>
        <v/>
      </c>
      <c r="AB65" s="25" t="str">
        <f>IF('1. Live'!AF83='check-Jul''26'!AB83,"",'1. Live'!AF83-'check-Jul''26'!AB83)</f>
        <v/>
      </c>
      <c r="AC65" s="25" t="str">
        <f>IF('1. Live'!AG83='check-Jul''26'!AC83,"",'1. Live'!AG83-'check-Jul''26'!AC83)</f>
        <v/>
      </c>
      <c r="AD65" s="25" t="str">
        <f>IF('1. Live'!AH83='check-Jul''26'!AD83,"",'1. Live'!AH83-'check-Jul''26'!AD83)</f>
        <v/>
      </c>
      <c r="AE65" s="25" t="str">
        <f>IF('1. Live'!AI83='check-Jul''26'!AE83,"",'1. Live'!AI83-'check-Jul''26'!AE83)</f>
        <v/>
      </c>
      <c r="AF65" s="25" t="str">
        <f>IF('1. Live'!AJ83='check-Jul''26'!AF83,"",'1. Live'!AJ83-'check-Jul''26'!AF83)</f>
        <v/>
      </c>
      <c r="AG65" s="25" t="str">
        <f>IF('1. Live'!AK83='check-Jul''26'!AG83,"",'1. Live'!AK83-'check-Jul''26'!AG83)</f>
        <v/>
      </c>
      <c r="AH65" s="25" t="str">
        <f>IF('1. Live'!AL83='check-Jul''26'!AH83,"",'1. Live'!AL83-'check-Jul''26'!AH83)</f>
        <v/>
      </c>
      <c r="AI65" s="25" t="str">
        <f>IF('1. Live'!AM83='check-Jul''26'!AI83,"",'1. Live'!AM83-'check-Jul''26'!AI83)</f>
        <v/>
      </c>
      <c r="AJ65" s="25" t="str">
        <f>IF('1. Live'!AN83='check-Jul''26'!AJ83,"",'1. Live'!AN83-'check-Jul''26'!AJ83)</f>
        <v/>
      </c>
      <c r="AK65" s="25" t="str">
        <f>IF('1. Live'!AO83='check-Jul''26'!AK83,"",'1. Live'!AO83-'check-Jul''26'!AK83)</f>
        <v/>
      </c>
      <c r="AL65" s="25" t="str">
        <f>IF('1. Live'!AP83='check-Jul''26'!AL83,"",'1. Live'!AP83-'check-Jul''26'!AL83)</f>
        <v/>
      </c>
      <c r="AM65" s="25" t="str">
        <f>IF('1. Live'!AQ83='check-Jul''26'!AM83,"",'1. Live'!AQ83-'check-Jul''26'!AM83)</f>
        <v/>
      </c>
      <c r="AN65" s="25" t="str">
        <f>IF('1. Live'!AR83='check-Jul''26'!AN83,"",'1. Live'!AR83-'check-Jul''26'!AN83)</f>
        <v/>
      </c>
      <c r="AO65" s="25" t="str">
        <f>IF('1. Live'!AS83='check-Jul''26'!AO83,"",'1. Live'!AS83-'check-Jul''26'!AO83)</f>
        <v/>
      </c>
      <c r="AP65" s="25" t="str">
        <f>IF('1. Live'!AT83='check-Jul''26'!AP83,"",'1. Live'!AT83-'check-Jul''26'!AP83)</f>
        <v/>
      </c>
      <c r="AQ65" s="25" t="str">
        <f>IF('1. Live'!AU83='check-Jul''26'!AQ83,"",'1. Live'!AU83-'check-Jul''26'!AQ83)</f>
        <v/>
      </c>
      <c r="AR65" s="25" t="str">
        <f>IF('1. Live'!AV83='check-Jul''26'!AR83,"",'1. Live'!AV83-'check-Jul''26'!AR83)</f>
        <v/>
      </c>
      <c r="AS65" s="25" t="str">
        <f>IF('1. Live'!AW83='check-Jul''26'!AS83,"",'1. Live'!AW83-'check-Jul''26'!AS83)</f>
        <v/>
      </c>
      <c r="AT65" s="25" t="str">
        <f>IF('1. Live'!AX83='check-Jul''26'!AT83,"",'1. Live'!AX83-'check-Jul''26'!AT83)</f>
        <v/>
      </c>
      <c r="AU65" s="25" t="str">
        <f>IF('1. Live'!AY83='check-Jul''26'!AU83,"",'1. Live'!AY83-'check-Jul''26'!AU83)</f>
        <v/>
      </c>
      <c r="AV65" s="25" t="str">
        <f>IF('1. Live'!AZ83='check-Jul''26'!AV83,"",'1. Live'!AZ83-'check-Jul''26'!AV83)</f>
        <v/>
      </c>
      <c r="AW65" s="25" t="str">
        <f>IF('1. Live'!BA83='check-Jul''26'!AW83,"",'1. Live'!BA83-'check-Jul''26'!AW83)</f>
        <v/>
      </c>
      <c r="AX65" s="25" t="str">
        <f>IF('1. Live'!BB83='check-Jul''26'!AX83,"",'1. Live'!BB83-'check-Jul''26'!AX83)</f>
        <v/>
      </c>
      <c r="AY65" s="25" t="str">
        <f>IF('1. Live'!BC83='check-Jul''26'!AY83,"",'1. Live'!BC83-'check-Jul''26'!AY83)</f>
        <v/>
      </c>
      <c r="AZ65" s="25" t="str">
        <f>IF('1. Live'!BD83='check-Jul''26'!AZ83,"",'1. Live'!BD83-'check-Jul''26'!AZ83)</f>
        <v/>
      </c>
      <c r="BA65" s="25" t="str">
        <f>IF('1. Live'!BE83='check-Jul''26'!BA83,"",'1. Live'!BE83-'check-Jul''26'!BA83)</f>
        <v/>
      </c>
      <c r="BB65" s="25" t="str">
        <f>IF('1. Live'!BF83='check-Jul''26'!BB83,"",'1. Live'!BF83-'check-Jul''26'!BB83)</f>
        <v/>
      </c>
      <c r="BC65" s="25" t="str">
        <f>IF('1. Live'!BG83='check-Jul''26'!BC83,"",'1. Live'!BG83-'check-Jul''26'!BC83)</f>
        <v/>
      </c>
      <c r="BD65" s="25" t="str">
        <f>IF('1. Live'!BH83='check-Jul''26'!BD83,"",'1. Live'!BH83-'check-Jul''26'!BD83)</f>
        <v/>
      </c>
      <c r="BE65" s="25" t="str">
        <f>IF('1. Live'!BI83='check-Jul''26'!BE83,"",'1. Live'!BI83-'check-Jul''26'!BE83)</f>
        <v/>
      </c>
      <c r="BF65" s="25" t="str">
        <f>IF('1. Live'!BJ83='check-Jul''26'!BF83,"",'1. Live'!BJ83-'check-Jul''26'!BF83)</f>
        <v/>
      </c>
      <c r="BG65" s="25" t="str">
        <f>IF('1. Live'!BK83='check-Jul''26'!BG83,"",'1. Live'!BK83-'check-Jul''26'!BG83)</f>
        <v/>
      </c>
      <c r="BH65" s="25" t="str">
        <f>IF('1. Live'!BL83='check-Jul''26'!BH83,"",'1. Live'!BL83-'check-Jul''26'!BH83)</f>
        <v/>
      </c>
      <c r="BI65" s="25" t="str">
        <f>IF('1. Live'!BM83='check-Jul''26'!BI83,"",'1. Live'!BM83-'check-Jul''26'!BI83)</f>
        <v/>
      </c>
      <c r="BJ65" s="25" t="str">
        <f>IF('1. Live'!BN83='check-Jul''26'!BJ83,"",'1. Live'!BN83-'check-Jul''26'!BJ83)</f>
        <v/>
      </c>
      <c r="BK65" s="25" t="str">
        <f>IF('1. Live'!BO83='check-Jul''26'!BK83,"",'1. Live'!BO83-'check-Jul''26'!BK83)</f>
        <v/>
      </c>
      <c r="BL65" s="25" t="str">
        <f>IF('1. Live'!BP83='check-Jul''26'!BL83,"",'1. Live'!BP83-'check-Jul''26'!BL83)</f>
        <v/>
      </c>
      <c r="BM65" s="25" t="str">
        <f>IF('1. Live'!BQ83='check-Jul''26'!BM83,"",'1. Live'!BQ83-'check-Jul''26'!BM83)</f>
        <v/>
      </c>
      <c r="BN65" s="25" t="str">
        <f>IF('1. Live'!BR83='check-Jul''26'!BN83,"",'1. Live'!BR83-'check-Jul''26'!BN83)</f>
        <v/>
      </c>
      <c r="BO65" s="25" t="str">
        <f>IF('1. Live'!BS83='check-Jul''26'!BO83,"",'1. Live'!BS83-'check-Jul''26'!BO83)</f>
        <v/>
      </c>
      <c r="BP65" s="25" t="str">
        <f>IF('1. Live'!BT83='check-Jul''26'!BP83,"",'1. Live'!BT83-'check-Jul''26'!BP83)</f>
        <v/>
      </c>
      <c r="BQ65" s="25" t="str">
        <f>IF('1. Live'!BU83='check-Jul''26'!BQ83,"",'1. Live'!BU83-'check-Jul''26'!BQ83)</f>
        <v/>
      </c>
      <c r="BR65" s="25" t="str">
        <f>IF('1. Live'!BV83='check-Jul''26'!BR83,"",'1. Live'!BV83-'check-Jul''26'!BR83)</f>
        <v/>
      </c>
      <c r="BS65" s="25" t="str">
        <f>IF('1. Live'!BW83='check-Jul''26'!BS83,"",'1. Live'!BW83-'check-Jul''26'!BS83)</f>
        <v/>
      </c>
      <c r="BT65" s="25" t="str">
        <f>IF('1. Live'!BX83='check-Jul''26'!BT83,"",'1. Live'!BX83-'check-Jul''26'!BT83)</f>
        <v/>
      </c>
      <c r="BU65" s="25" t="str">
        <f>IF('1. Live'!BY83='check-Jul''26'!BU83,"",'1. Live'!BY83-'check-Jul''26'!BU83)</f>
        <v/>
      </c>
      <c r="BV65" s="25" t="str">
        <f>IF('1. Live'!BZ83='check-Jul''26'!BV83,"",'1. Live'!BZ83-'check-Jul''26'!BV83)</f>
        <v/>
      </c>
      <c r="BW65" s="25" t="str">
        <f>IF('1. Live'!CA83='check-Jul''26'!BW83,"",'1. Live'!CA83-'check-Jul''26'!BW83)</f>
        <v/>
      </c>
      <c r="BX65" s="25" t="str">
        <f>IF('1. Live'!CB83='check-Jul''26'!BX83,"",'1. Live'!CB83-'check-Jul''26'!BX83)</f>
        <v/>
      </c>
      <c r="BY65" s="25" t="str">
        <f>IF('1. Live'!CC83='check-Jul''26'!BY83,"",'1. Live'!CC83-'check-Jul''26'!BY83)</f>
        <v/>
      </c>
      <c r="BZ65" s="25" t="str">
        <f>IF('1. Live'!CD83='check-Jul''26'!BZ83,"",'1. Live'!CD83-'check-Jul''26'!BZ83)</f>
        <v/>
      </c>
      <c r="CA65" s="25" t="str">
        <f>IF('1. Live'!CE83='check-Jul''26'!CA83,"",'1. Live'!CE83-'check-Jul''26'!CA83)</f>
        <v/>
      </c>
      <c r="CB65" s="25" t="str">
        <f>IF('1. Live'!CF83='check-Jul''26'!CB83,"",'1. Live'!CF83-'check-Jul''26'!CB83)</f>
        <v/>
      </c>
      <c r="CC65" s="25" t="str">
        <f>IF('1. Live'!CG83='check-Jul''26'!CC83,"",'1. Live'!CG83-'check-Jul''26'!CC83)</f>
        <v/>
      </c>
      <c r="CD65" s="25" t="str">
        <f>IF('1. Live'!CH83='check-Jul''26'!CD83,"",'1. Live'!CH83-'check-Jul''26'!CD83)</f>
        <v/>
      </c>
      <c r="CE65" s="25" t="str">
        <f>IF('1. Live'!CI83='check-Jul''26'!CE83,"",'1. Live'!CI83-'check-Jul''26'!CE83)</f>
        <v/>
      </c>
      <c r="CF65" s="25" t="str">
        <f>IF('1. Live'!CJ83='check-Jul''26'!CF83,"",'1. Live'!CJ83-'check-Jul''26'!CF83)</f>
        <v/>
      </c>
      <c r="CG65" s="25" t="str">
        <f>IF('1. Live'!CK83='check-Jul''26'!CG83,"",'1. Live'!CK83-'check-Jul''26'!CG83)</f>
        <v/>
      </c>
      <c r="CH65" s="25" t="str">
        <f>IF('1. Live'!CL83='check-Jul''26'!CH83,"",'1. Live'!CL83-'check-Jul''26'!CH83)</f>
        <v/>
      </c>
      <c r="CI65" s="25" t="str">
        <f>IF('1. Live'!CM83='check-Jul''26'!CI83,"",'1. Live'!CM83-'check-Jul''26'!CI83)</f>
        <v/>
      </c>
      <c r="CJ65" s="25" t="str">
        <f>IF('1. Live'!CN83='check-Jul''26'!CJ83,"",'1. Live'!CN83-'check-Jul''26'!CJ83)</f>
        <v/>
      </c>
      <c r="CK65" s="25" t="str">
        <f>IF('1. Live'!CO83='check-Jul''26'!CK83,"",'1. Live'!CO83-'check-Jul''26'!CK83)</f>
        <v/>
      </c>
      <c r="CL65" s="25" t="str">
        <f>IF('1. Live'!CP83='check-Jul''26'!CL83,"",'1. Live'!CP83-'check-Jul''26'!CL83)</f>
        <v/>
      </c>
      <c r="CM65" s="25" t="str">
        <f>IF('1. Live'!CQ83='check-Jul''26'!CM83,"",'1. Live'!CQ83-'check-Jul''26'!CM83)</f>
        <v/>
      </c>
      <c r="CN65" s="25" t="str">
        <f>IF('1. Live'!CR83='check-Jul''26'!CN83,"",'1. Live'!CR83-'check-Jul''26'!CN83)</f>
        <v/>
      </c>
      <c r="CO65" s="25" t="str">
        <f>IF('1. Live'!CS83='check-Jul''26'!CO83,"",'1. Live'!CS83-'check-Jul''26'!CO83)</f>
        <v/>
      </c>
      <c r="CP65" s="25" t="str">
        <f>IF('1. Live'!CT83='check-Jul''26'!CP83,"",'1. Live'!CT83-'check-Jul''26'!CP83)</f>
        <v/>
      </c>
      <c r="CQ65" s="25" t="str">
        <f>IF('1. Live'!CU83='check-Jul''26'!CQ83,"",'1. Live'!CU83-'check-Jul''26'!CQ83)</f>
        <v/>
      </c>
      <c r="CR65" s="25" t="str">
        <f>IF('1. Live'!CV83='check-Jul''26'!CR83,"",'1. Live'!CV83-'check-Jul''26'!CR83)</f>
        <v/>
      </c>
      <c r="CS65" s="25" t="str">
        <f>IF('1. Live'!CW83='check-Jul''26'!CS83,"",'1. Live'!CW83-'check-Jul''26'!CS83)</f>
        <v/>
      </c>
      <c r="CT65" s="25" t="str">
        <f>IF('1. Live'!CX83='check-Jul''26'!CT83,"",'1. Live'!CX83-'check-Jul''26'!CT83)</f>
        <v/>
      </c>
      <c r="CU65" s="25" t="str">
        <f>IF('1. Live'!CY83='check-Jul''26'!CU83,"",'1. Live'!CY83-'check-Jul''26'!CU83)</f>
        <v/>
      </c>
      <c r="CV65" s="25" t="str">
        <f>IF('1. Live'!CZ83='check-Jul''26'!CV83,"",'1. Live'!CZ83-'check-Jul''26'!CV83)</f>
        <v/>
      </c>
    </row>
    <row r="66" spans="17:100" x14ac:dyDescent="0.25">
      <c r="Q66" s="26" t="str">
        <f>IF('1. Live'!N84='check-Jul''26'!I84,"",'1. Live'!N84-'check-Jul''26'!I84)</f>
        <v/>
      </c>
      <c r="R66" s="26" t="str">
        <f>IF('1. Live'!O84='check-Jul''26'!J84,"",'1. Live'!O84-'check-Jul''26'!J84)</f>
        <v/>
      </c>
      <c r="S66" s="26" t="str">
        <f>IF('1. Live'!P84='check-Jul''26'!K84,"",'1. Live'!P84-'check-Jul''26'!K84)</f>
        <v/>
      </c>
      <c r="T66" s="26" t="str">
        <f>IF('1. Live'!Q84='check-Jul''26'!L84,"",'1. Live'!Q84-'check-Jul''26'!L84)</f>
        <v/>
      </c>
      <c r="U66" s="80" t="str">
        <f>IF('1. Live'!R84='check-Jul''26'!M84,"",'1. Live'!R84-'check-Jul''26'!M84)</f>
        <v/>
      </c>
      <c r="V66" s="26" t="str">
        <f>IF('1. Live'!S84='check-Jul''26'!N84,"",'1. Live'!S84-'check-Jul''26'!N84)</f>
        <v/>
      </c>
      <c r="W66" s="25" t="str">
        <f>IF('1. Live'!T84='check-Jul''26'!O84,"",'1. Live'!T84-'check-Jul''26'!O84)</f>
        <v/>
      </c>
      <c r="X66" s="25" t="str">
        <f>IF('1. Live'!U84='check-Jul''26'!Q84,"",'1. Live'!U84-'check-Jul''26'!Q84)</f>
        <v/>
      </c>
      <c r="Y66" s="25" t="str">
        <f>IF('1. Live'!V84='check-Jul''26'!R84,"",'1. Live'!V84-'check-Jul''26'!R84)</f>
        <v/>
      </c>
      <c r="Z66" s="25" t="str">
        <f>IF('1. Live'!W84='check-Jul''26'!S84,"",'1. Live'!W84-'check-Jul''26'!S84)</f>
        <v/>
      </c>
      <c r="AA66" s="25" t="str">
        <f>IF('1. Live'!X84='check-Jul''26'!T84,"",'1. Live'!X84-'check-Jul''26'!T84)</f>
        <v/>
      </c>
      <c r="AB66" s="25" t="str">
        <f>IF('1. Live'!AF84='check-Jul''26'!AB84,"",'1. Live'!AF84-'check-Jul''26'!AB84)</f>
        <v/>
      </c>
      <c r="AC66" s="25" t="str">
        <f>IF('1. Live'!AG84='check-Jul''26'!AC84,"",'1. Live'!AG84-'check-Jul''26'!AC84)</f>
        <v/>
      </c>
      <c r="AD66" s="25" t="str">
        <f>IF('1. Live'!AH84='check-Jul''26'!AD84,"",'1. Live'!AH84-'check-Jul''26'!AD84)</f>
        <v/>
      </c>
      <c r="AE66" s="25" t="str">
        <f>IF('1. Live'!AI84='check-Jul''26'!AE84,"",'1. Live'!AI84-'check-Jul''26'!AE84)</f>
        <v/>
      </c>
      <c r="AF66" s="25" t="str">
        <f>IF('1. Live'!AJ84='check-Jul''26'!AF84,"",'1. Live'!AJ84-'check-Jul''26'!AF84)</f>
        <v/>
      </c>
      <c r="AG66" s="25" t="str">
        <f>IF('1. Live'!AK84='check-Jul''26'!AG84,"",'1. Live'!AK84-'check-Jul''26'!AG84)</f>
        <v/>
      </c>
      <c r="AH66" s="25" t="str">
        <f>IF('1. Live'!AL84='check-Jul''26'!AH84,"",'1. Live'!AL84-'check-Jul''26'!AH84)</f>
        <v/>
      </c>
      <c r="AI66" s="25" t="str">
        <f>IF('1. Live'!AM84='check-Jul''26'!AI84,"",'1. Live'!AM84-'check-Jul''26'!AI84)</f>
        <v/>
      </c>
      <c r="AJ66" s="25" t="str">
        <f>IF('1. Live'!AN84='check-Jul''26'!AJ84,"",'1. Live'!AN84-'check-Jul''26'!AJ84)</f>
        <v/>
      </c>
      <c r="AK66" s="25" t="str">
        <f>IF('1. Live'!AO84='check-Jul''26'!AK84,"",'1. Live'!AO84-'check-Jul''26'!AK84)</f>
        <v/>
      </c>
      <c r="AL66" s="25" t="str">
        <f>IF('1. Live'!AP84='check-Jul''26'!AL84,"",'1. Live'!AP84-'check-Jul''26'!AL84)</f>
        <v/>
      </c>
      <c r="AM66" s="25" t="str">
        <f>IF('1. Live'!AQ84='check-Jul''26'!AM84,"",'1. Live'!AQ84-'check-Jul''26'!AM84)</f>
        <v/>
      </c>
      <c r="AN66" s="25" t="str">
        <f>IF('1. Live'!AR84='check-Jul''26'!AN84,"",'1. Live'!AR84-'check-Jul''26'!AN84)</f>
        <v/>
      </c>
      <c r="AO66" s="25" t="str">
        <f>IF('1. Live'!AS84='check-Jul''26'!AO84,"",'1. Live'!AS84-'check-Jul''26'!AO84)</f>
        <v/>
      </c>
      <c r="AP66" s="25" t="str">
        <f>IF('1. Live'!AT84='check-Jul''26'!AP84,"",'1. Live'!AT84-'check-Jul''26'!AP84)</f>
        <v/>
      </c>
      <c r="AQ66" s="25" t="str">
        <f>IF('1. Live'!AU84='check-Jul''26'!AQ84,"",'1. Live'!AU84-'check-Jul''26'!AQ84)</f>
        <v/>
      </c>
      <c r="AR66" s="25" t="str">
        <f>IF('1. Live'!AV84='check-Jul''26'!AR84,"",'1. Live'!AV84-'check-Jul''26'!AR84)</f>
        <v/>
      </c>
      <c r="AS66" s="25" t="str">
        <f>IF('1. Live'!AW84='check-Jul''26'!AS84,"",'1. Live'!AW84-'check-Jul''26'!AS84)</f>
        <v/>
      </c>
      <c r="AT66" s="25" t="str">
        <f>IF('1. Live'!AX84='check-Jul''26'!AT84,"",'1. Live'!AX84-'check-Jul''26'!AT84)</f>
        <v/>
      </c>
      <c r="AU66" s="25" t="str">
        <f>IF('1. Live'!AY84='check-Jul''26'!AU84,"",'1. Live'!AY84-'check-Jul''26'!AU84)</f>
        <v/>
      </c>
      <c r="AV66" s="25" t="str">
        <f>IF('1. Live'!AZ84='check-Jul''26'!AV84,"",'1. Live'!AZ84-'check-Jul''26'!AV84)</f>
        <v/>
      </c>
      <c r="AW66" s="25" t="str">
        <f>IF('1. Live'!BA84='check-Jul''26'!AW84,"",'1. Live'!BA84-'check-Jul''26'!AW84)</f>
        <v/>
      </c>
      <c r="AX66" s="25" t="str">
        <f>IF('1. Live'!BB84='check-Jul''26'!AX84,"",'1. Live'!BB84-'check-Jul''26'!AX84)</f>
        <v/>
      </c>
      <c r="AY66" s="25" t="str">
        <f>IF('1. Live'!BC84='check-Jul''26'!AY84,"",'1. Live'!BC84-'check-Jul''26'!AY84)</f>
        <v/>
      </c>
      <c r="AZ66" s="25" t="str">
        <f>IF('1. Live'!BD84='check-Jul''26'!AZ84,"",'1. Live'!BD84-'check-Jul''26'!AZ84)</f>
        <v/>
      </c>
      <c r="BA66" s="25" t="str">
        <f>IF('1. Live'!BE84='check-Jul''26'!BA84,"",'1. Live'!BE84-'check-Jul''26'!BA84)</f>
        <v/>
      </c>
      <c r="BB66" s="25" t="str">
        <f>IF('1. Live'!BF84='check-Jul''26'!BB84,"",'1. Live'!BF84-'check-Jul''26'!BB84)</f>
        <v/>
      </c>
      <c r="BC66" s="25" t="str">
        <f>IF('1. Live'!BG84='check-Jul''26'!BC84,"",'1. Live'!BG84-'check-Jul''26'!BC84)</f>
        <v/>
      </c>
      <c r="BD66" s="25" t="str">
        <f>IF('1. Live'!BH84='check-Jul''26'!BD84,"",'1. Live'!BH84-'check-Jul''26'!BD84)</f>
        <v/>
      </c>
      <c r="BE66" s="25" t="str">
        <f>IF('1. Live'!BI84='check-Jul''26'!BE84,"",'1. Live'!BI84-'check-Jul''26'!BE84)</f>
        <v/>
      </c>
      <c r="BF66" s="25" t="str">
        <f>IF('1. Live'!BJ84='check-Jul''26'!BF84,"",'1. Live'!BJ84-'check-Jul''26'!BF84)</f>
        <v/>
      </c>
      <c r="BG66" s="25" t="str">
        <f>IF('1. Live'!BK84='check-Jul''26'!BG84,"",'1. Live'!BK84-'check-Jul''26'!BG84)</f>
        <v/>
      </c>
      <c r="BH66" s="25" t="str">
        <f>IF('1. Live'!BL84='check-Jul''26'!BH84,"",'1. Live'!BL84-'check-Jul''26'!BH84)</f>
        <v/>
      </c>
      <c r="BI66" s="25" t="str">
        <f>IF('1. Live'!BM84='check-Jul''26'!BI84,"",'1. Live'!BM84-'check-Jul''26'!BI84)</f>
        <v/>
      </c>
      <c r="BJ66" s="25" t="str">
        <f>IF('1. Live'!BN84='check-Jul''26'!BJ84,"",'1. Live'!BN84-'check-Jul''26'!BJ84)</f>
        <v/>
      </c>
      <c r="BK66" s="25" t="str">
        <f>IF('1. Live'!BO84='check-Jul''26'!BK84,"",'1. Live'!BO84-'check-Jul''26'!BK84)</f>
        <v/>
      </c>
      <c r="BL66" s="25" t="str">
        <f>IF('1. Live'!BP84='check-Jul''26'!BL84,"",'1. Live'!BP84-'check-Jul''26'!BL84)</f>
        <v/>
      </c>
      <c r="BM66" s="25" t="str">
        <f>IF('1. Live'!BQ84='check-Jul''26'!BM84,"",'1. Live'!BQ84-'check-Jul''26'!BM84)</f>
        <v/>
      </c>
      <c r="BN66" s="25" t="str">
        <f>IF('1. Live'!BR84='check-Jul''26'!BN84,"",'1. Live'!BR84-'check-Jul''26'!BN84)</f>
        <v/>
      </c>
      <c r="BO66" s="25" t="str">
        <f>IF('1. Live'!BS84='check-Jul''26'!BO84,"",'1. Live'!BS84-'check-Jul''26'!BO84)</f>
        <v/>
      </c>
      <c r="BP66" s="25" t="str">
        <f>IF('1. Live'!BT84='check-Jul''26'!BP84,"",'1. Live'!BT84-'check-Jul''26'!BP84)</f>
        <v/>
      </c>
      <c r="BQ66" s="25" t="str">
        <f>IF('1. Live'!BU84='check-Jul''26'!BQ84,"",'1. Live'!BU84-'check-Jul''26'!BQ84)</f>
        <v/>
      </c>
      <c r="BR66" s="25" t="str">
        <f>IF('1. Live'!BV84='check-Jul''26'!BR84,"",'1. Live'!BV84-'check-Jul''26'!BR84)</f>
        <v/>
      </c>
      <c r="BS66" s="25" t="str">
        <f>IF('1. Live'!BW84='check-Jul''26'!BS84,"",'1. Live'!BW84-'check-Jul''26'!BS84)</f>
        <v/>
      </c>
      <c r="BT66" s="25" t="str">
        <f>IF('1. Live'!BX84='check-Jul''26'!BT84,"",'1. Live'!BX84-'check-Jul''26'!BT84)</f>
        <v/>
      </c>
      <c r="BU66" s="25" t="str">
        <f>IF('1. Live'!BY84='check-Jul''26'!BU84,"",'1. Live'!BY84-'check-Jul''26'!BU84)</f>
        <v/>
      </c>
      <c r="BV66" s="25" t="str">
        <f>IF('1. Live'!BZ84='check-Jul''26'!BV84,"",'1. Live'!BZ84-'check-Jul''26'!BV84)</f>
        <v/>
      </c>
      <c r="BW66" s="25" t="str">
        <f>IF('1. Live'!CA84='check-Jul''26'!BW84,"",'1. Live'!CA84-'check-Jul''26'!BW84)</f>
        <v/>
      </c>
      <c r="BX66" s="25" t="str">
        <f>IF('1. Live'!CB84='check-Jul''26'!BX84,"",'1. Live'!CB84-'check-Jul''26'!BX84)</f>
        <v/>
      </c>
      <c r="BY66" s="25" t="str">
        <f>IF('1. Live'!CC84='check-Jul''26'!BY84,"",'1. Live'!CC84-'check-Jul''26'!BY84)</f>
        <v/>
      </c>
      <c r="BZ66" s="25" t="str">
        <f>IF('1. Live'!CD84='check-Jul''26'!BZ84,"",'1. Live'!CD84-'check-Jul''26'!BZ84)</f>
        <v/>
      </c>
      <c r="CA66" s="25" t="str">
        <f>IF('1. Live'!CE84='check-Jul''26'!CA84,"",'1. Live'!CE84-'check-Jul''26'!CA84)</f>
        <v/>
      </c>
      <c r="CB66" s="25" t="str">
        <f>IF('1. Live'!CF84='check-Jul''26'!CB84,"",'1. Live'!CF84-'check-Jul''26'!CB84)</f>
        <v/>
      </c>
      <c r="CC66" s="25" t="str">
        <f>IF('1. Live'!CG84='check-Jul''26'!CC84,"",'1. Live'!CG84-'check-Jul''26'!CC84)</f>
        <v/>
      </c>
      <c r="CD66" s="25" t="str">
        <f>IF('1. Live'!CH84='check-Jul''26'!CD84,"",'1. Live'!CH84-'check-Jul''26'!CD84)</f>
        <v/>
      </c>
      <c r="CE66" s="25" t="str">
        <f>IF('1. Live'!CI84='check-Jul''26'!CE84,"",'1. Live'!CI84-'check-Jul''26'!CE84)</f>
        <v/>
      </c>
      <c r="CF66" s="25" t="str">
        <f>IF('1. Live'!CJ84='check-Jul''26'!CF84,"",'1. Live'!CJ84-'check-Jul''26'!CF84)</f>
        <v/>
      </c>
      <c r="CG66" s="25" t="str">
        <f>IF('1. Live'!CK84='check-Jul''26'!CG84,"",'1. Live'!CK84-'check-Jul''26'!CG84)</f>
        <v/>
      </c>
      <c r="CH66" s="25" t="str">
        <f>IF('1. Live'!CL84='check-Jul''26'!CH84,"",'1. Live'!CL84-'check-Jul''26'!CH84)</f>
        <v/>
      </c>
      <c r="CI66" s="25" t="str">
        <f>IF('1. Live'!CM84='check-Jul''26'!CI84,"",'1. Live'!CM84-'check-Jul''26'!CI84)</f>
        <v/>
      </c>
      <c r="CJ66" s="25" t="str">
        <f>IF('1. Live'!CN84='check-Jul''26'!CJ84,"",'1. Live'!CN84-'check-Jul''26'!CJ84)</f>
        <v/>
      </c>
      <c r="CK66" s="25" t="str">
        <f>IF('1. Live'!CO84='check-Jul''26'!CK84,"",'1. Live'!CO84-'check-Jul''26'!CK84)</f>
        <v/>
      </c>
      <c r="CL66" s="25" t="str">
        <f>IF('1. Live'!CP84='check-Jul''26'!CL84,"",'1. Live'!CP84-'check-Jul''26'!CL84)</f>
        <v/>
      </c>
      <c r="CM66" s="25" t="str">
        <f>IF('1. Live'!CQ84='check-Jul''26'!CM84,"",'1. Live'!CQ84-'check-Jul''26'!CM84)</f>
        <v/>
      </c>
      <c r="CN66" s="25" t="str">
        <f>IF('1. Live'!CR84='check-Jul''26'!CN84,"",'1. Live'!CR84-'check-Jul''26'!CN84)</f>
        <v/>
      </c>
      <c r="CO66" s="25" t="str">
        <f>IF('1. Live'!CS84='check-Jul''26'!CO84,"",'1. Live'!CS84-'check-Jul''26'!CO84)</f>
        <v/>
      </c>
      <c r="CP66" s="25" t="str">
        <f>IF('1. Live'!CT84='check-Jul''26'!CP84,"",'1. Live'!CT84-'check-Jul''26'!CP84)</f>
        <v/>
      </c>
      <c r="CQ66" s="25" t="str">
        <f>IF('1. Live'!CU84='check-Jul''26'!CQ84,"",'1. Live'!CU84-'check-Jul''26'!CQ84)</f>
        <v/>
      </c>
      <c r="CR66" s="25" t="str">
        <f>IF('1. Live'!CV84='check-Jul''26'!CR84,"",'1. Live'!CV84-'check-Jul''26'!CR84)</f>
        <v/>
      </c>
      <c r="CS66" s="25" t="str">
        <f>IF('1. Live'!CW84='check-Jul''26'!CS84,"",'1. Live'!CW84-'check-Jul''26'!CS84)</f>
        <v/>
      </c>
      <c r="CT66" s="25" t="str">
        <f>IF('1. Live'!CX84='check-Jul''26'!CT84,"",'1. Live'!CX84-'check-Jul''26'!CT84)</f>
        <v/>
      </c>
      <c r="CU66" s="25" t="str">
        <f>IF('1. Live'!CY84='check-Jul''26'!CU84,"",'1. Live'!CY84-'check-Jul''26'!CU84)</f>
        <v/>
      </c>
      <c r="CV66" s="25" t="str">
        <f>IF('1. Live'!CZ84='check-Jul''26'!CV84,"",'1. Live'!CZ84-'check-Jul''26'!CV84)</f>
        <v/>
      </c>
    </row>
    <row r="67" spans="17:100" x14ac:dyDescent="0.25">
      <c r="Q67" s="26" t="str">
        <f>IF('1. Live'!N85='check-Jul''26'!I85,"",'1. Live'!N85-'check-Jul''26'!I85)</f>
        <v/>
      </c>
      <c r="R67" s="26" t="str">
        <f>IF('1. Live'!O85='check-Jul''26'!J85,"",'1. Live'!O85-'check-Jul''26'!J85)</f>
        <v/>
      </c>
      <c r="S67" s="26" t="str">
        <f>IF('1. Live'!P85='check-Jul''26'!K85,"",'1. Live'!P85-'check-Jul''26'!K85)</f>
        <v/>
      </c>
      <c r="T67" s="26" t="str">
        <f>IF('1. Live'!Q85='check-Jul''26'!L85,"",'1. Live'!Q85-'check-Jul''26'!L85)</f>
        <v/>
      </c>
      <c r="U67" s="80" t="str">
        <f>IF('1. Live'!R85='check-Jul''26'!M85,"",'1. Live'!R85-'check-Jul''26'!M85)</f>
        <v/>
      </c>
      <c r="V67" s="26" t="str">
        <f>IF('1. Live'!S85='check-Jul''26'!N85,"",'1. Live'!S85-'check-Jul''26'!N85)</f>
        <v/>
      </c>
      <c r="W67" s="25" t="str">
        <f>IF('1. Live'!T85='check-Jul''26'!O85,"",'1. Live'!T85-'check-Jul''26'!O85)</f>
        <v/>
      </c>
      <c r="X67" s="25" t="str">
        <f>IF('1. Live'!U85='check-Jul''26'!Q85,"",'1. Live'!U85-'check-Jul''26'!Q85)</f>
        <v/>
      </c>
      <c r="Y67" s="25" t="str">
        <f>IF('1. Live'!V85='check-Jul''26'!R85,"",'1. Live'!V85-'check-Jul''26'!R85)</f>
        <v/>
      </c>
      <c r="Z67" s="25" t="str">
        <f>IF('1. Live'!W85='check-Jul''26'!S85,"",'1. Live'!W85-'check-Jul''26'!S85)</f>
        <v/>
      </c>
      <c r="AA67" s="25" t="str">
        <f>IF('1. Live'!X85='check-Jul''26'!T85,"",'1. Live'!X85-'check-Jul''26'!T85)</f>
        <v/>
      </c>
      <c r="AB67" s="25" t="str">
        <f>IF('1. Live'!AF85='check-Jul''26'!AB85,"",'1. Live'!AF85-'check-Jul''26'!AB85)</f>
        <v/>
      </c>
      <c r="AC67" s="25" t="str">
        <f>IF('1. Live'!AG85='check-Jul''26'!AC85,"",'1. Live'!AG85-'check-Jul''26'!AC85)</f>
        <v/>
      </c>
      <c r="AD67" s="25" t="str">
        <f>IF('1. Live'!AH85='check-Jul''26'!AD85,"",'1. Live'!AH85-'check-Jul''26'!AD85)</f>
        <v/>
      </c>
      <c r="AE67" s="25" t="str">
        <f>IF('1. Live'!AI85='check-Jul''26'!AE85,"",'1. Live'!AI85-'check-Jul''26'!AE85)</f>
        <v/>
      </c>
      <c r="AF67" s="25" t="str">
        <f>IF('1. Live'!AJ85='check-Jul''26'!AF85,"",'1. Live'!AJ85-'check-Jul''26'!AF85)</f>
        <v/>
      </c>
      <c r="AG67" s="25" t="str">
        <f>IF('1. Live'!AK85='check-Jul''26'!AG85,"",'1. Live'!AK85-'check-Jul''26'!AG85)</f>
        <v/>
      </c>
      <c r="AH67" s="25" t="str">
        <f>IF('1. Live'!AL85='check-Jul''26'!AH85,"",'1. Live'!AL85-'check-Jul''26'!AH85)</f>
        <v/>
      </c>
      <c r="AI67" s="25" t="str">
        <f>IF('1. Live'!AM85='check-Jul''26'!AI85,"",'1. Live'!AM85-'check-Jul''26'!AI85)</f>
        <v/>
      </c>
      <c r="AJ67" s="25" t="str">
        <f>IF('1. Live'!AN85='check-Jul''26'!AJ85,"",'1. Live'!AN85-'check-Jul''26'!AJ85)</f>
        <v/>
      </c>
      <c r="AK67" s="25" t="str">
        <f>IF('1. Live'!AO85='check-Jul''26'!AK85,"",'1. Live'!AO85-'check-Jul''26'!AK85)</f>
        <v/>
      </c>
      <c r="AL67" s="25" t="str">
        <f>IF('1. Live'!AP85='check-Jul''26'!AL85,"",'1. Live'!AP85-'check-Jul''26'!AL85)</f>
        <v/>
      </c>
      <c r="AM67" s="25" t="str">
        <f>IF('1. Live'!AQ85='check-Jul''26'!AM85,"",'1. Live'!AQ85-'check-Jul''26'!AM85)</f>
        <v/>
      </c>
      <c r="AN67" s="25" t="str">
        <f>IF('1. Live'!AR85='check-Jul''26'!AN85,"",'1. Live'!AR85-'check-Jul''26'!AN85)</f>
        <v/>
      </c>
      <c r="AO67" s="25" t="str">
        <f>IF('1. Live'!AS85='check-Jul''26'!AO85,"",'1. Live'!AS85-'check-Jul''26'!AO85)</f>
        <v/>
      </c>
      <c r="AP67" s="25" t="str">
        <f>IF('1. Live'!AT85='check-Jul''26'!AP85,"",'1. Live'!AT85-'check-Jul''26'!AP85)</f>
        <v/>
      </c>
      <c r="AQ67" s="25" t="str">
        <f>IF('1. Live'!AU85='check-Jul''26'!AQ85,"",'1. Live'!AU85-'check-Jul''26'!AQ85)</f>
        <v/>
      </c>
      <c r="AR67" s="25" t="str">
        <f>IF('1. Live'!AV85='check-Jul''26'!AR85,"",'1. Live'!AV85-'check-Jul''26'!AR85)</f>
        <v/>
      </c>
      <c r="AS67" s="25" t="str">
        <f>IF('1. Live'!AW85='check-Jul''26'!AS85,"",'1. Live'!AW85-'check-Jul''26'!AS85)</f>
        <v/>
      </c>
      <c r="AT67" s="25" t="str">
        <f>IF('1. Live'!AX85='check-Jul''26'!AT85,"",'1. Live'!AX85-'check-Jul''26'!AT85)</f>
        <v/>
      </c>
      <c r="AU67" s="25" t="str">
        <f>IF('1. Live'!AY85='check-Jul''26'!AU85,"",'1. Live'!AY85-'check-Jul''26'!AU85)</f>
        <v/>
      </c>
      <c r="AV67" s="25" t="str">
        <f>IF('1. Live'!AZ85='check-Jul''26'!AV85,"",'1. Live'!AZ85-'check-Jul''26'!AV85)</f>
        <v/>
      </c>
      <c r="AW67" s="25" t="str">
        <f>IF('1. Live'!BA85='check-Jul''26'!AW85,"",'1. Live'!BA85-'check-Jul''26'!AW85)</f>
        <v/>
      </c>
      <c r="AX67" s="25" t="str">
        <f>IF('1. Live'!BB85='check-Jul''26'!AX85,"",'1. Live'!BB85-'check-Jul''26'!AX85)</f>
        <v/>
      </c>
      <c r="AY67" s="25" t="str">
        <f>IF('1. Live'!BC85='check-Jul''26'!AY85,"",'1. Live'!BC85-'check-Jul''26'!AY85)</f>
        <v/>
      </c>
      <c r="AZ67" s="25" t="str">
        <f>IF('1. Live'!BD85='check-Jul''26'!AZ85,"",'1. Live'!BD85-'check-Jul''26'!AZ85)</f>
        <v/>
      </c>
      <c r="BA67" s="25" t="str">
        <f>IF('1. Live'!BE85='check-Jul''26'!BA85,"",'1. Live'!BE85-'check-Jul''26'!BA85)</f>
        <v/>
      </c>
      <c r="BB67" s="25" t="str">
        <f>IF('1. Live'!BF85='check-Jul''26'!BB85,"",'1. Live'!BF85-'check-Jul''26'!BB85)</f>
        <v/>
      </c>
      <c r="BC67" s="25" t="str">
        <f>IF('1. Live'!BG85='check-Jul''26'!BC85,"",'1. Live'!BG85-'check-Jul''26'!BC85)</f>
        <v/>
      </c>
      <c r="BD67" s="25" t="str">
        <f>IF('1. Live'!BH85='check-Jul''26'!BD85,"",'1. Live'!BH85-'check-Jul''26'!BD85)</f>
        <v/>
      </c>
      <c r="BE67" s="25" t="str">
        <f>IF('1. Live'!BI85='check-Jul''26'!BE85,"",'1. Live'!BI85-'check-Jul''26'!BE85)</f>
        <v/>
      </c>
      <c r="BF67" s="25" t="str">
        <f>IF('1. Live'!BJ85='check-Jul''26'!BF85,"",'1. Live'!BJ85-'check-Jul''26'!BF85)</f>
        <v/>
      </c>
      <c r="BG67" s="25" t="str">
        <f>IF('1. Live'!BK85='check-Jul''26'!BG85,"",'1. Live'!BK85-'check-Jul''26'!BG85)</f>
        <v/>
      </c>
      <c r="BH67" s="25" t="str">
        <f>IF('1. Live'!BL85='check-Jul''26'!BH85,"",'1. Live'!BL85-'check-Jul''26'!BH85)</f>
        <v/>
      </c>
      <c r="BI67" s="25" t="str">
        <f>IF('1. Live'!BM85='check-Jul''26'!BI85,"",'1. Live'!BM85-'check-Jul''26'!BI85)</f>
        <v/>
      </c>
      <c r="BJ67" s="25" t="str">
        <f>IF('1. Live'!BN85='check-Jul''26'!BJ85,"",'1. Live'!BN85-'check-Jul''26'!BJ85)</f>
        <v/>
      </c>
      <c r="BK67" s="25" t="str">
        <f>IF('1. Live'!BO85='check-Jul''26'!BK85,"",'1. Live'!BO85-'check-Jul''26'!BK85)</f>
        <v/>
      </c>
      <c r="BL67" s="25" t="str">
        <f>IF('1. Live'!BP85='check-Jul''26'!BL85,"",'1. Live'!BP85-'check-Jul''26'!BL85)</f>
        <v/>
      </c>
      <c r="BM67" s="25" t="str">
        <f>IF('1. Live'!BQ85='check-Jul''26'!BM85,"",'1. Live'!BQ85-'check-Jul''26'!BM85)</f>
        <v/>
      </c>
      <c r="BN67" s="25" t="str">
        <f>IF('1. Live'!BR85='check-Jul''26'!BN85,"",'1. Live'!BR85-'check-Jul''26'!BN85)</f>
        <v/>
      </c>
      <c r="BO67" s="25" t="str">
        <f>IF('1. Live'!BS85='check-Jul''26'!BO85,"",'1. Live'!BS85-'check-Jul''26'!BO85)</f>
        <v/>
      </c>
      <c r="BP67" s="25" t="str">
        <f>IF('1. Live'!BT85='check-Jul''26'!BP85,"",'1. Live'!BT85-'check-Jul''26'!BP85)</f>
        <v/>
      </c>
      <c r="BQ67" s="25" t="str">
        <f>IF('1. Live'!BU85='check-Jul''26'!BQ85,"",'1. Live'!BU85-'check-Jul''26'!BQ85)</f>
        <v/>
      </c>
      <c r="BR67" s="25" t="str">
        <f>IF('1. Live'!BV85='check-Jul''26'!BR85,"",'1. Live'!BV85-'check-Jul''26'!BR85)</f>
        <v/>
      </c>
      <c r="BS67" s="25" t="str">
        <f>IF('1. Live'!BW85='check-Jul''26'!BS85,"",'1. Live'!BW85-'check-Jul''26'!BS85)</f>
        <v/>
      </c>
      <c r="BT67" s="25" t="str">
        <f>IF('1. Live'!BX85='check-Jul''26'!BT85,"",'1. Live'!BX85-'check-Jul''26'!BT85)</f>
        <v/>
      </c>
      <c r="BU67" s="25" t="str">
        <f>IF('1. Live'!BY85='check-Jul''26'!BU85,"",'1. Live'!BY85-'check-Jul''26'!BU85)</f>
        <v/>
      </c>
      <c r="BV67" s="25" t="str">
        <f>IF('1. Live'!BZ85='check-Jul''26'!BV85,"",'1. Live'!BZ85-'check-Jul''26'!BV85)</f>
        <v/>
      </c>
      <c r="BW67" s="25" t="str">
        <f>IF('1. Live'!CA85='check-Jul''26'!BW85,"",'1. Live'!CA85-'check-Jul''26'!BW85)</f>
        <v/>
      </c>
      <c r="BX67" s="25" t="str">
        <f>IF('1. Live'!CB85='check-Jul''26'!BX85,"",'1. Live'!CB85-'check-Jul''26'!BX85)</f>
        <v/>
      </c>
      <c r="BY67" s="25" t="str">
        <f>IF('1. Live'!CC85='check-Jul''26'!BY85,"",'1. Live'!CC85-'check-Jul''26'!BY85)</f>
        <v/>
      </c>
      <c r="BZ67" s="25" t="str">
        <f>IF('1. Live'!CD85='check-Jul''26'!BZ85,"",'1. Live'!CD85-'check-Jul''26'!BZ85)</f>
        <v/>
      </c>
      <c r="CA67" s="25" t="str">
        <f>IF('1. Live'!CE85='check-Jul''26'!CA85,"",'1. Live'!CE85-'check-Jul''26'!CA85)</f>
        <v/>
      </c>
      <c r="CB67" s="25" t="str">
        <f>IF('1. Live'!CF85='check-Jul''26'!CB85,"",'1. Live'!CF85-'check-Jul''26'!CB85)</f>
        <v/>
      </c>
      <c r="CC67" s="25" t="str">
        <f>IF('1. Live'!CG85='check-Jul''26'!CC85,"",'1. Live'!CG85-'check-Jul''26'!CC85)</f>
        <v/>
      </c>
      <c r="CD67" s="25" t="str">
        <f>IF('1. Live'!CH85='check-Jul''26'!CD85,"",'1. Live'!CH85-'check-Jul''26'!CD85)</f>
        <v/>
      </c>
      <c r="CE67" s="25" t="str">
        <f>IF('1. Live'!CI85='check-Jul''26'!CE85,"",'1. Live'!CI85-'check-Jul''26'!CE85)</f>
        <v/>
      </c>
      <c r="CF67" s="25" t="str">
        <f>IF('1. Live'!CJ85='check-Jul''26'!CF85,"",'1. Live'!CJ85-'check-Jul''26'!CF85)</f>
        <v/>
      </c>
      <c r="CG67" s="25" t="str">
        <f>IF('1. Live'!CK85='check-Jul''26'!CG85,"",'1. Live'!CK85-'check-Jul''26'!CG85)</f>
        <v/>
      </c>
      <c r="CH67" s="25" t="str">
        <f>IF('1. Live'!CL85='check-Jul''26'!CH85,"",'1. Live'!CL85-'check-Jul''26'!CH85)</f>
        <v/>
      </c>
      <c r="CI67" s="25" t="str">
        <f>IF('1. Live'!CM85='check-Jul''26'!CI85,"",'1. Live'!CM85-'check-Jul''26'!CI85)</f>
        <v/>
      </c>
      <c r="CJ67" s="25" t="str">
        <f>IF('1. Live'!CN85='check-Jul''26'!CJ85,"",'1. Live'!CN85-'check-Jul''26'!CJ85)</f>
        <v/>
      </c>
      <c r="CK67" s="25" t="str">
        <f>IF('1. Live'!CO85='check-Jul''26'!CK85,"",'1. Live'!CO85-'check-Jul''26'!CK85)</f>
        <v/>
      </c>
      <c r="CL67" s="25" t="str">
        <f>IF('1. Live'!CP85='check-Jul''26'!CL85,"",'1. Live'!CP85-'check-Jul''26'!CL85)</f>
        <v/>
      </c>
      <c r="CM67" s="25" t="str">
        <f>IF('1. Live'!CQ85='check-Jul''26'!CM85,"",'1. Live'!CQ85-'check-Jul''26'!CM85)</f>
        <v/>
      </c>
      <c r="CN67" s="25" t="str">
        <f>IF('1. Live'!CR85='check-Jul''26'!CN85,"",'1. Live'!CR85-'check-Jul''26'!CN85)</f>
        <v/>
      </c>
      <c r="CO67" s="25" t="str">
        <f>IF('1. Live'!CS85='check-Jul''26'!CO85,"",'1. Live'!CS85-'check-Jul''26'!CO85)</f>
        <v/>
      </c>
      <c r="CP67" s="25" t="str">
        <f>IF('1. Live'!CT85='check-Jul''26'!CP85,"",'1. Live'!CT85-'check-Jul''26'!CP85)</f>
        <v/>
      </c>
      <c r="CQ67" s="25" t="str">
        <f>IF('1. Live'!CU85='check-Jul''26'!CQ85,"",'1. Live'!CU85-'check-Jul''26'!CQ85)</f>
        <v/>
      </c>
      <c r="CR67" s="25" t="str">
        <f>IF('1. Live'!CV85='check-Jul''26'!CR85,"",'1. Live'!CV85-'check-Jul''26'!CR85)</f>
        <v/>
      </c>
      <c r="CS67" s="25" t="str">
        <f>IF('1. Live'!CW85='check-Jul''26'!CS85,"",'1. Live'!CW85-'check-Jul''26'!CS85)</f>
        <v/>
      </c>
      <c r="CT67" s="25" t="str">
        <f>IF('1. Live'!CX85='check-Jul''26'!CT85,"",'1. Live'!CX85-'check-Jul''26'!CT85)</f>
        <v/>
      </c>
      <c r="CU67" s="25" t="str">
        <f>IF('1. Live'!CY85='check-Jul''26'!CU85,"",'1. Live'!CY85-'check-Jul''26'!CU85)</f>
        <v/>
      </c>
      <c r="CV67" s="25" t="str">
        <f>IF('1. Live'!CZ85='check-Jul''26'!CV85,"",'1. Live'!CZ85-'check-Jul''26'!CV85)</f>
        <v/>
      </c>
    </row>
    <row r="68" spans="17:100" x14ac:dyDescent="0.25">
      <c r="Q68" s="26" t="str">
        <f>IF('1. Live'!N86='check-Jul''26'!I86,"",'1. Live'!N86-'check-Jul''26'!I86)</f>
        <v/>
      </c>
      <c r="R68" s="26" t="str">
        <f>IF('1. Live'!O86='check-Jul''26'!J86,"",'1. Live'!O86-'check-Jul''26'!J86)</f>
        <v/>
      </c>
      <c r="S68" s="26" t="str">
        <f>IF('1. Live'!P86='check-Jul''26'!K86,"",'1. Live'!P86-'check-Jul''26'!K86)</f>
        <v/>
      </c>
      <c r="T68" s="26" t="str">
        <f>IF('1. Live'!Q86='check-Jul''26'!L86,"",'1. Live'!Q86-'check-Jul''26'!L86)</f>
        <v/>
      </c>
      <c r="U68" s="80" t="str">
        <f>IF('1. Live'!R86='check-Jul''26'!M86,"",'1. Live'!R86-'check-Jul''26'!M86)</f>
        <v/>
      </c>
      <c r="V68" s="26" t="str">
        <f>IF('1. Live'!S86='check-Jul''26'!N86,"",'1. Live'!S86-'check-Jul''26'!N86)</f>
        <v/>
      </c>
      <c r="W68" s="25" t="str">
        <f>IF('1. Live'!T86='check-Jul''26'!O86,"",'1. Live'!T86-'check-Jul''26'!O86)</f>
        <v/>
      </c>
      <c r="X68" s="25" t="str">
        <f>IF('1. Live'!U86='check-Jul''26'!Q86,"",'1. Live'!U86-'check-Jul''26'!Q86)</f>
        <v/>
      </c>
      <c r="Y68" s="25" t="str">
        <f>IF('1. Live'!V86='check-Jul''26'!R86,"",'1. Live'!V86-'check-Jul''26'!R86)</f>
        <v/>
      </c>
      <c r="Z68" s="25" t="str">
        <f>IF('1. Live'!W86='check-Jul''26'!S86,"",'1. Live'!W86-'check-Jul''26'!S86)</f>
        <v/>
      </c>
      <c r="AA68" s="25" t="str">
        <f>IF('1. Live'!X86='check-Jul''26'!T86,"",'1. Live'!X86-'check-Jul''26'!T86)</f>
        <v/>
      </c>
      <c r="AB68" s="25" t="str">
        <f>IF('1. Live'!AF86='check-Jul''26'!AB86,"",'1. Live'!AF86-'check-Jul''26'!AB86)</f>
        <v/>
      </c>
      <c r="AC68" s="25" t="str">
        <f>IF('1. Live'!AG86='check-Jul''26'!AC86,"",'1. Live'!AG86-'check-Jul''26'!AC86)</f>
        <v/>
      </c>
      <c r="AD68" s="25" t="str">
        <f>IF('1. Live'!AH86='check-Jul''26'!AD86,"",'1. Live'!AH86-'check-Jul''26'!AD86)</f>
        <v/>
      </c>
      <c r="AE68" s="25" t="str">
        <f>IF('1. Live'!AI86='check-Jul''26'!AE86,"",'1. Live'!AI86-'check-Jul''26'!AE86)</f>
        <v/>
      </c>
      <c r="AF68" s="25" t="str">
        <f>IF('1. Live'!AJ86='check-Jul''26'!AF86,"",'1. Live'!AJ86-'check-Jul''26'!AF86)</f>
        <v/>
      </c>
      <c r="AG68" s="25" t="str">
        <f>IF('1. Live'!AK86='check-Jul''26'!AG86,"",'1. Live'!AK86-'check-Jul''26'!AG86)</f>
        <v/>
      </c>
      <c r="AH68" s="25" t="str">
        <f>IF('1. Live'!AL86='check-Jul''26'!AH86,"",'1. Live'!AL86-'check-Jul''26'!AH86)</f>
        <v/>
      </c>
      <c r="AI68" s="25" t="str">
        <f>IF('1. Live'!AM86='check-Jul''26'!AI86,"",'1. Live'!AM86-'check-Jul''26'!AI86)</f>
        <v/>
      </c>
      <c r="AJ68" s="25" t="str">
        <f>IF('1. Live'!AN86='check-Jul''26'!AJ86,"",'1. Live'!AN86-'check-Jul''26'!AJ86)</f>
        <v/>
      </c>
      <c r="AK68" s="25" t="str">
        <f>IF('1. Live'!AO86='check-Jul''26'!AK86,"",'1. Live'!AO86-'check-Jul''26'!AK86)</f>
        <v/>
      </c>
      <c r="AL68" s="25" t="str">
        <f>IF('1. Live'!AP86='check-Jul''26'!AL86,"",'1. Live'!AP86-'check-Jul''26'!AL86)</f>
        <v/>
      </c>
      <c r="AM68" s="25" t="str">
        <f>IF('1. Live'!AQ86='check-Jul''26'!AM86,"",'1. Live'!AQ86-'check-Jul''26'!AM86)</f>
        <v/>
      </c>
      <c r="AN68" s="25" t="str">
        <f>IF('1. Live'!AR86='check-Jul''26'!AN86,"",'1. Live'!AR86-'check-Jul''26'!AN86)</f>
        <v/>
      </c>
      <c r="AO68" s="25" t="str">
        <f>IF('1. Live'!AS86='check-Jul''26'!AO86,"",'1. Live'!AS86-'check-Jul''26'!AO86)</f>
        <v/>
      </c>
      <c r="AP68" s="25" t="str">
        <f>IF('1. Live'!AT86='check-Jul''26'!AP86,"",'1. Live'!AT86-'check-Jul''26'!AP86)</f>
        <v/>
      </c>
      <c r="AQ68" s="25" t="str">
        <f>IF('1. Live'!AU86='check-Jul''26'!AQ86,"",'1. Live'!AU86-'check-Jul''26'!AQ86)</f>
        <v/>
      </c>
      <c r="AR68" s="25" t="str">
        <f>IF('1. Live'!AV86='check-Jul''26'!AR86,"",'1. Live'!AV86-'check-Jul''26'!AR86)</f>
        <v/>
      </c>
      <c r="AS68" s="25" t="str">
        <f>IF('1. Live'!AW86='check-Jul''26'!AS86,"",'1. Live'!AW86-'check-Jul''26'!AS86)</f>
        <v/>
      </c>
      <c r="AT68" s="25" t="str">
        <f>IF('1. Live'!AX86='check-Jul''26'!AT86,"",'1. Live'!AX86-'check-Jul''26'!AT86)</f>
        <v/>
      </c>
      <c r="AU68" s="25" t="str">
        <f>IF('1. Live'!AY86='check-Jul''26'!AU86,"",'1. Live'!AY86-'check-Jul''26'!AU86)</f>
        <v/>
      </c>
      <c r="AV68" s="25" t="str">
        <f>IF('1. Live'!AZ86='check-Jul''26'!AV86,"",'1. Live'!AZ86-'check-Jul''26'!AV86)</f>
        <v/>
      </c>
      <c r="AW68" s="25" t="str">
        <f>IF('1. Live'!BA86='check-Jul''26'!AW86,"",'1. Live'!BA86-'check-Jul''26'!AW86)</f>
        <v/>
      </c>
      <c r="AX68" s="25" t="str">
        <f>IF('1. Live'!BB86='check-Jul''26'!AX86,"",'1. Live'!BB86-'check-Jul''26'!AX86)</f>
        <v/>
      </c>
      <c r="AY68" s="25" t="str">
        <f>IF('1. Live'!BC86='check-Jul''26'!AY86,"",'1. Live'!BC86-'check-Jul''26'!AY86)</f>
        <v/>
      </c>
      <c r="AZ68" s="25" t="str">
        <f>IF('1. Live'!BD86='check-Jul''26'!AZ86,"",'1. Live'!BD86-'check-Jul''26'!AZ86)</f>
        <v/>
      </c>
      <c r="BA68" s="25" t="str">
        <f>IF('1. Live'!BE86='check-Jul''26'!BA86,"",'1. Live'!BE86-'check-Jul''26'!BA86)</f>
        <v/>
      </c>
      <c r="BB68" s="25" t="str">
        <f>IF('1. Live'!BF86='check-Jul''26'!BB86,"",'1. Live'!BF86-'check-Jul''26'!BB86)</f>
        <v/>
      </c>
      <c r="BC68" s="25" t="str">
        <f>IF('1. Live'!BG86='check-Jul''26'!BC86,"",'1. Live'!BG86-'check-Jul''26'!BC86)</f>
        <v/>
      </c>
      <c r="BD68" s="25" t="str">
        <f>IF('1. Live'!BH86='check-Jul''26'!BD86,"",'1. Live'!BH86-'check-Jul''26'!BD86)</f>
        <v/>
      </c>
      <c r="BE68" s="25" t="str">
        <f>IF('1. Live'!BI86='check-Jul''26'!BE86,"",'1. Live'!BI86-'check-Jul''26'!BE86)</f>
        <v/>
      </c>
      <c r="BF68" s="25" t="str">
        <f>IF('1. Live'!BJ86='check-Jul''26'!BF86,"",'1. Live'!BJ86-'check-Jul''26'!BF86)</f>
        <v/>
      </c>
      <c r="BG68" s="25" t="str">
        <f>IF('1. Live'!BK86='check-Jul''26'!BG86,"",'1. Live'!BK86-'check-Jul''26'!BG86)</f>
        <v/>
      </c>
      <c r="BH68" s="25" t="str">
        <f>IF('1. Live'!BL86='check-Jul''26'!BH86,"",'1. Live'!BL86-'check-Jul''26'!BH86)</f>
        <v/>
      </c>
      <c r="BI68" s="25" t="str">
        <f>IF('1. Live'!BM86='check-Jul''26'!BI86,"",'1. Live'!BM86-'check-Jul''26'!BI86)</f>
        <v/>
      </c>
      <c r="BJ68" s="25" t="str">
        <f>IF('1. Live'!BN86='check-Jul''26'!BJ86,"",'1. Live'!BN86-'check-Jul''26'!BJ86)</f>
        <v/>
      </c>
      <c r="BK68" s="25" t="str">
        <f>IF('1. Live'!BO86='check-Jul''26'!BK86,"",'1. Live'!BO86-'check-Jul''26'!BK86)</f>
        <v/>
      </c>
      <c r="BL68" s="25" t="str">
        <f>IF('1. Live'!BP86='check-Jul''26'!BL86,"",'1. Live'!BP86-'check-Jul''26'!BL86)</f>
        <v/>
      </c>
      <c r="BM68" s="25" t="str">
        <f>IF('1. Live'!BQ86='check-Jul''26'!BM86,"",'1. Live'!BQ86-'check-Jul''26'!BM86)</f>
        <v/>
      </c>
      <c r="BN68" s="25" t="str">
        <f>IF('1. Live'!BR86='check-Jul''26'!BN86,"",'1. Live'!BR86-'check-Jul''26'!BN86)</f>
        <v/>
      </c>
      <c r="BO68" s="25" t="str">
        <f>IF('1. Live'!BS86='check-Jul''26'!BO86,"",'1. Live'!BS86-'check-Jul''26'!BO86)</f>
        <v/>
      </c>
      <c r="BP68" s="25" t="str">
        <f>IF('1. Live'!BT86='check-Jul''26'!BP86,"",'1. Live'!BT86-'check-Jul''26'!BP86)</f>
        <v/>
      </c>
      <c r="BQ68" s="25" t="str">
        <f>IF('1. Live'!BU86='check-Jul''26'!BQ86,"",'1. Live'!BU86-'check-Jul''26'!BQ86)</f>
        <v/>
      </c>
      <c r="BR68" s="25" t="str">
        <f>IF('1. Live'!BV86='check-Jul''26'!BR86,"",'1. Live'!BV86-'check-Jul''26'!BR86)</f>
        <v/>
      </c>
      <c r="BS68" s="25" t="str">
        <f>IF('1. Live'!BW86='check-Jul''26'!BS86,"",'1. Live'!BW86-'check-Jul''26'!BS86)</f>
        <v/>
      </c>
      <c r="BT68" s="25" t="str">
        <f>IF('1. Live'!BX86='check-Jul''26'!BT86,"",'1. Live'!BX86-'check-Jul''26'!BT86)</f>
        <v/>
      </c>
      <c r="BU68" s="25" t="str">
        <f>IF('1. Live'!BY86='check-Jul''26'!BU86,"",'1. Live'!BY86-'check-Jul''26'!BU86)</f>
        <v/>
      </c>
      <c r="BV68" s="25" t="str">
        <f>IF('1. Live'!BZ86='check-Jul''26'!BV86,"",'1. Live'!BZ86-'check-Jul''26'!BV86)</f>
        <v/>
      </c>
      <c r="BW68" s="25" t="str">
        <f>IF('1. Live'!CA86='check-Jul''26'!BW86,"",'1. Live'!CA86-'check-Jul''26'!BW86)</f>
        <v/>
      </c>
      <c r="BX68" s="25" t="str">
        <f>IF('1. Live'!CB86='check-Jul''26'!BX86,"",'1. Live'!CB86-'check-Jul''26'!BX86)</f>
        <v/>
      </c>
      <c r="BY68" s="25" t="str">
        <f>IF('1. Live'!CC86='check-Jul''26'!BY86,"",'1. Live'!CC86-'check-Jul''26'!BY86)</f>
        <v/>
      </c>
      <c r="BZ68" s="25" t="str">
        <f>IF('1. Live'!CD86='check-Jul''26'!BZ86,"",'1. Live'!CD86-'check-Jul''26'!BZ86)</f>
        <v/>
      </c>
      <c r="CA68" s="25" t="str">
        <f>IF('1. Live'!CE86='check-Jul''26'!CA86,"",'1. Live'!CE86-'check-Jul''26'!CA86)</f>
        <v/>
      </c>
      <c r="CB68" s="25" t="str">
        <f>IF('1. Live'!CF86='check-Jul''26'!CB86,"",'1. Live'!CF86-'check-Jul''26'!CB86)</f>
        <v/>
      </c>
      <c r="CC68" s="25" t="str">
        <f>IF('1. Live'!CG86='check-Jul''26'!CC86,"",'1. Live'!CG86-'check-Jul''26'!CC86)</f>
        <v/>
      </c>
      <c r="CD68" s="25" t="str">
        <f>IF('1. Live'!CH86='check-Jul''26'!CD86,"",'1. Live'!CH86-'check-Jul''26'!CD86)</f>
        <v/>
      </c>
      <c r="CE68" s="25" t="str">
        <f>IF('1. Live'!CI86='check-Jul''26'!CE86,"",'1. Live'!CI86-'check-Jul''26'!CE86)</f>
        <v/>
      </c>
      <c r="CF68" s="25" t="str">
        <f>IF('1. Live'!CJ86='check-Jul''26'!CF86,"",'1. Live'!CJ86-'check-Jul''26'!CF86)</f>
        <v/>
      </c>
      <c r="CG68" s="25" t="str">
        <f>IF('1. Live'!CK86='check-Jul''26'!CG86,"",'1. Live'!CK86-'check-Jul''26'!CG86)</f>
        <v/>
      </c>
      <c r="CH68" s="25" t="str">
        <f>IF('1. Live'!CL86='check-Jul''26'!CH86,"",'1. Live'!CL86-'check-Jul''26'!CH86)</f>
        <v/>
      </c>
      <c r="CI68" s="25" t="str">
        <f>IF('1. Live'!CM86='check-Jul''26'!CI86,"",'1. Live'!CM86-'check-Jul''26'!CI86)</f>
        <v/>
      </c>
      <c r="CJ68" s="25" t="str">
        <f>IF('1. Live'!CN86='check-Jul''26'!CJ86,"",'1. Live'!CN86-'check-Jul''26'!CJ86)</f>
        <v/>
      </c>
      <c r="CK68" s="25" t="str">
        <f>IF('1. Live'!CO86='check-Jul''26'!CK86,"",'1. Live'!CO86-'check-Jul''26'!CK86)</f>
        <v/>
      </c>
      <c r="CL68" s="25" t="str">
        <f>IF('1. Live'!CP86='check-Jul''26'!CL86,"",'1. Live'!CP86-'check-Jul''26'!CL86)</f>
        <v/>
      </c>
      <c r="CM68" s="25" t="str">
        <f>IF('1. Live'!CQ86='check-Jul''26'!CM86,"",'1. Live'!CQ86-'check-Jul''26'!CM86)</f>
        <v/>
      </c>
      <c r="CN68" s="25" t="str">
        <f>IF('1. Live'!CR86='check-Jul''26'!CN86,"",'1. Live'!CR86-'check-Jul''26'!CN86)</f>
        <v/>
      </c>
      <c r="CO68" s="25" t="str">
        <f>IF('1. Live'!CS86='check-Jul''26'!CO86,"",'1. Live'!CS86-'check-Jul''26'!CO86)</f>
        <v/>
      </c>
      <c r="CP68" s="25" t="str">
        <f>IF('1. Live'!CT86='check-Jul''26'!CP86,"",'1. Live'!CT86-'check-Jul''26'!CP86)</f>
        <v/>
      </c>
      <c r="CQ68" s="25" t="str">
        <f>IF('1. Live'!CU86='check-Jul''26'!CQ86,"",'1. Live'!CU86-'check-Jul''26'!CQ86)</f>
        <v/>
      </c>
      <c r="CR68" s="25" t="str">
        <f>IF('1. Live'!CV86='check-Jul''26'!CR86,"",'1. Live'!CV86-'check-Jul''26'!CR86)</f>
        <v/>
      </c>
      <c r="CS68" s="25" t="str">
        <f>IF('1. Live'!CW86='check-Jul''26'!CS86,"",'1. Live'!CW86-'check-Jul''26'!CS86)</f>
        <v/>
      </c>
      <c r="CT68" s="25" t="str">
        <f>IF('1. Live'!CX86='check-Jul''26'!CT86,"",'1. Live'!CX86-'check-Jul''26'!CT86)</f>
        <v/>
      </c>
      <c r="CU68" s="25" t="str">
        <f>IF('1. Live'!CY86='check-Jul''26'!CU86,"",'1. Live'!CY86-'check-Jul''26'!CU86)</f>
        <v/>
      </c>
      <c r="CV68" s="25" t="str">
        <f>IF('1. Live'!CZ86='check-Jul''26'!CV86,"",'1. Live'!CZ86-'check-Jul''26'!CV86)</f>
        <v/>
      </c>
    </row>
    <row r="69" spans="17:100" x14ac:dyDescent="0.25">
      <c r="Q69" s="26" t="str">
        <f>IF('1. Live'!N87='check-Jul''26'!I87,"",'1. Live'!N87-'check-Jul''26'!I87)</f>
        <v/>
      </c>
      <c r="R69" s="26" t="str">
        <f>IF('1. Live'!O87='check-Jul''26'!J87,"",'1. Live'!O87-'check-Jul''26'!J87)</f>
        <v/>
      </c>
      <c r="S69" s="26" t="str">
        <f>IF('1. Live'!P87='check-Jul''26'!K87,"",'1. Live'!P87-'check-Jul''26'!K87)</f>
        <v/>
      </c>
      <c r="T69" s="26" t="str">
        <f>IF('1. Live'!Q87='check-Jul''26'!L87,"",'1. Live'!Q87-'check-Jul''26'!L87)</f>
        <v/>
      </c>
      <c r="U69" s="80" t="str">
        <f>IF('1. Live'!R87='check-Jul''26'!M87,"",'1. Live'!R87-'check-Jul''26'!M87)</f>
        <v/>
      </c>
      <c r="V69" s="26" t="str">
        <f>IF('1. Live'!S87='check-Jul''26'!N87,"",'1. Live'!S87-'check-Jul''26'!N87)</f>
        <v/>
      </c>
      <c r="W69" s="25" t="str">
        <f>IF('1. Live'!T87='check-Jul''26'!O87,"",'1. Live'!T87-'check-Jul''26'!O87)</f>
        <v/>
      </c>
      <c r="X69" s="25" t="str">
        <f>IF('1. Live'!U87='check-Jul''26'!Q87,"",'1. Live'!U87-'check-Jul''26'!Q87)</f>
        <v/>
      </c>
      <c r="Y69" s="25" t="str">
        <f>IF('1. Live'!V87='check-Jul''26'!R87,"",'1. Live'!V87-'check-Jul''26'!R87)</f>
        <v/>
      </c>
      <c r="Z69" s="25" t="str">
        <f>IF('1. Live'!W87='check-Jul''26'!S87,"",'1. Live'!W87-'check-Jul''26'!S87)</f>
        <v/>
      </c>
      <c r="AA69" s="25" t="str">
        <f>IF('1. Live'!X87='check-Jul''26'!T87,"",'1. Live'!X87-'check-Jul''26'!T87)</f>
        <v/>
      </c>
      <c r="AB69" s="25" t="str">
        <f>IF('1. Live'!AF87='check-Jul''26'!AB87,"",'1. Live'!AF87-'check-Jul''26'!AB87)</f>
        <v/>
      </c>
      <c r="AC69" s="25" t="str">
        <f>IF('1. Live'!AG87='check-Jul''26'!AC87,"",'1. Live'!AG87-'check-Jul''26'!AC87)</f>
        <v/>
      </c>
      <c r="AD69" s="25" t="str">
        <f>IF('1. Live'!AH87='check-Jul''26'!AD87,"",'1. Live'!AH87-'check-Jul''26'!AD87)</f>
        <v/>
      </c>
      <c r="AE69" s="25" t="str">
        <f>IF('1. Live'!AI87='check-Jul''26'!AE87,"",'1. Live'!AI87-'check-Jul''26'!AE87)</f>
        <v/>
      </c>
      <c r="AF69" s="25" t="str">
        <f>IF('1. Live'!AJ87='check-Jul''26'!AF87,"",'1. Live'!AJ87-'check-Jul''26'!AF87)</f>
        <v/>
      </c>
      <c r="AG69" s="25" t="str">
        <f>IF('1. Live'!AK87='check-Jul''26'!AG87,"",'1. Live'!AK87-'check-Jul''26'!AG87)</f>
        <v/>
      </c>
      <c r="AH69" s="25" t="str">
        <f>IF('1. Live'!AL87='check-Jul''26'!AH87,"",'1. Live'!AL87-'check-Jul''26'!AH87)</f>
        <v/>
      </c>
      <c r="AI69" s="25" t="str">
        <f>IF('1. Live'!AM87='check-Jul''26'!AI87,"",'1. Live'!AM87-'check-Jul''26'!AI87)</f>
        <v/>
      </c>
      <c r="AJ69" s="25" t="str">
        <f>IF('1. Live'!AN87='check-Jul''26'!AJ87,"",'1. Live'!AN87-'check-Jul''26'!AJ87)</f>
        <v/>
      </c>
      <c r="AK69" s="25" t="str">
        <f>IF('1. Live'!AO87='check-Jul''26'!AK87,"",'1. Live'!AO87-'check-Jul''26'!AK87)</f>
        <v/>
      </c>
      <c r="AL69" s="25" t="str">
        <f>IF('1. Live'!AP87='check-Jul''26'!AL87,"",'1. Live'!AP87-'check-Jul''26'!AL87)</f>
        <v/>
      </c>
      <c r="AM69" s="25" t="str">
        <f>IF('1. Live'!AQ87='check-Jul''26'!AM87,"",'1. Live'!AQ87-'check-Jul''26'!AM87)</f>
        <v/>
      </c>
      <c r="AN69" s="25" t="str">
        <f>IF('1. Live'!AR87='check-Jul''26'!AN87,"",'1. Live'!AR87-'check-Jul''26'!AN87)</f>
        <v/>
      </c>
      <c r="AO69" s="25" t="str">
        <f>IF('1. Live'!AS87='check-Jul''26'!AO87,"",'1. Live'!AS87-'check-Jul''26'!AO87)</f>
        <v/>
      </c>
      <c r="AP69" s="25" t="str">
        <f>IF('1. Live'!AT87='check-Jul''26'!AP87,"",'1. Live'!AT87-'check-Jul''26'!AP87)</f>
        <v/>
      </c>
      <c r="AQ69" s="25" t="str">
        <f>IF('1. Live'!AU87='check-Jul''26'!AQ87,"",'1. Live'!AU87-'check-Jul''26'!AQ87)</f>
        <v/>
      </c>
      <c r="AR69" s="25" t="str">
        <f>IF('1. Live'!AV87='check-Jul''26'!AR87,"",'1. Live'!AV87-'check-Jul''26'!AR87)</f>
        <v/>
      </c>
      <c r="AS69" s="25" t="str">
        <f>IF('1. Live'!AW87='check-Jul''26'!AS87,"",'1. Live'!AW87-'check-Jul''26'!AS87)</f>
        <v/>
      </c>
      <c r="AT69" s="25" t="str">
        <f>IF('1. Live'!AX87='check-Jul''26'!AT87,"",'1. Live'!AX87-'check-Jul''26'!AT87)</f>
        <v/>
      </c>
      <c r="AU69" s="25" t="str">
        <f>IF('1. Live'!AY87='check-Jul''26'!AU87,"",'1. Live'!AY87-'check-Jul''26'!AU87)</f>
        <v/>
      </c>
      <c r="AV69" s="25" t="str">
        <f>IF('1. Live'!AZ87='check-Jul''26'!AV87,"",'1. Live'!AZ87-'check-Jul''26'!AV87)</f>
        <v/>
      </c>
      <c r="AW69" s="25" t="str">
        <f>IF('1. Live'!BA87='check-Jul''26'!AW87,"",'1. Live'!BA87-'check-Jul''26'!AW87)</f>
        <v/>
      </c>
      <c r="AX69" s="25" t="str">
        <f>IF('1. Live'!BB87='check-Jul''26'!AX87,"",'1. Live'!BB87-'check-Jul''26'!AX87)</f>
        <v/>
      </c>
      <c r="AY69" s="25" t="str">
        <f>IF('1. Live'!BC87='check-Jul''26'!AY87,"",'1. Live'!BC87-'check-Jul''26'!AY87)</f>
        <v/>
      </c>
      <c r="AZ69" s="25" t="str">
        <f>IF('1. Live'!BD87='check-Jul''26'!AZ87,"",'1. Live'!BD87-'check-Jul''26'!AZ87)</f>
        <v/>
      </c>
      <c r="BA69" s="25" t="str">
        <f>IF('1. Live'!BE87='check-Jul''26'!BA87,"",'1. Live'!BE87-'check-Jul''26'!BA87)</f>
        <v/>
      </c>
      <c r="BB69" s="25" t="str">
        <f>IF('1. Live'!BF87='check-Jul''26'!BB87,"",'1. Live'!BF87-'check-Jul''26'!BB87)</f>
        <v/>
      </c>
      <c r="BC69" s="25" t="str">
        <f>IF('1. Live'!BG87='check-Jul''26'!BC87,"",'1. Live'!BG87-'check-Jul''26'!BC87)</f>
        <v/>
      </c>
      <c r="BD69" s="25" t="str">
        <f>IF('1. Live'!BH87='check-Jul''26'!BD87,"",'1. Live'!BH87-'check-Jul''26'!BD87)</f>
        <v/>
      </c>
      <c r="BE69" s="25" t="str">
        <f>IF('1. Live'!BI87='check-Jul''26'!BE87,"",'1. Live'!BI87-'check-Jul''26'!BE87)</f>
        <v/>
      </c>
      <c r="BF69" s="25" t="str">
        <f>IF('1. Live'!BJ87='check-Jul''26'!BF87,"",'1. Live'!BJ87-'check-Jul''26'!BF87)</f>
        <v/>
      </c>
      <c r="BG69" s="25" t="str">
        <f>IF('1. Live'!BK87='check-Jul''26'!BG87,"",'1. Live'!BK87-'check-Jul''26'!BG87)</f>
        <v/>
      </c>
      <c r="BH69" s="25" t="str">
        <f>IF('1. Live'!BL87='check-Jul''26'!BH87,"",'1. Live'!BL87-'check-Jul''26'!BH87)</f>
        <v/>
      </c>
      <c r="BI69" s="25" t="str">
        <f>IF('1. Live'!BM87='check-Jul''26'!BI87,"",'1. Live'!BM87-'check-Jul''26'!BI87)</f>
        <v/>
      </c>
      <c r="BJ69" s="25" t="str">
        <f>IF('1. Live'!BN87='check-Jul''26'!BJ87,"",'1. Live'!BN87-'check-Jul''26'!BJ87)</f>
        <v/>
      </c>
      <c r="BK69" s="25" t="str">
        <f>IF('1. Live'!BO87='check-Jul''26'!BK87,"",'1. Live'!BO87-'check-Jul''26'!BK87)</f>
        <v/>
      </c>
      <c r="BL69" s="25" t="str">
        <f>IF('1. Live'!BP87='check-Jul''26'!BL87,"",'1. Live'!BP87-'check-Jul''26'!BL87)</f>
        <v/>
      </c>
      <c r="BM69" s="25" t="str">
        <f>IF('1. Live'!BQ87='check-Jul''26'!BM87,"",'1. Live'!BQ87-'check-Jul''26'!BM87)</f>
        <v/>
      </c>
      <c r="BN69" s="25" t="str">
        <f>IF('1. Live'!BR87='check-Jul''26'!BN87,"",'1. Live'!BR87-'check-Jul''26'!BN87)</f>
        <v/>
      </c>
      <c r="BO69" s="25" t="str">
        <f>IF('1. Live'!BS87='check-Jul''26'!BO87,"",'1. Live'!BS87-'check-Jul''26'!BO87)</f>
        <v/>
      </c>
      <c r="BP69" s="25" t="str">
        <f>IF('1. Live'!BT87='check-Jul''26'!BP87,"",'1. Live'!BT87-'check-Jul''26'!BP87)</f>
        <v/>
      </c>
      <c r="BQ69" s="25" t="str">
        <f>IF('1. Live'!BU87='check-Jul''26'!BQ87,"",'1. Live'!BU87-'check-Jul''26'!BQ87)</f>
        <v/>
      </c>
      <c r="BR69" s="25" t="str">
        <f>IF('1. Live'!BV87='check-Jul''26'!BR87,"",'1. Live'!BV87-'check-Jul''26'!BR87)</f>
        <v/>
      </c>
      <c r="BS69" s="25" t="str">
        <f>IF('1. Live'!BW87='check-Jul''26'!BS87,"",'1. Live'!BW87-'check-Jul''26'!BS87)</f>
        <v/>
      </c>
      <c r="BT69" s="25" t="str">
        <f>IF('1. Live'!BX87='check-Jul''26'!BT87,"",'1. Live'!BX87-'check-Jul''26'!BT87)</f>
        <v/>
      </c>
      <c r="BU69" s="25" t="str">
        <f>IF('1. Live'!BY87='check-Jul''26'!BU87,"",'1. Live'!BY87-'check-Jul''26'!BU87)</f>
        <v/>
      </c>
      <c r="BV69" s="25" t="str">
        <f>IF('1. Live'!BZ87='check-Jul''26'!BV87,"",'1. Live'!BZ87-'check-Jul''26'!BV87)</f>
        <v/>
      </c>
      <c r="BW69" s="25" t="str">
        <f>IF('1. Live'!CA87='check-Jul''26'!BW87,"",'1. Live'!CA87-'check-Jul''26'!BW87)</f>
        <v/>
      </c>
      <c r="BX69" s="25" t="str">
        <f>IF('1. Live'!CB87='check-Jul''26'!BX87,"",'1. Live'!CB87-'check-Jul''26'!BX87)</f>
        <v/>
      </c>
      <c r="BY69" s="25" t="str">
        <f>IF('1. Live'!CC87='check-Jul''26'!BY87,"",'1. Live'!CC87-'check-Jul''26'!BY87)</f>
        <v/>
      </c>
      <c r="BZ69" s="25" t="str">
        <f>IF('1. Live'!CD87='check-Jul''26'!BZ87,"",'1. Live'!CD87-'check-Jul''26'!BZ87)</f>
        <v/>
      </c>
      <c r="CA69" s="25" t="str">
        <f>IF('1. Live'!CE87='check-Jul''26'!CA87,"",'1. Live'!CE87-'check-Jul''26'!CA87)</f>
        <v/>
      </c>
      <c r="CB69" s="25" t="str">
        <f>IF('1. Live'!CF87='check-Jul''26'!CB87,"",'1. Live'!CF87-'check-Jul''26'!CB87)</f>
        <v/>
      </c>
      <c r="CC69" s="25" t="str">
        <f>IF('1. Live'!CG87='check-Jul''26'!CC87,"",'1. Live'!CG87-'check-Jul''26'!CC87)</f>
        <v/>
      </c>
      <c r="CD69" s="25" t="str">
        <f>IF('1. Live'!CH87='check-Jul''26'!CD87,"",'1. Live'!CH87-'check-Jul''26'!CD87)</f>
        <v/>
      </c>
      <c r="CE69" s="25" t="str">
        <f>IF('1. Live'!CI87='check-Jul''26'!CE87,"",'1. Live'!CI87-'check-Jul''26'!CE87)</f>
        <v/>
      </c>
      <c r="CF69" s="25" t="str">
        <f>IF('1. Live'!CJ87='check-Jul''26'!CF87,"",'1. Live'!CJ87-'check-Jul''26'!CF87)</f>
        <v/>
      </c>
      <c r="CG69" s="25" t="str">
        <f>IF('1. Live'!CK87='check-Jul''26'!CG87,"",'1. Live'!CK87-'check-Jul''26'!CG87)</f>
        <v/>
      </c>
      <c r="CH69" s="25" t="str">
        <f>IF('1. Live'!CL87='check-Jul''26'!CH87,"",'1. Live'!CL87-'check-Jul''26'!CH87)</f>
        <v/>
      </c>
      <c r="CI69" s="25" t="str">
        <f>IF('1. Live'!CM87='check-Jul''26'!CI87,"",'1. Live'!CM87-'check-Jul''26'!CI87)</f>
        <v/>
      </c>
      <c r="CJ69" s="25" t="str">
        <f>IF('1. Live'!CN87='check-Jul''26'!CJ87,"",'1. Live'!CN87-'check-Jul''26'!CJ87)</f>
        <v/>
      </c>
      <c r="CK69" s="25" t="str">
        <f>IF('1. Live'!CO87='check-Jul''26'!CK87,"",'1. Live'!CO87-'check-Jul''26'!CK87)</f>
        <v/>
      </c>
      <c r="CL69" s="25" t="str">
        <f>IF('1. Live'!CP87='check-Jul''26'!CL87,"",'1. Live'!CP87-'check-Jul''26'!CL87)</f>
        <v/>
      </c>
      <c r="CM69" s="25" t="str">
        <f>IF('1. Live'!CQ87='check-Jul''26'!CM87,"",'1. Live'!CQ87-'check-Jul''26'!CM87)</f>
        <v/>
      </c>
      <c r="CN69" s="25" t="str">
        <f>IF('1. Live'!CR87='check-Jul''26'!CN87,"",'1. Live'!CR87-'check-Jul''26'!CN87)</f>
        <v/>
      </c>
      <c r="CO69" s="25" t="str">
        <f>IF('1. Live'!CS87='check-Jul''26'!CO87,"",'1. Live'!CS87-'check-Jul''26'!CO87)</f>
        <v/>
      </c>
      <c r="CP69" s="25" t="str">
        <f>IF('1. Live'!CT87='check-Jul''26'!CP87,"",'1. Live'!CT87-'check-Jul''26'!CP87)</f>
        <v/>
      </c>
      <c r="CQ69" s="25" t="str">
        <f>IF('1. Live'!CU87='check-Jul''26'!CQ87,"",'1. Live'!CU87-'check-Jul''26'!CQ87)</f>
        <v/>
      </c>
      <c r="CR69" s="25" t="str">
        <f>IF('1. Live'!CV87='check-Jul''26'!CR87,"",'1. Live'!CV87-'check-Jul''26'!CR87)</f>
        <v/>
      </c>
      <c r="CS69" s="25" t="str">
        <f>IF('1. Live'!CW87='check-Jul''26'!CS87,"",'1. Live'!CW87-'check-Jul''26'!CS87)</f>
        <v/>
      </c>
      <c r="CT69" s="25" t="str">
        <f>IF('1. Live'!CX87='check-Jul''26'!CT87,"",'1. Live'!CX87-'check-Jul''26'!CT87)</f>
        <v/>
      </c>
      <c r="CU69" s="25" t="str">
        <f>IF('1. Live'!CY87='check-Jul''26'!CU87,"",'1. Live'!CY87-'check-Jul''26'!CU87)</f>
        <v/>
      </c>
      <c r="CV69" s="25" t="str">
        <f>IF('1. Live'!CZ87='check-Jul''26'!CV87,"",'1. Live'!CZ87-'check-Jul''26'!CV87)</f>
        <v/>
      </c>
    </row>
    <row r="70" spans="17:100" x14ac:dyDescent="0.25">
      <c r="Q70" s="26" t="str">
        <f>IF('1. Live'!N88='check-Jul''26'!I88,"",'1. Live'!N88-'check-Jul''26'!I88)</f>
        <v/>
      </c>
      <c r="R70" s="26" t="str">
        <f>IF('1. Live'!O88='check-Jul''26'!J88,"",'1. Live'!O88-'check-Jul''26'!J88)</f>
        <v/>
      </c>
      <c r="S70" s="26" t="str">
        <f>IF('1. Live'!P88='check-Jul''26'!K88,"",'1. Live'!P88-'check-Jul''26'!K88)</f>
        <v/>
      </c>
      <c r="T70" s="26" t="str">
        <f>IF('1. Live'!Q88='check-Jul''26'!L88,"",'1. Live'!Q88-'check-Jul''26'!L88)</f>
        <v/>
      </c>
      <c r="U70" s="80" t="str">
        <f>IF('1. Live'!R88='check-Jul''26'!M88,"",'1. Live'!R88-'check-Jul''26'!M88)</f>
        <v/>
      </c>
      <c r="V70" s="26" t="str">
        <f>IF('1. Live'!S88='check-Jul''26'!N88,"",'1. Live'!S88-'check-Jul''26'!N88)</f>
        <v/>
      </c>
      <c r="W70" s="25" t="str">
        <f>IF('1. Live'!T88='check-Jul''26'!O88,"",'1. Live'!T88-'check-Jul''26'!O88)</f>
        <v/>
      </c>
      <c r="X70" s="25" t="str">
        <f>IF('1. Live'!U88='check-Jul''26'!Q88,"",'1. Live'!U88-'check-Jul''26'!Q88)</f>
        <v/>
      </c>
      <c r="Y70" s="25" t="str">
        <f>IF('1. Live'!V88='check-Jul''26'!R88,"",'1. Live'!V88-'check-Jul''26'!R88)</f>
        <v/>
      </c>
      <c r="Z70" s="25" t="str">
        <f>IF('1. Live'!W88='check-Jul''26'!S88,"",'1. Live'!W88-'check-Jul''26'!S88)</f>
        <v/>
      </c>
      <c r="AA70" s="25" t="str">
        <f>IF('1. Live'!X88='check-Jul''26'!T88,"",'1. Live'!X88-'check-Jul''26'!T88)</f>
        <v/>
      </c>
      <c r="AB70" s="25" t="str">
        <f>IF('1. Live'!AF88='check-Jul''26'!AB88,"",'1. Live'!AF88-'check-Jul''26'!AB88)</f>
        <v/>
      </c>
      <c r="AC70" s="25" t="str">
        <f>IF('1. Live'!AG88='check-Jul''26'!AC88,"",'1. Live'!AG88-'check-Jul''26'!AC88)</f>
        <v/>
      </c>
      <c r="AD70" s="25" t="str">
        <f>IF('1. Live'!AH88='check-Jul''26'!AD88,"",'1. Live'!AH88-'check-Jul''26'!AD88)</f>
        <v/>
      </c>
      <c r="AE70" s="25" t="str">
        <f>IF('1. Live'!AI88='check-Jul''26'!AE88,"",'1. Live'!AI88-'check-Jul''26'!AE88)</f>
        <v/>
      </c>
      <c r="AF70" s="25" t="str">
        <f>IF('1. Live'!AJ88='check-Jul''26'!AF88,"",'1. Live'!AJ88-'check-Jul''26'!AF88)</f>
        <v/>
      </c>
      <c r="AG70" s="25" t="str">
        <f>IF('1. Live'!AK88='check-Jul''26'!AG88,"",'1. Live'!AK88-'check-Jul''26'!AG88)</f>
        <v/>
      </c>
      <c r="AH70" s="25" t="str">
        <f>IF('1. Live'!AL88='check-Jul''26'!AH88,"",'1. Live'!AL88-'check-Jul''26'!AH88)</f>
        <v/>
      </c>
      <c r="AI70" s="25" t="str">
        <f>IF('1. Live'!AM88='check-Jul''26'!AI88,"",'1. Live'!AM88-'check-Jul''26'!AI88)</f>
        <v/>
      </c>
      <c r="AJ70" s="25" t="str">
        <f>IF('1. Live'!AN88='check-Jul''26'!AJ88,"",'1. Live'!AN88-'check-Jul''26'!AJ88)</f>
        <v/>
      </c>
      <c r="AK70" s="25" t="str">
        <f>IF('1. Live'!AO88='check-Jul''26'!AK88,"",'1. Live'!AO88-'check-Jul''26'!AK88)</f>
        <v/>
      </c>
      <c r="AL70" s="25" t="str">
        <f>IF('1. Live'!AP88='check-Jul''26'!AL88,"",'1. Live'!AP88-'check-Jul''26'!AL88)</f>
        <v/>
      </c>
      <c r="AM70" s="25" t="str">
        <f>IF('1. Live'!AQ88='check-Jul''26'!AM88,"",'1. Live'!AQ88-'check-Jul''26'!AM88)</f>
        <v/>
      </c>
      <c r="AN70" s="25" t="str">
        <f>IF('1. Live'!AR88='check-Jul''26'!AN88,"",'1. Live'!AR88-'check-Jul''26'!AN88)</f>
        <v/>
      </c>
      <c r="AO70" s="25" t="str">
        <f>IF('1. Live'!AS88='check-Jul''26'!AO88,"",'1. Live'!AS88-'check-Jul''26'!AO88)</f>
        <v/>
      </c>
      <c r="AP70" s="25" t="str">
        <f>IF('1. Live'!AT88='check-Jul''26'!AP88,"",'1. Live'!AT88-'check-Jul''26'!AP88)</f>
        <v/>
      </c>
      <c r="AQ70" s="25" t="str">
        <f>IF('1. Live'!AU88='check-Jul''26'!AQ88,"",'1. Live'!AU88-'check-Jul''26'!AQ88)</f>
        <v/>
      </c>
      <c r="AR70" s="25" t="str">
        <f>IF('1. Live'!AV88='check-Jul''26'!AR88,"",'1. Live'!AV88-'check-Jul''26'!AR88)</f>
        <v/>
      </c>
      <c r="AS70" s="25" t="str">
        <f>IF('1. Live'!AW88='check-Jul''26'!AS88,"",'1. Live'!AW88-'check-Jul''26'!AS88)</f>
        <v/>
      </c>
      <c r="AT70" s="25" t="str">
        <f>IF('1. Live'!AX88='check-Jul''26'!AT88,"",'1. Live'!AX88-'check-Jul''26'!AT88)</f>
        <v/>
      </c>
      <c r="AU70" s="25" t="str">
        <f>IF('1. Live'!AY88='check-Jul''26'!AU88,"",'1. Live'!AY88-'check-Jul''26'!AU88)</f>
        <v/>
      </c>
      <c r="AV70" s="25" t="str">
        <f>IF('1. Live'!AZ88='check-Jul''26'!AV88,"",'1. Live'!AZ88-'check-Jul''26'!AV88)</f>
        <v/>
      </c>
      <c r="AW70" s="25" t="str">
        <f>IF('1. Live'!BA88='check-Jul''26'!AW88,"",'1. Live'!BA88-'check-Jul''26'!AW88)</f>
        <v/>
      </c>
      <c r="AX70" s="25" t="str">
        <f>IF('1. Live'!BB88='check-Jul''26'!AX88,"",'1. Live'!BB88-'check-Jul''26'!AX88)</f>
        <v/>
      </c>
      <c r="AY70" s="25" t="str">
        <f>IF('1. Live'!BC88='check-Jul''26'!AY88,"",'1. Live'!BC88-'check-Jul''26'!AY88)</f>
        <v/>
      </c>
      <c r="AZ70" s="25" t="str">
        <f>IF('1. Live'!BD88='check-Jul''26'!AZ88,"",'1. Live'!BD88-'check-Jul''26'!AZ88)</f>
        <v/>
      </c>
      <c r="BA70" s="25" t="str">
        <f>IF('1. Live'!BE88='check-Jul''26'!BA88,"",'1. Live'!BE88-'check-Jul''26'!BA88)</f>
        <v/>
      </c>
      <c r="BB70" s="25" t="str">
        <f>IF('1. Live'!BF88='check-Jul''26'!BB88,"",'1. Live'!BF88-'check-Jul''26'!BB88)</f>
        <v/>
      </c>
      <c r="BC70" s="25" t="str">
        <f>IF('1. Live'!BG88='check-Jul''26'!BC88,"",'1. Live'!BG88-'check-Jul''26'!BC88)</f>
        <v/>
      </c>
      <c r="BD70" s="25" t="str">
        <f>IF('1. Live'!BH88='check-Jul''26'!BD88,"",'1. Live'!BH88-'check-Jul''26'!BD88)</f>
        <v/>
      </c>
      <c r="BE70" s="25" t="str">
        <f>IF('1. Live'!BI88='check-Jul''26'!BE88,"",'1. Live'!BI88-'check-Jul''26'!BE88)</f>
        <v/>
      </c>
      <c r="BF70" s="25" t="str">
        <f>IF('1. Live'!BJ88='check-Jul''26'!BF88,"",'1. Live'!BJ88-'check-Jul''26'!BF88)</f>
        <v/>
      </c>
      <c r="BG70" s="25" t="str">
        <f>IF('1. Live'!BK88='check-Jul''26'!BG88,"",'1. Live'!BK88-'check-Jul''26'!BG88)</f>
        <v/>
      </c>
      <c r="BH70" s="25" t="str">
        <f>IF('1. Live'!BL88='check-Jul''26'!BH88,"",'1. Live'!BL88-'check-Jul''26'!BH88)</f>
        <v/>
      </c>
      <c r="BI70" s="25" t="str">
        <f>IF('1. Live'!BM88='check-Jul''26'!BI88,"",'1. Live'!BM88-'check-Jul''26'!BI88)</f>
        <v/>
      </c>
      <c r="BJ70" s="25" t="str">
        <f>IF('1. Live'!BN88='check-Jul''26'!BJ88,"",'1. Live'!BN88-'check-Jul''26'!BJ88)</f>
        <v/>
      </c>
      <c r="BK70" s="25" t="str">
        <f>IF('1. Live'!BO88='check-Jul''26'!BK88,"",'1. Live'!BO88-'check-Jul''26'!BK88)</f>
        <v/>
      </c>
      <c r="BL70" s="25" t="str">
        <f>IF('1. Live'!BP88='check-Jul''26'!BL88,"",'1. Live'!BP88-'check-Jul''26'!BL88)</f>
        <v/>
      </c>
      <c r="BM70" s="25" t="str">
        <f>IF('1. Live'!BQ88='check-Jul''26'!BM88,"",'1. Live'!BQ88-'check-Jul''26'!BM88)</f>
        <v/>
      </c>
      <c r="BN70" s="25" t="str">
        <f>IF('1. Live'!BR88='check-Jul''26'!BN88,"",'1. Live'!BR88-'check-Jul''26'!BN88)</f>
        <v/>
      </c>
      <c r="BO70" s="25" t="str">
        <f>IF('1. Live'!BS88='check-Jul''26'!BO88,"",'1. Live'!BS88-'check-Jul''26'!BO88)</f>
        <v/>
      </c>
      <c r="BP70" s="25" t="str">
        <f>IF('1. Live'!BT88='check-Jul''26'!BP88,"",'1. Live'!BT88-'check-Jul''26'!BP88)</f>
        <v/>
      </c>
      <c r="BQ70" s="25" t="str">
        <f>IF('1. Live'!BU88='check-Jul''26'!BQ88,"",'1. Live'!BU88-'check-Jul''26'!BQ88)</f>
        <v/>
      </c>
      <c r="BR70" s="25" t="str">
        <f>IF('1. Live'!BV88='check-Jul''26'!BR88,"",'1. Live'!BV88-'check-Jul''26'!BR88)</f>
        <v/>
      </c>
      <c r="BS70" s="25" t="str">
        <f>IF('1. Live'!BW88='check-Jul''26'!BS88,"",'1. Live'!BW88-'check-Jul''26'!BS88)</f>
        <v/>
      </c>
      <c r="BT70" s="25" t="str">
        <f>IF('1. Live'!BX88='check-Jul''26'!BT88,"",'1. Live'!BX88-'check-Jul''26'!BT88)</f>
        <v/>
      </c>
      <c r="BU70" s="25" t="str">
        <f>IF('1. Live'!BY88='check-Jul''26'!BU88,"",'1. Live'!BY88-'check-Jul''26'!BU88)</f>
        <v/>
      </c>
      <c r="BV70" s="25" t="str">
        <f>IF('1. Live'!BZ88='check-Jul''26'!BV88,"",'1. Live'!BZ88-'check-Jul''26'!BV88)</f>
        <v/>
      </c>
      <c r="BW70" s="25" t="str">
        <f>IF('1. Live'!CA88='check-Jul''26'!BW88,"",'1. Live'!CA88-'check-Jul''26'!BW88)</f>
        <v/>
      </c>
      <c r="BX70" s="25" t="str">
        <f>IF('1. Live'!CB88='check-Jul''26'!BX88,"",'1. Live'!CB88-'check-Jul''26'!BX88)</f>
        <v/>
      </c>
      <c r="BY70" s="25" t="str">
        <f>IF('1. Live'!CC88='check-Jul''26'!BY88,"",'1. Live'!CC88-'check-Jul''26'!BY88)</f>
        <v/>
      </c>
      <c r="BZ70" s="25" t="str">
        <f>IF('1. Live'!CD88='check-Jul''26'!BZ88,"",'1. Live'!CD88-'check-Jul''26'!BZ88)</f>
        <v/>
      </c>
      <c r="CA70" s="25" t="str">
        <f>IF('1. Live'!CE88='check-Jul''26'!CA88,"",'1. Live'!CE88-'check-Jul''26'!CA88)</f>
        <v/>
      </c>
      <c r="CB70" s="25" t="str">
        <f>IF('1. Live'!CF88='check-Jul''26'!CB88,"",'1. Live'!CF88-'check-Jul''26'!CB88)</f>
        <v/>
      </c>
      <c r="CC70" s="25" t="str">
        <f>IF('1. Live'!CG88='check-Jul''26'!CC88,"",'1. Live'!CG88-'check-Jul''26'!CC88)</f>
        <v/>
      </c>
      <c r="CD70" s="25" t="str">
        <f>IF('1. Live'!CH88='check-Jul''26'!CD88,"",'1. Live'!CH88-'check-Jul''26'!CD88)</f>
        <v/>
      </c>
      <c r="CE70" s="25" t="str">
        <f>IF('1. Live'!CI88='check-Jul''26'!CE88,"",'1. Live'!CI88-'check-Jul''26'!CE88)</f>
        <v/>
      </c>
      <c r="CF70" s="25" t="str">
        <f>IF('1. Live'!CJ88='check-Jul''26'!CF88,"",'1. Live'!CJ88-'check-Jul''26'!CF88)</f>
        <v/>
      </c>
      <c r="CG70" s="25" t="str">
        <f>IF('1. Live'!CK88='check-Jul''26'!CG88,"",'1. Live'!CK88-'check-Jul''26'!CG88)</f>
        <v/>
      </c>
      <c r="CH70" s="25" t="str">
        <f>IF('1. Live'!CL88='check-Jul''26'!CH88,"",'1. Live'!CL88-'check-Jul''26'!CH88)</f>
        <v/>
      </c>
      <c r="CI70" s="25" t="str">
        <f>IF('1. Live'!CM88='check-Jul''26'!CI88,"",'1. Live'!CM88-'check-Jul''26'!CI88)</f>
        <v/>
      </c>
      <c r="CJ70" s="25" t="str">
        <f>IF('1. Live'!CN88='check-Jul''26'!CJ88,"",'1. Live'!CN88-'check-Jul''26'!CJ88)</f>
        <v/>
      </c>
      <c r="CK70" s="25" t="str">
        <f>IF('1. Live'!CO88='check-Jul''26'!CK88,"",'1. Live'!CO88-'check-Jul''26'!CK88)</f>
        <v/>
      </c>
      <c r="CL70" s="25" t="str">
        <f>IF('1. Live'!CP88='check-Jul''26'!CL88,"",'1. Live'!CP88-'check-Jul''26'!CL88)</f>
        <v/>
      </c>
      <c r="CM70" s="25" t="str">
        <f>IF('1. Live'!CQ88='check-Jul''26'!CM88,"",'1. Live'!CQ88-'check-Jul''26'!CM88)</f>
        <v/>
      </c>
      <c r="CN70" s="25" t="str">
        <f>IF('1. Live'!CR88='check-Jul''26'!CN88,"",'1. Live'!CR88-'check-Jul''26'!CN88)</f>
        <v/>
      </c>
      <c r="CO70" s="25" t="str">
        <f>IF('1. Live'!CS88='check-Jul''26'!CO88,"",'1. Live'!CS88-'check-Jul''26'!CO88)</f>
        <v/>
      </c>
      <c r="CP70" s="25" t="str">
        <f>IF('1. Live'!CT88='check-Jul''26'!CP88,"",'1. Live'!CT88-'check-Jul''26'!CP88)</f>
        <v/>
      </c>
      <c r="CQ70" s="25" t="str">
        <f>IF('1. Live'!CU88='check-Jul''26'!CQ88,"",'1. Live'!CU88-'check-Jul''26'!CQ88)</f>
        <v/>
      </c>
      <c r="CR70" s="25" t="str">
        <f>IF('1. Live'!CV88='check-Jul''26'!CR88,"",'1. Live'!CV88-'check-Jul''26'!CR88)</f>
        <v/>
      </c>
      <c r="CS70" s="25" t="str">
        <f>IF('1. Live'!CW88='check-Jul''26'!CS88,"",'1. Live'!CW88-'check-Jul''26'!CS88)</f>
        <v/>
      </c>
      <c r="CT70" s="25" t="str">
        <f>IF('1. Live'!CX88='check-Jul''26'!CT88,"",'1. Live'!CX88-'check-Jul''26'!CT88)</f>
        <v/>
      </c>
      <c r="CU70" s="25" t="str">
        <f>IF('1. Live'!CY88='check-Jul''26'!CU88,"",'1. Live'!CY88-'check-Jul''26'!CU88)</f>
        <v/>
      </c>
      <c r="CV70" s="25" t="str">
        <f>IF('1. Live'!CZ88='check-Jul''26'!CV88,"",'1. Live'!CZ88-'check-Jul''26'!CV88)</f>
        <v/>
      </c>
    </row>
    <row r="71" spans="17:100" x14ac:dyDescent="0.25">
      <c r="Q71" s="26" t="str">
        <f>IF('1. Live'!N89='check-Jul''26'!I89,"",'1. Live'!N89-'check-Jul''26'!I89)</f>
        <v/>
      </c>
      <c r="R71" s="26" t="str">
        <f>IF('1. Live'!O89='check-Jul''26'!J89,"",'1. Live'!O89-'check-Jul''26'!J89)</f>
        <v/>
      </c>
      <c r="S71" s="26" t="str">
        <f>IF('1. Live'!P89='check-Jul''26'!K89,"",'1. Live'!P89-'check-Jul''26'!K89)</f>
        <v/>
      </c>
      <c r="T71" s="26" t="str">
        <f>IF('1. Live'!Q89='check-Jul''26'!L89,"",'1. Live'!Q89-'check-Jul''26'!L89)</f>
        <v/>
      </c>
      <c r="U71" s="80" t="str">
        <f>IF('1. Live'!R89='check-Jul''26'!M89,"",'1. Live'!R89-'check-Jul''26'!M89)</f>
        <v/>
      </c>
      <c r="V71" s="26" t="str">
        <f>IF('1. Live'!S89='check-Jul''26'!N89,"",'1. Live'!S89-'check-Jul''26'!N89)</f>
        <v/>
      </c>
      <c r="W71" s="25" t="str">
        <f>IF('1. Live'!T89='check-Jul''26'!O89,"",'1. Live'!T89-'check-Jul''26'!O89)</f>
        <v/>
      </c>
      <c r="X71" s="25" t="str">
        <f>IF('1. Live'!U89='check-Jul''26'!Q89,"",'1. Live'!U89-'check-Jul''26'!Q89)</f>
        <v/>
      </c>
      <c r="Y71" s="25" t="str">
        <f>IF('1. Live'!V89='check-Jul''26'!R89,"",'1. Live'!V89-'check-Jul''26'!R89)</f>
        <v/>
      </c>
      <c r="Z71" s="25" t="str">
        <f>IF('1. Live'!W89='check-Jul''26'!S89,"",'1. Live'!W89-'check-Jul''26'!S89)</f>
        <v/>
      </c>
      <c r="AA71" s="25" t="str">
        <f>IF('1. Live'!X89='check-Jul''26'!T89,"",'1. Live'!X89-'check-Jul''26'!T89)</f>
        <v/>
      </c>
      <c r="AB71" s="25" t="str">
        <f>IF('1. Live'!AF89='check-Jul''26'!AB89,"",'1. Live'!AF89-'check-Jul''26'!AB89)</f>
        <v/>
      </c>
      <c r="AC71" s="25" t="str">
        <f>IF('1. Live'!AG89='check-Jul''26'!AC89,"",'1. Live'!AG89-'check-Jul''26'!AC89)</f>
        <v/>
      </c>
      <c r="AD71" s="25" t="str">
        <f>IF('1. Live'!AH89='check-Jul''26'!AD89,"",'1. Live'!AH89-'check-Jul''26'!AD89)</f>
        <v/>
      </c>
      <c r="AE71" s="25" t="str">
        <f>IF('1. Live'!AI89='check-Jul''26'!AE89,"",'1. Live'!AI89-'check-Jul''26'!AE89)</f>
        <v/>
      </c>
      <c r="AF71" s="25" t="str">
        <f>IF('1. Live'!AJ89='check-Jul''26'!AF89,"",'1. Live'!AJ89-'check-Jul''26'!AF89)</f>
        <v/>
      </c>
      <c r="AG71" s="25" t="str">
        <f>IF('1. Live'!AK89='check-Jul''26'!AG89,"",'1. Live'!AK89-'check-Jul''26'!AG89)</f>
        <v/>
      </c>
      <c r="AH71" s="25" t="str">
        <f>IF('1. Live'!AL89='check-Jul''26'!AH89,"",'1. Live'!AL89-'check-Jul''26'!AH89)</f>
        <v/>
      </c>
      <c r="AI71" s="25" t="str">
        <f>IF('1. Live'!AM89='check-Jul''26'!AI89,"",'1. Live'!AM89-'check-Jul''26'!AI89)</f>
        <v/>
      </c>
      <c r="AJ71" s="25" t="str">
        <f>IF('1. Live'!AN89='check-Jul''26'!AJ89,"",'1. Live'!AN89-'check-Jul''26'!AJ89)</f>
        <v/>
      </c>
      <c r="AK71" s="25" t="str">
        <f>IF('1. Live'!AO89='check-Jul''26'!AK89,"",'1. Live'!AO89-'check-Jul''26'!AK89)</f>
        <v/>
      </c>
      <c r="AL71" s="25" t="str">
        <f>IF('1. Live'!AP89='check-Jul''26'!AL89,"",'1. Live'!AP89-'check-Jul''26'!AL89)</f>
        <v/>
      </c>
      <c r="AM71" s="25" t="str">
        <f>IF('1. Live'!AQ89='check-Jul''26'!AM89,"",'1. Live'!AQ89-'check-Jul''26'!AM89)</f>
        <v/>
      </c>
      <c r="AN71" s="25" t="str">
        <f>IF('1. Live'!AR89='check-Jul''26'!AN89,"",'1. Live'!AR89-'check-Jul''26'!AN89)</f>
        <v/>
      </c>
      <c r="AO71" s="25" t="str">
        <f>IF('1. Live'!AS89='check-Jul''26'!AO89,"",'1. Live'!AS89-'check-Jul''26'!AO89)</f>
        <v/>
      </c>
      <c r="AP71" s="25" t="str">
        <f>IF('1. Live'!AT89='check-Jul''26'!AP89,"",'1. Live'!AT89-'check-Jul''26'!AP89)</f>
        <v/>
      </c>
      <c r="AQ71" s="25" t="str">
        <f>IF('1. Live'!AU89='check-Jul''26'!AQ89,"",'1. Live'!AU89-'check-Jul''26'!AQ89)</f>
        <v/>
      </c>
      <c r="AR71" s="25" t="str">
        <f>IF('1. Live'!AV89='check-Jul''26'!AR89,"",'1. Live'!AV89-'check-Jul''26'!AR89)</f>
        <v/>
      </c>
      <c r="AS71" s="25" t="str">
        <f>IF('1. Live'!AW89='check-Jul''26'!AS89,"",'1. Live'!AW89-'check-Jul''26'!AS89)</f>
        <v/>
      </c>
      <c r="AT71" s="25" t="str">
        <f>IF('1. Live'!AX89='check-Jul''26'!AT89,"",'1. Live'!AX89-'check-Jul''26'!AT89)</f>
        <v/>
      </c>
      <c r="AU71" s="25" t="str">
        <f>IF('1. Live'!AY89='check-Jul''26'!AU89,"",'1. Live'!AY89-'check-Jul''26'!AU89)</f>
        <v/>
      </c>
      <c r="AV71" s="25" t="str">
        <f>IF('1. Live'!AZ89='check-Jul''26'!AV89,"",'1. Live'!AZ89-'check-Jul''26'!AV89)</f>
        <v/>
      </c>
      <c r="AW71" s="25" t="str">
        <f>IF('1. Live'!BA89='check-Jul''26'!AW89,"",'1. Live'!BA89-'check-Jul''26'!AW89)</f>
        <v/>
      </c>
      <c r="AX71" s="25" t="str">
        <f>IF('1. Live'!BB89='check-Jul''26'!AX89,"",'1. Live'!BB89-'check-Jul''26'!AX89)</f>
        <v/>
      </c>
      <c r="AY71" s="25" t="str">
        <f>IF('1. Live'!BC89='check-Jul''26'!AY89,"",'1. Live'!BC89-'check-Jul''26'!AY89)</f>
        <v/>
      </c>
      <c r="AZ71" s="25" t="str">
        <f>IF('1. Live'!BD89='check-Jul''26'!AZ89,"",'1. Live'!BD89-'check-Jul''26'!AZ89)</f>
        <v/>
      </c>
      <c r="BA71" s="25" t="str">
        <f>IF('1. Live'!BE89='check-Jul''26'!BA89,"",'1. Live'!BE89-'check-Jul''26'!BA89)</f>
        <v/>
      </c>
      <c r="BB71" s="25" t="str">
        <f>IF('1. Live'!BF89='check-Jul''26'!BB89,"",'1. Live'!BF89-'check-Jul''26'!BB89)</f>
        <v/>
      </c>
      <c r="BC71" s="25" t="str">
        <f>IF('1. Live'!BG89='check-Jul''26'!BC89,"",'1. Live'!BG89-'check-Jul''26'!BC89)</f>
        <v/>
      </c>
      <c r="BD71" s="25" t="str">
        <f>IF('1. Live'!BH89='check-Jul''26'!BD89,"",'1. Live'!BH89-'check-Jul''26'!BD89)</f>
        <v/>
      </c>
      <c r="BE71" s="25" t="str">
        <f>IF('1. Live'!BI89='check-Jul''26'!BE89,"",'1. Live'!BI89-'check-Jul''26'!BE89)</f>
        <v/>
      </c>
      <c r="BF71" s="25" t="str">
        <f>IF('1. Live'!BJ89='check-Jul''26'!BF89,"",'1. Live'!BJ89-'check-Jul''26'!BF89)</f>
        <v/>
      </c>
      <c r="BG71" s="25" t="str">
        <f>IF('1. Live'!BK89='check-Jul''26'!BG89,"",'1. Live'!BK89-'check-Jul''26'!BG89)</f>
        <v/>
      </c>
      <c r="BH71" s="25" t="str">
        <f>IF('1. Live'!BL89='check-Jul''26'!BH89,"",'1. Live'!BL89-'check-Jul''26'!BH89)</f>
        <v/>
      </c>
      <c r="BI71" s="25" t="str">
        <f>IF('1. Live'!BM89='check-Jul''26'!BI89,"",'1. Live'!BM89-'check-Jul''26'!BI89)</f>
        <v/>
      </c>
      <c r="BJ71" s="25" t="str">
        <f>IF('1. Live'!BN89='check-Jul''26'!BJ89,"",'1. Live'!BN89-'check-Jul''26'!BJ89)</f>
        <v/>
      </c>
      <c r="BK71" s="25" t="str">
        <f>IF('1. Live'!BO89='check-Jul''26'!BK89,"",'1. Live'!BO89-'check-Jul''26'!BK89)</f>
        <v/>
      </c>
      <c r="BL71" s="25" t="str">
        <f>IF('1. Live'!BP89='check-Jul''26'!BL89,"",'1. Live'!BP89-'check-Jul''26'!BL89)</f>
        <v/>
      </c>
      <c r="BM71" s="25" t="str">
        <f>IF('1. Live'!BQ89='check-Jul''26'!BM89,"",'1. Live'!BQ89-'check-Jul''26'!BM89)</f>
        <v/>
      </c>
      <c r="BN71" s="25" t="str">
        <f>IF('1. Live'!BR89='check-Jul''26'!BN89,"",'1. Live'!BR89-'check-Jul''26'!BN89)</f>
        <v/>
      </c>
      <c r="BO71" s="25" t="str">
        <f>IF('1. Live'!BS89='check-Jul''26'!BO89,"",'1. Live'!BS89-'check-Jul''26'!BO89)</f>
        <v/>
      </c>
      <c r="BP71" s="25" t="str">
        <f>IF('1. Live'!BT89='check-Jul''26'!BP89,"",'1. Live'!BT89-'check-Jul''26'!BP89)</f>
        <v/>
      </c>
      <c r="BQ71" s="25" t="str">
        <f>IF('1. Live'!BU89='check-Jul''26'!BQ89,"",'1. Live'!BU89-'check-Jul''26'!BQ89)</f>
        <v/>
      </c>
      <c r="BR71" s="25" t="str">
        <f>IF('1. Live'!BV89='check-Jul''26'!BR89,"",'1. Live'!BV89-'check-Jul''26'!BR89)</f>
        <v/>
      </c>
      <c r="BS71" s="25" t="str">
        <f>IF('1. Live'!BW89='check-Jul''26'!BS89,"",'1. Live'!BW89-'check-Jul''26'!BS89)</f>
        <v/>
      </c>
      <c r="BT71" s="25" t="str">
        <f>IF('1. Live'!BX89='check-Jul''26'!BT89,"",'1. Live'!BX89-'check-Jul''26'!BT89)</f>
        <v/>
      </c>
      <c r="BU71" s="25" t="str">
        <f>IF('1. Live'!BY89='check-Jul''26'!BU89,"",'1. Live'!BY89-'check-Jul''26'!BU89)</f>
        <v/>
      </c>
      <c r="BV71" s="25" t="str">
        <f>IF('1. Live'!BZ89='check-Jul''26'!BV89,"",'1. Live'!BZ89-'check-Jul''26'!BV89)</f>
        <v/>
      </c>
      <c r="BW71" s="25" t="str">
        <f>IF('1. Live'!CA89='check-Jul''26'!BW89,"",'1. Live'!CA89-'check-Jul''26'!BW89)</f>
        <v/>
      </c>
      <c r="BX71" s="25" t="str">
        <f>IF('1. Live'!CB89='check-Jul''26'!BX89,"",'1. Live'!CB89-'check-Jul''26'!BX89)</f>
        <v/>
      </c>
      <c r="BY71" s="25" t="str">
        <f>IF('1. Live'!CC89='check-Jul''26'!BY89,"",'1. Live'!CC89-'check-Jul''26'!BY89)</f>
        <v/>
      </c>
      <c r="BZ71" s="25" t="str">
        <f>IF('1. Live'!CD89='check-Jul''26'!BZ89,"",'1. Live'!CD89-'check-Jul''26'!BZ89)</f>
        <v/>
      </c>
      <c r="CA71" s="25" t="str">
        <f>IF('1. Live'!CE89='check-Jul''26'!CA89,"",'1. Live'!CE89-'check-Jul''26'!CA89)</f>
        <v/>
      </c>
      <c r="CB71" s="25" t="str">
        <f>IF('1. Live'!CF89='check-Jul''26'!CB89,"",'1. Live'!CF89-'check-Jul''26'!CB89)</f>
        <v/>
      </c>
      <c r="CC71" s="25" t="str">
        <f>IF('1. Live'!CG89='check-Jul''26'!CC89,"",'1. Live'!CG89-'check-Jul''26'!CC89)</f>
        <v/>
      </c>
      <c r="CD71" s="25" t="str">
        <f>IF('1. Live'!CH89='check-Jul''26'!CD89,"",'1. Live'!CH89-'check-Jul''26'!CD89)</f>
        <v/>
      </c>
      <c r="CE71" s="25" t="str">
        <f>IF('1. Live'!CI89='check-Jul''26'!CE89,"",'1. Live'!CI89-'check-Jul''26'!CE89)</f>
        <v/>
      </c>
      <c r="CF71" s="25" t="str">
        <f>IF('1. Live'!CJ89='check-Jul''26'!CF89,"",'1. Live'!CJ89-'check-Jul''26'!CF89)</f>
        <v/>
      </c>
      <c r="CG71" s="25" t="str">
        <f>IF('1. Live'!CK89='check-Jul''26'!CG89,"",'1. Live'!CK89-'check-Jul''26'!CG89)</f>
        <v/>
      </c>
      <c r="CH71" s="25" t="str">
        <f>IF('1. Live'!CL89='check-Jul''26'!CH89,"",'1. Live'!CL89-'check-Jul''26'!CH89)</f>
        <v/>
      </c>
      <c r="CI71" s="25" t="str">
        <f>IF('1. Live'!CM89='check-Jul''26'!CI89,"",'1. Live'!CM89-'check-Jul''26'!CI89)</f>
        <v/>
      </c>
      <c r="CJ71" s="25" t="str">
        <f>IF('1. Live'!CN89='check-Jul''26'!CJ89,"",'1. Live'!CN89-'check-Jul''26'!CJ89)</f>
        <v/>
      </c>
      <c r="CK71" s="25" t="str">
        <f>IF('1. Live'!CO89='check-Jul''26'!CK89,"",'1. Live'!CO89-'check-Jul''26'!CK89)</f>
        <v/>
      </c>
      <c r="CL71" s="25" t="str">
        <f>IF('1. Live'!CP89='check-Jul''26'!CL89,"",'1. Live'!CP89-'check-Jul''26'!CL89)</f>
        <v/>
      </c>
      <c r="CM71" s="25" t="str">
        <f>IF('1. Live'!CQ89='check-Jul''26'!CM89,"",'1. Live'!CQ89-'check-Jul''26'!CM89)</f>
        <v/>
      </c>
      <c r="CN71" s="25" t="str">
        <f>IF('1. Live'!CR89='check-Jul''26'!CN89,"",'1. Live'!CR89-'check-Jul''26'!CN89)</f>
        <v/>
      </c>
      <c r="CO71" s="25" t="str">
        <f>IF('1. Live'!CS89='check-Jul''26'!CO89,"",'1. Live'!CS89-'check-Jul''26'!CO89)</f>
        <v/>
      </c>
      <c r="CP71" s="25" t="str">
        <f>IF('1. Live'!CT89='check-Jul''26'!CP89,"",'1. Live'!CT89-'check-Jul''26'!CP89)</f>
        <v/>
      </c>
      <c r="CQ71" s="25" t="str">
        <f>IF('1. Live'!CU89='check-Jul''26'!CQ89,"",'1. Live'!CU89-'check-Jul''26'!CQ89)</f>
        <v/>
      </c>
      <c r="CR71" s="25" t="str">
        <f>IF('1. Live'!CV89='check-Jul''26'!CR89,"",'1. Live'!CV89-'check-Jul''26'!CR89)</f>
        <v/>
      </c>
      <c r="CS71" s="25" t="str">
        <f>IF('1. Live'!CW89='check-Jul''26'!CS89,"",'1. Live'!CW89-'check-Jul''26'!CS89)</f>
        <v/>
      </c>
      <c r="CT71" s="25" t="str">
        <f>IF('1. Live'!CX89='check-Jul''26'!CT89,"",'1. Live'!CX89-'check-Jul''26'!CT89)</f>
        <v/>
      </c>
      <c r="CU71" s="25" t="str">
        <f>IF('1. Live'!CY89='check-Jul''26'!CU89,"",'1. Live'!CY89-'check-Jul''26'!CU89)</f>
        <v/>
      </c>
      <c r="CV71" s="25" t="str">
        <f>IF('1. Live'!CZ89='check-Jul''26'!CV89,"",'1. Live'!CZ89-'check-Jul''26'!CV89)</f>
        <v/>
      </c>
    </row>
    <row r="72" spans="17:100" x14ac:dyDescent="0.25">
      <c r="Q72" s="26" t="str">
        <f>IF('1. Live'!N90='check-Jul''26'!I90,"",'1. Live'!N90-'check-Jul''26'!I90)</f>
        <v/>
      </c>
      <c r="R72" s="26" t="str">
        <f>IF('1. Live'!O90='check-Jul''26'!J90,"",'1. Live'!O90-'check-Jul''26'!J90)</f>
        <v/>
      </c>
      <c r="S72" s="26" t="str">
        <f>IF('1. Live'!P90='check-Jul''26'!K90,"",'1. Live'!P90-'check-Jul''26'!K90)</f>
        <v/>
      </c>
      <c r="T72" s="26" t="str">
        <f>IF('1. Live'!Q90='check-Jul''26'!L90,"",'1. Live'!Q90-'check-Jul''26'!L90)</f>
        <v/>
      </c>
      <c r="U72" s="80" t="str">
        <f>IF('1. Live'!R90='check-Jul''26'!M90,"",'1. Live'!R90-'check-Jul''26'!M90)</f>
        <v/>
      </c>
      <c r="V72" s="26" t="str">
        <f>IF('1. Live'!S90='check-Jul''26'!N90,"",'1. Live'!S90-'check-Jul''26'!N90)</f>
        <v/>
      </c>
      <c r="W72" s="25" t="str">
        <f>IF('1. Live'!T90='check-Jul''26'!O90,"",'1. Live'!T90-'check-Jul''26'!O90)</f>
        <v/>
      </c>
      <c r="X72" s="25" t="str">
        <f>IF('1. Live'!U90='check-Jul''26'!Q90,"",'1. Live'!U90-'check-Jul''26'!Q90)</f>
        <v/>
      </c>
      <c r="Y72" s="25" t="str">
        <f>IF('1. Live'!V90='check-Jul''26'!R90,"",'1. Live'!V90-'check-Jul''26'!R90)</f>
        <v/>
      </c>
      <c r="Z72" s="25" t="str">
        <f>IF('1. Live'!W90='check-Jul''26'!S90,"",'1. Live'!W90-'check-Jul''26'!S90)</f>
        <v/>
      </c>
      <c r="AA72" s="25" t="str">
        <f>IF('1. Live'!X90='check-Jul''26'!T90,"",'1. Live'!X90-'check-Jul''26'!T90)</f>
        <v/>
      </c>
      <c r="AB72" s="25" t="str">
        <f>IF('1. Live'!AF90='check-Jul''26'!AB90,"",'1. Live'!AF90-'check-Jul''26'!AB90)</f>
        <v/>
      </c>
      <c r="AC72" s="25" t="str">
        <f>IF('1. Live'!AG90='check-Jul''26'!AC90,"",'1. Live'!AG90-'check-Jul''26'!AC90)</f>
        <v/>
      </c>
      <c r="AD72" s="25" t="str">
        <f>IF('1. Live'!AH90='check-Jul''26'!AD90,"",'1. Live'!AH90-'check-Jul''26'!AD90)</f>
        <v/>
      </c>
      <c r="AE72" s="25" t="str">
        <f>IF('1. Live'!AI90='check-Jul''26'!AE90,"",'1. Live'!AI90-'check-Jul''26'!AE90)</f>
        <v/>
      </c>
      <c r="AF72" s="25" t="str">
        <f>IF('1. Live'!AJ90='check-Jul''26'!AF90,"",'1. Live'!AJ90-'check-Jul''26'!AF90)</f>
        <v/>
      </c>
      <c r="AG72" s="25" t="str">
        <f>IF('1. Live'!AK90='check-Jul''26'!AG90,"",'1. Live'!AK90-'check-Jul''26'!AG90)</f>
        <v/>
      </c>
      <c r="AH72" s="25" t="str">
        <f>IF('1. Live'!AL90='check-Jul''26'!AH90,"",'1. Live'!AL90-'check-Jul''26'!AH90)</f>
        <v/>
      </c>
      <c r="AI72" s="25" t="str">
        <f>IF('1. Live'!AM90='check-Jul''26'!AI90,"",'1. Live'!AM90-'check-Jul''26'!AI90)</f>
        <v/>
      </c>
      <c r="AJ72" s="25" t="str">
        <f>IF('1. Live'!AN90='check-Jul''26'!AJ90,"",'1. Live'!AN90-'check-Jul''26'!AJ90)</f>
        <v/>
      </c>
      <c r="AK72" s="25" t="str">
        <f>IF('1. Live'!AO90='check-Jul''26'!AK90,"",'1. Live'!AO90-'check-Jul''26'!AK90)</f>
        <v/>
      </c>
      <c r="AL72" s="25" t="str">
        <f>IF('1. Live'!AP90='check-Jul''26'!AL90,"",'1. Live'!AP90-'check-Jul''26'!AL90)</f>
        <v/>
      </c>
      <c r="AM72" s="25" t="str">
        <f>IF('1. Live'!AQ90='check-Jul''26'!AM90,"",'1. Live'!AQ90-'check-Jul''26'!AM90)</f>
        <v/>
      </c>
      <c r="AN72" s="25" t="str">
        <f>IF('1. Live'!AR90='check-Jul''26'!AN90,"",'1. Live'!AR90-'check-Jul''26'!AN90)</f>
        <v/>
      </c>
      <c r="AO72" s="25" t="str">
        <f>IF('1. Live'!AS90='check-Jul''26'!AO90,"",'1. Live'!AS90-'check-Jul''26'!AO90)</f>
        <v/>
      </c>
      <c r="AP72" s="25" t="str">
        <f>IF('1. Live'!AT90='check-Jul''26'!AP90,"",'1. Live'!AT90-'check-Jul''26'!AP90)</f>
        <v/>
      </c>
      <c r="AQ72" s="25" t="str">
        <f>IF('1. Live'!AU90='check-Jul''26'!AQ90,"",'1. Live'!AU90-'check-Jul''26'!AQ90)</f>
        <v/>
      </c>
      <c r="AR72" s="25" t="str">
        <f>IF('1. Live'!AV90='check-Jul''26'!AR90,"",'1. Live'!AV90-'check-Jul''26'!AR90)</f>
        <v/>
      </c>
      <c r="AS72" s="25" t="str">
        <f>IF('1. Live'!AW90='check-Jul''26'!AS90,"",'1. Live'!AW90-'check-Jul''26'!AS90)</f>
        <v/>
      </c>
      <c r="AT72" s="25" t="str">
        <f>IF('1. Live'!AX90='check-Jul''26'!AT90,"",'1. Live'!AX90-'check-Jul''26'!AT90)</f>
        <v/>
      </c>
      <c r="AU72" s="25" t="str">
        <f>IF('1. Live'!AY90='check-Jul''26'!AU90,"",'1. Live'!AY90-'check-Jul''26'!AU90)</f>
        <v/>
      </c>
      <c r="AV72" s="25" t="str">
        <f>IF('1. Live'!AZ90='check-Jul''26'!AV90,"",'1. Live'!AZ90-'check-Jul''26'!AV90)</f>
        <v/>
      </c>
      <c r="AW72" s="25" t="str">
        <f>IF('1. Live'!BA90='check-Jul''26'!AW90,"",'1. Live'!BA90-'check-Jul''26'!AW90)</f>
        <v/>
      </c>
      <c r="AX72" s="25" t="str">
        <f>IF('1. Live'!BB90='check-Jul''26'!AX90,"",'1. Live'!BB90-'check-Jul''26'!AX90)</f>
        <v/>
      </c>
      <c r="AY72" s="25" t="str">
        <f>IF('1. Live'!BC90='check-Jul''26'!AY90,"",'1. Live'!BC90-'check-Jul''26'!AY90)</f>
        <v/>
      </c>
      <c r="AZ72" s="25" t="str">
        <f>IF('1. Live'!BD90='check-Jul''26'!AZ90,"",'1. Live'!BD90-'check-Jul''26'!AZ90)</f>
        <v/>
      </c>
      <c r="BA72" s="25" t="str">
        <f>IF('1. Live'!BE90='check-Jul''26'!BA90,"",'1. Live'!BE90-'check-Jul''26'!BA90)</f>
        <v/>
      </c>
      <c r="BB72" s="25" t="str">
        <f>IF('1. Live'!BF90='check-Jul''26'!BB90,"",'1. Live'!BF90-'check-Jul''26'!BB90)</f>
        <v/>
      </c>
      <c r="BC72" s="25" t="str">
        <f>IF('1. Live'!BG90='check-Jul''26'!BC90,"",'1. Live'!BG90-'check-Jul''26'!BC90)</f>
        <v/>
      </c>
      <c r="BD72" s="25" t="str">
        <f>IF('1. Live'!BH90='check-Jul''26'!BD90,"",'1. Live'!BH90-'check-Jul''26'!BD90)</f>
        <v/>
      </c>
      <c r="BE72" s="25" t="str">
        <f>IF('1. Live'!BI90='check-Jul''26'!BE90,"",'1. Live'!BI90-'check-Jul''26'!BE90)</f>
        <v/>
      </c>
      <c r="BF72" s="25" t="str">
        <f>IF('1. Live'!BJ90='check-Jul''26'!BF90,"",'1. Live'!BJ90-'check-Jul''26'!BF90)</f>
        <v/>
      </c>
      <c r="BG72" s="25" t="str">
        <f>IF('1. Live'!BK90='check-Jul''26'!BG90,"",'1. Live'!BK90-'check-Jul''26'!BG90)</f>
        <v/>
      </c>
      <c r="BH72" s="25" t="str">
        <f>IF('1. Live'!BL90='check-Jul''26'!BH90,"",'1. Live'!BL90-'check-Jul''26'!BH90)</f>
        <v/>
      </c>
      <c r="BI72" s="25" t="str">
        <f>IF('1. Live'!BM90='check-Jul''26'!BI90,"",'1. Live'!BM90-'check-Jul''26'!BI90)</f>
        <v/>
      </c>
      <c r="BJ72" s="25" t="str">
        <f>IF('1. Live'!BN90='check-Jul''26'!BJ90,"",'1. Live'!BN90-'check-Jul''26'!BJ90)</f>
        <v/>
      </c>
      <c r="BK72" s="25" t="str">
        <f>IF('1. Live'!BO90='check-Jul''26'!BK90,"",'1. Live'!BO90-'check-Jul''26'!BK90)</f>
        <v/>
      </c>
      <c r="BL72" s="25" t="str">
        <f>IF('1. Live'!BP90='check-Jul''26'!BL90,"",'1. Live'!BP90-'check-Jul''26'!BL90)</f>
        <v/>
      </c>
      <c r="BM72" s="25" t="str">
        <f>IF('1. Live'!BQ90='check-Jul''26'!BM90,"",'1. Live'!BQ90-'check-Jul''26'!BM90)</f>
        <v/>
      </c>
      <c r="BN72" s="25" t="str">
        <f>IF('1. Live'!BR90='check-Jul''26'!BN90,"",'1. Live'!BR90-'check-Jul''26'!BN90)</f>
        <v/>
      </c>
      <c r="BO72" s="25" t="str">
        <f>IF('1. Live'!BS90='check-Jul''26'!BO90,"",'1. Live'!BS90-'check-Jul''26'!BO90)</f>
        <v/>
      </c>
      <c r="BP72" s="25" t="str">
        <f>IF('1. Live'!BT90='check-Jul''26'!BP90,"",'1. Live'!BT90-'check-Jul''26'!BP90)</f>
        <v/>
      </c>
      <c r="BQ72" s="25" t="str">
        <f>IF('1. Live'!BU90='check-Jul''26'!BQ90,"",'1. Live'!BU90-'check-Jul''26'!BQ90)</f>
        <v/>
      </c>
      <c r="BR72" s="25" t="str">
        <f>IF('1. Live'!BV90='check-Jul''26'!BR90,"",'1. Live'!BV90-'check-Jul''26'!BR90)</f>
        <v/>
      </c>
      <c r="BS72" s="25" t="str">
        <f>IF('1. Live'!BW90='check-Jul''26'!BS90,"",'1. Live'!BW90-'check-Jul''26'!BS90)</f>
        <v/>
      </c>
      <c r="BT72" s="25" t="str">
        <f>IF('1. Live'!BX90='check-Jul''26'!BT90,"",'1. Live'!BX90-'check-Jul''26'!BT90)</f>
        <v/>
      </c>
      <c r="BU72" s="25" t="str">
        <f>IF('1. Live'!BY90='check-Jul''26'!BU90,"",'1. Live'!BY90-'check-Jul''26'!BU90)</f>
        <v/>
      </c>
      <c r="BV72" s="25" t="str">
        <f>IF('1. Live'!BZ90='check-Jul''26'!BV90,"",'1. Live'!BZ90-'check-Jul''26'!BV90)</f>
        <v/>
      </c>
      <c r="BW72" s="25" t="str">
        <f>IF('1. Live'!CA90='check-Jul''26'!BW90,"",'1. Live'!CA90-'check-Jul''26'!BW90)</f>
        <v/>
      </c>
      <c r="BX72" s="25" t="str">
        <f>IF('1. Live'!CB90='check-Jul''26'!BX90,"",'1. Live'!CB90-'check-Jul''26'!BX90)</f>
        <v/>
      </c>
      <c r="BY72" s="25" t="str">
        <f>IF('1. Live'!CC90='check-Jul''26'!BY90,"",'1. Live'!CC90-'check-Jul''26'!BY90)</f>
        <v/>
      </c>
      <c r="BZ72" s="25" t="str">
        <f>IF('1. Live'!CD90='check-Jul''26'!BZ90,"",'1. Live'!CD90-'check-Jul''26'!BZ90)</f>
        <v/>
      </c>
      <c r="CA72" s="25" t="str">
        <f>IF('1. Live'!CE90='check-Jul''26'!CA90,"",'1. Live'!CE90-'check-Jul''26'!CA90)</f>
        <v/>
      </c>
      <c r="CB72" s="25" t="str">
        <f>IF('1. Live'!CF90='check-Jul''26'!CB90,"",'1. Live'!CF90-'check-Jul''26'!CB90)</f>
        <v/>
      </c>
      <c r="CC72" s="25" t="str">
        <f>IF('1. Live'!CG90='check-Jul''26'!CC90,"",'1. Live'!CG90-'check-Jul''26'!CC90)</f>
        <v/>
      </c>
      <c r="CD72" s="25" t="str">
        <f>IF('1. Live'!CH90='check-Jul''26'!CD90,"",'1. Live'!CH90-'check-Jul''26'!CD90)</f>
        <v/>
      </c>
      <c r="CE72" s="25" t="str">
        <f>IF('1. Live'!CI90='check-Jul''26'!CE90,"",'1. Live'!CI90-'check-Jul''26'!CE90)</f>
        <v/>
      </c>
      <c r="CF72" s="25" t="str">
        <f>IF('1. Live'!CJ90='check-Jul''26'!CF90,"",'1. Live'!CJ90-'check-Jul''26'!CF90)</f>
        <v/>
      </c>
      <c r="CG72" s="25" t="str">
        <f>IF('1. Live'!CK90='check-Jul''26'!CG90,"",'1. Live'!CK90-'check-Jul''26'!CG90)</f>
        <v/>
      </c>
      <c r="CH72" s="25" t="str">
        <f>IF('1. Live'!CL90='check-Jul''26'!CH90,"",'1. Live'!CL90-'check-Jul''26'!CH90)</f>
        <v/>
      </c>
      <c r="CI72" s="25" t="str">
        <f>IF('1. Live'!CM90='check-Jul''26'!CI90,"",'1. Live'!CM90-'check-Jul''26'!CI90)</f>
        <v/>
      </c>
      <c r="CJ72" s="25" t="str">
        <f>IF('1. Live'!CN90='check-Jul''26'!CJ90,"",'1. Live'!CN90-'check-Jul''26'!CJ90)</f>
        <v/>
      </c>
      <c r="CK72" s="25" t="str">
        <f>IF('1. Live'!CO90='check-Jul''26'!CK90,"",'1. Live'!CO90-'check-Jul''26'!CK90)</f>
        <v/>
      </c>
      <c r="CL72" s="25" t="str">
        <f>IF('1. Live'!CP90='check-Jul''26'!CL90,"",'1. Live'!CP90-'check-Jul''26'!CL90)</f>
        <v/>
      </c>
      <c r="CM72" s="25" t="str">
        <f>IF('1. Live'!CQ90='check-Jul''26'!CM90,"",'1. Live'!CQ90-'check-Jul''26'!CM90)</f>
        <v/>
      </c>
      <c r="CN72" s="25" t="str">
        <f>IF('1. Live'!CR90='check-Jul''26'!CN90,"",'1. Live'!CR90-'check-Jul''26'!CN90)</f>
        <v/>
      </c>
      <c r="CO72" s="25" t="str">
        <f>IF('1. Live'!CS90='check-Jul''26'!CO90,"",'1. Live'!CS90-'check-Jul''26'!CO90)</f>
        <v/>
      </c>
      <c r="CP72" s="25" t="str">
        <f>IF('1. Live'!CT90='check-Jul''26'!CP90,"",'1. Live'!CT90-'check-Jul''26'!CP90)</f>
        <v/>
      </c>
      <c r="CQ72" s="25" t="str">
        <f>IF('1. Live'!CU90='check-Jul''26'!CQ90,"",'1. Live'!CU90-'check-Jul''26'!CQ90)</f>
        <v/>
      </c>
      <c r="CR72" s="25" t="str">
        <f>IF('1. Live'!CV90='check-Jul''26'!CR90,"",'1. Live'!CV90-'check-Jul''26'!CR90)</f>
        <v/>
      </c>
      <c r="CS72" s="25" t="str">
        <f>IF('1. Live'!CW90='check-Jul''26'!CS90,"",'1. Live'!CW90-'check-Jul''26'!CS90)</f>
        <v/>
      </c>
      <c r="CT72" s="25" t="str">
        <f>IF('1. Live'!CX90='check-Jul''26'!CT90,"",'1. Live'!CX90-'check-Jul''26'!CT90)</f>
        <v/>
      </c>
      <c r="CU72" s="25" t="str">
        <f>IF('1. Live'!CY90='check-Jul''26'!CU90,"",'1. Live'!CY90-'check-Jul''26'!CU90)</f>
        <v/>
      </c>
      <c r="CV72" s="25" t="str">
        <f>IF('1. Live'!CZ90='check-Jul''26'!CV90,"",'1. Live'!CZ90-'check-Jul''26'!CV90)</f>
        <v/>
      </c>
    </row>
    <row r="73" spans="17:100" x14ac:dyDescent="0.25">
      <c r="Q73" s="26" t="str">
        <f>IF('1. Live'!N91='check-Jul''26'!I91,"",'1. Live'!N91-'check-Jul''26'!I91)</f>
        <v/>
      </c>
      <c r="R73" s="26" t="str">
        <f>IF('1. Live'!O91='check-Jul''26'!J91,"",'1. Live'!O91-'check-Jul''26'!J91)</f>
        <v/>
      </c>
      <c r="S73" s="26" t="str">
        <f>IF('1. Live'!P91='check-Jul''26'!K91,"",'1. Live'!P91-'check-Jul''26'!K91)</f>
        <v/>
      </c>
      <c r="T73" s="26" t="str">
        <f>IF('1. Live'!Q91='check-Jul''26'!L91,"",'1. Live'!Q91-'check-Jul''26'!L91)</f>
        <v/>
      </c>
      <c r="U73" s="80" t="str">
        <f>IF('1. Live'!R91='check-Jul''26'!M91,"",'1. Live'!R91-'check-Jul''26'!M91)</f>
        <v/>
      </c>
      <c r="V73" s="26" t="str">
        <f>IF('1. Live'!S91='check-Jul''26'!N91,"",'1. Live'!S91-'check-Jul''26'!N91)</f>
        <v/>
      </c>
      <c r="W73" s="25" t="str">
        <f>IF('1. Live'!T91='check-Jul''26'!O91,"",'1. Live'!T91-'check-Jul''26'!O91)</f>
        <v/>
      </c>
      <c r="X73" s="25" t="str">
        <f>IF('1. Live'!U91='check-Jul''26'!Q91,"",'1. Live'!U91-'check-Jul''26'!Q91)</f>
        <v/>
      </c>
      <c r="Y73" s="25" t="str">
        <f>IF('1. Live'!V91='check-Jul''26'!R91,"",'1. Live'!V91-'check-Jul''26'!R91)</f>
        <v/>
      </c>
      <c r="Z73" s="25" t="str">
        <f>IF('1. Live'!W91='check-Jul''26'!S91,"",'1. Live'!W91-'check-Jul''26'!S91)</f>
        <v/>
      </c>
      <c r="AA73" s="25" t="str">
        <f>IF('1. Live'!X91='check-Jul''26'!T91,"",'1. Live'!X91-'check-Jul''26'!T91)</f>
        <v/>
      </c>
      <c r="AB73" s="25" t="str">
        <f>IF('1. Live'!AF91='check-Jul''26'!AB91,"",'1. Live'!AF91-'check-Jul''26'!AB91)</f>
        <v/>
      </c>
      <c r="AC73" s="25" t="str">
        <f>IF('1. Live'!AG91='check-Jul''26'!AC91,"",'1. Live'!AG91-'check-Jul''26'!AC91)</f>
        <v/>
      </c>
      <c r="AD73" s="25" t="str">
        <f>IF('1. Live'!AH91='check-Jul''26'!AD91,"",'1. Live'!AH91-'check-Jul''26'!AD91)</f>
        <v/>
      </c>
      <c r="AE73" s="25" t="str">
        <f>IF('1. Live'!AI91='check-Jul''26'!AE91,"",'1. Live'!AI91-'check-Jul''26'!AE91)</f>
        <v/>
      </c>
      <c r="AF73" s="25" t="str">
        <f>IF('1. Live'!AJ91='check-Jul''26'!AF91,"",'1. Live'!AJ91-'check-Jul''26'!AF91)</f>
        <v/>
      </c>
      <c r="AG73" s="25" t="str">
        <f>IF('1. Live'!AK91='check-Jul''26'!AG91,"",'1. Live'!AK91-'check-Jul''26'!AG91)</f>
        <v/>
      </c>
      <c r="AH73" s="25" t="str">
        <f>IF('1. Live'!AL91='check-Jul''26'!AH91,"",'1. Live'!AL91-'check-Jul''26'!AH91)</f>
        <v/>
      </c>
      <c r="AI73" s="25" t="str">
        <f>IF('1. Live'!AM91='check-Jul''26'!AI91,"",'1. Live'!AM91-'check-Jul''26'!AI91)</f>
        <v/>
      </c>
      <c r="AJ73" s="25" t="str">
        <f>IF('1. Live'!AN91='check-Jul''26'!AJ91,"",'1. Live'!AN91-'check-Jul''26'!AJ91)</f>
        <v/>
      </c>
      <c r="AK73" s="25" t="str">
        <f>IF('1. Live'!AO91='check-Jul''26'!AK91,"",'1. Live'!AO91-'check-Jul''26'!AK91)</f>
        <v/>
      </c>
      <c r="AL73" s="25" t="str">
        <f>IF('1. Live'!AP91='check-Jul''26'!AL91,"",'1. Live'!AP91-'check-Jul''26'!AL91)</f>
        <v/>
      </c>
      <c r="AM73" s="25" t="str">
        <f>IF('1. Live'!AQ91='check-Jul''26'!AM91,"",'1. Live'!AQ91-'check-Jul''26'!AM91)</f>
        <v/>
      </c>
      <c r="AN73" s="25" t="str">
        <f>IF('1. Live'!AR91='check-Jul''26'!AN91,"",'1. Live'!AR91-'check-Jul''26'!AN91)</f>
        <v/>
      </c>
      <c r="AO73" s="25" t="str">
        <f>IF('1. Live'!AS91='check-Jul''26'!AO91,"",'1. Live'!AS91-'check-Jul''26'!AO91)</f>
        <v/>
      </c>
      <c r="AP73" s="25" t="str">
        <f>IF('1. Live'!AT91='check-Jul''26'!AP91,"",'1. Live'!AT91-'check-Jul''26'!AP91)</f>
        <v/>
      </c>
      <c r="AQ73" s="25" t="str">
        <f>IF('1. Live'!AU91='check-Jul''26'!AQ91,"",'1. Live'!AU91-'check-Jul''26'!AQ91)</f>
        <v/>
      </c>
      <c r="AR73" s="25" t="str">
        <f>IF('1. Live'!AV91='check-Jul''26'!AR91,"",'1. Live'!AV91-'check-Jul''26'!AR91)</f>
        <v/>
      </c>
      <c r="AS73" s="25" t="str">
        <f>IF('1. Live'!AW91='check-Jul''26'!AS91,"",'1. Live'!AW91-'check-Jul''26'!AS91)</f>
        <v/>
      </c>
      <c r="AT73" s="25" t="str">
        <f>IF('1. Live'!AX91='check-Jul''26'!AT91,"",'1. Live'!AX91-'check-Jul''26'!AT91)</f>
        <v/>
      </c>
      <c r="AU73" s="25" t="str">
        <f>IF('1. Live'!AY91='check-Jul''26'!AU91,"",'1. Live'!AY91-'check-Jul''26'!AU91)</f>
        <v/>
      </c>
      <c r="AV73" s="25" t="str">
        <f>IF('1. Live'!AZ91='check-Jul''26'!AV91,"",'1. Live'!AZ91-'check-Jul''26'!AV91)</f>
        <v/>
      </c>
      <c r="AW73" s="25" t="str">
        <f>IF('1. Live'!BA91='check-Jul''26'!AW91,"",'1. Live'!BA91-'check-Jul''26'!AW91)</f>
        <v/>
      </c>
      <c r="AX73" s="25" t="str">
        <f>IF('1. Live'!BB91='check-Jul''26'!AX91,"",'1. Live'!BB91-'check-Jul''26'!AX91)</f>
        <v/>
      </c>
      <c r="AY73" s="25" t="str">
        <f>IF('1. Live'!BC91='check-Jul''26'!AY91,"",'1. Live'!BC91-'check-Jul''26'!AY91)</f>
        <v/>
      </c>
      <c r="AZ73" s="25" t="str">
        <f>IF('1. Live'!BD91='check-Jul''26'!AZ91,"",'1. Live'!BD91-'check-Jul''26'!AZ91)</f>
        <v/>
      </c>
      <c r="BA73" s="25" t="str">
        <f>IF('1. Live'!BE91='check-Jul''26'!BA91,"",'1. Live'!BE91-'check-Jul''26'!BA91)</f>
        <v/>
      </c>
      <c r="BB73" s="25" t="str">
        <f>IF('1. Live'!BF91='check-Jul''26'!BB91,"",'1. Live'!BF91-'check-Jul''26'!BB91)</f>
        <v/>
      </c>
      <c r="BC73" s="25" t="str">
        <f>IF('1. Live'!BG91='check-Jul''26'!BC91,"",'1. Live'!BG91-'check-Jul''26'!BC91)</f>
        <v/>
      </c>
      <c r="BD73" s="25" t="str">
        <f>IF('1. Live'!BH91='check-Jul''26'!BD91,"",'1. Live'!BH91-'check-Jul''26'!BD91)</f>
        <v/>
      </c>
      <c r="BE73" s="25" t="str">
        <f>IF('1. Live'!BI91='check-Jul''26'!BE91,"",'1. Live'!BI91-'check-Jul''26'!BE91)</f>
        <v/>
      </c>
      <c r="BF73" s="25" t="str">
        <f>IF('1. Live'!BJ91='check-Jul''26'!BF91,"",'1. Live'!BJ91-'check-Jul''26'!BF91)</f>
        <v/>
      </c>
      <c r="BG73" s="25" t="str">
        <f>IF('1. Live'!BK91='check-Jul''26'!BG91,"",'1. Live'!BK91-'check-Jul''26'!BG91)</f>
        <v/>
      </c>
      <c r="BH73" s="25" t="str">
        <f>IF('1. Live'!BL91='check-Jul''26'!BH91,"",'1. Live'!BL91-'check-Jul''26'!BH91)</f>
        <v/>
      </c>
      <c r="BI73" s="25" t="str">
        <f>IF('1. Live'!BM91='check-Jul''26'!BI91,"",'1. Live'!BM91-'check-Jul''26'!BI91)</f>
        <v/>
      </c>
      <c r="BJ73" s="25" t="str">
        <f>IF('1. Live'!BN91='check-Jul''26'!BJ91,"",'1. Live'!BN91-'check-Jul''26'!BJ91)</f>
        <v/>
      </c>
      <c r="BK73" s="25" t="str">
        <f>IF('1. Live'!BO91='check-Jul''26'!BK91,"",'1. Live'!BO91-'check-Jul''26'!BK91)</f>
        <v/>
      </c>
      <c r="BL73" s="25" t="str">
        <f>IF('1. Live'!BP91='check-Jul''26'!BL91,"",'1. Live'!BP91-'check-Jul''26'!BL91)</f>
        <v/>
      </c>
      <c r="BM73" s="25" t="str">
        <f>IF('1. Live'!BQ91='check-Jul''26'!BM91,"",'1. Live'!BQ91-'check-Jul''26'!BM91)</f>
        <v/>
      </c>
      <c r="BN73" s="25" t="str">
        <f>IF('1. Live'!BR91='check-Jul''26'!BN91,"",'1. Live'!BR91-'check-Jul''26'!BN91)</f>
        <v/>
      </c>
      <c r="BO73" s="25" t="str">
        <f>IF('1. Live'!BS91='check-Jul''26'!BO91,"",'1. Live'!BS91-'check-Jul''26'!BO91)</f>
        <v/>
      </c>
      <c r="BP73" s="25" t="str">
        <f>IF('1. Live'!BT91='check-Jul''26'!BP91,"",'1. Live'!BT91-'check-Jul''26'!BP91)</f>
        <v/>
      </c>
      <c r="BQ73" s="25" t="str">
        <f>IF('1. Live'!BU91='check-Jul''26'!BQ91,"",'1. Live'!BU91-'check-Jul''26'!BQ91)</f>
        <v/>
      </c>
      <c r="BR73" s="25" t="str">
        <f>IF('1. Live'!BV91='check-Jul''26'!BR91,"",'1. Live'!BV91-'check-Jul''26'!BR91)</f>
        <v/>
      </c>
      <c r="BS73" s="25" t="str">
        <f>IF('1. Live'!BW91='check-Jul''26'!BS91,"",'1. Live'!BW91-'check-Jul''26'!BS91)</f>
        <v/>
      </c>
      <c r="BT73" s="25" t="str">
        <f>IF('1. Live'!BX91='check-Jul''26'!BT91,"",'1. Live'!BX91-'check-Jul''26'!BT91)</f>
        <v/>
      </c>
      <c r="BU73" s="25" t="str">
        <f>IF('1. Live'!BY91='check-Jul''26'!BU91,"",'1. Live'!BY91-'check-Jul''26'!BU91)</f>
        <v/>
      </c>
      <c r="BV73" s="25" t="str">
        <f>IF('1. Live'!BZ91='check-Jul''26'!BV91,"",'1. Live'!BZ91-'check-Jul''26'!BV91)</f>
        <v/>
      </c>
      <c r="BW73" s="25" t="str">
        <f>IF('1. Live'!CA91='check-Jul''26'!BW91,"",'1. Live'!CA91-'check-Jul''26'!BW91)</f>
        <v/>
      </c>
      <c r="BX73" s="25" t="str">
        <f>IF('1. Live'!CB91='check-Jul''26'!BX91,"",'1. Live'!CB91-'check-Jul''26'!BX91)</f>
        <v/>
      </c>
      <c r="BY73" s="25" t="str">
        <f>IF('1. Live'!CC91='check-Jul''26'!BY91,"",'1. Live'!CC91-'check-Jul''26'!BY91)</f>
        <v/>
      </c>
      <c r="BZ73" s="25" t="str">
        <f>IF('1. Live'!CD91='check-Jul''26'!BZ91,"",'1. Live'!CD91-'check-Jul''26'!BZ91)</f>
        <v/>
      </c>
      <c r="CA73" s="25" t="str">
        <f>IF('1. Live'!CE91='check-Jul''26'!CA91,"",'1. Live'!CE91-'check-Jul''26'!CA91)</f>
        <v/>
      </c>
      <c r="CB73" s="25" t="str">
        <f>IF('1. Live'!CF91='check-Jul''26'!CB91,"",'1. Live'!CF91-'check-Jul''26'!CB91)</f>
        <v/>
      </c>
      <c r="CC73" s="25" t="str">
        <f>IF('1. Live'!CG91='check-Jul''26'!CC91,"",'1. Live'!CG91-'check-Jul''26'!CC91)</f>
        <v/>
      </c>
      <c r="CD73" s="25" t="str">
        <f>IF('1. Live'!CH91='check-Jul''26'!CD91,"",'1. Live'!CH91-'check-Jul''26'!CD91)</f>
        <v/>
      </c>
      <c r="CE73" s="25" t="str">
        <f>IF('1. Live'!CI91='check-Jul''26'!CE91,"",'1. Live'!CI91-'check-Jul''26'!CE91)</f>
        <v/>
      </c>
      <c r="CF73" s="25" t="str">
        <f>IF('1. Live'!CJ91='check-Jul''26'!CF91,"",'1. Live'!CJ91-'check-Jul''26'!CF91)</f>
        <v/>
      </c>
      <c r="CG73" s="25" t="str">
        <f>IF('1. Live'!CK91='check-Jul''26'!CG91,"",'1. Live'!CK91-'check-Jul''26'!CG91)</f>
        <v/>
      </c>
      <c r="CH73" s="25" t="str">
        <f>IF('1. Live'!CL91='check-Jul''26'!CH91,"",'1. Live'!CL91-'check-Jul''26'!CH91)</f>
        <v/>
      </c>
      <c r="CI73" s="25" t="str">
        <f>IF('1. Live'!CM91='check-Jul''26'!CI91,"",'1. Live'!CM91-'check-Jul''26'!CI91)</f>
        <v/>
      </c>
      <c r="CJ73" s="25" t="str">
        <f>IF('1. Live'!CN91='check-Jul''26'!CJ91,"",'1. Live'!CN91-'check-Jul''26'!CJ91)</f>
        <v/>
      </c>
      <c r="CK73" s="25" t="str">
        <f>IF('1. Live'!CO91='check-Jul''26'!CK91,"",'1. Live'!CO91-'check-Jul''26'!CK91)</f>
        <v/>
      </c>
      <c r="CL73" s="25" t="str">
        <f>IF('1. Live'!CP91='check-Jul''26'!CL91,"",'1. Live'!CP91-'check-Jul''26'!CL91)</f>
        <v/>
      </c>
      <c r="CM73" s="25" t="str">
        <f>IF('1. Live'!CQ91='check-Jul''26'!CM91,"",'1. Live'!CQ91-'check-Jul''26'!CM91)</f>
        <v/>
      </c>
      <c r="CN73" s="25" t="str">
        <f>IF('1. Live'!CR91='check-Jul''26'!CN91,"",'1. Live'!CR91-'check-Jul''26'!CN91)</f>
        <v/>
      </c>
      <c r="CO73" s="25" t="str">
        <f>IF('1. Live'!CS91='check-Jul''26'!CO91,"",'1. Live'!CS91-'check-Jul''26'!CO91)</f>
        <v/>
      </c>
      <c r="CP73" s="25" t="str">
        <f>IF('1. Live'!CT91='check-Jul''26'!CP91,"",'1. Live'!CT91-'check-Jul''26'!CP91)</f>
        <v/>
      </c>
      <c r="CQ73" s="25" t="str">
        <f>IF('1. Live'!CU91='check-Jul''26'!CQ91,"",'1. Live'!CU91-'check-Jul''26'!CQ91)</f>
        <v/>
      </c>
      <c r="CR73" s="25" t="str">
        <f>IF('1. Live'!CV91='check-Jul''26'!CR91,"",'1. Live'!CV91-'check-Jul''26'!CR91)</f>
        <v/>
      </c>
      <c r="CS73" s="25" t="str">
        <f>IF('1. Live'!CW91='check-Jul''26'!CS91,"",'1. Live'!CW91-'check-Jul''26'!CS91)</f>
        <v/>
      </c>
      <c r="CT73" s="25" t="str">
        <f>IF('1. Live'!CX91='check-Jul''26'!CT91,"",'1. Live'!CX91-'check-Jul''26'!CT91)</f>
        <v/>
      </c>
      <c r="CU73" s="25" t="str">
        <f>IF('1. Live'!CY91='check-Jul''26'!CU91,"",'1. Live'!CY91-'check-Jul''26'!CU91)</f>
        <v/>
      </c>
      <c r="CV73" s="25" t="str">
        <f>IF('1. Live'!CZ91='check-Jul''26'!CV91,"",'1. Live'!CZ91-'check-Jul''26'!CV91)</f>
        <v/>
      </c>
    </row>
    <row r="74" spans="17:100" x14ac:dyDescent="0.25">
      <c r="Q74" s="26" t="str">
        <f>IF('1. Live'!N92='check-Jul''26'!I92,"",'1. Live'!N92-'check-Jul''26'!I92)</f>
        <v/>
      </c>
      <c r="R74" s="26" t="str">
        <f>IF('1. Live'!O92='check-Jul''26'!J92,"",'1. Live'!O92-'check-Jul''26'!J92)</f>
        <v/>
      </c>
      <c r="S74" s="26" t="str">
        <f>IF('1. Live'!P92='check-Jul''26'!K92,"",'1. Live'!P92-'check-Jul''26'!K92)</f>
        <v/>
      </c>
      <c r="T74" s="26" t="str">
        <f>IF('1. Live'!Q92='check-Jul''26'!L92,"",'1. Live'!Q92-'check-Jul''26'!L92)</f>
        <v/>
      </c>
      <c r="U74" s="80" t="str">
        <f>IF('1. Live'!R92='check-Jul''26'!M92,"",'1. Live'!R92-'check-Jul''26'!M92)</f>
        <v/>
      </c>
      <c r="V74" s="26" t="str">
        <f>IF('1. Live'!S92='check-Jul''26'!N92,"",'1. Live'!S92-'check-Jul''26'!N92)</f>
        <v/>
      </c>
      <c r="W74" s="25" t="str">
        <f>IF('1. Live'!T92='check-Jul''26'!O92,"",'1. Live'!T92-'check-Jul''26'!O92)</f>
        <v/>
      </c>
      <c r="X74" s="25" t="str">
        <f>IF('1. Live'!U92='check-Jul''26'!Q92,"",'1. Live'!U92-'check-Jul''26'!Q92)</f>
        <v/>
      </c>
      <c r="Y74" s="25" t="str">
        <f>IF('1. Live'!V92='check-Jul''26'!R92,"",'1. Live'!V92-'check-Jul''26'!R92)</f>
        <v/>
      </c>
      <c r="Z74" s="25" t="str">
        <f>IF('1. Live'!W92='check-Jul''26'!S92,"",'1. Live'!W92-'check-Jul''26'!S92)</f>
        <v/>
      </c>
      <c r="AA74" s="25" t="str">
        <f>IF('1. Live'!X92='check-Jul''26'!T92,"",'1. Live'!X92-'check-Jul''26'!T92)</f>
        <v/>
      </c>
      <c r="AB74" s="25" t="str">
        <f>IF('1. Live'!AF92='check-Jul''26'!AB92,"",'1. Live'!AF92-'check-Jul''26'!AB92)</f>
        <v/>
      </c>
      <c r="AC74" s="25" t="str">
        <f>IF('1. Live'!AG92='check-Jul''26'!AC92,"",'1. Live'!AG92-'check-Jul''26'!AC92)</f>
        <v/>
      </c>
      <c r="AD74" s="25" t="str">
        <f>IF('1. Live'!AH92='check-Jul''26'!AD92,"",'1. Live'!AH92-'check-Jul''26'!AD92)</f>
        <v/>
      </c>
      <c r="AE74" s="25" t="str">
        <f>IF('1. Live'!AI92='check-Jul''26'!AE92,"",'1. Live'!AI92-'check-Jul''26'!AE92)</f>
        <v/>
      </c>
      <c r="AF74" s="25" t="str">
        <f>IF('1. Live'!AJ92='check-Jul''26'!AF92,"",'1. Live'!AJ92-'check-Jul''26'!AF92)</f>
        <v/>
      </c>
      <c r="AG74" s="25" t="str">
        <f>IF('1. Live'!AK92='check-Jul''26'!AG92,"",'1. Live'!AK92-'check-Jul''26'!AG92)</f>
        <v/>
      </c>
      <c r="AH74" s="25" t="str">
        <f>IF('1. Live'!AL92='check-Jul''26'!AH92,"",'1. Live'!AL92-'check-Jul''26'!AH92)</f>
        <v/>
      </c>
      <c r="AI74" s="25" t="str">
        <f>IF('1. Live'!AM92='check-Jul''26'!AI92,"",'1. Live'!AM92-'check-Jul''26'!AI92)</f>
        <v/>
      </c>
      <c r="AJ74" s="25" t="str">
        <f>IF('1. Live'!AN92='check-Jul''26'!AJ92,"",'1. Live'!AN92-'check-Jul''26'!AJ92)</f>
        <v/>
      </c>
      <c r="AK74" s="25" t="str">
        <f>IF('1. Live'!AO92='check-Jul''26'!AK92,"",'1. Live'!AO92-'check-Jul''26'!AK92)</f>
        <v/>
      </c>
      <c r="AL74" s="25" t="str">
        <f>IF('1. Live'!AP92='check-Jul''26'!AL92,"",'1. Live'!AP92-'check-Jul''26'!AL92)</f>
        <v/>
      </c>
      <c r="AM74" s="25" t="str">
        <f>IF('1. Live'!AQ92='check-Jul''26'!AM92,"",'1. Live'!AQ92-'check-Jul''26'!AM92)</f>
        <v/>
      </c>
      <c r="AN74" s="25" t="str">
        <f>IF('1. Live'!AR92='check-Jul''26'!AN92,"",'1. Live'!AR92-'check-Jul''26'!AN92)</f>
        <v/>
      </c>
      <c r="AO74" s="25" t="str">
        <f>IF('1. Live'!AS92='check-Jul''26'!AO92,"",'1. Live'!AS92-'check-Jul''26'!AO92)</f>
        <v/>
      </c>
      <c r="AP74" s="25" t="str">
        <f>IF('1. Live'!AT92='check-Jul''26'!AP92,"",'1. Live'!AT92-'check-Jul''26'!AP92)</f>
        <v/>
      </c>
      <c r="AQ74" s="25" t="str">
        <f>IF('1. Live'!AU92='check-Jul''26'!AQ92,"",'1. Live'!AU92-'check-Jul''26'!AQ92)</f>
        <v/>
      </c>
      <c r="AR74" s="25" t="str">
        <f>IF('1. Live'!AV92='check-Jul''26'!AR92,"",'1. Live'!AV92-'check-Jul''26'!AR92)</f>
        <v/>
      </c>
      <c r="AS74" s="25" t="str">
        <f>IF('1. Live'!AW92='check-Jul''26'!AS92,"",'1. Live'!AW92-'check-Jul''26'!AS92)</f>
        <v/>
      </c>
      <c r="AT74" s="25" t="str">
        <f>IF('1. Live'!AX92='check-Jul''26'!AT92,"",'1. Live'!AX92-'check-Jul''26'!AT92)</f>
        <v/>
      </c>
      <c r="AU74" s="25" t="str">
        <f>IF('1. Live'!AY92='check-Jul''26'!AU92,"",'1. Live'!AY92-'check-Jul''26'!AU92)</f>
        <v/>
      </c>
      <c r="AV74" s="25" t="str">
        <f>IF('1. Live'!AZ92='check-Jul''26'!AV92,"",'1. Live'!AZ92-'check-Jul''26'!AV92)</f>
        <v/>
      </c>
      <c r="AW74" s="25" t="str">
        <f>IF('1. Live'!BA92='check-Jul''26'!AW92,"",'1. Live'!BA92-'check-Jul''26'!AW92)</f>
        <v/>
      </c>
      <c r="AX74" s="25" t="str">
        <f>IF('1. Live'!BB92='check-Jul''26'!AX92,"",'1. Live'!BB92-'check-Jul''26'!AX92)</f>
        <v/>
      </c>
      <c r="AY74" s="25" t="str">
        <f>IF('1. Live'!BC92='check-Jul''26'!AY92,"",'1. Live'!BC92-'check-Jul''26'!AY92)</f>
        <v/>
      </c>
      <c r="AZ74" s="25" t="str">
        <f>IF('1. Live'!BD92='check-Jul''26'!AZ92,"",'1. Live'!BD92-'check-Jul''26'!AZ92)</f>
        <v/>
      </c>
      <c r="BA74" s="25" t="str">
        <f>IF('1. Live'!BE92='check-Jul''26'!BA92,"",'1. Live'!BE92-'check-Jul''26'!BA92)</f>
        <v/>
      </c>
      <c r="BB74" s="25" t="str">
        <f>IF('1. Live'!BF92='check-Jul''26'!BB92,"",'1. Live'!BF92-'check-Jul''26'!BB92)</f>
        <v/>
      </c>
      <c r="BC74" s="25" t="str">
        <f>IF('1. Live'!BG92='check-Jul''26'!BC92,"",'1. Live'!BG92-'check-Jul''26'!BC92)</f>
        <v/>
      </c>
      <c r="BD74" s="25" t="str">
        <f>IF('1. Live'!BH92='check-Jul''26'!BD92,"",'1. Live'!BH92-'check-Jul''26'!BD92)</f>
        <v/>
      </c>
      <c r="BE74" s="25" t="str">
        <f>IF('1. Live'!BI92='check-Jul''26'!BE92,"",'1. Live'!BI92-'check-Jul''26'!BE92)</f>
        <v/>
      </c>
      <c r="BF74" s="25" t="str">
        <f>IF('1. Live'!BJ92='check-Jul''26'!BF92,"",'1. Live'!BJ92-'check-Jul''26'!BF92)</f>
        <v/>
      </c>
      <c r="BG74" s="25" t="str">
        <f>IF('1. Live'!BK92='check-Jul''26'!BG92,"",'1. Live'!BK92-'check-Jul''26'!BG92)</f>
        <v/>
      </c>
      <c r="BH74" s="25" t="str">
        <f>IF('1. Live'!BL92='check-Jul''26'!BH92,"",'1. Live'!BL92-'check-Jul''26'!BH92)</f>
        <v/>
      </c>
      <c r="BI74" s="25" t="str">
        <f>IF('1. Live'!BM92='check-Jul''26'!BI92,"",'1. Live'!BM92-'check-Jul''26'!BI92)</f>
        <v/>
      </c>
      <c r="BJ74" s="25" t="str">
        <f>IF('1. Live'!BN92='check-Jul''26'!BJ92,"",'1. Live'!BN92-'check-Jul''26'!BJ92)</f>
        <v/>
      </c>
      <c r="BK74" s="25" t="str">
        <f>IF('1. Live'!BO92='check-Jul''26'!BK92,"",'1. Live'!BO92-'check-Jul''26'!BK92)</f>
        <v/>
      </c>
      <c r="BL74" s="25" t="str">
        <f>IF('1. Live'!BP92='check-Jul''26'!BL92,"",'1. Live'!BP92-'check-Jul''26'!BL92)</f>
        <v/>
      </c>
      <c r="BM74" s="25" t="str">
        <f>IF('1. Live'!BQ92='check-Jul''26'!BM92,"",'1. Live'!BQ92-'check-Jul''26'!BM92)</f>
        <v/>
      </c>
      <c r="BN74" s="25" t="str">
        <f>IF('1. Live'!BR92='check-Jul''26'!BN92,"",'1. Live'!BR92-'check-Jul''26'!BN92)</f>
        <v/>
      </c>
      <c r="BO74" s="25" t="str">
        <f>IF('1. Live'!BS92='check-Jul''26'!BO92,"",'1. Live'!BS92-'check-Jul''26'!BO92)</f>
        <v/>
      </c>
      <c r="BP74" s="25" t="str">
        <f>IF('1. Live'!BT92='check-Jul''26'!BP92,"",'1. Live'!BT92-'check-Jul''26'!BP92)</f>
        <v/>
      </c>
      <c r="BQ74" s="25" t="str">
        <f>IF('1. Live'!BU92='check-Jul''26'!BQ92,"",'1. Live'!BU92-'check-Jul''26'!BQ92)</f>
        <v/>
      </c>
      <c r="BR74" s="25" t="str">
        <f>IF('1. Live'!BV92='check-Jul''26'!BR92,"",'1. Live'!BV92-'check-Jul''26'!BR92)</f>
        <v/>
      </c>
      <c r="BS74" s="25" t="str">
        <f>IF('1. Live'!BW92='check-Jul''26'!BS92,"",'1. Live'!BW92-'check-Jul''26'!BS92)</f>
        <v/>
      </c>
      <c r="BT74" s="25" t="str">
        <f>IF('1. Live'!BX92='check-Jul''26'!BT92,"",'1. Live'!BX92-'check-Jul''26'!BT92)</f>
        <v/>
      </c>
      <c r="BU74" s="25" t="str">
        <f>IF('1. Live'!BY92='check-Jul''26'!BU92,"",'1. Live'!BY92-'check-Jul''26'!BU92)</f>
        <v/>
      </c>
      <c r="BV74" s="25" t="str">
        <f>IF('1. Live'!BZ92='check-Jul''26'!BV92,"",'1. Live'!BZ92-'check-Jul''26'!BV92)</f>
        <v/>
      </c>
      <c r="BW74" s="25" t="str">
        <f>IF('1. Live'!CA92='check-Jul''26'!BW92,"",'1. Live'!CA92-'check-Jul''26'!BW92)</f>
        <v/>
      </c>
      <c r="BX74" s="25" t="str">
        <f>IF('1. Live'!CB92='check-Jul''26'!BX92,"",'1. Live'!CB92-'check-Jul''26'!BX92)</f>
        <v/>
      </c>
      <c r="BY74" s="25" t="str">
        <f>IF('1. Live'!CC92='check-Jul''26'!BY92,"",'1. Live'!CC92-'check-Jul''26'!BY92)</f>
        <v/>
      </c>
      <c r="BZ74" s="25" t="str">
        <f>IF('1. Live'!CD92='check-Jul''26'!BZ92,"",'1. Live'!CD92-'check-Jul''26'!BZ92)</f>
        <v/>
      </c>
      <c r="CA74" s="25" t="str">
        <f>IF('1. Live'!CE92='check-Jul''26'!CA92,"",'1. Live'!CE92-'check-Jul''26'!CA92)</f>
        <v/>
      </c>
      <c r="CB74" s="25" t="str">
        <f>IF('1. Live'!CF92='check-Jul''26'!CB92,"",'1. Live'!CF92-'check-Jul''26'!CB92)</f>
        <v/>
      </c>
      <c r="CC74" s="25" t="str">
        <f>IF('1. Live'!CG92='check-Jul''26'!CC92,"",'1. Live'!CG92-'check-Jul''26'!CC92)</f>
        <v/>
      </c>
      <c r="CD74" s="25" t="str">
        <f>IF('1. Live'!CH92='check-Jul''26'!CD92,"",'1. Live'!CH92-'check-Jul''26'!CD92)</f>
        <v/>
      </c>
      <c r="CE74" s="25" t="str">
        <f>IF('1. Live'!CI92='check-Jul''26'!CE92,"",'1. Live'!CI92-'check-Jul''26'!CE92)</f>
        <v/>
      </c>
      <c r="CF74" s="25" t="str">
        <f>IF('1. Live'!CJ92='check-Jul''26'!CF92,"",'1. Live'!CJ92-'check-Jul''26'!CF92)</f>
        <v/>
      </c>
      <c r="CG74" s="25" t="str">
        <f>IF('1. Live'!CK92='check-Jul''26'!CG92,"",'1. Live'!CK92-'check-Jul''26'!CG92)</f>
        <v/>
      </c>
      <c r="CH74" s="25" t="str">
        <f>IF('1. Live'!CL92='check-Jul''26'!CH92,"",'1. Live'!CL92-'check-Jul''26'!CH92)</f>
        <v/>
      </c>
      <c r="CI74" s="25" t="str">
        <f>IF('1. Live'!CM92='check-Jul''26'!CI92,"",'1. Live'!CM92-'check-Jul''26'!CI92)</f>
        <v/>
      </c>
      <c r="CJ74" s="25" t="str">
        <f>IF('1. Live'!CN92='check-Jul''26'!CJ92,"",'1. Live'!CN92-'check-Jul''26'!CJ92)</f>
        <v/>
      </c>
      <c r="CK74" s="25" t="str">
        <f>IF('1. Live'!CO92='check-Jul''26'!CK92,"",'1. Live'!CO92-'check-Jul''26'!CK92)</f>
        <v/>
      </c>
      <c r="CL74" s="25" t="str">
        <f>IF('1. Live'!CP92='check-Jul''26'!CL92,"",'1. Live'!CP92-'check-Jul''26'!CL92)</f>
        <v/>
      </c>
      <c r="CM74" s="25" t="str">
        <f>IF('1. Live'!CQ92='check-Jul''26'!CM92,"",'1. Live'!CQ92-'check-Jul''26'!CM92)</f>
        <v/>
      </c>
      <c r="CN74" s="25" t="str">
        <f>IF('1. Live'!CR92='check-Jul''26'!CN92,"",'1. Live'!CR92-'check-Jul''26'!CN92)</f>
        <v/>
      </c>
      <c r="CO74" s="25" t="str">
        <f>IF('1. Live'!CS92='check-Jul''26'!CO92,"",'1. Live'!CS92-'check-Jul''26'!CO92)</f>
        <v/>
      </c>
      <c r="CP74" s="25" t="str">
        <f>IF('1. Live'!CT92='check-Jul''26'!CP92,"",'1. Live'!CT92-'check-Jul''26'!CP92)</f>
        <v/>
      </c>
      <c r="CQ74" s="25" t="str">
        <f>IF('1. Live'!CU92='check-Jul''26'!CQ92,"",'1. Live'!CU92-'check-Jul''26'!CQ92)</f>
        <v/>
      </c>
      <c r="CR74" s="25" t="str">
        <f>IF('1. Live'!CV92='check-Jul''26'!CR92,"",'1. Live'!CV92-'check-Jul''26'!CR92)</f>
        <v/>
      </c>
      <c r="CS74" s="25" t="str">
        <f>IF('1. Live'!CW92='check-Jul''26'!CS92,"",'1. Live'!CW92-'check-Jul''26'!CS92)</f>
        <v/>
      </c>
      <c r="CT74" s="25" t="str">
        <f>IF('1. Live'!CX92='check-Jul''26'!CT92,"",'1. Live'!CX92-'check-Jul''26'!CT92)</f>
        <v/>
      </c>
      <c r="CU74" s="25" t="str">
        <f>IF('1. Live'!CY92='check-Jul''26'!CU92,"",'1. Live'!CY92-'check-Jul''26'!CU92)</f>
        <v/>
      </c>
      <c r="CV74" s="25" t="str">
        <f>IF('1. Live'!CZ92='check-Jul''26'!CV92,"",'1. Live'!CZ92-'check-Jul''26'!CV92)</f>
        <v/>
      </c>
    </row>
    <row r="75" spans="17:100" x14ac:dyDescent="0.25">
      <c r="Q75" s="26" t="str">
        <f>IF('1. Live'!N93='check-Jul''26'!I93,"",'1. Live'!N93-'check-Jul''26'!I93)</f>
        <v/>
      </c>
      <c r="R75" s="26" t="str">
        <f>IF('1. Live'!O93='check-Jul''26'!J93,"",'1. Live'!O93-'check-Jul''26'!J93)</f>
        <v/>
      </c>
      <c r="S75" s="26" t="str">
        <f>IF('1. Live'!P93='check-Jul''26'!K93,"",'1. Live'!P93-'check-Jul''26'!K93)</f>
        <v/>
      </c>
      <c r="T75" s="26" t="str">
        <f>IF('1. Live'!Q93='check-Jul''26'!L93,"",'1. Live'!Q93-'check-Jul''26'!L93)</f>
        <v/>
      </c>
      <c r="U75" s="80" t="str">
        <f>IF('1. Live'!R93='check-Jul''26'!M93,"",'1. Live'!R93-'check-Jul''26'!M93)</f>
        <v/>
      </c>
      <c r="V75" s="26" t="str">
        <f>IF('1. Live'!S93='check-Jul''26'!N93,"",'1. Live'!S93-'check-Jul''26'!N93)</f>
        <v/>
      </c>
      <c r="W75" s="25" t="str">
        <f>IF('1. Live'!T93='check-Jul''26'!O93,"",'1. Live'!T93-'check-Jul''26'!O93)</f>
        <v/>
      </c>
      <c r="X75" s="25" t="str">
        <f>IF('1. Live'!U93='check-Jul''26'!Q93,"",'1. Live'!U93-'check-Jul''26'!Q93)</f>
        <v/>
      </c>
      <c r="Y75" s="25" t="str">
        <f>IF('1. Live'!V93='check-Jul''26'!R93,"",'1. Live'!V93-'check-Jul''26'!R93)</f>
        <v/>
      </c>
      <c r="Z75" s="25" t="str">
        <f>IF('1. Live'!W93='check-Jul''26'!S93,"",'1. Live'!W93-'check-Jul''26'!S93)</f>
        <v/>
      </c>
      <c r="AA75" s="25" t="str">
        <f>IF('1. Live'!X93='check-Jul''26'!T93,"",'1. Live'!X93-'check-Jul''26'!T93)</f>
        <v/>
      </c>
      <c r="AB75" s="25" t="str">
        <f>IF('1. Live'!AF93='check-Jul''26'!AB93,"",'1. Live'!AF93-'check-Jul''26'!AB93)</f>
        <v/>
      </c>
      <c r="AC75" s="25" t="str">
        <f>IF('1. Live'!AG93='check-Jul''26'!AC93,"",'1. Live'!AG93-'check-Jul''26'!AC93)</f>
        <v/>
      </c>
      <c r="AD75" s="25" t="str">
        <f>IF('1. Live'!AH93='check-Jul''26'!AD93,"",'1. Live'!AH93-'check-Jul''26'!AD93)</f>
        <v/>
      </c>
      <c r="AE75" s="25" t="str">
        <f>IF('1. Live'!AI93='check-Jul''26'!AE93,"",'1. Live'!AI93-'check-Jul''26'!AE93)</f>
        <v/>
      </c>
      <c r="AF75" s="25" t="str">
        <f>IF('1. Live'!AJ93='check-Jul''26'!AF93,"",'1. Live'!AJ93-'check-Jul''26'!AF93)</f>
        <v/>
      </c>
      <c r="AG75" s="25" t="str">
        <f>IF('1. Live'!AK93='check-Jul''26'!AG93,"",'1. Live'!AK93-'check-Jul''26'!AG93)</f>
        <v/>
      </c>
      <c r="AH75" s="25" t="str">
        <f>IF('1. Live'!AL93='check-Jul''26'!AH93,"",'1. Live'!AL93-'check-Jul''26'!AH93)</f>
        <v/>
      </c>
      <c r="AI75" s="25" t="str">
        <f>IF('1. Live'!AM93='check-Jul''26'!AI93,"",'1. Live'!AM93-'check-Jul''26'!AI93)</f>
        <v/>
      </c>
      <c r="AJ75" s="25" t="str">
        <f>IF('1. Live'!AN93='check-Jul''26'!AJ93,"",'1. Live'!AN93-'check-Jul''26'!AJ93)</f>
        <v/>
      </c>
      <c r="AK75" s="25" t="str">
        <f>IF('1. Live'!AO93='check-Jul''26'!AK93,"",'1. Live'!AO93-'check-Jul''26'!AK93)</f>
        <v/>
      </c>
      <c r="AL75" s="25" t="str">
        <f>IF('1. Live'!AP93='check-Jul''26'!AL93,"",'1. Live'!AP93-'check-Jul''26'!AL93)</f>
        <v/>
      </c>
      <c r="AM75" s="25" t="str">
        <f>IF('1. Live'!AQ93='check-Jul''26'!AM93,"",'1. Live'!AQ93-'check-Jul''26'!AM93)</f>
        <v/>
      </c>
      <c r="AN75" s="25" t="str">
        <f>IF('1. Live'!AR93='check-Jul''26'!AN93,"",'1. Live'!AR93-'check-Jul''26'!AN93)</f>
        <v/>
      </c>
      <c r="AO75" s="25" t="str">
        <f>IF('1. Live'!AS93='check-Jul''26'!AO93,"",'1. Live'!AS93-'check-Jul''26'!AO93)</f>
        <v/>
      </c>
      <c r="AP75" s="25" t="str">
        <f>IF('1. Live'!AT93='check-Jul''26'!AP93,"",'1. Live'!AT93-'check-Jul''26'!AP93)</f>
        <v/>
      </c>
      <c r="AQ75" s="25" t="str">
        <f>IF('1. Live'!AU93='check-Jul''26'!AQ93,"",'1. Live'!AU93-'check-Jul''26'!AQ93)</f>
        <v/>
      </c>
      <c r="AR75" s="25" t="str">
        <f>IF('1. Live'!AV93='check-Jul''26'!AR93,"",'1. Live'!AV93-'check-Jul''26'!AR93)</f>
        <v/>
      </c>
      <c r="AS75" s="25" t="str">
        <f>IF('1. Live'!AW93='check-Jul''26'!AS93,"",'1. Live'!AW93-'check-Jul''26'!AS93)</f>
        <v/>
      </c>
      <c r="AT75" s="25" t="str">
        <f>IF('1. Live'!AX93='check-Jul''26'!AT93,"",'1. Live'!AX93-'check-Jul''26'!AT93)</f>
        <v/>
      </c>
      <c r="AU75" s="25" t="str">
        <f>IF('1. Live'!AY93='check-Jul''26'!AU93,"",'1. Live'!AY93-'check-Jul''26'!AU93)</f>
        <v/>
      </c>
      <c r="AV75" s="25" t="str">
        <f>IF('1. Live'!AZ93='check-Jul''26'!AV93,"",'1. Live'!AZ93-'check-Jul''26'!AV93)</f>
        <v/>
      </c>
      <c r="AW75" s="25" t="str">
        <f>IF('1. Live'!BA93='check-Jul''26'!AW93,"",'1. Live'!BA93-'check-Jul''26'!AW93)</f>
        <v/>
      </c>
      <c r="AX75" s="25" t="str">
        <f>IF('1. Live'!BB93='check-Jul''26'!AX93,"",'1. Live'!BB93-'check-Jul''26'!AX93)</f>
        <v/>
      </c>
      <c r="AY75" s="25" t="str">
        <f>IF('1. Live'!BC93='check-Jul''26'!AY93,"",'1. Live'!BC93-'check-Jul''26'!AY93)</f>
        <v/>
      </c>
      <c r="AZ75" s="25" t="str">
        <f>IF('1. Live'!BD93='check-Jul''26'!AZ93,"",'1. Live'!BD93-'check-Jul''26'!AZ93)</f>
        <v/>
      </c>
      <c r="BA75" s="25" t="str">
        <f>IF('1. Live'!BE93='check-Jul''26'!BA93,"",'1. Live'!BE93-'check-Jul''26'!BA93)</f>
        <v/>
      </c>
      <c r="BB75" s="25" t="str">
        <f>IF('1. Live'!BF93='check-Jul''26'!BB93,"",'1. Live'!BF93-'check-Jul''26'!BB93)</f>
        <v/>
      </c>
      <c r="BC75" s="25" t="str">
        <f>IF('1. Live'!BG93='check-Jul''26'!BC93,"",'1. Live'!BG93-'check-Jul''26'!BC93)</f>
        <v/>
      </c>
      <c r="BD75" s="25" t="str">
        <f>IF('1. Live'!BH93='check-Jul''26'!BD93,"",'1. Live'!BH93-'check-Jul''26'!BD93)</f>
        <v/>
      </c>
      <c r="BE75" s="25" t="str">
        <f>IF('1. Live'!BI93='check-Jul''26'!BE93,"",'1. Live'!BI93-'check-Jul''26'!BE93)</f>
        <v/>
      </c>
      <c r="BF75" s="25" t="str">
        <f>IF('1. Live'!BJ93='check-Jul''26'!BF93,"",'1. Live'!BJ93-'check-Jul''26'!BF93)</f>
        <v/>
      </c>
      <c r="BG75" s="25" t="str">
        <f>IF('1. Live'!BK93='check-Jul''26'!BG93,"",'1. Live'!BK93-'check-Jul''26'!BG93)</f>
        <v/>
      </c>
      <c r="BH75" s="25" t="str">
        <f>IF('1. Live'!BL93='check-Jul''26'!BH93,"",'1. Live'!BL93-'check-Jul''26'!BH93)</f>
        <v/>
      </c>
      <c r="BI75" s="25" t="str">
        <f>IF('1. Live'!BM93='check-Jul''26'!BI93,"",'1. Live'!BM93-'check-Jul''26'!BI93)</f>
        <v/>
      </c>
      <c r="BJ75" s="25" t="str">
        <f>IF('1. Live'!BN93='check-Jul''26'!BJ93,"",'1. Live'!BN93-'check-Jul''26'!BJ93)</f>
        <v/>
      </c>
      <c r="BK75" s="25" t="str">
        <f>IF('1. Live'!BO93='check-Jul''26'!BK93,"",'1. Live'!BO93-'check-Jul''26'!BK93)</f>
        <v/>
      </c>
      <c r="BL75" s="25" t="str">
        <f>IF('1. Live'!BP93='check-Jul''26'!BL93,"",'1. Live'!BP93-'check-Jul''26'!BL93)</f>
        <v/>
      </c>
      <c r="BM75" s="25" t="str">
        <f>IF('1. Live'!BQ93='check-Jul''26'!BM93,"",'1. Live'!BQ93-'check-Jul''26'!BM93)</f>
        <v/>
      </c>
      <c r="BN75" s="25" t="str">
        <f>IF('1. Live'!BR93='check-Jul''26'!BN93,"",'1. Live'!BR93-'check-Jul''26'!BN93)</f>
        <v/>
      </c>
      <c r="BO75" s="25" t="str">
        <f>IF('1. Live'!BS93='check-Jul''26'!BO93,"",'1. Live'!BS93-'check-Jul''26'!BO93)</f>
        <v/>
      </c>
      <c r="BP75" s="25" t="str">
        <f>IF('1. Live'!BT93='check-Jul''26'!BP93,"",'1. Live'!BT93-'check-Jul''26'!BP93)</f>
        <v/>
      </c>
      <c r="BQ75" s="25" t="str">
        <f>IF('1. Live'!BU93='check-Jul''26'!BQ93,"",'1. Live'!BU93-'check-Jul''26'!BQ93)</f>
        <v/>
      </c>
      <c r="BR75" s="25" t="str">
        <f>IF('1. Live'!BV93='check-Jul''26'!BR93,"",'1. Live'!BV93-'check-Jul''26'!BR93)</f>
        <v/>
      </c>
      <c r="BS75" s="25" t="str">
        <f>IF('1. Live'!BW93='check-Jul''26'!BS93,"",'1. Live'!BW93-'check-Jul''26'!BS93)</f>
        <v/>
      </c>
      <c r="BT75" s="25" t="str">
        <f>IF('1. Live'!BX93='check-Jul''26'!BT93,"",'1. Live'!BX93-'check-Jul''26'!BT93)</f>
        <v/>
      </c>
      <c r="BU75" s="25" t="str">
        <f>IF('1. Live'!BY93='check-Jul''26'!BU93,"",'1. Live'!BY93-'check-Jul''26'!BU93)</f>
        <v/>
      </c>
      <c r="BV75" s="25" t="str">
        <f>IF('1. Live'!BZ93='check-Jul''26'!BV93,"",'1. Live'!BZ93-'check-Jul''26'!BV93)</f>
        <v/>
      </c>
      <c r="BW75" s="25" t="str">
        <f>IF('1. Live'!CA93='check-Jul''26'!BW93,"",'1. Live'!CA93-'check-Jul''26'!BW93)</f>
        <v/>
      </c>
      <c r="BX75" s="25" t="str">
        <f>IF('1. Live'!CB93='check-Jul''26'!BX93,"",'1. Live'!CB93-'check-Jul''26'!BX93)</f>
        <v/>
      </c>
      <c r="BY75" s="25" t="str">
        <f>IF('1. Live'!CC93='check-Jul''26'!BY93,"",'1. Live'!CC93-'check-Jul''26'!BY93)</f>
        <v/>
      </c>
      <c r="BZ75" s="25" t="str">
        <f>IF('1. Live'!CD93='check-Jul''26'!BZ93,"",'1. Live'!CD93-'check-Jul''26'!BZ93)</f>
        <v/>
      </c>
      <c r="CA75" s="25" t="str">
        <f>IF('1. Live'!CE93='check-Jul''26'!CA93,"",'1. Live'!CE93-'check-Jul''26'!CA93)</f>
        <v/>
      </c>
      <c r="CB75" s="25" t="str">
        <f>IF('1. Live'!CF93='check-Jul''26'!CB93,"",'1. Live'!CF93-'check-Jul''26'!CB93)</f>
        <v/>
      </c>
      <c r="CC75" s="25" t="str">
        <f>IF('1. Live'!CG93='check-Jul''26'!CC93,"",'1. Live'!CG93-'check-Jul''26'!CC93)</f>
        <v/>
      </c>
      <c r="CD75" s="25" t="str">
        <f>IF('1. Live'!CH93='check-Jul''26'!CD93,"",'1. Live'!CH93-'check-Jul''26'!CD93)</f>
        <v/>
      </c>
      <c r="CE75" s="25" t="str">
        <f>IF('1. Live'!CI93='check-Jul''26'!CE93,"",'1. Live'!CI93-'check-Jul''26'!CE93)</f>
        <v/>
      </c>
      <c r="CF75" s="25" t="str">
        <f>IF('1. Live'!CJ93='check-Jul''26'!CF93,"",'1. Live'!CJ93-'check-Jul''26'!CF93)</f>
        <v/>
      </c>
      <c r="CG75" s="25" t="str">
        <f>IF('1. Live'!CK93='check-Jul''26'!CG93,"",'1. Live'!CK93-'check-Jul''26'!CG93)</f>
        <v/>
      </c>
      <c r="CH75" s="25" t="str">
        <f>IF('1. Live'!CL93='check-Jul''26'!CH93,"",'1. Live'!CL93-'check-Jul''26'!CH93)</f>
        <v/>
      </c>
      <c r="CI75" s="25" t="str">
        <f>IF('1. Live'!CM93='check-Jul''26'!CI93,"",'1. Live'!CM93-'check-Jul''26'!CI93)</f>
        <v/>
      </c>
      <c r="CJ75" s="25" t="str">
        <f>IF('1. Live'!CN93='check-Jul''26'!CJ93,"",'1. Live'!CN93-'check-Jul''26'!CJ93)</f>
        <v/>
      </c>
      <c r="CK75" s="25" t="str">
        <f>IF('1. Live'!CO93='check-Jul''26'!CK93,"",'1. Live'!CO93-'check-Jul''26'!CK93)</f>
        <v/>
      </c>
      <c r="CL75" s="25" t="str">
        <f>IF('1. Live'!CP93='check-Jul''26'!CL93,"",'1. Live'!CP93-'check-Jul''26'!CL93)</f>
        <v/>
      </c>
      <c r="CM75" s="25" t="str">
        <f>IF('1. Live'!CQ93='check-Jul''26'!CM93,"",'1. Live'!CQ93-'check-Jul''26'!CM93)</f>
        <v/>
      </c>
      <c r="CN75" s="25" t="str">
        <f>IF('1. Live'!CR93='check-Jul''26'!CN93,"",'1. Live'!CR93-'check-Jul''26'!CN93)</f>
        <v/>
      </c>
      <c r="CO75" s="25" t="str">
        <f>IF('1. Live'!CS93='check-Jul''26'!CO93,"",'1. Live'!CS93-'check-Jul''26'!CO93)</f>
        <v/>
      </c>
      <c r="CP75" s="25" t="str">
        <f>IF('1. Live'!CT93='check-Jul''26'!CP93,"",'1. Live'!CT93-'check-Jul''26'!CP93)</f>
        <v/>
      </c>
      <c r="CQ75" s="25" t="str">
        <f>IF('1. Live'!CU93='check-Jul''26'!CQ93,"",'1. Live'!CU93-'check-Jul''26'!CQ93)</f>
        <v/>
      </c>
      <c r="CR75" s="25" t="str">
        <f>IF('1. Live'!CV93='check-Jul''26'!CR93,"",'1. Live'!CV93-'check-Jul''26'!CR93)</f>
        <v/>
      </c>
      <c r="CS75" s="25" t="str">
        <f>IF('1. Live'!CW93='check-Jul''26'!CS93,"",'1. Live'!CW93-'check-Jul''26'!CS93)</f>
        <v/>
      </c>
      <c r="CT75" s="25" t="str">
        <f>IF('1. Live'!CX93='check-Jul''26'!CT93,"",'1. Live'!CX93-'check-Jul''26'!CT93)</f>
        <v/>
      </c>
      <c r="CU75" s="25" t="str">
        <f>IF('1. Live'!CY93='check-Jul''26'!CU93,"",'1. Live'!CY93-'check-Jul''26'!CU93)</f>
        <v/>
      </c>
      <c r="CV75" s="25" t="str">
        <f>IF('1. Live'!CZ93='check-Jul''26'!CV93,"",'1. Live'!CZ93-'check-Jul''26'!CV93)</f>
        <v/>
      </c>
    </row>
    <row r="76" spans="17:100" x14ac:dyDescent="0.25">
      <c r="Q76" s="26" t="str">
        <f>IF('1. Live'!N94='check-Jul''26'!I94,"",'1. Live'!N94-'check-Jul''26'!I94)</f>
        <v/>
      </c>
      <c r="R76" s="26" t="str">
        <f>IF('1. Live'!O94='check-Jul''26'!J94,"",'1. Live'!O94-'check-Jul''26'!J94)</f>
        <v/>
      </c>
      <c r="S76" s="26" t="str">
        <f>IF('1. Live'!P94='check-Jul''26'!K94,"",'1. Live'!P94-'check-Jul''26'!K94)</f>
        <v/>
      </c>
      <c r="T76" s="26" t="str">
        <f>IF('1. Live'!Q94='check-Jul''26'!L94,"",'1. Live'!Q94-'check-Jul''26'!L94)</f>
        <v/>
      </c>
      <c r="U76" s="80" t="str">
        <f>IF('1. Live'!R94='check-Jul''26'!M94,"",'1. Live'!R94-'check-Jul''26'!M94)</f>
        <v/>
      </c>
      <c r="V76" s="26" t="str">
        <f>IF('1. Live'!S94='check-Jul''26'!N94,"",'1. Live'!S94-'check-Jul''26'!N94)</f>
        <v/>
      </c>
      <c r="W76" s="25" t="str">
        <f>IF('1. Live'!T94='check-Jul''26'!O94,"",'1. Live'!T94-'check-Jul''26'!O94)</f>
        <v/>
      </c>
      <c r="X76" s="25" t="str">
        <f>IF('1. Live'!U94='check-Jul''26'!Q94,"",'1. Live'!U94-'check-Jul''26'!Q94)</f>
        <v/>
      </c>
      <c r="Y76" s="25" t="str">
        <f>IF('1. Live'!V94='check-Jul''26'!R94,"",'1. Live'!V94-'check-Jul''26'!R94)</f>
        <v/>
      </c>
      <c r="Z76" s="25" t="str">
        <f>IF('1. Live'!W94='check-Jul''26'!S94,"",'1. Live'!W94-'check-Jul''26'!S94)</f>
        <v/>
      </c>
      <c r="AA76" s="25" t="str">
        <f>IF('1. Live'!X94='check-Jul''26'!T94,"",'1. Live'!X94-'check-Jul''26'!T94)</f>
        <v/>
      </c>
      <c r="AB76" s="25" t="str">
        <f>IF('1. Live'!AF94='check-Jul''26'!AB94,"",'1. Live'!AF94-'check-Jul''26'!AB94)</f>
        <v/>
      </c>
      <c r="AC76" s="25" t="str">
        <f>IF('1. Live'!AG94='check-Jul''26'!AC94,"",'1. Live'!AG94-'check-Jul''26'!AC94)</f>
        <v/>
      </c>
      <c r="AD76" s="25" t="str">
        <f>IF('1. Live'!AH94='check-Jul''26'!AD94,"",'1. Live'!AH94-'check-Jul''26'!AD94)</f>
        <v/>
      </c>
      <c r="AE76" s="25" t="str">
        <f>IF('1. Live'!AI94='check-Jul''26'!AE94,"",'1. Live'!AI94-'check-Jul''26'!AE94)</f>
        <v/>
      </c>
      <c r="AF76" s="25" t="str">
        <f>IF('1. Live'!AJ94='check-Jul''26'!AF94,"",'1. Live'!AJ94-'check-Jul''26'!AF94)</f>
        <v/>
      </c>
      <c r="AG76" s="25" t="str">
        <f>IF('1. Live'!AK94='check-Jul''26'!AG94,"",'1. Live'!AK94-'check-Jul''26'!AG94)</f>
        <v/>
      </c>
      <c r="AH76" s="25" t="str">
        <f>IF('1. Live'!AL94='check-Jul''26'!AH94,"",'1. Live'!AL94-'check-Jul''26'!AH94)</f>
        <v/>
      </c>
      <c r="AI76" s="25" t="str">
        <f>IF('1. Live'!AM94='check-Jul''26'!AI94,"",'1. Live'!AM94-'check-Jul''26'!AI94)</f>
        <v/>
      </c>
      <c r="AJ76" s="25" t="str">
        <f>IF('1. Live'!AN94='check-Jul''26'!AJ94,"",'1. Live'!AN94-'check-Jul''26'!AJ94)</f>
        <v/>
      </c>
      <c r="AK76" s="25" t="str">
        <f>IF('1. Live'!AO94='check-Jul''26'!AK94,"",'1. Live'!AO94-'check-Jul''26'!AK94)</f>
        <v/>
      </c>
      <c r="AL76" s="25" t="str">
        <f>IF('1. Live'!AP94='check-Jul''26'!AL94,"",'1. Live'!AP94-'check-Jul''26'!AL94)</f>
        <v/>
      </c>
      <c r="AM76" s="25" t="str">
        <f>IF('1. Live'!AQ94='check-Jul''26'!AM94,"",'1. Live'!AQ94-'check-Jul''26'!AM94)</f>
        <v/>
      </c>
      <c r="AN76" s="25" t="str">
        <f>IF('1. Live'!AR94='check-Jul''26'!AN94,"",'1. Live'!AR94-'check-Jul''26'!AN94)</f>
        <v/>
      </c>
      <c r="AO76" s="25" t="str">
        <f>IF('1. Live'!AS94='check-Jul''26'!AO94,"",'1. Live'!AS94-'check-Jul''26'!AO94)</f>
        <v/>
      </c>
      <c r="AP76" s="25" t="str">
        <f>IF('1. Live'!AT94='check-Jul''26'!AP94,"",'1. Live'!AT94-'check-Jul''26'!AP94)</f>
        <v/>
      </c>
      <c r="AQ76" s="25" t="str">
        <f>IF('1. Live'!AU94='check-Jul''26'!AQ94,"",'1. Live'!AU94-'check-Jul''26'!AQ94)</f>
        <v/>
      </c>
      <c r="AR76" s="25" t="str">
        <f>IF('1. Live'!AV94='check-Jul''26'!AR94,"",'1. Live'!AV94-'check-Jul''26'!AR94)</f>
        <v/>
      </c>
      <c r="AS76" s="25" t="str">
        <f>IF('1. Live'!AW94='check-Jul''26'!AS94,"",'1. Live'!AW94-'check-Jul''26'!AS94)</f>
        <v/>
      </c>
      <c r="AT76" s="25" t="str">
        <f>IF('1. Live'!AX94='check-Jul''26'!AT94,"",'1. Live'!AX94-'check-Jul''26'!AT94)</f>
        <v/>
      </c>
      <c r="AU76" s="25" t="str">
        <f>IF('1. Live'!AY94='check-Jul''26'!AU94,"",'1. Live'!AY94-'check-Jul''26'!AU94)</f>
        <v/>
      </c>
      <c r="AV76" s="25" t="str">
        <f>IF('1. Live'!AZ94='check-Jul''26'!AV94,"",'1. Live'!AZ94-'check-Jul''26'!AV94)</f>
        <v/>
      </c>
      <c r="AW76" s="25" t="str">
        <f>IF('1. Live'!BA94='check-Jul''26'!AW94,"",'1. Live'!BA94-'check-Jul''26'!AW94)</f>
        <v/>
      </c>
      <c r="AX76" s="25" t="str">
        <f>IF('1. Live'!BB94='check-Jul''26'!AX94,"",'1. Live'!BB94-'check-Jul''26'!AX94)</f>
        <v/>
      </c>
      <c r="AY76" s="25" t="str">
        <f>IF('1. Live'!BC94='check-Jul''26'!AY94,"",'1. Live'!BC94-'check-Jul''26'!AY94)</f>
        <v/>
      </c>
      <c r="AZ76" s="25" t="str">
        <f>IF('1. Live'!BD94='check-Jul''26'!AZ94,"",'1. Live'!BD94-'check-Jul''26'!AZ94)</f>
        <v/>
      </c>
      <c r="BA76" s="25" t="str">
        <f>IF('1. Live'!BE94='check-Jul''26'!BA94,"",'1. Live'!BE94-'check-Jul''26'!BA94)</f>
        <v/>
      </c>
      <c r="BB76" s="25" t="str">
        <f>IF('1. Live'!BF94='check-Jul''26'!BB94,"",'1. Live'!BF94-'check-Jul''26'!BB94)</f>
        <v/>
      </c>
      <c r="BC76" s="25" t="str">
        <f>IF('1. Live'!BG94='check-Jul''26'!BC94,"",'1. Live'!BG94-'check-Jul''26'!BC94)</f>
        <v/>
      </c>
      <c r="BD76" s="25" t="str">
        <f>IF('1. Live'!BH94='check-Jul''26'!BD94,"",'1. Live'!BH94-'check-Jul''26'!BD94)</f>
        <v/>
      </c>
      <c r="BE76" s="25" t="str">
        <f>IF('1. Live'!BI94='check-Jul''26'!BE94,"",'1. Live'!BI94-'check-Jul''26'!BE94)</f>
        <v/>
      </c>
      <c r="BF76" s="25" t="str">
        <f>IF('1. Live'!BJ94='check-Jul''26'!BF94,"",'1. Live'!BJ94-'check-Jul''26'!BF94)</f>
        <v/>
      </c>
      <c r="BG76" s="25" t="str">
        <f>IF('1. Live'!BK94='check-Jul''26'!BG94,"",'1. Live'!BK94-'check-Jul''26'!BG94)</f>
        <v/>
      </c>
      <c r="BH76" s="25" t="str">
        <f>IF('1. Live'!BL94='check-Jul''26'!BH94,"",'1. Live'!BL94-'check-Jul''26'!BH94)</f>
        <v/>
      </c>
      <c r="BI76" s="25" t="str">
        <f>IF('1. Live'!BM94='check-Jul''26'!BI94,"",'1. Live'!BM94-'check-Jul''26'!BI94)</f>
        <v/>
      </c>
      <c r="BJ76" s="25" t="str">
        <f>IF('1. Live'!BN94='check-Jul''26'!BJ94,"",'1. Live'!BN94-'check-Jul''26'!BJ94)</f>
        <v/>
      </c>
      <c r="BK76" s="25" t="str">
        <f>IF('1. Live'!BO94='check-Jul''26'!BK94,"",'1. Live'!BO94-'check-Jul''26'!BK94)</f>
        <v/>
      </c>
      <c r="BL76" s="25" t="str">
        <f>IF('1. Live'!BP94='check-Jul''26'!BL94,"",'1. Live'!BP94-'check-Jul''26'!BL94)</f>
        <v/>
      </c>
      <c r="BM76" s="25" t="str">
        <f>IF('1. Live'!BQ94='check-Jul''26'!BM94,"",'1. Live'!BQ94-'check-Jul''26'!BM94)</f>
        <v/>
      </c>
      <c r="BN76" s="25" t="str">
        <f>IF('1. Live'!BR94='check-Jul''26'!BN94,"",'1. Live'!BR94-'check-Jul''26'!BN94)</f>
        <v/>
      </c>
      <c r="BO76" s="25" t="str">
        <f>IF('1. Live'!BS94='check-Jul''26'!BO94,"",'1. Live'!BS94-'check-Jul''26'!BO94)</f>
        <v/>
      </c>
      <c r="BP76" s="25" t="str">
        <f>IF('1. Live'!BT94='check-Jul''26'!BP94,"",'1. Live'!BT94-'check-Jul''26'!BP94)</f>
        <v/>
      </c>
      <c r="BQ76" s="25" t="str">
        <f>IF('1. Live'!BU94='check-Jul''26'!BQ94,"",'1. Live'!BU94-'check-Jul''26'!BQ94)</f>
        <v/>
      </c>
      <c r="BR76" s="25" t="str">
        <f>IF('1. Live'!BV94='check-Jul''26'!BR94,"",'1. Live'!BV94-'check-Jul''26'!BR94)</f>
        <v/>
      </c>
      <c r="BS76" s="25" t="str">
        <f>IF('1. Live'!BW94='check-Jul''26'!BS94,"",'1. Live'!BW94-'check-Jul''26'!BS94)</f>
        <v/>
      </c>
      <c r="BT76" s="25" t="str">
        <f>IF('1. Live'!BX94='check-Jul''26'!BT94,"",'1. Live'!BX94-'check-Jul''26'!BT94)</f>
        <v/>
      </c>
      <c r="BU76" s="25" t="str">
        <f>IF('1. Live'!BY94='check-Jul''26'!BU94,"",'1. Live'!BY94-'check-Jul''26'!BU94)</f>
        <v/>
      </c>
      <c r="BV76" s="25" t="str">
        <f>IF('1. Live'!BZ94='check-Jul''26'!BV94,"",'1. Live'!BZ94-'check-Jul''26'!BV94)</f>
        <v/>
      </c>
      <c r="BW76" s="25" t="str">
        <f>IF('1. Live'!CA94='check-Jul''26'!BW94,"",'1. Live'!CA94-'check-Jul''26'!BW94)</f>
        <v/>
      </c>
      <c r="BX76" s="25" t="str">
        <f>IF('1. Live'!CB94='check-Jul''26'!BX94,"",'1. Live'!CB94-'check-Jul''26'!BX94)</f>
        <v/>
      </c>
      <c r="BY76" s="25" t="str">
        <f>IF('1. Live'!CC94='check-Jul''26'!BY94,"",'1. Live'!CC94-'check-Jul''26'!BY94)</f>
        <v/>
      </c>
      <c r="BZ76" s="25" t="str">
        <f>IF('1. Live'!CD94='check-Jul''26'!BZ94,"",'1. Live'!CD94-'check-Jul''26'!BZ94)</f>
        <v/>
      </c>
      <c r="CA76" s="25" t="str">
        <f>IF('1. Live'!CE94='check-Jul''26'!CA94,"",'1. Live'!CE94-'check-Jul''26'!CA94)</f>
        <v/>
      </c>
      <c r="CB76" s="25" t="str">
        <f>IF('1. Live'!CF94='check-Jul''26'!CB94,"",'1. Live'!CF94-'check-Jul''26'!CB94)</f>
        <v/>
      </c>
      <c r="CC76" s="25" t="str">
        <f>IF('1. Live'!CG94='check-Jul''26'!CC94,"",'1. Live'!CG94-'check-Jul''26'!CC94)</f>
        <v/>
      </c>
      <c r="CD76" s="25" t="str">
        <f>IF('1. Live'!CH94='check-Jul''26'!CD94,"",'1. Live'!CH94-'check-Jul''26'!CD94)</f>
        <v/>
      </c>
      <c r="CE76" s="25" t="str">
        <f>IF('1. Live'!CI94='check-Jul''26'!CE94,"",'1. Live'!CI94-'check-Jul''26'!CE94)</f>
        <v/>
      </c>
      <c r="CF76" s="25" t="str">
        <f>IF('1. Live'!CJ94='check-Jul''26'!CF94,"",'1. Live'!CJ94-'check-Jul''26'!CF94)</f>
        <v/>
      </c>
      <c r="CG76" s="25" t="str">
        <f>IF('1. Live'!CK94='check-Jul''26'!CG94,"",'1. Live'!CK94-'check-Jul''26'!CG94)</f>
        <v/>
      </c>
      <c r="CH76" s="25" t="str">
        <f>IF('1. Live'!CL94='check-Jul''26'!CH94,"",'1. Live'!CL94-'check-Jul''26'!CH94)</f>
        <v/>
      </c>
      <c r="CI76" s="25" t="str">
        <f>IF('1. Live'!CM94='check-Jul''26'!CI94,"",'1. Live'!CM94-'check-Jul''26'!CI94)</f>
        <v/>
      </c>
      <c r="CJ76" s="25" t="str">
        <f>IF('1. Live'!CN94='check-Jul''26'!CJ94,"",'1. Live'!CN94-'check-Jul''26'!CJ94)</f>
        <v/>
      </c>
      <c r="CK76" s="25" t="str">
        <f>IF('1. Live'!CO94='check-Jul''26'!CK94,"",'1. Live'!CO94-'check-Jul''26'!CK94)</f>
        <v/>
      </c>
      <c r="CL76" s="25" t="str">
        <f>IF('1. Live'!CP94='check-Jul''26'!CL94,"",'1. Live'!CP94-'check-Jul''26'!CL94)</f>
        <v/>
      </c>
      <c r="CM76" s="25" t="str">
        <f>IF('1. Live'!CQ94='check-Jul''26'!CM94,"",'1. Live'!CQ94-'check-Jul''26'!CM94)</f>
        <v/>
      </c>
      <c r="CN76" s="25" t="str">
        <f>IF('1. Live'!CR94='check-Jul''26'!CN94,"",'1. Live'!CR94-'check-Jul''26'!CN94)</f>
        <v/>
      </c>
      <c r="CO76" s="25" t="str">
        <f>IF('1. Live'!CS94='check-Jul''26'!CO94,"",'1. Live'!CS94-'check-Jul''26'!CO94)</f>
        <v/>
      </c>
      <c r="CP76" s="25" t="str">
        <f>IF('1. Live'!CT94='check-Jul''26'!CP94,"",'1. Live'!CT94-'check-Jul''26'!CP94)</f>
        <v/>
      </c>
      <c r="CQ76" s="25" t="str">
        <f>IF('1. Live'!CU94='check-Jul''26'!CQ94,"",'1. Live'!CU94-'check-Jul''26'!CQ94)</f>
        <v/>
      </c>
      <c r="CR76" s="25" t="str">
        <f>IF('1. Live'!CV94='check-Jul''26'!CR94,"",'1. Live'!CV94-'check-Jul''26'!CR94)</f>
        <v/>
      </c>
      <c r="CS76" s="25" t="str">
        <f>IF('1. Live'!CW94='check-Jul''26'!CS94,"",'1. Live'!CW94-'check-Jul''26'!CS94)</f>
        <v/>
      </c>
      <c r="CT76" s="25" t="str">
        <f>IF('1. Live'!CX94='check-Jul''26'!CT94,"",'1. Live'!CX94-'check-Jul''26'!CT94)</f>
        <v/>
      </c>
      <c r="CU76" s="25" t="str">
        <f>IF('1. Live'!CY94='check-Jul''26'!CU94,"",'1. Live'!CY94-'check-Jul''26'!CU94)</f>
        <v/>
      </c>
      <c r="CV76" s="25" t="str">
        <f>IF('1. Live'!CZ94='check-Jul''26'!CV94,"",'1. Live'!CZ94-'check-Jul''26'!CV94)</f>
        <v/>
      </c>
    </row>
    <row r="77" spans="17:100" x14ac:dyDescent="0.25">
      <c r="Q77" s="26" t="str">
        <f>IF('1. Live'!N95='check-Jul''26'!I95,"",'1. Live'!N95-'check-Jul''26'!I95)</f>
        <v/>
      </c>
      <c r="R77" s="26" t="str">
        <f>IF('1. Live'!O95='check-Jul''26'!J95,"",'1. Live'!O95-'check-Jul''26'!J95)</f>
        <v/>
      </c>
      <c r="S77" s="26" t="str">
        <f>IF('1. Live'!P95='check-Jul''26'!K95,"",'1. Live'!P95-'check-Jul''26'!K95)</f>
        <v/>
      </c>
      <c r="T77" s="26" t="str">
        <f>IF('1. Live'!Q95='check-Jul''26'!L95,"",'1. Live'!Q95-'check-Jul''26'!L95)</f>
        <v/>
      </c>
      <c r="U77" s="80" t="str">
        <f>IF('1. Live'!R95='check-Jul''26'!M95,"",'1. Live'!R95-'check-Jul''26'!M95)</f>
        <v/>
      </c>
      <c r="V77" s="26" t="str">
        <f>IF('1. Live'!S95='check-Jul''26'!N95,"",'1. Live'!S95-'check-Jul''26'!N95)</f>
        <v/>
      </c>
      <c r="W77" s="25" t="str">
        <f>IF('1. Live'!T95='check-Jul''26'!O95,"",'1. Live'!T95-'check-Jul''26'!O95)</f>
        <v/>
      </c>
      <c r="X77" s="25" t="str">
        <f>IF('1. Live'!U95='check-Jul''26'!Q95,"",'1. Live'!U95-'check-Jul''26'!Q95)</f>
        <v/>
      </c>
      <c r="Y77" s="25" t="str">
        <f>IF('1. Live'!V95='check-Jul''26'!R95,"",'1. Live'!V95-'check-Jul''26'!R95)</f>
        <v/>
      </c>
      <c r="Z77" s="25" t="str">
        <f>IF('1. Live'!W95='check-Jul''26'!S95,"",'1. Live'!W95-'check-Jul''26'!S95)</f>
        <v/>
      </c>
      <c r="AA77" s="25" t="str">
        <f>IF('1. Live'!X95='check-Jul''26'!T95,"",'1. Live'!X95-'check-Jul''26'!T95)</f>
        <v/>
      </c>
      <c r="AB77" s="25" t="str">
        <f>IF('1. Live'!AF95='check-Jul''26'!AB95,"",'1. Live'!AF95-'check-Jul''26'!AB95)</f>
        <v/>
      </c>
      <c r="AC77" s="25" t="str">
        <f>IF('1. Live'!AG95='check-Jul''26'!AC95,"",'1. Live'!AG95-'check-Jul''26'!AC95)</f>
        <v/>
      </c>
      <c r="AD77" s="25" t="str">
        <f>IF('1. Live'!AH95='check-Jul''26'!AD95,"",'1. Live'!AH95-'check-Jul''26'!AD95)</f>
        <v/>
      </c>
      <c r="AE77" s="25" t="str">
        <f>IF('1. Live'!AI95='check-Jul''26'!AE95,"",'1. Live'!AI95-'check-Jul''26'!AE95)</f>
        <v/>
      </c>
      <c r="AF77" s="25" t="str">
        <f>IF('1. Live'!AJ95='check-Jul''26'!AF95,"",'1. Live'!AJ95-'check-Jul''26'!AF95)</f>
        <v/>
      </c>
      <c r="AG77" s="25" t="str">
        <f>IF('1. Live'!AK95='check-Jul''26'!AG95,"",'1. Live'!AK95-'check-Jul''26'!AG95)</f>
        <v/>
      </c>
      <c r="AH77" s="25" t="str">
        <f>IF('1. Live'!AL95='check-Jul''26'!AH95,"",'1. Live'!AL95-'check-Jul''26'!AH95)</f>
        <v/>
      </c>
      <c r="AI77" s="25" t="str">
        <f>IF('1. Live'!AM95='check-Jul''26'!AI95,"",'1. Live'!AM95-'check-Jul''26'!AI95)</f>
        <v/>
      </c>
      <c r="AJ77" s="25" t="str">
        <f>IF('1. Live'!AN95='check-Jul''26'!AJ95,"",'1. Live'!AN95-'check-Jul''26'!AJ95)</f>
        <v/>
      </c>
      <c r="AK77" s="25" t="str">
        <f>IF('1. Live'!AO95='check-Jul''26'!AK95,"",'1. Live'!AO95-'check-Jul''26'!AK95)</f>
        <v/>
      </c>
      <c r="AL77" s="25" t="str">
        <f>IF('1. Live'!AP95='check-Jul''26'!AL95,"",'1. Live'!AP95-'check-Jul''26'!AL95)</f>
        <v/>
      </c>
      <c r="AM77" s="25" t="str">
        <f>IF('1. Live'!AQ95='check-Jul''26'!AM95,"",'1. Live'!AQ95-'check-Jul''26'!AM95)</f>
        <v/>
      </c>
      <c r="AN77" s="25" t="str">
        <f>IF('1. Live'!AR95='check-Jul''26'!AN95,"",'1. Live'!AR95-'check-Jul''26'!AN95)</f>
        <v/>
      </c>
      <c r="AO77" s="25" t="str">
        <f>IF('1. Live'!AS95='check-Jul''26'!AO95,"",'1. Live'!AS95-'check-Jul''26'!AO95)</f>
        <v/>
      </c>
      <c r="AP77" s="25" t="str">
        <f>IF('1. Live'!AT95='check-Jul''26'!AP95,"",'1. Live'!AT95-'check-Jul''26'!AP95)</f>
        <v/>
      </c>
      <c r="AQ77" s="25" t="str">
        <f>IF('1. Live'!AU95='check-Jul''26'!AQ95,"",'1. Live'!AU95-'check-Jul''26'!AQ95)</f>
        <v/>
      </c>
      <c r="AR77" s="25" t="str">
        <f>IF('1. Live'!AV95='check-Jul''26'!AR95,"",'1. Live'!AV95-'check-Jul''26'!AR95)</f>
        <v/>
      </c>
      <c r="AS77" s="25" t="str">
        <f>IF('1. Live'!AW95='check-Jul''26'!AS95,"",'1. Live'!AW95-'check-Jul''26'!AS95)</f>
        <v/>
      </c>
      <c r="AT77" s="25" t="str">
        <f>IF('1. Live'!AX95='check-Jul''26'!AT95,"",'1. Live'!AX95-'check-Jul''26'!AT95)</f>
        <v/>
      </c>
      <c r="AU77" s="25" t="str">
        <f>IF('1. Live'!AY95='check-Jul''26'!AU95,"",'1. Live'!AY95-'check-Jul''26'!AU95)</f>
        <v/>
      </c>
      <c r="AV77" s="25" t="str">
        <f>IF('1. Live'!AZ95='check-Jul''26'!AV95,"",'1. Live'!AZ95-'check-Jul''26'!AV95)</f>
        <v/>
      </c>
      <c r="AW77" s="25" t="str">
        <f>IF('1. Live'!BA95='check-Jul''26'!AW95,"",'1. Live'!BA95-'check-Jul''26'!AW95)</f>
        <v/>
      </c>
      <c r="AX77" s="25" t="str">
        <f>IF('1. Live'!BB95='check-Jul''26'!AX95,"",'1. Live'!BB95-'check-Jul''26'!AX95)</f>
        <v/>
      </c>
      <c r="AY77" s="25" t="str">
        <f>IF('1. Live'!BC95='check-Jul''26'!AY95,"",'1. Live'!BC95-'check-Jul''26'!AY95)</f>
        <v/>
      </c>
      <c r="AZ77" s="25" t="str">
        <f>IF('1. Live'!BD95='check-Jul''26'!AZ95,"",'1. Live'!BD95-'check-Jul''26'!AZ95)</f>
        <v/>
      </c>
      <c r="BA77" s="25" t="str">
        <f>IF('1. Live'!BE95='check-Jul''26'!BA95,"",'1. Live'!BE95-'check-Jul''26'!BA95)</f>
        <v/>
      </c>
      <c r="BB77" s="25" t="str">
        <f>IF('1. Live'!BF95='check-Jul''26'!BB95,"",'1. Live'!BF95-'check-Jul''26'!BB95)</f>
        <v/>
      </c>
      <c r="BC77" s="25" t="str">
        <f>IF('1. Live'!BG95='check-Jul''26'!BC95,"",'1. Live'!BG95-'check-Jul''26'!BC95)</f>
        <v/>
      </c>
      <c r="BD77" s="25" t="str">
        <f>IF('1. Live'!BH95='check-Jul''26'!BD95,"",'1. Live'!BH95-'check-Jul''26'!BD95)</f>
        <v/>
      </c>
      <c r="BE77" s="25" t="str">
        <f>IF('1. Live'!BI95='check-Jul''26'!BE95,"",'1. Live'!BI95-'check-Jul''26'!BE95)</f>
        <v/>
      </c>
      <c r="BF77" s="25" t="str">
        <f>IF('1. Live'!BJ95='check-Jul''26'!BF95,"",'1. Live'!BJ95-'check-Jul''26'!BF95)</f>
        <v/>
      </c>
      <c r="BG77" s="25" t="str">
        <f>IF('1. Live'!BK95='check-Jul''26'!BG95,"",'1. Live'!BK95-'check-Jul''26'!BG95)</f>
        <v/>
      </c>
      <c r="BH77" s="25" t="str">
        <f>IF('1. Live'!BL95='check-Jul''26'!BH95,"",'1. Live'!BL95-'check-Jul''26'!BH95)</f>
        <v/>
      </c>
      <c r="BI77" s="25" t="str">
        <f>IF('1. Live'!BM95='check-Jul''26'!BI95,"",'1. Live'!BM95-'check-Jul''26'!BI95)</f>
        <v/>
      </c>
      <c r="BJ77" s="25" t="str">
        <f>IF('1. Live'!BN95='check-Jul''26'!BJ95,"",'1. Live'!BN95-'check-Jul''26'!BJ95)</f>
        <v/>
      </c>
      <c r="BK77" s="25" t="str">
        <f>IF('1. Live'!BO95='check-Jul''26'!BK95,"",'1. Live'!BO95-'check-Jul''26'!BK95)</f>
        <v/>
      </c>
      <c r="BL77" s="25" t="str">
        <f>IF('1. Live'!BP95='check-Jul''26'!BL95,"",'1. Live'!BP95-'check-Jul''26'!BL95)</f>
        <v/>
      </c>
      <c r="BM77" s="25" t="str">
        <f>IF('1. Live'!BQ95='check-Jul''26'!BM95,"",'1. Live'!BQ95-'check-Jul''26'!BM95)</f>
        <v/>
      </c>
      <c r="BN77" s="25" t="str">
        <f>IF('1. Live'!BR95='check-Jul''26'!BN95,"",'1. Live'!BR95-'check-Jul''26'!BN95)</f>
        <v/>
      </c>
      <c r="BO77" s="25" t="str">
        <f>IF('1. Live'!BS95='check-Jul''26'!BO95,"",'1. Live'!BS95-'check-Jul''26'!BO95)</f>
        <v/>
      </c>
      <c r="BP77" s="25" t="str">
        <f>IF('1. Live'!BT95='check-Jul''26'!BP95,"",'1. Live'!BT95-'check-Jul''26'!BP95)</f>
        <v/>
      </c>
      <c r="BQ77" s="25" t="str">
        <f>IF('1. Live'!BU95='check-Jul''26'!BQ95,"",'1. Live'!BU95-'check-Jul''26'!BQ95)</f>
        <v/>
      </c>
      <c r="BR77" s="25" t="str">
        <f>IF('1. Live'!BV95='check-Jul''26'!BR95,"",'1. Live'!BV95-'check-Jul''26'!BR95)</f>
        <v/>
      </c>
      <c r="BS77" s="25" t="str">
        <f>IF('1. Live'!BW95='check-Jul''26'!BS95,"",'1. Live'!BW95-'check-Jul''26'!BS95)</f>
        <v/>
      </c>
      <c r="BT77" s="25" t="str">
        <f>IF('1. Live'!BX95='check-Jul''26'!BT95,"",'1. Live'!BX95-'check-Jul''26'!BT95)</f>
        <v/>
      </c>
      <c r="BU77" s="25" t="str">
        <f>IF('1. Live'!BY95='check-Jul''26'!BU95,"",'1. Live'!BY95-'check-Jul''26'!BU95)</f>
        <v/>
      </c>
      <c r="BV77" s="25" t="str">
        <f>IF('1. Live'!BZ95='check-Jul''26'!BV95,"",'1. Live'!BZ95-'check-Jul''26'!BV95)</f>
        <v/>
      </c>
      <c r="BW77" s="25" t="str">
        <f>IF('1. Live'!CA95='check-Jul''26'!BW95,"",'1. Live'!CA95-'check-Jul''26'!BW95)</f>
        <v/>
      </c>
      <c r="BX77" s="25" t="str">
        <f>IF('1. Live'!CB95='check-Jul''26'!BX95,"",'1. Live'!CB95-'check-Jul''26'!BX95)</f>
        <v/>
      </c>
      <c r="BY77" s="25" t="str">
        <f>IF('1. Live'!CC95='check-Jul''26'!BY95,"",'1. Live'!CC95-'check-Jul''26'!BY95)</f>
        <v/>
      </c>
      <c r="BZ77" s="25" t="str">
        <f>IF('1. Live'!CD95='check-Jul''26'!BZ95,"",'1. Live'!CD95-'check-Jul''26'!BZ95)</f>
        <v/>
      </c>
      <c r="CA77" s="25" t="str">
        <f>IF('1. Live'!CE95='check-Jul''26'!CA95,"",'1. Live'!CE95-'check-Jul''26'!CA95)</f>
        <v/>
      </c>
      <c r="CB77" s="25" t="str">
        <f>IF('1. Live'!CF95='check-Jul''26'!CB95,"",'1. Live'!CF95-'check-Jul''26'!CB95)</f>
        <v/>
      </c>
      <c r="CC77" s="25" t="str">
        <f>IF('1. Live'!CG95='check-Jul''26'!CC95,"",'1. Live'!CG95-'check-Jul''26'!CC95)</f>
        <v/>
      </c>
      <c r="CD77" s="25" t="str">
        <f>IF('1. Live'!CH95='check-Jul''26'!CD95,"",'1. Live'!CH95-'check-Jul''26'!CD95)</f>
        <v/>
      </c>
      <c r="CE77" s="25" t="str">
        <f>IF('1. Live'!CI95='check-Jul''26'!CE95,"",'1. Live'!CI95-'check-Jul''26'!CE95)</f>
        <v/>
      </c>
      <c r="CF77" s="25" t="str">
        <f>IF('1. Live'!CJ95='check-Jul''26'!CF95,"",'1. Live'!CJ95-'check-Jul''26'!CF95)</f>
        <v/>
      </c>
      <c r="CG77" s="25" t="str">
        <f>IF('1. Live'!CK95='check-Jul''26'!CG95,"",'1. Live'!CK95-'check-Jul''26'!CG95)</f>
        <v/>
      </c>
      <c r="CH77" s="25" t="str">
        <f>IF('1. Live'!CL95='check-Jul''26'!CH95,"",'1. Live'!CL95-'check-Jul''26'!CH95)</f>
        <v/>
      </c>
      <c r="CI77" s="25" t="str">
        <f>IF('1. Live'!CM95='check-Jul''26'!CI95,"",'1. Live'!CM95-'check-Jul''26'!CI95)</f>
        <v/>
      </c>
      <c r="CJ77" s="25" t="str">
        <f>IF('1. Live'!CN95='check-Jul''26'!CJ95,"",'1. Live'!CN95-'check-Jul''26'!CJ95)</f>
        <v/>
      </c>
      <c r="CK77" s="25" t="str">
        <f>IF('1. Live'!CO95='check-Jul''26'!CK95,"",'1. Live'!CO95-'check-Jul''26'!CK95)</f>
        <v/>
      </c>
      <c r="CL77" s="25" t="str">
        <f>IF('1. Live'!CP95='check-Jul''26'!CL95,"",'1. Live'!CP95-'check-Jul''26'!CL95)</f>
        <v/>
      </c>
      <c r="CM77" s="25" t="str">
        <f>IF('1. Live'!CQ95='check-Jul''26'!CM95,"",'1. Live'!CQ95-'check-Jul''26'!CM95)</f>
        <v/>
      </c>
      <c r="CN77" s="25" t="str">
        <f>IF('1. Live'!CR95='check-Jul''26'!CN95,"",'1. Live'!CR95-'check-Jul''26'!CN95)</f>
        <v/>
      </c>
      <c r="CO77" s="25" t="str">
        <f>IF('1. Live'!CS95='check-Jul''26'!CO95,"",'1. Live'!CS95-'check-Jul''26'!CO95)</f>
        <v/>
      </c>
      <c r="CP77" s="25" t="str">
        <f>IF('1. Live'!CT95='check-Jul''26'!CP95,"",'1. Live'!CT95-'check-Jul''26'!CP95)</f>
        <v/>
      </c>
      <c r="CQ77" s="25" t="str">
        <f>IF('1. Live'!CU95='check-Jul''26'!CQ95,"",'1. Live'!CU95-'check-Jul''26'!CQ95)</f>
        <v/>
      </c>
      <c r="CR77" s="25" t="str">
        <f>IF('1. Live'!CV95='check-Jul''26'!CR95,"",'1. Live'!CV95-'check-Jul''26'!CR95)</f>
        <v/>
      </c>
      <c r="CS77" s="25" t="str">
        <f>IF('1. Live'!CW95='check-Jul''26'!CS95,"",'1. Live'!CW95-'check-Jul''26'!CS95)</f>
        <v/>
      </c>
      <c r="CT77" s="25" t="str">
        <f>IF('1. Live'!CX95='check-Jul''26'!CT95,"",'1. Live'!CX95-'check-Jul''26'!CT95)</f>
        <v/>
      </c>
      <c r="CU77" s="25" t="str">
        <f>IF('1. Live'!CY95='check-Jul''26'!CU95,"",'1. Live'!CY95-'check-Jul''26'!CU95)</f>
        <v/>
      </c>
      <c r="CV77" s="25" t="str">
        <f>IF('1. Live'!CZ95='check-Jul''26'!CV95,"",'1. Live'!CZ95-'check-Jul''26'!CV95)</f>
        <v/>
      </c>
    </row>
    <row r="78" spans="17:100" x14ac:dyDescent="0.25">
      <c r="Q78" s="26" t="str">
        <f>IF('1. Live'!N96='check-Jul''26'!I96,"",'1. Live'!N96-'check-Jul''26'!I96)</f>
        <v/>
      </c>
      <c r="R78" s="26" t="str">
        <f>IF('1. Live'!O96='check-Jul''26'!J96,"",'1. Live'!O96-'check-Jul''26'!J96)</f>
        <v/>
      </c>
      <c r="S78" s="26" t="str">
        <f>IF('1. Live'!P96='check-Jul''26'!K96,"",'1. Live'!P96-'check-Jul''26'!K96)</f>
        <v/>
      </c>
      <c r="T78" s="26" t="str">
        <f>IF('1. Live'!Q96='check-Jul''26'!L96,"",'1. Live'!Q96-'check-Jul''26'!L96)</f>
        <v/>
      </c>
      <c r="U78" s="80" t="str">
        <f>IF('1. Live'!R96='check-Jul''26'!M96,"",'1. Live'!R96-'check-Jul''26'!M96)</f>
        <v/>
      </c>
      <c r="V78" s="26" t="str">
        <f>IF('1. Live'!S96='check-Jul''26'!N96,"",'1. Live'!S96-'check-Jul''26'!N96)</f>
        <v/>
      </c>
      <c r="W78" s="25" t="str">
        <f>IF('1. Live'!T96='check-Jul''26'!O96,"",'1. Live'!T96-'check-Jul''26'!O96)</f>
        <v/>
      </c>
      <c r="X78" s="25" t="str">
        <f>IF('1. Live'!U96='check-Jul''26'!Q96,"",'1. Live'!U96-'check-Jul''26'!Q96)</f>
        <v/>
      </c>
      <c r="Y78" s="25" t="str">
        <f>IF('1. Live'!V96='check-Jul''26'!R96,"",'1. Live'!V96-'check-Jul''26'!R96)</f>
        <v/>
      </c>
      <c r="Z78" s="25" t="str">
        <f>IF('1. Live'!W96='check-Jul''26'!S96,"",'1. Live'!W96-'check-Jul''26'!S96)</f>
        <v/>
      </c>
      <c r="AA78" s="25" t="str">
        <f>IF('1. Live'!X96='check-Jul''26'!T96,"",'1. Live'!X96-'check-Jul''26'!T96)</f>
        <v/>
      </c>
      <c r="AB78" s="25" t="str">
        <f>IF('1. Live'!AF96='check-Jul''26'!AB96,"",'1. Live'!AF96-'check-Jul''26'!AB96)</f>
        <v/>
      </c>
      <c r="AC78" s="25" t="str">
        <f>IF('1. Live'!AG96='check-Jul''26'!AC96,"",'1. Live'!AG96-'check-Jul''26'!AC96)</f>
        <v/>
      </c>
      <c r="AD78" s="25" t="str">
        <f>IF('1. Live'!AH96='check-Jul''26'!AD96,"",'1. Live'!AH96-'check-Jul''26'!AD96)</f>
        <v/>
      </c>
      <c r="AE78" s="25" t="str">
        <f>IF('1. Live'!AI96='check-Jul''26'!AE96,"",'1. Live'!AI96-'check-Jul''26'!AE96)</f>
        <v/>
      </c>
      <c r="AF78" s="25" t="str">
        <f>IF('1. Live'!AJ96='check-Jul''26'!AF96,"",'1. Live'!AJ96-'check-Jul''26'!AF96)</f>
        <v/>
      </c>
      <c r="AG78" s="25" t="str">
        <f>IF('1. Live'!AK96='check-Jul''26'!AG96,"",'1. Live'!AK96-'check-Jul''26'!AG96)</f>
        <v/>
      </c>
      <c r="AH78" s="25" t="str">
        <f>IF('1. Live'!AL96='check-Jul''26'!AH96,"",'1. Live'!AL96-'check-Jul''26'!AH96)</f>
        <v/>
      </c>
      <c r="AI78" s="25" t="str">
        <f>IF('1. Live'!AM96='check-Jul''26'!AI96,"",'1. Live'!AM96-'check-Jul''26'!AI96)</f>
        <v/>
      </c>
      <c r="AJ78" s="25" t="str">
        <f>IF('1. Live'!AN96='check-Jul''26'!AJ96,"",'1. Live'!AN96-'check-Jul''26'!AJ96)</f>
        <v/>
      </c>
      <c r="AK78" s="25" t="str">
        <f>IF('1. Live'!AO96='check-Jul''26'!AK96,"",'1. Live'!AO96-'check-Jul''26'!AK96)</f>
        <v/>
      </c>
      <c r="AL78" s="25" t="str">
        <f>IF('1. Live'!AP96='check-Jul''26'!AL96,"",'1. Live'!AP96-'check-Jul''26'!AL96)</f>
        <v/>
      </c>
      <c r="AM78" s="25" t="str">
        <f>IF('1. Live'!AQ96='check-Jul''26'!AM96,"",'1. Live'!AQ96-'check-Jul''26'!AM96)</f>
        <v/>
      </c>
      <c r="AN78" s="25" t="str">
        <f>IF('1. Live'!AR96='check-Jul''26'!AN96,"",'1. Live'!AR96-'check-Jul''26'!AN96)</f>
        <v/>
      </c>
      <c r="AO78" s="25" t="str">
        <f>IF('1. Live'!AS96='check-Jul''26'!AO96,"",'1. Live'!AS96-'check-Jul''26'!AO96)</f>
        <v/>
      </c>
      <c r="AP78" s="25" t="str">
        <f>IF('1. Live'!AT96='check-Jul''26'!AP96,"",'1. Live'!AT96-'check-Jul''26'!AP96)</f>
        <v/>
      </c>
      <c r="AQ78" s="25" t="str">
        <f>IF('1. Live'!AU96='check-Jul''26'!AQ96,"",'1. Live'!AU96-'check-Jul''26'!AQ96)</f>
        <v/>
      </c>
      <c r="AR78" s="25" t="str">
        <f>IF('1. Live'!AV96='check-Jul''26'!AR96,"",'1. Live'!AV96-'check-Jul''26'!AR96)</f>
        <v/>
      </c>
      <c r="AS78" s="25" t="str">
        <f>IF('1. Live'!AW96='check-Jul''26'!AS96,"",'1. Live'!AW96-'check-Jul''26'!AS96)</f>
        <v/>
      </c>
      <c r="AT78" s="25" t="str">
        <f>IF('1. Live'!AX96='check-Jul''26'!AT96,"",'1. Live'!AX96-'check-Jul''26'!AT96)</f>
        <v/>
      </c>
      <c r="AU78" s="25" t="str">
        <f>IF('1. Live'!AY96='check-Jul''26'!AU96,"",'1. Live'!AY96-'check-Jul''26'!AU96)</f>
        <v/>
      </c>
      <c r="AV78" s="25" t="str">
        <f>IF('1. Live'!AZ96='check-Jul''26'!AV96,"",'1. Live'!AZ96-'check-Jul''26'!AV96)</f>
        <v/>
      </c>
      <c r="AW78" s="25" t="str">
        <f>IF('1. Live'!BA96='check-Jul''26'!AW96,"",'1. Live'!BA96-'check-Jul''26'!AW96)</f>
        <v/>
      </c>
      <c r="AX78" s="25" t="str">
        <f>IF('1. Live'!BB96='check-Jul''26'!AX96,"",'1. Live'!BB96-'check-Jul''26'!AX96)</f>
        <v/>
      </c>
      <c r="AY78" s="25" t="str">
        <f>IF('1. Live'!BC96='check-Jul''26'!AY96,"",'1. Live'!BC96-'check-Jul''26'!AY96)</f>
        <v/>
      </c>
      <c r="AZ78" s="25" t="str">
        <f>IF('1. Live'!BD96='check-Jul''26'!AZ96,"",'1. Live'!BD96-'check-Jul''26'!AZ96)</f>
        <v/>
      </c>
      <c r="BA78" s="25" t="str">
        <f>IF('1. Live'!BE96='check-Jul''26'!BA96,"",'1. Live'!BE96-'check-Jul''26'!BA96)</f>
        <v/>
      </c>
      <c r="BB78" s="25" t="str">
        <f>IF('1. Live'!BF96='check-Jul''26'!BB96,"",'1. Live'!BF96-'check-Jul''26'!BB96)</f>
        <v/>
      </c>
      <c r="BC78" s="25" t="str">
        <f>IF('1. Live'!BG96='check-Jul''26'!BC96,"",'1. Live'!BG96-'check-Jul''26'!BC96)</f>
        <v/>
      </c>
      <c r="BD78" s="25" t="str">
        <f>IF('1. Live'!BH96='check-Jul''26'!BD96,"",'1. Live'!BH96-'check-Jul''26'!BD96)</f>
        <v/>
      </c>
      <c r="BE78" s="25" t="str">
        <f>IF('1. Live'!BI96='check-Jul''26'!BE96,"",'1. Live'!BI96-'check-Jul''26'!BE96)</f>
        <v/>
      </c>
      <c r="BF78" s="25" t="str">
        <f>IF('1. Live'!BJ96='check-Jul''26'!BF96,"",'1. Live'!BJ96-'check-Jul''26'!BF96)</f>
        <v/>
      </c>
      <c r="BG78" s="25" t="str">
        <f>IF('1. Live'!BK96='check-Jul''26'!BG96,"",'1. Live'!BK96-'check-Jul''26'!BG96)</f>
        <v/>
      </c>
      <c r="BH78" s="25" t="str">
        <f>IF('1. Live'!BL96='check-Jul''26'!BH96,"",'1. Live'!BL96-'check-Jul''26'!BH96)</f>
        <v/>
      </c>
      <c r="BI78" s="25" t="str">
        <f>IF('1. Live'!BM96='check-Jul''26'!BI96,"",'1. Live'!BM96-'check-Jul''26'!BI96)</f>
        <v/>
      </c>
      <c r="BJ78" s="25" t="str">
        <f>IF('1. Live'!BN96='check-Jul''26'!BJ96,"",'1. Live'!BN96-'check-Jul''26'!BJ96)</f>
        <v/>
      </c>
      <c r="BK78" s="25" t="str">
        <f>IF('1. Live'!BO96='check-Jul''26'!BK96,"",'1. Live'!BO96-'check-Jul''26'!BK96)</f>
        <v/>
      </c>
      <c r="BL78" s="25" t="str">
        <f>IF('1. Live'!BP96='check-Jul''26'!BL96,"",'1. Live'!BP96-'check-Jul''26'!BL96)</f>
        <v/>
      </c>
      <c r="BM78" s="25" t="str">
        <f>IF('1. Live'!BQ96='check-Jul''26'!BM96,"",'1. Live'!BQ96-'check-Jul''26'!BM96)</f>
        <v/>
      </c>
      <c r="BN78" s="25" t="str">
        <f>IF('1. Live'!BR96='check-Jul''26'!BN96,"",'1. Live'!BR96-'check-Jul''26'!BN96)</f>
        <v/>
      </c>
      <c r="BO78" s="25" t="str">
        <f>IF('1. Live'!BS96='check-Jul''26'!BO96,"",'1. Live'!BS96-'check-Jul''26'!BO96)</f>
        <v/>
      </c>
      <c r="BP78" s="25" t="str">
        <f>IF('1. Live'!BT96='check-Jul''26'!BP96,"",'1. Live'!BT96-'check-Jul''26'!BP96)</f>
        <v/>
      </c>
      <c r="BQ78" s="25" t="str">
        <f>IF('1. Live'!BU96='check-Jul''26'!BQ96,"",'1. Live'!BU96-'check-Jul''26'!BQ96)</f>
        <v/>
      </c>
      <c r="BR78" s="25" t="str">
        <f>IF('1. Live'!BV96='check-Jul''26'!BR96,"",'1. Live'!BV96-'check-Jul''26'!BR96)</f>
        <v/>
      </c>
      <c r="BS78" s="25" t="str">
        <f>IF('1. Live'!BW96='check-Jul''26'!BS96,"",'1. Live'!BW96-'check-Jul''26'!BS96)</f>
        <v/>
      </c>
      <c r="BT78" s="25" t="str">
        <f>IF('1. Live'!BX96='check-Jul''26'!BT96,"",'1. Live'!BX96-'check-Jul''26'!BT96)</f>
        <v/>
      </c>
      <c r="BU78" s="25" t="str">
        <f>IF('1. Live'!BY96='check-Jul''26'!BU96,"",'1. Live'!BY96-'check-Jul''26'!BU96)</f>
        <v/>
      </c>
      <c r="BV78" s="25" t="str">
        <f>IF('1. Live'!BZ96='check-Jul''26'!BV96,"",'1. Live'!BZ96-'check-Jul''26'!BV96)</f>
        <v/>
      </c>
      <c r="BW78" s="25" t="str">
        <f>IF('1. Live'!CA96='check-Jul''26'!BW96,"",'1. Live'!CA96-'check-Jul''26'!BW96)</f>
        <v/>
      </c>
      <c r="BX78" s="25" t="str">
        <f>IF('1. Live'!CB96='check-Jul''26'!BX96,"",'1. Live'!CB96-'check-Jul''26'!BX96)</f>
        <v/>
      </c>
      <c r="BY78" s="25" t="str">
        <f>IF('1. Live'!CC96='check-Jul''26'!BY96,"",'1. Live'!CC96-'check-Jul''26'!BY96)</f>
        <v/>
      </c>
      <c r="BZ78" s="25" t="str">
        <f>IF('1. Live'!CD96='check-Jul''26'!BZ96,"",'1. Live'!CD96-'check-Jul''26'!BZ96)</f>
        <v/>
      </c>
      <c r="CA78" s="25" t="str">
        <f>IF('1. Live'!CE96='check-Jul''26'!CA96,"",'1. Live'!CE96-'check-Jul''26'!CA96)</f>
        <v/>
      </c>
      <c r="CB78" s="25" t="str">
        <f>IF('1. Live'!CF96='check-Jul''26'!CB96,"",'1. Live'!CF96-'check-Jul''26'!CB96)</f>
        <v/>
      </c>
      <c r="CC78" s="25" t="str">
        <f>IF('1. Live'!CG96='check-Jul''26'!CC96,"",'1. Live'!CG96-'check-Jul''26'!CC96)</f>
        <v/>
      </c>
      <c r="CD78" s="25" t="str">
        <f>IF('1. Live'!CH96='check-Jul''26'!CD96,"",'1. Live'!CH96-'check-Jul''26'!CD96)</f>
        <v/>
      </c>
      <c r="CE78" s="25" t="str">
        <f>IF('1. Live'!CI96='check-Jul''26'!CE96,"",'1. Live'!CI96-'check-Jul''26'!CE96)</f>
        <v/>
      </c>
      <c r="CF78" s="25" t="str">
        <f>IF('1. Live'!CJ96='check-Jul''26'!CF96,"",'1. Live'!CJ96-'check-Jul''26'!CF96)</f>
        <v/>
      </c>
      <c r="CG78" s="25" t="str">
        <f>IF('1. Live'!CK96='check-Jul''26'!CG96,"",'1. Live'!CK96-'check-Jul''26'!CG96)</f>
        <v/>
      </c>
      <c r="CH78" s="25" t="str">
        <f>IF('1. Live'!CL96='check-Jul''26'!CH96,"",'1. Live'!CL96-'check-Jul''26'!CH96)</f>
        <v/>
      </c>
      <c r="CI78" s="25" t="str">
        <f>IF('1. Live'!CM96='check-Jul''26'!CI96,"",'1. Live'!CM96-'check-Jul''26'!CI96)</f>
        <v/>
      </c>
      <c r="CJ78" s="25" t="str">
        <f>IF('1. Live'!CN96='check-Jul''26'!CJ96,"",'1. Live'!CN96-'check-Jul''26'!CJ96)</f>
        <v/>
      </c>
      <c r="CK78" s="25" t="str">
        <f>IF('1. Live'!CO96='check-Jul''26'!CK96,"",'1. Live'!CO96-'check-Jul''26'!CK96)</f>
        <v/>
      </c>
      <c r="CL78" s="25" t="str">
        <f>IF('1. Live'!CP96='check-Jul''26'!CL96,"",'1. Live'!CP96-'check-Jul''26'!CL96)</f>
        <v/>
      </c>
      <c r="CM78" s="25" t="str">
        <f>IF('1. Live'!CQ96='check-Jul''26'!CM96,"",'1. Live'!CQ96-'check-Jul''26'!CM96)</f>
        <v/>
      </c>
      <c r="CN78" s="25" t="str">
        <f>IF('1. Live'!CR96='check-Jul''26'!CN96,"",'1. Live'!CR96-'check-Jul''26'!CN96)</f>
        <v/>
      </c>
      <c r="CO78" s="25" t="str">
        <f>IF('1. Live'!CS96='check-Jul''26'!CO96,"",'1. Live'!CS96-'check-Jul''26'!CO96)</f>
        <v/>
      </c>
      <c r="CP78" s="25" t="str">
        <f>IF('1. Live'!CT96='check-Jul''26'!CP96,"",'1. Live'!CT96-'check-Jul''26'!CP96)</f>
        <v/>
      </c>
      <c r="CQ78" s="25" t="str">
        <f>IF('1. Live'!CU96='check-Jul''26'!CQ96,"",'1. Live'!CU96-'check-Jul''26'!CQ96)</f>
        <v/>
      </c>
      <c r="CR78" s="25" t="str">
        <f>IF('1. Live'!CV96='check-Jul''26'!CR96,"",'1. Live'!CV96-'check-Jul''26'!CR96)</f>
        <v/>
      </c>
      <c r="CS78" s="25" t="str">
        <f>IF('1. Live'!CW96='check-Jul''26'!CS96,"",'1. Live'!CW96-'check-Jul''26'!CS96)</f>
        <v/>
      </c>
      <c r="CT78" s="25" t="str">
        <f>IF('1. Live'!CX96='check-Jul''26'!CT96,"",'1. Live'!CX96-'check-Jul''26'!CT96)</f>
        <v/>
      </c>
      <c r="CU78" s="25" t="str">
        <f>IF('1. Live'!CY96='check-Jul''26'!CU96,"",'1. Live'!CY96-'check-Jul''26'!CU96)</f>
        <v/>
      </c>
      <c r="CV78" s="25" t="str">
        <f>IF('1. Live'!CZ96='check-Jul''26'!CV96,"",'1. Live'!CZ96-'check-Jul''26'!CV96)</f>
        <v/>
      </c>
    </row>
    <row r="79" spans="17:100" x14ac:dyDescent="0.25">
      <c r="Q79" s="26" t="str">
        <f>IF('1. Live'!N97='check-Jul''26'!I97,"",'1. Live'!N97-'check-Jul''26'!I97)</f>
        <v/>
      </c>
      <c r="R79" s="26" t="str">
        <f>IF('1. Live'!O97='check-Jul''26'!J97,"",'1. Live'!O97-'check-Jul''26'!J97)</f>
        <v/>
      </c>
      <c r="S79" s="26" t="str">
        <f>IF('1. Live'!P97='check-Jul''26'!K97,"",'1. Live'!P97-'check-Jul''26'!K97)</f>
        <v/>
      </c>
      <c r="T79" s="26" t="str">
        <f>IF('1. Live'!Q97='check-Jul''26'!L97,"",'1. Live'!Q97-'check-Jul''26'!L97)</f>
        <v/>
      </c>
      <c r="U79" s="80" t="str">
        <f>IF('1. Live'!R97='check-Jul''26'!M97,"",'1. Live'!R97-'check-Jul''26'!M97)</f>
        <v/>
      </c>
      <c r="V79" s="26" t="str">
        <f>IF('1. Live'!S97='check-Jul''26'!N97,"",'1. Live'!S97-'check-Jul''26'!N97)</f>
        <v/>
      </c>
      <c r="W79" s="25" t="str">
        <f>IF('1. Live'!T97='check-Jul''26'!O97,"",'1. Live'!T97-'check-Jul''26'!O97)</f>
        <v/>
      </c>
      <c r="X79" s="25" t="str">
        <f>IF('1. Live'!U97='check-Jul''26'!Q97,"",'1. Live'!U97-'check-Jul''26'!Q97)</f>
        <v/>
      </c>
      <c r="Y79" s="25" t="str">
        <f>IF('1. Live'!V97='check-Jul''26'!R97,"",'1. Live'!V97-'check-Jul''26'!R97)</f>
        <v/>
      </c>
      <c r="Z79" s="25" t="str">
        <f>IF('1. Live'!W97='check-Jul''26'!S97,"",'1. Live'!W97-'check-Jul''26'!S97)</f>
        <v/>
      </c>
      <c r="AA79" s="25" t="str">
        <f>IF('1. Live'!X97='check-Jul''26'!T97,"",'1. Live'!X97-'check-Jul''26'!T97)</f>
        <v/>
      </c>
      <c r="AB79" s="25" t="str">
        <f>IF('1. Live'!AF97='check-Jul''26'!AB97,"",'1. Live'!AF97-'check-Jul''26'!AB97)</f>
        <v/>
      </c>
      <c r="AC79" s="25" t="str">
        <f>IF('1. Live'!AG97='check-Jul''26'!AC97,"",'1. Live'!AG97-'check-Jul''26'!AC97)</f>
        <v/>
      </c>
      <c r="AD79" s="25" t="str">
        <f>IF('1. Live'!AH97='check-Jul''26'!AD97,"",'1. Live'!AH97-'check-Jul''26'!AD97)</f>
        <v/>
      </c>
      <c r="AE79" s="25" t="str">
        <f>IF('1. Live'!AI97='check-Jul''26'!AE97,"",'1. Live'!AI97-'check-Jul''26'!AE97)</f>
        <v/>
      </c>
      <c r="AF79" s="25" t="str">
        <f>IF('1. Live'!AJ97='check-Jul''26'!AF97,"",'1. Live'!AJ97-'check-Jul''26'!AF97)</f>
        <v/>
      </c>
      <c r="AG79" s="25" t="str">
        <f>IF('1. Live'!AK97='check-Jul''26'!AG97,"",'1. Live'!AK97-'check-Jul''26'!AG97)</f>
        <v/>
      </c>
      <c r="AH79" s="25" t="str">
        <f>IF('1. Live'!AL97='check-Jul''26'!AH97,"",'1. Live'!AL97-'check-Jul''26'!AH97)</f>
        <v/>
      </c>
      <c r="AI79" s="25" t="str">
        <f>IF('1. Live'!AM97='check-Jul''26'!AI97,"",'1. Live'!AM97-'check-Jul''26'!AI97)</f>
        <v/>
      </c>
      <c r="AJ79" s="25" t="str">
        <f>IF('1. Live'!AN97='check-Jul''26'!AJ97,"",'1. Live'!AN97-'check-Jul''26'!AJ97)</f>
        <v/>
      </c>
      <c r="AK79" s="25" t="str">
        <f>IF('1. Live'!AO97='check-Jul''26'!AK97,"",'1. Live'!AO97-'check-Jul''26'!AK97)</f>
        <v/>
      </c>
      <c r="AL79" s="25" t="str">
        <f>IF('1. Live'!AP97='check-Jul''26'!AL97,"",'1. Live'!AP97-'check-Jul''26'!AL97)</f>
        <v/>
      </c>
      <c r="AM79" s="25" t="str">
        <f>IF('1. Live'!AQ97='check-Jul''26'!AM97,"",'1. Live'!AQ97-'check-Jul''26'!AM97)</f>
        <v/>
      </c>
      <c r="AN79" s="25" t="str">
        <f>IF('1. Live'!AR97='check-Jul''26'!AN97,"",'1. Live'!AR97-'check-Jul''26'!AN97)</f>
        <v/>
      </c>
      <c r="AO79" s="25" t="str">
        <f>IF('1. Live'!AS97='check-Jul''26'!AO97,"",'1. Live'!AS97-'check-Jul''26'!AO97)</f>
        <v/>
      </c>
      <c r="AP79" s="25" t="str">
        <f>IF('1. Live'!AT97='check-Jul''26'!AP97,"",'1. Live'!AT97-'check-Jul''26'!AP97)</f>
        <v/>
      </c>
      <c r="AQ79" s="25" t="str">
        <f>IF('1. Live'!AU97='check-Jul''26'!AQ97,"",'1. Live'!AU97-'check-Jul''26'!AQ97)</f>
        <v/>
      </c>
      <c r="AR79" s="25" t="str">
        <f>IF('1. Live'!AV97='check-Jul''26'!AR97,"",'1. Live'!AV97-'check-Jul''26'!AR97)</f>
        <v/>
      </c>
      <c r="AS79" s="25" t="str">
        <f>IF('1. Live'!AW97='check-Jul''26'!AS97,"",'1. Live'!AW97-'check-Jul''26'!AS97)</f>
        <v/>
      </c>
      <c r="AT79" s="25" t="str">
        <f>IF('1. Live'!AX97='check-Jul''26'!AT97,"",'1. Live'!AX97-'check-Jul''26'!AT97)</f>
        <v/>
      </c>
      <c r="AU79" s="25" t="str">
        <f>IF('1. Live'!AY97='check-Jul''26'!AU97,"",'1. Live'!AY97-'check-Jul''26'!AU97)</f>
        <v/>
      </c>
      <c r="AV79" s="25" t="str">
        <f>IF('1. Live'!AZ97='check-Jul''26'!AV97,"",'1. Live'!AZ97-'check-Jul''26'!AV97)</f>
        <v/>
      </c>
      <c r="AW79" s="25" t="str">
        <f>IF('1. Live'!BA97='check-Jul''26'!AW97,"",'1. Live'!BA97-'check-Jul''26'!AW97)</f>
        <v/>
      </c>
      <c r="AX79" s="25" t="str">
        <f>IF('1. Live'!BB97='check-Jul''26'!AX97,"",'1. Live'!BB97-'check-Jul''26'!AX97)</f>
        <v/>
      </c>
      <c r="AY79" s="25" t="str">
        <f>IF('1. Live'!BC97='check-Jul''26'!AY97,"",'1. Live'!BC97-'check-Jul''26'!AY97)</f>
        <v/>
      </c>
      <c r="AZ79" s="25" t="str">
        <f>IF('1. Live'!BD97='check-Jul''26'!AZ97,"",'1. Live'!BD97-'check-Jul''26'!AZ97)</f>
        <v/>
      </c>
      <c r="BA79" s="25" t="str">
        <f>IF('1. Live'!BE97='check-Jul''26'!BA97,"",'1. Live'!BE97-'check-Jul''26'!BA97)</f>
        <v/>
      </c>
      <c r="BB79" s="25" t="str">
        <f>IF('1. Live'!BF97='check-Jul''26'!BB97,"",'1. Live'!BF97-'check-Jul''26'!BB97)</f>
        <v/>
      </c>
      <c r="BC79" s="25" t="str">
        <f>IF('1. Live'!BG97='check-Jul''26'!BC97,"",'1. Live'!BG97-'check-Jul''26'!BC97)</f>
        <v/>
      </c>
      <c r="BD79" s="25" t="str">
        <f>IF('1. Live'!BH97='check-Jul''26'!BD97,"",'1. Live'!BH97-'check-Jul''26'!BD97)</f>
        <v/>
      </c>
      <c r="BE79" s="25" t="str">
        <f>IF('1. Live'!BI97='check-Jul''26'!BE97,"",'1. Live'!BI97-'check-Jul''26'!BE97)</f>
        <v/>
      </c>
      <c r="BF79" s="25" t="str">
        <f>IF('1. Live'!BJ97='check-Jul''26'!BF97,"",'1. Live'!BJ97-'check-Jul''26'!BF97)</f>
        <v/>
      </c>
      <c r="BG79" s="25" t="str">
        <f>IF('1. Live'!BK97='check-Jul''26'!BG97,"",'1. Live'!BK97-'check-Jul''26'!BG97)</f>
        <v/>
      </c>
      <c r="BH79" s="25" t="str">
        <f>IF('1. Live'!BL97='check-Jul''26'!BH97,"",'1. Live'!BL97-'check-Jul''26'!BH97)</f>
        <v/>
      </c>
      <c r="BI79" s="25" t="str">
        <f>IF('1. Live'!BM97='check-Jul''26'!BI97,"",'1. Live'!BM97-'check-Jul''26'!BI97)</f>
        <v/>
      </c>
      <c r="BJ79" s="25" t="str">
        <f>IF('1. Live'!BN97='check-Jul''26'!BJ97,"",'1. Live'!BN97-'check-Jul''26'!BJ97)</f>
        <v/>
      </c>
      <c r="BK79" s="25" t="str">
        <f>IF('1. Live'!BO97='check-Jul''26'!BK97,"",'1. Live'!BO97-'check-Jul''26'!BK97)</f>
        <v/>
      </c>
      <c r="BL79" s="25" t="str">
        <f>IF('1. Live'!BP97='check-Jul''26'!BL97,"",'1. Live'!BP97-'check-Jul''26'!BL97)</f>
        <v/>
      </c>
      <c r="BM79" s="25" t="str">
        <f>IF('1. Live'!BQ97='check-Jul''26'!BM97,"",'1. Live'!BQ97-'check-Jul''26'!BM97)</f>
        <v/>
      </c>
      <c r="BN79" s="25" t="str">
        <f>IF('1. Live'!BR97='check-Jul''26'!BN97,"",'1. Live'!BR97-'check-Jul''26'!BN97)</f>
        <v/>
      </c>
      <c r="BO79" s="25" t="str">
        <f>IF('1. Live'!BS97='check-Jul''26'!BO97,"",'1. Live'!BS97-'check-Jul''26'!BO97)</f>
        <v/>
      </c>
      <c r="BP79" s="25" t="str">
        <f>IF('1. Live'!BT97='check-Jul''26'!BP97,"",'1. Live'!BT97-'check-Jul''26'!BP97)</f>
        <v/>
      </c>
      <c r="BQ79" s="25" t="str">
        <f>IF('1. Live'!BU97='check-Jul''26'!BQ97,"",'1. Live'!BU97-'check-Jul''26'!BQ97)</f>
        <v/>
      </c>
      <c r="BR79" s="25" t="str">
        <f>IF('1. Live'!BV97='check-Jul''26'!BR97,"",'1. Live'!BV97-'check-Jul''26'!BR97)</f>
        <v/>
      </c>
      <c r="BS79" s="25" t="str">
        <f>IF('1. Live'!BW97='check-Jul''26'!BS97,"",'1. Live'!BW97-'check-Jul''26'!BS97)</f>
        <v/>
      </c>
      <c r="BT79" s="25" t="str">
        <f>IF('1. Live'!BX97='check-Jul''26'!BT97,"",'1. Live'!BX97-'check-Jul''26'!BT97)</f>
        <v/>
      </c>
      <c r="BU79" s="25" t="str">
        <f>IF('1. Live'!BY97='check-Jul''26'!BU97,"",'1. Live'!BY97-'check-Jul''26'!BU97)</f>
        <v/>
      </c>
      <c r="BV79" s="25" t="str">
        <f>IF('1. Live'!BZ97='check-Jul''26'!BV97,"",'1. Live'!BZ97-'check-Jul''26'!BV97)</f>
        <v/>
      </c>
      <c r="BW79" s="25" t="str">
        <f>IF('1. Live'!CA97='check-Jul''26'!BW97,"",'1. Live'!CA97-'check-Jul''26'!BW97)</f>
        <v/>
      </c>
      <c r="BX79" s="25" t="str">
        <f>IF('1. Live'!CB97='check-Jul''26'!BX97,"",'1. Live'!CB97-'check-Jul''26'!BX97)</f>
        <v/>
      </c>
      <c r="BY79" s="25" t="str">
        <f>IF('1. Live'!CC97='check-Jul''26'!BY97,"",'1. Live'!CC97-'check-Jul''26'!BY97)</f>
        <v/>
      </c>
      <c r="BZ79" s="25" t="str">
        <f>IF('1. Live'!CD97='check-Jul''26'!BZ97,"",'1. Live'!CD97-'check-Jul''26'!BZ97)</f>
        <v/>
      </c>
      <c r="CA79" s="25" t="str">
        <f>IF('1. Live'!CE97='check-Jul''26'!CA97,"",'1. Live'!CE97-'check-Jul''26'!CA97)</f>
        <v/>
      </c>
      <c r="CB79" s="25" t="str">
        <f>IF('1. Live'!CF97='check-Jul''26'!CB97,"",'1. Live'!CF97-'check-Jul''26'!CB97)</f>
        <v/>
      </c>
      <c r="CC79" s="25" t="str">
        <f>IF('1. Live'!CG97='check-Jul''26'!CC97,"",'1. Live'!CG97-'check-Jul''26'!CC97)</f>
        <v/>
      </c>
      <c r="CD79" s="25" t="str">
        <f>IF('1. Live'!CH97='check-Jul''26'!CD97,"",'1. Live'!CH97-'check-Jul''26'!CD97)</f>
        <v/>
      </c>
      <c r="CE79" s="25" t="str">
        <f>IF('1. Live'!CI97='check-Jul''26'!CE97,"",'1. Live'!CI97-'check-Jul''26'!CE97)</f>
        <v/>
      </c>
      <c r="CF79" s="25" t="str">
        <f>IF('1. Live'!CJ97='check-Jul''26'!CF97,"",'1. Live'!CJ97-'check-Jul''26'!CF97)</f>
        <v/>
      </c>
      <c r="CG79" s="25" t="str">
        <f>IF('1. Live'!CK97='check-Jul''26'!CG97,"",'1. Live'!CK97-'check-Jul''26'!CG97)</f>
        <v/>
      </c>
      <c r="CH79" s="25" t="str">
        <f>IF('1. Live'!CL97='check-Jul''26'!CH97,"",'1. Live'!CL97-'check-Jul''26'!CH97)</f>
        <v/>
      </c>
      <c r="CI79" s="25" t="str">
        <f>IF('1. Live'!CM97='check-Jul''26'!CI97,"",'1. Live'!CM97-'check-Jul''26'!CI97)</f>
        <v/>
      </c>
      <c r="CJ79" s="25" t="str">
        <f>IF('1. Live'!CN97='check-Jul''26'!CJ97,"",'1. Live'!CN97-'check-Jul''26'!CJ97)</f>
        <v/>
      </c>
      <c r="CK79" s="25" t="str">
        <f>IF('1. Live'!CO97='check-Jul''26'!CK97,"",'1. Live'!CO97-'check-Jul''26'!CK97)</f>
        <v/>
      </c>
      <c r="CL79" s="25" t="str">
        <f>IF('1. Live'!CP97='check-Jul''26'!CL97,"",'1. Live'!CP97-'check-Jul''26'!CL97)</f>
        <v/>
      </c>
      <c r="CM79" s="25" t="str">
        <f>IF('1. Live'!CQ97='check-Jul''26'!CM97,"",'1. Live'!CQ97-'check-Jul''26'!CM97)</f>
        <v/>
      </c>
      <c r="CN79" s="25" t="str">
        <f>IF('1. Live'!CR97='check-Jul''26'!CN97,"",'1. Live'!CR97-'check-Jul''26'!CN97)</f>
        <v/>
      </c>
      <c r="CO79" s="25" t="str">
        <f>IF('1. Live'!CS97='check-Jul''26'!CO97,"",'1. Live'!CS97-'check-Jul''26'!CO97)</f>
        <v/>
      </c>
      <c r="CP79" s="25" t="str">
        <f>IF('1. Live'!CT97='check-Jul''26'!CP97,"",'1. Live'!CT97-'check-Jul''26'!CP97)</f>
        <v/>
      </c>
      <c r="CQ79" s="25" t="str">
        <f>IF('1. Live'!CU97='check-Jul''26'!CQ97,"",'1. Live'!CU97-'check-Jul''26'!CQ97)</f>
        <v/>
      </c>
      <c r="CR79" s="25" t="str">
        <f>IF('1. Live'!CV97='check-Jul''26'!CR97,"",'1. Live'!CV97-'check-Jul''26'!CR97)</f>
        <v/>
      </c>
      <c r="CS79" s="25" t="str">
        <f>IF('1. Live'!CW97='check-Jul''26'!CS97,"",'1. Live'!CW97-'check-Jul''26'!CS97)</f>
        <v/>
      </c>
      <c r="CT79" s="25" t="str">
        <f>IF('1. Live'!CX97='check-Jul''26'!CT97,"",'1. Live'!CX97-'check-Jul''26'!CT97)</f>
        <v/>
      </c>
      <c r="CU79" s="25" t="str">
        <f>IF('1. Live'!CY97='check-Jul''26'!CU97,"",'1. Live'!CY97-'check-Jul''26'!CU97)</f>
        <v/>
      </c>
      <c r="CV79" s="25" t="str">
        <f>IF('1. Live'!CZ97='check-Jul''26'!CV97,"",'1. Live'!CZ97-'check-Jul''26'!CV97)</f>
        <v/>
      </c>
    </row>
    <row r="80" spans="17:100" x14ac:dyDescent="0.25">
      <c r="Q80" s="26" t="str">
        <f>IF('1. Live'!N98='check-Jul''26'!I98,"",'1. Live'!N98-'check-Jul''26'!I98)</f>
        <v/>
      </c>
      <c r="R80" s="26" t="str">
        <f>IF('1. Live'!O98='check-Jul''26'!J98,"",'1. Live'!O98-'check-Jul''26'!J98)</f>
        <v/>
      </c>
      <c r="S80" s="26" t="str">
        <f>IF('1. Live'!P98='check-Jul''26'!K98,"",'1. Live'!P98-'check-Jul''26'!K98)</f>
        <v/>
      </c>
      <c r="T80" s="26" t="str">
        <f>IF('1. Live'!Q98='check-Jul''26'!L98,"",'1. Live'!Q98-'check-Jul''26'!L98)</f>
        <v/>
      </c>
      <c r="U80" s="80" t="str">
        <f>IF('1. Live'!R98='check-Jul''26'!M98,"",'1. Live'!R98-'check-Jul''26'!M98)</f>
        <v/>
      </c>
      <c r="V80" s="26" t="str">
        <f>IF('1. Live'!S98='check-Jul''26'!N98,"",'1. Live'!S98-'check-Jul''26'!N98)</f>
        <v/>
      </c>
      <c r="W80" s="25" t="str">
        <f>IF('1. Live'!T98='check-Jul''26'!O98,"",'1. Live'!T98-'check-Jul''26'!O98)</f>
        <v/>
      </c>
      <c r="X80" s="25" t="str">
        <f>IF('1. Live'!U98='check-Jul''26'!Q98,"",'1. Live'!U98-'check-Jul''26'!Q98)</f>
        <v/>
      </c>
      <c r="Y80" s="25" t="str">
        <f>IF('1. Live'!V98='check-Jul''26'!R98,"",'1. Live'!V98-'check-Jul''26'!R98)</f>
        <v/>
      </c>
      <c r="Z80" s="25" t="str">
        <f>IF('1. Live'!W98='check-Jul''26'!S98,"",'1. Live'!W98-'check-Jul''26'!S98)</f>
        <v/>
      </c>
      <c r="AA80" s="25" t="str">
        <f>IF('1. Live'!X98='check-Jul''26'!T98,"",'1. Live'!X98-'check-Jul''26'!T98)</f>
        <v/>
      </c>
      <c r="AB80" s="25" t="str">
        <f>IF('1. Live'!AF98='check-Jul''26'!AB98,"",'1. Live'!AF98-'check-Jul''26'!AB98)</f>
        <v/>
      </c>
      <c r="AC80" s="25" t="str">
        <f>IF('1. Live'!AG98='check-Jul''26'!AC98,"",'1. Live'!AG98-'check-Jul''26'!AC98)</f>
        <v/>
      </c>
      <c r="AD80" s="25" t="str">
        <f>IF('1. Live'!AH98='check-Jul''26'!AD98,"",'1. Live'!AH98-'check-Jul''26'!AD98)</f>
        <v/>
      </c>
      <c r="AE80" s="25" t="str">
        <f>IF('1. Live'!AI98='check-Jul''26'!AE98,"",'1. Live'!AI98-'check-Jul''26'!AE98)</f>
        <v/>
      </c>
      <c r="AF80" s="25" t="str">
        <f>IF('1. Live'!AJ98='check-Jul''26'!AF98,"",'1. Live'!AJ98-'check-Jul''26'!AF98)</f>
        <v/>
      </c>
      <c r="AG80" s="25" t="str">
        <f>IF('1. Live'!AK98='check-Jul''26'!AG98,"",'1. Live'!AK98-'check-Jul''26'!AG98)</f>
        <v/>
      </c>
      <c r="AH80" s="25" t="str">
        <f>IF('1. Live'!AL98='check-Jul''26'!AH98,"",'1. Live'!AL98-'check-Jul''26'!AH98)</f>
        <v/>
      </c>
      <c r="AI80" s="25" t="str">
        <f>IF('1. Live'!AM98='check-Jul''26'!AI98,"",'1. Live'!AM98-'check-Jul''26'!AI98)</f>
        <v/>
      </c>
      <c r="AJ80" s="25" t="str">
        <f>IF('1. Live'!AN98='check-Jul''26'!AJ98,"",'1. Live'!AN98-'check-Jul''26'!AJ98)</f>
        <v/>
      </c>
      <c r="AK80" s="25" t="str">
        <f>IF('1. Live'!AO98='check-Jul''26'!AK98,"",'1. Live'!AO98-'check-Jul''26'!AK98)</f>
        <v/>
      </c>
      <c r="AL80" s="25" t="str">
        <f>IF('1. Live'!AP98='check-Jul''26'!AL98,"",'1. Live'!AP98-'check-Jul''26'!AL98)</f>
        <v/>
      </c>
      <c r="AM80" s="25" t="str">
        <f>IF('1. Live'!AQ98='check-Jul''26'!AM98,"",'1. Live'!AQ98-'check-Jul''26'!AM98)</f>
        <v/>
      </c>
      <c r="AN80" s="25" t="str">
        <f>IF('1. Live'!AR98='check-Jul''26'!AN98,"",'1. Live'!AR98-'check-Jul''26'!AN98)</f>
        <v/>
      </c>
      <c r="AO80" s="25" t="str">
        <f>IF('1. Live'!AS98='check-Jul''26'!AO98,"",'1. Live'!AS98-'check-Jul''26'!AO98)</f>
        <v/>
      </c>
      <c r="AP80" s="25" t="str">
        <f>IF('1. Live'!AT98='check-Jul''26'!AP98,"",'1. Live'!AT98-'check-Jul''26'!AP98)</f>
        <v/>
      </c>
      <c r="AQ80" s="25" t="str">
        <f>IF('1. Live'!AU98='check-Jul''26'!AQ98,"",'1. Live'!AU98-'check-Jul''26'!AQ98)</f>
        <v/>
      </c>
      <c r="AR80" s="25" t="str">
        <f>IF('1. Live'!AV98='check-Jul''26'!AR98,"",'1. Live'!AV98-'check-Jul''26'!AR98)</f>
        <v/>
      </c>
      <c r="AS80" s="25" t="str">
        <f>IF('1. Live'!AW98='check-Jul''26'!AS98,"",'1. Live'!AW98-'check-Jul''26'!AS98)</f>
        <v/>
      </c>
      <c r="AT80" s="25" t="str">
        <f>IF('1. Live'!AX98='check-Jul''26'!AT98,"",'1. Live'!AX98-'check-Jul''26'!AT98)</f>
        <v/>
      </c>
      <c r="AU80" s="25" t="str">
        <f>IF('1. Live'!AY98='check-Jul''26'!AU98,"",'1. Live'!AY98-'check-Jul''26'!AU98)</f>
        <v/>
      </c>
      <c r="AV80" s="25" t="str">
        <f>IF('1. Live'!AZ98='check-Jul''26'!AV98,"",'1. Live'!AZ98-'check-Jul''26'!AV98)</f>
        <v/>
      </c>
      <c r="AW80" s="25" t="str">
        <f>IF('1. Live'!BA98='check-Jul''26'!AW98,"",'1. Live'!BA98-'check-Jul''26'!AW98)</f>
        <v/>
      </c>
      <c r="AX80" s="25" t="str">
        <f>IF('1. Live'!BB98='check-Jul''26'!AX98,"",'1. Live'!BB98-'check-Jul''26'!AX98)</f>
        <v/>
      </c>
      <c r="AY80" s="25" t="str">
        <f>IF('1. Live'!BC98='check-Jul''26'!AY98,"",'1. Live'!BC98-'check-Jul''26'!AY98)</f>
        <v/>
      </c>
      <c r="AZ80" s="25" t="str">
        <f>IF('1. Live'!BD98='check-Jul''26'!AZ98,"",'1. Live'!BD98-'check-Jul''26'!AZ98)</f>
        <v/>
      </c>
      <c r="BA80" s="25" t="str">
        <f>IF('1. Live'!BE98='check-Jul''26'!BA98,"",'1. Live'!BE98-'check-Jul''26'!BA98)</f>
        <v/>
      </c>
      <c r="BB80" s="25" t="str">
        <f>IF('1. Live'!BF98='check-Jul''26'!BB98,"",'1. Live'!BF98-'check-Jul''26'!BB98)</f>
        <v/>
      </c>
      <c r="BC80" s="25" t="str">
        <f>IF('1. Live'!BG98='check-Jul''26'!BC98,"",'1. Live'!BG98-'check-Jul''26'!BC98)</f>
        <v/>
      </c>
      <c r="BD80" s="25" t="str">
        <f>IF('1. Live'!BH98='check-Jul''26'!BD98,"",'1. Live'!BH98-'check-Jul''26'!BD98)</f>
        <v/>
      </c>
      <c r="BE80" s="25" t="str">
        <f>IF('1. Live'!BI98='check-Jul''26'!BE98,"",'1. Live'!BI98-'check-Jul''26'!BE98)</f>
        <v/>
      </c>
      <c r="BF80" s="25" t="str">
        <f>IF('1. Live'!BJ98='check-Jul''26'!BF98,"",'1. Live'!BJ98-'check-Jul''26'!BF98)</f>
        <v/>
      </c>
      <c r="BG80" s="25" t="str">
        <f>IF('1. Live'!BK98='check-Jul''26'!BG98,"",'1. Live'!BK98-'check-Jul''26'!BG98)</f>
        <v/>
      </c>
      <c r="BH80" s="25" t="str">
        <f>IF('1. Live'!BL98='check-Jul''26'!BH98,"",'1. Live'!BL98-'check-Jul''26'!BH98)</f>
        <v/>
      </c>
      <c r="BI80" s="25" t="str">
        <f>IF('1. Live'!BM98='check-Jul''26'!BI98,"",'1. Live'!BM98-'check-Jul''26'!BI98)</f>
        <v/>
      </c>
      <c r="BJ80" s="25" t="str">
        <f>IF('1. Live'!BN98='check-Jul''26'!BJ98,"",'1. Live'!BN98-'check-Jul''26'!BJ98)</f>
        <v/>
      </c>
      <c r="BK80" s="25" t="str">
        <f>IF('1. Live'!BO98='check-Jul''26'!BK98,"",'1. Live'!BO98-'check-Jul''26'!BK98)</f>
        <v/>
      </c>
      <c r="BL80" s="25" t="str">
        <f>IF('1. Live'!BP98='check-Jul''26'!BL98,"",'1. Live'!BP98-'check-Jul''26'!BL98)</f>
        <v/>
      </c>
      <c r="BM80" s="25" t="str">
        <f>IF('1. Live'!BQ98='check-Jul''26'!BM98,"",'1. Live'!BQ98-'check-Jul''26'!BM98)</f>
        <v/>
      </c>
      <c r="BN80" s="25" t="str">
        <f>IF('1. Live'!BR98='check-Jul''26'!BN98,"",'1. Live'!BR98-'check-Jul''26'!BN98)</f>
        <v/>
      </c>
      <c r="BO80" s="25" t="str">
        <f>IF('1. Live'!BS98='check-Jul''26'!BO98,"",'1. Live'!BS98-'check-Jul''26'!BO98)</f>
        <v/>
      </c>
      <c r="BP80" s="25" t="str">
        <f>IF('1. Live'!BT98='check-Jul''26'!BP98,"",'1. Live'!BT98-'check-Jul''26'!BP98)</f>
        <v/>
      </c>
      <c r="BQ80" s="25" t="str">
        <f>IF('1. Live'!BU98='check-Jul''26'!BQ98,"",'1. Live'!BU98-'check-Jul''26'!BQ98)</f>
        <v/>
      </c>
      <c r="BR80" s="25" t="str">
        <f>IF('1. Live'!BV98='check-Jul''26'!BR98,"",'1. Live'!BV98-'check-Jul''26'!BR98)</f>
        <v/>
      </c>
      <c r="BS80" s="25" t="str">
        <f>IF('1. Live'!BW98='check-Jul''26'!BS98,"",'1. Live'!BW98-'check-Jul''26'!BS98)</f>
        <v/>
      </c>
      <c r="BT80" s="25" t="str">
        <f>IF('1. Live'!BX98='check-Jul''26'!BT98,"",'1. Live'!BX98-'check-Jul''26'!BT98)</f>
        <v/>
      </c>
      <c r="BU80" s="25" t="str">
        <f>IF('1. Live'!BY98='check-Jul''26'!BU98,"",'1. Live'!BY98-'check-Jul''26'!BU98)</f>
        <v/>
      </c>
      <c r="BV80" s="25" t="str">
        <f>IF('1. Live'!BZ98='check-Jul''26'!BV98,"",'1. Live'!BZ98-'check-Jul''26'!BV98)</f>
        <v/>
      </c>
      <c r="BW80" s="25" t="str">
        <f>IF('1. Live'!CA98='check-Jul''26'!BW98,"",'1. Live'!CA98-'check-Jul''26'!BW98)</f>
        <v/>
      </c>
      <c r="BX80" s="25" t="str">
        <f>IF('1. Live'!CB98='check-Jul''26'!BX98,"",'1. Live'!CB98-'check-Jul''26'!BX98)</f>
        <v/>
      </c>
      <c r="BY80" s="25" t="str">
        <f>IF('1. Live'!CC98='check-Jul''26'!BY98,"",'1. Live'!CC98-'check-Jul''26'!BY98)</f>
        <v/>
      </c>
      <c r="BZ80" s="25" t="str">
        <f>IF('1. Live'!CD98='check-Jul''26'!BZ98,"",'1. Live'!CD98-'check-Jul''26'!BZ98)</f>
        <v/>
      </c>
      <c r="CA80" s="25" t="str">
        <f>IF('1. Live'!CE98='check-Jul''26'!CA98,"",'1. Live'!CE98-'check-Jul''26'!CA98)</f>
        <v/>
      </c>
      <c r="CB80" s="25" t="str">
        <f>IF('1. Live'!CF98='check-Jul''26'!CB98,"",'1. Live'!CF98-'check-Jul''26'!CB98)</f>
        <v/>
      </c>
      <c r="CC80" s="25" t="str">
        <f>IF('1. Live'!CG98='check-Jul''26'!CC98,"",'1. Live'!CG98-'check-Jul''26'!CC98)</f>
        <v/>
      </c>
      <c r="CD80" s="25" t="str">
        <f>IF('1. Live'!CH98='check-Jul''26'!CD98,"",'1. Live'!CH98-'check-Jul''26'!CD98)</f>
        <v/>
      </c>
      <c r="CE80" s="25" t="str">
        <f>IF('1. Live'!CI98='check-Jul''26'!CE98,"",'1. Live'!CI98-'check-Jul''26'!CE98)</f>
        <v/>
      </c>
      <c r="CF80" s="25" t="str">
        <f>IF('1. Live'!CJ98='check-Jul''26'!CF98,"",'1. Live'!CJ98-'check-Jul''26'!CF98)</f>
        <v/>
      </c>
      <c r="CG80" s="25" t="str">
        <f>IF('1. Live'!CK98='check-Jul''26'!CG98,"",'1. Live'!CK98-'check-Jul''26'!CG98)</f>
        <v/>
      </c>
      <c r="CH80" s="25" t="str">
        <f>IF('1. Live'!CL98='check-Jul''26'!CH98,"",'1. Live'!CL98-'check-Jul''26'!CH98)</f>
        <v/>
      </c>
      <c r="CI80" s="25" t="str">
        <f>IF('1. Live'!CM98='check-Jul''26'!CI98,"",'1. Live'!CM98-'check-Jul''26'!CI98)</f>
        <v/>
      </c>
      <c r="CJ80" s="25" t="str">
        <f>IF('1. Live'!CN98='check-Jul''26'!CJ98,"",'1. Live'!CN98-'check-Jul''26'!CJ98)</f>
        <v/>
      </c>
      <c r="CK80" s="25" t="str">
        <f>IF('1. Live'!CO98='check-Jul''26'!CK98,"",'1. Live'!CO98-'check-Jul''26'!CK98)</f>
        <v/>
      </c>
      <c r="CL80" s="25" t="str">
        <f>IF('1. Live'!CP98='check-Jul''26'!CL98,"",'1. Live'!CP98-'check-Jul''26'!CL98)</f>
        <v/>
      </c>
      <c r="CM80" s="25" t="str">
        <f>IF('1. Live'!CQ98='check-Jul''26'!CM98,"",'1. Live'!CQ98-'check-Jul''26'!CM98)</f>
        <v/>
      </c>
      <c r="CN80" s="25" t="str">
        <f>IF('1. Live'!CR98='check-Jul''26'!CN98,"",'1. Live'!CR98-'check-Jul''26'!CN98)</f>
        <v/>
      </c>
      <c r="CO80" s="25" t="str">
        <f>IF('1. Live'!CS98='check-Jul''26'!CO98,"",'1. Live'!CS98-'check-Jul''26'!CO98)</f>
        <v/>
      </c>
      <c r="CP80" s="25" t="str">
        <f>IF('1. Live'!CT98='check-Jul''26'!CP98,"",'1. Live'!CT98-'check-Jul''26'!CP98)</f>
        <v/>
      </c>
      <c r="CQ80" s="25" t="str">
        <f>IF('1. Live'!CU98='check-Jul''26'!CQ98,"",'1. Live'!CU98-'check-Jul''26'!CQ98)</f>
        <v/>
      </c>
      <c r="CR80" s="25" t="str">
        <f>IF('1. Live'!CV98='check-Jul''26'!CR98,"",'1. Live'!CV98-'check-Jul''26'!CR98)</f>
        <v/>
      </c>
      <c r="CS80" s="25" t="str">
        <f>IF('1. Live'!CW98='check-Jul''26'!CS98,"",'1. Live'!CW98-'check-Jul''26'!CS98)</f>
        <v/>
      </c>
      <c r="CT80" s="25" t="str">
        <f>IF('1. Live'!CX98='check-Jul''26'!CT98,"",'1. Live'!CX98-'check-Jul''26'!CT98)</f>
        <v/>
      </c>
      <c r="CU80" s="25" t="str">
        <f>IF('1. Live'!CY98='check-Jul''26'!CU98,"",'1. Live'!CY98-'check-Jul''26'!CU98)</f>
        <v/>
      </c>
      <c r="CV80" s="25" t="str">
        <f>IF('1. Live'!CZ98='check-Jul''26'!CV98,"",'1. Live'!CZ98-'check-Jul''26'!CV98)</f>
        <v/>
      </c>
    </row>
    <row r="81" spans="17:100" x14ac:dyDescent="0.25">
      <c r="Q81" s="26" t="str">
        <f>IF('1. Live'!N99='check-Jul''26'!I99,"",'1. Live'!N99-'check-Jul''26'!I99)</f>
        <v/>
      </c>
      <c r="R81" s="26" t="str">
        <f>IF('1. Live'!O99='check-Jul''26'!J99,"",'1. Live'!O99-'check-Jul''26'!J99)</f>
        <v/>
      </c>
      <c r="S81" s="26" t="str">
        <f>IF('1. Live'!P99='check-Jul''26'!K99,"",'1. Live'!P99-'check-Jul''26'!K99)</f>
        <v/>
      </c>
      <c r="T81" s="26" t="str">
        <f>IF('1. Live'!Q99='check-Jul''26'!L99,"",'1. Live'!Q99-'check-Jul''26'!L99)</f>
        <v/>
      </c>
      <c r="U81" s="80" t="str">
        <f>IF('1. Live'!R99='check-Jul''26'!M99,"",'1. Live'!R99-'check-Jul''26'!M99)</f>
        <v/>
      </c>
      <c r="V81" s="26" t="str">
        <f>IF('1. Live'!S99='check-Jul''26'!N99,"",'1. Live'!S99-'check-Jul''26'!N99)</f>
        <v/>
      </c>
      <c r="W81" s="25" t="str">
        <f>IF('1. Live'!T99='check-Jul''26'!O99,"",'1. Live'!T99-'check-Jul''26'!O99)</f>
        <v/>
      </c>
      <c r="X81" s="25" t="str">
        <f>IF('1. Live'!U99='check-Jul''26'!Q99,"",'1. Live'!U99-'check-Jul''26'!Q99)</f>
        <v/>
      </c>
      <c r="Y81" s="25" t="str">
        <f>IF('1. Live'!V99='check-Jul''26'!R99,"",'1. Live'!V99-'check-Jul''26'!R99)</f>
        <v/>
      </c>
      <c r="Z81" s="25" t="str">
        <f>IF('1. Live'!W99='check-Jul''26'!S99,"",'1. Live'!W99-'check-Jul''26'!S99)</f>
        <v/>
      </c>
      <c r="AA81" s="25" t="str">
        <f>IF('1. Live'!X99='check-Jul''26'!T99,"",'1. Live'!X99-'check-Jul''26'!T99)</f>
        <v/>
      </c>
      <c r="AB81" s="25" t="str">
        <f>IF('1. Live'!AF99='check-Jul''26'!AB99,"",'1. Live'!AF99-'check-Jul''26'!AB99)</f>
        <v/>
      </c>
      <c r="AC81" s="25" t="str">
        <f>IF('1. Live'!AG99='check-Jul''26'!AC99,"",'1. Live'!AG99-'check-Jul''26'!AC99)</f>
        <v/>
      </c>
      <c r="AD81" s="25" t="str">
        <f>IF('1. Live'!AH99='check-Jul''26'!AD99,"",'1. Live'!AH99-'check-Jul''26'!AD99)</f>
        <v/>
      </c>
      <c r="AE81" s="25" t="str">
        <f>IF('1. Live'!AI99='check-Jul''26'!AE99,"",'1. Live'!AI99-'check-Jul''26'!AE99)</f>
        <v/>
      </c>
      <c r="AF81" s="25" t="str">
        <f>IF('1. Live'!AJ99='check-Jul''26'!AF99,"",'1. Live'!AJ99-'check-Jul''26'!AF99)</f>
        <v/>
      </c>
      <c r="AG81" s="25" t="str">
        <f>IF('1. Live'!AK99='check-Jul''26'!AG99,"",'1. Live'!AK99-'check-Jul''26'!AG99)</f>
        <v/>
      </c>
      <c r="AH81" s="25" t="str">
        <f>IF('1. Live'!AL99='check-Jul''26'!AH99,"",'1. Live'!AL99-'check-Jul''26'!AH99)</f>
        <v/>
      </c>
      <c r="AI81" s="25" t="str">
        <f>IF('1. Live'!AM99='check-Jul''26'!AI99,"",'1. Live'!AM99-'check-Jul''26'!AI99)</f>
        <v/>
      </c>
      <c r="AJ81" s="25" t="str">
        <f>IF('1. Live'!AN99='check-Jul''26'!AJ99,"",'1. Live'!AN99-'check-Jul''26'!AJ99)</f>
        <v/>
      </c>
      <c r="AK81" s="25" t="str">
        <f>IF('1. Live'!AO99='check-Jul''26'!AK99,"",'1. Live'!AO99-'check-Jul''26'!AK99)</f>
        <v/>
      </c>
      <c r="AL81" s="25" t="str">
        <f>IF('1. Live'!AP99='check-Jul''26'!AL99,"",'1. Live'!AP99-'check-Jul''26'!AL99)</f>
        <v/>
      </c>
      <c r="AM81" s="25" t="str">
        <f>IF('1. Live'!AQ99='check-Jul''26'!AM99,"",'1. Live'!AQ99-'check-Jul''26'!AM99)</f>
        <v/>
      </c>
      <c r="AN81" s="25" t="str">
        <f>IF('1. Live'!AR99='check-Jul''26'!AN99,"",'1. Live'!AR99-'check-Jul''26'!AN99)</f>
        <v/>
      </c>
      <c r="AO81" s="25" t="str">
        <f>IF('1. Live'!AS99='check-Jul''26'!AO99,"",'1. Live'!AS99-'check-Jul''26'!AO99)</f>
        <v/>
      </c>
      <c r="AP81" s="25" t="str">
        <f>IF('1. Live'!AT99='check-Jul''26'!AP99,"",'1. Live'!AT99-'check-Jul''26'!AP99)</f>
        <v/>
      </c>
      <c r="AQ81" s="25" t="str">
        <f>IF('1. Live'!AU99='check-Jul''26'!AQ99,"",'1. Live'!AU99-'check-Jul''26'!AQ99)</f>
        <v/>
      </c>
      <c r="AR81" s="25" t="str">
        <f>IF('1. Live'!AV99='check-Jul''26'!AR99,"",'1. Live'!AV99-'check-Jul''26'!AR99)</f>
        <v/>
      </c>
      <c r="AS81" s="25" t="str">
        <f>IF('1. Live'!AW99='check-Jul''26'!AS99,"",'1. Live'!AW99-'check-Jul''26'!AS99)</f>
        <v/>
      </c>
      <c r="AT81" s="25" t="str">
        <f>IF('1. Live'!AX99='check-Jul''26'!AT99,"",'1. Live'!AX99-'check-Jul''26'!AT99)</f>
        <v/>
      </c>
      <c r="AU81" s="25" t="str">
        <f>IF('1. Live'!AY99='check-Jul''26'!AU99,"",'1. Live'!AY99-'check-Jul''26'!AU99)</f>
        <v/>
      </c>
      <c r="AV81" s="25" t="str">
        <f>IF('1. Live'!AZ99='check-Jul''26'!AV99,"",'1. Live'!AZ99-'check-Jul''26'!AV99)</f>
        <v/>
      </c>
      <c r="AW81" s="25" t="str">
        <f>IF('1. Live'!BA99='check-Jul''26'!AW99,"",'1. Live'!BA99-'check-Jul''26'!AW99)</f>
        <v/>
      </c>
      <c r="AX81" s="25" t="str">
        <f>IF('1. Live'!BB99='check-Jul''26'!AX99,"",'1. Live'!BB99-'check-Jul''26'!AX99)</f>
        <v/>
      </c>
      <c r="AY81" s="25" t="str">
        <f>IF('1. Live'!BC99='check-Jul''26'!AY99,"",'1. Live'!BC99-'check-Jul''26'!AY99)</f>
        <v/>
      </c>
      <c r="AZ81" s="25" t="str">
        <f>IF('1. Live'!BD99='check-Jul''26'!AZ99,"",'1. Live'!BD99-'check-Jul''26'!AZ99)</f>
        <v/>
      </c>
      <c r="BA81" s="25" t="str">
        <f>IF('1. Live'!BE99='check-Jul''26'!BA99,"",'1. Live'!BE99-'check-Jul''26'!BA99)</f>
        <v/>
      </c>
      <c r="BB81" s="25" t="str">
        <f>IF('1. Live'!BF99='check-Jul''26'!BB99,"",'1. Live'!BF99-'check-Jul''26'!BB99)</f>
        <v/>
      </c>
      <c r="BC81" s="25" t="str">
        <f>IF('1. Live'!BG99='check-Jul''26'!BC99,"",'1. Live'!BG99-'check-Jul''26'!BC99)</f>
        <v/>
      </c>
      <c r="BD81" s="25" t="str">
        <f>IF('1. Live'!BH99='check-Jul''26'!BD99,"",'1. Live'!BH99-'check-Jul''26'!BD99)</f>
        <v/>
      </c>
      <c r="BE81" s="25" t="str">
        <f>IF('1. Live'!BI99='check-Jul''26'!BE99,"",'1. Live'!BI99-'check-Jul''26'!BE99)</f>
        <v/>
      </c>
      <c r="BF81" s="25" t="str">
        <f>IF('1. Live'!BJ99='check-Jul''26'!BF99,"",'1. Live'!BJ99-'check-Jul''26'!BF99)</f>
        <v/>
      </c>
      <c r="BG81" s="25" t="str">
        <f>IF('1. Live'!BK99='check-Jul''26'!BG99,"",'1. Live'!BK99-'check-Jul''26'!BG99)</f>
        <v/>
      </c>
      <c r="BH81" s="25" t="str">
        <f>IF('1. Live'!BL99='check-Jul''26'!BH99,"",'1. Live'!BL99-'check-Jul''26'!BH99)</f>
        <v/>
      </c>
      <c r="BI81" s="25" t="str">
        <f>IF('1. Live'!BM99='check-Jul''26'!BI99,"",'1. Live'!BM99-'check-Jul''26'!BI99)</f>
        <v/>
      </c>
      <c r="BJ81" s="25" t="str">
        <f>IF('1. Live'!BN99='check-Jul''26'!BJ99,"",'1. Live'!BN99-'check-Jul''26'!BJ99)</f>
        <v/>
      </c>
      <c r="BK81" s="25" t="str">
        <f>IF('1. Live'!BO99='check-Jul''26'!BK99,"",'1. Live'!BO99-'check-Jul''26'!BK99)</f>
        <v/>
      </c>
      <c r="BL81" s="25" t="str">
        <f>IF('1. Live'!BP99='check-Jul''26'!BL99,"",'1. Live'!BP99-'check-Jul''26'!BL99)</f>
        <v/>
      </c>
      <c r="BM81" s="25" t="str">
        <f>IF('1. Live'!BQ99='check-Jul''26'!BM99,"",'1. Live'!BQ99-'check-Jul''26'!BM99)</f>
        <v/>
      </c>
      <c r="BN81" s="25" t="str">
        <f>IF('1. Live'!BR99='check-Jul''26'!BN99,"",'1. Live'!BR99-'check-Jul''26'!BN99)</f>
        <v/>
      </c>
      <c r="BO81" s="25" t="str">
        <f>IF('1. Live'!BS99='check-Jul''26'!BO99,"",'1. Live'!BS99-'check-Jul''26'!BO99)</f>
        <v/>
      </c>
      <c r="BP81" s="25" t="str">
        <f>IF('1. Live'!BT99='check-Jul''26'!BP99,"",'1. Live'!BT99-'check-Jul''26'!BP99)</f>
        <v/>
      </c>
      <c r="BQ81" s="25" t="str">
        <f>IF('1. Live'!BU99='check-Jul''26'!BQ99,"",'1. Live'!BU99-'check-Jul''26'!BQ99)</f>
        <v/>
      </c>
      <c r="BR81" s="25" t="str">
        <f>IF('1. Live'!BV99='check-Jul''26'!BR99,"",'1. Live'!BV99-'check-Jul''26'!BR99)</f>
        <v/>
      </c>
      <c r="BS81" s="25" t="str">
        <f>IF('1. Live'!BW99='check-Jul''26'!BS99,"",'1. Live'!BW99-'check-Jul''26'!BS99)</f>
        <v/>
      </c>
      <c r="BT81" s="25" t="str">
        <f>IF('1. Live'!BX99='check-Jul''26'!BT99,"",'1. Live'!BX99-'check-Jul''26'!BT99)</f>
        <v/>
      </c>
      <c r="BU81" s="25" t="str">
        <f>IF('1. Live'!BY99='check-Jul''26'!BU99,"",'1. Live'!BY99-'check-Jul''26'!BU99)</f>
        <v/>
      </c>
      <c r="BV81" s="25" t="str">
        <f>IF('1. Live'!BZ99='check-Jul''26'!BV99,"",'1. Live'!BZ99-'check-Jul''26'!BV99)</f>
        <v/>
      </c>
      <c r="BW81" s="25" t="str">
        <f>IF('1. Live'!CA99='check-Jul''26'!BW99,"",'1. Live'!CA99-'check-Jul''26'!BW99)</f>
        <v/>
      </c>
      <c r="BX81" s="25" t="str">
        <f>IF('1. Live'!CB99='check-Jul''26'!BX99,"",'1. Live'!CB99-'check-Jul''26'!BX99)</f>
        <v/>
      </c>
      <c r="BY81" s="25" t="str">
        <f>IF('1. Live'!CC99='check-Jul''26'!BY99,"",'1. Live'!CC99-'check-Jul''26'!BY99)</f>
        <v/>
      </c>
      <c r="BZ81" s="25" t="str">
        <f>IF('1. Live'!CD99='check-Jul''26'!BZ99,"",'1. Live'!CD99-'check-Jul''26'!BZ99)</f>
        <v/>
      </c>
      <c r="CA81" s="25" t="str">
        <f>IF('1. Live'!CE99='check-Jul''26'!CA99,"",'1. Live'!CE99-'check-Jul''26'!CA99)</f>
        <v/>
      </c>
      <c r="CB81" s="25" t="str">
        <f>IF('1. Live'!CF99='check-Jul''26'!CB99,"",'1. Live'!CF99-'check-Jul''26'!CB99)</f>
        <v/>
      </c>
      <c r="CC81" s="25" t="str">
        <f>IF('1. Live'!CG99='check-Jul''26'!CC99,"",'1. Live'!CG99-'check-Jul''26'!CC99)</f>
        <v/>
      </c>
      <c r="CD81" s="25" t="str">
        <f>IF('1. Live'!CH99='check-Jul''26'!CD99,"",'1. Live'!CH99-'check-Jul''26'!CD99)</f>
        <v/>
      </c>
      <c r="CE81" s="25" t="str">
        <f>IF('1. Live'!CI99='check-Jul''26'!CE99,"",'1. Live'!CI99-'check-Jul''26'!CE99)</f>
        <v/>
      </c>
      <c r="CF81" s="25" t="str">
        <f>IF('1. Live'!CJ99='check-Jul''26'!CF99,"",'1. Live'!CJ99-'check-Jul''26'!CF99)</f>
        <v/>
      </c>
      <c r="CG81" s="25" t="str">
        <f>IF('1. Live'!CK99='check-Jul''26'!CG99,"",'1. Live'!CK99-'check-Jul''26'!CG99)</f>
        <v/>
      </c>
      <c r="CH81" s="25" t="str">
        <f>IF('1. Live'!CL99='check-Jul''26'!CH99,"",'1. Live'!CL99-'check-Jul''26'!CH99)</f>
        <v/>
      </c>
      <c r="CI81" s="25" t="str">
        <f>IF('1. Live'!CM99='check-Jul''26'!CI99,"",'1. Live'!CM99-'check-Jul''26'!CI99)</f>
        <v/>
      </c>
      <c r="CJ81" s="25" t="str">
        <f>IF('1. Live'!CN99='check-Jul''26'!CJ99,"",'1. Live'!CN99-'check-Jul''26'!CJ99)</f>
        <v/>
      </c>
      <c r="CK81" s="25" t="str">
        <f>IF('1. Live'!CO99='check-Jul''26'!CK99,"",'1. Live'!CO99-'check-Jul''26'!CK99)</f>
        <v/>
      </c>
      <c r="CL81" s="25" t="str">
        <f>IF('1. Live'!CP99='check-Jul''26'!CL99,"",'1. Live'!CP99-'check-Jul''26'!CL99)</f>
        <v/>
      </c>
      <c r="CM81" s="25" t="str">
        <f>IF('1. Live'!CQ99='check-Jul''26'!CM99,"",'1. Live'!CQ99-'check-Jul''26'!CM99)</f>
        <v/>
      </c>
      <c r="CN81" s="25" t="str">
        <f>IF('1. Live'!CR99='check-Jul''26'!CN99,"",'1. Live'!CR99-'check-Jul''26'!CN99)</f>
        <v/>
      </c>
      <c r="CO81" s="25" t="str">
        <f>IF('1. Live'!CS99='check-Jul''26'!CO99,"",'1. Live'!CS99-'check-Jul''26'!CO99)</f>
        <v/>
      </c>
      <c r="CP81" s="25" t="str">
        <f>IF('1. Live'!CT99='check-Jul''26'!CP99,"",'1. Live'!CT99-'check-Jul''26'!CP99)</f>
        <v/>
      </c>
      <c r="CQ81" s="25" t="str">
        <f>IF('1. Live'!CU99='check-Jul''26'!CQ99,"",'1. Live'!CU99-'check-Jul''26'!CQ99)</f>
        <v/>
      </c>
      <c r="CR81" s="25" t="str">
        <f>IF('1. Live'!CV99='check-Jul''26'!CR99,"",'1. Live'!CV99-'check-Jul''26'!CR99)</f>
        <v/>
      </c>
      <c r="CS81" s="25" t="str">
        <f>IF('1. Live'!CW99='check-Jul''26'!CS99,"",'1. Live'!CW99-'check-Jul''26'!CS99)</f>
        <v/>
      </c>
      <c r="CT81" s="25" t="str">
        <f>IF('1. Live'!CX99='check-Jul''26'!CT99,"",'1. Live'!CX99-'check-Jul''26'!CT99)</f>
        <v/>
      </c>
      <c r="CU81" s="25" t="str">
        <f>IF('1. Live'!CY99='check-Jul''26'!CU99,"",'1. Live'!CY99-'check-Jul''26'!CU99)</f>
        <v/>
      </c>
      <c r="CV81" s="25" t="str">
        <f>IF('1. Live'!CZ99='check-Jul''26'!CV99,"",'1. Live'!CZ99-'check-Jul''26'!CV99)</f>
        <v/>
      </c>
    </row>
    <row r="82" spans="17:100" x14ac:dyDescent="0.25">
      <c r="Q82" s="26" t="str">
        <f>IF('1. Live'!N100='check-Jul''26'!I100,"",'1. Live'!N100-'check-Jul''26'!I100)</f>
        <v/>
      </c>
      <c r="R82" s="26" t="str">
        <f>IF('1. Live'!O100='check-Jul''26'!J100,"",'1. Live'!O100-'check-Jul''26'!J100)</f>
        <v/>
      </c>
      <c r="S82" s="26" t="str">
        <f>IF('1. Live'!P100='check-Jul''26'!K100,"",'1. Live'!P100-'check-Jul''26'!K100)</f>
        <v/>
      </c>
      <c r="T82" s="26" t="str">
        <f>IF('1. Live'!Q100='check-Jul''26'!L100,"",'1. Live'!Q100-'check-Jul''26'!L100)</f>
        <v/>
      </c>
      <c r="U82" s="80" t="str">
        <f>IF('1. Live'!R100='check-Jul''26'!M100,"",'1. Live'!R100-'check-Jul''26'!M100)</f>
        <v/>
      </c>
      <c r="V82" s="26" t="str">
        <f>IF('1. Live'!S100='check-Jul''26'!N100,"",'1. Live'!S100-'check-Jul''26'!N100)</f>
        <v/>
      </c>
      <c r="W82" s="25" t="str">
        <f>IF('1. Live'!T100='check-Jul''26'!O100,"",'1. Live'!T100-'check-Jul''26'!O100)</f>
        <v/>
      </c>
      <c r="X82" s="25" t="str">
        <f>IF('1. Live'!U100='check-Jul''26'!Q100,"",'1. Live'!U100-'check-Jul''26'!Q100)</f>
        <v/>
      </c>
      <c r="Y82" s="25" t="str">
        <f>IF('1. Live'!V100='check-Jul''26'!R100,"",'1. Live'!V100-'check-Jul''26'!R100)</f>
        <v/>
      </c>
      <c r="Z82" s="25" t="str">
        <f>IF('1. Live'!W100='check-Jul''26'!S100,"",'1. Live'!W100-'check-Jul''26'!S100)</f>
        <v/>
      </c>
      <c r="AA82" s="25" t="str">
        <f>IF('1. Live'!X100='check-Jul''26'!T100,"",'1. Live'!X100-'check-Jul''26'!T100)</f>
        <v/>
      </c>
      <c r="AB82" s="25" t="str">
        <f>IF('1. Live'!AF100='check-Jul''26'!AB100,"",'1. Live'!AF100-'check-Jul''26'!AB100)</f>
        <v/>
      </c>
      <c r="AC82" s="25" t="str">
        <f>IF('1. Live'!AG100='check-Jul''26'!AC100,"",'1. Live'!AG100-'check-Jul''26'!AC100)</f>
        <v/>
      </c>
      <c r="AD82" s="25" t="str">
        <f>IF('1. Live'!AH100='check-Jul''26'!AD100,"",'1. Live'!AH100-'check-Jul''26'!AD100)</f>
        <v/>
      </c>
      <c r="AE82" s="25" t="str">
        <f>IF('1. Live'!AI100='check-Jul''26'!AE100,"",'1. Live'!AI100-'check-Jul''26'!AE100)</f>
        <v/>
      </c>
      <c r="AF82" s="25" t="str">
        <f>IF('1. Live'!AJ100='check-Jul''26'!AF100,"",'1. Live'!AJ100-'check-Jul''26'!AF100)</f>
        <v/>
      </c>
      <c r="AG82" s="25" t="str">
        <f>IF('1. Live'!AK100='check-Jul''26'!AG100,"",'1. Live'!AK100-'check-Jul''26'!AG100)</f>
        <v/>
      </c>
      <c r="AH82" s="25" t="str">
        <f>IF('1. Live'!AL100='check-Jul''26'!AH100,"",'1. Live'!AL100-'check-Jul''26'!AH100)</f>
        <v/>
      </c>
      <c r="AI82" s="25" t="str">
        <f>IF('1. Live'!AM100='check-Jul''26'!AI100,"",'1. Live'!AM100-'check-Jul''26'!AI100)</f>
        <v/>
      </c>
      <c r="AJ82" s="25" t="str">
        <f>IF('1. Live'!AN100='check-Jul''26'!AJ100,"",'1. Live'!AN100-'check-Jul''26'!AJ100)</f>
        <v/>
      </c>
      <c r="AK82" s="25" t="str">
        <f>IF('1. Live'!AO100='check-Jul''26'!AK100,"",'1. Live'!AO100-'check-Jul''26'!AK100)</f>
        <v/>
      </c>
      <c r="AL82" s="25" t="str">
        <f>IF('1. Live'!AP100='check-Jul''26'!AL100,"",'1. Live'!AP100-'check-Jul''26'!AL100)</f>
        <v/>
      </c>
      <c r="AM82" s="25" t="str">
        <f>IF('1. Live'!AQ100='check-Jul''26'!AM100,"",'1. Live'!AQ100-'check-Jul''26'!AM100)</f>
        <v/>
      </c>
      <c r="AN82" s="25" t="str">
        <f>IF('1. Live'!AR100='check-Jul''26'!AN100,"",'1. Live'!AR100-'check-Jul''26'!AN100)</f>
        <v/>
      </c>
      <c r="AO82" s="25" t="str">
        <f>IF('1. Live'!AS100='check-Jul''26'!AO100,"",'1. Live'!AS100-'check-Jul''26'!AO100)</f>
        <v/>
      </c>
      <c r="AP82" s="25" t="str">
        <f>IF('1. Live'!AT100='check-Jul''26'!AP100,"",'1. Live'!AT100-'check-Jul''26'!AP100)</f>
        <v/>
      </c>
      <c r="AQ82" s="25" t="str">
        <f>IF('1. Live'!AU100='check-Jul''26'!AQ100,"",'1. Live'!AU100-'check-Jul''26'!AQ100)</f>
        <v/>
      </c>
      <c r="AR82" s="25" t="str">
        <f>IF('1. Live'!AV100='check-Jul''26'!AR100,"",'1. Live'!AV100-'check-Jul''26'!AR100)</f>
        <v/>
      </c>
      <c r="AS82" s="25" t="str">
        <f>IF('1. Live'!AW100='check-Jul''26'!AS100,"",'1. Live'!AW100-'check-Jul''26'!AS100)</f>
        <v/>
      </c>
      <c r="AT82" s="25" t="str">
        <f>IF('1. Live'!AX100='check-Jul''26'!AT100,"",'1. Live'!AX100-'check-Jul''26'!AT100)</f>
        <v/>
      </c>
      <c r="AU82" s="25" t="str">
        <f>IF('1. Live'!AY100='check-Jul''26'!AU100,"",'1. Live'!AY100-'check-Jul''26'!AU100)</f>
        <v/>
      </c>
      <c r="AV82" s="25" t="str">
        <f>IF('1. Live'!AZ100='check-Jul''26'!AV100,"",'1. Live'!AZ100-'check-Jul''26'!AV100)</f>
        <v/>
      </c>
      <c r="AW82" s="25" t="str">
        <f>IF('1. Live'!BA100='check-Jul''26'!AW100,"",'1. Live'!BA100-'check-Jul''26'!AW100)</f>
        <v/>
      </c>
      <c r="AX82" s="25" t="str">
        <f>IF('1. Live'!BB100='check-Jul''26'!AX100,"",'1. Live'!BB100-'check-Jul''26'!AX100)</f>
        <v/>
      </c>
      <c r="AY82" s="25" t="str">
        <f>IF('1. Live'!BC100='check-Jul''26'!AY100,"",'1. Live'!BC100-'check-Jul''26'!AY100)</f>
        <v/>
      </c>
      <c r="AZ82" s="25" t="str">
        <f>IF('1. Live'!BD100='check-Jul''26'!AZ100,"",'1. Live'!BD100-'check-Jul''26'!AZ100)</f>
        <v/>
      </c>
      <c r="BA82" s="25" t="str">
        <f>IF('1. Live'!BE100='check-Jul''26'!BA100,"",'1. Live'!BE100-'check-Jul''26'!BA100)</f>
        <v/>
      </c>
      <c r="BB82" s="25" t="str">
        <f>IF('1. Live'!BF100='check-Jul''26'!BB100,"",'1. Live'!BF100-'check-Jul''26'!BB100)</f>
        <v/>
      </c>
      <c r="BC82" s="25" t="str">
        <f>IF('1. Live'!BG100='check-Jul''26'!BC100,"",'1. Live'!BG100-'check-Jul''26'!BC100)</f>
        <v/>
      </c>
      <c r="BD82" s="25" t="str">
        <f>IF('1. Live'!BH100='check-Jul''26'!BD100,"",'1. Live'!BH100-'check-Jul''26'!BD100)</f>
        <v/>
      </c>
      <c r="BE82" s="25" t="str">
        <f>IF('1. Live'!BI100='check-Jul''26'!BE100,"",'1. Live'!BI100-'check-Jul''26'!BE100)</f>
        <v/>
      </c>
      <c r="BF82" s="25" t="str">
        <f>IF('1. Live'!BJ100='check-Jul''26'!BF100,"",'1. Live'!BJ100-'check-Jul''26'!BF100)</f>
        <v/>
      </c>
      <c r="BG82" s="25" t="str">
        <f>IF('1. Live'!BK100='check-Jul''26'!BG100,"",'1. Live'!BK100-'check-Jul''26'!BG100)</f>
        <v/>
      </c>
      <c r="BH82" s="25" t="str">
        <f>IF('1. Live'!BL100='check-Jul''26'!BH100,"",'1. Live'!BL100-'check-Jul''26'!BH100)</f>
        <v/>
      </c>
      <c r="BI82" s="25" t="str">
        <f>IF('1. Live'!BM100='check-Jul''26'!BI100,"",'1. Live'!BM100-'check-Jul''26'!BI100)</f>
        <v/>
      </c>
      <c r="BJ82" s="25" t="str">
        <f>IF('1. Live'!BN100='check-Jul''26'!BJ100,"",'1. Live'!BN100-'check-Jul''26'!BJ100)</f>
        <v/>
      </c>
      <c r="BK82" s="25" t="str">
        <f>IF('1. Live'!BO100='check-Jul''26'!BK100,"",'1. Live'!BO100-'check-Jul''26'!BK100)</f>
        <v/>
      </c>
      <c r="BL82" s="25" t="str">
        <f>IF('1. Live'!BP100='check-Jul''26'!BL100,"",'1. Live'!BP100-'check-Jul''26'!BL100)</f>
        <v/>
      </c>
      <c r="BM82" s="25" t="str">
        <f>IF('1. Live'!BQ100='check-Jul''26'!BM100,"",'1. Live'!BQ100-'check-Jul''26'!BM100)</f>
        <v/>
      </c>
      <c r="BN82" s="25" t="str">
        <f>IF('1. Live'!BR100='check-Jul''26'!BN100,"",'1. Live'!BR100-'check-Jul''26'!BN100)</f>
        <v/>
      </c>
      <c r="BO82" s="25" t="str">
        <f>IF('1. Live'!BS100='check-Jul''26'!BO100,"",'1. Live'!BS100-'check-Jul''26'!BO100)</f>
        <v/>
      </c>
      <c r="BP82" s="25" t="str">
        <f>IF('1. Live'!BT100='check-Jul''26'!BP100,"",'1. Live'!BT100-'check-Jul''26'!BP100)</f>
        <v/>
      </c>
      <c r="BQ82" s="25" t="str">
        <f>IF('1. Live'!BU100='check-Jul''26'!BQ100,"",'1. Live'!BU100-'check-Jul''26'!BQ100)</f>
        <v/>
      </c>
      <c r="BR82" s="25" t="str">
        <f>IF('1. Live'!BV100='check-Jul''26'!BR100,"",'1. Live'!BV100-'check-Jul''26'!BR100)</f>
        <v/>
      </c>
      <c r="BS82" s="25" t="str">
        <f>IF('1. Live'!BW100='check-Jul''26'!BS100,"",'1. Live'!BW100-'check-Jul''26'!BS100)</f>
        <v/>
      </c>
      <c r="BT82" s="25" t="str">
        <f>IF('1. Live'!BX100='check-Jul''26'!BT100,"",'1. Live'!BX100-'check-Jul''26'!BT100)</f>
        <v/>
      </c>
      <c r="BU82" s="25" t="str">
        <f>IF('1. Live'!BY100='check-Jul''26'!BU100,"",'1. Live'!BY100-'check-Jul''26'!BU100)</f>
        <v/>
      </c>
      <c r="BV82" s="25" t="str">
        <f>IF('1. Live'!BZ100='check-Jul''26'!BV100,"",'1. Live'!BZ100-'check-Jul''26'!BV100)</f>
        <v/>
      </c>
      <c r="BW82" s="25" t="str">
        <f>IF('1. Live'!CA100='check-Jul''26'!BW100,"",'1. Live'!CA100-'check-Jul''26'!BW100)</f>
        <v/>
      </c>
      <c r="BX82" s="25" t="str">
        <f>IF('1. Live'!CB100='check-Jul''26'!BX100,"",'1. Live'!CB100-'check-Jul''26'!BX100)</f>
        <v/>
      </c>
      <c r="BY82" s="25" t="str">
        <f>IF('1. Live'!CC100='check-Jul''26'!BY100,"",'1. Live'!CC100-'check-Jul''26'!BY100)</f>
        <v/>
      </c>
      <c r="BZ82" s="25" t="str">
        <f>IF('1. Live'!CD100='check-Jul''26'!BZ100,"",'1. Live'!CD100-'check-Jul''26'!BZ100)</f>
        <v/>
      </c>
      <c r="CA82" s="25" t="str">
        <f>IF('1. Live'!CE100='check-Jul''26'!CA100,"",'1. Live'!CE100-'check-Jul''26'!CA100)</f>
        <v/>
      </c>
      <c r="CB82" s="25" t="str">
        <f>IF('1. Live'!CF100='check-Jul''26'!CB100,"",'1. Live'!CF100-'check-Jul''26'!CB100)</f>
        <v/>
      </c>
      <c r="CC82" s="25" t="str">
        <f>IF('1. Live'!CG100='check-Jul''26'!CC100,"",'1. Live'!CG100-'check-Jul''26'!CC100)</f>
        <v/>
      </c>
      <c r="CD82" s="25" t="str">
        <f>IF('1. Live'!CH100='check-Jul''26'!CD100,"",'1. Live'!CH100-'check-Jul''26'!CD100)</f>
        <v/>
      </c>
      <c r="CE82" s="25" t="str">
        <f>IF('1. Live'!CI100='check-Jul''26'!CE100,"",'1. Live'!CI100-'check-Jul''26'!CE100)</f>
        <v/>
      </c>
      <c r="CF82" s="25" t="str">
        <f>IF('1. Live'!CJ100='check-Jul''26'!CF100,"",'1. Live'!CJ100-'check-Jul''26'!CF100)</f>
        <v/>
      </c>
      <c r="CG82" s="25" t="str">
        <f>IF('1. Live'!CK100='check-Jul''26'!CG100,"",'1. Live'!CK100-'check-Jul''26'!CG100)</f>
        <v/>
      </c>
      <c r="CH82" s="25" t="str">
        <f>IF('1. Live'!CL100='check-Jul''26'!CH100,"",'1. Live'!CL100-'check-Jul''26'!CH100)</f>
        <v/>
      </c>
      <c r="CI82" s="25" t="str">
        <f>IF('1. Live'!CM100='check-Jul''26'!CI100,"",'1. Live'!CM100-'check-Jul''26'!CI100)</f>
        <v/>
      </c>
      <c r="CJ82" s="25" t="str">
        <f>IF('1. Live'!CN100='check-Jul''26'!CJ100,"",'1. Live'!CN100-'check-Jul''26'!CJ100)</f>
        <v/>
      </c>
      <c r="CK82" s="25" t="str">
        <f>IF('1. Live'!CO100='check-Jul''26'!CK100,"",'1. Live'!CO100-'check-Jul''26'!CK100)</f>
        <v/>
      </c>
      <c r="CL82" s="25" t="str">
        <f>IF('1. Live'!CP100='check-Jul''26'!CL100,"",'1. Live'!CP100-'check-Jul''26'!CL100)</f>
        <v/>
      </c>
      <c r="CM82" s="25" t="str">
        <f>IF('1. Live'!CQ100='check-Jul''26'!CM100,"",'1. Live'!CQ100-'check-Jul''26'!CM100)</f>
        <v/>
      </c>
      <c r="CN82" s="25" t="str">
        <f>IF('1. Live'!CR100='check-Jul''26'!CN100,"",'1. Live'!CR100-'check-Jul''26'!CN100)</f>
        <v/>
      </c>
      <c r="CO82" s="25" t="str">
        <f>IF('1. Live'!CS100='check-Jul''26'!CO100,"",'1. Live'!CS100-'check-Jul''26'!CO100)</f>
        <v/>
      </c>
      <c r="CP82" s="25" t="str">
        <f>IF('1. Live'!CT100='check-Jul''26'!CP100,"",'1. Live'!CT100-'check-Jul''26'!CP100)</f>
        <v/>
      </c>
      <c r="CQ82" s="25" t="str">
        <f>IF('1. Live'!CU100='check-Jul''26'!CQ100,"",'1. Live'!CU100-'check-Jul''26'!CQ100)</f>
        <v/>
      </c>
      <c r="CR82" s="25" t="str">
        <f>IF('1. Live'!CV100='check-Jul''26'!CR100,"",'1. Live'!CV100-'check-Jul''26'!CR100)</f>
        <v/>
      </c>
      <c r="CS82" s="25" t="str">
        <f>IF('1. Live'!CW100='check-Jul''26'!CS100,"",'1. Live'!CW100-'check-Jul''26'!CS100)</f>
        <v/>
      </c>
      <c r="CT82" s="25" t="str">
        <f>IF('1. Live'!CX100='check-Jul''26'!CT100,"",'1. Live'!CX100-'check-Jul''26'!CT100)</f>
        <v/>
      </c>
      <c r="CU82" s="25" t="str">
        <f>IF('1. Live'!CY100='check-Jul''26'!CU100,"",'1. Live'!CY100-'check-Jul''26'!CU100)</f>
        <v/>
      </c>
      <c r="CV82" s="25" t="str">
        <f>IF('1. Live'!CZ100='check-Jul''26'!CV100,"",'1. Live'!CZ100-'check-Jul''26'!CV100)</f>
        <v/>
      </c>
    </row>
    <row r="83" spans="17:100" x14ac:dyDescent="0.25">
      <c r="Q83" s="26" t="str">
        <f>IF('1. Live'!N101='check-Jul''26'!I101,"",'1. Live'!N101-'check-Jul''26'!I101)</f>
        <v/>
      </c>
      <c r="R83" s="26" t="str">
        <f>IF('1. Live'!O101='check-Jul''26'!J101,"",'1. Live'!O101-'check-Jul''26'!J101)</f>
        <v/>
      </c>
      <c r="S83" s="26" t="str">
        <f>IF('1. Live'!P101='check-Jul''26'!K101,"",'1. Live'!P101-'check-Jul''26'!K101)</f>
        <v/>
      </c>
      <c r="T83" s="26" t="str">
        <f>IF('1. Live'!Q101='check-Jul''26'!L101,"",'1. Live'!Q101-'check-Jul''26'!L101)</f>
        <v/>
      </c>
      <c r="U83" s="80" t="str">
        <f>IF('1. Live'!R101='check-Jul''26'!M101,"",'1. Live'!R101-'check-Jul''26'!M101)</f>
        <v/>
      </c>
      <c r="V83" s="26" t="str">
        <f>IF('1. Live'!S101='check-Jul''26'!N101,"",'1. Live'!S101-'check-Jul''26'!N101)</f>
        <v/>
      </c>
      <c r="W83" s="25" t="str">
        <f>IF('1. Live'!T101='check-Jul''26'!O101,"",'1. Live'!T101-'check-Jul''26'!O101)</f>
        <v/>
      </c>
      <c r="X83" s="25" t="str">
        <f>IF('1. Live'!U101='check-Jul''26'!Q101,"",'1. Live'!U101-'check-Jul''26'!Q101)</f>
        <v/>
      </c>
      <c r="Y83" s="25" t="str">
        <f>IF('1. Live'!V101='check-Jul''26'!R101,"",'1. Live'!V101-'check-Jul''26'!R101)</f>
        <v/>
      </c>
      <c r="Z83" s="25" t="str">
        <f>IF('1. Live'!W101='check-Jul''26'!S101,"",'1. Live'!W101-'check-Jul''26'!S101)</f>
        <v/>
      </c>
      <c r="AA83" s="25" t="str">
        <f>IF('1. Live'!X101='check-Jul''26'!T101,"",'1. Live'!X101-'check-Jul''26'!T101)</f>
        <v/>
      </c>
      <c r="AB83" s="25" t="str">
        <f>IF('1. Live'!AF101='check-Jul''26'!AB101,"",'1. Live'!AF101-'check-Jul''26'!AB101)</f>
        <v/>
      </c>
      <c r="AC83" s="25" t="str">
        <f>IF('1. Live'!AG101='check-Jul''26'!AC101,"",'1. Live'!AG101-'check-Jul''26'!AC101)</f>
        <v/>
      </c>
      <c r="AD83" s="25" t="str">
        <f>IF('1. Live'!AH101='check-Jul''26'!AD101,"",'1. Live'!AH101-'check-Jul''26'!AD101)</f>
        <v/>
      </c>
      <c r="AE83" s="25" t="str">
        <f>IF('1. Live'!AI101='check-Jul''26'!AE101,"",'1. Live'!AI101-'check-Jul''26'!AE101)</f>
        <v/>
      </c>
      <c r="AF83" s="25" t="str">
        <f>IF('1. Live'!AJ101='check-Jul''26'!AF101,"",'1. Live'!AJ101-'check-Jul''26'!AF101)</f>
        <v/>
      </c>
      <c r="AG83" s="25" t="str">
        <f>IF('1. Live'!AK101='check-Jul''26'!AG101,"",'1. Live'!AK101-'check-Jul''26'!AG101)</f>
        <v/>
      </c>
      <c r="AH83" s="25" t="str">
        <f>IF('1. Live'!AL101='check-Jul''26'!AH101,"",'1. Live'!AL101-'check-Jul''26'!AH101)</f>
        <v/>
      </c>
      <c r="AI83" s="25" t="str">
        <f>IF('1. Live'!AM101='check-Jul''26'!AI101,"",'1. Live'!AM101-'check-Jul''26'!AI101)</f>
        <v/>
      </c>
      <c r="AJ83" s="25" t="str">
        <f>IF('1. Live'!AN101='check-Jul''26'!AJ101,"",'1. Live'!AN101-'check-Jul''26'!AJ101)</f>
        <v/>
      </c>
      <c r="AK83" s="25" t="str">
        <f>IF('1. Live'!AO101='check-Jul''26'!AK101,"",'1. Live'!AO101-'check-Jul''26'!AK101)</f>
        <v/>
      </c>
      <c r="AL83" s="25" t="str">
        <f>IF('1. Live'!AP101='check-Jul''26'!AL101,"",'1. Live'!AP101-'check-Jul''26'!AL101)</f>
        <v/>
      </c>
      <c r="AM83" s="25" t="str">
        <f>IF('1. Live'!AQ101='check-Jul''26'!AM101,"",'1. Live'!AQ101-'check-Jul''26'!AM101)</f>
        <v/>
      </c>
      <c r="AN83" s="25" t="str">
        <f>IF('1. Live'!AR101='check-Jul''26'!AN101,"",'1. Live'!AR101-'check-Jul''26'!AN101)</f>
        <v/>
      </c>
      <c r="AO83" s="25" t="str">
        <f>IF('1. Live'!AS101='check-Jul''26'!AO101,"",'1. Live'!AS101-'check-Jul''26'!AO101)</f>
        <v/>
      </c>
      <c r="AP83" s="25" t="str">
        <f>IF('1. Live'!AT101='check-Jul''26'!AP101,"",'1. Live'!AT101-'check-Jul''26'!AP101)</f>
        <v/>
      </c>
      <c r="AQ83" s="25" t="str">
        <f>IF('1. Live'!AU101='check-Jul''26'!AQ101,"",'1. Live'!AU101-'check-Jul''26'!AQ101)</f>
        <v/>
      </c>
      <c r="AR83" s="25" t="str">
        <f>IF('1. Live'!AV101='check-Jul''26'!AR101,"",'1. Live'!AV101-'check-Jul''26'!AR101)</f>
        <v/>
      </c>
      <c r="AS83" s="25" t="str">
        <f>IF('1. Live'!AW101='check-Jul''26'!AS101,"",'1. Live'!AW101-'check-Jul''26'!AS101)</f>
        <v/>
      </c>
      <c r="AT83" s="25" t="str">
        <f>IF('1. Live'!AX101='check-Jul''26'!AT101,"",'1. Live'!AX101-'check-Jul''26'!AT101)</f>
        <v/>
      </c>
      <c r="AU83" s="25" t="str">
        <f>IF('1. Live'!AY101='check-Jul''26'!AU101,"",'1. Live'!AY101-'check-Jul''26'!AU101)</f>
        <v/>
      </c>
      <c r="AV83" s="25" t="str">
        <f>IF('1. Live'!AZ101='check-Jul''26'!AV101,"",'1. Live'!AZ101-'check-Jul''26'!AV101)</f>
        <v/>
      </c>
      <c r="AW83" s="25" t="str">
        <f>IF('1. Live'!BA101='check-Jul''26'!AW101,"",'1. Live'!BA101-'check-Jul''26'!AW101)</f>
        <v/>
      </c>
      <c r="AX83" s="25" t="str">
        <f>IF('1. Live'!BB101='check-Jul''26'!AX101,"",'1. Live'!BB101-'check-Jul''26'!AX101)</f>
        <v/>
      </c>
      <c r="AY83" s="25" t="str">
        <f>IF('1. Live'!BC101='check-Jul''26'!AY101,"",'1. Live'!BC101-'check-Jul''26'!AY101)</f>
        <v/>
      </c>
      <c r="AZ83" s="25" t="str">
        <f>IF('1. Live'!BD101='check-Jul''26'!AZ101,"",'1. Live'!BD101-'check-Jul''26'!AZ101)</f>
        <v/>
      </c>
      <c r="BA83" s="25" t="str">
        <f>IF('1. Live'!BE101='check-Jul''26'!BA101,"",'1. Live'!BE101-'check-Jul''26'!BA101)</f>
        <v/>
      </c>
      <c r="BB83" s="25" t="str">
        <f>IF('1. Live'!BF101='check-Jul''26'!BB101,"",'1. Live'!BF101-'check-Jul''26'!BB101)</f>
        <v/>
      </c>
      <c r="BC83" s="25" t="str">
        <f>IF('1. Live'!BG101='check-Jul''26'!BC101,"",'1. Live'!BG101-'check-Jul''26'!BC101)</f>
        <v/>
      </c>
      <c r="BD83" s="25" t="str">
        <f>IF('1. Live'!BH101='check-Jul''26'!BD101,"",'1. Live'!BH101-'check-Jul''26'!BD101)</f>
        <v/>
      </c>
      <c r="BE83" s="25" t="str">
        <f>IF('1. Live'!BI101='check-Jul''26'!BE101,"",'1. Live'!BI101-'check-Jul''26'!BE101)</f>
        <v/>
      </c>
      <c r="BF83" s="25" t="str">
        <f>IF('1. Live'!BJ101='check-Jul''26'!BF101,"",'1. Live'!BJ101-'check-Jul''26'!BF101)</f>
        <v/>
      </c>
      <c r="BG83" s="25" t="str">
        <f>IF('1. Live'!BK101='check-Jul''26'!BG101,"",'1. Live'!BK101-'check-Jul''26'!BG101)</f>
        <v/>
      </c>
      <c r="BH83" s="25" t="str">
        <f>IF('1. Live'!BL101='check-Jul''26'!BH101,"",'1. Live'!BL101-'check-Jul''26'!BH101)</f>
        <v/>
      </c>
      <c r="BI83" s="25" t="str">
        <f>IF('1. Live'!BM101='check-Jul''26'!BI101,"",'1. Live'!BM101-'check-Jul''26'!BI101)</f>
        <v/>
      </c>
      <c r="BJ83" s="25" t="str">
        <f>IF('1. Live'!BN101='check-Jul''26'!BJ101,"",'1. Live'!BN101-'check-Jul''26'!BJ101)</f>
        <v/>
      </c>
      <c r="BK83" s="25" t="str">
        <f>IF('1. Live'!BO101='check-Jul''26'!BK101,"",'1. Live'!BO101-'check-Jul''26'!BK101)</f>
        <v/>
      </c>
      <c r="BL83" s="25" t="str">
        <f>IF('1. Live'!BP101='check-Jul''26'!BL101,"",'1. Live'!BP101-'check-Jul''26'!BL101)</f>
        <v/>
      </c>
      <c r="BM83" s="25" t="str">
        <f>IF('1. Live'!BQ101='check-Jul''26'!BM101,"",'1. Live'!BQ101-'check-Jul''26'!BM101)</f>
        <v/>
      </c>
      <c r="BN83" s="25" t="str">
        <f>IF('1. Live'!BR101='check-Jul''26'!BN101,"",'1. Live'!BR101-'check-Jul''26'!BN101)</f>
        <v/>
      </c>
      <c r="BO83" s="25" t="str">
        <f>IF('1. Live'!BS101='check-Jul''26'!BO101,"",'1. Live'!BS101-'check-Jul''26'!BO101)</f>
        <v/>
      </c>
      <c r="BP83" s="25" t="str">
        <f>IF('1. Live'!BT101='check-Jul''26'!BP101,"",'1. Live'!BT101-'check-Jul''26'!BP101)</f>
        <v/>
      </c>
      <c r="BQ83" s="25" t="str">
        <f>IF('1. Live'!BU101='check-Jul''26'!BQ101,"",'1. Live'!BU101-'check-Jul''26'!BQ101)</f>
        <v/>
      </c>
      <c r="BR83" s="25" t="str">
        <f>IF('1. Live'!BV101='check-Jul''26'!BR101,"",'1. Live'!BV101-'check-Jul''26'!BR101)</f>
        <v/>
      </c>
      <c r="BS83" s="25" t="str">
        <f>IF('1. Live'!BW101='check-Jul''26'!BS101,"",'1. Live'!BW101-'check-Jul''26'!BS101)</f>
        <v/>
      </c>
      <c r="BT83" s="25" t="str">
        <f>IF('1. Live'!BX101='check-Jul''26'!BT101,"",'1. Live'!BX101-'check-Jul''26'!BT101)</f>
        <v/>
      </c>
      <c r="BU83" s="25" t="str">
        <f>IF('1. Live'!BY101='check-Jul''26'!BU101,"",'1. Live'!BY101-'check-Jul''26'!BU101)</f>
        <v/>
      </c>
      <c r="BV83" s="25" t="str">
        <f>IF('1. Live'!BZ101='check-Jul''26'!BV101,"",'1. Live'!BZ101-'check-Jul''26'!BV101)</f>
        <v/>
      </c>
      <c r="BW83" s="25" t="str">
        <f>IF('1. Live'!CA101='check-Jul''26'!BW101,"",'1. Live'!CA101-'check-Jul''26'!BW101)</f>
        <v/>
      </c>
      <c r="BX83" s="25" t="str">
        <f>IF('1. Live'!CB101='check-Jul''26'!BX101,"",'1. Live'!CB101-'check-Jul''26'!BX101)</f>
        <v/>
      </c>
      <c r="BY83" s="25" t="str">
        <f>IF('1. Live'!CC101='check-Jul''26'!BY101,"",'1. Live'!CC101-'check-Jul''26'!BY101)</f>
        <v/>
      </c>
      <c r="BZ83" s="25" t="str">
        <f>IF('1. Live'!CD101='check-Jul''26'!BZ101,"",'1. Live'!CD101-'check-Jul''26'!BZ101)</f>
        <v/>
      </c>
      <c r="CA83" s="25" t="str">
        <f>IF('1. Live'!CE101='check-Jul''26'!CA101,"",'1. Live'!CE101-'check-Jul''26'!CA101)</f>
        <v/>
      </c>
      <c r="CB83" s="25" t="str">
        <f>IF('1. Live'!CF101='check-Jul''26'!CB101,"",'1. Live'!CF101-'check-Jul''26'!CB101)</f>
        <v/>
      </c>
      <c r="CC83" s="25" t="str">
        <f>IF('1. Live'!CG101='check-Jul''26'!CC101,"",'1. Live'!CG101-'check-Jul''26'!CC101)</f>
        <v/>
      </c>
      <c r="CD83" s="25" t="str">
        <f>IF('1. Live'!CH101='check-Jul''26'!CD101,"",'1. Live'!CH101-'check-Jul''26'!CD101)</f>
        <v/>
      </c>
      <c r="CE83" s="25" t="str">
        <f>IF('1. Live'!CI101='check-Jul''26'!CE101,"",'1. Live'!CI101-'check-Jul''26'!CE101)</f>
        <v/>
      </c>
      <c r="CF83" s="25" t="str">
        <f>IF('1. Live'!CJ101='check-Jul''26'!CF101,"",'1. Live'!CJ101-'check-Jul''26'!CF101)</f>
        <v/>
      </c>
      <c r="CG83" s="25" t="str">
        <f>IF('1. Live'!CK101='check-Jul''26'!CG101,"",'1. Live'!CK101-'check-Jul''26'!CG101)</f>
        <v/>
      </c>
      <c r="CH83" s="25" t="str">
        <f>IF('1. Live'!CL101='check-Jul''26'!CH101,"",'1. Live'!CL101-'check-Jul''26'!CH101)</f>
        <v/>
      </c>
      <c r="CI83" s="25" t="str">
        <f>IF('1. Live'!CM101='check-Jul''26'!CI101,"",'1. Live'!CM101-'check-Jul''26'!CI101)</f>
        <v/>
      </c>
      <c r="CJ83" s="25" t="str">
        <f>IF('1. Live'!CN101='check-Jul''26'!CJ101,"",'1. Live'!CN101-'check-Jul''26'!CJ101)</f>
        <v/>
      </c>
      <c r="CK83" s="25" t="str">
        <f>IF('1. Live'!CO101='check-Jul''26'!CK101,"",'1. Live'!CO101-'check-Jul''26'!CK101)</f>
        <v/>
      </c>
      <c r="CL83" s="25" t="str">
        <f>IF('1. Live'!CP101='check-Jul''26'!CL101,"",'1. Live'!CP101-'check-Jul''26'!CL101)</f>
        <v/>
      </c>
      <c r="CM83" s="25" t="str">
        <f>IF('1. Live'!CQ101='check-Jul''26'!CM101,"",'1. Live'!CQ101-'check-Jul''26'!CM101)</f>
        <v/>
      </c>
      <c r="CN83" s="25" t="str">
        <f>IF('1. Live'!CR101='check-Jul''26'!CN101,"",'1. Live'!CR101-'check-Jul''26'!CN101)</f>
        <v/>
      </c>
      <c r="CO83" s="25" t="str">
        <f>IF('1. Live'!CS101='check-Jul''26'!CO101,"",'1. Live'!CS101-'check-Jul''26'!CO101)</f>
        <v/>
      </c>
      <c r="CP83" s="25" t="str">
        <f>IF('1. Live'!CT101='check-Jul''26'!CP101,"",'1. Live'!CT101-'check-Jul''26'!CP101)</f>
        <v/>
      </c>
      <c r="CQ83" s="25" t="str">
        <f>IF('1. Live'!CU101='check-Jul''26'!CQ101,"",'1. Live'!CU101-'check-Jul''26'!CQ101)</f>
        <v/>
      </c>
      <c r="CR83" s="25" t="str">
        <f>IF('1. Live'!CV101='check-Jul''26'!CR101,"",'1. Live'!CV101-'check-Jul''26'!CR101)</f>
        <v/>
      </c>
      <c r="CS83" s="25" t="str">
        <f>IF('1. Live'!CW101='check-Jul''26'!CS101,"",'1. Live'!CW101-'check-Jul''26'!CS101)</f>
        <v/>
      </c>
      <c r="CT83" s="25" t="str">
        <f>IF('1. Live'!CX101='check-Jul''26'!CT101,"",'1. Live'!CX101-'check-Jul''26'!CT101)</f>
        <v/>
      </c>
      <c r="CU83" s="25" t="str">
        <f>IF('1. Live'!CY101='check-Jul''26'!CU101,"",'1. Live'!CY101-'check-Jul''26'!CU101)</f>
        <v/>
      </c>
      <c r="CV83" s="25" t="str">
        <f>IF('1. Live'!CZ101='check-Jul''26'!CV101,"",'1. Live'!CZ101-'check-Jul''26'!CV101)</f>
        <v/>
      </c>
    </row>
    <row r="84" spans="17:100" x14ac:dyDescent="0.25">
      <c r="Q84" s="26" t="str">
        <f>IF('1. Live'!N102='check-Jul''26'!I102,"",'1. Live'!N102-'check-Jul''26'!I102)</f>
        <v/>
      </c>
      <c r="R84" s="26" t="str">
        <f>IF('1. Live'!O102='check-Jul''26'!J102,"",'1. Live'!O102-'check-Jul''26'!J102)</f>
        <v/>
      </c>
      <c r="S84" s="26" t="str">
        <f>IF('1. Live'!P102='check-Jul''26'!K102,"",'1. Live'!P102-'check-Jul''26'!K102)</f>
        <v/>
      </c>
      <c r="T84" s="26" t="str">
        <f>IF('1. Live'!Q102='check-Jul''26'!L102,"",'1. Live'!Q102-'check-Jul''26'!L102)</f>
        <v/>
      </c>
      <c r="U84" s="80" t="str">
        <f>IF('1. Live'!R102='check-Jul''26'!M102,"",'1. Live'!R102-'check-Jul''26'!M102)</f>
        <v/>
      </c>
      <c r="V84" s="26" t="str">
        <f>IF('1. Live'!S102='check-Jul''26'!N102,"",'1. Live'!S102-'check-Jul''26'!N102)</f>
        <v/>
      </c>
      <c r="W84" s="25" t="str">
        <f>IF('1. Live'!T102='check-Jul''26'!O102,"",'1. Live'!T102-'check-Jul''26'!O102)</f>
        <v/>
      </c>
      <c r="X84" s="25" t="str">
        <f>IF('1. Live'!U102='check-Jul''26'!Q102,"",'1. Live'!U102-'check-Jul''26'!Q102)</f>
        <v/>
      </c>
      <c r="Y84" s="25" t="str">
        <f>IF('1. Live'!V102='check-Jul''26'!R102,"",'1. Live'!V102-'check-Jul''26'!R102)</f>
        <v/>
      </c>
      <c r="Z84" s="25" t="str">
        <f>IF('1. Live'!W102='check-Jul''26'!S102,"",'1. Live'!W102-'check-Jul''26'!S102)</f>
        <v/>
      </c>
      <c r="AA84" s="25" t="str">
        <f>IF('1. Live'!X102='check-Jul''26'!T102,"",'1. Live'!X102-'check-Jul''26'!T102)</f>
        <v/>
      </c>
      <c r="AB84" s="25" t="str">
        <f>IF('1. Live'!AF102='check-Jul''26'!AB102,"",'1. Live'!AF102-'check-Jul''26'!AB102)</f>
        <v/>
      </c>
      <c r="AC84" s="25" t="str">
        <f>IF('1. Live'!AG102='check-Jul''26'!AC102,"",'1. Live'!AG102-'check-Jul''26'!AC102)</f>
        <v/>
      </c>
      <c r="AD84" s="25" t="str">
        <f>IF('1. Live'!AH102='check-Jul''26'!AD102,"",'1. Live'!AH102-'check-Jul''26'!AD102)</f>
        <v/>
      </c>
      <c r="AE84" s="25" t="str">
        <f>IF('1. Live'!AI102='check-Jul''26'!AE102,"",'1. Live'!AI102-'check-Jul''26'!AE102)</f>
        <v/>
      </c>
      <c r="AF84" s="25" t="str">
        <f>IF('1. Live'!AJ102='check-Jul''26'!AF102,"",'1. Live'!AJ102-'check-Jul''26'!AF102)</f>
        <v/>
      </c>
      <c r="AG84" s="25" t="str">
        <f>IF('1. Live'!AK102='check-Jul''26'!AG102,"",'1. Live'!AK102-'check-Jul''26'!AG102)</f>
        <v/>
      </c>
      <c r="AH84" s="25" t="str">
        <f>IF('1. Live'!AL102='check-Jul''26'!AH102,"",'1. Live'!AL102-'check-Jul''26'!AH102)</f>
        <v/>
      </c>
      <c r="AI84" s="25" t="str">
        <f>IF('1. Live'!AM102='check-Jul''26'!AI102,"",'1. Live'!AM102-'check-Jul''26'!AI102)</f>
        <v/>
      </c>
      <c r="AJ84" s="25" t="str">
        <f>IF('1. Live'!AN102='check-Jul''26'!AJ102,"",'1. Live'!AN102-'check-Jul''26'!AJ102)</f>
        <v/>
      </c>
      <c r="AK84" s="25" t="str">
        <f>IF('1. Live'!AO102='check-Jul''26'!AK102,"",'1. Live'!AO102-'check-Jul''26'!AK102)</f>
        <v/>
      </c>
      <c r="AL84" s="25" t="str">
        <f>IF('1. Live'!AP102='check-Jul''26'!AL102,"",'1. Live'!AP102-'check-Jul''26'!AL102)</f>
        <v/>
      </c>
      <c r="AM84" s="25" t="str">
        <f>IF('1. Live'!AQ102='check-Jul''26'!AM102,"",'1. Live'!AQ102-'check-Jul''26'!AM102)</f>
        <v/>
      </c>
      <c r="AN84" s="25" t="str">
        <f>IF('1. Live'!AR102='check-Jul''26'!AN102,"",'1. Live'!AR102-'check-Jul''26'!AN102)</f>
        <v/>
      </c>
      <c r="AO84" s="25" t="str">
        <f>IF('1. Live'!AS102='check-Jul''26'!AO102,"",'1. Live'!AS102-'check-Jul''26'!AO102)</f>
        <v/>
      </c>
      <c r="AP84" s="25" t="str">
        <f>IF('1. Live'!AT102='check-Jul''26'!AP102,"",'1. Live'!AT102-'check-Jul''26'!AP102)</f>
        <v/>
      </c>
      <c r="AQ84" s="25" t="str">
        <f>IF('1. Live'!AU102='check-Jul''26'!AQ102,"",'1. Live'!AU102-'check-Jul''26'!AQ102)</f>
        <v/>
      </c>
      <c r="AR84" s="25" t="str">
        <f>IF('1. Live'!AV102='check-Jul''26'!AR102,"",'1. Live'!AV102-'check-Jul''26'!AR102)</f>
        <v/>
      </c>
      <c r="AS84" s="25" t="str">
        <f>IF('1. Live'!AW102='check-Jul''26'!AS102,"",'1. Live'!AW102-'check-Jul''26'!AS102)</f>
        <v/>
      </c>
      <c r="AT84" s="25" t="str">
        <f>IF('1. Live'!AX102='check-Jul''26'!AT102,"",'1. Live'!AX102-'check-Jul''26'!AT102)</f>
        <v/>
      </c>
      <c r="AU84" s="25" t="str">
        <f>IF('1. Live'!AY102='check-Jul''26'!AU102,"",'1. Live'!AY102-'check-Jul''26'!AU102)</f>
        <v/>
      </c>
      <c r="AV84" s="25" t="str">
        <f>IF('1. Live'!AZ102='check-Jul''26'!AV102,"",'1. Live'!AZ102-'check-Jul''26'!AV102)</f>
        <v/>
      </c>
      <c r="AW84" s="25" t="str">
        <f>IF('1. Live'!BA102='check-Jul''26'!AW102,"",'1. Live'!BA102-'check-Jul''26'!AW102)</f>
        <v/>
      </c>
      <c r="AX84" s="25" t="str">
        <f>IF('1. Live'!BB102='check-Jul''26'!AX102,"",'1. Live'!BB102-'check-Jul''26'!AX102)</f>
        <v/>
      </c>
      <c r="AY84" s="25" t="str">
        <f>IF('1. Live'!BC102='check-Jul''26'!AY102,"",'1. Live'!BC102-'check-Jul''26'!AY102)</f>
        <v/>
      </c>
      <c r="AZ84" s="25" t="str">
        <f>IF('1. Live'!BD102='check-Jul''26'!AZ102,"",'1. Live'!BD102-'check-Jul''26'!AZ102)</f>
        <v/>
      </c>
      <c r="BA84" s="25" t="str">
        <f>IF('1. Live'!BE102='check-Jul''26'!BA102,"",'1. Live'!BE102-'check-Jul''26'!BA102)</f>
        <v/>
      </c>
      <c r="BB84" s="25" t="str">
        <f>IF('1. Live'!BF102='check-Jul''26'!BB102,"",'1. Live'!BF102-'check-Jul''26'!BB102)</f>
        <v/>
      </c>
      <c r="BC84" s="25" t="str">
        <f>IF('1. Live'!BG102='check-Jul''26'!BC102,"",'1. Live'!BG102-'check-Jul''26'!BC102)</f>
        <v/>
      </c>
      <c r="BD84" s="25" t="str">
        <f>IF('1. Live'!BH102='check-Jul''26'!BD102,"",'1. Live'!BH102-'check-Jul''26'!BD102)</f>
        <v/>
      </c>
      <c r="BE84" s="25" t="str">
        <f>IF('1. Live'!BI102='check-Jul''26'!BE102,"",'1. Live'!BI102-'check-Jul''26'!BE102)</f>
        <v/>
      </c>
      <c r="BF84" s="25" t="str">
        <f>IF('1. Live'!BJ102='check-Jul''26'!BF102,"",'1. Live'!BJ102-'check-Jul''26'!BF102)</f>
        <v/>
      </c>
      <c r="BG84" s="25" t="str">
        <f>IF('1. Live'!BK102='check-Jul''26'!BG102,"",'1. Live'!BK102-'check-Jul''26'!BG102)</f>
        <v/>
      </c>
      <c r="BH84" s="25" t="str">
        <f>IF('1. Live'!BL102='check-Jul''26'!BH102,"",'1. Live'!BL102-'check-Jul''26'!BH102)</f>
        <v/>
      </c>
      <c r="BI84" s="25" t="str">
        <f>IF('1. Live'!BM102='check-Jul''26'!BI102,"",'1. Live'!BM102-'check-Jul''26'!BI102)</f>
        <v/>
      </c>
      <c r="BJ84" s="25" t="str">
        <f>IF('1. Live'!BN102='check-Jul''26'!BJ102,"",'1. Live'!BN102-'check-Jul''26'!BJ102)</f>
        <v/>
      </c>
      <c r="BK84" s="25" t="str">
        <f>IF('1. Live'!BO102='check-Jul''26'!BK102,"",'1. Live'!BO102-'check-Jul''26'!BK102)</f>
        <v/>
      </c>
      <c r="BL84" s="25" t="str">
        <f>IF('1. Live'!BP102='check-Jul''26'!BL102,"",'1. Live'!BP102-'check-Jul''26'!BL102)</f>
        <v/>
      </c>
      <c r="BM84" s="25" t="str">
        <f>IF('1. Live'!BQ102='check-Jul''26'!BM102,"",'1. Live'!BQ102-'check-Jul''26'!BM102)</f>
        <v/>
      </c>
      <c r="BN84" s="25" t="str">
        <f>IF('1. Live'!BR102='check-Jul''26'!BN102,"",'1. Live'!BR102-'check-Jul''26'!BN102)</f>
        <v/>
      </c>
      <c r="BO84" s="25" t="str">
        <f>IF('1. Live'!BS102='check-Jul''26'!BO102,"",'1. Live'!BS102-'check-Jul''26'!BO102)</f>
        <v/>
      </c>
      <c r="BP84" s="25" t="str">
        <f>IF('1. Live'!BT102='check-Jul''26'!BP102,"",'1. Live'!BT102-'check-Jul''26'!BP102)</f>
        <v/>
      </c>
      <c r="BQ84" s="25" t="str">
        <f>IF('1. Live'!BU102='check-Jul''26'!BQ102,"",'1. Live'!BU102-'check-Jul''26'!BQ102)</f>
        <v/>
      </c>
      <c r="BR84" s="25" t="str">
        <f>IF('1. Live'!BV102='check-Jul''26'!BR102,"",'1. Live'!BV102-'check-Jul''26'!BR102)</f>
        <v/>
      </c>
      <c r="BS84" s="25" t="str">
        <f>IF('1. Live'!BW102='check-Jul''26'!BS102,"",'1. Live'!BW102-'check-Jul''26'!BS102)</f>
        <v/>
      </c>
      <c r="BT84" s="25" t="str">
        <f>IF('1. Live'!BX102='check-Jul''26'!BT102,"",'1. Live'!BX102-'check-Jul''26'!BT102)</f>
        <v/>
      </c>
      <c r="BU84" s="25" t="str">
        <f>IF('1. Live'!BY102='check-Jul''26'!BU102,"",'1. Live'!BY102-'check-Jul''26'!BU102)</f>
        <v/>
      </c>
      <c r="BV84" s="25" t="str">
        <f>IF('1. Live'!BZ102='check-Jul''26'!BV102,"",'1. Live'!BZ102-'check-Jul''26'!BV102)</f>
        <v/>
      </c>
      <c r="BW84" s="25" t="str">
        <f>IF('1. Live'!CA102='check-Jul''26'!BW102,"",'1. Live'!CA102-'check-Jul''26'!BW102)</f>
        <v/>
      </c>
      <c r="BX84" s="25" t="str">
        <f>IF('1. Live'!CB102='check-Jul''26'!BX102,"",'1. Live'!CB102-'check-Jul''26'!BX102)</f>
        <v/>
      </c>
      <c r="BY84" s="25" t="str">
        <f>IF('1. Live'!CC102='check-Jul''26'!BY102,"",'1. Live'!CC102-'check-Jul''26'!BY102)</f>
        <v/>
      </c>
      <c r="BZ84" s="25" t="str">
        <f>IF('1. Live'!CD102='check-Jul''26'!BZ102,"",'1. Live'!CD102-'check-Jul''26'!BZ102)</f>
        <v/>
      </c>
      <c r="CA84" s="25" t="str">
        <f>IF('1. Live'!CE102='check-Jul''26'!CA102,"",'1. Live'!CE102-'check-Jul''26'!CA102)</f>
        <v/>
      </c>
      <c r="CB84" s="25" t="str">
        <f>IF('1. Live'!CF102='check-Jul''26'!CB102,"",'1. Live'!CF102-'check-Jul''26'!CB102)</f>
        <v/>
      </c>
      <c r="CC84" s="25" t="str">
        <f>IF('1. Live'!CG102='check-Jul''26'!CC102,"",'1. Live'!CG102-'check-Jul''26'!CC102)</f>
        <v/>
      </c>
      <c r="CD84" s="25" t="str">
        <f>IF('1. Live'!CH102='check-Jul''26'!CD102,"",'1. Live'!CH102-'check-Jul''26'!CD102)</f>
        <v/>
      </c>
      <c r="CE84" s="25" t="str">
        <f>IF('1. Live'!CI102='check-Jul''26'!CE102,"",'1. Live'!CI102-'check-Jul''26'!CE102)</f>
        <v/>
      </c>
      <c r="CF84" s="25" t="str">
        <f>IF('1. Live'!CJ102='check-Jul''26'!CF102,"",'1. Live'!CJ102-'check-Jul''26'!CF102)</f>
        <v/>
      </c>
      <c r="CG84" s="25" t="str">
        <f>IF('1. Live'!CK102='check-Jul''26'!CG102,"",'1. Live'!CK102-'check-Jul''26'!CG102)</f>
        <v/>
      </c>
      <c r="CH84" s="25" t="str">
        <f>IF('1. Live'!CL102='check-Jul''26'!CH102,"",'1. Live'!CL102-'check-Jul''26'!CH102)</f>
        <v/>
      </c>
      <c r="CI84" s="25" t="str">
        <f>IF('1. Live'!CM102='check-Jul''26'!CI102,"",'1. Live'!CM102-'check-Jul''26'!CI102)</f>
        <v/>
      </c>
      <c r="CJ84" s="25" t="str">
        <f>IF('1. Live'!CN102='check-Jul''26'!CJ102,"",'1. Live'!CN102-'check-Jul''26'!CJ102)</f>
        <v/>
      </c>
      <c r="CK84" s="25" t="str">
        <f>IF('1. Live'!CO102='check-Jul''26'!CK102,"",'1. Live'!CO102-'check-Jul''26'!CK102)</f>
        <v/>
      </c>
      <c r="CL84" s="25" t="str">
        <f>IF('1. Live'!CP102='check-Jul''26'!CL102,"",'1. Live'!CP102-'check-Jul''26'!CL102)</f>
        <v/>
      </c>
      <c r="CM84" s="25" t="str">
        <f>IF('1. Live'!CQ102='check-Jul''26'!CM102,"",'1. Live'!CQ102-'check-Jul''26'!CM102)</f>
        <v/>
      </c>
      <c r="CN84" s="25" t="str">
        <f>IF('1. Live'!CR102='check-Jul''26'!CN102,"",'1. Live'!CR102-'check-Jul''26'!CN102)</f>
        <v/>
      </c>
      <c r="CO84" s="25" t="str">
        <f>IF('1. Live'!CS102='check-Jul''26'!CO102,"",'1. Live'!CS102-'check-Jul''26'!CO102)</f>
        <v/>
      </c>
      <c r="CP84" s="25" t="str">
        <f>IF('1. Live'!CT102='check-Jul''26'!CP102,"",'1. Live'!CT102-'check-Jul''26'!CP102)</f>
        <v/>
      </c>
      <c r="CQ84" s="25" t="str">
        <f>IF('1. Live'!CU102='check-Jul''26'!CQ102,"",'1. Live'!CU102-'check-Jul''26'!CQ102)</f>
        <v/>
      </c>
      <c r="CR84" s="25" t="str">
        <f>IF('1. Live'!CV102='check-Jul''26'!CR102,"",'1. Live'!CV102-'check-Jul''26'!CR102)</f>
        <v/>
      </c>
      <c r="CS84" s="25" t="str">
        <f>IF('1. Live'!CW102='check-Jul''26'!CS102,"",'1. Live'!CW102-'check-Jul''26'!CS102)</f>
        <v/>
      </c>
      <c r="CT84" s="25" t="str">
        <f>IF('1. Live'!CX102='check-Jul''26'!CT102,"",'1. Live'!CX102-'check-Jul''26'!CT102)</f>
        <v/>
      </c>
      <c r="CU84" s="25" t="str">
        <f>IF('1. Live'!CY102='check-Jul''26'!CU102,"",'1. Live'!CY102-'check-Jul''26'!CU102)</f>
        <v/>
      </c>
      <c r="CV84" s="25" t="str">
        <f>IF('1. Live'!CZ102='check-Jul''26'!CV102,"",'1. Live'!CZ102-'check-Jul''26'!CV102)</f>
        <v/>
      </c>
    </row>
    <row r="85" spans="17:100" x14ac:dyDescent="0.25">
      <c r="Q85" s="26" t="str">
        <f>IF('1. Live'!N103='check-Jul''26'!I103,"",'1. Live'!N103-'check-Jul''26'!I103)</f>
        <v/>
      </c>
      <c r="R85" s="26" t="str">
        <f>IF('1. Live'!O103='check-Jul''26'!J103,"",'1. Live'!O103-'check-Jul''26'!J103)</f>
        <v/>
      </c>
      <c r="S85" s="26" t="str">
        <f>IF('1. Live'!P103='check-Jul''26'!K103,"",'1. Live'!P103-'check-Jul''26'!K103)</f>
        <v/>
      </c>
      <c r="T85" s="26" t="str">
        <f>IF('1. Live'!Q103='check-Jul''26'!L103,"",'1. Live'!Q103-'check-Jul''26'!L103)</f>
        <v/>
      </c>
      <c r="U85" s="80" t="str">
        <f>IF('1. Live'!R103='check-Jul''26'!M103,"",'1. Live'!R103-'check-Jul''26'!M103)</f>
        <v/>
      </c>
      <c r="V85" s="26" t="str">
        <f>IF('1. Live'!S103='check-Jul''26'!N103,"",'1. Live'!S103-'check-Jul''26'!N103)</f>
        <v/>
      </c>
      <c r="W85" s="25" t="str">
        <f>IF('1. Live'!T103='check-Jul''26'!O103,"",'1. Live'!T103-'check-Jul''26'!O103)</f>
        <v/>
      </c>
      <c r="X85" s="25" t="str">
        <f>IF('1. Live'!U103='check-Jul''26'!Q103,"",'1. Live'!U103-'check-Jul''26'!Q103)</f>
        <v/>
      </c>
      <c r="Y85" s="25" t="str">
        <f>IF('1. Live'!V103='check-Jul''26'!R103,"",'1. Live'!V103-'check-Jul''26'!R103)</f>
        <v/>
      </c>
      <c r="Z85" s="25" t="str">
        <f>IF('1. Live'!W103='check-Jul''26'!S103,"",'1. Live'!W103-'check-Jul''26'!S103)</f>
        <v/>
      </c>
      <c r="AA85" s="25" t="str">
        <f>IF('1. Live'!X103='check-Jul''26'!T103,"",'1. Live'!X103-'check-Jul''26'!T103)</f>
        <v/>
      </c>
      <c r="AB85" s="25" t="str">
        <f>IF('1. Live'!AF103='check-Jul''26'!AB103,"",'1. Live'!AF103-'check-Jul''26'!AB103)</f>
        <v/>
      </c>
      <c r="AC85" s="25" t="str">
        <f>IF('1. Live'!AG103='check-Jul''26'!AC103,"",'1. Live'!AG103-'check-Jul''26'!AC103)</f>
        <v/>
      </c>
      <c r="AD85" s="25" t="str">
        <f>IF('1. Live'!AH103='check-Jul''26'!AD103,"",'1. Live'!AH103-'check-Jul''26'!AD103)</f>
        <v/>
      </c>
      <c r="AE85" s="25" t="str">
        <f>IF('1. Live'!AI103='check-Jul''26'!AE103,"",'1. Live'!AI103-'check-Jul''26'!AE103)</f>
        <v/>
      </c>
      <c r="AF85" s="25" t="str">
        <f>IF('1. Live'!AJ103='check-Jul''26'!AF103,"",'1. Live'!AJ103-'check-Jul''26'!AF103)</f>
        <v/>
      </c>
      <c r="AG85" s="25" t="str">
        <f>IF('1. Live'!AK103='check-Jul''26'!AG103,"",'1. Live'!AK103-'check-Jul''26'!AG103)</f>
        <v/>
      </c>
      <c r="AH85" s="25" t="str">
        <f>IF('1. Live'!AL103='check-Jul''26'!AH103,"",'1. Live'!AL103-'check-Jul''26'!AH103)</f>
        <v/>
      </c>
      <c r="AI85" s="25" t="str">
        <f>IF('1. Live'!AM103='check-Jul''26'!AI103,"",'1. Live'!AM103-'check-Jul''26'!AI103)</f>
        <v/>
      </c>
      <c r="AJ85" s="25" t="str">
        <f>IF('1. Live'!AN103='check-Jul''26'!AJ103,"",'1. Live'!AN103-'check-Jul''26'!AJ103)</f>
        <v/>
      </c>
      <c r="AK85" s="25" t="str">
        <f>IF('1. Live'!AO103='check-Jul''26'!AK103,"",'1. Live'!AO103-'check-Jul''26'!AK103)</f>
        <v/>
      </c>
      <c r="AL85" s="25" t="str">
        <f>IF('1. Live'!AP103='check-Jul''26'!AL103,"",'1. Live'!AP103-'check-Jul''26'!AL103)</f>
        <v/>
      </c>
      <c r="AM85" s="25" t="str">
        <f>IF('1. Live'!AQ103='check-Jul''26'!AM103,"",'1. Live'!AQ103-'check-Jul''26'!AM103)</f>
        <v/>
      </c>
      <c r="AN85" s="25" t="str">
        <f>IF('1. Live'!AR103='check-Jul''26'!AN103,"",'1. Live'!AR103-'check-Jul''26'!AN103)</f>
        <v/>
      </c>
      <c r="AO85" s="25" t="str">
        <f>IF('1. Live'!AS103='check-Jul''26'!AO103,"",'1. Live'!AS103-'check-Jul''26'!AO103)</f>
        <v/>
      </c>
      <c r="AP85" s="25" t="str">
        <f>IF('1. Live'!AT103='check-Jul''26'!AP103,"",'1. Live'!AT103-'check-Jul''26'!AP103)</f>
        <v/>
      </c>
      <c r="AQ85" s="25" t="str">
        <f>IF('1. Live'!AU103='check-Jul''26'!AQ103,"",'1. Live'!AU103-'check-Jul''26'!AQ103)</f>
        <v/>
      </c>
      <c r="AR85" s="25" t="str">
        <f>IF('1. Live'!AV103='check-Jul''26'!AR103,"",'1. Live'!AV103-'check-Jul''26'!AR103)</f>
        <v/>
      </c>
      <c r="AS85" s="25" t="str">
        <f>IF('1. Live'!AW103='check-Jul''26'!AS103,"",'1. Live'!AW103-'check-Jul''26'!AS103)</f>
        <v/>
      </c>
      <c r="AT85" s="25" t="str">
        <f>IF('1. Live'!AX103='check-Jul''26'!AT103,"",'1. Live'!AX103-'check-Jul''26'!AT103)</f>
        <v/>
      </c>
      <c r="AU85" s="25" t="str">
        <f>IF('1. Live'!AY103='check-Jul''26'!AU103,"",'1. Live'!AY103-'check-Jul''26'!AU103)</f>
        <v/>
      </c>
      <c r="AV85" s="25" t="str">
        <f>IF('1. Live'!AZ103='check-Jul''26'!AV103,"",'1. Live'!AZ103-'check-Jul''26'!AV103)</f>
        <v/>
      </c>
      <c r="AW85" s="25" t="str">
        <f>IF('1. Live'!BA103='check-Jul''26'!AW103,"",'1. Live'!BA103-'check-Jul''26'!AW103)</f>
        <v/>
      </c>
      <c r="AX85" s="25" t="str">
        <f>IF('1. Live'!BB103='check-Jul''26'!AX103,"",'1. Live'!BB103-'check-Jul''26'!AX103)</f>
        <v/>
      </c>
      <c r="AY85" s="25" t="str">
        <f>IF('1. Live'!BC103='check-Jul''26'!AY103,"",'1. Live'!BC103-'check-Jul''26'!AY103)</f>
        <v/>
      </c>
      <c r="AZ85" s="25" t="str">
        <f>IF('1. Live'!BD103='check-Jul''26'!AZ103,"",'1. Live'!BD103-'check-Jul''26'!AZ103)</f>
        <v/>
      </c>
      <c r="BA85" s="25" t="str">
        <f>IF('1. Live'!BE103='check-Jul''26'!BA103,"",'1. Live'!BE103-'check-Jul''26'!BA103)</f>
        <v/>
      </c>
      <c r="BB85" s="25" t="str">
        <f>IF('1. Live'!BF103='check-Jul''26'!BB103,"",'1. Live'!BF103-'check-Jul''26'!BB103)</f>
        <v/>
      </c>
      <c r="BC85" s="25" t="str">
        <f>IF('1. Live'!BG103='check-Jul''26'!BC103,"",'1. Live'!BG103-'check-Jul''26'!BC103)</f>
        <v/>
      </c>
      <c r="BD85" s="25" t="str">
        <f>IF('1. Live'!BH103='check-Jul''26'!BD103,"",'1. Live'!BH103-'check-Jul''26'!BD103)</f>
        <v/>
      </c>
      <c r="BE85" s="25" t="str">
        <f>IF('1. Live'!BI103='check-Jul''26'!BE103,"",'1. Live'!BI103-'check-Jul''26'!BE103)</f>
        <v/>
      </c>
      <c r="BF85" s="25" t="str">
        <f>IF('1. Live'!BJ103='check-Jul''26'!BF103,"",'1. Live'!BJ103-'check-Jul''26'!BF103)</f>
        <v/>
      </c>
      <c r="BG85" s="25" t="str">
        <f>IF('1. Live'!BK103='check-Jul''26'!BG103,"",'1. Live'!BK103-'check-Jul''26'!BG103)</f>
        <v/>
      </c>
      <c r="BH85" s="25" t="str">
        <f>IF('1. Live'!BL103='check-Jul''26'!BH103,"",'1. Live'!BL103-'check-Jul''26'!BH103)</f>
        <v/>
      </c>
      <c r="BI85" s="25" t="str">
        <f>IF('1. Live'!BM103='check-Jul''26'!BI103,"",'1. Live'!BM103-'check-Jul''26'!BI103)</f>
        <v/>
      </c>
      <c r="BJ85" s="25" t="str">
        <f>IF('1. Live'!BN103='check-Jul''26'!BJ103,"",'1. Live'!BN103-'check-Jul''26'!BJ103)</f>
        <v/>
      </c>
      <c r="BK85" s="25" t="str">
        <f>IF('1. Live'!BO103='check-Jul''26'!BK103,"",'1. Live'!BO103-'check-Jul''26'!BK103)</f>
        <v/>
      </c>
      <c r="BL85" s="25" t="str">
        <f>IF('1. Live'!BP103='check-Jul''26'!BL103,"",'1. Live'!BP103-'check-Jul''26'!BL103)</f>
        <v/>
      </c>
      <c r="BM85" s="25" t="str">
        <f>IF('1. Live'!BQ103='check-Jul''26'!BM103,"",'1. Live'!BQ103-'check-Jul''26'!BM103)</f>
        <v/>
      </c>
      <c r="BN85" s="25" t="str">
        <f>IF('1. Live'!BR103='check-Jul''26'!BN103,"",'1. Live'!BR103-'check-Jul''26'!BN103)</f>
        <v/>
      </c>
      <c r="BO85" s="25" t="str">
        <f>IF('1. Live'!BS103='check-Jul''26'!BO103,"",'1. Live'!BS103-'check-Jul''26'!BO103)</f>
        <v/>
      </c>
      <c r="BP85" s="25" t="str">
        <f>IF('1. Live'!BT103='check-Jul''26'!BP103,"",'1. Live'!BT103-'check-Jul''26'!BP103)</f>
        <v/>
      </c>
      <c r="BQ85" s="25" t="str">
        <f>IF('1. Live'!BU103='check-Jul''26'!BQ103,"",'1. Live'!BU103-'check-Jul''26'!BQ103)</f>
        <v/>
      </c>
      <c r="BR85" s="25" t="str">
        <f>IF('1. Live'!BV103='check-Jul''26'!BR103,"",'1. Live'!BV103-'check-Jul''26'!BR103)</f>
        <v/>
      </c>
      <c r="BS85" s="25" t="str">
        <f>IF('1. Live'!BW103='check-Jul''26'!BS103,"",'1. Live'!BW103-'check-Jul''26'!BS103)</f>
        <v/>
      </c>
      <c r="BT85" s="25" t="str">
        <f>IF('1. Live'!BX103='check-Jul''26'!BT103,"",'1. Live'!BX103-'check-Jul''26'!BT103)</f>
        <v/>
      </c>
      <c r="BU85" s="25" t="str">
        <f>IF('1. Live'!BY103='check-Jul''26'!BU103,"",'1. Live'!BY103-'check-Jul''26'!BU103)</f>
        <v/>
      </c>
      <c r="BV85" s="25" t="str">
        <f>IF('1. Live'!BZ103='check-Jul''26'!BV103,"",'1. Live'!BZ103-'check-Jul''26'!BV103)</f>
        <v/>
      </c>
      <c r="BW85" s="25" t="str">
        <f>IF('1. Live'!CA103='check-Jul''26'!BW103,"",'1. Live'!CA103-'check-Jul''26'!BW103)</f>
        <v/>
      </c>
      <c r="BX85" s="25" t="str">
        <f>IF('1. Live'!CB103='check-Jul''26'!BX103,"",'1. Live'!CB103-'check-Jul''26'!BX103)</f>
        <v/>
      </c>
      <c r="BY85" s="25" t="str">
        <f>IF('1. Live'!CC103='check-Jul''26'!BY103,"",'1. Live'!CC103-'check-Jul''26'!BY103)</f>
        <v/>
      </c>
      <c r="BZ85" s="25" t="str">
        <f>IF('1. Live'!CD103='check-Jul''26'!BZ103,"",'1. Live'!CD103-'check-Jul''26'!BZ103)</f>
        <v/>
      </c>
      <c r="CA85" s="25" t="str">
        <f>IF('1. Live'!CE103='check-Jul''26'!CA103,"",'1. Live'!CE103-'check-Jul''26'!CA103)</f>
        <v/>
      </c>
      <c r="CB85" s="25" t="str">
        <f>IF('1. Live'!CF103='check-Jul''26'!CB103,"",'1. Live'!CF103-'check-Jul''26'!CB103)</f>
        <v/>
      </c>
      <c r="CC85" s="25" t="str">
        <f>IF('1. Live'!CG103='check-Jul''26'!CC103,"",'1. Live'!CG103-'check-Jul''26'!CC103)</f>
        <v/>
      </c>
      <c r="CD85" s="25" t="str">
        <f>IF('1. Live'!CH103='check-Jul''26'!CD103,"",'1. Live'!CH103-'check-Jul''26'!CD103)</f>
        <v/>
      </c>
      <c r="CE85" s="25" t="str">
        <f>IF('1. Live'!CI103='check-Jul''26'!CE103,"",'1. Live'!CI103-'check-Jul''26'!CE103)</f>
        <v/>
      </c>
      <c r="CF85" s="25" t="str">
        <f>IF('1. Live'!CJ103='check-Jul''26'!CF103,"",'1. Live'!CJ103-'check-Jul''26'!CF103)</f>
        <v/>
      </c>
      <c r="CG85" s="25" t="str">
        <f>IF('1. Live'!CK103='check-Jul''26'!CG103,"",'1. Live'!CK103-'check-Jul''26'!CG103)</f>
        <v/>
      </c>
      <c r="CH85" s="25" t="str">
        <f>IF('1. Live'!CL103='check-Jul''26'!CH103,"",'1. Live'!CL103-'check-Jul''26'!CH103)</f>
        <v/>
      </c>
      <c r="CI85" s="25" t="str">
        <f>IF('1. Live'!CM103='check-Jul''26'!CI103,"",'1. Live'!CM103-'check-Jul''26'!CI103)</f>
        <v/>
      </c>
      <c r="CJ85" s="25" t="str">
        <f>IF('1. Live'!CN103='check-Jul''26'!CJ103,"",'1. Live'!CN103-'check-Jul''26'!CJ103)</f>
        <v/>
      </c>
      <c r="CK85" s="25" t="str">
        <f>IF('1. Live'!CO103='check-Jul''26'!CK103,"",'1. Live'!CO103-'check-Jul''26'!CK103)</f>
        <v/>
      </c>
      <c r="CL85" s="25" t="str">
        <f>IF('1. Live'!CP103='check-Jul''26'!CL103,"",'1. Live'!CP103-'check-Jul''26'!CL103)</f>
        <v/>
      </c>
      <c r="CM85" s="25" t="str">
        <f>IF('1. Live'!CQ103='check-Jul''26'!CM103,"",'1. Live'!CQ103-'check-Jul''26'!CM103)</f>
        <v/>
      </c>
      <c r="CN85" s="25" t="str">
        <f>IF('1. Live'!CR103='check-Jul''26'!CN103,"",'1. Live'!CR103-'check-Jul''26'!CN103)</f>
        <v/>
      </c>
      <c r="CO85" s="25" t="str">
        <f>IF('1. Live'!CS103='check-Jul''26'!CO103,"",'1. Live'!CS103-'check-Jul''26'!CO103)</f>
        <v/>
      </c>
      <c r="CP85" s="25" t="str">
        <f>IF('1. Live'!CT103='check-Jul''26'!CP103,"",'1. Live'!CT103-'check-Jul''26'!CP103)</f>
        <v/>
      </c>
      <c r="CQ85" s="25" t="str">
        <f>IF('1. Live'!CU103='check-Jul''26'!CQ103,"",'1. Live'!CU103-'check-Jul''26'!CQ103)</f>
        <v/>
      </c>
      <c r="CR85" s="25" t="str">
        <f>IF('1. Live'!CV103='check-Jul''26'!CR103,"",'1. Live'!CV103-'check-Jul''26'!CR103)</f>
        <v/>
      </c>
      <c r="CS85" s="25" t="str">
        <f>IF('1. Live'!CW103='check-Jul''26'!CS103,"",'1. Live'!CW103-'check-Jul''26'!CS103)</f>
        <v/>
      </c>
      <c r="CT85" s="25" t="str">
        <f>IF('1. Live'!CX103='check-Jul''26'!CT103,"",'1. Live'!CX103-'check-Jul''26'!CT103)</f>
        <v/>
      </c>
      <c r="CU85" s="25" t="str">
        <f>IF('1. Live'!CY103='check-Jul''26'!CU103,"",'1. Live'!CY103-'check-Jul''26'!CU103)</f>
        <v/>
      </c>
      <c r="CV85" s="25" t="str">
        <f>IF('1. Live'!CZ103='check-Jul''26'!CV103,"",'1. Live'!CZ103-'check-Jul''26'!CV103)</f>
        <v/>
      </c>
    </row>
    <row r="86" spans="17:100" x14ac:dyDescent="0.25">
      <c r="Q86" s="26" t="str">
        <f>IF('1. Live'!N104='check-Jul''26'!I104,"",'1. Live'!N104-'check-Jul''26'!I104)</f>
        <v/>
      </c>
      <c r="R86" s="26" t="str">
        <f>IF('1. Live'!O104='check-Jul''26'!J104,"",'1. Live'!O104-'check-Jul''26'!J104)</f>
        <v/>
      </c>
      <c r="S86" s="26" t="str">
        <f>IF('1. Live'!P104='check-Jul''26'!K104,"",'1. Live'!P104-'check-Jul''26'!K104)</f>
        <v/>
      </c>
      <c r="T86" s="26" t="str">
        <f>IF('1. Live'!Q104='check-Jul''26'!L104,"",'1. Live'!Q104-'check-Jul''26'!L104)</f>
        <v/>
      </c>
      <c r="U86" s="80" t="str">
        <f>IF('1. Live'!R104='check-Jul''26'!M104,"",'1. Live'!R104-'check-Jul''26'!M104)</f>
        <v/>
      </c>
      <c r="V86" s="26" t="str">
        <f>IF('1. Live'!S104='check-Jul''26'!N104,"",'1. Live'!S104-'check-Jul''26'!N104)</f>
        <v/>
      </c>
      <c r="W86" s="25" t="str">
        <f>IF('1. Live'!T104='check-Jul''26'!O104,"",'1. Live'!T104-'check-Jul''26'!O104)</f>
        <v/>
      </c>
      <c r="X86" s="25" t="str">
        <f>IF('1. Live'!U104='check-Jul''26'!Q104,"",'1. Live'!U104-'check-Jul''26'!Q104)</f>
        <v/>
      </c>
      <c r="Y86" s="25" t="str">
        <f>IF('1. Live'!V104='check-Jul''26'!R104,"",'1. Live'!V104-'check-Jul''26'!R104)</f>
        <v/>
      </c>
      <c r="Z86" s="25" t="str">
        <f>IF('1. Live'!W104='check-Jul''26'!S104,"",'1. Live'!W104-'check-Jul''26'!S104)</f>
        <v/>
      </c>
      <c r="AA86" s="25" t="str">
        <f>IF('1. Live'!X104='check-Jul''26'!T104,"",'1. Live'!X104-'check-Jul''26'!T104)</f>
        <v/>
      </c>
      <c r="AB86" s="25" t="str">
        <f>IF('1. Live'!AF104='check-Jul''26'!AB104,"",'1. Live'!AF104-'check-Jul''26'!AB104)</f>
        <v/>
      </c>
      <c r="AC86" s="25" t="str">
        <f>IF('1. Live'!AG104='check-Jul''26'!AC104,"",'1. Live'!AG104-'check-Jul''26'!AC104)</f>
        <v/>
      </c>
      <c r="AD86" s="25" t="str">
        <f>IF('1. Live'!AH104='check-Jul''26'!AD104,"",'1. Live'!AH104-'check-Jul''26'!AD104)</f>
        <v/>
      </c>
      <c r="AE86" s="25" t="str">
        <f>IF('1. Live'!AI104='check-Jul''26'!AE104,"",'1. Live'!AI104-'check-Jul''26'!AE104)</f>
        <v/>
      </c>
      <c r="AF86" s="25" t="str">
        <f>IF('1. Live'!AJ104='check-Jul''26'!AF104,"",'1. Live'!AJ104-'check-Jul''26'!AF104)</f>
        <v/>
      </c>
      <c r="AG86" s="25" t="str">
        <f>IF('1. Live'!AK104='check-Jul''26'!AG104,"",'1. Live'!AK104-'check-Jul''26'!AG104)</f>
        <v/>
      </c>
      <c r="AH86" s="25" t="str">
        <f>IF('1. Live'!AL104='check-Jul''26'!AH104,"",'1. Live'!AL104-'check-Jul''26'!AH104)</f>
        <v/>
      </c>
      <c r="AI86" s="25" t="str">
        <f>IF('1. Live'!AM104='check-Jul''26'!AI104,"",'1. Live'!AM104-'check-Jul''26'!AI104)</f>
        <v/>
      </c>
      <c r="AJ86" s="25" t="str">
        <f>IF('1. Live'!AN104='check-Jul''26'!AJ104,"",'1. Live'!AN104-'check-Jul''26'!AJ104)</f>
        <v/>
      </c>
      <c r="AK86" s="25" t="str">
        <f>IF('1. Live'!AO104='check-Jul''26'!AK104,"",'1. Live'!AO104-'check-Jul''26'!AK104)</f>
        <v/>
      </c>
      <c r="AL86" s="25" t="str">
        <f>IF('1. Live'!AP104='check-Jul''26'!AL104,"",'1. Live'!AP104-'check-Jul''26'!AL104)</f>
        <v/>
      </c>
      <c r="AM86" s="25" t="str">
        <f>IF('1. Live'!AQ104='check-Jul''26'!AM104,"",'1. Live'!AQ104-'check-Jul''26'!AM104)</f>
        <v/>
      </c>
      <c r="AN86" s="25" t="str">
        <f>IF('1. Live'!AR104='check-Jul''26'!AN104,"",'1. Live'!AR104-'check-Jul''26'!AN104)</f>
        <v/>
      </c>
      <c r="AO86" s="25" t="str">
        <f>IF('1. Live'!AS104='check-Jul''26'!AO104,"",'1. Live'!AS104-'check-Jul''26'!AO104)</f>
        <v/>
      </c>
      <c r="AP86" s="25" t="str">
        <f>IF('1. Live'!AT104='check-Jul''26'!AP104,"",'1. Live'!AT104-'check-Jul''26'!AP104)</f>
        <v/>
      </c>
      <c r="AQ86" s="25" t="str">
        <f>IF('1. Live'!AU104='check-Jul''26'!AQ104,"",'1. Live'!AU104-'check-Jul''26'!AQ104)</f>
        <v/>
      </c>
      <c r="AR86" s="25" t="str">
        <f>IF('1. Live'!AV104='check-Jul''26'!AR104,"",'1. Live'!AV104-'check-Jul''26'!AR104)</f>
        <v/>
      </c>
      <c r="AS86" s="25" t="str">
        <f>IF('1. Live'!AW104='check-Jul''26'!AS104,"",'1. Live'!AW104-'check-Jul''26'!AS104)</f>
        <v/>
      </c>
      <c r="AT86" s="25" t="str">
        <f>IF('1. Live'!AX104='check-Jul''26'!AT104,"",'1. Live'!AX104-'check-Jul''26'!AT104)</f>
        <v/>
      </c>
      <c r="AU86" s="25" t="str">
        <f>IF('1. Live'!AY104='check-Jul''26'!AU104,"",'1. Live'!AY104-'check-Jul''26'!AU104)</f>
        <v/>
      </c>
      <c r="AV86" s="25" t="str">
        <f>IF('1. Live'!AZ104='check-Jul''26'!AV104,"",'1. Live'!AZ104-'check-Jul''26'!AV104)</f>
        <v/>
      </c>
      <c r="AW86" s="25" t="str">
        <f>IF('1. Live'!BA104='check-Jul''26'!AW104,"",'1. Live'!BA104-'check-Jul''26'!AW104)</f>
        <v/>
      </c>
      <c r="AX86" s="25" t="str">
        <f>IF('1. Live'!BB104='check-Jul''26'!AX104,"",'1. Live'!BB104-'check-Jul''26'!AX104)</f>
        <v/>
      </c>
      <c r="AY86" s="25" t="str">
        <f>IF('1. Live'!BC104='check-Jul''26'!AY104,"",'1. Live'!BC104-'check-Jul''26'!AY104)</f>
        <v/>
      </c>
      <c r="AZ86" s="25" t="str">
        <f>IF('1. Live'!BD104='check-Jul''26'!AZ104,"",'1. Live'!BD104-'check-Jul''26'!AZ104)</f>
        <v/>
      </c>
      <c r="BA86" s="25" t="str">
        <f>IF('1. Live'!BE104='check-Jul''26'!BA104,"",'1. Live'!BE104-'check-Jul''26'!BA104)</f>
        <v/>
      </c>
      <c r="BB86" s="25" t="str">
        <f>IF('1. Live'!BF104='check-Jul''26'!BB104,"",'1. Live'!BF104-'check-Jul''26'!BB104)</f>
        <v/>
      </c>
      <c r="BC86" s="25" t="str">
        <f>IF('1. Live'!BG104='check-Jul''26'!BC104,"",'1. Live'!BG104-'check-Jul''26'!BC104)</f>
        <v/>
      </c>
      <c r="BD86" s="25" t="str">
        <f>IF('1. Live'!BH104='check-Jul''26'!BD104,"",'1. Live'!BH104-'check-Jul''26'!BD104)</f>
        <v/>
      </c>
      <c r="BE86" s="25" t="str">
        <f>IF('1. Live'!BI104='check-Jul''26'!BE104,"",'1. Live'!BI104-'check-Jul''26'!BE104)</f>
        <v/>
      </c>
      <c r="BF86" s="25" t="str">
        <f>IF('1. Live'!BJ104='check-Jul''26'!BF104,"",'1. Live'!BJ104-'check-Jul''26'!BF104)</f>
        <v/>
      </c>
      <c r="BG86" s="25" t="str">
        <f>IF('1. Live'!BK104='check-Jul''26'!BG104,"",'1. Live'!BK104-'check-Jul''26'!BG104)</f>
        <v/>
      </c>
      <c r="BH86" s="25" t="str">
        <f>IF('1. Live'!BL104='check-Jul''26'!BH104,"",'1. Live'!BL104-'check-Jul''26'!BH104)</f>
        <v/>
      </c>
      <c r="BI86" s="25" t="str">
        <f>IF('1. Live'!BM104='check-Jul''26'!BI104,"",'1. Live'!BM104-'check-Jul''26'!BI104)</f>
        <v/>
      </c>
      <c r="BJ86" s="25" t="str">
        <f>IF('1. Live'!BN104='check-Jul''26'!BJ104,"",'1. Live'!BN104-'check-Jul''26'!BJ104)</f>
        <v/>
      </c>
      <c r="BK86" s="25" t="str">
        <f>IF('1. Live'!BO104='check-Jul''26'!BK104,"",'1. Live'!BO104-'check-Jul''26'!BK104)</f>
        <v/>
      </c>
      <c r="BL86" s="25" t="str">
        <f>IF('1. Live'!BP104='check-Jul''26'!BL104,"",'1. Live'!BP104-'check-Jul''26'!BL104)</f>
        <v/>
      </c>
      <c r="BM86" s="25" t="str">
        <f>IF('1. Live'!BQ104='check-Jul''26'!BM104,"",'1. Live'!BQ104-'check-Jul''26'!BM104)</f>
        <v/>
      </c>
      <c r="BN86" s="25" t="str">
        <f>IF('1. Live'!BR104='check-Jul''26'!BN104,"",'1. Live'!BR104-'check-Jul''26'!BN104)</f>
        <v/>
      </c>
      <c r="BO86" s="25" t="str">
        <f>IF('1. Live'!BS104='check-Jul''26'!BO104,"",'1. Live'!BS104-'check-Jul''26'!BO104)</f>
        <v/>
      </c>
      <c r="BP86" s="25" t="str">
        <f>IF('1. Live'!BT104='check-Jul''26'!BP104,"",'1. Live'!BT104-'check-Jul''26'!BP104)</f>
        <v/>
      </c>
      <c r="BQ86" s="25" t="str">
        <f>IF('1. Live'!BU104='check-Jul''26'!BQ104,"",'1. Live'!BU104-'check-Jul''26'!BQ104)</f>
        <v/>
      </c>
      <c r="BR86" s="25" t="str">
        <f>IF('1. Live'!BV104='check-Jul''26'!BR104,"",'1. Live'!BV104-'check-Jul''26'!BR104)</f>
        <v/>
      </c>
      <c r="BS86" s="25" t="str">
        <f>IF('1. Live'!BW104='check-Jul''26'!BS104,"",'1. Live'!BW104-'check-Jul''26'!BS104)</f>
        <v/>
      </c>
      <c r="BT86" s="25" t="str">
        <f>IF('1. Live'!BX104='check-Jul''26'!BT104,"",'1. Live'!BX104-'check-Jul''26'!BT104)</f>
        <v/>
      </c>
      <c r="BU86" s="25" t="str">
        <f>IF('1. Live'!BY104='check-Jul''26'!BU104,"",'1. Live'!BY104-'check-Jul''26'!BU104)</f>
        <v/>
      </c>
      <c r="BV86" s="25" t="str">
        <f>IF('1. Live'!BZ104='check-Jul''26'!BV104,"",'1. Live'!BZ104-'check-Jul''26'!BV104)</f>
        <v/>
      </c>
      <c r="BW86" s="25" t="str">
        <f>IF('1. Live'!CA104='check-Jul''26'!BW104,"",'1. Live'!CA104-'check-Jul''26'!BW104)</f>
        <v/>
      </c>
      <c r="BX86" s="25" t="str">
        <f>IF('1. Live'!CB104='check-Jul''26'!BX104,"",'1. Live'!CB104-'check-Jul''26'!BX104)</f>
        <v/>
      </c>
      <c r="BY86" s="25" t="str">
        <f>IF('1. Live'!CC104='check-Jul''26'!BY104,"",'1. Live'!CC104-'check-Jul''26'!BY104)</f>
        <v/>
      </c>
      <c r="BZ86" s="25" t="str">
        <f>IF('1. Live'!CD104='check-Jul''26'!BZ104,"",'1. Live'!CD104-'check-Jul''26'!BZ104)</f>
        <v/>
      </c>
      <c r="CA86" s="25" t="str">
        <f>IF('1. Live'!CE104='check-Jul''26'!CA104,"",'1. Live'!CE104-'check-Jul''26'!CA104)</f>
        <v/>
      </c>
      <c r="CB86" s="25" t="str">
        <f>IF('1. Live'!CF104='check-Jul''26'!CB104,"",'1. Live'!CF104-'check-Jul''26'!CB104)</f>
        <v/>
      </c>
      <c r="CC86" s="25" t="str">
        <f>IF('1. Live'!CG104='check-Jul''26'!CC104,"",'1. Live'!CG104-'check-Jul''26'!CC104)</f>
        <v/>
      </c>
      <c r="CD86" s="25" t="str">
        <f>IF('1. Live'!CH104='check-Jul''26'!CD104,"",'1. Live'!CH104-'check-Jul''26'!CD104)</f>
        <v/>
      </c>
      <c r="CE86" s="25" t="str">
        <f>IF('1. Live'!CI104='check-Jul''26'!CE104,"",'1. Live'!CI104-'check-Jul''26'!CE104)</f>
        <v/>
      </c>
      <c r="CF86" s="25" t="str">
        <f>IF('1. Live'!CJ104='check-Jul''26'!CF104,"",'1. Live'!CJ104-'check-Jul''26'!CF104)</f>
        <v/>
      </c>
      <c r="CG86" s="25" t="str">
        <f>IF('1. Live'!CK104='check-Jul''26'!CG104,"",'1. Live'!CK104-'check-Jul''26'!CG104)</f>
        <v/>
      </c>
      <c r="CH86" s="25" t="str">
        <f>IF('1. Live'!CL104='check-Jul''26'!CH104,"",'1. Live'!CL104-'check-Jul''26'!CH104)</f>
        <v/>
      </c>
      <c r="CI86" s="25" t="str">
        <f>IF('1. Live'!CM104='check-Jul''26'!CI104,"",'1. Live'!CM104-'check-Jul''26'!CI104)</f>
        <v/>
      </c>
      <c r="CJ86" s="25" t="str">
        <f>IF('1. Live'!CN104='check-Jul''26'!CJ104,"",'1. Live'!CN104-'check-Jul''26'!CJ104)</f>
        <v/>
      </c>
      <c r="CK86" s="25" t="str">
        <f>IF('1. Live'!CO104='check-Jul''26'!CK104,"",'1. Live'!CO104-'check-Jul''26'!CK104)</f>
        <v/>
      </c>
      <c r="CL86" s="25" t="str">
        <f>IF('1. Live'!CP104='check-Jul''26'!CL104,"",'1. Live'!CP104-'check-Jul''26'!CL104)</f>
        <v/>
      </c>
      <c r="CM86" s="25" t="str">
        <f>IF('1. Live'!CQ104='check-Jul''26'!CM104,"",'1. Live'!CQ104-'check-Jul''26'!CM104)</f>
        <v/>
      </c>
      <c r="CN86" s="25" t="str">
        <f>IF('1. Live'!CR104='check-Jul''26'!CN104,"",'1. Live'!CR104-'check-Jul''26'!CN104)</f>
        <v/>
      </c>
      <c r="CO86" s="25" t="str">
        <f>IF('1. Live'!CS104='check-Jul''26'!CO104,"",'1. Live'!CS104-'check-Jul''26'!CO104)</f>
        <v/>
      </c>
      <c r="CP86" s="25" t="str">
        <f>IF('1. Live'!CT104='check-Jul''26'!CP104,"",'1. Live'!CT104-'check-Jul''26'!CP104)</f>
        <v/>
      </c>
      <c r="CQ86" s="25" t="str">
        <f>IF('1. Live'!CU104='check-Jul''26'!CQ104,"",'1. Live'!CU104-'check-Jul''26'!CQ104)</f>
        <v/>
      </c>
      <c r="CR86" s="25" t="str">
        <f>IF('1. Live'!CV104='check-Jul''26'!CR104,"",'1. Live'!CV104-'check-Jul''26'!CR104)</f>
        <v/>
      </c>
      <c r="CS86" s="25" t="str">
        <f>IF('1. Live'!CW104='check-Jul''26'!CS104,"",'1. Live'!CW104-'check-Jul''26'!CS104)</f>
        <v/>
      </c>
      <c r="CT86" s="25" t="str">
        <f>IF('1. Live'!CX104='check-Jul''26'!CT104,"",'1. Live'!CX104-'check-Jul''26'!CT104)</f>
        <v/>
      </c>
      <c r="CU86" s="25" t="str">
        <f>IF('1. Live'!CY104='check-Jul''26'!CU104,"",'1. Live'!CY104-'check-Jul''26'!CU104)</f>
        <v/>
      </c>
      <c r="CV86" s="25" t="str">
        <f>IF('1. Live'!CZ104='check-Jul''26'!CV104,"",'1. Live'!CZ104-'check-Jul''26'!CV104)</f>
        <v/>
      </c>
    </row>
    <row r="87" spans="17:100" x14ac:dyDescent="0.25">
      <c r="Q87" s="26" t="str">
        <f>IF('1. Live'!N105='check-Jul''26'!I105,"",'1. Live'!N105-'check-Jul''26'!I105)</f>
        <v/>
      </c>
      <c r="R87" s="26" t="str">
        <f>IF('1. Live'!O105='check-Jul''26'!J105,"",'1. Live'!O105-'check-Jul''26'!J105)</f>
        <v/>
      </c>
      <c r="S87" s="26" t="str">
        <f>IF('1. Live'!P105='check-Jul''26'!K105,"",'1. Live'!P105-'check-Jul''26'!K105)</f>
        <v/>
      </c>
      <c r="T87" s="26" t="str">
        <f>IF('1. Live'!Q105='check-Jul''26'!L105,"",'1. Live'!Q105-'check-Jul''26'!L105)</f>
        <v/>
      </c>
      <c r="U87" s="80" t="str">
        <f>IF('1. Live'!R105='check-Jul''26'!M105,"",'1. Live'!R105-'check-Jul''26'!M105)</f>
        <v/>
      </c>
      <c r="V87" s="26" t="str">
        <f>IF('1. Live'!S105='check-Jul''26'!N105,"",'1. Live'!S105-'check-Jul''26'!N105)</f>
        <v/>
      </c>
      <c r="W87" s="25" t="str">
        <f>IF('1. Live'!T105='check-Jul''26'!O105,"",'1. Live'!T105-'check-Jul''26'!O105)</f>
        <v/>
      </c>
      <c r="X87" s="25" t="str">
        <f>IF('1. Live'!U105='check-Jul''26'!Q105,"",'1. Live'!U105-'check-Jul''26'!Q105)</f>
        <v/>
      </c>
      <c r="Y87" s="25" t="str">
        <f>IF('1. Live'!V105='check-Jul''26'!R105,"",'1. Live'!V105-'check-Jul''26'!R105)</f>
        <v/>
      </c>
      <c r="Z87" s="25" t="str">
        <f>IF('1. Live'!W105='check-Jul''26'!S105,"",'1. Live'!W105-'check-Jul''26'!S105)</f>
        <v/>
      </c>
      <c r="AA87" s="25" t="str">
        <f>IF('1. Live'!X105='check-Jul''26'!T105,"",'1. Live'!X105-'check-Jul''26'!T105)</f>
        <v/>
      </c>
      <c r="AB87" s="25" t="str">
        <f>IF('1. Live'!AF105='check-Jul''26'!AB105,"",'1. Live'!AF105-'check-Jul''26'!AB105)</f>
        <v/>
      </c>
      <c r="AC87" s="25" t="str">
        <f>IF('1. Live'!AG105='check-Jul''26'!AC105,"",'1. Live'!AG105-'check-Jul''26'!AC105)</f>
        <v/>
      </c>
      <c r="AD87" s="25" t="str">
        <f>IF('1. Live'!AH105='check-Jul''26'!AD105,"",'1. Live'!AH105-'check-Jul''26'!AD105)</f>
        <v/>
      </c>
      <c r="AE87" s="25" t="str">
        <f>IF('1. Live'!AI105='check-Jul''26'!AE105,"",'1. Live'!AI105-'check-Jul''26'!AE105)</f>
        <v/>
      </c>
      <c r="AF87" s="25" t="str">
        <f>IF('1. Live'!AJ105='check-Jul''26'!AF105,"",'1. Live'!AJ105-'check-Jul''26'!AF105)</f>
        <v/>
      </c>
      <c r="AG87" s="25" t="str">
        <f>IF('1. Live'!AK105='check-Jul''26'!AG105,"",'1. Live'!AK105-'check-Jul''26'!AG105)</f>
        <v/>
      </c>
      <c r="AH87" s="25" t="str">
        <f>IF('1. Live'!AL105='check-Jul''26'!AH105,"",'1. Live'!AL105-'check-Jul''26'!AH105)</f>
        <v/>
      </c>
      <c r="AI87" s="25" t="str">
        <f>IF('1. Live'!AM105='check-Jul''26'!AI105,"",'1. Live'!AM105-'check-Jul''26'!AI105)</f>
        <v/>
      </c>
      <c r="AJ87" s="25" t="str">
        <f>IF('1. Live'!AN105='check-Jul''26'!AJ105,"",'1. Live'!AN105-'check-Jul''26'!AJ105)</f>
        <v/>
      </c>
      <c r="AK87" s="25" t="str">
        <f>IF('1. Live'!AO105='check-Jul''26'!AK105,"",'1. Live'!AO105-'check-Jul''26'!AK105)</f>
        <v/>
      </c>
      <c r="AL87" s="25" t="str">
        <f>IF('1. Live'!AP105='check-Jul''26'!AL105,"",'1. Live'!AP105-'check-Jul''26'!AL105)</f>
        <v/>
      </c>
      <c r="AM87" s="25" t="str">
        <f>IF('1. Live'!AQ105='check-Jul''26'!AM105,"",'1. Live'!AQ105-'check-Jul''26'!AM105)</f>
        <v/>
      </c>
      <c r="AN87" s="25" t="str">
        <f>IF('1. Live'!AR105='check-Jul''26'!AN105,"",'1. Live'!AR105-'check-Jul''26'!AN105)</f>
        <v/>
      </c>
      <c r="AO87" s="25" t="str">
        <f>IF('1. Live'!AS105='check-Jul''26'!AO105,"",'1. Live'!AS105-'check-Jul''26'!AO105)</f>
        <v/>
      </c>
      <c r="AP87" s="25" t="str">
        <f>IF('1. Live'!AT105='check-Jul''26'!AP105,"",'1. Live'!AT105-'check-Jul''26'!AP105)</f>
        <v/>
      </c>
      <c r="AQ87" s="25" t="str">
        <f>IF('1. Live'!AU105='check-Jul''26'!AQ105,"",'1. Live'!AU105-'check-Jul''26'!AQ105)</f>
        <v/>
      </c>
      <c r="AR87" s="25" t="str">
        <f>IF('1. Live'!AV105='check-Jul''26'!AR105,"",'1. Live'!AV105-'check-Jul''26'!AR105)</f>
        <v/>
      </c>
      <c r="AS87" s="25" t="str">
        <f>IF('1. Live'!AW105='check-Jul''26'!AS105,"",'1. Live'!AW105-'check-Jul''26'!AS105)</f>
        <v/>
      </c>
      <c r="AT87" s="25" t="str">
        <f>IF('1. Live'!AX105='check-Jul''26'!AT105,"",'1. Live'!AX105-'check-Jul''26'!AT105)</f>
        <v/>
      </c>
      <c r="AU87" s="25" t="str">
        <f>IF('1. Live'!AY105='check-Jul''26'!AU105,"",'1. Live'!AY105-'check-Jul''26'!AU105)</f>
        <v/>
      </c>
      <c r="AV87" s="25" t="str">
        <f>IF('1. Live'!AZ105='check-Jul''26'!AV105,"",'1. Live'!AZ105-'check-Jul''26'!AV105)</f>
        <v/>
      </c>
      <c r="AW87" s="25" t="str">
        <f>IF('1. Live'!BA105='check-Jul''26'!AW105,"",'1. Live'!BA105-'check-Jul''26'!AW105)</f>
        <v/>
      </c>
      <c r="AX87" s="25" t="str">
        <f>IF('1. Live'!BB105='check-Jul''26'!AX105,"",'1. Live'!BB105-'check-Jul''26'!AX105)</f>
        <v/>
      </c>
      <c r="AY87" s="25" t="str">
        <f>IF('1. Live'!BC105='check-Jul''26'!AY105,"",'1. Live'!BC105-'check-Jul''26'!AY105)</f>
        <v/>
      </c>
      <c r="AZ87" s="25" t="str">
        <f>IF('1. Live'!BD105='check-Jul''26'!AZ105,"",'1. Live'!BD105-'check-Jul''26'!AZ105)</f>
        <v/>
      </c>
      <c r="BA87" s="25" t="str">
        <f>IF('1. Live'!BE105='check-Jul''26'!BA105,"",'1. Live'!BE105-'check-Jul''26'!BA105)</f>
        <v/>
      </c>
      <c r="BB87" s="25" t="str">
        <f>IF('1. Live'!BF105='check-Jul''26'!BB105,"",'1. Live'!BF105-'check-Jul''26'!BB105)</f>
        <v/>
      </c>
      <c r="BC87" s="25" t="str">
        <f>IF('1. Live'!BG105='check-Jul''26'!BC105,"",'1. Live'!BG105-'check-Jul''26'!BC105)</f>
        <v/>
      </c>
      <c r="BD87" s="25" t="str">
        <f>IF('1. Live'!BH105='check-Jul''26'!BD105,"",'1. Live'!BH105-'check-Jul''26'!BD105)</f>
        <v/>
      </c>
      <c r="BE87" s="25" t="str">
        <f>IF('1. Live'!BI105='check-Jul''26'!BE105,"",'1. Live'!BI105-'check-Jul''26'!BE105)</f>
        <v/>
      </c>
      <c r="BF87" s="25" t="str">
        <f>IF('1. Live'!BJ105='check-Jul''26'!BF105,"",'1. Live'!BJ105-'check-Jul''26'!BF105)</f>
        <v/>
      </c>
      <c r="BG87" s="25" t="str">
        <f>IF('1. Live'!BK105='check-Jul''26'!BG105,"",'1. Live'!BK105-'check-Jul''26'!BG105)</f>
        <v/>
      </c>
      <c r="BH87" s="25" t="str">
        <f>IF('1. Live'!BL105='check-Jul''26'!BH105,"",'1. Live'!BL105-'check-Jul''26'!BH105)</f>
        <v/>
      </c>
      <c r="BI87" s="25" t="str">
        <f>IF('1. Live'!BM105='check-Jul''26'!BI105,"",'1. Live'!BM105-'check-Jul''26'!BI105)</f>
        <v/>
      </c>
      <c r="BJ87" s="25" t="str">
        <f>IF('1. Live'!BN105='check-Jul''26'!BJ105,"",'1. Live'!BN105-'check-Jul''26'!BJ105)</f>
        <v/>
      </c>
      <c r="BK87" s="25" t="str">
        <f>IF('1. Live'!BO105='check-Jul''26'!BK105,"",'1. Live'!BO105-'check-Jul''26'!BK105)</f>
        <v/>
      </c>
      <c r="BL87" s="25" t="str">
        <f>IF('1. Live'!BP105='check-Jul''26'!BL105,"",'1. Live'!BP105-'check-Jul''26'!BL105)</f>
        <v/>
      </c>
      <c r="BM87" s="25" t="str">
        <f>IF('1. Live'!BQ105='check-Jul''26'!BM105,"",'1. Live'!BQ105-'check-Jul''26'!BM105)</f>
        <v/>
      </c>
      <c r="BN87" s="25" t="str">
        <f>IF('1. Live'!BR105='check-Jul''26'!BN105,"",'1. Live'!BR105-'check-Jul''26'!BN105)</f>
        <v/>
      </c>
      <c r="BO87" s="25" t="str">
        <f>IF('1. Live'!BS105='check-Jul''26'!BO105,"",'1. Live'!BS105-'check-Jul''26'!BO105)</f>
        <v/>
      </c>
      <c r="BP87" s="25" t="str">
        <f>IF('1. Live'!BT105='check-Jul''26'!BP105,"",'1. Live'!BT105-'check-Jul''26'!BP105)</f>
        <v/>
      </c>
      <c r="BQ87" s="25" t="str">
        <f>IF('1. Live'!BU105='check-Jul''26'!BQ105,"",'1. Live'!BU105-'check-Jul''26'!BQ105)</f>
        <v/>
      </c>
      <c r="BR87" s="25" t="str">
        <f>IF('1. Live'!BV105='check-Jul''26'!BR105,"",'1. Live'!BV105-'check-Jul''26'!BR105)</f>
        <v/>
      </c>
      <c r="BS87" s="25" t="str">
        <f>IF('1. Live'!BW105='check-Jul''26'!BS105,"",'1. Live'!BW105-'check-Jul''26'!BS105)</f>
        <v/>
      </c>
      <c r="BT87" s="25" t="str">
        <f>IF('1. Live'!BX105='check-Jul''26'!BT105,"",'1. Live'!BX105-'check-Jul''26'!BT105)</f>
        <v/>
      </c>
      <c r="BU87" s="25" t="str">
        <f>IF('1. Live'!BY105='check-Jul''26'!BU105,"",'1. Live'!BY105-'check-Jul''26'!BU105)</f>
        <v/>
      </c>
      <c r="BV87" s="25" t="str">
        <f>IF('1. Live'!BZ105='check-Jul''26'!BV105,"",'1. Live'!BZ105-'check-Jul''26'!BV105)</f>
        <v/>
      </c>
      <c r="BW87" s="25" t="str">
        <f>IF('1. Live'!CA105='check-Jul''26'!BW105,"",'1. Live'!CA105-'check-Jul''26'!BW105)</f>
        <v/>
      </c>
      <c r="BX87" s="25" t="str">
        <f>IF('1. Live'!CB105='check-Jul''26'!BX105,"",'1. Live'!CB105-'check-Jul''26'!BX105)</f>
        <v/>
      </c>
      <c r="BY87" s="25" t="str">
        <f>IF('1. Live'!CC105='check-Jul''26'!BY105,"",'1. Live'!CC105-'check-Jul''26'!BY105)</f>
        <v/>
      </c>
      <c r="BZ87" s="25" t="str">
        <f>IF('1. Live'!CD105='check-Jul''26'!BZ105,"",'1. Live'!CD105-'check-Jul''26'!BZ105)</f>
        <v/>
      </c>
      <c r="CA87" s="25" t="str">
        <f>IF('1. Live'!CE105='check-Jul''26'!CA105,"",'1. Live'!CE105-'check-Jul''26'!CA105)</f>
        <v/>
      </c>
      <c r="CB87" s="25" t="str">
        <f>IF('1. Live'!CF105='check-Jul''26'!CB105,"",'1. Live'!CF105-'check-Jul''26'!CB105)</f>
        <v/>
      </c>
      <c r="CC87" s="25" t="str">
        <f>IF('1. Live'!CG105='check-Jul''26'!CC105,"",'1. Live'!CG105-'check-Jul''26'!CC105)</f>
        <v/>
      </c>
      <c r="CD87" s="25" t="str">
        <f>IF('1. Live'!CH105='check-Jul''26'!CD105,"",'1. Live'!CH105-'check-Jul''26'!CD105)</f>
        <v/>
      </c>
      <c r="CE87" s="25" t="str">
        <f>IF('1. Live'!CI105='check-Jul''26'!CE105,"",'1. Live'!CI105-'check-Jul''26'!CE105)</f>
        <v/>
      </c>
      <c r="CF87" s="25" t="str">
        <f>IF('1. Live'!CJ105='check-Jul''26'!CF105,"",'1. Live'!CJ105-'check-Jul''26'!CF105)</f>
        <v/>
      </c>
      <c r="CG87" s="25" t="str">
        <f>IF('1. Live'!CK105='check-Jul''26'!CG105,"",'1. Live'!CK105-'check-Jul''26'!CG105)</f>
        <v/>
      </c>
      <c r="CH87" s="25" t="str">
        <f>IF('1. Live'!CL105='check-Jul''26'!CH105,"",'1. Live'!CL105-'check-Jul''26'!CH105)</f>
        <v/>
      </c>
      <c r="CI87" s="25" t="str">
        <f>IF('1. Live'!CM105='check-Jul''26'!CI105,"",'1. Live'!CM105-'check-Jul''26'!CI105)</f>
        <v/>
      </c>
      <c r="CJ87" s="25" t="str">
        <f>IF('1. Live'!CN105='check-Jul''26'!CJ105,"",'1. Live'!CN105-'check-Jul''26'!CJ105)</f>
        <v/>
      </c>
      <c r="CK87" s="25" t="str">
        <f>IF('1. Live'!CO105='check-Jul''26'!CK105,"",'1. Live'!CO105-'check-Jul''26'!CK105)</f>
        <v/>
      </c>
      <c r="CL87" s="25" t="str">
        <f>IF('1. Live'!CP105='check-Jul''26'!CL105,"",'1. Live'!CP105-'check-Jul''26'!CL105)</f>
        <v/>
      </c>
      <c r="CM87" s="25" t="str">
        <f>IF('1. Live'!CQ105='check-Jul''26'!CM105,"",'1. Live'!CQ105-'check-Jul''26'!CM105)</f>
        <v/>
      </c>
      <c r="CN87" s="25" t="str">
        <f>IF('1. Live'!CR105='check-Jul''26'!CN105,"",'1. Live'!CR105-'check-Jul''26'!CN105)</f>
        <v/>
      </c>
      <c r="CO87" s="25" t="str">
        <f>IF('1. Live'!CS105='check-Jul''26'!CO105,"",'1. Live'!CS105-'check-Jul''26'!CO105)</f>
        <v/>
      </c>
      <c r="CP87" s="25" t="str">
        <f>IF('1. Live'!CT105='check-Jul''26'!CP105,"",'1. Live'!CT105-'check-Jul''26'!CP105)</f>
        <v/>
      </c>
      <c r="CQ87" s="25" t="str">
        <f>IF('1. Live'!CU105='check-Jul''26'!CQ105,"",'1. Live'!CU105-'check-Jul''26'!CQ105)</f>
        <v/>
      </c>
      <c r="CR87" s="25" t="str">
        <f>IF('1. Live'!CV105='check-Jul''26'!CR105,"",'1. Live'!CV105-'check-Jul''26'!CR105)</f>
        <v/>
      </c>
      <c r="CS87" s="25" t="str">
        <f>IF('1. Live'!CW105='check-Jul''26'!CS105,"",'1. Live'!CW105-'check-Jul''26'!CS105)</f>
        <v/>
      </c>
      <c r="CT87" s="25" t="str">
        <f>IF('1. Live'!CX105='check-Jul''26'!CT105,"",'1. Live'!CX105-'check-Jul''26'!CT105)</f>
        <v/>
      </c>
      <c r="CU87" s="25" t="str">
        <f>IF('1. Live'!CY105='check-Jul''26'!CU105,"",'1. Live'!CY105-'check-Jul''26'!CU105)</f>
        <v/>
      </c>
      <c r="CV87" s="25" t="str">
        <f>IF('1. Live'!CZ105='check-Jul''26'!CV105,"",'1. Live'!CZ105-'check-Jul''26'!CV105)</f>
        <v/>
      </c>
    </row>
    <row r="88" spans="17:100" x14ac:dyDescent="0.25">
      <c r="Q88" s="26" t="str">
        <f>IF('1. Live'!N106='check-Jul''26'!I106,"",'1. Live'!N106-'check-Jul''26'!I106)</f>
        <v/>
      </c>
      <c r="R88" s="26" t="str">
        <f>IF('1. Live'!O106='check-Jul''26'!J106,"",'1. Live'!O106-'check-Jul''26'!J106)</f>
        <v/>
      </c>
      <c r="S88" s="26" t="str">
        <f>IF('1. Live'!P106='check-Jul''26'!K106,"",'1. Live'!P106-'check-Jul''26'!K106)</f>
        <v/>
      </c>
      <c r="T88" s="26" t="str">
        <f>IF('1. Live'!Q106='check-Jul''26'!L106,"",'1. Live'!Q106-'check-Jul''26'!L106)</f>
        <v/>
      </c>
      <c r="U88" s="80" t="str">
        <f>IF('1. Live'!R106='check-Jul''26'!M106,"",'1. Live'!R106-'check-Jul''26'!M106)</f>
        <v/>
      </c>
      <c r="V88" s="26" t="str">
        <f>IF('1. Live'!S106='check-Jul''26'!N106,"",'1. Live'!S106-'check-Jul''26'!N106)</f>
        <v/>
      </c>
      <c r="W88" s="25" t="str">
        <f>IF('1. Live'!T106='check-Jul''26'!O106,"",'1. Live'!T106-'check-Jul''26'!O106)</f>
        <v/>
      </c>
      <c r="X88" s="25" t="str">
        <f>IF('1. Live'!U106='check-Jul''26'!Q106,"",'1. Live'!U106-'check-Jul''26'!Q106)</f>
        <v/>
      </c>
      <c r="Y88" s="25" t="str">
        <f>IF('1. Live'!V106='check-Jul''26'!R106,"",'1. Live'!V106-'check-Jul''26'!R106)</f>
        <v/>
      </c>
      <c r="Z88" s="25" t="str">
        <f>IF('1. Live'!W106='check-Jul''26'!S106,"",'1. Live'!W106-'check-Jul''26'!S106)</f>
        <v/>
      </c>
      <c r="AA88" s="25" t="str">
        <f>IF('1. Live'!X106='check-Jul''26'!T106,"",'1. Live'!X106-'check-Jul''26'!T106)</f>
        <v/>
      </c>
      <c r="AB88" s="25" t="str">
        <f>IF('1. Live'!AF106='check-Jul''26'!AB106,"",'1. Live'!AF106-'check-Jul''26'!AB106)</f>
        <v/>
      </c>
      <c r="AC88" s="25" t="str">
        <f>IF('1. Live'!AG106='check-Jul''26'!AC106,"",'1. Live'!AG106-'check-Jul''26'!AC106)</f>
        <v/>
      </c>
      <c r="AD88" s="25" t="str">
        <f>IF('1. Live'!AH106='check-Jul''26'!AD106,"",'1. Live'!AH106-'check-Jul''26'!AD106)</f>
        <v/>
      </c>
      <c r="AE88" s="25" t="str">
        <f>IF('1. Live'!AI106='check-Jul''26'!AE106,"",'1. Live'!AI106-'check-Jul''26'!AE106)</f>
        <v/>
      </c>
      <c r="AF88" s="25" t="str">
        <f>IF('1. Live'!AJ106='check-Jul''26'!AF106,"",'1. Live'!AJ106-'check-Jul''26'!AF106)</f>
        <v/>
      </c>
      <c r="AG88" s="25" t="str">
        <f>IF('1. Live'!AK106='check-Jul''26'!AG106,"",'1. Live'!AK106-'check-Jul''26'!AG106)</f>
        <v/>
      </c>
      <c r="AH88" s="25" t="str">
        <f>IF('1. Live'!AL106='check-Jul''26'!AH106,"",'1. Live'!AL106-'check-Jul''26'!AH106)</f>
        <v/>
      </c>
      <c r="AI88" s="25" t="str">
        <f>IF('1. Live'!AM106='check-Jul''26'!AI106,"",'1. Live'!AM106-'check-Jul''26'!AI106)</f>
        <v/>
      </c>
      <c r="AJ88" s="25" t="str">
        <f>IF('1. Live'!AN106='check-Jul''26'!AJ106,"",'1. Live'!AN106-'check-Jul''26'!AJ106)</f>
        <v/>
      </c>
      <c r="AK88" s="25" t="str">
        <f>IF('1. Live'!AO106='check-Jul''26'!AK106,"",'1. Live'!AO106-'check-Jul''26'!AK106)</f>
        <v/>
      </c>
      <c r="AL88" s="25" t="str">
        <f>IF('1. Live'!AP106='check-Jul''26'!AL106,"",'1. Live'!AP106-'check-Jul''26'!AL106)</f>
        <v/>
      </c>
      <c r="AM88" s="25" t="str">
        <f>IF('1. Live'!AQ106='check-Jul''26'!AM106,"",'1. Live'!AQ106-'check-Jul''26'!AM106)</f>
        <v/>
      </c>
      <c r="AN88" s="25" t="str">
        <f>IF('1. Live'!AR106='check-Jul''26'!AN106,"",'1. Live'!AR106-'check-Jul''26'!AN106)</f>
        <v/>
      </c>
      <c r="AO88" s="25" t="str">
        <f>IF('1. Live'!AS106='check-Jul''26'!AO106,"",'1. Live'!AS106-'check-Jul''26'!AO106)</f>
        <v/>
      </c>
      <c r="AP88" s="25" t="str">
        <f>IF('1. Live'!AT106='check-Jul''26'!AP106,"",'1. Live'!AT106-'check-Jul''26'!AP106)</f>
        <v/>
      </c>
      <c r="AQ88" s="25" t="str">
        <f>IF('1. Live'!AU106='check-Jul''26'!AQ106,"",'1. Live'!AU106-'check-Jul''26'!AQ106)</f>
        <v/>
      </c>
      <c r="AR88" s="25" t="str">
        <f>IF('1. Live'!AV106='check-Jul''26'!AR106,"",'1. Live'!AV106-'check-Jul''26'!AR106)</f>
        <v/>
      </c>
      <c r="AS88" s="25" t="str">
        <f>IF('1. Live'!AW106='check-Jul''26'!AS106,"",'1. Live'!AW106-'check-Jul''26'!AS106)</f>
        <v/>
      </c>
      <c r="AT88" s="25" t="str">
        <f>IF('1. Live'!AX106='check-Jul''26'!AT106,"",'1. Live'!AX106-'check-Jul''26'!AT106)</f>
        <v/>
      </c>
      <c r="AU88" s="25" t="str">
        <f>IF('1. Live'!AY106='check-Jul''26'!AU106,"",'1. Live'!AY106-'check-Jul''26'!AU106)</f>
        <v/>
      </c>
      <c r="AV88" s="25" t="str">
        <f>IF('1. Live'!AZ106='check-Jul''26'!AV106,"",'1. Live'!AZ106-'check-Jul''26'!AV106)</f>
        <v/>
      </c>
      <c r="AW88" s="25" t="str">
        <f>IF('1. Live'!BA106='check-Jul''26'!AW106,"",'1. Live'!BA106-'check-Jul''26'!AW106)</f>
        <v/>
      </c>
      <c r="AX88" s="25" t="str">
        <f>IF('1. Live'!BB106='check-Jul''26'!AX106,"",'1. Live'!BB106-'check-Jul''26'!AX106)</f>
        <v/>
      </c>
      <c r="AY88" s="25" t="str">
        <f>IF('1. Live'!BC106='check-Jul''26'!AY106,"",'1. Live'!BC106-'check-Jul''26'!AY106)</f>
        <v/>
      </c>
      <c r="AZ88" s="25" t="str">
        <f>IF('1. Live'!BD106='check-Jul''26'!AZ106,"",'1. Live'!BD106-'check-Jul''26'!AZ106)</f>
        <v/>
      </c>
      <c r="BA88" s="25" t="str">
        <f>IF('1. Live'!BE106='check-Jul''26'!BA106,"",'1. Live'!BE106-'check-Jul''26'!BA106)</f>
        <v/>
      </c>
      <c r="BB88" s="25" t="str">
        <f>IF('1. Live'!BF106='check-Jul''26'!BB106,"",'1. Live'!BF106-'check-Jul''26'!BB106)</f>
        <v/>
      </c>
      <c r="BC88" s="25" t="str">
        <f>IF('1. Live'!BG106='check-Jul''26'!BC106,"",'1. Live'!BG106-'check-Jul''26'!BC106)</f>
        <v/>
      </c>
      <c r="BD88" s="25" t="str">
        <f>IF('1. Live'!BH106='check-Jul''26'!BD106,"",'1. Live'!BH106-'check-Jul''26'!BD106)</f>
        <v/>
      </c>
      <c r="BE88" s="25" t="str">
        <f>IF('1. Live'!BI106='check-Jul''26'!BE106,"",'1. Live'!BI106-'check-Jul''26'!BE106)</f>
        <v/>
      </c>
      <c r="BF88" s="25" t="str">
        <f>IF('1. Live'!BJ106='check-Jul''26'!BF106,"",'1. Live'!BJ106-'check-Jul''26'!BF106)</f>
        <v/>
      </c>
      <c r="BG88" s="25" t="str">
        <f>IF('1. Live'!BK106='check-Jul''26'!BG106,"",'1. Live'!BK106-'check-Jul''26'!BG106)</f>
        <v/>
      </c>
      <c r="BH88" s="25" t="str">
        <f>IF('1. Live'!BL106='check-Jul''26'!BH106,"",'1. Live'!BL106-'check-Jul''26'!BH106)</f>
        <v/>
      </c>
      <c r="BI88" s="25" t="str">
        <f>IF('1. Live'!BM106='check-Jul''26'!BI106,"",'1. Live'!BM106-'check-Jul''26'!BI106)</f>
        <v/>
      </c>
      <c r="BJ88" s="25" t="str">
        <f>IF('1. Live'!BN106='check-Jul''26'!BJ106,"",'1. Live'!BN106-'check-Jul''26'!BJ106)</f>
        <v/>
      </c>
      <c r="BK88" s="25" t="str">
        <f>IF('1. Live'!BO106='check-Jul''26'!BK106,"",'1. Live'!BO106-'check-Jul''26'!BK106)</f>
        <v/>
      </c>
      <c r="BL88" s="25" t="str">
        <f>IF('1. Live'!BP106='check-Jul''26'!BL106,"",'1. Live'!BP106-'check-Jul''26'!BL106)</f>
        <v/>
      </c>
      <c r="BM88" s="25" t="str">
        <f>IF('1. Live'!BQ106='check-Jul''26'!BM106,"",'1. Live'!BQ106-'check-Jul''26'!BM106)</f>
        <v/>
      </c>
      <c r="BN88" s="25" t="str">
        <f>IF('1. Live'!BR106='check-Jul''26'!BN106,"",'1. Live'!BR106-'check-Jul''26'!BN106)</f>
        <v/>
      </c>
      <c r="BO88" s="25" t="str">
        <f>IF('1. Live'!BS106='check-Jul''26'!BO106,"",'1. Live'!BS106-'check-Jul''26'!BO106)</f>
        <v/>
      </c>
      <c r="BP88" s="25" t="str">
        <f>IF('1. Live'!BT106='check-Jul''26'!BP106,"",'1. Live'!BT106-'check-Jul''26'!BP106)</f>
        <v/>
      </c>
      <c r="BQ88" s="25" t="str">
        <f>IF('1. Live'!BU106='check-Jul''26'!BQ106,"",'1. Live'!BU106-'check-Jul''26'!BQ106)</f>
        <v/>
      </c>
      <c r="BR88" s="25" t="str">
        <f>IF('1. Live'!BV106='check-Jul''26'!BR106,"",'1. Live'!BV106-'check-Jul''26'!BR106)</f>
        <v/>
      </c>
      <c r="BS88" s="25" t="str">
        <f>IF('1. Live'!BW106='check-Jul''26'!BS106,"",'1. Live'!BW106-'check-Jul''26'!BS106)</f>
        <v/>
      </c>
      <c r="BT88" s="25" t="str">
        <f>IF('1. Live'!BX106='check-Jul''26'!BT106,"",'1. Live'!BX106-'check-Jul''26'!BT106)</f>
        <v/>
      </c>
      <c r="BU88" s="25" t="str">
        <f>IF('1. Live'!BY106='check-Jul''26'!BU106,"",'1. Live'!BY106-'check-Jul''26'!BU106)</f>
        <v/>
      </c>
      <c r="BV88" s="25" t="str">
        <f>IF('1. Live'!BZ106='check-Jul''26'!BV106,"",'1. Live'!BZ106-'check-Jul''26'!BV106)</f>
        <v/>
      </c>
      <c r="BW88" s="25" t="str">
        <f>IF('1. Live'!CA106='check-Jul''26'!BW106,"",'1. Live'!CA106-'check-Jul''26'!BW106)</f>
        <v/>
      </c>
      <c r="BX88" s="25" t="str">
        <f>IF('1. Live'!CB106='check-Jul''26'!BX106,"",'1. Live'!CB106-'check-Jul''26'!BX106)</f>
        <v/>
      </c>
      <c r="BY88" s="25" t="str">
        <f>IF('1. Live'!CC106='check-Jul''26'!BY106,"",'1. Live'!CC106-'check-Jul''26'!BY106)</f>
        <v/>
      </c>
      <c r="BZ88" s="25" t="str">
        <f>IF('1. Live'!CD106='check-Jul''26'!BZ106,"",'1. Live'!CD106-'check-Jul''26'!BZ106)</f>
        <v/>
      </c>
      <c r="CA88" s="25" t="str">
        <f>IF('1. Live'!CE106='check-Jul''26'!CA106,"",'1. Live'!CE106-'check-Jul''26'!CA106)</f>
        <v/>
      </c>
      <c r="CB88" s="25" t="str">
        <f>IF('1. Live'!CF106='check-Jul''26'!CB106,"",'1. Live'!CF106-'check-Jul''26'!CB106)</f>
        <v/>
      </c>
      <c r="CC88" s="25" t="str">
        <f>IF('1. Live'!CG106='check-Jul''26'!CC106,"",'1. Live'!CG106-'check-Jul''26'!CC106)</f>
        <v/>
      </c>
      <c r="CD88" s="25" t="str">
        <f>IF('1. Live'!CH106='check-Jul''26'!CD106,"",'1. Live'!CH106-'check-Jul''26'!CD106)</f>
        <v/>
      </c>
      <c r="CE88" s="25" t="str">
        <f>IF('1. Live'!CI106='check-Jul''26'!CE106,"",'1. Live'!CI106-'check-Jul''26'!CE106)</f>
        <v/>
      </c>
      <c r="CF88" s="25" t="str">
        <f>IF('1. Live'!CJ106='check-Jul''26'!CF106,"",'1. Live'!CJ106-'check-Jul''26'!CF106)</f>
        <v/>
      </c>
      <c r="CG88" s="25" t="str">
        <f>IF('1. Live'!CK106='check-Jul''26'!CG106,"",'1. Live'!CK106-'check-Jul''26'!CG106)</f>
        <v/>
      </c>
      <c r="CH88" s="25" t="str">
        <f>IF('1. Live'!CL106='check-Jul''26'!CH106,"",'1. Live'!CL106-'check-Jul''26'!CH106)</f>
        <v/>
      </c>
      <c r="CI88" s="25" t="str">
        <f>IF('1. Live'!CM106='check-Jul''26'!CI106,"",'1. Live'!CM106-'check-Jul''26'!CI106)</f>
        <v/>
      </c>
      <c r="CJ88" s="25" t="str">
        <f>IF('1. Live'!CN106='check-Jul''26'!CJ106,"",'1. Live'!CN106-'check-Jul''26'!CJ106)</f>
        <v/>
      </c>
      <c r="CK88" s="25" t="str">
        <f>IF('1. Live'!CO106='check-Jul''26'!CK106,"",'1. Live'!CO106-'check-Jul''26'!CK106)</f>
        <v/>
      </c>
      <c r="CL88" s="25" t="str">
        <f>IF('1. Live'!CP106='check-Jul''26'!CL106,"",'1. Live'!CP106-'check-Jul''26'!CL106)</f>
        <v/>
      </c>
      <c r="CM88" s="25" t="str">
        <f>IF('1. Live'!CQ106='check-Jul''26'!CM106,"",'1. Live'!CQ106-'check-Jul''26'!CM106)</f>
        <v/>
      </c>
      <c r="CN88" s="25" t="str">
        <f>IF('1. Live'!CR106='check-Jul''26'!CN106,"",'1. Live'!CR106-'check-Jul''26'!CN106)</f>
        <v/>
      </c>
      <c r="CO88" s="25" t="str">
        <f>IF('1. Live'!CS106='check-Jul''26'!CO106,"",'1. Live'!CS106-'check-Jul''26'!CO106)</f>
        <v/>
      </c>
      <c r="CP88" s="25" t="str">
        <f>IF('1. Live'!CT106='check-Jul''26'!CP106,"",'1. Live'!CT106-'check-Jul''26'!CP106)</f>
        <v/>
      </c>
      <c r="CQ88" s="25" t="str">
        <f>IF('1. Live'!CU106='check-Jul''26'!CQ106,"",'1. Live'!CU106-'check-Jul''26'!CQ106)</f>
        <v/>
      </c>
      <c r="CR88" s="25" t="str">
        <f>IF('1. Live'!CV106='check-Jul''26'!CR106,"",'1. Live'!CV106-'check-Jul''26'!CR106)</f>
        <v/>
      </c>
      <c r="CS88" s="25" t="str">
        <f>IF('1. Live'!CW106='check-Jul''26'!CS106,"",'1. Live'!CW106-'check-Jul''26'!CS106)</f>
        <v/>
      </c>
      <c r="CT88" s="25" t="str">
        <f>IF('1. Live'!CX106='check-Jul''26'!CT106,"",'1. Live'!CX106-'check-Jul''26'!CT106)</f>
        <v/>
      </c>
      <c r="CU88" s="25" t="str">
        <f>IF('1. Live'!CY106='check-Jul''26'!CU106,"",'1. Live'!CY106-'check-Jul''26'!CU106)</f>
        <v/>
      </c>
      <c r="CV88" s="25" t="str">
        <f>IF('1. Live'!CZ106='check-Jul''26'!CV106,"",'1. Live'!CZ106-'check-Jul''26'!CV106)</f>
        <v/>
      </c>
    </row>
    <row r="89" spans="17:100" x14ac:dyDescent="0.25">
      <c r="Q89" s="26" t="str">
        <f>IF('1. Live'!N107='check-Jul''26'!I107,"",'1. Live'!N107-'check-Jul''26'!I107)</f>
        <v/>
      </c>
      <c r="R89" s="26" t="str">
        <f>IF('1. Live'!O107='check-Jul''26'!J107,"",'1. Live'!O107-'check-Jul''26'!J107)</f>
        <v/>
      </c>
      <c r="S89" s="26" t="str">
        <f>IF('1. Live'!P107='check-Jul''26'!K107,"",'1. Live'!P107-'check-Jul''26'!K107)</f>
        <v/>
      </c>
      <c r="T89" s="26" t="str">
        <f>IF('1. Live'!Q107='check-Jul''26'!L107,"",'1. Live'!Q107-'check-Jul''26'!L107)</f>
        <v/>
      </c>
      <c r="U89" s="80" t="str">
        <f>IF('1. Live'!R107='check-Jul''26'!M107,"",'1. Live'!R107-'check-Jul''26'!M107)</f>
        <v/>
      </c>
      <c r="V89" s="26" t="str">
        <f>IF('1. Live'!S107='check-Jul''26'!N107,"",'1. Live'!S107-'check-Jul''26'!N107)</f>
        <v/>
      </c>
      <c r="W89" s="25" t="str">
        <f>IF('1. Live'!T107='check-Jul''26'!O107,"",'1. Live'!T107-'check-Jul''26'!O107)</f>
        <v/>
      </c>
      <c r="X89" s="25" t="str">
        <f>IF('1. Live'!U107='check-Jul''26'!Q107,"",'1. Live'!U107-'check-Jul''26'!Q107)</f>
        <v/>
      </c>
      <c r="Y89" s="25" t="str">
        <f>IF('1. Live'!V107='check-Jul''26'!R107,"",'1. Live'!V107-'check-Jul''26'!R107)</f>
        <v/>
      </c>
      <c r="Z89" s="25" t="str">
        <f>IF('1. Live'!W107='check-Jul''26'!S107,"",'1. Live'!W107-'check-Jul''26'!S107)</f>
        <v/>
      </c>
      <c r="AA89" s="25" t="str">
        <f>IF('1. Live'!X107='check-Jul''26'!T107,"",'1. Live'!X107-'check-Jul''26'!T107)</f>
        <v/>
      </c>
      <c r="AB89" s="25" t="str">
        <f>IF('1. Live'!AF107='check-Jul''26'!AB107,"",'1. Live'!AF107-'check-Jul''26'!AB107)</f>
        <v/>
      </c>
      <c r="AC89" s="25" t="str">
        <f>IF('1. Live'!AG107='check-Jul''26'!AC107,"",'1. Live'!AG107-'check-Jul''26'!AC107)</f>
        <v/>
      </c>
      <c r="AD89" s="25" t="str">
        <f>IF('1. Live'!AH107='check-Jul''26'!AD107,"",'1. Live'!AH107-'check-Jul''26'!AD107)</f>
        <v/>
      </c>
      <c r="AE89" s="25" t="str">
        <f>IF('1. Live'!AI107='check-Jul''26'!AE107,"",'1. Live'!AI107-'check-Jul''26'!AE107)</f>
        <v/>
      </c>
      <c r="AF89" s="25" t="str">
        <f>IF('1. Live'!AJ107='check-Jul''26'!AF107,"",'1. Live'!AJ107-'check-Jul''26'!AF107)</f>
        <v/>
      </c>
      <c r="AG89" s="25" t="str">
        <f>IF('1. Live'!AK107='check-Jul''26'!AG107,"",'1. Live'!AK107-'check-Jul''26'!AG107)</f>
        <v/>
      </c>
      <c r="AH89" s="25" t="str">
        <f>IF('1. Live'!AL107='check-Jul''26'!AH107,"",'1. Live'!AL107-'check-Jul''26'!AH107)</f>
        <v/>
      </c>
      <c r="AI89" s="25" t="str">
        <f>IF('1. Live'!AM107='check-Jul''26'!AI107,"",'1. Live'!AM107-'check-Jul''26'!AI107)</f>
        <v/>
      </c>
      <c r="AJ89" s="25" t="str">
        <f>IF('1. Live'!AN107='check-Jul''26'!AJ107,"",'1. Live'!AN107-'check-Jul''26'!AJ107)</f>
        <v/>
      </c>
      <c r="AK89" s="25" t="str">
        <f>IF('1. Live'!AO107='check-Jul''26'!AK107,"",'1. Live'!AO107-'check-Jul''26'!AK107)</f>
        <v/>
      </c>
      <c r="AL89" s="25" t="str">
        <f>IF('1. Live'!AP107='check-Jul''26'!AL107,"",'1. Live'!AP107-'check-Jul''26'!AL107)</f>
        <v/>
      </c>
      <c r="AM89" s="25" t="str">
        <f>IF('1. Live'!AQ107='check-Jul''26'!AM107,"",'1. Live'!AQ107-'check-Jul''26'!AM107)</f>
        <v/>
      </c>
      <c r="AN89" s="25" t="str">
        <f>IF('1. Live'!AR107='check-Jul''26'!AN107,"",'1. Live'!AR107-'check-Jul''26'!AN107)</f>
        <v/>
      </c>
      <c r="AO89" s="25" t="str">
        <f>IF('1. Live'!AS107='check-Jul''26'!AO107,"",'1. Live'!AS107-'check-Jul''26'!AO107)</f>
        <v/>
      </c>
      <c r="AP89" s="25" t="str">
        <f>IF('1. Live'!AT107='check-Jul''26'!AP107,"",'1. Live'!AT107-'check-Jul''26'!AP107)</f>
        <v/>
      </c>
      <c r="AQ89" s="25" t="str">
        <f>IF('1. Live'!AU107='check-Jul''26'!AQ107,"",'1. Live'!AU107-'check-Jul''26'!AQ107)</f>
        <v/>
      </c>
      <c r="AR89" s="25" t="str">
        <f>IF('1. Live'!AV107='check-Jul''26'!AR107,"",'1. Live'!AV107-'check-Jul''26'!AR107)</f>
        <v/>
      </c>
      <c r="AS89" s="25" t="str">
        <f>IF('1. Live'!AW107='check-Jul''26'!AS107,"",'1. Live'!AW107-'check-Jul''26'!AS107)</f>
        <v/>
      </c>
      <c r="AT89" s="25" t="str">
        <f>IF('1. Live'!AX107='check-Jul''26'!AT107,"",'1. Live'!AX107-'check-Jul''26'!AT107)</f>
        <v/>
      </c>
      <c r="AU89" s="25" t="str">
        <f>IF('1. Live'!AY107='check-Jul''26'!AU107,"",'1. Live'!AY107-'check-Jul''26'!AU107)</f>
        <v/>
      </c>
      <c r="AV89" s="25" t="str">
        <f>IF('1. Live'!AZ107='check-Jul''26'!AV107,"",'1. Live'!AZ107-'check-Jul''26'!AV107)</f>
        <v/>
      </c>
      <c r="AW89" s="25" t="str">
        <f>IF('1. Live'!BA107='check-Jul''26'!AW107,"",'1. Live'!BA107-'check-Jul''26'!AW107)</f>
        <v/>
      </c>
      <c r="AX89" s="25" t="str">
        <f>IF('1. Live'!BB107='check-Jul''26'!AX107,"",'1. Live'!BB107-'check-Jul''26'!AX107)</f>
        <v/>
      </c>
      <c r="AY89" s="25" t="str">
        <f>IF('1. Live'!BC107='check-Jul''26'!AY107,"",'1. Live'!BC107-'check-Jul''26'!AY107)</f>
        <v/>
      </c>
      <c r="AZ89" s="25" t="str">
        <f>IF('1. Live'!BD107='check-Jul''26'!AZ107,"",'1. Live'!BD107-'check-Jul''26'!AZ107)</f>
        <v/>
      </c>
      <c r="BA89" s="25" t="str">
        <f>IF('1. Live'!BE107='check-Jul''26'!BA107,"",'1. Live'!BE107-'check-Jul''26'!BA107)</f>
        <v/>
      </c>
      <c r="BB89" s="25" t="str">
        <f>IF('1. Live'!BF107='check-Jul''26'!BB107,"",'1. Live'!BF107-'check-Jul''26'!BB107)</f>
        <v/>
      </c>
      <c r="BC89" s="25" t="str">
        <f>IF('1. Live'!BG107='check-Jul''26'!BC107,"",'1. Live'!BG107-'check-Jul''26'!BC107)</f>
        <v/>
      </c>
      <c r="BD89" s="25" t="str">
        <f>IF('1. Live'!BH107='check-Jul''26'!BD107,"",'1. Live'!BH107-'check-Jul''26'!BD107)</f>
        <v/>
      </c>
      <c r="BE89" s="25" t="str">
        <f>IF('1. Live'!BI107='check-Jul''26'!BE107,"",'1. Live'!BI107-'check-Jul''26'!BE107)</f>
        <v/>
      </c>
      <c r="BF89" s="25" t="str">
        <f>IF('1. Live'!BJ107='check-Jul''26'!BF107,"",'1. Live'!BJ107-'check-Jul''26'!BF107)</f>
        <v/>
      </c>
      <c r="BG89" s="25" t="str">
        <f>IF('1. Live'!BK107='check-Jul''26'!BG107,"",'1. Live'!BK107-'check-Jul''26'!BG107)</f>
        <v/>
      </c>
      <c r="BH89" s="25" t="str">
        <f>IF('1. Live'!BL107='check-Jul''26'!BH107,"",'1. Live'!BL107-'check-Jul''26'!BH107)</f>
        <v/>
      </c>
      <c r="BI89" s="25" t="str">
        <f>IF('1. Live'!BM107='check-Jul''26'!BI107,"",'1. Live'!BM107-'check-Jul''26'!BI107)</f>
        <v/>
      </c>
      <c r="BJ89" s="25" t="str">
        <f>IF('1. Live'!BN107='check-Jul''26'!BJ107,"",'1. Live'!BN107-'check-Jul''26'!BJ107)</f>
        <v/>
      </c>
      <c r="BK89" s="25" t="str">
        <f>IF('1. Live'!BO107='check-Jul''26'!BK107,"",'1. Live'!BO107-'check-Jul''26'!BK107)</f>
        <v/>
      </c>
      <c r="BL89" s="25" t="str">
        <f>IF('1. Live'!BP107='check-Jul''26'!BL107,"",'1. Live'!BP107-'check-Jul''26'!BL107)</f>
        <v/>
      </c>
      <c r="BM89" s="25" t="str">
        <f>IF('1. Live'!BQ107='check-Jul''26'!BM107,"",'1. Live'!BQ107-'check-Jul''26'!BM107)</f>
        <v/>
      </c>
      <c r="BN89" s="25" t="str">
        <f>IF('1. Live'!BR107='check-Jul''26'!BN107,"",'1. Live'!BR107-'check-Jul''26'!BN107)</f>
        <v/>
      </c>
      <c r="BO89" s="25" t="str">
        <f>IF('1. Live'!BS107='check-Jul''26'!BO107,"",'1. Live'!BS107-'check-Jul''26'!BO107)</f>
        <v/>
      </c>
      <c r="BP89" s="25" t="str">
        <f>IF('1. Live'!BT107='check-Jul''26'!BP107,"",'1. Live'!BT107-'check-Jul''26'!BP107)</f>
        <v/>
      </c>
      <c r="BQ89" s="25" t="str">
        <f>IF('1. Live'!BU107='check-Jul''26'!BQ107,"",'1. Live'!BU107-'check-Jul''26'!BQ107)</f>
        <v/>
      </c>
      <c r="BR89" s="25" t="str">
        <f>IF('1. Live'!BV107='check-Jul''26'!BR107,"",'1. Live'!BV107-'check-Jul''26'!BR107)</f>
        <v/>
      </c>
      <c r="BS89" s="25" t="str">
        <f>IF('1. Live'!BW107='check-Jul''26'!BS107,"",'1. Live'!BW107-'check-Jul''26'!BS107)</f>
        <v/>
      </c>
      <c r="BT89" s="25" t="str">
        <f>IF('1. Live'!BX107='check-Jul''26'!BT107,"",'1. Live'!BX107-'check-Jul''26'!BT107)</f>
        <v/>
      </c>
      <c r="BU89" s="25" t="str">
        <f>IF('1. Live'!BY107='check-Jul''26'!BU107,"",'1. Live'!BY107-'check-Jul''26'!BU107)</f>
        <v/>
      </c>
      <c r="BV89" s="25" t="str">
        <f>IF('1. Live'!BZ107='check-Jul''26'!BV107,"",'1. Live'!BZ107-'check-Jul''26'!BV107)</f>
        <v/>
      </c>
      <c r="BW89" s="25" t="str">
        <f>IF('1. Live'!CA107='check-Jul''26'!BW107,"",'1. Live'!CA107-'check-Jul''26'!BW107)</f>
        <v/>
      </c>
      <c r="BX89" s="25" t="str">
        <f>IF('1. Live'!CB107='check-Jul''26'!BX107,"",'1. Live'!CB107-'check-Jul''26'!BX107)</f>
        <v/>
      </c>
      <c r="BY89" s="25" t="str">
        <f>IF('1. Live'!CC107='check-Jul''26'!BY107,"",'1. Live'!CC107-'check-Jul''26'!BY107)</f>
        <v/>
      </c>
      <c r="BZ89" s="25" t="str">
        <f>IF('1. Live'!CD107='check-Jul''26'!BZ107,"",'1. Live'!CD107-'check-Jul''26'!BZ107)</f>
        <v/>
      </c>
      <c r="CA89" s="25" t="str">
        <f>IF('1. Live'!CE107='check-Jul''26'!CA107,"",'1. Live'!CE107-'check-Jul''26'!CA107)</f>
        <v/>
      </c>
      <c r="CB89" s="25" t="str">
        <f>IF('1. Live'!CF107='check-Jul''26'!CB107,"",'1. Live'!CF107-'check-Jul''26'!CB107)</f>
        <v/>
      </c>
      <c r="CC89" s="25" t="str">
        <f>IF('1. Live'!CG107='check-Jul''26'!CC107,"",'1. Live'!CG107-'check-Jul''26'!CC107)</f>
        <v/>
      </c>
      <c r="CD89" s="25" t="str">
        <f>IF('1. Live'!CH107='check-Jul''26'!CD107,"",'1. Live'!CH107-'check-Jul''26'!CD107)</f>
        <v/>
      </c>
      <c r="CE89" s="25" t="str">
        <f>IF('1. Live'!CI107='check-Jul''26'!CE107,"",'1. Live'!CI107-'check-Jul''26'!CE107)</f>
        <v/>
      </c>
      <c r="CF89" s="25" t="str">
        <f>IF('1. Live'!CJ107='check-Jul''26'!CF107,"",'1. Live'!CJ107-'check-Jul''26'!CF107)</f>
        <v/>
      </c>
      <c r="CG89" s="25" t="str">
        <f>IF('1. Live'!CK107='check-Jul''26'!CG107,"",'1. Live'!CK107-'check-Jul''26'!CG107)</f>
        <v/>
      </c>
      <c r="CH89" s="25" t="str">
        <f>IF('1. Live'!CL107='check-Jul''26'!CH107,"",'1. Live'!CL107-'check-Jul''26'!CH107)</f>
        <v/>
      </c>
      <c r="CI89" s="25" t="str">
        <f>IF('1. Live'!CM107='check-Jul''26'!CI107,"",'1. Live'!CM107-'check-Jul''26'!CI107)</f>
        <v/>
      </c>
      <c r="CJ89" s="25" t="str">
        <f>IF('1. Live'!CN107='check-Jul''26'!CJ107,"",'1. Live'!CN107-'check-Jul''26'!CJ107)</f>
        <v/>
      </c>
      <c r="CK89" s="25" t="str">
        <f>IF('1. Live'!CO107='check-Jul''26'!CK107,"",'1. Live'!CO107-'check-Jul''26'!CK107)</f>
        <v/>
      </c>
      <c r="CL89" s="25" t="str">
        <f>IF('1. Live'!CP107='check-Jul''26'!CL107,"",'1. Live'!CP107-'check-Jul''26'!CL107)</f>
        <v/>
      </c>
      <c r="CM89" s="25" t="str">
        <f>IF('1. Live'!CQ107='check-Jul''26'!CM107,"",'1. Live'!CQ107-'check-Jul''26'!CM107)</f>
        <v/>
      </c>
      <c r="CN89" s="25" t="str">
        <f>IF('1. Live'!CR107='check-Jul''26'!CN107,"",'1. Live'!CR107-'check-Jul''26'!CN107)</f>
        <v/>
      </c>
      <c r="CO89" s="25" t="str">
        <f>IF('1. Live'!CS107='check-Jul''26'!CO107,"",'1. Live'!CS107-'check-Jul''26'!CO107)</f>
        <v/>
      </c>
      <c r="CP89" s="25" t="str">
        <f>IF('1. Live'!CT107='check-Jul''26'!CP107,"",'1. Live'!CT107-'check-Jul''26'!CP107)</f>
        <v/>
      </c>
      <c r="CQ89" s="25" t="str">
        <f>IF('1. Live'!CU107='check-Jul''26'!CQ107,"",'1. Live'!CU107-'check-Jul''26'!CQ107)</f>
        <v/>
      </c>
      <c r="CR89" s="25" t="str">
        <f>IF('1. Live'!CV107='check-Jul''26'!CR107,"",'1. Live'!CV107-'check-Jul''26'!CR107)</f>
        <v/>
      </c>
      <c r="CS89" s="25" t="str">
        <f>IF('1. Live'!CW107='check-Jul''26'!CS107,"",'1. Live'!CW107-'check-Jul''26'!CS107)</f>
        <v/>
      </c>
      <c r="CT89" s="25" t="str">
        <f>IF('1. Live'!CX107='check-Jul''26'!CT107,"",'1. Live'!CX107-'check-Jul''26'!CT107)</f>
        <v/>
      </c>
      <c r="CU89" s="25" t="str">
        <f>IF('1. Live'!CY107='check-Jul''26'!CU107,"",'1. Live'!CY107-'check-Jul''26'!CU107)</f>
        <v/>
      </c>
      <c r="CV89" s="25" t="str">
        <f>IF('1. Live'!CZ107='check-Jul''26'!CV107,"",'1. Live'!CZ107-'check-Jul''26'!CV107)</f>
        <v/>
      </c>
    </row>
    <row r="90" spans="17:100" x14ac:dyDescent="0.25">
      <c r="Q90" s="26" t="str">
        <f>IF('1. Live'!N108='check-Jul''26'!I108,"",'1. Live'!N108-'check-Jul''26'!I108)</f>
        <v/>
      </c>
      <c r="R90" s="26" t="str">
        <f>IF('1. Live'!O108='check-Jul''26'!J108,"",'1. Live'!O108-'check-Jul''26'!J108)</f>
        <v/>
      </c>
      <c r="S90" s="26" t="str">
        <f>IF('1. Live'!P108='check-Jul''26'!K108,"",'1. Live'!P108-'check-Jul''26'!K108)</f>
        <v/>
      </c>
      <c r="T90" s="26" t="str">
        <f>IF('1. Live'!Q108='check-Jul''26'!L108,"",'1. Live'!Q108-'check-Jul''26'!L108)</f>
        <v/>
      </c>
      <c r="U90" s="80" t="str">
        <f>IF('1. Live'!R108='check-Jul''26'!M108,"",'1. Live'!R108-'check-Jul''26'!M108)</f>
        <v/>
      </c>
      <c r="V90" s="26" t="str">
        <f>IF('1. Live'!S108='check-Jul''26'!N108,"",'1. Live'!S108-'check-Jul''26'!N108)</f>
        <v/>
      </c>
      <c r="W90" s="25" t="str">
        <f>IF('1. Live'!T108='check-Jul''26'!O108,"",'1. Live'!T108-'check-Jul''26'!O108)</f>
        <v/>
      </c>
      <c r="X90" s="25" t="str">
        <f>IF('1. Live'!U108='check-Jul''26'!Q108,"",'1. Live'!U108-'check-Jul''26'!Q108)</f>
        <v/>
      </c>
      <c r="Y90" s="25" t="str">
        <f>IF('1. Live'!V108='check-Jul''26'!R108,"",'1. Live'!V108-'check-Jul''26'!R108)</f>
        <v/>
      </c>
      <c r="Z90" s="25" t="str">
        <f>IF('1. Live'!W108='check-Jul''26'!S108,"",'1. Live'!W108-'check-Jul''26'!S108)</f>
        <v/>
      </c>
      <c r="AA90" s="25" t="str">
        <f>IF('1. Live'!X108='check-Jul''26'!T108,"",'1. Live'!X108-'check-Jul''26'!T108)</f>
        <v/>
      </c>
      <c r="AB90" s="25" t="str">
        <f>IF('1. Live'!AF108='check-Jul''26'!AB108,"",'1. Live'!AF108-'check-Jul''26'!AB108)</f>
        <v/>
      </c>
      <c r="AC90" s="25" t="str">
        <f>IF('1. Live'!AG108='check-Jul''26'!AC108,"",'1. Live'!AG108-'check-Jul''26'!AC108)</f>
        <v/>
      </c>
      <c r="AD90" s="25" t="str">
        <f>IF('1. Live'!AH108='check-Jul''26'!AD108,"",'1. Live'!AH108-'check-Jul''26'!AD108)</f>
        <v/>
      </c>
      <c r="AE90" s="25" t="str">
        <f>IF('1. Live'!AI108='check-Jul''26'!AE108,"",'1. Live'!AI108-'check-Jul''26'!AE108)</f>
        <v/>
      </c>
      <c r="AF90" s="25" t="str">
        <f>IF('1. Live'!AJ108='check-Jul''26'!AF108,"",'1. Live'!AJ108-'check-Jul''26'!AF108)</f>
        <v/>
      </c>
      <c r="AG90" s="25" t="str">
        <f>IF('1. Live'!AK108='check-Jul''26'!AG108,"",'1. Live'!AK108-'check-Jul''26'!AG108)</f>
        <v/>
      </c>
      <c r="AH90" s="25" t="str">
        <f>IF('1. Live'!AL108='check-Jul''26'!AH108,"",'1. Live'!AL108-'check-Jul''26'!AH108)</f>
        <v/>
      </c>
      <c r="AI90" s="25" t="str">
        <f>IF('1. Live'!AM108='check-Jul''26'!AI108,"",'1. Live'!AM108-'check-Jul''26'!AI108)</f>
        <v/>
      </c>
      <c r="AJ90" s="25" t="str">
        <f>IF('1. Live'!AN108='check-Jul''26'!AJ108,"",'1. Live'!AN108-'check-Jul''26'!AJ108)</f>
        <v/>
      </c>
      <c r="AK90" s="25" t="str">
        <f>IF('1. Live'!AO108='check-Jul''26'!AK108,"",'1. Live'!AO108-'check-Jul''26'!AK108)</f>
        <v/>
      </c>
      <c r="AL90" s="25" t="str">
        <f>IF('1. Live'!AP108='check-Jul''26'!AL108,"",'1. Live'!AP108-'check-Jul''26'!AL108)</f>
        <v/>
      </c>
      <c r="AM90" s="25" t="str">
        <f>IF('1. Live'!AQ108='check-Jul''26'!AM108,"",'1. Live'!AQ108-'check-Jul''26'!AM108)</f>
        <v/>
      </c>
      <c r="AN90" s="25" t="str">
        <f>IF('1. Live'!AR108='check-Jul''26'!AN108,"",'1. Live'!AR108-'check-Jul''26'!AN108)</f>
        <v/>
      </c>
      <c r="AO90" s="25" t="str">
        <f>IF('1. Live'!AS108='check-Jul''26'!AO108,"",'1. Live'!AS108-'check-Jul''26'!AO108)</f>
        <v/>
      </c>
      <c r="AP90" s="25" t="str">
        <f>IF('1. Live'!AT108='check-Jul''26'!AP108,"",'1. Live'!AT108-'check-Jul''26'!AP108)</f>
        <v/>
      </c>
      <c r="AQ90" s="25" t="str">
        <f>IF('1. Live'!AU108='check-Jul''26'!AQ108,"",'1. Live'!AU108-'check-Jul''26'!AQ108)</f>
        <v/>
      </c>
      <c r="AR90" s="25" t="str">
        <f>IF('1. Live'!AV108='check-Jul''26'!AR108,"",'1. Live'!AV108-'check-Jul''26'!AR108)</f>
        <v/>
      </c>
      <c r="AS90" s="25" t="str">
        <f>IF('1. Live'!AW108='check-Jul''26'!AS108,"",'1. Live'!AW108-'check-Jul''26'!AS108)</f>
        <v/>
      </c>
      <c r="AT90" s="25" t="str">
        <f>IF('1. Live'!AX108='check-Jul''26'!AT108,"",'1. Live'!AX108-'check-Jul''26'!AT108)</f>
        <v/>
      </c>
      <c r="AU90" s="25" t="str">
        <f>IF('1. Live'!AY108='check-Jul''26'!AU108,"",'1. Live'!AY108-'check-Jul''26'!AU108)</f>
        <v/>
      </c>
      <c r="AV90" s="25" t="str">
        <f>IF('1. Live'!AZ108='check-Jul''26'!AV108,"",'1. Live'!AZ108-'check-Jul''26'!AV108)</f>
        <v/>
      </c>
      <c r="AW90" s="25" t="str">
        <f>IF('1. Live'!BA108='check-Jul''26'!AW108,"",'1. Live'!BA108-'check-Jul''26'!AW108)</f>
        <v/>
      </c>
      <c r="AX90" s="25" t="str">
        <f>IF('1. Live'!BB108='check-Jul''26'!AX108,"",'1. Live'!BB108-'check-Jul''26'!AX108)</f>
        <v/>
      </c>
      <c r="AY90" s="25" t="str">
        <f>IF('1. Live'!BC108='check-Jul''26'!AY108,"",'1. Live'!BC108-'check-Jul''26'!AY108)</f>
        <v/>
      </c>
      <c r="AZ90" s="25" t="str">
        <f>IF('1. Live'!BD108='check-Jul''26'!AZ108,"",'1. Live'!BD108-'check-Jul''26'!AZ108)</f>
        <v/>
      </c>
      <c r="BA90" s="25" t="str">
        <f>IF('1. Live'!BE108='check-Jul''26'!BA108,"",'1. Live'!BE108-'check-Jul''26'!BA108)</f>
        <v/>
      </c>
      <c r="BB90" s="25" t="str">
        <f>IF('1. Live'!BF108='check-Jul''26'!BB108,"",'1. Live'!BF108-'check-Jul''26'!BB108)</f>
        <v/>
      </c>
      <c r="BC90" s="25" t="str">
        <f>IF('1. Live'!BG108='check-Jul''26'!BC108,"",'1. Live'!BG108-'check-Jul''26'!BC108)</f>
        <v/>
      </c>
      <c r="BD90" s="25" t="str">
        <f>IF('1. Live'!BH108='check-Jul''26'!BD108,"",'1. Live'!BH108-'check-Jul''26'!BD108)</f>
        <v/>
      </c>
      <c r="BE90" s="25" t="str">
        <f>IF('1. Live'!BI108='check-Jul''26'!BE108,"",'1. Live'!BI108-'check-Jul''26'!BE108)</f>
        <v/>
      </c>
      <c r="BF90" s="25" t="str">
        <f>IF('1. Live'!BJ108='check-Jul''26'!BF108,"",'1. Live'!BJ108-'check-Jul''26'!BF108)</f>
        <v/>
      </c>
      <c r="BG90" s="25" t="str">
        <f>IF('1. Live'!BK108='check-Jul''26'!BG108,"",'1. Live'!BK108-'check-Jul''26'!BG108)</f>
        <v/>
      </c>
      <c r="BH90" s="25" t="str">
        <f>IF('1. Live'!BL108='check-Jul''26'!BH108,"",'1. Live'!BL108-'check-Jul''26'!BH108)</f>
        <v/>
      </c>
      <c r="BI90" s="25" t="str">
        <f>IF('1. Live'!BM108='check-Jul''26'!BI108,"",'1. Live'!BM108-'check-Jul''26'!BI108)</f>
        <v/>
      </c>
      <c r="BJ90" s="25" t="str">
        <f>IF('1. Live'!BN108='check-Jul''26'!BJ108,"",'1. Live'!BN108-'check-Jul''26'!BJ108)</f>
        <v/>
      </c>
      <c r="BK90" s="25" t="str">
        <f>IF('1. Live'!BO108='check-Jul''26'!BK108,"",'1. Live'!BO108-'check-Jul''26'!BK108)</f>
        <v/>
      </c>
      <c r="BL90" s="25" t="str">
        <f>IF('1. Live'!BP108='check-Jul''26'!BL108,"",'1. Live'!BP108-'check-Jul''26'!BL108)</f>
        <v/>
      </c>
      <c r="BM90" s="25" t="str">
        <f>IF('1. Live'!BQ108='check-Jul''26'!BM108,"",'1. Live'!BQ108-'check-Jul''26'!BM108)</f>
        <v/>
      </c>
      <c r="BN90" s="25" t="str">
        <f>IF('1. Live'!BR108='check-Jul''26'!BN108,"",'1. Live'!BR108-'check-Jul''26'!BN108)</f>
        <v/>
      </c>
      <c r="BO90" s="25" t="str">
        <f>IF('1. Live'!BS108='check-Jul''26'!BO108,"",'1. Live'!BS108-'check-Jul''26'!BO108)</f>
        <v/>
      </c>
      <c r="BP90" s="25" t="str">
        <f>IF('1. Live'!BT108='check-Jul''26'!BP108,"",'1. Live'!BT108-'check-Jul''26'!BP108)</f>
        <v/>
      </c>
      <c r="BQ90" s="25" t="str">
        <f>IF('1. Live'!BU108='check-Jul''26'!BQ108,"",'1. Live'!BU108-'check-Jul''26'!BQ108)</f>
        <v/>
      </c>
      <c r="BR90" s="25" t="str">
        <f>IF('1. Live'!BV108='check-Jul''26'!BR108,"",'1. Live'!BV108-'check-Jul''26'!BR108)</f>
        <v/>
      </c>
      <c r="BS90" s="25" t="str">
        <f>IF('1. Live'!BW108='check-Jul''26'!BS108,"",'1. Live'!BW108-'check-Jul''26'!BS108)</f>
        <v/>
      </c>
      <c r="BT90" s="25" t="str">
        <f>IF('1. Live'!BX108='check-Jul''26'!BT108,"",'1. Live'!BX108-'check-Jul''26'!BT108)</f>
        <v/>
      </c>
      <c r="BU90" s="25" t="str">
        <f>IF('1. Live'!BY108='check-Jul''26'!BU108,"",'1. Live'!BY108-'check-Jul''26'!BU108)</f>
        <v/>
      </c>
      <c r="BV90" s="25" t="str">
        <f>IF('1. Live'!BZ108='check-Jul''26'!BV108,"",'1. Live'!BZ108-'check-Jul''26'!BV108)</f>
        <v/>
      </c>
      <c r="BW90" s="25" t="str">
        <f>IF('1. Live'!CA108='check-Jul''26'!BW108,"",'1. Live'!CA108-'check-Jul''26'!BW108)</f>
        <v/>
      </c>
      <c r="BX90" s="25" t="str">
        <f>IF('1. Live'!CB108='check-Jul''26'!BX108,"",'1. Live'!CB108-'check-Jul''26'!BX108)</f>
        <v/>
      </c>
      <c r="BY90" s="25" t="str">
        <f>IF('1. Live'!CC108='check-Jul''26'!BY108,"",'1. Live'!CC108-'check-Jul''26'!BY108)</f>
        <v/>
      </c>
      <c r="BZ90" s="25" t="str">
        <f>IF('1. Live'!CD108='check-Jul''26'!BZ108,"",'1. Live'!CD108-'check-Jul''26'!BZ108)</f>
        <v/>
      </c>
      <c r="CA90" s="25" t="str">
        <f>IF('1. Live'!CE108='check-Jul''26'!CA108,"",'1. Live'!CE108-'check-Jul''26'!CA108)</f>
        <v/>
      </c>
      <c r="CB90" s="25" t="str">
        <f>IF('1. Live'!CF108='check-Jul''26'!CB108,"",'1. Live'!CF108-'check-Jul''26'!CB108)</f>
        <v/>
      </c>
      <c r="CC90" s="25" t="str">
        <f>IF('1. Live'!CG108='check-Jul''26'!CC108,"",'1. Live'!CG108-'check-Jul''26'!CC108)</f>
        <v/>
      </c>
      <c r="CD90" s="25" t="str">
        <f>IF('1. Live'!CH108='check-Jul''26'!CD108,"",'1. Live'!CH108-'check-Jul''26'!CD108)</f>
        <v/>
      </c>
      <c r="CE90" s="25" t="str">
        <f>IF('1. Live'!CI108='check-Jul''26'!CE108,"",'1. Live'!CI108-'check-Jul''26'!CE108)</f>
        <v/>
      </c>
      <c r="CF90" s="25" t="str">
        <f>IF('1. Live'!CJ108='check-Jul''26'!CF108,"",'1. Live'!CJ108-'check-Jul''26'!CF108)</f>
        <v/>
      </c>
      <c r="CG90" s="25" t="str">
        <f>IF('1. Live'!CK108='check-Jul''26'!CG108,"",'1. Live'!CK108-'check-Jul''26'!CG108)</f>
        <v/>
      </c>
      <c r="CH90" s="25" t="str">
        <f>IF('1. Live'!CL108='check-Jul''26'!CH108,"",'1. Live'!CL108-'check-Jul''26'!CH108)</f>
        <v/>
      </c>
      <c r="CI90" s="25" t="str">
        <f>IF('1. Live'!CM108='check-Jul''26'!CI108,"",'1. Live'!CM108-'check-Jul''26'!CI108)</f>
        <v/>
      </c>
      <c r="CJ90" s="25" t="str">
        <f>IF('1. Live'!CN108='check-Jul''26'!CJ108,"",'1. Live'!CN108-'check-Jul''26'!CJ108)</f>
        <v/>
      </c>
      <c r="CK90" s="25" t="str">
        <f>IF('1. Live'!CO108='check-Jul''26'!CK108,"",'1. Live'!CO108-'check-Jul''26'!CK108)</f>
        <v/>
      </c>
      <c r="CL90" s="25" t="str">
        <f>IF('1. Live'!CP108='check-Jul''26'!CL108,"",'1. Live'!CP108-'check-Jul''26'!CL108)</f>
        <v/>
      </c>
      <c r="CM90" s="25" t="str">
        <f>IF('1. Live'!CQ108='check-Jul''26'!CM108,"",'1. Live'!CQ108-'check-Jul''26'!CM108)</f>
        <v/>
      </c>
      <c r="CN90" s="25" t="str">
        <f>IF('1. Live'!CR108='check-Jul''26'!CN108,"",'1. Live'!CR108-'check-Jul''26'!CN108)</f>
        <v/>
      </c>
      <c r="CO90" s="25" t="str">
        <f>IF('1. Live'!CS108='check-Jul''26'!CO108,"",'1. Live'!CS108-'check-Jul''26'!CO108)</f>
        <v/>
      </c>
      <c r="CP90" s="25" t="str">
        <f>IF('1. Live'!CT108='check-Jul''26'!CP108,"",'1. Live'!CT108-'check-Jul''26'!CP108)</f>
        <v/>
      </c>
      <c r="CQ90" s="25" t="str">
        <f>IF('1. Live'!CU108='check-Jul''26'!CQ108,"",'1. Live'!CU108-'check-Jul''26'!CQ108)</f>
        <v/>
      </c>
      <c r="CR90" s="25" t="str">
        <f>IF('1. Live'!CV108='check-Jul''26'!CR108,"",'1. Live'!CV108-'check-Jul''26'!CR108)</f>
        <v/>
      </c>
      <c r="CS90" s="25" t="str">
        <f>IF('1. Live'!CW108='check-Jul''26'!CS108,"",'1. Live'!CW108-'check-Jul''26'!CS108)</f>
        <v/>
      </c>
      <c r="CT90" s="25" t="str">
        <f>IF('1. Live'!CX108='check-Jul''26'!CT108,"",'1. Live'!CX108-'check-Jul''26'!CT108)</f>
        <v/>
      </c>
      <c r="CU90" s="25" t="str">
        <f>IF('1. Live'!CY108='check-Jul''26'!CU108,"",'1. Live'!CY108-'check-Jul''26'!CU108)</f>
        <v/>
      </c>
      <c r="CV90" s="25" t="str">
        <f>IF('1. Live'!CZ108='check-Jul''26'!CV108,"",'1. Live'!CZ108-'check-Jul''26'!CV108)</f>
        <v/>
      </c>
    </row>
    <row r="91" spans="17:100" x14ac:dyDescent="0.25">
      <c r="Q91" s="26" t="str">
        <f>IF('1. Live'!N109='check-Jul''26'!I109,"",'1. Live'!N109-'check-Jul''26'!I109)</f>
        <v/>
      </c>
      <c r="R91" s="26" t="str">
        <f>IF('1. Live'!O109='check-Jul''26'!J109,"",'1. Live'!O109-'check-Jul''26'!J109)</f>
        <v/>
      </c>
      <c r="S91" s="26" t="str">
        <f>IF('1. Live'!P109='check-Jul''26'!K109,"",'1. Live'!P109-'check-Jul''26'!K109)</f>
        <v/>
      </c>
      <c r="T91" s="26" t="str">
        <f>IF('1. Live'!Q109='check-Jul''26'!L109,"",'1. Live'!Q109-'check-Jul''26'!L109)</f>
        <v/>
      </c>
      <c r="U91" s="80" t="str">
        <f>IF('1. Live'!R109='check-Jul''26'!M109,"",'1. Live'!R109-'check-Jul''26'!M109)</f>
        <v/>
      </c>
      <c r="V91" s="26" t="str">
        <f>IF('1. Live'!S109='check-Jul''26'!N109,"",'1. Live'!S109-'check-Jul''26'!N109)</f>
        <v/>
      </c>
      <c r="W91" s="25" t="str">
        <f>IF('1. Live'!T109='check-Jul''26'!O109,"",'1. Live'!T109-'check-Jul''26'!O109)</f>
        <v/>
      </c>
      <c r="X91" s="25" t="str">
        <f>IF('1. Live'!U109='check-Jul''26'!Q109,"",'1. Live'!U109-'check-Jul''26'!Q109)</f>
        <v/>
      </c>
      <c r="Y91" s="25" t="str">
        <f>IF('1. Live'!V109='check-Jul''26'!R109,"",'1. Live'!V109-'check-Jul''26'!R109)</f>
        <v/>
      </c>
      <c r="Z91" s="25" t="str">
        <f>IF('1. Live'!W109='check-Jul''26'!S109,"",'1. Live'!W109-'check-Jul''26'!S109)</f>
        <v/>
      </c>
      <c r="AA91" s="25" t="str">
        <f>IF('1. Live'!X109='check-Jul''26'!T109,"",'1. Live'!X109-'check-Jul''26'!T109)</f>
        <v/>
      </c>
      <c r="AB91" s="25" t="str">
        <f>IF('1. Live'!AF109='check-Jul''26'!AB109,"",'1. Live'!AF109-'check-Jul''26'!AB109)</f>
        <v/>
      </c>
      <c r="AC91" s="25" t="str">
        <f>IF('1. Live'!AG109='check-Jul''26'!AC109,"",'1. Live'!AG109-'check-Jul''26'!AC109)</f>
        <v/>
      </c>
      <c r="AD91" s="25" t="str">
        <f>IF('1. Live'!AH109='check-Jul''26'!AD109,"",'1. Live'!AH109-'check-Jul''26'!AD109)</f>
        <v/>
      </c>
      <c r="AE91" s="25" t="str">
        <f>IF('1. Live'!AI109='check-Jul''26'!AE109,"",'1. Live'!AI109-'check-Jul''26'!AE109)</f>
        <v/>
      </c>
      <c r="AF91" s="25" t="str">
        <f>IF('1. Live'!AJ109='check-Jul''26'!AF109,"",'1. Live'!AJ109-'check-Jul''26'!AF109)</f>
        <v/>
      </c>
      <c r="AG91" s="25" t="str">
        <f>IF('1. Live'!AK109='check-Jul''26'!AG109,"",'1. Live'!AK109-'check-Jul''26'!AG109)</f>
        <v/>
      </c>
      <c r="AH91" s="25" t="str">
        <f>IF('1. Live'!AL109='check-Jul''26'!AH109,"",'1. Live'!AL109-'check-Jul''26'!AH109)</f>
        <v/>
      </c>
      <c r="AI91" s="25" t="str">
        <f>IF('1. Live'!AM109='check-Jul''26'!AI109,"",'1. Live'!AM109-'check-Jul''26'!AI109)</f>
        <v/>
      </c>
      <c r="AJ91" s="25" t="str">
        <f>IF('1. Live'!AN109='check-Jul''26'!AJ109,"",'1. Live'!AN109-'check-Jul''26'!AJ109)</f>
        <v/>
      </c>
      <c r="AK91" s="25" t="str">
        <f>IF('1. Live'!AO109='check-Jul''26'!AK109,"",'1. Live'!AO109-'check-Jul''26'!AK109)</f>
        <v/>
      </c>
      <c r="AL91" s="25" t="str">
        <f>IF('1. Live'!AP109='check-Jul''26'!AL109,"",'1. Live'!AP109-'check-Jul''26'!AL109)</f>
        <v/>
      </c>
      <c r="AM91" s="25" t="str">
        <f>IF('1. Live'!AQ109='check-Jul''26'!AM109,"",'1. Live'!AQ109-'check-Jul''26'!AM109)</f>
        <v/>
      </c>
      <c r="AN91" s="25" t="str">
        <f>IF('1. Live'!AR109='check-Jul''26'!AN109,"",'1. Live'!AR109-'check-Jul''26'!AN109)</f>
        <v/>
      </c>
      <c r="AO91" s="25" t="str">
        <f>IF('1. Live'!AS109='check-Jul''26'!AO109,"",'1. Live'!AS109-'check-Jul''26'!AO109)</f>
        <v/>
      </c>
      <c r="AP91" s="25" t="str">
        <f>IF('1. Live'!AT109='check-Jul''26'!AP109,"",'1. Live'!AT109-'check-Jul''26'!AP109)</f>
        <v/>
      </c>
      <c r="AQ91" s="25" t="str">
        <f>IF('1. Live'!AU109='check-Jul''26'!AQ109,"",'1. Live'!AU109-'check-Jul''26'!AQ109)</f>
        <v/>
      </c>
      <c r="AR91" s="25" t="str">
        <f>IF('1. Live'!AV109='check-Jul''26'!AR109,"",'1. Live'!AV109-'check-Jul''26'!AR109)</f>
        <v/>
      </c>
      <c r="AS91" s="25" t="str">
        <f>IF('1. Live'!AW109='check-Jul''26'!AS109,"",'1. Live'!AW109-'check-Jul''26'!AS109)</f>
        <v/>
      </c>
      <c r="AT91" s="25" t="str">
        <f>IF('1. Live'!AX109='check-Jul''26'!AT109,"",'1. Live'!AX109-'check-Jul''26'!AT109)</f>
        <v/>
      </c>
      <c r="AU91" s="25" t="str">
        <f>IF('1. Live'!AY109='check-Jul''26'!AU109,"",'1. Live'!AY109-'check-Jul''26'!AU109)</f>
        <v/>
      </c>
      <c r="AV91" s="25" t="str">
        <f>IF('1. Live'!AZ109='check-Jul''26'!AV109,"",'1. Live'!AZ109-'check-Jul''26'!AV109)</f>
        <v/>
      </c>
      <c r="AW91" s="25" t="str">
        <f>IF('1. Live'!BA109='check-Jul''26'!AW109,"",'1. Live'!BA109-'check-Jul''26'!AW109)</f>
        <v/>
      </c>
      <c r="AX91" s="25" t="str">
        <f>IF('1. Live'!BB109='check-Jul''26'!AX109,"",'1. Live'!BB109-'check-Jul''26'!AX109)</f>
        <v/>
      </c>
      <c r="AY91" s="25" t="str">
        <f>IF('1. Live'!BC109='check-Jul''26'!AY109,"",'1. Live'!BC109-'check-Jul''26'!AY109)</f>
        <v/>
      </c>
      <c r="AZ91" s="25" t="str">
        <f>IF('1. Live'!BD109='check-Jul''26'!AZ109,"",'1. Live'!BD109-'check-Jul''26'!AZ109)</f>
        <v/>
      </c>
      <c r="BA91" s="25" t="str">
        <f>IF('1. Live'!BE109='check-Jul''26'!BA109,"",'1. Live'!BE109-'check-Jul''26'!BA109)</f>
        <v/>
      </c>
      <c r="BB91" s="25" t="str">
        <f>IF('1. Live'!BF109='check-Jul''26'!BB109,"",'1. Live'!BF109-'check-Jul''26'!BB109)</f>
        <v/>
      </c>
      <c r="BC91" s="25" t="str">
        <f>IF('1. Live'!BG109='check-Jul''26'!BC109,"",'1. Live'!BG109-'check-Jul''26'!BC109)</f>
        <v/>
      </c>
      <c r="BD91" s="25" t="str">
        <f>IF('1. Live'!BH109='check-Jul''26'!BD109,"",'1. Live'!BH109-'check-Jul''26'!BD109)</f>
        <v/>
      </c>
      <c r="BE91" s="25" t="str">
        <f>IF('1. Live'!BI109='check-Jul''26'!BE109,"",'1. Live'!BI109-'check-Jul''26'!BE109)</f>
        <v/>
      </c>
      <c r="BF91" s="25" t="str">
        <f>IF('1. Live'!BJ109='check-Jul''26'!BF109,"",'1. Live'!BJ109-'check-Jul''26'!BF109)</f>
        <v/>
      </c>
      <c r="BG91" s="25" t="str">
        <f>IF('1. Live'!BK109='check-Jul''26'!BG109,"",'1. Live'!BK109-'check-Jul''26'!BG109)</f>
        <v/>
      </c>
      <c r="BH91" s="25" t="str">
        <f>IF('1. Live'!BL109='check-Jul''26'!BH109,"",'1. Live'!BL109-'check-Jul''26'!BH109)</f>
        <v/>
      </c>
      <c r="BI91" s="25" t="str">
        <f>IF('1. Live'!BM109='check-Jul''26'!BI109,"",'1. Live'!BM109-'check-Jul''26'!BI109)</f>
        <v/>
      </c>
      <c r="BJ91" s="25" t="str">
        <f>IF('1. Live'!BN109='check-Jul''26'!BJ109,"",'1. Live'!BN109-'check-Jul''26'!BJ109)</f>
        <v/>
      </c>
      <c r="BK91" s="25" t="str">
        <f>IF('1. Live'!BO109='check-Jul''26'!BK109,"",'1. Live'!BO109-'check-Jul''26'!BK109)</f>
        <v/>
      </c>
      <c r="BL91" s="25" t="str">
        <f>IF('1. Live'!BP109='check-Jul''26'!BL109,"",'1. Live'!BP109-'check-Jul''26'!BL109)</f>
        <v/>
      </c>
      <c r="BM91" s="25" t="str">
        <f>IF('1. Live'!BQ109='check-Jul''26'!BM109,"",'1. Live'!BQ109-'check-Jul''26'!BM109)</f>
        <v/>
      </c>
      <c r="BN91" s="25" t="str">
        <f>IF('1. Live'!BR109='check-Jul''26'!BN109,"",'1. Live'!BR109-'check-Jul''26'!BN109)</f>
        <v/>
      </c>
      <c r="BO91" s="25" t="str">
        <f>IF('1. Live'!BS109='check-Jul''26'!BO109,"",'1. Live'!BS109-'check-Jul''26'!BO109)</f>
        <v/>
      </c>
      <c r="BP91" s="25" t="str">
        <f>IF('1. Live'!BT109='check-Jul''26'!BP109,"",'1. Live'!BT109-'check-Jul''26'!BP109)</f>
        <v/>
      </c>
      <c r="BQ91" s="25" t="str">
        <f>IF('1. Live'!BU109='check-Jul''26'!BQ109,"",'1. Live'!BU109-'check-Jul''26'!BQ109)</f>
        <v/>
      </c>
      <c r="BR91" s="25" t="str">
        <f>IF('1. Live'!BV109='check-Jul''26'!BR109,"",'1. Live'!BV109-'check-Jul''26'!BR109)</f>
        <v/>
      </c>
      <c r="BS91" s="25" t="str">
        <f>IF('1. Live'!BW109='check-Jul''26'!BS109,"",'1. Live'!BW109-'check-Jul''26'!BS109)</f>
        <v/>
      </c>
      <c r="BT91" s="25" t="str">
        <f>IF('1. Live'!BX109='check-Jul''26'!BT109,"",'1. Live'!BX109-'check-Jul''26'!BT109)</f>
        <v/>
      </c>
      <c r="BU91" s="25" t="str">
        <f>IF('1. Live'!BY109='check-Jul''26'!BU109,"",'1. Live'!BY109-'check-Jul''26'!BU109)</f>
        <v/>
      </c>
      <c r="BV91" s="25" t="str">
        <f>IF('1. Live'!BZ109='check-Jul''26'!BV109,"",'1. Live'!BZ109-'check-Jul''26'!BV109)</f>
        <v/>
      </c>
      <c r="BW91" s="25" t="str">
        <f>IF('1. Live'!CA109='check-Jul''26'!BW109,"",'1. Live'!CA109-'check-Jul''26'!BW109)</f>
        <v/>
      </c>
      <c r="BX91" s="25" t="str">
        <f>IF('1. Live'!CB109='check-Jul''26'!BX109,"",'1. Live'!CB109-'check-Jul''26'!BX109)</f>
        <v/>
      </c>
      <c r="BY91" s="25" t="str">
        <f>IF('1. Live'!CC109='check-Jul''26'!BY109,"",'1. Live'!CC109-'check-Jul''26'!BY109)</f>
        <v/>
      </c>
      <c r="BZ91" s="25" t="str">
        <f>IF('1. Live'!CD109='check-Jul''26'!BZ109,"",'1. Live'!CD109-'check-Jul''26'!BZ109)</f>
        <v/>
      </c>
      <c r="CA91" s="25" t="str">
        <f>IF('1. Live'!CE109='check-Jul''26'!CA109,"",'1. Live'!CE109-'check-Jul''26'!CA109)</f>
        <v/>
      </c>
      <c r="CB91" s="25" t="str">
        <f>IF('1. Live'!CF109='check-Jul''26'!CB109,"",'1. Live'!CF109-'check-Jul''26'!CB109)</f>
        <v/>
      </c>
      <c r="CC91" s="25" t="str">
        <f>IF('1. Live'!CG109='check-Jul''26'!CC109,"",'1. Live'!CG109-'check-Jul''26'!CC109)</f>
        <v/>
      </c>
      <c r="CD91" s="25" t="str">
        <f>IF('1. Live'!CH109='check-Jul''26'!CD109,"",'1. Live'!CH109-'check-Jul''26'!CD109)</f>
        <v/>
      </c>
      <c r="CE91" s="25" t="str">
        <f>IF('1. Live'!CI109='check-Jul''26'!CE109,"",'1. Live'!CI109-'check-Jul''26'!CE109)</f>
        <v/>
      </c>
      <c r="CF91" s="25" t="str">
        <f>IF('1. Live'!CJ109='check-Jul''26'!CF109,"",'1. Live'!CJ109-'check-Jul''26'!CF109)</f>
        <v/>
      </c>
      <c r="CG91" s="25" t="str">
        <f>IF('1. Live'!CK109='check-Jul''26'!CG109,"",'1. Live'!CK109-'check-Jul''26'!CG109)</f>
        <v/>
      </c>
      <c r="CH91" s="25" t="str">
        <f>IF('1. Live'!CL109='check-Jul''26'!CH109,"",'1. Live'!CL109-'check-Jul''26'!CH109)</f>
        <v/>
      </c>
      <c r="CI91" s="25" t="str">
        <f>IF('1. Live'!CM109='check-Jul''26'!CI109,"",'1. Live'!CM109-'check-Jul''26'!CI109)</f>
        <v/>
      </c>
      <c r="CJ91" s="25" t="str">
        <f>IF('1. Live'!CN109='check-Jul''26'!CJ109,"",'1. Live'!CN109-'check-Jul''26'!CJ109)</f>
        <v/>
      </c>
      <c r="CK91" s="25" t="str">
        <f>IF('1. Live'!CO109='check-Jul''26'!CK109,"",'1. Live'!CO109-'check-Jul''26'!CK109)</f>
        <v/>
      </c>
      <c r="CL91" s="25" t="str">
        <f>IF('1. Live'!CP109='check-Jul''26'!CL109,"",'1. Live'!CP109-'check-Jul''26'!CL109)</f>
        <v/>
      </c>
      <c r="CM91" s="25" t="str">
        <f>IF('1. Live'!CQ109='check-Jul''26'!CM109,"",'1. Live'!CQ109-'check-Jul''26'!CM109)</f>
        <v/>
      </c>
      <c r="CN91" s="25" t="str">
        <f>IF('1. Live'!CR109='check-Jul''26'!CN109,"",'1. Live'!CR109-'check-Jul''26'!CN109)</f>
        <v/>
      </c>
      <c r="CO91" s="25" t="str">
        <f>IF('1. Live'!CS109='check-Jul''26'!CO109,"",'1. Live'!CS109-'check-Jul''26'!CO109)</f>
        <v/>
      </c>
      <c r="CP91" s="25" t="str">
        <f>IF('1. Live'!CT109='check-Jul''26'!CP109,"",'1. Live'!CT109-'check-Jul''26'!CP109)</f>
        <v/>
      </c>
      <c r="CQ91" s="25" t="str">
        <f>IF('1. Live'!CU109='check-Jul''26'!CQ109,"",'1. Live'!CU109-'check-Jul''26'!CQ109)</f>
        <v/>
      </c>
      <c r="CR91" s="25" t="str">
        <f>IF('1. Live'!CV109='check-Jul''26'!CR109,"",'1. Live'!CV109-'check-Jul''26'!CR109)</f>
        <v/>
      </c>
      <c r="CS91" s="25" t="str">
        <f>IF('1. Live'!CW109='check-Jul''26'!CS109,"",'1. Live'!CW109-'check-Jul''26'!CS109)</f>
        <v/>
      </c>
      <c r="CT91" s="25" t="str">
        <f>IF('1. Live'!CX109='check-Jul''26'!CT109,"",'1. Live'!CX109-'check-Jul''26'!CT109)</f>
        <v/>
      </c>
      <c r="CU91" s="25" t="str">
        <f>IF('1. Live'!CY109='check-Jul''26'!CU109,"",'1. Live'!CY109-'check-Jul''26'!CU109)</f>
        <v/>
      </c>
      <c r="CV91" s="25" t="str">
        <f>IF('1. Live'!CZ109='check-Jul''26'!CV109,"",'1. Live'!CZ109-'check-Jul''26'!CV109)</f>
        <v/>
      </c>
    </row>
    <row r="92" spans="17:100" x14ac:dyDescent="0.25">
      <c r="Q92" s="26" t="str">
        <f>IF('1. Live'!N110='check-Jul''26'!I110,"",'1. Live'!N110-'check-Jul''26'!I110)</f>
        <v/>
      </c>
      <c r="R92" s="26" t="str">
        <f>IF('1. Live'!O110='check-Jul''26'!J110,"",'1. Live'!O110-'check-Jul''26'!J110)</f>
        <v/>
      </c>
      <c r="S92" s="26" t="str">
        <f>IF('1. Live'!P110='check-Jul''26'!K110,"",'1. Live'!P110-'check-Jul''26'!K110)</f>
        <v/>
      </c>
      <c r="T92" s="26" t="str">
        <f>IF('1. Live'!Q110='check-Jul''26'!L110,"",'1. Live'!Q110-'check-Jul''26'!L110)</f>
        <v/>
      </c>
      <c r="U92" s="80" t="str">
        <f>IF('1. Live'!R110='check-Jul''26'!M110,"",'1. Live'!R110-'check-Jul''26'!M110)</f>
        <v/>
      </c>
      <c r="V92" s="26" t="str">
        <f>IF('1. Live'!S110='check-Jul''26'!N110,"",'1. Live'!S110-'check-Jul''26'!N110)</f>
        <v/>
      </c>
      <c r="W92" s="25" t="str">
        <f>IF('1. Live'!T110='check-Jul''26'!O110,"",'1. Live'!T110-'check-Jul''26'!O110)</f>
        <v/>
      </c>
      <c r="X92" s="25" t="str">
        <f>IF('1. Live'!U110='check-Jul''26'!Q110,"",'1. Live'!U110-'check-Jul''26'!Q110)</f>
        <v/>
      </c>
      <c r="Y92" s="25" t="str">
        <f>IF('1. Live'!V110='check-Jul''26'!R110,"",'1. Live'!V110-'check-Jul''26'!R110)</f>
        <v/>
      </c>
      <c r="Z92" s="25" t="str">
        <f>IF('1. Live'!W110='check-Jul''26'!S110,"",'1. Live'!W110-'check-Jul''26'!S110)</f>
        <v/>
      </c>
      <c r="AA92" s="25" t="str">
        <f>IF('1. Live'!X110='check-Jul''26'!T110,"",'1. Live'!X110-'check-Jul''26'!T110)</f>
        <v/>
      </c>
      <c r="AB92" s="25" t="str">
        <f>IF('1. Live'!AF110='check-Jul''26'!AB110,"",'1. Live'!AF110-'check-Jul''26'!AB110)</f>
        <v/>
      </c>
      <c r="AC92" s="25" t="str">
        <f>IF('1. Live'!AG110='check-Jul''26'!AC110,"",'1. Live'!AG110-'check-Jul''26'!AC110)</f>
        <v/>
      </c>
      <c r="AD92" s="25" t="str">
        <f>IF('1. Live'!AH110='check-Jul''26'!AD110,"",'1. Live'!AH110-'check-Jul''26'!AD110)</f>
        <v/>
      </c>
      <c r="AE92" s="25" t="str">
        <f>IF('1. Live'!AI110='check-Jul''26'!AE110,"",'1. Live'!AI110-'check-Jul''26'!AE110)</f>
        <v/>
      </c>
      <c r="AF92" s="25" t="str">
        <f>IF('1. Live'!AJ110='check-Jul''26'!AF110,"",'1. Live'!AJ110-'check-Jul''26'!AF110)</f>
        <v/>
      </c>
      <c r="AG92" s="25" t="str">
        <f>IF('1. Live'!AK110='check-Jul''26'!AG110,"",'1. Live'!AK110-'check-Jul''26'!AG110)</f>
        <v/>
      </c>
      <c r="AH92" s="25" t="str">
        <f>IF('1. Live'!AL110='check-Jul''26'!AH110,"",'1. Live'!AL110-'check-Jul''26'!AH110)</f>
        <v/>
      </c>
      <c r="AI92" s="25" t="str">
        <f>IF('1. Live'!AM110='check-Jul''26'!AI110,"",'1. Live'!AM110-'check-Jul''26'!AI110)</f>
        <v/>
      </c>
      <c r="AJ92" s="25" t="str">
        <f>IF('1. Live'!AN110='check-Jul''26'!AJ110,"",'1. Live'!AN110-'check-Jul''26'!AJ110)</f>
        <v/>
      </c>
      <c r="AK92" s="25" t="str">
        <f>IF('1. Live'!AO110='check-Jul''26'!AK110,"",'1. Live'!AO110-'check-Jul''26'!AK110)</f>
        <v/>
      </c>
      <c r="AL92" s="25" t="str">
        <f>IF('1. Live'!AP110='check-Jul''26'!AL110,"",'1. Live'!AP110-'check-Jul''26'!AL110)</f>
        <v/>
      </c>
      <c r="AM92" s="25" t="str">
        <f>IF('1. Live'!AQ110='check-Jul''26'!AM110,"",'1. Live'!AQ110-'check-Jul''26'!AM110)</f>
        <v/>
      </c>
      <c r="AN92" s="25" t="str">
        <f>IF('1. Live'!AR110='check-Jul''26'!AN110,"",'1. Live'!AR110-'check-Jul''26'!AN110)</f>
        <v/>
      </c>
      <c r="AO92" s="25" t="str">
        <f>IF('1. Live'!AS110='check-Jul''26'!AO110,"",'1. Live'!AS110-'check-Jul''26'!AO110)</f>
        <v/>
      </c>
      <c r="AP92" s="25" t="str">
        <f>IF('1. Live'!AT110='check-Jul''26'!AP110,"",'1. Live'!AT110-'check-Jul''26'!AP110)</f>
        <v/>
      </c>
      <c r="AQ92" s="25" t="str">
        <f>IF('1. Live'!AU110='check-Jul''26'!AQ110,"",'1. Live'!AU110-'check-Jul''26'!AQ110)</f>
        <v/>
      </c>
      <c r="AR92" s="25" t="str">
        <f>IF('1. Live'!AV110='check-Jul''26'!AR110,"",'1. Live'!AV110-'check-Jul''26'!AR110)</f>
        <v/>
      </c>
      <c r="AS92" s="25" t="str">
        <f>IF('1. Live'!AW110='check-Jul''26'!AS110,"",'1. Live'!AW110-'check-Jul''26'!AS110)</f>
        <v/>
      </c>
      <c r="AT92" s="25" t="str">
        <f>IF('1. Live'!AX110='check-Jul''26'!AT110,"",'1. Live'!AX110-'check-Jul''26'!AT110)</f>
        <v/>
      </c>
      <c r="AU92" s="25" t="str">
        <f>IF('1. Live'!AY110='check-Jul''26'!AU110,"",'1. Live'!AY110-'check-Jul''26'!AU110)</f>
        <v/>
      </c>
      <c r="AV92" s="25" t="str">
        <f>IF('1. Live'!AZ110='check-Jul''26'!AV110,"",'1. Live'!AZ110-'check-Jul''26'!AV110)</f>
        <v/>
      </c>
      <c r="AW92" s="25" t="str">
        <f>IF('1. Live'!BA110='check-Jul''26'!AW110,"",'1. Live'!BA110-'check-Jul''26'!AW110)</f>
        <v/>
      </c>
      <c r="AX92" s="25" t="str">
        <f>IF('1. Live'!BB110='check-Jul''26'!AX110,"",'1. Live'!BB110-'check-Jul''26'!AX110)</f>
        <v/>
      </c>
      <c r="AY92" s="25" t="str">
        <f>IF('1. Live'!BC110='check-Jul''26'!AY110,"",'1. Live'!BC110-'check-Jul''26'!AY110)</f>
        <v/>
      </c>
      <c r="AZ92" s="25" t="str">
        <f>IF('1. Live'!BD110='check-Jul''26'!AZ110,"",'1. Live'!BD110-'check-Jul''26'!AZ110)</f>
        <v/>
      </c>
      <c r="BA92" s="25" t="str">
        <f>IF('1. Live'!BE110='check-Jul''26'!BA110,"",'1. Live'!BE110-'check-Jul''26'!BA110)</f>
        <v/>
      </c>
      <c r="BB92" s="25" t="str">
        <f>IF('1. Live'!BF110='check-Jul''26'!BB110,"",'1. Live'!BF110-'check-Jul''26'!BB110)</f>
        <v/>
      </c>
      <c r="BC92" s="25" t="str">
        <f>IF('1. Live'!BG110='check-Jul''26'!BC110,"",'1. Live'!BG110-'check-Jul''26'!BC110)</f>
        <v/>
      </c>
      <c r="BD92" s="25" t="str">
        <f>IF('1. Live'!BH110='check-Jul''26'!BD110,"",'1. Live'!BH110-'check-Jul''26'!BD110)</f>
        <v/>
      </c>
      <c r="BE92" s="25" t="str">
        <f>IF('1. Live'!BI110='check-Jul''26'!BE110,"",'1. Live'!BI110-'check-Jul''26'!BE110)</f>
        <v/>
      </c>
      <c r="BF92" s="25" t="str">
        <f>IF('1. Live'!BJ110='check-Jul''26'!BF110,"",'1. Live'!BJ110-'check-Jul''26'!BF110)</f>
        <v/>
      </c>
      <c r="BG92" s="25" t="str">
        <f>IF('1. Live'!BK110='check-Jul''26'!BG110,"",'1. Live'!BK110-'check-Jul''26'!BG110)</f>
        <v/>
      </c>
      <c r="BH92" s="25" t="str">
        <f>IF('1. Live'!BL110='check-Jul''26'!BH110,"",'1. Live'!BL110-'check-Jul''26'!BH110)</f>
        <v/>
      </c>
      <c r="BI92" s="25" t="str">
        <f>IF('1. Live'!BM110='check-Jul''26'!BI110,"",'1. Live'!BM110-'check-Jul''26'!BI110)</f>
        <v/>
      </c>
      <c r="BJ92" s="25" t="str">
        <f>IF('1. Live'!BN110='check-Jul''26'!BJ110,"",'1. Live'!BN110-'check-Jul''26'!BJ110)</f>
        <v/>
      </c>
      <c r="BK92" s="25" t="str">
        <f>IF('1. Live'!BO110='check-Jul''26'!BK110,"",'1. Live'!BO110-'check-Jul''26'!BK110)</f>
        <v/>
      </c>
      <c r="BL92" s="25" t="str">
        <f>IF('1. Live'!BP110='check-Jul''26'!BL110,"",'1. Live'!BP110-'check-Jul''26'!BL110)</f>
        <v/>
      </c>
      <c r="BM92" s="25" t="str">
        <f>IF('1. Live'!BQ110='check-Jul''26'!BM110,"",'1. Live'!BQ110-'check-Jul''26'!BM110)</f>
        <v/>
      </c>
      <c r="BN92" s="25" t="str">
        <f>IF('1. Live'!BR110='check-Jul''26'!BN110,"",'1. Live'!BR110-'check-Jul''26'!BN110)</f>
        <v/>
      </c>
      <c r="BO92" s="25" t="str">
        <f>IF('1. Live'!BS110='check-Jul''26'!BO110,"",'1. Live'!BS110-'check-Jul''26'!BO110)</f>
        <v/>
      </c>
      <c r="BP92" s="25" t="str">
        <f>IF('1. Live'!BT110='check-Jul''26'!BP110,"",'1. Live'!BT110-'check-Jul''26'!BP110)</f>
        <v/>
      </c>
      <c r="BQ92" s="25" t="str">
        <f>IF('1. Live'!BU110='check-Jul''26'!BQ110,"",'1. Live'!BU110-'check-Jul''26'!BQ110)</f>
        <v/>
      </c>
      <c r="BR92" s="25" t="str">
        <f>IF('1. Live'!BV110='check-Jul''26'!BR110,"",'1. Live'!BV110-'check-Jul''26'!BR110)</f>
        <v/>
      </c>
      <c r="BS92" s="25" t="str">
        <f>IF('1. Live'!BW110='check-Jul''26'!BS110,"",'1. Live'!BW110-'check-Jul''26'!BS110)</f>
        <v/>
      </c>
      <c r="BT92" s="25" t="str">
        <f>IF('1. Live'!BX110='check-Jul''26'!BT110,"",'1. Live'!BX110-'check-Jul''26'!BT110)</f>
        <v/>
      </c>
      <c r="BU92" s="25" t="str">
        <f>IF('1. Live'!BY110='check-Jul''26'!BU110,"",'1. Live'!BY110-'check-Jul''26'!BU110)</f>
        <v/>
      </c>
      <c r="BV92" s="25" t="str">
        <f>IF('1. Live'!BZ110='check-Jul''26'!BV110,"",'1. Live'!BZ110-'check-Jul''26'!BV110)</f>
        <v/>
      </c>
      <c r="BW92" s="25" t="str">
        <f>IF('1. Live'!CA110='check-Jul''26'!BW110,"",'1. Live'!CA110-'check-Jul''26'!BW110)</f>
        <v/>
      </c>
      <c r="BX92" s="25" t="str">
        <f>IF('1. Live'!CB110='check-Jul''26'!BX110,"",'1. Live'!CB110-'check-Jul''26'!BX110)</f>
        <v/>
      </c>
      <c r="BY92" s="25" t="str">
        <f>IF('1. Live'!CC110='check-Jul''26'!BY110,"",'1. Live'!CC110-'check-Jul''26'!BY110)</f>
        <v/>
      </c>
      <c r="BZ92" s="25" t="str">
        <f>IF('1. Live'!CD110='check-Jul''26'!BZ110,"",'1. Live'!CD110-'check-Jul''26'!BZ110)</f>
        <v/>
      </c>
      <c r="CA92" s="25" t="str">
        <f>IF('1. Live'!CE110='check-Jul''26'!CA110,"",'1. Live'!CE110-'check-Jul''26'!CA110)</f>
        <v/>
      </c>
      <c r="CB92" s="25" t="str">
        <f>IF('1. Live'!CF110='check-Jul''26'!CB110,"",'1. Live'!CF110-'check-Jul''26'!CB110)</f>
        <v/>
      </c>
      <c r="CC92" s="25" t="str">
        <f>IF('1. Live'!CG110='check-Jul''26'!CC110,"",'1. Live'!CG110-'check-Jul''26'!CC110)</f>
        <v/>
      </c>
      <c r="CD92" s="25" t="str">
        <f>IF('1. Live'!CH110='check-Jul''26'!CD110,"",'1. Live'!CH110-'check-Jul''26'!CD110)</f>
        <v/>
      </c>
      <c r="CE92" s="25" t="str">
        <f>IF('1. Live'!CI110='check-Jul''26'!CE110,"",'1. Live'!CI110-'check-Jul''26'!CE110)</f>
        <v/>
      </c>
      <c r="CF92" s="25" t="str">
        <f>IF('1. Live'!CJ110='check-Jul''26'!CF110,"",'1. Live'!CJ110-'check-Jul''26'!CF110)</f>
        <v/>
      </c>
      <c r="CG92" s="25" t="str">
        <f>IF('1. Live'!CK110='check-Jul''26'!CG110,"",'1. Live'!CK110-'check-Jul''26'!CG110)</f>
        <v/>
      </c>
      <c r="CH92" s="25" t="str">
        <f>IF('1. Live'!CL110='check-Jul''26'!CH110,"",'1. Live'!CL110-'check-Jul''26'!CH110)</f>
        <v/>
      </c>
      <c r="CI92" s="25" t="str">
        <f>IF('1. Live'!CM110='check-Jul''26'!CI110,"",'1. Live'!CM110-'check-Jul''26'!CI110)</f>
        <v/>
      </c>
      <c r="CJ92" s="25" t="str">
        <f>IF('1. Live'!CN110='check-Jul''26'!CJ110,"",'1. Live'!CN110-'check-Jul''26'!CJ110)</f>
        <v/>
      </c>
      <c r="CK92" s="25" t="str">
        <f>IF('1. Live'!CO110='check-Jul''26'!CK110,"",'1. Live'!CO110-'check-Jul''26'!CK110)</f>
        <v/>
      </c>
      <c r="CL92" s="25" t="str">
        <f>IF('1. Live'!CP110='check-Jul''26'!CL110,"",'1. Live'!CP110-'check-Jul''26'!CL110)</f>
        <v/>
      </c>
      <c r="CM92" s="25" t="str">
        <f>IF('1. Live'!CQ110='check-Jul''26'!CM110,"",'1. Live'!CQ110-'check-Jul''26'!CM110)</f>
        <v/>
      </c>
      <c r="CN92" s="25" t="str">
        <f>IF('1. Live'!CR110='check-Jul''26'!CN110,"",'1. Live'!CR110-'check-Jul''26'!CN110)</f>
        <v/>
      </c>
      <c r="CO92" s="25" t="str">
        <f>IF('1. Live'!CS110='check-Jul''26'!CO110,"",'1. Live'!CS110-'check-Jul''26'!CO110)</f>
        <v/>
      </c>
      <c r="CP92" s="25" t="str">
        <f>IF('1. Live'!CT110='check-Jul''26'!CP110,"",'1. Live'!CT110-'check-Jul''26'!CP110)</f>
        <v/>
      </c>
      <c r="CQ92" s="25" t="str">
        <f>IF('1. Live'!CU110='check-Jul''26'!CQ110,"",'1. Live'!CU110-'check-Jul''26'!CQ110)</f>
        <v/>
      </c>
      <c r="CR92" s="25" t="str">
        <f>IF('1. Live'!CV110='check-Jul''26'!CR110,"",'1. Live'!CV110-'check-Jul''26'!CR110)</f>
        <v/>
      </c>
      <c r="CS92" s="25" t="str">
        <f>IF('1. Live'!CW110='check-Jul''26'!CS110,"",'1. Live'!CW110-'check-Jul''26'!CS110)</f>
        <v/>
      </c>
      <c r="CT92" s="25" t="str">
        <f>IF('1. Live'!CX110='check-Jul''26'!CT110,"",'1. Live'!CX110-'check-Jul''26'!CT110)</f>
        <v/>
      </c>
      <c r="CU92" s="25" t="str">
        <f>IF('1. Live'!CY110='check-Jul''26'!CU110,"",'1. Live'!CY110-'check-Jul''26'!CU110)</f>
        <v/>
      </c>
      <c r="CV92" s="25" t="str">
        <f>IF('1. Live'!CZ110='check-Jul''26'!CV110,"",'1. Live'!CZ110-'check-Jul''26'!CV110)</f>
        <v/>
      </c>
    </row>
    <row r="93" spans="17:100" x14ac:dyDescent="0.25">
      <c r="Q93" s="26" t="str">
        <f>IF('1. Live'!N111='check-Jul''26'!I111,"",'1. Live'!N111-'check-Jul''26'!I111)</f>
        <v/>
      </c>
      <c r="R93" s="26" t="str">
        <f>IF('1. Live'!O111='check-Jul''26'!J111,"",'1. Live'!O111-'check-Jul''26'!J111)</f>
        <v/>
      </c>
      <c r="S93" s="26" t="str">
        <f>IF('1. Live'!P111='check-Jul''26'!K111,"",'1. Live'!P111-'check-Jul''26'!K111)</f>
        <v/>
      </c>
      <c r="T93" s="26" t="str">
        <f>IF('1. Live'!Q111='check-Jul''26'!L111,"",'1. Live'!Q111-'check-Jul''26'!L111)</f>
        <v/>
      </c>
      <c r="U93" s="80" t="str">
        <f>IF('1. Live'!R111='check-Jul''26'!M111,"",'1. Live'!R111-'check-Jul''26'!M111)</f>
        <v/>
      </c>
      <c r="V93" s="26" t="str">
        <f>IF('1. Live'!S111='check-Jul''26'!N111,"",'1. Live'!S111-'check-Jul''26'!N111)</f>
        <v/>
      </c>
      <c r="W93" s="25" t="str">
        <f>IF('1. Live'!T111='check-Jul''26'!O111,"",'1. Live'!T111-'check-Jul''26'!O111)</f>
        <v/>
      </c>
      <c r="X93" s="25" t="str">
        <f>IF('1. Live'!U111='check-Jul''26'!Q111,"",'1. Live'!U111-'check-Jul''26'!Q111)</f>
        <v/>
      </c>
      <c r="Y93" s="25" t="str">
        <f>IF('1. Live'!V111='check-Jul''26'!R111,"",'1. Live'!V111-'check-Jul''26'!R111)</f>
        <v/>
      </c>
      <c r="Z93" s="25" t="str">
        <f>IF('1. Live'!W111='check-Jul''26'!S111,"",'1. Live'!W111-'check-Jul''26'!S111)</f>
        <v/>
      </c>
      <c r="AA93" s="25" t="str">
        <f>IF('1. Live'!X111='check-Jul''26'!T111,"",'1. Live'!X111-'check-Jul''26'!T111)</f>
        <v/>
      </c>
      <c r="AB93" s="25" t="str">
        <f>IF('1. Live'!AF111='check-Jul''26'!AB111,"",'1. Live'!AF111-'check-Jul''26'!AB111)</f>
        <v/>
      </c>
      <c r="AC93" s="25" t="str">
        <f>IF('1. Live'!AG111='check-Jul''26'!AC111,"",'1. Live'!AG111-'check-Jul''26'!AC111)</f>
        <v/>
      </c>
      <c r="AD93" s="25" t="str">
        <f>IF('1. Live'!AH111='check-Jul''26'!AD111,"",'1. Live'!AH111-'check-Jul''26'!AD111)</f>
        <v/>
      </c>
      <c r="AE93" s="25" t="str">
        <f>IF('1. Live'!AI111='check-Jul''26'!AE111,"",'1. Live'!AI111-'check-Jul''26'!AE111)</f>
        <v/>
      </c>
      <c r="AF93" s="25" t="str">
        <f>IF('1. Live'!AJ111='check-Jul''26'!AF111,"",'1. Live'!AJ111-'check-Jul''26'!AF111)</f>
        <v/>
      </c>
      <c r="AG93" s="25" t="str">
        <f>IF('1. Live'!AK111='check-Jul''26'!AG111,"",'1. Live'!AK111-'check-Jul''26'!AG111)</f>
        <v/>
      </c>
      <c r="AH93" s="25" t="str">
        <f>IF('1. Live'!AL111='check-Jul''26'!AH111,"",'1. Live'!AL111-'check-Jul''26'!AH111)</f>
        <v/>
      </c>
      <c r="AI93" s="25" t="str">
        <f>IF('1. Live'!AM111='check-Jul''26'!AI111,"",'1. Live'!AM111-'check-Jul''26'!AI111)</f>
        <v/>
      </c>
      <c r="AJ93" s="25" t="str">
        <f>IF('1. Live'!AN111='check-Jul''26'!AJ111,"",'1. Live'!AN111-'check-Jul''26'!AJ111)</f>
        <v/>
      </c>
      <c r="AK93" s="25" t="str">
        <f>IF('1. Live'!AO111='check-Jul''26'!AK111,"",'1. Live'!AO111-'check-Jul''26'!AK111)</f>
        <v/>
      </c>
      <c r="AL93" s="25" t="str">
        <f>IF('1. Live'!AP111='check-Jul''26'!AL111,"",'1. Live'!AP111-'check-Jul''26'!AL111)</f>
        <v/>
      </c>
      <c r="AM93" s="25" t="str">
        <f>IF('1. Live'!AQ111='check-Jul''26'!AM111,"",'1. Live'!AQ111-'check-Jul''26'!AM111)</f>
        <v/>
      </c>
      <c r="AN93" s="25" t="str">
        <f>IF('1. Live'!AR111='check-Jul''26'!AN111,"",'1. Live'!AR111-'check-Jul''26'!AN111)</f>
        <v/>
      </c>
      <c r="AO93" s="25" t="str">
        <f>IF('1. Live'!AS111='check-Jul''26'!AO111,"",'1. Live'!AS111-'check-Jul''26'!AO111)</f>
        <v/>
      </c>
      <c r="AP93" s="25" t="str">
        <f>IF('1. Live'!AT111='check-Jul''26'!AP111,"",'1. Live'!AT111-'check-Jul''26'!AP111)</f>
        <v/>
      </c>
      <c r="AQ93" s="25" t="str">
        <f>IF('1. Live'!AU111='check-Jul''26'!AQ111,"",'1. Live'!AU111-'check-Jul''26'!AQ111)</f>
        <v/>
      </c>
      <c r="AR93" s="25" t="str">
        <f>IF('1. Live'!AV111='check-Jul''26'!AR111,"",'1. Live'!AV111-'check-Jul''26'!AR111)</f>
        <v/>
      </c>
      <c r="AS93" s="25" t="str">
        <f>IF('1. Live'!AW111='check-Jul''26'!AS111,"",'1. Live'!AW111-'check-Jul''26'!AS111)</f>
        <v/>
      </c>
      <c r="AT93" s="25" t="str">
        <f>IF('1. Live'!AX111='check-Jul''26'!AT111,"",'1. Live'!AX111-'check-Jul''26'!AT111)</f>
        <v/>
      </c>
      <c r="AU93" s="25" t="str">
        <f>IF('1. Live'!AY111='check-Jul''26'!AU111,"",'1. Live'!AY111-'check-Jul''26'!AU111)</f>
        <v/>
      </c>
      <c r="AV93" s="25" t="str">
        <f>IF('1. Live'!AZ111='check-Jul''26'!AV111,"",'1. Live'!AZ111-'check-Jul''26'!AV111)</f>
        <v/>
      </c>
      <c r="AW93" s="25" t="str">
        <f>IF('1. Live'!BA111='check-Jul''26'!AW111,"",'1. Live'!BA111-'check-Jul''26'!AW111)</f>
        <v/>
      </c>
      <c r="AX93" s="25" t="str">
        <f>IF('1. Live'!BB111='check-Jul''26'!AX111,"",'1. Live'!BB111-'check-Jul''26'!AX111)</f>
        <v/>
      </c>
      <c r="AY93" s="25" t="str">
        <f>IF('1. Live'!BC111='check-Jul''26'!AY111,"",'1. Live'!BC111-'check-Jul''26'!AY111)</f>
        <v/>
      </c>
      <c r="AZ93" s="25" t="str">
        <f>IF('1. Live'!BD111='check-Jul''26'!AZ111,"",'1. Live'!BD111-'check-Jul''26'!AZ111)</f>
        <v/>
      </c>
      <c r="BA93" s="25" t="str">
        <f>IF('1. Live'!BE111='check-Jul''26'!BA111,"",'1. Live'!BE111-'check-Jul''26'!BA111)</f>
        <v/>
      </c>
      <c r="BB93" s="25" t="str">
        <f>IF('1. Live'!BF111='check-Jul''26'!BB111,"",'1. Live'!BF111-'check-Jul''26'!BB111)</f>
        <v/>
      </c>
      <c r="BC93" s="25" t="str">
        <f>IF('1. Live'!BG111='check-Jul''26'!BC111,"",'1. Live'!BG111-'check-Jul''26'!BC111)</f>
        <v/>
      </c>
      <c r="BD93" s="25" t="str">
        <f>IF('1. Live'!BH111='check-Jul''26'!BD111,"",'1. Live'!BH111-'check-Jul''26'!BD111)</f>
        <v/>
      </c>
      <c r="BE93" s="25" t="str">
        <f>IF('1. Live'!BI111='check-Jul''26'!BE111,"",'1. Live'!BI111-'check-Jul''26'!BE111)</f>
        <v/>
      </c>
      <c r="BF93" s="25" t="str">
        <f>IF('1. Live'!BJ111='check-Jul''26'!BF111,"",'1. Live'!BJ111-'check-Jul''26'!BF111)</f>
        <v/>
      </c>
      <c r="BG93" s="25" t="str">
        <f>IF('1. Live'!BK111='check-Jul''26'!BG111,"",'1. Live'!BK111-'check-Jul''26'!BG111)</f>
        <v/>
      </c>
      <c r="BH93" s="25" t="str">
        <f>IF('1. Live'!BL111='check-Jul''26'!BH111,"",'1. Live'!BL111-'check-Jul''26'!BH111)</f>
        <v/>
      </c>
      <c r="BI93" s="25" t="str">
        <f>IF('1. Live'!BM111='check-Jul''26'!BI111,"",'1. Live'!BM111-'check-Jul''26'!BI111)</f>
        <v/>
      </c>
      <c r="BJ93" s="25" t="str">
        <f>IF('1. Live'!BN111='check-Jul''26'!BJ111,"",'1. Live'!BN111-'check-Jul''26'!BJ111)</f>
        <v/>
      </c>
      <c r="BK93" s="25" t="str">
        <f>IF('1. Live'!BO111='check-Jul''26'!BK111,"",'1. Live'!BO111-'check-Jul''26'!BK111)</f>
        <v/>
      </c>
      <c r="BL93" s="25" t="str">
        <f>IF('1. Live'!BP111='check-Jul''26'!BL111,"",'1. Live'!BP111-'check-Jul''26'!BL111)</f>
        <v/>
      </c>
      <c r="BM93" s="25" t="str">
        <f>IF('1. Live'!BQ111='check-Jul''26'!BM111,"",'1. Live'!BQ111-'check-Jul''26'!BM111)</f>
        <v/>
      </c>
      <c r="BN93" s="25" t="str">
        <f>IF('1. Live'!BR111='check-Jul''26'!BN111,"",'1. Live'!BR111-'check-Jul''26'!BN111)</f>
        <v/>
      </c>
      <c r="BO93" s="25" t="str">
        <f>IF('1. Live'!BS111='check-Jul''26'!BO111,"",'1. Live'!BS111-'check-Jul''26'!BO111)</f>
        <v/>
      </c>
      <c r="BP93" s="25" t="str">
        <f>IF('1. Live'!BT111='check-Jul''26'!BP111,"",'1. Live'!BT111-'check-Jul''26'!BP111)</f>
        <v/>
      </c>
      <c r="BQ93" s="25" t="str">
        <f>IF('1. Live'!BU111='check-Jul''26'!BQ111,"",'1. Live'!BU111-'check-Jul''26'!BQ111)</f>
        <v/>
      </c>
      <c r="BR93" s="25" t="str">
        <f>IF('1. Live'!BV111='check-Jul''26'!BR111,"",'1. Live'!BV111-'check-Jul''26'!BR111)</f>
        <v/>
      </c>
      <c r="BS93" s="25" t="str">
        <f>IF('1. Live'!BW111='check-Jul''26'!BS111,"",'1. Live'!BW111-'check-Jul''26'!BS111)</f>
        <v/>
      </c>
      <c r="BT93" s="25" t="str">
        <f>IF('1. Live'!BX111='check-Jul''26'!BT111,"",'1. Live'!BX111-'check-Jul''26'!BT111)</f>
        <v/>
      </c>
      <c r="BU93" s="25" t="str">
        <f>IF('1. Live'!BY111='check-Jul''26'!BU111,"",'1. Live'!BY111-'check-Jul''26'!BU111)</f>
        <v/>
      </c>
      <c r="BV93" s="25" t="str">
        <f>IF('1. Live'!BZ111='check-Jul''26'!BV111,"",'1. Live'!BZ111-'check-Jul''26'!BV111)</f>
        <v/>
      </c>
      <c r="BW93" s="25" t="str">
        <f>IF('1. Live'!CA111='check-Jul''26'!BW111,"",'1. Live'!CA111-'check-Jul''26'!BW111)</f>
        <v/>
      </c>
      <c r="BX93" s="25" t="str">
        <f>IF('1. Live'!CB111='check-Jul''26'!BX111,"",'1. Live'!CB111-'check-Jul''26'!BX111)</f>
        <v/>
      </c>
      <c r="BY93" s="25" t="str">
        <f>IF('1. Live'!CC111='check-Jul''26'!BY111,"",'1. Live'!CC111-'check-Jul''26'!BY111)</f>
        <v/>
      </c>
      <c r="BZ93" s="25" t="str">
        <f>IF('1. Live'!CD111='check-Jul''26'!BZ111,"",'1. Live'!CD111-'check-Jul''26'!BZ111)</f>
        <v/>
      </c>
      <c r="CA93" s="25" t="str">
        <f>IF('1. Live'!CE111='check-Jul''26'!CA111,"",'1. Live'!CE111-'check-Jul''26'!CA111)</f>
        <v/>
      </c>
      <c r="CB93" s="25" t="str">
        <f>IF('1. Live'!CF111='check-Jul''26'!CB111,"",'1. Live'!CF111-'check-Jul''26'!CB111)</f>
        <v/>
      </c>
      <c r="CC93" s="25" t="str">
        <f>IF('1. Live'!CG111='check-Jul''26'!CC111,"",'1. Live'!CG111-'check-Jul''26'!CC111)</f>
        <v/>
      </c>
      <c r="CD93" s="25" t="str">
        <f>IF('1. Live'!CH111='check-Jul''26'!CD111,"",'1. Live'!CH111-'check-Jul''26'!CD111)</f>
        <v/>
      </c>
      <c r="CE93" s="25" t="str">
        <f>IF('1. Live'!CI111='check-Jul''26'!CE111,"",'1. Live'!CI111-'check-Jul''26'!CE111)</f>
        <v/>
      </c>
      <c r="CF93" s="25" t="str">
        <f>IF('1. Live'!CJ111='check-Jul''26'!CF111,"",'1. Live'!CJ111-'check-Jul''26'!CF111)</f>
        <v/>
      </c>
      <c r="CG93" s="25" t="str">
        <f>IF('1. Live'!CK111='check-Jul''26'!CG111,"",'1. Live'!CK111-'check-Jul''26'!CG111)</f>
        <v/>
      </c>
      <c r="CH93" s="25" t="str">
        <f>IF('1. Live'!CL111='check-Jul''26'!CH111,"",'1. Live'!CL111-'check-Jul''26'!CH111)</f>
        <v/>
      </c>
      <c r="CI93" s="25" t="str">
        <f>IF('1. Live'!CM111='check-Jul''26'!CI111,"",'1. Live'!CM111-'check-Jul''26'!CI111)</f>
        <v/>
      </c>
      <c r="CJ93" s="25" t="str">
        <f>IF('1. Live'!CN111='check-Jul''26'!CJ111,"",'1. Live'!CN111-'check-Jul''26'!CJ111)</f>
        <v/>
      </c>
      <c r="CK93" s="25" t="str">
        <f>IF('1. Live'!CO111='check-Jul''26'!CK111,"",'1. Live'!CO111-'check-Jul''26'!CK111)</f>
        <v/>
      </c>
      <c r="CL93" s="25" t="str">
        <f>IF('1. Live'!CP111='check-Jul''26'!CL111,"",'1. Live'!CP111-'check-Jul''26'!CL111)</f>
        <v/>
      </c>
      <c r="CM93" s="25" t="str">
        <f>IF('1. Live'!CQ111='check-Jul''26'!CM111,"",'1. Live'!CQ111-'check-Jul''26'!CM111)</f>
        <v/>
      </c>
      <c r="CN93" s="25" t="str">
        <f>IF('1. Live'!CR111='check-Jul''26'!CN111,"",'1. Live'!CR111-'check-Jul''26'!CN111)</f>
        <v/>
      </c>
      <c r="CO93" s="25" t="str">
        <f>IF('1. Live'!CS111='check-Jul''26'!CO111,"",'1. Live'!CS111-'check-Jul''26'!CO111)</f>
        <v/>
      </c>
      <c r="CP93" s="25" t="str">
        <f>IF('1. Live'!CT111='check-Jul''26'!CP111,"",'1. Live'!CT111-'check-Jul''26'!CP111)</f>
        <v/>
      </c>
      <c r="CQ93" s="25" t="str">
        <f>IF('1. Live'!CU111='check-Jul''26'!CQ111,"",'1. Live'!CU111-'check-Jul''26'!CQ111)</f>
        <v/>
      </c>
      <c r="CR93" s="25" t="str">
        <f>IF('1. Live'!CV111='check-Jul''26'!CR111,"",'1. Live'!CV111-'check-Jul''26'!CR111)</f>
        <v/>
      </c>
      <c r="CS93" s="25" t="str">
        <f>IF('1. Live'!CW111='check-Jul''26'!CS111,"",'1. Live'!CW111-'check-Jul''26'!CS111)</f>
        <v/>
      </c>
      <c r="CT93" s="25" t="str">
        <f>IF('1. Live'!CX111='check-Jul''26'!CT111,"",'1. Live'!CX111-'check-Jul''26'!CT111)</f>
        <v/>
      </c>
      <c r="CU93" s="25" t="str">
        <f>IF('1. Live'!CY111='check-Jul''26'!CU111,"",'1. Live'!CY111-'check-Jul''26'!CU111)</f>
        <v/>
      </c>
      <c r="CV93" s="25" t="str">
        <f>IF('1. Live'!CZ111='check-Jul''26'!CV111,"",'1. Live'!CZ111-'check-Jul''26'!CV111)</f>
        <v/>
      </c>
    </row>
    <row r="94" spans="17:100" x14ac:dyDescent="0.25">
      <c r="Q94" s="26" t="str">
        <f>IF('1. Live'!N112='check-Jul''26'!I112,"",'1. Live'!N112-'check-Jul''26'!I112)</f>
        <v/>
      </c>
      <c r="R94" s="26" t="str">
        <f>IF('1. Live'!O112='check-Jul''26'!J112,"",'1. Live'!O112-'check-Jul''26'!J112)</f>
        <v/>
      </c>
      <c r="S94" s="26" t="str">
        <f>IF('1. Live'!P112='check-Jul''26'!K112,"",'1. Live'!P112-'check-Jul''26'!K112)</f>
        <v/>
      </c>
      <c r="T94" s="26" t="str">
        <f>IF('1. Live'!Q112='check-Jul''26'!L112,"",'1. Live'!Q112-'check-Jul''26'!L112)</f>
        <v/>
      </c>
      <c r="U94" s="80" t="str">
        <f>IF('1. Live'!R112='check-Jul''26'!M112,"",'1. Live'!R112-'check-Jul''26'!M112)</f>
        <v/>
      </c>
      <c r="V94" s="26" t="str">
        <f>IF('1. Live'!S112='check-Jul''26'!N112,"",'1. Live'!S112-'check-Jul''26'!N112)</f>
        <v/>
      </c>
      <c r="W94" s="25" t="str">
        <f>IF('1. Live'!T112='check-Jul''26'!O112,"",'1. Live'!T112-'check-Jul''26'!O112)</f>
        <v/>
      </c>
      <c r="X94" s="25" t="str">
        <f>IF('1. Live'!U112='check-Jul''26'!Q112,"",'1. Live'!U112-'check-Jul''26'!Q112)</f>
        <v/>
      </c>
      <c r="Y94" s="25" t="str">
        <f>IF('1. Live'!V112='check-Jul''26'!R112,"",'1. Live'!V112-'check-Jul''26'!R112)</f>
        <v/>
      </c>
      <c r="Z94" s="25" t="str">
        <f>IF('1. Live'!W112='check-Jul''26'!S112,"",'1. Live'!W112-'check-Jul''26'!S112)</f>
        <v/>
      </c>
      <c r="AA94" s="25" t="str">
        <f>IF('1. Live'!X112='check-Jul''26'!T112,"",'1. Live'!X112-'check-Jul''26'!T112)</f>
        <v/>
      </c>
      <c r="AB94" s="25" t="str">
        <f>IF('1. Live'!AF112='check-Jul''26'!AB112,"",'1. Live'!AF112-'check-Jul''26'!AB112)</f>
        <v/>
      </c>
      <c r="AC94" s="25" t="str">
        <f>IF('1. Live'!AG112='check-Jul''26'!AC112,"",'1. Live'!AG112-'check-Jul''26'!AC112)</f>
        <v/>
      </c>
      <c r="AD94" s="25" t="str">
        <f>IF('1. Live'!AH112='check-Jul''26'!AD112,"",'1. Live'!AH112-'check-Jul''26'!AD112)</f>
        <v/>
      </c>
      <c r="AE94" s="25" t="str">
        <f>IF('1. Live'!AI112='check-Jul''26'!AE112,"",'1. Live'!AI112-'check-Jul''26'!AE112)</f>
        <v/>
      </c>
      <c r="AF94" s="25" t="str">
        <f>IF('1. Live'!AJ112='check-Jul''26'!AF112,"",'1. Live'!AJ112-'check-Jul''26'!AF112)</f>
        <v/>
      </c>
      <c r="AG94" s="25" t="str">
        <f>IF('1. Live'!AK112='check-Jul''26'!AG112,"",'1. Live'!AK112-'check-Jul''26'!AG112)</f>
        <v/>
      </c>
      <c r="AH94" s="25" t="str">
        <f>IF('1. Live'!AL112='check-Jul''26'!AH112,"",'1. Live'!AL112-'check-Jul''26'!AH112)</f>
        <v/>
      </c>
      <c r="AI94" s="25" t="str">
        <f>IF('1. Live'!AM112='check-Jul''26'!AI112,"",'1. Live'!AM112-'check-Jul''26'!AI112)</f>
        <v/>
      </c>
      <c r="AJ94" s="25" t="str">
        <f>IF('1. Live'!AN112='check-Jul''26'!AJ112,"",'1. Live'!AN112-'check-Jul''26'!AJ112)</f>
        <v/>
      </c>
      <c r="AK94" s="25" t="str">
        <f>IF('1. Live'!AO112='check-Jul''26'!AK112,"",'1. Live'!AO112-'check-Jul''26'!AK112)</f>
        <v/>
      </c>
      <c r="AL94" s="25" t="str">
        <f>IF('1. Live'!AP112='check-Jul''26'!AL112,"",'1. Live'!AP112-'check-Jul''26'!AL112)</f>
        <v/>
      </c>
      <c r="AM94" s="25" t="str">
        <f>IF('1. Live'!AQ112='check-Jul''26'!AM112,"",'1. Live'!AQ112-'check-Jul''26'!AM112)</f>
        <v/>
      </c>
      <c r="AN94" s="25" t="str">
        <f>IF('1. Live'!AR112='check-Jul''26'!AN112,"",'1. Live'!AR112-'check-Jul''26'!AN112)</f>
        <v/>
      </c>
      <c r="AO94" s="25" t="str">
        <f>IF('1. Live'!AS112='check-Jul''26'!AO112,"",'1. Live'!AS112-'check-Jul''26'!AO112)</f>
        <v/>
      </c>
      <c r="AP94" s="25" t="str">
        <f>IF('1. Live'!AT112='check-Jul''26'!AP112,"",'1. Live'!AT112-'check-Jul''26'!AP112)</f>
        <v/>
      </c>
      <c r="AQ94" s="25" t="str">
        <f>IF('1. Live'!AU112='check-Jul''26'!AQ112,"",'1. Live'!AU112-'check-Jul''26'!AQ112)</f>
        <v/>
      </c>
      <c r="AR94" s="25" t="str">
        <f>IF('1. Live'!AV112='check-Jul''26'!AR112,"",'1. Live'!AV112-'check-Jul''26'!AR112)</f>
        <v/>
      </c>
      <c r="AS94" s="25" t="str">
        <f>IF('1. Live'!AW112='check-Jul''26'!AS112,"",'1. Live'!AW112-'check-Jul''26'!AS112)</f>
        <v/>
      </c>
      <c r="AT94" s="25" t="str">
        <f>IF('1. Live'!AX112='check-Jul''26'!AT112,"",'1. Live'!AX112-'check-Jul''26'!AT112)</f>
        <v/>
      </c>
      <c r="AU94" s="25" t="str">
        <f>IF('1. Live'!AY112='check-Jul''26'!AU112,"",'1. Live'!AY112-'check-Jul''26'!AU112)</f>
        <v/>
      </c>
      <c r="AV94" s="25" t="str">
        <f>IF('1. Live'!AZ112='check-Jul''26'!AV112,"",'1. Live'!AZ112-'check-Jul''26'!AV112)</f>
        <v/>
      </c>
      <c r="AW94" s="25" t="str">
        <f>IF('1. Live'!BA112='check-Jul''26'!AW112,"",'1. Live'!BA112-'check-Jul''26'!AW112)</f>
        <v/>
      </c>
      <c r="AX94" s="25" t="str">
        <f>IF('1. Live'!BB112='check-Jul''26'!AX112,"",'1. Live'!BB112-'check-Jul''26'!AX112)</f>
        <v/>
      </c>
      <c r="AY94" s="25" t="str">
        <f>IF('1. Live'!BC112='check-Jul''26'!AY112,"",'1. Live'!BC112-'check-Jul''26'!AY112)</f>
        <v/>
      </c>
      <c r="AZ94" s="25" t="str">
        <f>IF('1. Live'!BD112='check-Jul''26'!AZ112,"",'1. Live'!BD112-'check-Jul''26'!AZ112)</f>
        <v/>
      </c>
      <c r="BA94" s="25" t="str">
        <f>IF('1. Live'!BE112='check-Jul''26'!BA112,"",'1. Live'!BE112-'check-Jul''26'!BA112)</f>
        <v/>
      </c>
      <c r="BB94" s="25" t="str">
        <f>IF('1. Live'!BF112='check-Jul''26'!BB112,"",'1. Live'!BF112-'check-Jul''26'!BB112)</f>
        <v/>
      </c>
      <c r="BC94" s="25" t="str">
        <f>IF('1. Live'!BG112='check-Jul''26'!BC112,"",'1. Live'!BG112-'check-Jul''26'!BC112)</f>
        <v/>
      </c>
      <c r="BD94" s="25" t="str">
        <f>IF('1. Live'!BH112='check-Jul''26'!BD112,"",'1. Live'!BH112-'check-Jul''26'!BD112)</f>
        <v/>
      </c>
      <c r="BE94" s="25" t="str">
        <f>IF('1. Live'!BI112='check-Jul''26'!BE112,"",'1. Live'!BI112-'check-Jul''26'!BE112)</f>
        <v/>
      </c>
      <c r="BF94" s="25" t="str">
        <f>IF('1. Live'!BJ112='check-Jul''26'!BF112,"",'1. Live'!BJ112-'check-Jul''26'!BF112)</f>
        <v/>
      </c>
      <c r="BG94" s="25" t="str">
        <f>IF('1. Live'!BK112='check-Jul''26'!BG112,"",'1. Live'!BK112-'check-Jul''26'!BG112)</f>
        <v/>
      </c>
      <c r="BH94" s="25" t="str">
        <f>IF('1. Live'!BL112='check-Jul''26'!BH112,"",'1. Live'!BL112-'check-Jul''26'!BH112)</f>
        <v/>
      </c>
      <c r="BI94" s="25" t="str">
        <f>IF('1. Live'!BM112='check-Jul''26'!BI112,"",'1. Live'!BM112-'check-Jul''26'!BI112)</f>
        <v/>
      </c>
      <c r="BJ94" s="25" t="str">
        <f>IF('1. Live'!BN112='check-Jul''26'!BJ112,"",'1. Live'!BN112-'check-Jul''26'!BJ112)</f>
        <v/>
      </c>
      <c r="BK94" s="25" t="str">
        <f>IF('1. Live'!BO112='check-Jul''26'!BK112,"",'1. Live'!BO112-'check-Jul''26'!BK112)</f>
        <v/>
      </c>
      <c r="BL94" s="25" t="str">
        <f>IF('1. Live'!BP112='check-Jul''26'!BL112,"",'1. Live'!BP112-'check-Jul''26'!BL112)</f>
        <v/>
      </c>
      <c r="BM94" s="25" t="str">
        <f>IF('1. Live'!BQ112='check-Jul''26'!BM112,"",'1. Live'!BQ112-'check-Jul''26'!BM112)</f>
        <v/>
      </c>
      <c r="BN94" s="25" t="str">
        <f>IF('1. Live'!BR112='check-Jul''26'!BN112,"",'1. Live'!BR112-'check-Jul''26'!BN112)</f>
        <v/>
      </c>
      <c r="BO94" s="25" t="str">
        <f>IF('1. Live'!BS112='check-Jul''26'!BO112,"",'1. Live'!BS112-'check-Jul''26'!BO112)</f>
        <v/>
      </c>
      <c r="BP94" s="25" t="str">
        <f>IF('1. Live'!BT112='check-Jul''26'!BP112,"",'1. Live'!BT112-'check-Jul''26'!BP112)</f>
        <v/>
      </c>
      <c r="BQ94" s="25" t="str">
        <f>IF('1. Live'!BU112='check-Jul''26'!BQ112,"",'1. Live'!BU112-'check-Jul''26'!BQ112)</f>
        <v/>
      </c>
      <c r="BR94" s="25" t="str">
        <f>IF('1. Live'!BV112='check-Jul''26'!BR112,"",'1. Live'!BV112-'check-Jul''26'!BR112)</f>
        <v/>
      </c>
      <c r="BS94" s="25" t="str">
        <f>IF('1. Live'!BW112='check-Jul''26'!BS112,"",'1. Live'!BW112-'check-Jul''26'!BS112)</f>
        <v/>
      </c>
      <c r="BT94" s="25" t="str">
        <f>IF('1. Live'!BX112='check-Jul''26'!BT112,"",'1. Live'!BX112-'check-Jul''26'!BT112)</f>
        <v/>
      </c>
      <c r="BU94" s="25" t="str">
        <f>IF('1. Live'!BY112='check-Jul''26'!BU112,"",'1. Live'!BY112-'check-Jul''26'!BU112)</f>
        <v/>
      </c>
      <c r="BV94" s="25" t="str">
        <f>IF('1. Live'!BZ112='check-Jul''26'!BV112,"",'1. Live'!BZ112-'check-Jul''26'!BV112)</f>
        <v/>
      </c>
      <c r="BW94" s="25" t="str">
        <f>IF('1. Live'!CA112='check-Jul''26'!BW112,"",'1. Live'!CA112-'check-Jul''26'!BW112)</f>
        <v/>
      </c>
      <c r="BX94" s="25" t="str">
        <f>IF('1. Live'!CB112='check-Jul''26'!BX112,"",'1. Live'!CB112-'check-Jul''26'!BX112)</f>
        <v/>
      </c>
      <c r="BY94" s="25" t="str">
        <f>IF('1. Live'!CC112='check-Jul''26'!BY112,"",'1. Live'!CC112-'check-Jul''26'!BY112)</f>
        <v/>
      </c>
      <c r="BZ94" s="25" t="str">
        <f>IF('1. Live'!CD112='check-Jul''26'!BZ112,"",'1. Live'!CD112-'check-Jul''26'!BZ112)</f>
        <v/>
      </c>
      <c r="CA94" s="25" t="str">
        <f>IF('1. Live'!CE112='check-Jul''26'!CA112,"",'1. Live'!CE112-'check-Jul''26'!CA112)</f>
        <v/>
      </c>
      <c r="CB94" s="25" t="str">
        <f>IF('1. Live'!CF112='check-Jul''26'!CB112,"",'1. Live'!CF112-'check-Jul''26'!CB112)</f>
        <v/>
      </c>
      <c r="CC94" s="25" t="str">
        <f>IF('1. Live'!CG112='check-Jul''26'!CC112,"",'1. Live'!CG112-'check-Jul''26'!CC112)</f>
        <v/>
      </c>
      <c r="CD94" s="25" t="str">
        <f>IF('1. Live'!CH112='check-Jul''26'!CD112,"",'1. Live'!CH112-'check-Jul''26'!CD112)</f>
        <v/>
      </c>
      <c r="CE94" s="25" t="str">
        <f>IF('1. Live'!CI112='check-Jul''26'!CE112,"",'1. Live'!CI112-'check-Jul''26'!CE112)</f>
        <v/>
      </c>
      <c r="CF94" s="25" t="str">
        <f>IF('1. Live'!CJ112='check-Jul''26'!CF112,"",'1. Live'!CJ112-'check-Jul''26'!CF112)</f>
        <v/>
      </c>
      <c r="CG94" s="25" t="str">
        <f>IF('1. Live'!CK112='check-Jul''26'!CG112,"",'1. Live'!CK112-'check-Jul''26'!CG112)</f>
        <v/>
      </c>
      <c r="CH94" s="25" t="str">
        <f>IF('1. Live'!CL112='check-Jul''26'!CH112,"",'1. Live'!CL112-'check-Jul''26'!CH112)</f>
        <v/>
      </c>
      <c r="CI94" s="25" t="str">
        <f>IF('1. Live'!CM112='check-Jul''26'!CI112,"",'1. Live'!CM112-'check-Jul''26'!CI112)</f>
        <v/>
      </c>
      <c r="CJ94" s="25" t="str">
        <f>IF('1. Live'!CN112='check-Jul''26'!CJ112,"",'1. Live'!CN112-'check-Jul''26'!CJ112)</f>
        <v/>
      </c>
      <c r="CK94" s="25" t="str">
        <f>IF('1. Live'!CO112='check-Jul''26'!CK112,"",'1. Live'!CO112-'check-Jul''26'!CK112)</f>
        <v/>
      </c>
      <c r="CL94" s="25" t="str">
        <f>IF('1. Live'!CP112='check-Jul''26'!CL112,"",'1. Live'!CP112-'check-Jul''26'!CL112)</f>
        <v/>
      </c>
      <c r="CM94" s="25" t="str">
        <f>IF('1. Live'!CQ112='check-Jul''26'!CM112,"",'1. Live'!CQ112-'check-Jul''26'!CM112)</f>
        <v/>
      </c>
      <c r="CN94" s="25" t="str">
        <f>IF('1. Live'!CR112='check-Jul''26'!CN112,"",'1. Live'!CR112-'check-Jul''26'!CN112)</f>
        <v/>
      </c>
      <c r="CO94" s="25" t="str">
        <f>IF('1. Live'!CS112='check-Jul''26'!CO112,"",'1. Live'!CS112-'check-Jul''26'!CO112)</f>
        <v/>
      </c>
      <c r="CP94" s="25" t="str">
        <f>IF('1. Live'!CT112='check-Jul''26'!CP112,"",'1. Live'!CT112-'check-Jul''26'!CP112)</f>
        <v/>
      </c>
      <c r="CQ94" s="25" t="str">
        <f>IF('1. Live'!CU112='check-Jul''26'!CQ112,"",'1. Live'!CU112-'check-Jul''26'!CQ112)</f>
        <v/>
      </c>
      <c r="CR94" s="25" t="str">
        <f>IF('1. Live'!CV112='check-Jul''26'!CR112,"",'1. Live'!CV112-'check-Jul''26'!CR112)</f>
        <v/>
      </c>
      <c r="CS94" s="25" t="str">
        <f>IF('1. Live'!CW112='check-Jul''26'!CS112,"",'1. Live'!CW112-'check-Jul''26'!CS112)</f>
        <v/>
      </c>
      <c r="CT94" s="25" t="str">
        <f>IF('1. Live'!CX112='check-Jul''26'!CT112,"",'1. Live'!CX112-'check-Jul''26'!CT112)</f>
        <v/>
      </c>
      <c r="CU94" s="25" t="str">
        <f>IF('1. Live'!CY112='check-Jul''26'!CU112,"",'1. Live'!CY112-'check-Jul''26'!CU112)</f>
        <v/>
      </c>
      <c r="CV94" s="25" t="str">
        <f>IF('1. Live'!CZ112='check-Jul''26'!CV112,"",'1. Live'!CZ112-'check-Jul''26'!CV112)</f>
        <v/>
      </c>
    </row>
    <row r="95" spans="17:100" x14ac:dyDescent="0.25">
      <c r="Q95" s="26" t="str">
        <f>IF('1. Live'!N113='check-Jul''26'!I113,"",'1. Live'!N113-'check-Jul''26'!I113)</f>
        <v/>
      </c>
      <c r="R95" s="26" t="str">
        <f>IF('1. Live'!O113='check-Jul''26'!J113,"",'1. Live'!O113-'check-Jul''26'!J113)</f>
        <v/>
      </c>
      <c r="S95" s="26" t="str">
        <f>IF('1. Live'!P113='check-Jul''26'!K113,"",'1. Live'!P113-'check-Jul''26'!K113)</f>
        <v/>
      </c>
      <c r="T95" s="26" t="str">
        <f>IF('1. Live'!Q113='check-Jul''26'!L113,"",'1. Live'!Q113-'check-Jul''26'!L113)</f>
        <v/>
      </c>
      <c r="U95" s="80" t="str">
        <f>IF('1. Live'!R113='check-Jul''26'!M113,"",'1. Live'!R113-'check-Jul''26'!M113)</f>
        <v/>
      </c>
      <c r="V95" s="26" t="str">
        <f>IF('1. Live'!S113='check-Jul''26'!N113,"",'1. Live'!S113-'check-Jul''26'!N113)</f>
        <v/>
      </c>
      <c r="W95" s="25" t="str">
        <f>IF('1. Live'!T113='check-Jul''26'!O113,"",'1. Live'!T113-'check-Jul''26'!O113)</f>
        <v/>
      </c>
      <c r="X95" s="25" t="str">
        <f>IF('1. Live'!U113='check-Jul''26'!Q113,"",'1. Live'!U113-'check-Jul''26'!Q113)</f>
        <v/>
      </c>
      <c r="Y95" s="25" t="str">
        <f>IF('1. Live'!V113='check-Jul''26'!R113,"",'1. Live'!V113-'check-Jul''26'!R113)</f>
        <v/>
      </c>
      <c r="Z95" s="25" t="str">
        <f>IF('1. Live'!W113='check-Jul''26'!S113,"",'1. Live'!W113-'check-Jul''26'!S113)</f>
        <v/>
      </c>
      <c r="AA95" s="25" t="str">
        <f>IF('1. Live'!X113='check-Jul''26'!T113,"",'1. Live'!X113-'check-Jul''26'!T113)</f>
        <v/>
      </c>
      <c r="AB95" s="25" t="str">
        <f>IF('1. Live'!AF113='check-Jul''26'!AB113,"",'1. Live'!AF113-'check-Jul''26'!AB113)</f>
        <v/>
      </c>
      <c r="AC95" s="25" t="str">
        <f>IF('1. Live'!AG113='check-Jul''26'!AC113,"",'1. Live'!AG113-'check-Jul''26'!AC113)</f>
        <v/>
      </c>
      <c r="AD95" s="25" t="str">
        <f>IF('1. Live'!AH113='check-Jul''26'!AD113,"",'1. Live'!AH113-'check-Jul''26'!AD113)</f>
        <v/>
      </c>
      <c r="AE95" s="25" t="str">
        <f>IF('1. Live'!AI113='check-Jul''26'!AE113,"",'1. Live'!AI113-'check-Jul''26'!AE113)</f>
        <v/>
      </c>
      <c r="AF95" s="25" t="str">
        <f>IF('1. Live'!AJ113='check-Jul''26'!AF113,"",'1. Live'!AJ113-'check-Jul''26'!AF113)</f>
        <v/>
      </c>
      <c r="AG95" s="25" t="str">
        <f>IF('1. Live'!AK113='check-Jul''26'!AG113,"",'1. Live'!AK113-'check-Jul''26'!AG113)</f>
        <v/>
      </c>
      <c r="AH95" s="25" t="str">
        <f>IF('1. Live'!AL113='check-Jul''26'!AH113,"",'1. Live'!AL113-'check-Jul''26'!AH113)</f>
        <v/>
      </c>
      <c r="AI95" s="25" t="str">
        <f>IF('1. Live'!AM113='check-Jul''26'!AI113,"",'1. Live'!AM113-'check-Jul''26'!AI113)</f>
        <v/>
      </c>
      <c r="AJ95" s="25" t="str">
        <f>IF('1. Live'!AN113='check-Jul''26'!AJ113,"",'1. Live'!AN113-'check-Jul''26'!AJ113)</f>
        <v/>
      </c>
      <c r="AK95" s="25" t="str">
        <f>IF('1. Live'!AO113='check-Jul''26'!AK113,"",'1. Live'!AO113-'check-Jul''26'!AK113)</f>
        <v/>
      </c>
      <c r="AL95" s="25" t="str">
        <f>IF('1. Live'!AP113='check-Jul''26'!AL113,"",'1. Live'!AP113-'check-Jul''26'!AL113)</f>
        <v/>
      </c>
      <c r="AM95" s="25" t="str">
        <f>IF('1. Live'!AQ113='check-Jul''26'!AM113,"",'1. Live'!AQ113-'check-Jul''26'!AM113)</f>
        <v/>
      </c>
      <c r="AN95" s="25" t="str">
        <f>IF('1. Live'!AR113='check-Jul''26'!AN113,"",'1. Live'!AR113-'check-Jul''26'!AN113)</f>
        <v/>
      </c>
      <c r="AO95" s="25" t="str">
        <f>IF('1. Live'!AS113='check-Jul''26'!AO113,"",'1. Live'!AS113-'check-Jul''26'!AO113)</f>
        <v/>
      </c>
      <c r="AP95" s="25" t="str">
        <f>IF('1. Live'!AT113='check-Jul''26'!AP113,"",'1. Live'!AT113-'check-Jul''26'!AP113)</f>
        <v/>
      </c>
      <c r="AQ95" s="25" t="str">
        <f>IF('1. Live'!AU113='check-Jul''26'!AQ113,"",'1. Live'!AU113-'check-Jul''26'!AQ113)</f>
        <v/>
      </c>
      <c r="AR95" s="25" t="str">
        <f>IF('1. Live'!AV113='check-Jul''26'!AR113,"",'1. Live'!AV113-'check-Jul''26'!AR113)</f>
        <v/>
      </c>
      <c r="AS95" s="25" t="str">
        <f>IF('1. Live'!AW113='check-Jul''26'!AS113,"",'1. Live'!AW113-'check-Jul''26'!AS113)</f>
        <v/>
      </c>
      <c r="AT95" s="25" t="str">
        <f>IF('1. Live'!AX113='check-Jul''26'!AT113,"",'1. Live'!AX113-'check-Jul''26'!AT113)</f>
        <v/>
      </c>
      <c r="AU95" s="25" t="str">
        <f>IF('1. Live'!AY113='check-Jul''26'!AU113,"",'1. Live'!AY113-'check-Jul''26'!AU113)</f>
        <v/>
      </c>
      <c r="AV95" s="25" t="str">
        <f>IF('1. Live'!AZ113='check-Jul''26'!AV113,"",'1. Live'!AZ113-'check-Jul''26'!AV113)</f>
        <v/>
      </c>
      <c r="AW95" s="25" t="str">
        <f>IF('1. Live'!BA113='check-Jul''26'!AW113,"",'1. Live'!BA113-'check-Jul''26'!AW113)</f>
        <v/>
      </c>
      <c r="AX95" s="25" t="str">
        <f>IF('1. Live'!BB113='check-Jul''26'!AX113,"",'1. Live'!BB113-'check-Jul''26'!AX113)</f>
        <v/>
      </c>
      <c r="AY95" s="25" t="str">
        <f>IF('1. Live'!BC113='check-Jul''26'!AY113,"",'1. Live'!BC113-'check-Jul''26'!AY113)</f>
        <v/>
      </c>
      <c r="AZ95" s="25" t="str">
        <f>IF('1. Live'!BD113='check-Jul''26'!AZ113,"",'1. Live'!BD113-'check-Jul''26'!AZ113)</f>
        <v/>
      </c>
      <c r="BA95" s="25" t="str">
        <f>IF('1. Live'!BE113='check-Jul''26'!BA113,"",'1. Live'!BE113-'check-Jul''26'!BA113)</f>
        <v/>
      </c>
      <c r="BB95" s="25" t="str">
        <f>IF('1. Live'!BF113='check-Jul''26'!BB113,"",'1. Live'!BF113-'check-Jul''26'!BB113)</f>
        <v/>
      </c>
      <c r="BC95" s="25" t="str">
        <f>IF('1. Live'!BG113='check-Jul''26'!BC113,"",'1. Live'!BG113-'check-Jul''26'!BC113)</f>
        <v/>
      </c>
      <c r="BD95" s="25" t="str">
        <f>IF('1. Live'!BH113='check-Jul''26'!BD113,"",'1. Live'!BH113-'check-Jul''26'!BD113)</f>
        <v/>
      </c>
      <c r="BE95" s="25" t="str">
        <f>IF('1. Live'!BI113='check-Jul''26'!BE113,"",'1. Live'!BI113-'check-Jul''26'!BE113)</f>
        <v/>
      </c>
      <c r="BF95" s="25" t="str">
        <f>IF('1. Live'!BJ113='check-Jul''26'!BF113,"",'1. Live'!BJ113-'check-Jul''26'!BF113)</f>
        <v/>
      </c>
      <c r="BG95" s="25" t="str">
        <f>IF('1. Live'!BK113='check-Jul''26'!BG113,"",'1. Live'!BK113-'check-Jul''26'!BG113)</f>
        <v/>
      </c>
      <c r="BH95" s="25" t="str">
        <f>IF('1. Live'!BL113='check-Jul''26'!BH113,"",'1. Live'!BL113-'check-Jul''26'!BH113)</f>
        <v/>
      </c>
      <c r="BI95" s="25" t="str">
        <f>IF('1. Live'!BM113='check-Jul''26'!BI113,"",'1. Live'!BM113-'check-Jul''26'!BI113)</f>
        <v/>
      </c>
      <c r="BJ95" s="25" t="str">
        <f>IF('1. Live'!BN113='check-Jul''26'!BJ113,"",'1. Live'!BN113-'check-Jul''26'!BJ113)</f>
        <v/>
      </c>
      <c r="BK95" s="25" t="str">
        <f>IF('1. Live'!BO113='check-Jul''26'!BK113,"",'1. Live'!BO113-'check-Jul''26'!BK113)</f>
        <v/>
      </c>
      <c r="BL95" s="25" t="str">
        <f>IF('1. Live'!BP113='check-Jul''26'!BL113,"",'1. Live'!BP113-'check-Jul''26'!BL113)</f>
        <v/>
      </c>
      <c r="BM95" s="25" t="str">
        <f>IF('1. Live'!BQ113='check-Jul''26'!BM113,"",'1. Live'!BQ113-'check-Jul''26'!BM113)</f>
        <v/>
      </c>
      <c r="BN95" s="25" t="str">
        <f>IF('1. Live'!BR113='check-Jul''26'!BN113,"",'1. Live'!BR113-'check-Jul''26'!BN113)</f>
        <v/>
      </c>
      <c r="BO95" s="25" t="str">
        <f>IF('1. Live'!BS113='check-Jul''26'!BO113,"",'1. Live'!BS113-'check-Jul''26'!BO113)</f>
        <v/>
      </c>
      <c r="BP95" s="25" t="str">
        <f>IF('1. Live'!BT113='check-Jul''26'!BP113,"",'1. Live'!BT113-'check-Jul''26'!BP113)</f>
        <v/>
      </c>
      <c r="BQ95" s="25" t="str">
        <f>IF('1. Live'!BU113='check-Jul''26'!BQ113,"",'1. Live'!BU113-'check-Jul''26'!BQ113)</f>
        <v/>
      </c>
      <c r="BR95" s="25" t="str">
        <f>IF('1. Live'!BV113='check-Jul''26'!BR113,"",'1. Live'!BV113-'check-Jul''26'!BR113)</f>
        <v/>
      </c>
      <c r="BS95" s="25" t="str">
        <f>IF('1. Live'!BW113='check-Jul''26'!BS113,"",'1. Live'!BW113-'check-Jul''26'!BS113)</f>
        <v/>
      </c>
      <c r="BT95" s="25" t="str">
        <f>IF('1. Live'!BX113='check-Jul''26'!BT113,"",'1. Live'!BX113-'check-Jul''26'!BT113)</f>
        <v/>
      </c>
      <c r="BU95" s="25" t="str">
        <f>IF('1. Live'!BY113='check-Jul''26'!BU113,"",'1. Live'!BY113-'check-Jul''26'!BU113)</f>
        <v/>
      </c>
      <c r="BV95" s="25" t="str">
        <f>IF('1. Live'!BZ113='check-Jul''26'!BV113,"",'1. Live'!BZ113-'check-Jul''26'!BV113)</f>
        <v/>
      </c>
      <c r="BW95" s="25" t="str">
        <f>IF('1. Live'!CA113='check-Jul''26'!BW113,"",'1. Live'!CA113-'check-Jul''26'!BW113)</f>
        <v/>
      </c>
      <c r="BX95" s="25" t="str">
        <f>IF('1. Live'!CB113='check-Jul''26'!BX113,"",'1. Live'!CB113-'check-Jul''26'!BX113)</f>
        <v/>
      </c>
      <c r="BY95" s="25" t="str">
        <f>IF('1. Live'!CC113='check-Jul''26'!BY113,"",'1. Live'!CC113-'check-Jul''26'!BY113)</f>
        <v/>
      </c>
      <c r="BZ95" s="25" t="str">
        <f>IF('1. Live'!CD113='check-Jul''26'!BZ113,"",'1. Live'!CD113-'check-Jul''26'!BZ113)</f>
        <v/>
      </c>
      <c r="CA95" s="25" t="str">
        <f>IF('1. Live'!CE113='check-Jul''26'!CA113,"",'1. Live'!CE113-'check-Jul''26'!CA113)</f>
        <v/>
      </c>
      <c r="CB95" s="25" t="str">
        <f>IF('1. Live'!CF113='check-Jul''26'!CB113,"",'1. Live'!CF113-'check-Jul''26'!CB113)</f>
        <v/>
      </c>
      <c r="CC95" s="25" t="str">
        <f>IF('1. Live'!CG113='check-Jul''26'!CC113,"",'1. Live'!CG113-'check-Jul''26'!CC113)</f>
        <v/>
      </c>
      <c r="CD95" s="25" t="str">
        <f>IF('1. Live'!CH113='check-Jul''26'!CD113,"",'1. Live'!CH113-'check-Jul''26'!CD113)</f>
        <v/>
      </c>
      <c r="CE95" s="25" t="str">
        <f>IF('1. Live'!CI113='check-Jul''26'!CE113,"",'1. Live'!CI113-'check-Jul''26'!CE113)</f>
        <v/>
      </c>
      <c r="CF95" s="25" t="str">
        <f>IF('1. Live'!CJ113='check-Jul''26'!CF113,"",'1. Live'!CJ113-'check-Jul''26'!CF113)</f>
        <v/>
      </c>
      <c r="CG95" s="25" t="str">
        <f>IF('1. Live'!CK113='check-Jul''26'!CG113,"",'1. Live'!CK113-'check-Jul''26'!CG113)</f>
        <v/>
      </c>
      <c r="CH95" s="25" t="str">
        <f>IF('1. Live'!CL113='check-Jul''26'!CH113,"",'1. Live'!CL113-'check-Jul''26'!CH113)</f>
        <v/>
      </c>
      <c r="CI95" s="25" t="str">
        <f>IF('1. Live'!CM113='check-Jul''26'!CI113,"",'1. Live'!CM113-'check-Jul''26'!CI113)</f>
        <v/>
      </c>
      <c r="CJ95" s="25" t="str">
        <f>IF('1. Live'!CN113='check-Jul''26'!CJ113,"",'1. Live'!CN113-'check-Jul''26'!CJ113)</f>
        <v/>
      </c>
      <c r="CK95" s="25" t="str">
        <f>IF('1. Live'!CO113='check-Jul''26'!CK113,"",'1. Live'!CO113-'check-Jul''26'!CK113)</f>
        <v/>
      </c>
      <c r="CL95" s="25" t="str">
        <f>IF('1. Live'!CP113='check-Jul''26'!CL113,"",'1. Live'!CP113-'check-Jul''26'!CL113)</f>
        <v/>
      </c>
      <c r="CM95" s="25" t="str">
        <f>IF('1. Live'!CQ113='check-Jul''26'!CM113,"",'1. Live'!CQ113-'check-Jul''26'!CM113)</f>
        <v/>
      </c>
      <c r="CN95" s="25" t="str">
        <f>IF('1. Live'!CR113='check-Jul''26'!CN113,"",'1. Live'!CR113-'check-Jul''26'!CN113)</f>
        <v/>
      </c>
      <c r="CO95" s="25" t="str">
        <f>IF('1. Live'!CS113='check-Jul''26'!CO113,"",'1. Live'!CS113-'check-Jul''26'!CO113)</f>
        <v/>
      </c>
      <c r="CP95" s="25" t="str">
        <f>IF('1. Live'!CT113='check-Jul''26'!CP113,"",'1. Live'!CT113-'check-Jul''26'!CP113)</f>
        <v/>
      </c>
      <c r="CQ95" s="25" t="str">
        <f>IF('1. Live'!CU113='check-Jul''26'!CQ113,"",'1. Live'!CU113-'check-Jul''26'!CQ113)</f>
        <v/>
      </c>
      <c r="CR95" s="25" t="str">
        <f>IF('1. Live'!CV113='check-Jul''26'!CR113,"",'1. Live'!CV113-'check-Jul''26'!CR113)</f>
        <v/>
      </c>
      <c r="CS95" s="25" t="str">
        <f>IF('1. Live'!CW113='check-Jul''26'!CS113,"",'1. Live'!CW113-'check-Jul''26'!CS113)</f>
        <v/>
      </c>
      <c r="CT95" s="25" t="str">
        <f>IF('1. Live'!CX113='check-Jul''26'!CT113,"",'1. Live'!CX113-'check-Jul''26'!CT113)</f>
        <v/>
      </c>
      <c r="CU95" s="25" t="str">
        <f>IF('1. Live'!CY113='check-Jul''26'!CU113,"",'1. Live'!CY113-'check-Jul''26'!CU113)</f>
        <v/>
      </c>
      <c r="CV95" s="25" t="str">
        <f>IF('1. Live'!CZ113='check-Jul''26'!CV113,"",'1. Live'!CZ113-'check-Jul''26'!CV113)</f>
        <v/>
      </c>
    </row>
    <row r="96" spans="17:100" x14ac:dyDescent="0.25">
      <c r="Q96" s="26" t="str">
        <f>IF('1. Live'!N114='check-Jul''26'!I114,"",'1. Live'!N114-'check-Jul''26'!I114)</f>
        <v/>
      </c>
      <c r="R96" s="26" t="str">
        <f>IF('1. Live'!O114='check-Jul''26'!J114,"",'1. Live'!O114-'check-Jul''26'!J114)</f>
        <v/>
      </c>
      <c r="S96" s="26" t="str">
        <f>IF('1. Live'!P114='check-Jul''26'!K114,"",'1. Live'!P114-'check-Jul''26'!K114)</f>
        <v/>
      </c>
      <c r="T96" s="26" t="str">
        <f>IF('1. Live'!Q114='check-Jul''26'!L114,"",'1. Live'!Q114-'check-Jul''26'!L114)</f>
        <v/>
      </c>
      <c r="U96" s="80" t="str">
        <f>IF('1. Live'!R114='check-Jul''26'!M114,"",'1. Live'!R114-'check-Jul''26'!M114)</f>
        <v/>
      </c>
      <c r="V96" s="26" t="str">
        <f>IF('1. Live'!S114='check-Jul''26'!N114,"",'1. Live'!S114-'check-Jul''26'!N114)</f>
        <v/>
      </c>
      <c r="W96" s="25" t="str">
        <f>IF('1. Live'!T114='check-Jul''26'!O114,"",'1. Live'!T114-'check-Jul''26'!O114)</f>
        <v/>
      </c>
      <c r="X96" s="25" t="str">
        <f>IF('1. Live'!U114='check-Jul''26'!Q114,"",'1. Live'!U114-'check-Jul''26'!Q114)</f>
        <v/>
      </c>
      <c r="Y96" s="25" t="str">
        <f>IF('1. Live'!V114='check-Jul''26'!R114,"",'1. Live'!V114-'check-Jul''26'!R114)</f>
        <v/>
      </c>
      <c r="Z96" s="25" t="str">
        <f>IF('1. Live'!W114='check-Jul''26'!S114,"",'1. Live'!W114-'check-Jul''26'!S114)</f>
        <v/>
      </c>
      <c r="AA96" s="25" t="str">
        <f>IF('1. Live'!X114='check-Jul''26'!T114,"",'1. Live'!X114-'check-Jul''26'!T114)</f>
        <v/>
      </c>
      <c r="AB96" s="25" t="str">
        <f>IF('1. Live'!AF114='check-Jul''26'!AB114,"",'1. Live'!AF114-'check-Jul''26'!AB114)</f>
        <v/>
      </c>
      <c r="AC96" s="25" t="str">
        <f>IF('1. Live'!AG114='check-Jul''26'!AC114,"",'1. Live'!AG114-'check-Jul''26'!AC114)</f>
        <v/>
      </c>
      <c r="AD96" s="25" t="str">
        <f>IF('1. Live'!AH114='check-Jul''26'!AD114,"",'1. Live'!AH114-'check-Jul''26'!AD114)</f>
        <v/>
      </c>
      <c r="AE96" s="25" t="str">
        <f>IF('1. Live'!AI114='check-Jul''26'!AE114,"",'1. Live'!AI114-'check-Jul''26'!AE114)</f>
        <v/>
      </c>
      <c r="AF96" s="25" t="str">
        <f>IF('1. Live'!AJ114='check-Jul''26'!AF114,"",'1. Live'!AJ114-'check-Jul''26'!AF114)</f>
        <v/>
      </c>
      <c r="AG96" s="25" t="str">
        <f>IF('1. Live'!AK114='check-Jul''26'!AG114,"",'1. Live'!AK114-'check-Jul''26'!AG114)</f>
        <v/>
      </c>
      <c r="AH96" s="25" t="str">
        <f>IF('1. Live'!AL114='check-Jul''26'!AH114,"",'1. Live'!AL114-'check-Jul''26'!AH114)</f>
        <v/>
      </c>
      <c r="AI96" s="25" t="str">
        <f>IF('1. Live'!AM114='check-Jul''26'!AI114,"",'1. Live'!AM114-'check-Jul''26'!AI114)</f>
        <v/>
      </c>
      <c r="AJ96" s="25" t="str">
        <f>IF('1. Live'!AN114='check-Jul''26'!AJ114,"",'1. Live'!AN114-'check-Jul''26'!AJ114)</f>
        <v/>
      </c>
      <c r="AK96" s="25" t="str">
        <f>IF('1. Live'!AO114='check-Jul''26'!AK114,"",'1. Live'!AO114-'check-Jul''26'!AK114)</f>
        <v/>
      </c>
      <c r="AL96" s="25" t="str">
        <f>IF('1. Live'!AP114='check-Jul''26'!AL114,"",'1. Live'!AP114-'check-Jul''26'!AL114)</f>
        <v/>
      </c>
      <c r="AM96" s="25" t="str">
        <f>IF('1. Live'!AQ114='check-Jul''26'!AM114,"",'1. Live'!AQ114-'check-Jul''26'!AM114)</f>
        <v/>
      </c>
      <c r="AN96" s="25" t="str">
        <f>IF('1. Live'!AR114='check-Jul''26'!AN114,"",'1. Live'!AR114-'check-Jul''26'!AN114)</f>
        <v/>
      </c>
      <c r="AO96" s="25" t="str">
        <f>IF('1. Live'!AS114='check-Jul''26'!AO114,"",'1. Live'!AS114-'check-Jul''26'!AO114)</f>
        <v/>
      </c>
      <c r="AP96" s="25" t="str">
        <f>IF('1. Live'!AT114='check-Jul''26'!AP114,"",'1. Live'!AT114-'check-Jul''26'!AP114)</f>
        <v/>
      </c>
      <c r="AQ96" s="25" t="str">
        <f>IF('1. Live'!AU114='check-Jul''26'!AQ114,"",'1. Live'!AU114-'check-Jul''26'!AQ114)</f>
        <v/>
      </c>
      <c r="AR96" s="25" t="str">
        <f>IF('1. Live'!AV114='check-Jul''26'!AR114,"",'1. Live'!AV114-'check-Jul''26'!AR114)</f>
        <v/>
      </c>
      <c r="AS96" s="25" t="str">
        <f>IF('1. Live'!AW114='check-Jul''26'!AS114,"",'1. Live'!AW114-'check-Jul''26'!AS114)</f>
        <v/>
      </c>
      <c r="AT96" s="25" t="str">
        <f>IF('1. Live'!AX114='check-Jul''26'!AT114,"",'1. Live'!AX114-'check-Jul''26'!AT114)</f>
        <v/>
      </c>
      <c r="AU96" s="25" t="str">
        <f>IF('1. Live'!AY114='check-Jul''26'!AU114,"",'1. Live'!AY114-'check-Jul''26'!AU114)</f>
        <v/>
      </c>
      <c r="AV96" s="25" t="str">
        <f>IF('1. Live'!AZ114='check-Jul''26'!AV114,"",'1. Live'!AZ114-'check-Jul''26'!AV114)</f>
        <v/>
      </c>
      <c r="AW96" s="25" t="str">
        <f>IF('1. Live'!BA114='check-Jul''26'!AW114,"",'1. Live'!BA114-'check-Jul''26'!AW114)</f>
        <v/>
      </c>
      <c r="AX96" s="25" t="str">
        <f>IF('1. Live'!BB114='check-Jul''26'!AX114,"",'1. Live'!BB114-'check-Jul''26'!AX114)</f>
        <v/>
      </c>
      <c r="AY96" s="25" t="str">
        <f>IF('1. Live'!BC114='check-Jul''26'!AY114,"",'1. Live'!BC114-'check-Jul''26'!AY114)</f>
        <v/>
      </c>
      <c r="AZ96" s="25" t="str">
        <f>IF('1. Live'!BD114='check-Jul''26'!AZ114,"",'1. Live'!BD114-'check-Jul''26'!AZ114)</f>
        <v/>
      </c>
      <c r="BA96" s="25" t="str">
        <f>IF('1. Live'!BE114='check-Jul''26'!BA114,"",'1. Live'!BE114-'check-Jul''26'!BA114)</f>
        <v/>
      </c>
      <c r="BB96" s="25" t="str">
        <f>IF('1. Live'!BF114='check-Jul''26'!BB114,"",'1. Live'!BF114-'check-Jul''26'!BB114)</f>
        <v/>
      </c>
      <c r="BC96" s="25" t="str">
        <f>IF('1. Live'!BG114='check-Jul''26'!BC114,"",'1. Live'!BG114-'check-Jul''26'!BC114)</f>
        <v/>
      </c>
      <c r="BD96" s="25" t="str">
        <f>IF('1. Live'!BH114='check-Jul''26'!BD114,"",'1. Live'!BH114-'check-Jul''26'!BD114)</f>
        <v/>
      </c>
      <c r="BE96" s="25" t="str">
        <f>IF('1. Live'!BI114='check-Jul''26'!BE114,"",'1. Live'!BI114-'check-Jul''26'!BE114)</f>
        <v/>
      </c>
      <c r="BF96" s="25" t="str">
        <f>IF('1. Live'!BJ114='check-Jul''26'!BF114,"",'1. Live'!BJ114-'check-Jul''26'!BF114)</f>
        <v/>
      </c>
      <c r="BG96" s="25" t="str">
        <f>IF('1. Live'!BK114='check-Jul''26'!BG114,"",'1. Live'!BK114-'check-Jul''26'!BG114)</f>
        <v/>
      </c>
      <c r="BH96" s="25" t="str">
        <f>IF('1. Live'!BL114='check-Jul''26'!BH114,"",'1. Live'!BL114-'check-Jul''26'!BH114)</f>
        <v/>
      </c>
      <c r="BI96" s="25" t="str">
        <f>IF('1. Live'!BM114='check-Jul''26'!BI114,"",'1. Live'!BM114-'check-Jul''26'!BI114)</f>
        <v/>
      </c>
      <c r="BJ96" s="25" t="str">
        <f>IF('1. Live'!BN114='check-Jul''26'!BJ114,"",'1. Live'!BN114-'check-Jul''26'!BJ114)</f>
        <v/>
      </c>
      <c r="BK96" s="25" t="str">
        <f>IF('1. Live'!BO114='check-Jul''26'!BK114,"",'1. Live'!BO114-'check-Jul''26'!BK114)</f>
        <v/>
      </c>
      <c r="BL96" s="25" t="str">
        <f>IF('1. Live'!BP114='check-Jul''26'!BL114,"",'1. Live'!BP114-'check-Jul''26'!BL114)</f>
        <v/>
      </c>
      <c r="BM96" s="25" t="str">
        <f>IF('1. Live'!BQ114='check-Jul''26'!BM114,"",'1. Live'!BQ114-'check-Jul''26'!BM114)</f>
        <v/>
      </c>
      <c r="BN96" s="25" t="str">
        <f>IF('1. Live'!BR114='check-Jul''26'!BN114,"",'1. Live'!BR114-'check-Jul''26'!BN114)</f>
        <v/>
      </c>
      <c r="BO96" s="25" t="str">
        <f>IF('1. Live'!BS114='check-Jul''26'!BO114,"",'1. Live'!BS114-'check-Jul''26'!BO114)</f>
        <v/>
      </c>
      <c r="BP96" s="25" t="str">
        <f>IF('1. Live'!BT114='check-Jul''26'!BP114,"",'1. Live'!BT114-'check-Jul''26'!BP114)</f>
        <v/>
      </c>
      <c r="BQ96" s="25" t="str">
        <f>IF('1. Live'!BU114='check-Jul''26'!BQ114,"",'1. Live'!BU114-'check-Jul''26'!BQ114)</f>
        <v/>
      </c>
      <c r="BR96" s="25" t="str">
        <f>IF('1. Live'!BV114='check-Jul''26'!BR114,"",'1. Live'!BV114-'check-Jul''26'!BR114)</f>
        <v/>
      </c>
      <c r="BS96" s="25" t="str">
        <f>IF('1. Live'!BW114='check-Jul''26'!BS114,"",'1. Live'!BW114-'check-Jul''26'!BS114)</f>
        <v/>
      </c>
      <c r="BT96" s="25" t="str">
        <f>IF('1. Live'!BX114='check-Jul''26'!BT114,"",'1. Live'!BX114-'check-Jul''26'!BT114)</f>
        <v/>
      </c>
      <c r="BU96" s="25" t="str">
        <f>IF('1. Live'!BY114='check-Jul''26'!BU114,"",'1. Live'!BY114-'check-Jul''26'!BU114)</f>
        <v/>
      </c>
      <c r="BV96" s="25" t="str">
        <f>IF('1. Live'!BZ114='check-Jul''26'!BV114,"",'1. Live'!BZ114-'check-Jul''26'!BV114)</f>
        <v/>
      </c>
      <c r="BW96" s="25" t="str">
        <f>IF('1. Live'!CA114='check-Jul''26'!BW114,"",'1. Live'!CA114-'check-Jul''26'!BW114)</f>
        <v/>
      </c>
      <c r="BX96" s="25" t="str">
        <f>IF('1. Live'!CB114='check-Jul''26'!BX114,"",'1. Live'!CB114-'check-Jul''26'!BX114)</f>
        <v/>
      </c>
      <c r="BY96" s="25" t="str">
        <f>IF('1. Live'!CC114='check-Jul''26'!BY114,"",'1. Live'!CC114-'check-Jul''26'!BY114)</f>
        <v/>
      </c>
      <c r="BZ96" s="25" t="str">
        <f>IF('1. Live'!CD114='check-Jul''26'!BZ114,"",'1. Live'!CD114-'check-Jul''26'!BZ114)</f>
        <v/>
      </c>
      <c r="CA96" s="25" t="str">
        <f>IF('1. Live'!CE114='check-Jul''26'!CA114,"",'1. Live'!CE114-'check-Jul''26'!CA114)</f>
        <v/>
      </c>
      <c r="CB96" s="25" t="str">
        <f>IF('1. Live'!CF114='check-Jul''26'!CB114,"",'1. Live'!CF114-'check-Jul''26'!CB114)</f>
        <v/>
      </c>
      <c r="CC96" s="25" t="str">
        <f>IF('1. Live'!CG114='check-Jul''26'!CC114,"",'1. Live'!CG114-'check-Jul''26'!CC114)</f>
        <v/>
      </c>
      <c r="CD96" s="25" t="str">
        <f>IF('1. Live'!CH114='check-Jul''26'!CD114,"",'1. Live'!CH114-'check-Jul''26'!CD114)</f>
        <v/>
      </c>
      <c r="CE96" s="25" t="str">
        <f>IF('1. Live'!CI114='check-Jul''26'!CE114,"",'1. Live'!CI114-'check-Jul''26'!CE114)</f>
        <v/>
      </c>
      <c r="CF96" s="25" t="str">
        <f>IF('1. Live'!CJ114='check-Jul''26'!CF114,"",'1. Live'!CJ114-'check-Jul''26'!CF114)</f>
        <v/>
      </c>
      <c r="CG96" s="25" t="str">
        <f>IF('1. Live'!CK114='check-Jul''26'!CG114,"",'1. Live'!CK114-'check-Jul''26'!CG114)</f>
        <v/>
      </c>
      <c r="CH96" s="25" t="str">
        <f>IF('1. Live'!CL114='check-Jul''26'!CH114,"",'1. Live'!CL114-'check-Jul''26'!CH114)</f>
        <v/>
      </c>
      <c r="CI96" s="25" t="str">
        <f>IF('1. Live'!CM114='check-Jul''26'!CI114,"",'1. Live'!CM114-'check-Jul''26'!CI114)</f>
        <v/>
      </c>
      <c r="CJ96" s="25" t="str">
        <f>IF('1. Live'!CN114='check-Jul''26'!CJ114,"",'1. Live'!CN114-'check-Jul''26'!CJ114)</f>
        <v/>
      </c>
      <c r="CK96" s="25" t="str">
        <f>IF('1. Live'!CO114='check-Jul''26'!CK114,"",'1. Live'!CO114-'check-Jul''26'!CK114)</f>
        <v/>
      </c>
      <c r="CL96" s="25" t="str">
        <f>IF('1. Live'!CP114='check-Jul''26'!CL114,"",'1. Live'!CP114-'check-Jul''26'!CL114)</f>
        <v/>
      </c>
      <c r="CM96" s="25" t="str">
        <f>IF('1. Live'!CQ114='check-Jul''26'!CM114,"",'1. Live'!CQ114-'check-Jul''26'!CM114)</f>
        <v/>
      </c>
      <c r="CN96" s="25" t="str">
        <f>IF('1. Live'!CR114='check-Jul''26'!CN114,"",'1. Live'!CR114-'check-Jul''26'!CN114)</f>
        <v/>
      </c>
      <c r="CO96" s="25" t="str">
        <f>IF('1. Live'!CS114='check-Jul''26'!CO114,"",'1. Live'!CS114-'check-Jul''26'!CO114)</f>
        <v/>
      </c>
      <c r="CP96" s="25" t="str">
        <f>IF('1. Live'!CT114='check-Jul''26'!CP114,"",'1. Live'!CT114-'check-Jul''26'!CP114)</f>
        <v/>
      </c>
      <c r="CQ96" s="25" t="str">
        <f>IF('1. Live'!CU114='check-Jul''26'!CQ114,"",'1. Live'!CU114-'check-Jul''26'!CQ114)</f>
        <v/>
      </c>
      <c r="CR96" s="25" t="str">
        <f>IF('1. Live'!CV114='check-Jul''26'!CR114,"",'1. Live'!CV114-'check-Jul''26'!CR114)</f>
        <v/>
      </c>
      <c r="CS96" s="25" t="str">
        <f>IF('1. Live'!CW114='check-Jul''26'!CS114,"",'1. Live'!CW114-'check-Jul''26'!CS114)</f>
        <v/>
      </c>
      <c r="CT96" s="25" t="str">
        <f>IF('1. Live'!CX114='check-Jul''26'!CT114,"",'1. Live'!CX114-'check-Jul''26'!CT114)</f>
        <v/>
      </c>
      <c r="CU96" s="25" t="str">
        <f>IF('1. Live'!CY114='check-Jul''26'!CU114,"",'1. Live'!CY114-'check-Jul''26'!CU114)</f>
        <v/>
      </c>
      <c r="CV96" s="25" t="str">
        <f>IF('1. Live'!CZ114='check-Jul''26'!CV114,"",'1. Live'!CZ114-'check-Jul''26'!CV114)</f>
        <v/>
      </c>
    </row>
    <row r="97" spans="17:100" x14ac:dyDescent="0.25">
      <c r="Q97" s="26" t="str">
        <f>IF('1. Live'!N115='check-Jul''26'!I115,"",'1. Live'!N115-'check-Jul''26'!I115)</f>
        <v/>
      </c>
      <c r="R97" s="26" t="str">
        <f>IF('1. Live'!O115='check-Jul''26'!J115,"",'1. Live'!O115-'check-Jul''26'!J115)</f>
        <v/>
      </c>
      <c r="S97" s="26" t="str">
        <f>IF('1. Live'!P115='check-Jul''26'!K115,"",'1. Live'!P115-'check-Jul''26'!K115)</f>
        <v/>
      </c>
      <c r="T97" s="26" t="str">
        <f>IF('1. Live'!Q115='check-Jul''26'!L115,"",'1. Live'!Q115-'check-Jul''26'!L115)</f>
        <v/>
      </c>
      <c r="U97" s="80" t="str">
        <f>IF('1. Live'!R115='check-Jul''26'!M115,"",'1. Live'!R115-'check-Jul''26'!M115)</f>
        <v/>
      </c>
      <c r="V97" s="26" t="str">
        <f>IF('1. Live'!S115='check-Jul''26'!N115,"",'1. Live'!S115-'check-Jul''26'!N115)</f>
        <v/>
      </c>
      <c r="W97" s="25" t="str">
        <f>IF('1. Live'!T115='check-Jul''26'!O115,"",'1. Live'!T115-'check-Jul''26'!O115)</f>
        <v/>
      </c>
      <c r="X97" s="25" t="str">
        <f>IF('1. Live'!U115='check-Jul''26'!Q115,"",'1. Live'!U115-'check-Jul''26'!Q115)</f>
        <v/>
      </c>
      <c r="Y97" s="25" t="str">
        <f>IF('1. Live'!V115='check-Jul''26'!R115,"",'1. Live'!V115-'check-Jul''26'!R115)</f>
        <v/>
      </c>
      <c r="Z97" s="25" t="str">
        <f>IF('1. Live'!W115='check-Jul''26'!S115,"",'1. Live'!W115-'check-Jul''26'!S115)</f>
        <v/>
      </c>
      <c r="AA97" s="25" t="str">
        <f>IF('1. Live'!X115='check-Jul''26'!T115,"",'1. Live'!X115-'check-Jul''26'!T115)</f>
        <v/>
      </c>
      <c r="AB97" s="25" t="str">
        <f>IF('1. Live'!AF115='check-Jul''26'!AB115,"",'1. Live'!AF115-'check-Jul''26'!AB115)</f>
        <v/>
      </c>
      <c r="AC97" s="25" t="str">
        <f>IF('1. Live'!AG115='check-Jul''26'!AC115,"",'1. Live'!AG115-'check-Jul''26'!AC115)</f>
        <v/>
      </c>
      <c r="AD97" s="25" t="str">
        <f>IF('1. Live'!AH115='check-Jul''26'!AD115,"",'1. Live'!AH115-'check-Jul''26'!AD115)</f>
        <v/>
      </c>
      <c r="AE97" s="25" t="str">
        <f>IF('1. Live'!AI115='check-Jul''26'!AE115,"",'1. Live'!AI115-'check-Jul''26'!AE115)</f>
        <v/>
      </c>
      <c r="AF97" s="25" t="str">
        <f>IF('1. Live'!AJ115='check-Jul''26'!AF115,"",'1. Live'!AJ115-'check-Jul''26'!AF115)</f>
        <v/>
      </c>
      <c r="AG97" s="25" t="str">
        <f>IF('1. Live'!AK115='check-Jul''26'!AG115,"",'1. Live'!AK115-'check-Jul''26'!AG115)</f>
        <v/>
      </c>
      <c r="AH97" s="25" t="str">
        <f>IF('1. Live'!AL115='check-Jul''26'!AH115,"",'1. Live'!AL115-'check-Jul''26'!AH115)</f>
        <v/>
      </c>
      <c r="AI97" s="25" t="str">
        <f>IF('1. Live'!AM115='check-Jul''26'!AI115,"",'1. Live'!AM115-'check-Jul''26'!AI115)</f>
        <v/>
      </c>
      <c r="AJ97" s="25" t="str">
        <f>IF('1. Live'!AN115='check-Jul''26'!AJ115,"",'1. Live'!AN115-'check-Jul''26'!AJ115)</f>
        <v/>
      </c>
      <c r="AK97" s="25" t="str">
        <f>IF('1. Live'!AO115='check-Jul''26'!AK115,"",'1. Live'!AO115-'check-Jul''26'!AK115)</f>
        <v/>
      </c>
      <c r="AL97" s="25" t="str">
        <f>IF('1. Live'!AP115='check-Jul''26'!AL115,"",'1. Live'!AP115-'check-Jul''26'!AL115)</f>
        <v/>
      </c>
      <c r="AM97" s="25" t="str">
        <f>IF('1. Live'!AQ115='check-Jul''26'!AM115,"",'1. Live'!AQ115-'check-Jul''26'!AM115)</f>
        <v/>
      </c>
      <c r="AN97" s="25" t="str">
        <f>IF('1. Live'!AR115='check-Jul''26'!AN115,"",'1. Live'!AR115-'check-Jul''26'!AN115)</f>
        <v/>
      </c>
      <c r="AO97" s="25" t="str">
        <f>IF('1. Live'!AS115='check-Jul''26'!AO115,"",'1. Live'!AS115-'check-Jul''26'!AO115)</f>
        <v/>
      </c>
      <c r="AP97" s="25" t="str">
        <f>IF('1. Live'!AT115='check-Jul''26'!AP115,"",'1. Live'!AT115-'check-Jul''26'!AP115)</f>
        <v/>
      </c>
      <c r="AQ97" s="25" t="str">
        <f>IF('1. Live'!AU115='check-Jul''26'!AQ115,"",'1. Live'!AU115-'check-Jul''26'!AQ115)</f>
        <v/>
      </c>
      <c r="AR97" s="25" t="str">
        <f>IF('1. Live'!AV115='check-Jul''26'!AR115,"",'1. Live'!AV115-'check-Jul''26'!AR115)</f>
        <v/>
      </c>
      <c r="AS97" s="25" t="str">
        <f>IF('1. Live'!AW115='check-Jul''26'!AS115,"",'1. Live'!AW115-'check-Jul''26'!AS115)</f>
        <v/>
      </c>
      <c r="AT97" s="25" t="str">
        <f>IF('1. Live'!AX115='check-Jul''26'!AT115,"",'1. Live'!AX115-'check-Jul''26'!AT115)</f>
        <v/>
      </c>
      <c r="AU97" s="25" t="str">
        <f>IF('1. Live'!AY115='check-Jul''26'!AU115,"",'1. Live'!AY115-'check-Jul''26'!AU115)</f>
        <v/>
      </c>
      <c r="AV97" s="25" t="str">
        <f>IF('1. Live'!AZ115='check-Jul''26'!AV115,"",'1. Live'!AZ115-'check-Jul''26'!AV115)</f>
        <v/>
      </c>
      <c r="AW97" s="25" t="str">
        <f>IF('1. Live'!BA115='check-Jul''26'!AW115,"",'1. Live'!BA115-'check-Jul''26'!AW115)</f>
        <v/>
      </c>
      <c r="AX97" s="25" t="str">
        <f>IF('1. Live'!BB115='check-Jul''26'!AX115,"",'1. Live'!BB115-'check-Jul''26'!AX115)</f>
        <v/>
      </c>
      <c r="AY97" s="25" t="str">
        <f>IF('1. Live'!BC115='check-Jul''26'!AY115,"",'1. Live'!BC115-'check-Jul''26'!AY115)</f>
        <v/>
      </c>
      <c r="AZ97" s="25" t="str">
        <f>IF('1. Live'!BD115='check-Jul''26'!AZ115,"",'1. Live'!BD115-'check-Jul''26'!AZ115)</f>
        <v/>
      </c>
      <c r="BA97" s="25" t="str">
        <f>IF('1. Live'!BE115='check-Jul''26'!BA115,"",'1. Live'!BE115-'check-Jul''26'!BA115)</f>
        <v/>
      </c>
      <c r="BB97" s="25" t="str">
        <f>IF('1. Live'!BF115='check-Jul''26'!BB115,"",'1. Live'!BF115-'check-Jul''26'!BB115)</f>
        <v/>
      </c>
      <c r="BC97" s="25" t="str">
        <f>IF('1. Live'!BG115='check-Jul''26'!BC115,"",'1. Live'!BG115-'check-Jul''26'!BC115)</f>
        <v/>
      </c>
      <c r="BD97" s="25" t="str">
        <f>IF('1. Live'!BH115='check-Jul''26'!BD115,"",'1. Live'!BH115-'check-Jul''26'!BD115)</f>
        <v/>
      </c>
      <c r="BE97" s="25" t="str">
        <f>IF('1. Live'!BI115='check-Jul''26'!BE115,"",'1. Live'!BI115-'check-Jul''26'!BE115)</f>
        <v/>
      </c>
      <c r="BF97" s="25" t="str">
        <f>IF('1. Live'!BJ115='check-Jul''26'!BF115,"",'1. Live'!BJ115-'check-Jul''26'!BF115)</f>
        <v/>
      </c>
      <c r="BG97" s="25" t="str">
        <f>IF('1. Live'!BK115='check-Jul''26'!BG115,"",'1. Live'!BK115-'check-Jul''26'!BG115)</f>
        <v/>
      </c>
      <c r="BH97" s="25" t="str">
        <f>IF('1. Live'!BL115='check-Jul''26'!BH115,"",'1. Live'!BL115-'check-Jul''26'!BH115)</f>
        <v/>
      </c>
      <c r="BI97" s="25" t="str">
        <f>IF('1. Live'!BM115='check-Jul''26'!BI115,"",'1. Live'!BM115-'check-Jul''26'!BI115)</f>
        <v/>
      </c>
      <c r="BJ97" s="25" t="str">
        <f>IF('1. Live'!BN115='check-Jul''26'!BJ115,"",'1. Live'!BN115-'check-Jul''26'!BJ115)</f>
        <v/>
      </c>
      <c r="BK97" s="25" t="str">
        <f>IF('1. Live'!BO115='check-Jul''26'!BK115,"",'1. Live'!BO115-'check-Jul''26'!BK115)</f>
        <v/>
      </c>
      <c r="BL97" s="25" t="str">
        <f>IF('1. Live'!BP115='check-Jul''26'!BL115,"",'1. Live'!BP115-'check-Jul''26'!BL115)</f>
        <v/>
      </c>
      <c r="BM97" s="25" t="str">
        <f>IF('1. Live'!BQ115='check-Jul''26'!BM115,"",'1. Live'!BQ115-'check-Jul''26'!BM115)</f>
        <v/>
      </c>
      <c r="BN97" s="25" t="str">
        <f>IF('1. Live'!BR115='check-Jul''26'!BN115,"",'1. Live'!BR115-'check-Jul''26'!BN115)</f>
        <v/>
      </c>
      <c r="BO97" s="25" t="str">
        <f>IF('1. Live'!BS115='check-Jul''26'!BO115,"",'1. Live'!BS115-'check-Jul''26'!BO115)</f>
        <v/>
      </c>
      <c r="BP97" s="25" t="str">
        <f>IF('1. Live'!BT115='check-Jul''26'!BP115,"",'1. Live'!BT115-'check-Jul''26'!BP115)</f>
        <v/>
      </c>
      <c r="BQ97" s="25" t="str">
        <f>IF('1. Live'!BU115='check-Jul''26'!BQ115,"",'1. Live'!BU115-'check-Jul''26'!BQ115)</f>
        <v/>
      </c>
      <c r="BR97" s="25" t="str">
        <f>IF('1. Live'!BV115='check-Jul''26'!BR115,"",'1. Live'!BV115-'check-Jul''26'!BR115)</f>
        <v/>
      </c>
      <c r="BS97" s="25" t="str">
        <f>IF('1. Live'!BW115='check-Jul''26'!BS115,"",'1. Live'!BW115-'check-Jul''26'!BS115)</f>
        <v/>
      </c>
      <c r="BT97" s="25" t="str">
        <f>IF('1. Live'!BX115='check-Jul''26'!BT115,"",'1. Live'!BX115-'check-Jul''26'!BT115)</f>
        <v/>
      </c>
      <c r="BU97" s="25" t="str">
        <f>IF('1. Live'!BY115='check-Jul''26'!BU115,"",'1. Live'!BY115-'check-Jul''26'!BU115)</f>
        <v/>
      </c>
      <c r="BV97" s="25" t="str">
        <f>IF('1. Live'!BZ115='check-Jul''26'!BV115,"",'1. Live'!BZ115-'check-Jul''26'!BV115)</f>
        <v/>
      </c>
      <c r="BW97" s="25" t="str">
        <f>IF('1. Live'!CA115='check-Jul''26'!BW115,"",'1. Live'!CA115-'check-Jul''26'!BW115)</f>
        <v/>
      </c>
      <c r="BX97" s="25" t="str">
        <f>IF('1. Live'!CB115='check-Jul''26'!BX115,"",'1. Live'!CB115-'check-Jul''26'!BX115)</f>
        <v/>
      </c>
      <c r="BY97" s="25" t="str">
        <f>IF('1. Live'!CC115='check-Jul''26'!BY115,"",'1. Live'!CC115-'check-Jul''26'!BY115)</f>
        <v/>
      </c>
      <c r="BZ97" s="25" t="str">
        <f>IF('1. Live'!CD115='check-Jul''26'!BZ115,"",'1. Live'!CD115-'check-Jul''26'!BZ115)</f>
        <v/>
      </c>
      <c r="CA97" s="25" t="str">
        <f>IF('1. Live'!CE115='check-Jul''26'!CA115,"",'1. Live'!CE115-'check-Jul''26'!CA115)</f>
        <v/>
      </c>
      <c r="CB97" s="25" t="str">
        <f>IF('1. Live'!CF115='check-Jul''26'!CB115,"",'1. Live'!CF115-'check-Jul''26'!CB115)</f>
        <v/>
      </c>
      <c r="CC97" s="25" t="str">
        <f>IF('1. Live'!CG115='check-Jul''26'!CC115,"",'1. Live'!CG115-'check-Jul''26'!CC115)</f>
        <v/>
      </c>
      <c r="CD97" s="25" t="str">
        <f>IF('1. Live'!CH115='check-Jul''26'!CD115,"",'1. Live'!CH115-'check-Jul''26'!CD115)</f>
        <v/>
      </c>
      <c r="CE97" s="25" t="str">
        <f>IF('1. Live'!CI115='check-Jul''26'!CE115,"",'1. Live'!CI115-'check-Jul''26'!CE115)</f>
        <v/>
      </c>
      <c r="CF97" s="25" t="str">
        <f>IF('1. Live'!CJ115='check-Jul''26'!CF115,"",'1. Live'!CJ115-'check-Jul''26'!CF115)</f>
        <v/>
      </c>
      <c r="CG97" s="25" t="str">
        <f>IF('1. Live'!CK115='check-Jul''26'!CG115,"",'1. Live'!CK115-'check-Jul''26'!CG115)</f>
        <v/>
      </c>
      <c r="CH97" s="25" t="str">
        <f>IF('1. Live'!CL115='check-Jul''26'!CH115,"",'1. Live'!CL115-'check-Jul''26'!CH115)</f>
        <v/>
      </c>
      <c r="CI97" s="25" t="str">
        <f>IF('1. Live'!CM115='check-Jul''26'!CI115,"",'1. Live'!CM115-'check-Jul''26'!CI115)</f>
        <v/>
      </c>
      <c r="CJ97" s="25" t="str">
        <f>IF('1. Live'!CN115='check-Jul''26'!CJ115,"",'1. Live'!CN115-'check-Jul''26'!CJ115)</f>
        <v/>
      </c>
      <c r="CK97" s="25" t="str">
        <f>IF('1. Live'!CO115='check-Jul''26'!CK115,"",'1. Live'!CO115-'check-Jul''26'!CK115)</f>
        <v/>
      </c>
      <c r="CL97" s="25" t="str">
        <f>IF('1. Live'!CP115='check-Jul''26'!CL115,"",'1. Live'!CP115-'check-Jul''26'!CL115)</f>
        <v/>
      </c>
      <c r="CM97" s="25" t="str">
        <f>IF('1. Live'!CQ115='check-Jul''26'!CM115,"",'1. Live'!CQ115-'check-Jul''26'!CM115)</f>
        <v/>
      </c>
      <c r="CN97" s="25" t="str">
        <f>IF('1. Live'!CR115='check-Jul''26'!CN115,"",'1. Live'!CR115-'check-Jul''26'!CN115)</f>
        <v/>
      </c>
      <c r="CO97" s="25" t="str">
        <f>IF('1. Live'!CS115='check-Jul''26'!CO115,"",'1. Live'!CS115-'check-Jul''26'!CO115)</f>
        <v/>
      </c>
      <c r="CP97" s="25" t="str">
        <f>IF('1. Live'!CT115='check-Jul''26'!CP115,"",'1. Live'!CT115-'check-Jul''26'!CP115)</f>
        <v/>
      </c>
      <c r="CQ97" s="25" t="str">
        <f>IF('1. Live'!CU115='check-Jul''26'!CQ115,"",'1. Live'!CU115-'check-Jul''26'!CQ115)</f>
        <v/>
      </c>
      <c r="CR97" s="25" t="str">
        <f>IF('1. Live'!CV115='check-Jul''26'!CR115,"",'1. Live'!CV115-'check-Jul''26'!CR115)</f>
        <v/>
      </c>
      <c r="CS97" s="25" t="str">
        <f>IF('1. Live'!CW115='check-Jul''26'!CS115,"",'1. Live'!CW115-'check-Jul''26'!CS115)</f>
        <v/>
      </c>
      <c r="CT97" s="25" t="str">
        <f>IF('1. Live'!CX115='check-Jul''26'!CT115,"",'1. Live'!CX115-'check-Jul''26'!CT115)</f>
        <v/>
      </c>
      <c r="CU97" s="25" t="str">
        <f>IF('1. Live'!CY115='check-Jul''26'!CU115,"",'1. Live'!CY115-'check-Jul''26'!CU115)</f>
        <v/>
      </c>
      <c r="CV97" s="25" t="str">
        <f>IF('1. Live'!CZ115='check-Jul''26'!CV115,"",'1. Live'!CZ115-'check-Jul''26'!CV115)</f>
        <v/>
      </c>
    </row>
    <row r="98" spans="17:100" x14ac:dyDescent="0.25">
      <c r="Q98" s="26" t="str">
        <f>IF('1. Live'!N116='check-Jul''26'!I116,"",'1. Live'!N116-'check-Jul''26'!I116)</f>
        <v/>
      </c>
      <c r="R98" s="26" t="str">
        <f>IF('1. Live'!O116='check-Jul''26'!J116,"",'1. Live'!O116-'check-Jul''26'!J116)</f>
        <v/>
      </c>
      <c r="S98" s="26" t="str">
        <f>IF('1. Live'!P116='check-Jul''26'!K116,"",'1. Live'!P116-'check-Jul''26'!K116)</f>
        <v/>
      </c>
      <c r="T98" s="26" t="str">
        <f>IF('1. Live'!Q116='check-Jul''26'!L116,"",'1. Live'!Q116-'check-Jul''26'!L116)</f>
        <v/>
      </c>
      <c r="U98" s="80" t="str">
        <f>IF('1. Live'!R116='check-Jul''26'!M116,"",'1. Live'!R116-'check-Jul''26'!M116)</f>
        <v/>
      </c>
      <c r="V98" s="26" t="str">
        <f>IF('1. Live'!S116='check-Jul''26'!N116,"",'1. Live'!S116-'check-Jul''26'!N116)</f>
        <v/>
      </c>
      <c r="W98" s="25" t="str">
        <f>IF('1. Live'!T116='check-Jul''26'!O116,"",'1. Live'!T116-'check-Jul''26'!O116)</f>
        <v/>
      </c>
      <c r="X98" s="25" t="str">
        <f>IF('1. Live'!U116='check-Jul''26'!Q116,"",'1. Live'!U116-'check-Jul''26'!Q116)</f>
        <v/>
      </c>
      <c r="Y98" s="25" t="str">
        <f>IF('1. Live'!V116='check-Jul''26'!R116,"",'1. Live'!V116-'check-Jul''26'!R116)</f>
        <v/>
      </c>
      <c r="Z98" s="25" t="str">
        <f>IF('1. Live'!W116='check-Jul''26'!S116,"",'1. Live'!W116-'check-Jul''26'!S116)</f>
        <v/>
      </c>
      <c r="AA98" s="25" t="str">
        <f>IF('1. Live'!X116='check-Jul''26'!T116,"",'1. Live'!X116-'check-Jul''26'!T116)</f>
        <v/>
      </c>
      <c r="AB98" s="25" t="str">
        <f>IF('1. Live'!AF116='check-Jul''26'!AB116,"",'1. Live'!AF116-'check-Jul''26'!AB116)</f>
        <v/>
      </c>
      <c r="AC98" s="25" t="str">
        <f>IF('1. Live'!AG116='check-Jul''26'!AC116,"",'1. Live'!AG116-'check-Jul''26'!AC116)</f>
        <v/>
      </c>
      <c r="AD98" s="25" t="str">
        <f>IF('1. Live'!AH116='check-Jul''26'!AD116,"",'1. Live'!AH116-'check-Jul''26'!AD116)</f>
        <v/>
      </c>
      <c r="AE98" s="25" t="str">
        <f>IF('1. Live'!AI116='check-Jul''26'!AE116,"",'1. Live'!AI116-'check-Jul''26'!AE116)</f>
        <v/>
      </c>
      <c r="AF98" s="25" t="str">
        <f>IF('1. Live'!AJ116='check-Jul''26'!AF116,"",'1. Live'!AJ116-'check-Jul''26'!AF116)</f>
        <v/>
      </c>
      <c r="AG98" s="25" t="str">
        <f>IF('1. Live'!AK116='check-Jul''26'!AG116,"",'1. Live'!AK116-'check-Jul''26'!AG116)</f>
        <v/>
      </c>
      <c r="AH98" s="25" t="str">
        <f>IF('1. Live'!AL116='check-Jul''26'!AH116,"",'1. Live'!AL116-'check-Jul''26'!AH116)</f>
        <v/>
      </c>
      <c r="AI98" s="25" t="str">
        <f>IF('1. Live'!AM116='check-Jul''26'!AI116,"",'1. Live'!AM116-'check-Jul''26'!AI116)</f>
        <v/>
      </c>
      <c r="AJ98" s="25" t="str">
        <f>IF('1. Live'!AN116='check-Jul''26'!AJ116,"",'1. Live'!AN116-'check-Jul''26'!AJ116)</f>
        <v/>
      </c>
      <c r="AK98" s="25" t="str">
        <f>IF('1. Live'!AO116='check-Jul''26'!AK116,"",'1. Live'!AO116-'check-Jul''26'!AK116)</f>
        <v/>
      </c>
      <c r="AL98" s="25" t="str">
        <f>IF('1. Live'!AP116='check-Jul''26'!AL116,"",'1. Live'!AP116-'check-Jul''26'!AL116)</f>
        <v/>
      </c>
      <c r="AM98" s="25" t="str">
        <f>IF('1. Live'!AQ116='check-Jul''26'!AM116,"",'1. Live'!AQ116-'check-Jul''26'!AM116)</f>
        <v/>
      </c>
      <c r="AN98" s="25" t="str">
        <f>IF('1. Live'!AR116='check-Jul''26'!AN116,"",'1. Live'!AR116-'check-Jul''26'!AN116)</f>
        <v/>
      </c>
      <c r="AO98" s="25" t="str">
        <f>IF('1. Live'!AS116='check-Jul''26'!AO116,"",'1. Live'!AS116-'check-Jul''26'!AO116)</f>
        <v/>
      </c>
      <c r="AP98" s="25" t="str">
        <f>IF('1. Live'!AT116='check-Jul''26'!AP116,"",'1. Live'!AT116-'check-Jul''26'!AP116)</f>
        <v/>
      </c>
      <c r="AQ98" s="25" t="str">
        <f>IF('1. Live'!AU116='check-Jul''26'!AQ116,"",'1. Live'!AU116-'check-Jul''26'!AQ116)</f>
        <v/>
      </c>
      <c r="AR98" s="25" t="str">
        <f>IF('1. Live'!AV116='check-Jul''26'!AR116,"",'1. Live'!AV116-'check-Jul''26'!AR116)</f>
        <v/>
      </c>
      <c r="AS98" s="25" t="str">
        <f>IF('1. Live'!AW116='check-Jul''26'!AS116,"",'1. Live'!AW116-'check-Jul''26'!AS116)</f>
        <v/>
      </c>
      <c r="AT98" s="25" t="str">
        <f>IF('1. Live'!AX116='check-Jul''26'!AT116,"",'1. Live'!AX116-'check-Jul''26'!AT116)</f>
        <v/>
      </c>
      <c r="AU98" s="25" t="str">
        <f>IF('1. Live'!AY116='check-Jul''26'!AU116,"",'1. Live'!AY116-'check-Jul''26'!AU116)</f>
        <v/>
      </c>
      <c r="AV98" s="25" t="str">
        <f>IF('1. Live'!AZ116='check-Jul''26'!AV116,"",'1. Live'!AZ116-'check-Jul''26'!AV116)</f>
        <v/>
      </c>
      <c r="AW98" s="25" t="str">
        <f>IF('1. Live'!BA116='check-Jul''26'!AW116,"",'1. Live'!BA116-'check-Jul''26'!AW116)</f>
        <v/>
      </c>
      <c r="AX98" s="25" t="str">
        <f>IF('1. Live'!BB116='check-Jul''26'!AX116,"",'1. Live'!BB116-'check-Jul''26'!AX116)</f>
        <v/>
      </c>
      <c r="AY98" s="25" t="str">
        <f>IF('1. Live'!BC116='check-Jul''26'!AY116,"",'1. Live'!BC116-'check-Jul''26'!AY116)</f>
        <v/>
      </c>
      <c r="AZ98" s="25" t="str">
        <f>IF('1. Live'!BD116='check-Jul''26'!AZ116,"",'1. Live'!BD116-'check-Jul''26'!AZ116)</f>
        <v/>
      </c>
      <c r="BA98" s="25" t="str">
        <f>IF('1. Live'!BE116='check-Jul''26'!BA116,"",'1. Live'!BE116-'check-Jul''26'!BA116)</f>
        <v/>
      </c>
      <c r="BB98" s="25" t="str">
        <f>IF('1. Live'!BF116='check-Jul''26'!BB116,"",'1. Live'!BF116-'check-Jul''26'!BB116)</f>
        <v/>
      </c>
      <c r="BC98" s="25" t="str">
        <f>IF('1. Live'!BG116='check-Jul''26'!BC116,"",'1. Live'!BG116-'check-Jul''26'!BC116)</f>
        <v/>
      </c>
      <c r="BD98" s="25" t="str">
        <f>IF('1. Live'!BH116='check-Jul''26'!BD116,"",'1. Live'!BH116-'check-Jul''26'!BD116)</f>
        <v/>
      </c>
      <c r="BE98" s="25" t="str">
        <f>IF('1. Live'!BI116='check-Jul''26'!BE116,"",'1. Live'!BI116-'check-Jul''26'!BE116)</f>
        <v/>
      </c>
      <c r="BF98" s="25" t="str">
        <f>IF('1. Live'!BJ116='check-Jul''26'!BF116,"",'1. Live'!BJ116-'check-Jul''26'!BF116)</f>
        <v/>
      </c>
      <c r="BG98" s="25" t="str">
        <f>IF('1. Live'!BK116='check-Jul''26'!BG116,"",'1. Live'!BK116-'check-Jul''26'!BG116)</f>
        <v/>
      </c>
      <c r="BH98" s="25" t="str">
        <f>IF('1. Live'!BL116='check-Jul''26'!BH116,"",'1. Live'!BL116-'check-Jul''26'!BH116)</f>
        <v/>
      </c>
      <c r="BI98" s="25" t="str">
        <f>IF('1. Live'!BM116='check-Jul''26'!BI116,"",'1. Live'!BM116-'check-Jul''26'!BI116)</f>
        <v/>
      </c>
      <c r="BJ98" s="25" t="str">
        <f>IF('1. Live'!BN116='check-Jul''26'!BJ116,"",'1. Live'!BN116-'check-Jul''26'!BJ116)</f>
        <v/>
      </c>
      <c r="BK98" s="25" t="str">
        <f>IF('1. Live'!BO116='check-Jul''26'!BK116,"",'1. Live'!BO116-'check-Jul''26'!BK116)</f>
        <v/>
      </c>
      <c r="BL98" s="25" t="str">
        <f>IF('1. Live'!BP116='check-Jul''26'!BL116,"",'1. Live'!BP116-'check-Jul''26'!BL116)</f>
        <v/>
      </c>
      <c r="BM98" s="25" t="str">
        <f>IF('1. Live'!BQ116='check-Jul''26'!BM116,"",'1. Live'!BQ116-'check-Jul''26'!BM116)</f>
        <v/>
      </c>
      <c r="BN98" s="25" t="str">
        <f>IF('1. Live'!BR116='check-Jul''26'!BN116,"",'1. Live'!BR116-'check-Jul''26'!BN116)</f>
        <v/>
      </c>
      <c r="BO98" s="25" t="str">
        <f>IF('1. Live'!BS116='check-Jul''26'!BO116,"",'1. Live'!BS116-'check-Jul''26'!BO116)</f>
        <v/>
      </c>
      <c r="BP98" s="25" t="str">
        <f>IF('1. Live'!BT116='check-Jul''26'!BP116,"",'1. Live'!BT116-'check-Jul''26'!BP116)</f>
        <v/>
      </c>
      <c r="BQ98" s="25" t="str">
        <f>IF('1. Live'!BU116='check-Jul''26'!BQ116,"",'1. Live'!BU116-'check-Jul''26'!BQ116)</f>
        <v/>
      </c>
      <c r="BR98" s="25" t="str">
        <f>IF('1. Live'!BV116='check-Jul''26'!BR116,"",'1. Live'!BV116-'check-Jul''26'!BR116)</f>
        <v/>
      </c>
      <c r="BS98" s="25" t="str">
        <f>IF('1. Live'!BW116='check-Jul''26'!BS116,"",'1. Live'!BW116-'check-Jul''26'!BS116)</f>
        <v/>
      </c>
      <c r="BT98" s="25" t="str">
        <f>IF('1. Live'!BX116='check-Jul''26'!BT116,"",'1. Live'!BX116-'check-Jul''26'!BT116)</f>
        <v/>
      </c>
      <c r="BU98" s="25" t="str">
        <f>IF('1. Live'!BY116='check-Jul''26'!BU116,"",'1. Live'!BY116-'check-Jul''26'!BU116)</f>
        <v/>
      </c>
      <c r="BV98" s="25" t="str">
        <f>IF('1. Live'!BZ116='check-Jul''26'!BV116,"",'1. Live'!BZ116-'check-Jul''26'!BV116)</f>
        <v/>
      </c>
      <c r="BW98" s="25" t="str">
        <f>IF('1. Live'!CA116='check-Jul''26'!BW116,"",'1. Live'!CA116-'check-Jul''26'!BW116)</f>
        <v/>
      </c>
      <c r="BX98" s="25" t="str">
        <f>IF('1. Live'!CB116='check-Jul''26'!BX116,"",'1. Live'!CB116-'check-Jul''26'!BX116)</f>
        <v/>
      </c>
      <c r="BY98" s="25" t="str">
        <f>IF('1. Live'!CC116='check-Jul''26'!BY116,"",'1. Live'!CC116-'check-Jul''26'!BY116)</f>
        <v/>
      </c>
      <c r="BZ98" s="25" t="str">
        <f>IF('1. Live'!CD116='check-Jul''26'!BZ116,"",'1. Live'!CD116-'check-Jul''26'!BZ116)</f>
        <v/>
      </c>
      <c r="CA98" s="25" t="str">
        <f>IF('1. Live'!CE116='check-Jul''26'!CA116,"",'1. Live'!CE116-'check-Jul''26'!CA116)</f>
        <v/>
      </c>
      <c r="CB98" s="25" t="str">
        <f>IF('1. Live'!CF116='check-Jul''26'!CB116,"",'1. Live'!CF116-'check-Jul''26'!CB116)</f>
        <v/>
      </c>
      <c r="CC98" s="25" t="str">
        <f>IF('1. Live'!CG116='check-Jul''26'!CC116,"",'1. Live'!CG116-'check-Jul''26'!CC116)</f>
        <v/>
      </c>
      <c r="CD98" s="25" t="str">
        <f>IF('1. Live'!CH116='check-Jul''26'!CD116,"",'1. Live'!CH116-'check-Jul''26'!CD116)</f>
        <v/>
      </c>
      <c r="CE98" s="25" t="str">
        <f>IF('1. Live'!CI116='check-Jul''26'!CE116,"",'1. Live'!CI116-'check-Jul''26'!CE116)</f>
        <v/>
      </c>
      <c r="CF98" s="25" t="str">
        <f>IF('1. Live'!CJ116='check-Jul''26'!CF116,"",'1. Live'!CJ116-'check-Jul''26'!CF116)</f>
        <v/>
      </c>
      <c r="CG98" s="25" t="str">
        <f>IF('1. Live'!CK116='check-Jul''26'!CG116,"",'1. Live'!CK116-'check-Jul''26'!CG116)</f>
        <v/>
      </c>
      <c r="CH98" s="25" t="str">
        <f>IF('1. Live'!CL116='check-Jul''26'!CH116,"",'1. Live'!CL116-'check-Jul''26'!CH116)</f>
        <v/>
      </c>
      <c r="CI98" s="25" t="str">
        <f>IF('1. Live'!CM116='check-Jul''26'!CI116,"",'1. Live'!CM116-'check-Jul''26'!CI116)</f>
        <v/>
      </c>
      <c r="CJ98" s="25" t="str">
        <f>IF('1. Live'!CN116='check-Jul''26'!CJ116,"",'1. Live'!CN116-'check-Jul''26'!CJ116)</f>
        <v/>
      </c>
      <c r="CK98" s="25" t="str">
        <f>IF('1. Live'!CO116='check-Jul''26'!CK116,"",'1. Live'!CO116-'check-Jul''26'!CK116)</f>
        <v/>
      </c>
      <c r="CL98" s="25" t="str">
        <f>IF('1. Live'!CP116='check-Jul''26'!CL116,"",'1. Live'!CP116-'check-Jul''26'!CL116)</f>
        <v/>
      </c>
      <c r="CM98" s="25" t="str">
        <f>IF('1. Live'!CQ116='check-Jul''26'!CM116,"",'1. Live'!CQ116-'check-Jul''26'!CM116)</f>
        <v/>
      </c>
      <c r="CN98" s="25" t="str">
        <f>IF('1. Live'!CR116='check-Jul''26'!CN116,"",'1. Live'!CR116-'check-Jul''26'!CN116)</f>
        <v/>
      </c>
      <c r="CO98" s="25" t="str">
        <f>IF('1. Live'!CS116='check-Jul''26'!CO116,"",'1. Live'!CS116-'check-Jul''26'!CO116)</f>
        <v/>
      </c>
      <c r="CP98" s="25" t="str">
        <f>IF('1. Live'!CT116='check-Jul''26'!CP116,"",'1. Live'!CT116-'check-Jul''26'!CP116)</f>
        <v/>
      </c>
      <c r="CQ98" s="25" t="str">
        <f>IF('1. Live'!CU116='check-Jul''26'!CQ116,"",'1. Live'!CU116-'check-Jul''26'!CQ116)</f>
        <v/>
      </c>
      <c r="CR98" s="25" t="str">
        <f>IF('1. Live'!CV116='check-Jul''26'!CR116,"",'1. Live'!CV116-'check-Jul''26'!CR116)</f>
        <v/>
      </c>
      <c r="CS98" s="25" t="str">
        <f>IF('1. Live'!CW116='check-Jul''26'!CS116,"",'1. Live'!CW116-'check-Jul''26'!CS116)</f>
        <v/>
      </c>
      <c r="CT98" s="25" t="str">
        <f>IF('1. Live'!CX116='check-Jul''26'!CT116,"",'1. Live'!CX116-'check-Jul''26'!CT116)</f>
        <v/>
      </c>
      <c r="CU98" s="25" t="str">
        <f>IF('1. Live'!CY116='check-Jul''26'!CU116,"",'1. Live'!CY116-'check-Jul''26'!CU116)</f>
        <v/>
      </c>
      <c r="CV98" s="25" t="str">
        <f>IF('1. Live'!CZ116='check-Jul''26'!CV116,"",'1. Live'!CZ116-'check-Jul''26'!CV116)</f>
        <v/>
      </c>
    </row>
    <row r="99" spans="17:100" x14ac:dyDescent="0.25">
      <c r="Q99" s="26" t="str">
        <f>IF('1. Live'!N117='check-Jul''26'!I117,"",'1. Live'!N117-'check-Jul''26'!I117)</f>
        <v/>
      </c>
      <c r="R99" s="26" t="str">
        <f>IF('1. Live'!O117='check-Jul''26'!J117,"",'1. Live'!O117-'check-Jul''26'!J117)</f>
        <v/>
      </c>
      <c r="S99" s="26" t="str">
        <f>IF('1. Live'!P117='check-Jul''26'!K117,"",'1. Live'!P117-'check-Jul''26'!K117)</f>
        <v/>
      </c>
      <c r="T99" s="26" t="str">
        <f>IF('1. Live'!Q117='check-Jul''26'!L117,"",'1. Live'!Q117-'check-Jul''26'!L117)</f>
        <v/>
      </c>
      <c r="U99" s="80" t="str">
        <f>IF('1. Live'!R117='check-Jul''26'!M117,"",'1. Live'!R117-'check-Jul''26'!M117)</f>
        <v/>
      </c>
      <c r="V99" s="26" t="str">
        <f>IF('1. Live'!S117='check-Jul''26'!N117,"",'1. Live'!S117-'check-Jul''26'!N117)</f>
        <v/>
      </c>
      <c r="W99" s="25" t="str">
        <f>IF('1. Live'!T117='check-Jul''26'!O117,"",'1. Live'!T117-'check-Jul''26'!O117)</f>
        <v/>
      </c>
      <c r="X99" s="25" t="str">
        <f>IF('1. Live'!U117='check-Jul''26'!Q117,"",'1. Live'!U117-'check-Jul''26'!Q117)</f>
        <v/>
      </c>
      <c r="Y99" s="25" t="str">
        <f>IF('1. Live'!V117='check-Jul''26'!R117,"",'1. Live'!V117-'check-Jul''26'!R117)</f>
        <v/>
      </c>
      <c r="Z99" s="25" t="str">
        <f>IF('1. Live'!W117='check-Jul''26'!S117,"",'1. Live'!W117-'check-Jul''26'!S117)</f>
        <v/>
      </c>
      <c r="AA99" s="25" t="str">
        <f>IF('1. Live'!X117='check-Jul''26'!T117,"",'1. Live'!X117-'check-Jul''26'!T117)</f>
        <v/>
      </c>
      <c r="AB99" s="25" t="str">
        <f>IF('1. Live'!AF117='check-Jul''26'!AB117,"",'1. Live'!AF117-'check-Jul''26'!AB117)</f>
        <v/>
      </c>
      <c r="AC99" s="25" t="str">
        <f>IF('1. Live'!AG117='check-Jul''26'!AC117,"",'1. Live'!AG117-'check-Jul''26'!AC117)</f>
        <v/>
      </c>
      <c r="AD99" s="25" t="str">
        <f>IF('1. Live'!AH117='check-Jul''26'!AD117,"",'1. Live'!AH117-'check-Jul''26'!AD117)</f>
        <v/>
      </c>
      <c r="AE99" s="25" t="str">
        <f>IF('1. Live'!AI117='check-Jul''26'!AE117,"",'1. Live'!AI117-'check-Jul''26'!AE117)</f>
        <v/>
      </c>
      <c r="AF99" s="25" t="str">
        <f>IF('1. Live'!AJ117='check-Jul''26'!AF117,"",'1. Live'!AJ117-'check-Jul''26'!AF117)</f>
        <v/>
      </c>
      <c r="AG99" s="25" t="str">
        <f>IF('1. Live'!AK117='check-Jul''26'!AG117,"",'1. Live'!AK117-'check-Jul''26'!AG117)</f>
        <v/>
      </c>
      <c r="AH99" s="25" t="str">
        <f>IF('1. Live'!AL117='check-Jul''26'!AH117,"",'1. Live'!AL117-'check-Jul''26'!AH117)</f>
        <v/>
      </c>
      <c r="AI99" s="25" t="str">
        <f>IF('1. Live'!AM117='check-Jul''26'!AI117,"",'1. Live'!AM117-'check-Jul''26'!AI117)</f>
        <v/>
      </c>
      <c r="AJ99" s="25" t="str">
        <f>IF('1. Live'!AN117='check-Jul''26'!AJ117,"",'1. Live'!AN117-'check-Jul''26'!AJ117)</f>
        <v/>
      </c>
      <c r="AK99" s="25" t="str">
        <f>IF('1. Live'!AO117='check-Jul''26'!AK117,"",'1. Live'!AO117-'check-Jul''26'!AK117)</f>
        <v/>
      </c>
      <c r="AL99" s="25" t="str">
        <f>IF('1. Live'!AP117='check-Jul''26'!AL117,"",'1. Live'!AP117-'check-Jul''26'!AL117)</f>
        <v/>
      </c>
      <c r="AM99" s="25" t="str">
        <f>IF('1. Live'!AQ117='check-Jul''26'!AM117,"",'1. Live'!AQ117-'check-Jul''26'!AM117)</f>
        <v/>
      </c>
      <c r="AN99" s="25" t="str">
        <f>IF('1. Live'!AR117='check-Jul''26'!AN117,"",'1. Live'!AR117-'check-Jul''26'!AN117)</f>
        <v/>
      </c>
      <c r="AO99" s="25" t="str">
        <f>IF('1. Live'!AS117='check-Jul''26'!AO117,"",'1. Live'!AS117-'check-Jul''26'!AO117)</f>
        <v/>
      </c>
      <c r="AP99" s="25" t="str">
        <f>IF('1. Live'!AT117='check-Jul''26'!AP117,"",'1. Live'!AT117-'check-Jul''26'!AP117)</f>
        <v/>
      </c>
      <c r="AQ99" s="25" t="str">
        <f>IF('1. Live'!AU117='check-Jul''26'!AQ117,"",'1. Live'!AU117-'check-Jul''26'!AQ117)</f>
        <v/>
      </c>
      <c r="AR99" s="25" t="str">
        <f>IF('1. Live'!AV117='check-Jul''26'!AR117,"",'1. Live'!AV117-'check-Jul''26'!AR117)</f>
        <v/>
      </c>
      <c r="AS99" s="25" t="str">
        <f>IF('1. Live'!AW117='check-Jul''26'!AS117,"",'1. Live'!AW117-'check-Jul''26'!AS117)</f>
        <v/>
      </c>
      <c r="AT99" s="25" t="str">
        <f>IF('1. Live'!AX117='check-Jul''26'!AT117,"",'1. Live'!AX117-'check-Jul''26'!AT117)</f>
        <v/>
      </c>
      <c r="AU99" s="25" t="str">
        <f>IF('1. Live'!AY117='check-Jul''26'!AU117,"",'1. Live'!AY117-'check-Jul''26'!AU117)</f>
        <v/>
      </c>
      <c r="AV99" s="25" t="str">
        <f>IF('1. Live'!AZ117='check-Jul''26'!AV117,"",'1. Live'!AZ117-'check-Jul''26'!AV117)</f>
        <v/>
      </c>
      <c r="AW99" s="25" t="str">
        <f>IF('1. Live'!BA117='check-Jul''26'!AW117,"",'1. Live'!BA117-'check-Jul''26'!AW117)</f>
        <v/>
      </c>
      <c r="AX99" s="25" t="str">
        <f>IF('1. Live'!BB117='check-Jul''26'!AX117,"",'1. Live'!BB117-'check-Jul''26'!AX117)</f>
        <v/>
      </c>
      <c r="AY99" s="25" t="str">
        <f>IF('1. Live'!BC117='check-Jul''26'!AY117,"",'1. Live'!BC117-'check-Jul''26'!AY117)</f>
        <v/>
      </c>
      <c r="AZ99" s="25" t="str">
        <f>IF('1. Live'!BD117='check-Jul''26'!AZ117,"",'1. Live'!BD117-'check-Jul''26'!AZ117)</f>
        <v/>
      </c>
      <c r="BA99" s="25" t="str">
        <f>IF('1. Live'!BE117='check-Jul''26'!BA117,"",'1. Live'!BE117-'check-Jul''26'!BA117)</f>
        <v/>
      </c>
      <c r="BB99" s="25" t="str">
        <f>IF('1. Live'!BF117='check-Jul''26'!BB117,"",'1. Live'!BF117-'check-Jul''26'!BB117)</f>
        <v/>
      </c>
      <c r="BC99" s="25" t="str">
        <f>IF('1. Live'!BG117='check-Jul''26'!BC117,"",'1. Live'!BG117-'check-Jul''26'!BC117)</f>
        <v/>
      </c>
      <c r="BD99" s="25" t="str">
        <f>IF('1. Live'!BH117='check-Jul''26'!BD117,"",'1. Live'!BH117-'check-Jul''26'!BD117)</f>
        <v/>
      </c>
      <c r="BE99" s="25" t="str">
        <f>IF('1. Live'!BI117='check-Jul''26'!BE117,"",'1. Live'!BI117-'check-Jul''26'!BE117)</f>
        <v/>
      </c>
      <c r="BF99" s="25" t="str">
        <f>IF('1. Live'!BJ117='check-Jul''26'!BF117,"",'1. Live'!BJ117-'check-Jul''26'!BF117)</f>
        <v/>
      </c>
      <c r="BG99" s="25" t="str">
        <f>IF('1. Live'!BK117='check-Jul''26'!BG117,"",'1. Live'!BK117-'check-Jul''26'!BG117)</f>
        <v/>
      </c>
      <c r="BH99" s="25" t="str">
        <f>IF('1. Live'!BL117='check-Jul''26'!BH117,"",'1. Live'!BL117-'check-Jul''26'!BH117)</f>
        <v/>
      </c>
      <c r="BI99" s="25" t="str">
        <f>IF('1. Live'!BM117='check-Jul''26'!BI117,"",'1. Live'!BM117-'check-Jul''26'!BI117)</f>
        <v/>
      </c>
      <c r="BJ99" s="25" t="str">
        <f>IF('1. Live'!BN117='check-Jul''26'!BJ117,"",'1. Live'!BN117-'check-Jul''26'!BJ117)</f>
        <v/>
      </c>
      <c r="BK99" s="25" t="str">
        <f>IF('1. Live'!BO117='check-Jul''26'!BK117,"",'1. Live'!BO117-'check-Jul''26'!BK117)</f>
        <v/>
      </c>
      <c r="BL99" s="25" t="str">
        <f>IF('1. Live'!BP117='check-Jul''26'!BL117,"",'1. Live'!BP117-'check-Jul''26'!BL117)</f>
        <v/>
      </c>
      <c r="BM99" s="25" t="str">
        <f>IF('1. Live'!BQ117='check-Jul''26'!BM117,"",'1. Live'!BQ117-'check-Jul''26'!BM117)</f>
        <v/>
      </c>
      <c r="BN99" s="25" t="str">
        <f>IF('1. Live'!BR117='check-Jul''26'!BN117,"",'1. Live'!BR117-'check-Jul''26'!BN117)</f>
        <v/>
      </c>
      <c r="BO99" s="25" t="str">
        <f>IF('1. Live'!BS117='check-Jul''26'!BO117,"",'1. Live'!BS117-'check-Jul''26'!BO117)</f>
        <v/>
      </c>
      <c r="BP99" s="25" t="str">
        <f>IF('1. Live'!BT117='check-Jul''26'!BP117,"",'1. Live'!BT117-'check-Jul''26'!BP117)</f>
        <v/>
      </c>
      <c r="BQ99" s="25" t="str">
        <f>IF('1. Live'!BU117='check-Jul''26'!BQ117,"",'1. Live'!BU117-'check-Jul''26'!BQ117)</f>
        <v/>
      </c>
      <c r="BR99" s="25" t="str">
        <f>IF('1. Live'!BV117='check-Jul''26'!BR117,"",'1. Live'!BV117-'check-Jul''26'!BR117)</f>
        <v/>
      </c>
      <c r="BS99" s="25" t="str">
        <f>IF('1. Live'!BW117='check-Jul''26'!BS117,"",'1. Live'!BW117-'check-Jul''26'!BS117)</f>
        <v/>
      </c>
      <c r="BT99" s="25" t="str">
        <f>IF('1. Live'!BX117='check-Jul''26'!BT117,"",'1. Live'!BX117-'check-Jul''26'!BT117)</f>
        <v/>
      </c>
      <c r="BU99" s="25" t="str">
        <f>IF('1. Live'!BY117='check-Jul''26'!BU117,"",'1. Live'!BY117-'check-Jul''26'!BU117)</f>
        <v/>
      </c>
      <c r="BV99" s="25" t="str">
        <f>IF('1. Live'!BZ117='check-Jul''26'!BV117,"",'1. Live'!BZ117-'check-Jul''26'!BV117)</f>
        <v/>
      </c>
      <c r="BW99" s="25" t="str">
        <f>IF('1. Live'!CA117='check-Jul''26'!BW117,"",'1. Live'!CA117-'check-Jul''26'!BW117)</f>
        <v/>
      </c>
      <c r="BX99" s="25" t="str">
        <f>IF('1. Live'!CB117='check-Jul''26'!BX117,"",'1. Live'!CB117-'check-Jul''26'!BX117)</f>
        <v/>
      </c>
      <c r="BY99" s="25" t="str">
        <f>IF('1. Live'!CC117='check-Jul''26'!BY117,"",'1. Live'!CC117-'check-Jul''26'!BY117)</f>
        <v/>
      </c>
      <c r="BZ99" s="25" t="str">
        <f>IF('1. Live'!CD117='check-Jul''26'!BZ117,"",'1. Live'!CD117-'check-Jul''26'!BZ117)</f>
        <v/>
      </c>
      <c r="CA99" s="25" t="str">
        <f>IF('1. Live'!CE117='check-Jul''26'!CA117,"",'1. Live'!CE117-'check-Jul''26'!CA117)</f>
        <v/>
      </c>
      <c r="CB99" s="25" t="str">
        <f>IF('1. Live'!CF117='check-Jul''26'!CB117,"",'1. Live'!CF117-'check-Jul''26'!CB117)</f>
        <v/>
      </c>
      <c r="CC99" s="25" t="str">
        <f>IF('1. Live'!CG117='check-Jul''26'!CC117,"",'1. Live'!CG117-'check-Jul''26'!CC117)</f>
        <v/>
      </c>
      <c r="CD99" s="25" t="str">
        <f>IF('1. Live'!CH117='check-Jul''26'!CD117,"",'1. Live'!CH117-'check-Jul''26'!CD117)</f>
        <v/>
      </c>
      <c r="CE99" s="25" t="str">
        <f>IF('1. Live'!CI117='check-Jul''26'!CE117,"",'1. Live'!CI117-'check-Jul''26'!CE117)</f>
        <v/>
      </c>
      <c r="CF99" s="25" t="str">
        <f>IF('1. Live'!CJ117='check-Jul''26'!CF117,"",'1. Live'!CJ117-'check-Jul''26'!CF117)</f>
        <v/>
      </c>
      <c r="CG99" s="25" t="str">
        <f>IF('1. Live'!CK117='check-Jul''26'!CG117,"",'1. Live'!CK117-'check-Jul''26'!CG117)</f>
        <v/>
      </c>
      <c r="CH99" s="25" t="str">
        <f>IF('1. Live'!CL117='check-Jul''26'!CH117,"",'1. Live'!CL117-'check-Jul''26'!CH117)</f>
        <v/>
      </c>
      <c r="CI99" s="25" t="str">
        <f>IF('1. Live'!CM117='check-Jul''26'!CI117,"",'1. Live'!CM117-'check-Jul''26'!CI117)</f>
        <v/>
      </c>
      <c r="CJ99" s="25" t="str">
        <f>IF('1. Live'!CN117='check-Jul''26'!CJ117,"",'1. Live'!CN117-'check-Jul''26'!CJ117)</f>
        <v/>
      </c>
      <c r="CK99" s="25" t="str">
        <f>IF('1. Live'!CO117='check-Jul''26'!CK117,"",'1. Live'!CO117-'check-Jul''26'!CK117)</f>
        <v/>
      </c>
      <c r="CL99" s="25" t="str">
        <f>IF('1. Live'!CP117='check-Jul''26'!CL117,"",'1. Live'!CP117-'check-Jul''26'!CL117)</f>
        <v/>
      </c>
      <c r="CM99" s="25" t="str">
        <f>IF('1. Live'!CQ117='check-Jul''26'!CM117,"",'1. Live'!CQ117-'check-Jul''26'!CM117)</f>
        <v/>
      </c>
      <c r="CN99" s="25" t="str">
        <f>IF('1. Live'!CR117='check-Jul''26'!CN117,"",'1. Live'!CR117-'check-Jul''26'!CN117)</f>
        <v/>
      </c>
      <c r="CO99" s="25" t="str">
        <f>IF('1. Live'!CS117='check-Jul''26'!CO117,"",'1. Live'!CS117-'check-Jul''26'!CO117)</f>
        <v/>
      </c>
      <c r="CP99" s="25" t="str">
        <f>IF('1. Live'!CT117='check-Jul''26'!CP117,"",'1. Live'!CT117-'check-Jul''26'!CP117)</f>
        <v/>
      </c>
      <c r="CQ99" s="25" t="str">
        <f>IF('1. Live'!CU117='check-Jul''26'!CQ117,"",'1. Live'!CU117-'check-Jul''26'!CQ117)</f>
        <v/>
      </c>
      <c r="CR99" s="25" t="str">
        <f>IF('1. Live'!CV117='check-Jul''26'!CR117,"",'1. Live'!CV117-'check-Jul''26'!CR117)</f>
        <v/>
      </c>
      <c r="CS99" s="25" t="str">
        <f>IF('1. Live'!CW117='check-Jul''26'!CS117,"",'1. Live'!CW117-'check-Jul''26'!CS117)</f>
        <v/>
      </c>
      <c r="CT99" s="25" t="str">
        <f>IF('1. Live'!CX117='check-Jul''26'!CT117,"",'1. Live'!CX117-'check-Jul''26'!CT117)</f>
        <v/>
      </c>
      <c r="CU99" s="25" t="str">
        <f>IF('1. Live'!CY117='check-Jul''26'!CU117,"",'1. Live'!CY117-'check-Jul''26'!CU117)</f>
        <v/>
      </c>
      <c r="CV99" s="25" t="str">
        <f>IF('1. Live'!CZ117='check-Jul''26'!CV117,"",'1. Live'!CZ117-'check-Jul''26'!CV117)</f>
        <v/>
      </c>
    </row>
    <row r="100" spans="17:100" x14ac:dyDescent="0.25">
      <c r="Q100" s="26" t="str">
        <f>IF('1. Live'!N118='check-Jul''26'!I118,"",'1. Live'!N118-'check-Jul''26'!I118)</f>
        <v/>
      </c>
      <c r="R100" s="26" t="str">
        <f>IF('1. Live'!O118='check-Jul''26'!J118,"",'1. Live'!O118-'check-Jul''26'!J118)</f>
        <v/>
      </c>
      <c r="S100" s="26" t="str">
        <f>IF('1. Live'!P118='check-Jul''26'!K118,"",'1. Live'!P118-'check-Jul''26'!K118)</f>
        <v/>
      </c>
      <c r="T100" s="26" t="str">
        <f>IF('1. Live'!Q118='check-Jul''26'!L118,"",'1. Live'!Q118-'check-Jul''26'!L118)</f>
        <v/>
      </c>
      <c r="U100" s="80" t="str">
        <f>IF('1. Live'!R118='check-Jul''26'!M118,"",'1. Live'!R118-'check-Jul''26'!M118)</f>
        <v/>
      </c>
      <c r="V100" s="26" t="str">
        <f>IF('1. Live'!S118='check-Jul''26'!N118,"",'1. Live'!S118-'check-Jul''26'!N118)</f>
        <v/>
      </c>
      <c r="W100" s="25" t="str">
        <f>IF('1. Live'!T118='check-Jul''26'!O118,"",'1. Live'!T118-'check-Jul''26'!O118)</f>
        <v/>
      </c>
      <c r="X100" s="25" t="str">
        <f>IF('1. Live'!U118='check-Jul''26'!Q118,"",'1. Live'!U118-'check-Jul''26'!Q118)</f>
        <v/>
      </c>
      <c r="Y100" s="25" t="str">
        <f>IF('1. Live'!V118='check-Jul''26'!R118,"",'1. Live'!V118-'check-Jul''26'!R118)</f>
        <v/>
      </c>
      <c r="Z100" s="25" t="str">
        <f>IF('1. Live'!W118='check-Jul''26'!S118,"",'1. Live'!W118-'check-Jul''26'!S118)</f>
        <v/>
      </c>
      <c r="AA100" s="25" t="str">
        <f>IF('1. Live'!X118='check-Jul''26'!T118,"",'1. Live'!X118-'check-Jul''26'!T118)</f>
        <v/>
      </c>
      <c r="AB100" s="25" t="str">
        <f>IF('1. Live'!AF118='check-Jul''26'!AB118,"",'1. Live'!AF118-'check-Jul''26'!AB118)</f>
        <v/>
      </c>
      <c r="AC100" s="25" t="str">
        <f>IF('1. Live'!AG118='check-Jul''26'!AC118,"",'1. Live'!AG118-'check-Jul''26'!AC118)</f>
        <v/>
      </c>
      <c r="AD100" s="25" t="str">
        <f>IF('1. Live'!AH118='check-Jul''26'!AD118,"",'1. Live'!AH118-'check-Jul''26'!AD118)</f>
        <v/>
      </c>
      <c r="AE100" s="25" t="str">
        <f>IF('1. Live'!AI118='check-Jul''26'!AE118,"",'1. Live'!AI118-'check-Jul''26'!AE118)</f>
        <v/>
      </c>
      <c r="AF100" s="25" t="str">
        <f>IF('1. Live'!AJ118='check-Jul''26'!AF118,"",'1. Live'!AJ118-'check-Jul''26'!AF118)</f>
        <v/>
      </c>
      <c r="AG100" s="25" t="str">
        <f>IF('1. Live'!AK118='check-Jul''26'!AG118,"",'1. Live'!AK118-'check-Jul''26'!AG118)</f>
        <v/>
      </c>
      <c r="AH100" s="25" t="str">
        <f>IF('1. Live'!AL118='check-Jul''26'!AH118,"",'1. Live'!AL118-'check-Jul''26'!AH118)</f>
        <v/>
      </c>
      <c r="AI100" s="25" t="str">
        <f>IF('1. Live'!AM118='check-Jul''26'!AI118,"",'1. Live'!AM118-'check-Jul''26'!AI118)</f>
        <v/>
      </c>
      <c r="AJ100" s="25" t="str">
        <f>IF('1. Live'!AN118='check-Jul''26'!AJ118,"",'1. Live'!AN118-'check-Jul''26'!AJ118)</f>
        <v/>
      </c>
      <c r="AK100" s="25" t="str">
        <f>IF('1. Live'!AO118='check-Jul''26'!AK118,"",'1. Live'!AO118-'check-Jul''26'!AK118)</f>
        <v/>
      </c>
      <c r="AL100" s="25" t="str">
        <f>IF('1. Live'!AP118='check-Jul''26'!AL118,"",'1. Live'!AP118-'check-Jul''26'!AL118)</f>
        <v/>
      </c>
      <c r="AM100" s="25" t="str">
        <f>IF('1. Live'!AQ118='check-Jul''26'!AM118,"",'1. Live'!AQ118-'check-Jul''26'!AM118)</f>
        <v/>
      </c>
      <c r="AN100" s="25" t="str">
        <f>IF('1. Live'!AR118='check-Jul''26'!AN118,"",'1. Live'!AR118-'check-Jul''26'!AN118)</f>
        <v/>
      </c>
      <c r="AO100" s="25" t="str">
        <f>IF('1. Live'!AS118='check-Jul''26'!AO118,"",'1. Live'!AS118-'check-Jul''26'!AO118)</f>
        <v/>
      </c>
      <c r="AP100" s="25" t="str">
        <f>IF('1. Live'!AT118='check-Jul''26'!AP118,"",'1. Live'!AT118-'check-Jul''26'!AP118)</f>
        <v/>
      </c>
      <c r="AQ100" s="25" t="str">
        <f>IF('1. Live'!AU118='check-Jul''26'!AQ118,"",'1. Live'!AU118-'check-Jul''26'!AQ118)</f>
        <v/>
      </c>
      <c r="AR100" s="25" t="str">
        <f>IF('1. Live'!AV118='check-Jul''26'!AR118,"",'1. Live'!AV118-'check-Jul''26'!AR118)</f>
        <v/>
      </c>
      <c r="AS100" s="25" t="str">
        <f>IF('1. Live'!AW118='check-Jul''26'!AS118,"",'1. Live'!AW118-'check-Jul''26'!AS118)</f>
        <v/>
      </c>
      <c r="AT100" s="25" t="str">
        <f>IF('1. Live'!AX118='check-Jul''26'!AT118,"",'1. Live'!AX118-'check-Jul''26'!AT118)</f>
        <v/>
      </c>
      <c r="AU100" s="25" t="str">
        <f>IF('1. Live'!AY118='check-Jul''26'!AU118,"",'1. Live'!AY118-'check-Jul''26'!AU118)</f>
        <v/>
      </c>
      <c r="AV100" s="25" t="str">
        <f>IF('1. Live'!AZ118='check-Jul''26'!AV118,"",'1. Live'!AZ118-'check-Jul''26'!AV118)</f>
        <v/>
      </c>
      <c r="AW100" s="25" t="str">
        <f>IF('1. Live'!BA118='check-Jul''26'!AW118,"",'1. Live'!BA118-'check-Jul''26'!AW118)</f>
        <v/>
      </c>
      <c r="AX100" s="25" t="str">
        <f>IF('1. Live'!BB118='check-Jul''26'!AX118,"",'1. Live'!BB118-'check-Jul''26'!AX118)</f>
        <v/>
      </c>
      <c r="AY100" s="25" t="str">
        <f>IF('1. Live'!BC118='check-Jul''26'!AY118,"",'1. Live'!BC118-'check-Jul''26'!AY118)</f>
        <v/>
      </c>
      <c r="AZ100" s="25" t="str">
        <f>IF('1. Live'!BD118='check-Jul''26'!AZ118,"",'1. Live'!BD118-'check-Jul''26'!AZ118)</f>
        <v/>
      </c>
      <c r="BA100" s="25" t="str">
        <f>IF('1. Live'!BE118='check-Jul''26'!BA118,"",'1. Live'!BE118-'check-Jul''26'!BA118)</f>
        <v/>
      </c>
      <c r="BB100" s="25" t="str">
        <f>IF('1. Live'!BF118='check-Jul''26'!BB118,"",'1. Live'!BF118-'check-Jul''26'!BB118)</f>
        <v/>
      </c>
      <c r="BC100" s="25" t="str">
        <f>IF('1. Live'!BG118='check-Jul''26'!BC118,"",'1. Live'!BG118-'check-Jul''26'!BC118)</f>
        <v/>
      </c>
      <c r="BD100" s="25" t="str">
        <f>IF('1. Live'!BH118='check-Jul''26'!BD118,"",'1. Live'!BH118-'check-Jul''26'!BD118)</f>
        <v/>
      </c>
      <c r="BE100" s="25" t="str">
        <f>IF('1. Live'!BI118='check-Jul''26'!BE118,"",'1. Live'!BI118-'check-Jul''26'!BE118)</f>
        <v/>
      </c>
      <c r="BF100" s="25" t="str">
        <f>IF('1. Live'!BJ118='check-Jul''26'!BF118,"",'1. Live'!BJ118-'check-Jul''26'!BF118)</f>
        <v/>
      </c>
      <c r="BG100" s="25" t="str">
        <f>IF('1. Live'!BK118='check-Jul''26'!BG118,"",'1. Live'!BK118-'check-Jul''26'!BG118)</f>
        <v/>
      </c>
      <c r="BH100" s="25" t="str">
        <f>IF('1. Live'!BL118='check-Jul''26'!BH118,"",'1. Live'!BL118-'check-Jul''26'!BH118)</f>
        <v/>
      </c>
      <c r="BI100" s="25" t="str">
        <f>IF('1. Live'!BM118='check-Jul''26'!BI118,"",'1. Live'!BM118-'check-Jul''26'!BI118)</f>
        <v/>
      </c>
      <c r="BJ100" s="25" t="str">
        <f>IF('1. Live'!BN118='check-Jul''26'!BJ118,"",'1. Live'!BN118-'check-Jul''26'!BJ118)</f>
        <v/>
      </c>
      <c r="BK100" s="25" t="str">
        <f>IF('1. Live'!BO118='check-Jul''26'!BK118,"",'1. Live'!BO118-'check-Jul''26'!BK118)</f>
        <v/>
      </c>
      <c r="BL100" s="25" t="str">
        <f>IF('1. Live'!BP118='check-Jul''26'!BL118,"",'1. Live'!BP118-'check-Jul''26'!BL118)</f>
        <v/>
      </c>
      <c r="BM100" s="25" t="str">
        <f>IF('1. Live'!BQ118='check-Jul''26'!BM118,"",'1. Live'!BQ118-'check-Jul''26'!BM118)</f>
        <v/>
      </c>
      <c r="BN100" s="25" t="str">
        <f>IF('1. Live'!BR118='check-Jul''26'!BN118,"",'1. Live'!BR118-'check-Jul''26'!BN118)</f>
        <v/>
      </c>
      <c r="BO100" s="25" t="str">
        <f>IF('1. Live'!BS118='check-Jul''26'!BO118,"",'1. Live'!BS118-'check-Jul''26'!BO118)</f>
        <v/>
      </c>
      <c r="BP100" s="25" t="str">
        <f>IF('1. Live'!BT118='check-Jul''26'!BP118,"",'1. Live'!BT118-'check-Jul''26'!BP118)</f>
        <v/>
      </c>
      <c r="BQ100" s="25" t="str">
        <f>IF('1. Live'!BU118='check-Jul''26'!BQ118,"",'1. Live'!BU118-'check-Jul''26'!BQ118)</f>
        <v/>
      </c>
      <c r="BR100" s="25" t="str">
        <f>IF('1. Live'!BV118='check-Jul''26'!BR118,"",'1. Live'!BV118-'check-Jul''26'!BR118)</f>
        <v/>
      </c>
      <c r="BS100" s="25" t="str">
        <f>IF('1. Live'!BW118='check-Jul''26'!BS118,"",'1. Live'!BW118-'check-Jul''26'!BS118)</f>
        <v/>
      </c>
      <c r="BT100" s="25" t="str">
        <f>IF('1. Live'!BX118='check-Jul''26'!BT118,"",'1. Live'!BX118-'check-Jul''26'!BT118)</f>
        <v/>
      </c>
      <c r="BU100" s="25" t="str">
        <f>IF('1. Live'!BY118='check-Jul''26'!BU118,"",'1. Live'!BY118-'check-Jul''26'!BU118)</f>
        <v/>
      </c>
      <c r="BV100" s="25" t="str">
        <f>IF('1. Live'!BZ118='check-Jul''26'!BV118,"",'1. Live'!BZ118-'check-Jul''26'!BV118)</f>
        <v/>
      </c>
      <c r="BW100" s="25" t="str">
        <f>IF('1. Live'!CA118='check-Jul''26'!BW118,"",'1. Live'!CA118-'check-Jul''26'!BW118)</f>
        <v/>
      </c>
      <c r="BX100" s="25" t="str">
        <f>IF('1. Live'!CB118='check-Jul''26'!BX118,"",'1. Live'!CB118-'check-Jul''26'!BX118)</f>
        <v/>
      </c>
      <c r="BY100" s="25" t="str">
        <f>IF('1. Live'!CC118='check-Jul''26'!BY118,"",'1. Live'!CC118-'check-Jul''26'!BY118)</f>
        <v/>
      </c>
      <c r="BZ100" s="25" t="str">
        <f>IF('1. Live'!CD118='check-Jul''26'!BZ118,"",'1. Live'!CD118-'check-Jul''26'!BZ118)</f>
        <v/>
      </c>
      <c r="CA100" s="25" t="str">
        <f>IF('1. Live'!CE118='check-Jul''26'!CA118,"",'1. Live'!CE118-'check-Jul''26'!CA118)</f>
        <v/>
      </c>
      <c r="CB100" s="25" t="str">
        <f>IF('1. Live'!CF118='check-Jul''26'!CB118,"",'1. Live'!CF118-'check-Jul''26'!CB118)</f>
        <v/>
      </c>
      <c r="CC100" s="25" t="str">
        <f>IF('1. Live'!CG118='check-Jul''26'!CC118,"",'1. Live'!CG118-'check-Jul''26'!CC118)</f>
        <v/>
      </c>
      <c r="CD100" s="25" t="str">
        <f>IF('1. Live'!CH118='check-Jul''26'!CD118,"",'1. Live'!CH118-'check-Jul''26'!CD118)</f>
        <v/>
      </c>
      <c r="CE100" s="25" t="str">
        <f>IF('1. Live'!CI118='check-Jul''26'!CE118,"",'1. Live'!CI118-'check-Jul''26'!CE118)</f>
        <v/>
      </c>
      <c r="CF100" s="25" t="str">
        <f>IF('1. Live'!CJ118='check-Jul''26'!CF118,"",'1. Live'!CJ118-'check-Jul''26'!CF118)</f>
        <v/>
      </c>
      <c r="CG100" s="25" t="str">
        <f>IF('1. Live'!CK118='check-Jul''26'!CG118,"",'1. Live'!CK118-'check-Jul''26'!CG118)</f>
        <v/>
      </c>
      <c r="CH100" s="25" t="str">
        <f>IF('1. Live'!CL118='check-Jul''26'!CH118,"",'1. Live'!CL118-'check-Jul''26'!CH118)</f>
        <v/>
      </c>
      <c r="CI100" s="25" t="str">
        <f>IF('1. Live'!CM118='check-Jul''26'!CI118,"",'1. Live'!CM118-'check-Jul''26'!CI118)</f>
        <v/>
      </c>
      <c r="CJ100" s="25" t="str">
        <f>IF('1. Live'!CN118='check-Jul''26'!CJ118,"",'1. Live'!CN118-'check-Jul''26'!CJ118)</f>
        <v/>
      </c>
      <c r="CK100" s="25" t="str">
        <f>IF('1. Live'!CO118='check-Jul''26'!CK118,"",'1. Live'!CO118-'check-Jul''26'!CK118)</f>
        <v/>
      </c>
      <c r="CL100" s="25" t="str">
        <f>IF('1. Live'!CP118='check-Jul''26'!CL118,"",'1. Live'!CP118-'check-Jul''26'!CL118)</f>
        <v/>
      </c>
      <c r="CM100" s="25" t="str">
        <f>IF('1. Live'!CQ118='check-Jul''26'!CM118,"",'1. Live'!CQ118-'check-Jul''26'!CM118)</f>
        <v/>
      </c>
      <c r="CN100" s="25" t="str">
        <f>IF('1. Live'!CR118='check-Jul''26'!CN118,"",'1. Live'!CR118-'check-Jul''26'!CN118)</f>
        <v/>
      </c>
      <c r="CO100" s="25" t="str">
        <f>IF('1. Live'!CS118='check-Jul''26'!CO118,"",'1. Live'!CS118-'check-Jul''26'!CO118)</f>
        <v/>
      </c>
      <c r="CP100" s="25" t="str">
        <f>IF('1. Live'!CT118='check-Jul''26'!CP118,"",'1. Live'!CT118-'check-Jul''26'!CP118)</f>
        <v/>
      </c>
      <c r="CQ100" s="25" t="str">
        <f>IF('1. Live'!CU118='check-Jul''26'!CQ118,"",'1. Live'!CU118-'check-Jul''26'!CQ118)</f>
        <v/>
      </c>
      <c r="CR100" s="25" t="str">
        <f>IF('1. Live'!CV118='check-Jul''26'!CR118,"",'1. Live'!CV118-'check-Jul''26'!CR118)</f>
        <v/>
      </c>
      <c r="CS100" s="25" t="str">
        <f>IF('1. Live'!CW118='check-Jul''26'!CS118,"",'1. Live'!CW118-'check-Jul''26'!CS118)</f>
        <v/>
      </c>
      <c r="CT100" s="25" t="str">
        <f>IF('1. Live'!CX118='check-Jul''26'!CT118,"",'1. Live'!CX118-'check-Jul''26'!CT118)</f>
        <v/>
      </c>
      <c r="CU100" s="25" t="str">
        <f>IF('1. Live'!CY118='check-Jul''26'!CU118,"",'1. Live'!CY118-'check-Jul''26'!CU118)</f>
        <v/>
      </c>
      <c r="CV100" s="25" t="str">
        <f>IF('1. Live'!CZ118='check-Jul''26'!CV118,"",'1. Live'!CZ118-'check-Jul''26'!CV118)</f>
        <v/>
      </c>
    </row>
    <row r="101" spans="17:100" x14ac:dyDescent="0.25">
      <c r="Q101" s="26" t="str">
        <f>IF('1. Live'!N119='check-Jul''26'!I119,"",'1. Live'!N119-'check-Jul''26'!I119)</f>
        <v/>
      </c>
      <c r="R101" s="26" t="str">
        <f>IF('1. Live'!O119='check-Jul''26'!J119,"",'1. Live'!O119-'check-Jul''26'!J119)</f>
        <v/>
      </c>
      <c r="S101" s="26" t="str">
        <f>IF('1. Live'!P119='check-Jul''26'!K119,"",'1. Live'!P119-'check-Jul''26'!K119)</f>
        <v/>
      </c>
      <c r="T101" s="26" t="str">
        <f>IF('1. Live'!Q119='check-Jul''26'!L119,"",'1. Live'!Q119-'check-Jul''26'!L119)</f>
        <v/>
      </c>
      <c r="U101" s="80" t="str">
        <f>IF('1. Live'!R119='check-Jul''26'!M119,"",'1. Live'!R119-'check-Jul''26'!M119)</f>
        <v/>
      </c>
      <c r="V101" s="26" t="str">
        <f>IF('1. Live'!S119='check-Jul''26'!N119,"",'1. Live'!S119-'check-Jul''26'!N119)</f>
        <v/>
      </c>
      <c r="W101" s="25" t="str">
        <f>IF('1. Live'!T119='check-Jul''26'!O119,"",'1. Live'!T119-'check-Jul''26'!O119)</f>
        <v/>
      </c>
      <c r="X101" s="25" t="str">
        <f>IF('1. Live'!U119='check-Jul''26'!Q119,"",'1. Live'!U119-'check-Jul''26'!Q119)</f>
        <v/>
      </c>
      <c r="Y101" s="25" t="str">
        <f>IF('1. Live'!V119='check-Jul''26'!R119,"",'1. Live'!V119-'check-Jul''26'!R119)</f>
        <v/>
      </c>
      <c r="Z101" s="25" t="str">
        <f>IF('1. Live'!W119='check-Jul''26'!S119,"",'1. Live'!W119-'check-Jul''26'!S119)</f>
        <v/>
      </c>
      <c r="AA101" s="25" t="str">
        <f>IF('1. Live'!X119='check-Jul''26'!T119,"",'1. Live'!X119-'check-Jul''26'!T119)</f>
        <v/>
      </c>
      <c r="AB101" s="25" t="str">
        <f>IF('1. Live'!AF119='check-Jul''26'!AB119,"",'1. Live'!AF119-'check-Jul''26'!AB119)</f>
        <v/>
      </c>
      <c r="AC101" s="25" t="str">
        <f>IF('1. Live'!AG119='check-Jul''26'!AC119,"",'1. Live'!AG119-'check-Jul''26'!AC119)</f>
        <v/>
      </c>
      <c r="AD101" s="25" t="str">
        <f>IF('1. Live'!AH119='check-Jul''26'!AD119,"",'1. Live'!AH119-'check-Jul''26'!AD119)</f>
        <v/>
      </c>
      <c r="AE101" s="25" t="str">
        <f>IF('1. Live'!AI119='check-Jul''26'!AE119,"",'1. Live'!AI119-'check-Jul''26'!AE119)</f>
        <v/>
      </c>
      <c r="AF101" s="25" t="str">
        <f>IF('1. Live'!AJ119='check-Jul''26'!AF119,"",'1. Live'!AJ119-'check-Jul''26'!AF119)</f>
        <v/>
      </c>
      <c r="AG101" s="25" t="str">
        <f>IF('1. Live'!AK119='check-Jul''26'!AG119,"",'1. Live'!AK119-'check-Jul''26'!AG119)</f>
        <v/>
      </c>
      <c r="AH101" s="25" t="str">
        <f>IF('1. Live'!AL119='check-Jul''26'!AH119,"",'1. Live'!AL119-'check-Jul''26'!AH119)</f>
        <v/>
      </c>
      <c r="AI101" s="25" t="str">
        <f>IF('1. Live'!AM119='check-Jul''26'!AI119,"",'1. Live'!AM119-'check-Jul''26'!AI119)</f>
        <v/>
      </c>
      <c r="AJ101" s="25" t="str">
        <f>IF('1. Live'!AN119='check-Jul''26'!AJ119,"",'1. Live'!AN119-'check-Jul''26'!AJ119)</f>
        <v/>
      </c>
      <c r="AK101" s="25" t="str">
        <f>IF('1. Live'!AO119='check-Jul''26'!AK119,"",'1. Live'!AO119-'check-Jul''26'!AK119)</f>
        <v/>
      </c>
      <c r="AL101" s="25" t="str">
        <f>IF('1. Live'!AP119='check-Jul''26'!AL119,"",'1. Live'!AP119-'check-Jul''26'!AL119)</f>
        <v/>
      </c>
      <c r="AM101" s="25" t="str">
        <f>IF('1. Live'!AQ119='check-Jul''26'!AM119,"",'1. Live'!AQ119-'check-Jul''26'!AM119)</f>
        <v/>
      </c>
      <c r="AN101" s="25" t="str">
        <f>IF('1. Live'!AR119='check-Jul''26'!AN119,"",'1. Live'!AR119-'check-Jul''26'!AN119)</f>
        <v/>
      </c>
      <c r="AO101" s="25" t="str">
        <f>IF('1. Live'!AS119='check-Jul''26'!AO119,"",'1. Live'!AS119-'check-Jul''26'!AO119)</f>
        <v/>
      </c>
      <c r="AP101" s="25" t="str">
        <f>IF('1. Live'!AT119='check-Jul''26'!AP119,"",'1. Live'!AT119-'check-Jul''26'!AP119)</f>
        <v/>
      </c>
      <c r="AQ101" s="25" t="str">
        <f>IF('1. Live'!AU119='check-Jul''26'!AQ119,"",'1. Live'!AU119-'check-Jul''26'!AQ119)</f>
        <v/>
      </c>
      <c r="AR101" s="25" t="str">
        <f>IF('1. Live'!AV119='check-Jul''26'!AR119,"",'1. Live'!AV119-'check-Jul''26'!AR119)</f>
        <v/>
      </c>
      <c r="AS101" s="25" t="str">
        <f>IF('1. Live'!AW119='check-Jul''26'!AS119,"",'1. Live'!AW119-'check-Jul''26'!AS119)</f>
        <v/>
      </c>
      <c r="AT101" s="25" t="str">
        <f>IF('1. Live'!AX119='check-Jul''26'!AT119,"",'1. Live'!AX119-'check-Jul''26'!AT119)</f>
        <v/>
      </c>
      <c r="AU101" s="25" t="str">
        <f>IF('1. Live'!AY119='check-Jul''26'!AU119,"",'1. Live'!AY119-'check-Jul''26'!AU119)</f>
        <v/>
      </c>
      <c r="AV101" s="25" t="str">
        <f>IF('1. Live'!AZ119='check-Jul''26'!AV119,"",'1. Live'!AZ119-'check-Jul''26'!AV119)</f>
        <v/>
      </c>
      <c r="AW101" s="25" t="str">
        <f>IF('1. Live'!BA119='check-Jul''26'!AW119,"",'1. Live'!BA119-'check-Jul''26'!AW119)</f>
        <v/>
      </c>
      <c r="AX101" s="25" t="str">
        <f>IF('1. Live'!BB119='check-Jul''26'!AX119,"",'1. Live'!BB119-'check-Jul''26'!AX119)</f>
        <v/>
      </c>
      <c r="AY101" s="25" t="str">
        <f>IF('1. Live'!BC119='check-Jul''26'!AY119,"",'1. Live'!BC119-'check-Jul''26'!AY119)</f>
        <v/>
      </c>
      <c r="AZ101" s="25" t="str">
        <f>IF('1. Live'!BD119='check-Jul''26'!AZ119,"",'1. Live'!BD119-'check-Jul''26'!AZ119)</f>
        <v/>
      </c>
      <c r="BA101" s="25" t="str">
        <f>IF('1. Live'!BE119='check-Jul''26'!BA119,"",'1. Live'!BE119-'check-Jul''26'!BA119)</f>
        <v/>
      </c>
      <c r="BB101" s="25" t="str">
        <f>IF('1. Live'!BF119='check-Jul''26'!BB119,"",'1. Live'!BF119-'check-Jul''26'!BB119)</f>
        <v/>
      </c>
      <c r="BC101" s="25" t="str">
        <f>IF('1. Live'!BG119='check-Jul''26'!BC119,"",'1. Live'!BG119-'check-Jul''26'!BC119)</f>
        <v/>
      </c>
      <c r="BD101" s="25" t="str">
        <f>IF('1. Live'!BH119='check-Jul''26'!BD119,"",'1. Live'!BH119-'check-Jul''26'!BD119)</f>
        <v/>
      </c>
      <c r="BE101" s="25" t="str">
        <f>IF('1. Live'!BI119='check-Jul''26'!BE119,"",'1. Live'!BI119-'check-Jul''26'!BE119)</f>
        <v/>
      </c>
      <c r="BF101" s="25" t="str">
        <f>IF('1. Live'!BJ119='check-Jul''26'!BF119,"",'1. Live'!BJ119-'check-Jul''26'!BF119)</f>
        <v/>
      </c>
      <c r="BG101" s="25" t="str">
        <f>IF('1. Live'!BK119='check-Jul''26'!BG119,"",'1. Live'!BK119-'check-Jul''26'!BG119)</f>
        <v/>
      </c>
      <c r="BH101" s="25" t="str">
        <f>IF('1. Live'!BL119='check-Jul''26'!BH119,"",'1. Live'!BL119-'check-Jul''26'!BH119)</f>
        <v/>
      </c>
      <c r="BI101" s="25" t="str">
        <f>IF('1. Live'!BM119='check-Jul''26'!BI119,"",'1. Live'!BM119-'check-Jul''26'!BI119)</f>
        <v/>
      </c>
      <c r="BJ101" s="25" t="str">
        <f>IF('1. Live'!BN119='check-Jul''26'!BJ119,"",'1. Live'!BN119-'check-Jul''26'!BJ119)</f>
        <v/>
      </c>
      <c r="BK101" s="25" t="str">
        <f>IF('1. Live'!BO119='check-Jul''26'!BK119,"",'1. Live'!BO119-'check-Jul''26'!BK119)</f>
        <v/>
      </c>
      <c r="BL101" s="25" t="str">
        <f>IF('1. Live'!BP119='check-Jul''26'!BL119,"",'1. Live'!BP119-'check-Jul''26'!BL119)</f>
        <v/>
      </c>
      <c r="BM101" s="25" t="str">
        <f>IF('1. Live'!BQ119='check-Jul''26'!BM119,"",'1. Live'!BQ119-'check-Jul''26'!BM119)</f>
        <v/>
      </c>
      <c r="BN101" s="25" t="str">
        <f>IF('1. Live'!BR119='check-Jul''26'!BN119,"",'1. Live'!BR119-'check-Jul''26'!BN119)</f>
        <v/>
      </c>
      <c r="BO101" s="25" t="str">
        <f>IF('1. Live'!BS119='check-Jul''26'!BO119,"",'1. Live'!BS119-'check-Jul''26'!BO119)</f>
        <v/>
      </c>
      <c r="BP101" s="25" t="str">
        <f>IF('1. Live'!BT119='check-Jul''26'!BP119,"",'1. Live'!BT119-'check-Jul''26'!BP119)</f>
        <v/>
      </c>
      <c r="BQ101" s="25" t="str">
        <f>IF('1. Live'!BU119='check-Jul''26'!BQ119,"",'1. Live'!BU119-'check-Jul''26'!BQ119)</f>
        <v/>
      </c>
      <c r="BR101" s="25" t="str">
        <f>IF('1. Live'!BV119='check-Jul''26'!BR119,"",'1. Live'!BV119-'check-Jul''26'!BR119)</f>
        <v/>
      </c>
      <c r="BS101" s="25" t="str">
        <f>IF('1. Live'!BW119='check-Jul''26'!BS119,"",'1. Live'!BW119-'check-Jul''26'!BS119)</f>
        <v/>
      </c>
      <c r="BT101" s="25" t="str">
        <f>IF('1. Live'!BX119='check-Jul''26'!BT119,"",'1. Live'!BX119-'check-Jul''26'!BT119)</f>
        <v/>
      </c>
      <c r="BU101" s="25" t="str">
        <f>IF('1. Live'!BY119='check-Jul''26'!BU119,"",'1. Live'!BY119-'check-Jul''26'!BU119)</f>
        <v/>
      </c>
      <c r="BV101" s="25" t="str">
        <f>IF('1. Live'!BZ119='check-Jul''26'!BV119,"",'1. Live'!BZ119-'check-Jul''26'!BV119)</f>
        <v/>
      </c>
      <c r="BW101" s="25" t="str">
        <f>IF('1. Live'!CA119='check-Jul''26'!BW119,"",'1. Live'!CA119-'check-Jul''26'!BW119)</f>
        <v/>
      </c>
      <c r="BX101" s="25" t="str">
        <f>IF('1. Live'!CB119='check-Jul''26'!BX119,"",'1. Live'!CB119-'check-Jul''26'!BX119)</f>
        <v/>
      </c>
      <c r="BY101" s="25" t="str">
        <f>IF('1. Live'!CC119='check-Jul''26'!BY119,"",'1. Live'!CC119-'check-Jul''26'!BY119)</f>
        <v/>
      </c>
      <c r="BZ101" s="25" t="str">
        <f>IF('1. Live'!CD119='check-Jul''26'!BZ119,"",'1. Live'!CD119-'check-Jul''26'!BZ119)</f>
        <v/>
      </c>
      <c r="CA101" s="25" t="str">
        <f>IF('1. Live'!CE119='check-Jul''26'!CA119,"",'1. Live'!CE119-'check-Jul''26'!CA119)</f>
        <v/>
      </c>
      <c r="CB101" s="25" t="str">
        <f>IF('1. Live'!CF119='check-Jul''26'!CB119,"",'1. Live'!CF119-'check-Jul''26'!CB119)</f>
        <v/>
      </c>
      <c r="CC101" s="25" t="str">
        <f>IF('1. Live'!CG119='check-Jul''26'!CC119,"",'1. Live'!CG119-'check-Jul''26'!CC119)</f>
        <v/>
      </c>
      <c r="CD101" s="25" t="str">
        <f>IF('1. Live'!CH119='check-Jul''26'!CD119,"",'1. Live'!CH119-'check-Jul''26'!CD119)</f>
        <v/>
      </c>
      <c r="CE101" s="25" t="str">
        <f>IF('1. Live'!CI119='check-Jul''26'!CE119,"",'1. Live'!CI119-'check-Jul''26'!CE119)</f>
        <v/>
      </c>
      <c r="CF101" s="25" t="str">
        <f>IF('1. Live'!CJ119='check-Jul''26'!CF119,"",'1. Live'!CJ119-'check-Jul''26'!CF119)</f>
        <v/>
      </c>
      <c r="CG101" s="25" t="str">
        <f>IF('1. Live'!CK119='check-Jul''26'!CG119,"",'1. Live'!CK119-'check-Jul''26'!CG119)</f>
        <v/>
      </c>
      <c r="CH101" s="25" t="str">
        <f>IF('1. Live'!CL119='check-Jul''26'!CH119,"",'1. Live'!CL119-'check-Jul''26'!CH119)</f>
        <v/>
      </c>
      <c r="CI101" s="25" t="str">
        <f>IF('1. Live'!CM119='check-Jul''26'!CI119,"",'1. Live'!CM119-'check-Jul''26'!CI119)</f>
        <v/>
      </c>
      <c r="CJ101" s="25" t="str">
        <f>IF('1. Live'!CN119='check-Jul''26'!CJ119,"",'1. Live'!CN119-'check-Jul''26'!CJ119)</f>
        <v/>
      </c>
      <c r="CK101" s="25" t="str">
        <f>IF('1. Live'!CO119='check-Jul''26'!CK119,"",'1. Live'!CO119-'check-Jul''26'!CK119)</f>
        <v/>
      </c>
      <c r="CL101" s="25" t="str">
        <f>IF('1. Live'!CP119='check-Jul''26'!CL119,"",'1. Live'!CP119-'check-Jul''26'!CL119)</f>
        <v/>
      </c>
      <c r="CM101" s="25" t="str">
        <f>IF('1. Live'!CQ119='check-Jul''26'!CM119,"",'1. Live'!CQ119-'check-Jul''26'!CM119)</f>
        <v/>
      </c>
      <c r="CN101" s="25" t="str">
        <f>IF('1. Live'!CR119='check-Jul''26'!CN119,"",'1. Live'!CR119-'check-Jul''26'!CN119)</f>
        <v/>
      </c>
      <c r="CO101" s="25" t="str">
        <f>IF('1. Live'!CS119='check-Jul''26'!CO119,"",'1. Live'!CS119-'check-Jul''26'!CO119)</f>
        <v/>
      </c>
      <c r="CP101" s="25" t="str">
        <f>IF('1. Live'!CT119='check-Jul''26'!CP119,"",'1. Live'!CT119-'check-Jul''26'!CP119)</f>
        <v/>
      </c>
      <c r="CQ101" s="25" t="str">
        <f>IF('1. Live'!CU119='check-Jul''26'!CQ119,"",'1. Live'!CU119-'check-Jul''26'!CQ119)</f>
        <v/>
      </c>
      <c r="CR101" s="25" t="str">
        <f>IF('1. Live'!CV119='check-Jul''26'!CR119,"",'1. Live'!CV119-'check-Jul''26'!CR119)</f>
        <v/>
      </c>
      <c r="CS101" s="25" t="str">
        <f>IF('1. Live'!CW119='check-Jul''26'!CS119,"",'1. Live'!CW119-'check-Jul''26'!CS119)</f>
        <v/>
      </c>
      <c r="CT101" s="25" t="str">
        <f>IF('1. Live'!CX119='check-Jul''26'!CT119,"",'1. Live'!CX119-'check-Jul''26'!CT119)</f>
        <v/>
      </c>
      <c r="CU101" s="25" t="str">
        <f>IF('1. Live'!CY119='check-Jul''26'!CU119,"",'1. Live'!CY119-'check-Jul''26'!CU119)</f>
        <v/>
      </c>
      <c r="CV101" s="25" t="str">
        <f>IF('1. Live'!CZ119='check-Jul''26'!CV119,"",'1. Live'!CZ119-'check-Jul''26'!CV119)</f>
        <v/>
      </c>
    </row>
    <row r="102" spans="17:100" x14ac:dyDescent="0.25">
      <c r="Q102" s="26" t="str">
        <f>IF('1. Live'!N120='check-Jul''26'!I120,"",'1. Live'!N120-'check-Jul''26'!I120)</f>
        <v/>
      </c>
      <c r="R102" s="26" t="str">
        <f>IF('1. Live'!O120='check-Jul''26'!J120,"",'1. Live'!O120-'check-Jul''26'!J120)</f>
        <v/>
      </c>
      <c r="S102" s="26" t="str">
        <f>IF('1. Live'!P120='check-Jul''26'!K120,"",'1. Live'!P120-'check-Jul''26'!K120)</f>
        <v/>
      </c>
      <c r="T102" s="26" t="str">
        <f>IF('1. Live'!Q120='check-Jul''26'!L120,"",'1. Live'!Q120-'check-Jul''26'!L120)</f>
        <v/>
      </c>
      <c r="U102" s="80" t="str">
        <f>IF('1. Live'!R120='check-Jul''26'!M120,"",'1. Live'!R120-'check-Jul''26'!M120)</f>
        <v/>
      </c>
      <c r="V102" s="26" t="str">
        <f>IF('1. Live'!S120='check-Jul''26'!N120,"",'1. Live'!S120-'check-Jul''26'!N120)</f>
        <v/>
      </c>
      <c r="W102" s="25" t="str">
        <f>IF('1. Live'!T120='check-Jul''26'!O120,"",'1. Live'!T120-'check-Jul''26'!O120)</f>
        <v/>
      </c>
      <c r="X102" s="25" t="str">
        <f>IF('1. Live'!U120='check-Jul''26'!Q120,"",'1. Live'!U120-'check-Jul''26'!Q120)</f>
        <v/>
      </c>
      <c r="Y102" s="25" t="str">
        <f>IF('1. Live'!V120='check-Jul''26'!R120,"",'1. Live'!V120-'check-Jul''26'!R120)</f>
        <v/>
      </c>
      <c r="Z102" s="25" t="str">
        <f>IF('1. Live'!W120='check-Jul''26'!S120,"",'1. Live'!W120-'check-Jul''26'!S120)</f>
        <v/>
      </c>
      <c r="AA102" s="25" t="str">
        <f>IF('1. Live'!X120='check-Jul''26'!T120,"",'1. Live'!X120-'check-Jul''26'!T120)</f>
        <v/>
      </c>
      <c r="AB102" s="25" t="str">
        <f>IF('1. Live'!AF120='check-Jul''26'!AB120,"",'1. Live'!AF120-'check-Jul''26'!AB120)</f>
        <v/>
      </c>
      <c r="AC102" s="25" t="str">
        <f>IF('1. Live'!AG120='check-Jul''26'!AC120,"",'1. Live'!AG120-'check-Jul''26'!AC120)</f>
        <v/>
      </c>
      <c r="AD102" s="25" t="str">
        <f>IF('1. Live'!AH120='check-Jul''26'!AD120,"",'1. Live'!AH120-'check-Jul''26'!AD120)</f>
        <v/>
      </c>
      <c r="AE102" s="25" t="str">
        <f>IF('1. Live'!AI120='check-Jul''26'!AE120,"",'1. Live'!AI120-'check-Jul''26'!AE120)</f>
        <v/>
      </c>
      <c r="AF102" s="25" t="str">
        <f>IF('1. Live'!AJ120='check-Jul''26'!AF120,"",'1. Live'!AJ120-'check-Jul''26'!AF120)</f>
        <v/>
      </c>
      <c r="AG102" s="25" t="str">
        <f>IF('1. Live'!AK120='check-Jul''26'!AG120,"",'1. Live'!AK120-'check-Jul''26'!AG120)</f>
        <v/>
      </c>
      <c r="AH102" s="25" t="str">
        <f>IF('1. Live'!AL120='check-Jul''26'!AH120,"",'1. Live'!AL120-'check-Jul''26'!AH120)</f>
        <v/>
      </c>
      <c r="AI102" s="25" t="str">
        <f>IF('1. Live'!AM120='check-Jul''26'!AI120,"",'1. Live'!AM120-'check-Jul''26'!AI120)</f>
        <v/>
      </c>
      <c r="AJ102" s="25" t="str">
        <f>IF('1. Live'!AN120='check-Jul''26'!AJ120,"",'1. Live'!AN120-'check-Jul''26'!AJ120)</f>
        <v/>
      </c>
      <c r="AK102" s="25" t="str">
        <f>IF('1. Live'!AO120='check-Jul''26'!AK120,"",'1. Live'!AO120-'check-Jul''26'!AK120)</f>
        <v/>
      </c>
      <c r="AL102" s="25" t="str">
        <f>IF('1. Live'!AP120='check-Jul''26'!AL120,"",'1. Live'!AP120-'check-Jul''26'!AL120)</f>
        <v/>
      </c>
      <c r="AM102" s="25" t="str">
        <f>IF('1. Live'!AQ120='check-Jul''26'!AM120,"",'1. Live'!AQ120-'check-Jul''26'!AM120)</f>
        <v/>
      </c>
      <c r="AN102" s="25" t="str">
        <f>IF('1. Live'!AR120='check-Jul''26'!AN120,"",'1. Live'!AR120-'check-Jul''26'!AN120)</f>
        <v/>
      </c>
      <c r="AO102" s="25" t="str">
        <f>IF('1. Live'!AS120='check-Jul''26'!AO120,"",'1. Live'!AS120-'check-Jul''26'!AO120)</f>
        <v/>
      </c>
      <c r="AP102" s="25" t="str">
        <f>IF('1. Live'!AT120='check-Jul''26'!AP120,"",'1. Live'!AT120-'check-Jul''26'!AP120)</f>
        <v/>
      </c>
      <c r="AQ102" s="25" t="str">
        <f>IF('1. Live'!AU120='check-Jul''26'!AQ120,"",'1. Live'!AU120-'check-Jul''26'!AQ120)</f>
        <v/>
      </c>
      <c r="AR102" s="25" t="str">
        <f>IF('1. Live'!AV120='check-Jul''26'!AR120,"",'1. Live'!AV120-'check-Jul''26'!AR120)</f>
        <v/>
      </c>
      <c r="AS102" s="25" t="str">
        <f>IF('1. Live'!AW120='check-Jul''26'!AS120,"",'1. Live'!AW120-'check-Jul''26'!AS120)</f>
        <v/>
      </c>
      <c r="AT102" s="25" t="str">
        <f>IF('1. Live'!AX120='check-Jul''26'!AT120,"",'1. Live'!AX120-'check-Jul''26'!AT120)</f>
        <v/>
      </c>
      <c r="AU102" s="25" t="str">
        <f>IF('1. Live'!AY120='check-Jul''26'!AU120,"",'1. Live'!AY120-'check-Jul''26'!AU120)</f>
        <v/>
      </c>
      <c r="AV102" s="25" t="str">
        <f>IF('1. Live'!AZ120='check-Jul''26'!AV120,"",'1. Live'!AZ120-'check-Jul''26'!AV120)</f>
        <v/>
      </c>
      <c r="AW102" s="25" t="str">
        <f>IF('1. Live'!BA120='check-Jul''26'!AW120,"",'1. Live'!BA120-'check-Jul''26'!AW120)</f>
        <v/>
      </c>
      <c r="AX102" s="25" t="str">
        <f>IF('1. Live'!BB120='check-Jul''26'!AX120,"",'1. Live'!BB120-'check-Jul''26'!AX120)</f>
        <v/>
      </c>
      <c r="AY102" s="25" t="str">
        <f>IF('1. Live'!BC120='check-Jul''26'!AY120,"",'1. Live'!BC120-'check-Jul''26'!AY120)</f>
        <v/>
      </c>
      <c r="AZ102" s="25" t="str">
        <f>IF('1. Live'!BD120='check-Jul''26'!AZ120,"",'1. Live'!BD120-'check-Jul''26'!AZ120)</f>
        <v/>
      </c>
      <c r="BA102" s="25" t="str">
        <f>IF('1. Live'!BE120='check-Jul''26'!BA120,"",'1. Live'!BE120-'check-Jul''26'!BA120)</f>
        <v/>
      </c>
      <c r="BB102" s="25" t="str">
        <f>IF('1. Live'!BF120='check-Jul''26'!BB120,"",'1. Live'!BF120-'check-Jul''26'!BB120)</f>
        <v/>
      </c>
      <c r="BC102" s="25" t="str">
        <f>IF('1. Live'!BG120='check-Jul''26'!BC120,"",'1. Live'!BG120-'check-Jul''26'!BC120)</f>
        <v/>
      </c>
      <c r="BD102" s="25" t="str">
        <f>IF('1. Live'!BH120='check-Jul''26'!BD120,"",'1. Live'!BH120-'check-Jul''26'!BD120)</f>
        <v/>
      </c>
      <c r="BE102" s="25" t="str">
        <f>IF('1. Live'!BI120='check-Jul''26'!BE120,"",'1. Live'!BI120-'check-Jul''26'!BE120)</f>
        <v/>
      </c>
      <c r="BF102" s="25" t="str">
        <f>IF('1. Live'!BJ120='check-Jul''26'!BF120,"",'1. Live'!BJ120-'check-Jul''26'!BF120)</f>
        <v/>
      </c>
      <c r="BG102" s="25" t="str">
        <f>IF('1. Live'!BK120='check-Jul''26'!BG120,"",'1. Live'!BK120-'check-Jul''26'!BG120)</f>
        <v/>
      </c>
      <c r="BH102" s="25" t="str">
        <f>IF('1. Live'!BL120='check-Jul''26'!BH120,"",'1. Live'!BL120-'check-Jul''26'!BH120)</f>
        <v/>
      </c>
      <c r="BI102" s="25" t="str">
        <f>IF('1. Live'!BM120='check-Jul''26'!BI120,"",'1. Live'!BM120-'check-Jul''26'!BI120)</f>
        <v/>
      </c>
      <c r="BJ102" s="25" t="str">
        <f>IF('1. Live'!BN120='check-Jul''26'!BJ120,"",'1. Live'!BN120-'check-Jul''26'!BJ120)</f>
        <v/>
      </c>
      <c r="BK102" s="25" t="str">
        <f>IF('1. Live'!BO120='check-Jul''26'!BK120,"",'1. Live'!BO120-'check-Jul''26'!BK120)</f>
        <v/>
      </c>
      <c r="BL102" s="25" t="str">
        <f>IF('1. Live'!BP120='check-Jul''26'!BL120,"",'1. Live'!BP120-'check-Jul''26'!BL120)</f>
        <v/>
      </c>
      <c r="BM102" s="25" t="str">
        <f>IF('1. Live'!BQ120='check-Jul''26'!BM120,"",'1. Live'!BQ120-'check-Jul''26'!BM120)</f>
        <v/>
      </c>
      <c r="BN102" s="25" t="str">
        <f>IF('1. Live'!BR120='check-Jul''26'!BN120,"",'1. Live'!BR120-'check-Jul''26'!BN120)</f>
        <v/>
      </c>
      <c r="BO102" s="25" t="str">
        <f>IF('1. Live'!BS120='check-Jul''26'!BO120,"",'1. Live'!BS120-'check-Jul''26'!BO120)</f>
        <v/>
      </c>
      <c r="BP102" s="25" t="str">
        <f>IF('1. Live'!BT120='check-Jul''26'!BP120,"",'1. Live'!BT120-'check-Jul''26'!BP120)</f>
        <v/>
      </c>
      <c r="BQ102" s="25" t="str">
        <f>IF('1. Live'!BU120='check-Jul''26'!BQ120,"",'1. Live'!BU120-'check-Jul''26'!BQ120)</f>
        <v/>
      </c>
      <c r="BR102" s="25" t="str">
        <f>IF('1. Live'!BV120='check-Jul''26'!BR120,"",'1. Live'!BV120-'check-Jul''26'!BR120)</f>
        <v/>
      </c>
      <c r="BS102" s="25" t="str">
        <f>IF('1. Live'!BW120='check-Jul''26'!BS120,"",'1. Live'!BW120-'check-Jul''26'!BS120)</f>
        <v/>
      </c>
      <c r="BT102" s="25" t="str">
        <f>IF('1. Live'!BX120='check-Jul''26'!BT120,"",'1. Live'!BX120-'check-Jul''26'!BT120)</f>
        <v/>
      </c>
      <c r="BU102" s="25" t="str">
        <f>IF('1. Live'!BY120='check-Jul''26'!BU120,"",'1. Live'!BY120-'check-Jul''26'!BU120)</f>
        <v/>
      </c>
      <c r="BV102" s="25" t="str">
        <f>IF('1. Live'!BZ120='check-Jul''26'!BV120,"",'1. Live'!BZ120-'check-Jul''26'!BV120)</f>
        <v/>
      </c>
      <c r="BW102" s="25" t="str">
        <f>IF('1. Live'!CA120='check-Jul''26'!BW120,"",'1. Live'!CA120-'check-Jul''26'!BW120)</f>
        <v/>
      </c>
      <c r="BX102" s="25" t="str">
        <f>IF('1. Live'!CB120='check-Jul''26'!BX120,"",'1. Live'!CB120-'check-Jul''26'!BX120)</f>
        <v/>
      </c>
      <c r="BY102" s="25" t="str">
        <f>IF('1. Live'!CC120='check-Jul''26'!BY120,"",'1. Live'!CC120-'check-Jul''26'!BY120)</f>
        <v/>
      </c>
      <c r="BZ102" s="25" t="str">
        <f>IF('1. Live'!CD120='check-Jul''26'!BZ120,"",'1. Live'!CD120-'check-Jul''26'!BZ120)</f>
        <v/>
      </c>
      <c r="CA102" s="25" t="str">
        <f>IF('1. Live'!CE120='check-Jul''26'!CA120,"",'1. Live'!CE120-'check-Jul''26'!CA120)</f>
        <v/>
      </c>
      <c r="CB102" s="25" t="str">
        <f>IF('1. Live'!CF120='check-Jul''26'!CB120,"",'1. Live'!CF120-'check-Jul''26'!CB120)</f>
        <v/>
      </c>
      <c r="CC102" s="25" t="str">
        <f>IF('1. Live'!CG120='check-Jul''26'!CC120,"",'1. Live'!CG120-'check-Jul''26'!CC120)</f>
        <v/>
      </c>
      <c r="CD102" s="25" t="str">
        <f>IF('1. Live'!CH120='check-Jul''26'!CD120,"",'1. Live'!CH120-'check-Jul''26'!CD120)</f>
        <v/>
      </c>
      <c r="CE102" s="25" t="str">
        <f>IF('1. Live'!CI120='check-Jul''26'!CE120,"",'1. Live'!CI120-'check-Jul''26'!CE120)</f>
        <v/>
      </c>
      <c r="CF102" s="25" t="str">
        <f>IF('1. Live'!CJ120='check-Jul''26'!CF120,"",'1. Live'!CJ120-'check-Jul''26'!CF120)</f>
        <v/>
      </c>
      <c r="CG102" s="25" t="str">
        <f>IF('1. Live'!CK120='check-Jul''26'!CG120,"",'1. Live'!CK120-'check-Jul''26'!CG120)</f>
        <v/>
      </c>
      <c r="CH102" s="25" t="str">
        <f>IF('1. Live'!CL120='check-Jul''26'!CH120,"",'1. Live'!CL120-'check-Jul''26'!CH120)</f>
        <v/>
      </c>
      <c r="CI102" s="25" t="str">
        <f>IF('1. Live'!CM120='check-Jul''26'!CI120,"",'1. Live'!CM120-'check-Jul''26'!CI120)</f>
        <v/>
      </c>
      <c r="CJ102" s="25" t="str">
        <f>IF('1. Live'!CN120='check-Jul''26'!CJ120,"",'1. Live'!CN120-'check-Jul''26'!CJ120)</f>
        <v/>
      </c>
      <c r="CK102" s="25" t="str">
        <f>IF('1. Live'!CO120='check-Jul''26'!CK120,"",'1. Live'!CO120-'check-Jul''26'!CK120)</f>
        <v/>
      </c>
      <c r="CL102" s="25" t="str">
        <f>IF('1. Live'!CP120='check-Jul''26'!CL120,"",'1. Live'!CP120-'check-Jul''26'!CL120)</f>
        <v/>
      </c>
      <c r="CM102" s="25" t="str">
        <f>IF('1. Live'!CQ120='check-Jul''26'!CM120,"",'1. Live'!CQ120-'check-Jul''26'!CM120)</f>
        <v/>
      </c>
      <c r="CN102" s="25" t="str">
        <f>IF('1. Live'!CR120='check-Jul''26'!CN120,"",'1. Live'!CR120-'check-Jul''26'!CN120)</f>
        <v/>
      </c>
      <c r="CO102" s="25" t="str">
        <f>IF('1. Live'!CS120='check-Jul''26'!CO120,"",'1. Live'!CS120-'check-Jul''26'!CO120)</f>
        <v/>
      </c>
      <c r="CP102" s="25" t="str">
        <f>IF('1. Live'!CT120='check-Jul''26'!CP120,"",'1. Live'!CT120-'check-Jul''26'!CP120)</f>
        <v/>
      </c>
      <c r="CQ102" s="25" t="str">
        <f>IF('1. Live'!CU120='check-Jul''26'!CQ120,"",'1. Live'!CU120-'check-Jul''26'!CQ120)</f>
        <v/>
      </c>
      <c r="CR102" s="25" t="str">
        <f>IF('1. Live'!CV120='check-Jul''26'!CR120,"",'1. Live'!CV120-'check-Jul''26'!CR120)</f>
        <v/>
      </c>
      <c r="CS102" s="25" t="str">
        <f>IF('1. Live'!CW120='check-Jul''26'!CS120,"",'1. Live'!CW120-'check-Jul''26'!CS120)</f>
        <v/>
      </c>
      <c r="CT102" s="25" t="str">
        <f>IF('1. Live'!CX120='check-Jul''26'!CT120,"",'1. Live'!CX120-'check-Jul''26'!CT120)</f>
        <v/>
      </c>
      <c r="CU102" s="25" t="str">
        <f>IF('1. Live'!CY120='check-Jul''26'!CU120,"",'1. Live'!CY120-'check-Jul''26'!CU120)</f>
        <v/>
      </c>
      <c r="CV102" s="25" t="str">
        <f>IF('1. Live'!CZ120='check-Jul''26'!CV120,"",'1. Live'!CZ120-'check-Jul''26'!CV120)</f>
        <v/>
      </c>
    </row>
    <row r="103" spans="17:100" x14ac:dyDescent="0.25">
      <c r="Q103" s="26" t="str">
        <f>IF('1. Live'!N121='check-Jul''26'!I121,"",'1. Live'!N121-'check-Jul''26'!I121)</f>
        <v/>
      </c>
      <c r="R103" s="26" t="str">
        <f>IF('1. Live'!O121='check-Jul''26'!J121,"",'1. Live'!O121-'check-Jul''26'!J121)</f>
        <v/>
      </c>
      <c r="S103" s="26" t="str">
        <f>IF('1. Live'!P121='check-Jul''26'!K121,"",'1. Live'!P121-'check-Jul''26'!K121)</f>
        <v/>
      </c>
      <c r="T103" s="26" t="str">
        <f>IF('1. Live'!Q121='check-Jul''26'!L121,"",'1. Live'!Q121-'check-Jul''26'!L121)</f>
        <v/>
      </c>
      <c r="U103" s="80" t="str">
        <f>IF('1. Live'!R121='check-Jul''26'!M121,"",'1. Live'!R121-'check-Jul''26'!M121)</f>
        <v/>
      </c>
      <c r="V103" s="26" t="str">
        <f>IF('1. Live'!S121='check-Jul''26'!N121,"",'1. Live'!S121-'check-Jul''26'!N121)</f>
        <v/>
      </c>
      <c r="W103" s="25" t="str">
        <f>IF('1. Live'!T121='check-Jul''26'!O121,"",'1. Live'!T121-'check-Jul''26'!O121)</f>
        <v/>
      </c>
      <c r="X103" s="25" t="str">
        <f>IF('1. Live'!U121='check-Jul''26'!Q121,"",'1. Live'!U121-'check-Jul''26'!Q121)</f>
        <v/>
      </c>
      <c r="Y103" s="25" t="str">
        <f>IF('1. Live'!V121='check-Jul''26'!R121,"",'1. Live'!V121-'check-Jul''26'!R121)</f>
        <v/>
      </c>
      <c r="Z103" s="25" t="str">
        <f>IF('1. Live'!W121='check-Jul''26'!S121,"",'1. Live'!W121-'check-Jul''26'!S121)</f>
        <v/>
      </c>
      <c r="AA103" s="25" t="str">
        <f>IF('1. Live'!X121='check-Jul''26'!T121,"",'1. Live'!X121-'check-Jul''26'!T121)</f>
        <v/>
      </c>
      <c r="AB103" s="25" t="str">
        <f>IF('1. Live'!AF121='check-Jul''26'!AB121,"",'1. Live'!AF121-'check-Jul''26'!AB121)</f>
        <v/>
      </c>
      <c r="AC103" s="25" t="str">
        <f>IF('1. Live'!AG121='check-Jul''26'!AC121,"",'1. Live'!AG121-'check-Jul''26'!AC121)</f>
        <v/>
      </c>
      <c r="AD103" s="25" t="str">
        <f>IF('1. Live'!AH121='check-Jul''26'!AD121,"",'1. Live'!AH121-'check-Jul''26'!AD121)</f>
        <v/>
      </c>
      <c r="AE103" s="25" t="str">
        <f>IF('1. Live'!AI121='check-Jul''26'!AE121,"",'1. Live'!AI121-'check-Jul''26'!AE121)</f>
        <v/>
      </c>
      <c r="AF103" s="25" t="str">
        <f>IF('1. Live'!AJ121='check-Jul''26'!AF121,"",'1. Live'!AJ121-'check-Jul''26'!AF121)</f>
        <v/>
      </c>
      <c r="AG103" s="25" t="str">
        <f>IF('1. Live'!AK121='check-Jul''26'!AG121,"",'1. Live'!AK121-'check-Jul''26'!AG121)</f>
        <v/>
      </c>
      <c r="AH103" s="25" t="str">
        <f>IF('1. Live'!AL121='check-Jul''26'!AH121,"",'1. Live'!AL121-'check-Jul''26'!AH121)</f>
        <v/>
      </c>
      <c r="AI103" s="25" t="str">
        <f>IF('1. Live'!AM121='check-Jul''26'!AI121,"",'1. Live'!AM121-'check-Jul''26'!AI121)</f>
        <v/>
      </c>
      <c r="AJ103" s="25" t="str">
        <f>IF('1. Live'!AN121='check-Jul''26'!AJ121,"",'1. Live'!AN121-'check-Jul''26'!AJ121)</f>
        <v/>
      </c>
      <c r="AK103" s="25" t="str">
        <f>IF('1. Live'!AO121='check-Jul''26'!AK121,"",'1. Live'!AO121-'check-Jul''26'!AK121)</f>
        <v/>
      </c>
      <c r="AL103" s="25" t="str">
        <f>IF('1. Live'!AP121='check-Jul''26'!AL121,"",'1. Live'!AP121-'check-Jul''26'!AL121)</f>
        <v/>
      </c>
      <c r="AM103" s="25" t="str">
        <f>IF('1. Live'!AQ121='check-Jul''26'!AM121,"",'1. Live'!AQ121-'check-Jul''26'!AM121)</f>
        <v/>
      </c>
      <c r="AN103" s="25" t="str">
        <f>IF('1. Live'!AR121='check-Jul''26'!AN121,"",'1. Live'!AR121-'check-Jul''26'!AN121)</f>
        <v/>
      </c>
      <c r="AO103" s="25" t="str">
        <f>IF('1. Live'!AS121='check-Jul''26'!AO121,"",'1. Live'!AS121-'check-Jul''26'!AO121)</f>
        <v/>
      </c>
      <c r="AP103" s="25" t="str">
        <f>IF('1. Live'!AT121='check-Jul''26'!AP121,"",'1. Live'!AT121-'check-Jul''26'!AP121)</f>
        <v/>
      </c>
      <c r="AQ103" s="25" t="str">
        <f>IF('1. Live'!AU121='check-Jul''26'!AQ121,"",'1. Live'!AU121-'check-Jul''26'!AQ121)</f>
        <v/>
      </c>
      <c r="AR103" s="25" t="str">
        <f>IF('1. Live'!AV121='check-Jul''26'!AR121,"",'1. Live'!AV121-'check-Jul''26'!AR121)</f>
        <v/>
      </c>
      <c r="AS103" s="25" t="str">
        <f>IF('1. Live'!AW121='check-Jul''26'!AS121,"",'1. Live'!AW121-'check-Jul''26'!AS121)</f>
        <v/>
      </c>
      <c r="AT103" s="25" t="str">
        <f>IF('1. Live'!AX121='check-Jul''26'!AT121,"",'1. Live'!AX121-'check-Jul''26'!AT121)</f>
        <v/>
      </c>
      <c r="AU103" s="25" t="str">
        <f>IF('1. Live'!AY121='check-Jul''26'!AU121,"",'1. Live'!AY121-'check-Jul''26'!AU121)</f>
        <v/>
      </c>
      <c r="AV103" s="25" t="str">
        <f>IF('1. Live'!AZ121='check-Jul''26'!AV121,"",'1. Live'!AZ121-'check-Jul''26'!AV121)</f>
        <v/>
      </c>
      <c r="AW103" s="25" t="str">
        <f>IF('1. Live'!BA121='check-Jul''26'!AW121,"",'1. Live'!BA121-'check-Jul''26'!AW121)</f>
        <v/>
      </c>
      <c r="AX103" s="25" t="str">
        <f>IF('1. Live'!BB121='check-Jul''26'!AX121,"",'1. Live'!BB121-'check-Jul''26'!AX121)</f>
        <v/>
      </c>
      <c r="AY103" s="25" t="str">
        <f>IF('1. Live'!BC121='check-Jul''26'!AY121,"",'1. Live'!BC121-'check-Jul''26'!AY121)</f>
        <v/>
      </c>
      <c r="AZ103" s="25" t="str">
        <f>IF('1. Live'!BD121='check-Jul''26'!AZ121,"",'1. Live'!BD121-'check-Jul''26'!AZ121)</f>
        <v/>
      </c>
      <c r="BA103" s="25" t="str">
        <f>IF('1. Live'!BE121='check-Jul''26'!BA121,"",'1. Live'!BE121-'check-Jul''26'!BA121)</f>
        <v/>
      </c>
      <c r="BB103" s="25" t="str">
        <f>IF('1. Live'!BF121='check-Jul''26'!BB121,"",'1. Live'!BF121-'check-Jul''26'!BB121)</f>
        <v/>
      </c>
      <c r="BC103" s="25" t="str">
        <f>IF('1. Live'!BG121='check-Jul''26'!BC121,"",'1. Live'!BG121-'check-Jul''26'!BC121)</f>
        <v/>
      </c>
      <c r="BD103" s="25" t="str">
        <f>IF('1. Live'!BH121='check-Jul''26'!BD121,"",'1. Live'!BH121-'check-Jul''26'!BD121)</f>
        <v/>
      </c>
      <c r="BE103" s="25" t="str">
        <f>IF('1. Live'!BI121='check-Jul''26'!BE121,"",'1. Live'!BI121-'check-Jul''26'!BE121)</f>
        <v/>
      </c>
      <c r="BF103" s="25" t="str">
        <f>IF('1. Live'!BJ121='check-Jul''26'!BF121,"",'1. Live'!BJ121-'check-Jul''26'!BF121)</f>
        <v/>
      </c>
      <c r="BG103" s="25" t="str">
        <f>IF('1. Live'!BK121='check-Jul''26'!BG121,"",'1. Live'!BK121-'check-Jul''26'!BG121)</f>
        <v/>
      </c>
      <c r="BH103" s="25" t="str">
        <f>IF('1. Live'!BL121='check-Jul''26'!BH121,"",'1. Live'!BL121-'check-Jul''26'!BH121)</f>
        <v/>
      </c>
      <c r="BI103" s="25" t="str">
        <f>IF('1. Live'!BM121='check-Jul''26'!BI121,"",'1. Live'!BM121-'check-Jul''26'!BI121)</f>
        <v/>
      </c>
      <c r="BJ103" s="25" t="str">
        <f>IF('1. Live'!BN121='check-Jul''26'!BJ121,"",'1. Live'!BN121-'check-Jul''26'!BJ121)</f>
        <v/>
      </c>
      <c r="BK103" s="25" t="str">
        <f>IF('1. Live'!BO121='check-Jul''26'!BK121,"",'1. Live'!BO121-'check-Jul''26'!BK121)</f>
        <v/>
      </c>
      <c r="BL103" s="25" t="str">
        <f>IF('1. Live'!BP121='check-Jul''26'!BL121,"",'1. Live'!BP121-'check-Jul''26'!BL121)</f>
        <v/>
      </c>
      <c r="BM103" s="25" t="str">
        <f>IF('1. Live'!BQ121='check-Jul''26'!BM121,"",'1. Live'!BQ121-'check-Jul''26'!BM121)</f>
        <v/>
      </c>
      <c r="BN103" s="25" t="str">
        <f>IF('1. Live'!BR121='check-Jul''26'!BN121,"",'1. Live'!BR121-'check-Jul''26'!BN121)</f>
        <v/>
      </c>
      <c r="BO103" s="25" t="str">
        <f>IF('1. Live'!BS121='check-Jul''26'!BO121,"",'1. Live'!BS121-'check-Jul''26'!BO121)</f>
        <v/>
      </c>
      <c r="BP103" s="25" t="str">
        <f>IF('1. Live'!BT121='check-Jul''26'!BP121,"",'1. Live'!BT121-'check-Jul''26'!BP121)</f>
        <v/>
      </c>
      <c r="BQ103" s="25" t="str">
        <f>IF('1. Live'!BU121='check-Jul''26'!BQ121,"",'1. Live'!BU121-'check-Jul''26'!BQ121)</f>
        <v/>
      </c>
      <c r="BR103" s="25" t="str">
        <f>IF('1. Live'!BV121='check-Jul''26'!BR121,"",'1. Live'!BV121-'check-Jul''26'!BR121)</f>
        <v/>
      </c>
      <c r="BS103" s="25" t="str">
        <f>IF('1. Live'!BW121='check-Jul''26'!BS121,"",'1. Live'!BW121-'check-Jul''26'!BS121)</f>
        <v/>
      </c>
      <c r="BT103" s="25" t="str">
        <f>IF('1. Live'!BX121='check-Jul''26'!BT121,"",'1. Live'!BX121-'check-Jul''26'!BT121)</f>
        <v/>
      </c>
      <c r="BU103" s="25" t="str">
        <f>IF('1. Live'!BY121='check-Jul''26'!BU121,"",'1. Live'!BY121-'check-Jul''26'!BU121)</f>
        <v/>
      </c>
      <c r="BV103" s="25" t="str">
        <f>IF('1. Live'!BZ121='check-Jul''26'!BV121,"",'1. Live'!BZ121-'check-Jul''26'!BV121)</f>
        <v/>
      </c>
      <c r="BW103" s="25" t="str">
        <f>IF('1. Live'!CA121='check-Jul''26'!BW121,"",'1. Live'!CA121-'check-Jul''26'!BW121)</f>
        <v/>
      </c>
      <c r="BX103" s="25" t="str">
        <f>IF('1. Live'!CB121='check-Jul''26'!BX121,"",'1. Live'!CB121-'check-Jul''26'!BX121)</f>
        <v/>
      </c>
      <c r="BY103" s="25" t="str">
        <f>IF('1. Live'!CC121='check-Jul''26'!BY121,"",'1. Live'!CC121-'check-Jul''26'!BY121)</f>
        <v/>
      </c>
      <c r="BZ103" s="25" t="str">
        <f>IF('1. Live'!CD121='check-Jul''26'!BZ121,"",'1. Live'!CD121-'check-Jul''26'!BZ121)</f>
        <v/>
      </c>
      <c r="CA103" s="25" t="str">
        <f>IF('1. Live'!CE121='check-Jul''26'!CA121,"",'1. Live'!CE121-'check-Jul''26'!CA121)</f>
        <v/>
      </c>
      <c r="CB103" s="25" t="str">
        <f>IF('1. Live'!CF121='check-Jul''26'!CB121,"",'1. Live'!CF121-'check-Jul''26'!CB121)</f>
        <v/>
      </c>
      <c r="CC103" s="25" t="str">
        <f>IF('1. Live'!CG121='check-Jul''26'!CC121,"",'1. Live'!CG121-'check-Jul''26'!CC121)</f>
        <v/>
      </c>
      <c r="CD103" s="25" t="str">
        <f>IF('1. Live'!CH121='check-Jul''26'!CD121,"",'1. Live'!CH121-'check-Jul''26'!CD121)</f>
        <v/>
      </c>
      <c r="CE103" s="25" t="str">
        <f>IF('1. Live'!CI121='check-Jul''26'!CE121,"",'1. Live'!CI121-'check-Jul''26'!CE121)</f>
        <v/>
      </c>
      <c r="CF103" s="25" t="str">
        <f>IF('1. Live'!CJ121='check-Jul''26'!CF121,"",'1. Live'!CJ121-'check-Jul''26'!CF121)</f>
        <v/>
      </c>
      <c r="CG103" s="25" t="str">
        <f>IF('1. Live'!CK121='check-Jul''26'!CG121,"",'1. Live'!CK121-'check-Jul''26'!CG121)</f>
        <v/>
      </c>
      <c r="CH103" s="25" t="str">
        <f>IF('1. Live'!CL121='check-Jul''26'!CH121,"",'1. Live'!CL121-'check-Jul''26'!CH121)</f>
        <v/>
      </c>
      <c r="CI103" s="25" t="str">
        <f>IF('1. Live'!CM121='check-Jul''26'!CI121,"",'1. Live'!CM121-'check-Jul''26'!CI121)</f>
        <v/>
      </c>
      <c r="CJ103" s="25" t="str">
        <f>IF('1. Live'!CN121='check-Jul''26'!CJ121,"",'1. Live'!CN121-'check-Jul''26'!CJ121)</f>
        <v/>
      </c>
      <c r="CK103" s="25" t="str">
        <f>IF('1. Live'!CO121='check-Jul''26'!CK121,"",'1. Live'!CO121-'check-Jul''26'!CK121)</f>
        <v/>
      </c>
      <c r="CL103" s="25" t="str">
        <f>IF('1. Live'!CP121='check-Jul''26'!CL121,"",'1. Live'!CP121-'check-Jul''26'!CL121)</f>
        <v/>
      </c>
      <c r="CM103" s="25" t="str">
        <f>IF('1. Live'!CQ121='check-Jul''26'!CM121,"",'1. Live'!CQ121-'check-Jul''26'!CM121)</f>
        <v/>
      </c>
      <c r="CN103" s="25" t="str">
        <f>IF('1. Live'!CR121='check-Jul''26'!CN121,"",'1. Live'!CR121-'check-Jul''26'!CN121)</f>
        <v/>
      </c>
      <c r="CO103" s="25" t="str">
        <f>IF('1. Live'!CS121='check-Jul''26'!CO121,"",'1. Live'!CS121-'check-Jul''26'!CO121)</f>
        <v/>
      </c>
      <c r="CP103" s="25" t="str">
        <f>IF('1. Live'!CT121='check-Jul''26'!CP121,"",'1. Live'!CT121-'check-Jul''26'!CP121)</f>
        <v/>
      </c>
      <c r="CQ103" s="25" t="str">
        <f>IF('1. Live'!CU121='check-Jul''26'!CQ121,"",'1. Live'!CU121-'check-Jul''26'!CQ121)</f>
        <v/>
      </c>
      <c r="CR103" s="25" t="str">
        <f>IF('1. Live'!CV121='check-Jul''26'!CR121,"",'1. Live'!CV121-'check-Jul''26'!CR121)</f>
        <v/>
      </c>
      <c r="CS103" s="25" t="str">
        <f>IF('1. Live'!CW121='check-Jul''26'!CS121,"",'1. Live'!CW121-'check-Jul''26'!CS121)</f>
        <v/>
      </c>
      <c r="CT103" s="25" t="str">
        <f>IF('1. Live'!CX121='check-Jul''26'!CT121,"",'1. Live'!CX121-'check-Jul''26'!CT121)</f>
        <v/>
      </c>
      <c r="CU103" s="25" t="str">
        <f>IF('1. Live'!CY121='check-Jul''26'!CU121,"",'1. Live'!CY121-'check-Jul''26'!CU121)</f>
        <v/>
      </c>
      <c r="CV103" s="25" t="str">
        <f>IF('1. Live'!CZ121='check-Jul''26'!CV121,"",'1. Live'!CZ121-'check-Jul''26'!CV121)</f>
        <v/>
      </c>
    </row>
    <row r="104" spans="17:100" x14ac:dyDescent="0.25">
      <c r="Q104" s="26" t="str">
        <f>IF('1. Live'!N122='check-Jul''26'!I122,"",'1. Live'!N122-'check-Jul''26'!I122)</f>
        <v/>
      </c>
      <c r="R104" s="26" t="str">
        <f>IF('1. Live'!O122='check-Jul''26'!J122,"",'1. Live'!O122-'check-Jul''26'!J122)</f>
        <v/>
      </c>
      <c r="S104" s="26" t="str">
        <f>IF('1. Live'!P122='check-Jul''26'!K122,"",'1. Live'!P122-'check-Jul''26'!K122)</f>
        <v/>
      </c>
      <c r="T104" s="26" t="str">
        <f>IF('1. Live'!Q122='check-Jul''26'!L122,"",'1. Live'!Q122-'check-Jul''26'!L122)</f>
        <v/>
      </c>
      <c r="U104" s="80" t="str">
        <f>IF('1. Live'!R122='check-Jul''26'!M122,"",'1. Live'!R122-'check-Jul''26'!M122)</f>
        <v/>
      </c>
      <c r="V104" s="26" t="str">
        <f>IF('1. Live'!S122='check-Jul''26'!N122,"",'1. Live'!S122-'check-Jul''26'!N122)</f>
        <v/>
      </c>
      <c r="W104" s="25" t="str">
        <f>IF('1. Live'!T122='check-Jul''26'!O122,"",'1. Live'!T122-'check-Jul''26'!O122)</f>
        <v/>
      </c>
      <c r="X104" s="25" t="str">
        <f>IF('1. Live'!U122='check-Jul''26'!Q122,"",'1. Live'!U122-'check-Jul''26'!Q122)</f>
        <v/>
      </c>
      <c r="Y104" s="25" t="str">
        <f>IF('1. Live'!V122='check-Jul''26'!R122,"",'1. Live'!V122-'check-Jul''26'!R122)</f>
        <v/>
      </c>
      <c r="Z104" s="25" t="str">
        <f>IF('1. Live'!W122='check-Jul''26'!S122,"",'1. Live'!W122-'check-Jul''26'!S122)</f>
        <v/>
      </c>
      <c r="AA104" s="25" t="str">
        <f>IF('1. Live'!X122='check-Jul''26'!T122,"",'1. Live'!X122-'check-Jul''26'!T122)</f>
        <v/>
      </c>
      <c r="AB104" s="25" t="str">
        <f>IF('1. Live'!AF122='check-Jul''26'!AB122,"",'1. Live'!AF122-'check-Jul''26'!AB122)</f>
        <v/>
      </c>
      <c r="AC104" s="25" t="str">
        <f>IF('1. Live'!AG122='check-Jul''26'!AC122,"",'1. Live'!AG122-'check-Jul''26'!AC122)</f>
        <v/>
      </c>
      <c r="AD104" s="25" t="str">
        <f>IF('1. Live'!AH122='check-Jul''26'!AD122,"",'1. Live'!AH122-'check-Jul''26'!AD122)</f>
        <v/>
      </c>
      <c r="AE104" s="25" t="str">
        <f>IF('1. Live'!AI122='check-Jul''26'!AE122,"",'1. Live'!AI122-'check-Jul''26'!AE122)</f>
        <v/>
      </c>
      <c r="AF104" s="25" t="str">
        <f>IF('1. Live'!AJ122='check-Jul''26'!AF122,"",'1. Live'!AJ122-'check-Jul''26'!AF122)</f>
        <v/>
      </c>
      <c r="AG104" s="25" t="str">
        <f>IF('1. Live'!AK122='check-Jul''26'!AG122,"",'1. Live'!AK122-'check-Jul''26'!AG122)</f>
        <v/>
      </c>
      <c r="AH104" s="25" t="str">
        <f>IF('1. Live'!AL122='check-Jul''26'!AH122,"",'1. Live'!AL122-'check-Jul''26'!AH122)</f>
        <v/>
      </c>
      <c r="AI104" s="25" t="str">
        <f>IF('1. Live'!AM122='check-Jul''26'!AI122,"",'1. Live'!AM122-'check-Jul''26'!AI122)</f>
        <v/>
      </c>
      <c r="AJ104" s="25" t="str">
        <f>IF('1. Live'!AN122='check-Jul''26'!AJ122,"",'1. Live'!AN122-'check-Jul''26'!AJ122)</f>
        <v/>
      </c>
      <c r="AK104" s="25" t="str">
        <f>IF('1. Live'!AO122='check-Jul''26'!AK122,"",'1. Live'!AO122-'check-Jul''26'!AK122)</f>
        <v/>
      </c>
      <c r="AL104" s="25" t="str">
        <f>IF('1. Live'!AP122='check-Jul''26'!AL122,"",'1. Live'!AP122-'check-Jul''26'!AL122)</f>
        <v/>
      </c>
      <c r="AM104" s="25" t="str">
        <f>IF('1. Live'!AQ122='check-Jul''26'!AM122,"",'1. Live'!AQ122-'check-Jul''26'!AM122)</f>
        <v/>
      </c>
      <c r="AN104" s="25" t="str">
        <f>IF('1. Live'!AR122='check-Jul''26'!AN122,"",'1. Live'!AR122-'check-Jul''26'!AN122)</f>
        <v/>
      </c>
      <c r="AO104" s="25" t="str">
        <f>IF('1. Live'!AS122='check-Jul''26'!AO122,"",'1. Live'!AS122-'check-Jul''26'!AO122)</f>
        <v/>
      </c>
      <c r="AP104" s="25" t="str">
        <f>IF('1. Live'!AT122='check-Jul''26'!AP122,"",'1. Live'!AT122-'check-Jul''26'!AP122)</f>
        <v/>
      </c>
      <c r="AQ104" s="25" t="str">
        <f>IF('1. Live'!AU122='check-Jul''26'!AQ122,"",'1. Live'!AU122-'check-Jul''26'!AQ122)</f>
        <v/>
      </c>
      <c r="AR104" s="25" t="str">
        <f>IF('1. Live'!AV122='check-Jul''26'!AR122,"",'1. Live'!AV122-'check-Jul''26'!AR122)</f>
        <v/>
      </c>
      <c r="AS104" s="25" t="str">
        <f>IF('1. Live'!AW122='check-Jul''26'!AS122,"",'1. Live'!AW122-'check-Jul''26'!AS122)</f>
        <v/>
      </c>
      <c r="AT104" s="25" t="str">
        <f>IF('1. Live'!AX122='check-Jul''26'!AT122,"",'1. Live'!AX122-'check-Jul''26'!AT122)</f>
        <v/>
      </c>
      <c r="AU104" s="25" t="str">
        <f>IF('1. Live'!AY122='check-Jul''26'!AU122,"",'1. Live'!AY122-'check-Jul''26'!AU122)</f>
        <v/>
      </c>
      <c r="AV104" s="25" t="str">
        <f>IF('1. Live'!AZ122='check-Jul''26'!AV122,"",'1. Live'!AZ122-'check-Jul''26'!AV122)</f>
        <v/>
      </c>
      <c r="AW104" s="25" t="str">
        <f>IF('1. Live'!BA122='check-Jul''26'!AW122,"",'1. Live'!BA122-'check-Jul''26'!AW122)</f>
        <v/>
      </c>
      <c r="AX104" s="25" t="str">
        <f>IF('1. Live'!BB122='check-Jul''26'!AX122,"",'1. Live'!BB122-'check-Jul''26'!AX122)</f>
        <v/>
      </c>
      <c r="AY104" s="25" t="str">
        <f>IF('1. Live'!BC122='check-Jul''26'!AY122,"",'1. Live'!BC122-'check-Jul''26'!AY122)</f>
        <v/>
      </c>
      <c r="AZ104" s="25" t="str">
        <f>IF('1. Live'!BD122='check-Jul''26'!AZ122,"",'1. Live'!BD122-'check-Jul''26'!AZ122)</f>
        <v/>
      </c>
      <c r="BA104" s="25" t="str">
        <f>IF('1. Live'!BE122='check-Jul''26'!BA122,"",'1. Live'!BE122-'check-Jul''26'!BA122)</f>
        <v/>
      </c>
      <c r="BB104" s="25" t="str">
        <f>IF('1. Live'!BF122='check-Jul''26'!BB122,"",'1. Live'!BF122-'check-Jul''26'!BB122)</f>
        <v/>
      </c>
      <c r="BC104" s="25" t="str">
        <f>IF('1. Live'!BG122='check-Jul''26'!BC122,"",'1. Live'!BG122-'check-Jul''26'!BC122)</f>
        <v/>
      </c>
      <c r="BD104" s="25" t="str">
        <f>IF('1. Live'!BH122='check-Jul''26'!BD122,"",'1. Live'!BH122-'check-Jul''26'!BD122)</f>
        <v/>
      </c>
      <c r="BE104" s="25" t="str">
        <f>IF('1. Live'!BI122='check-Jul''26'!BE122,"",'1. Live'!BI122-'check-Jul''26'!BE122)</f>
        <v/>
      </c>
      <c r="BF104" s="25" t="str">
        <f>IF('1. Live'!BJ122='check-Jul''26'!BF122,"",'1. Live'!BJ122-'check-Jul''26'!BF122)</f>
        <v/>
      </c>
      <c r="BG104" s="25" t="str">
        <f>IF('1. Live'!BK122='check-Jul''26'!BG122,"",'1. Live'!BK122-'check-Jul''26'!BG122)</f>
        <v/>
      </c>
      <c r="BH104" s="25" t="str">
        <f>IF('1. Live'!BL122='check-Jul''26'!BH122,"",'1. Live'!BL122-'check-Jul''26'!BH122)</f>
        <v/>
      </c>
      <c r="BI104" s="25" t="str">
        <f>IF('1. Live'!BM122='check-Jul''26'!BI122,"",'1. Live'!BM122-'check-Jul''26'!BI122)</f>
        <v/>
      </c>
      <c r="BJ104" s="25" t="str">
        <f>IF('1. Live'!BN122='check-Jul''26'!BJ122,"",'1. Live'!BN122-'check-Jul''26'!BJ122)</f>
        <v/>
      </c>
      <c r="BK104" s="25" t="str">
        <f>IF('1. Live'!BO122='check-Jul''26'!BK122,"",'1. Live'!BO122-'check-Jul''26'!BK122)</f>
        <v/>
      </c>
      <c r="BL104" s="25" t="str">
        <f>IF('1. Live'!BP122='check-Jul''26'!BL122,"",'1. Live'!BP122-'check-Jul''26'!BL122)</f>
        <v/>
      </c>
      <c r="BM104" s="25" t="str">
        <f>IF('1. Live'!BQ122='check-Jul''26'!BM122,"",'1. Live'!BQ122-'check-Jul''26'!BM122)</f>
        <v/>
      </c>
      <c r="BN104" s="25" t="str">
        <f>IF('1. Live'!BR122='check-Jul''26'!BN122,"",'1. Live'!BR122-'check-Jul''26'!BN122)</f>
        <v/>
      </c>
      <c r="BO104" s="25" t="str">
        <f>IF('1. Live'!BS122='check-Jul''26'!BO122,"",'1. Live'!BS122-'check-Jul''26'!BO122)</f>
        <v/>
      </c>
      <c r="BP104" s="25" t="str">
        <f>IF('1. Live'!BT122='check-Jul''26'!BP122,"",'1. Live'!BT122-'check-Jul''26'!BP122)</f>
        <v/>
      </c>
      <c r="BQ104" s="25" t="str">
        <f>IF('1. Live'!BU122='check-Jul''26'!BQ122,"",'1. Live'!BU122-'check-Jul''26'!BQ122)</f>
        <v/>
      </c>
      <c r="BR104" s="25" t="str">
        <f>IF('1. Live'!BV122='check-Jul''26'!BR122,"",'1. Live'!BV122-'check-Jul''26'!BR122)</f>
        <v/>
      </c>
      <c r="BS104" s="25" t="str">
        <f>IF('1. Live'!BW122='check-Jul''26'!BS122,"",'1. Live'!BW122-'check-Jul''26'!BS122)</f>
        <v/>
      </c>
      <c r="BT104" s="25" t="str">
        <f>IF('1. Live'!BX122='check-Jul''26'!BT122,"",'1. Live'!BX122-'check-Jul''26'!BT122)</f>
        <v/>
      </c>
      <c r="BU104" s="25" t="str">
        <f>IF('1. Live'!BY122='check-Jul''26'!BU122,"",'1. Live'!BY122-'check-Jul''26'!BU122)</f>
        <v/>
      </c>
      <c r="BV104" s="25" t="str">
        <f>IF('1. Live'!BZ122='check-Jul''26'!BV122,"",'1. Live'!BZ122-'check-Jul''26'!BV122)</f>
        <v/>
      </c>
      <c r="BW104" s="25" t="str">
        <f>IF('1. Live'!CA122='check-Jul''26'!BW122,"",'1. Live'!CA122-'check-Jul''26'!BW122)</f>
        <v/>
      </c>
      <c r="BX104" s="25" t="str">
        <f>IF('1. Live'!CB122='check-Jul''26'!BX122,"",'1. Live'!CB122-'check-Jul''26'!BX122)</f>
        <v/>
      </c>
      <c r="BY104" s="25" t="str">
        <f>IF('1. Live'!CC122='check-Jul''26'!BY122,"",'1. Live'!CC122-'check-Jul''26'!BY122)</f>
        <v/>
      </c>
      <c r="BZ104" s="25" t="str">
        <f>IF('1. Live'!CD122='check-Jul''26'!BZ122,"",'1. Live'!CD122-'check-Jul''26'!BZ122)</f>
        <v/>
      </c>
      <c r="CA104" s="25" t="str">
        <f>IF('1. Live'!CE122='check-Jul''26'!CA122,"",'1. Live'!CE122-'check-Jul''26'!CA122)</f>
        <v/>
      </c>
      <c r="CB104" s="25" t="str">
        <f>IF('1. Live'!CF122='check-Jul''26'!CB122,"",'1. Live'!CF122-'check-Jul''26'!CB122)</f>
        <v/>
      </c>
      <c r="CC104" s="25" t="str">
        <f>IF('1. Live'!CG122='check-Jul''26'!CC122,"",'1. Live'!CG122-'check-Jul''26'!CC122)</f>
        <v/>
      </c>
      <c r="CD104" s="25" t="str">
        <f>IF('1. Live'!CH122='check-Jul''26'!CD122,"",'1. Live'!CH122-'check-Jul''26'!CD122)</f>
        <v/>
      </c>
      <c r="CE104" s="25" t="str">
        <f>IF('1. Live'!CI122='check-Jul''26'!CE122,"",'1. Live'!CI122-'check-Jul''26'!CE122)</f>
        <v/>
      </c>
      <c r="CF104" s="25" t="str">
        <f>IF('1. Live'!CJ122='check-Jul''26'!CF122,"",'1. Live'!CJ122-'check-Jul''26'!CF122)</f>
        <v/>
      </c>
      <c r="CG104" s="25" t="str">
        <f>IF('1. Live'!CK122='check-Jul''26'!CG122,"",'1. Live'!CK122-'check-Jul''26'!CG122)</f>
        <v/>
      </c>
      <c r="CH104" s="25" t="str">
        <f>IF('1. Live'!CL122='check-Jul''26'!CH122,"",'1. Live'!CL122-'check-Jul''26'!CH122)</f>
        <v/>
      </c>
      <c r="CI104" s="25" t="str">
        <f>IF('1. Live'!CM122='check-Jul''26'!CI122,"",'1. Live'!CM122-'check-Jul''26'!CI122)</f>
        <v/>
      </c>
      <c r="CJ104" s="25" t="str">
        <f>IF('1. Live'!CN122='check-Jul''26'!CJ122,"",'1. Live'!CN122-'check-Jul''26'!CJ122)</f>
        <v/>
      </c>
      <c r="CK104" s="25" t="str">
        <f>IF('1. Live'!CO122='check-Jul''26'!CK122,"",'1. Live'!CO122-'check-Jul''26'!CK122)</f>
        <v/>
      </c>
      <c r="CL104" s="25" t="str">
        <f>IF('1. Live'!CP122='check-Jul''26'!CL122,"",'1. Live'!CP122-'check-Jul''26'!CL122)</f>
        <v/>
      </c>
      <c r="CM104" s="25" t="str">
        <f>IF('1. Live'!CQ122='check-Jul''26'!CM122,"",'1. Live'!CQ122-'check-Jul''26'!CM122)</f>
        <v/>
      </c>
      <c r="CN104" s="25" t="str">
        <f>IF('1. Live'!CR122='check-Jul''26'!CN122,"",'1. Live'!CR122-'check-Jul''26'!CN122)</f>
        <v/>
      </c>
      <c r="CO104" s="25" t="str">
        <f>IF('1. Live'!CS122='check-Jul''26'!CO122,"",'1. Live'!CS122-'check-Jul''26'!CO122)</f>
        <v/>
      </c>
      <c r="CP104" s="25" t="str">
        <f>IF('1. Live'!CT122='check-Jul''26'!CP122,"",'1. Live'!CT122-'check-Jul''26'!CP122)</f>
        <v/>
      </c>
      <c r="CQ104" s="25" t="str">
        <f>IF('1. Live'!CU122='check-Jul''26'!CQ122,"",'1. Live'!CU122-'check-Jul''26'!CQ122)</f>
        <v/>
      </c>
      <c r="CR104" s="25" t="str">
        <f>IF('1. Live'!CV122='check-Jul''26'!CR122,"",'1. Live'!CV122-'check-Jul''26'!CR122)</f>
        <v/>
      </c>
      <c r="CS104" s="25" t="str">
        <f>IF('1. Live'!CW122='check-Jul''26'!CS122,"",'1. Live'!CW122-'check-Jul''26'!CS122)</f>
        <v/>
      </c>
      <c r="CT104" s="25" t="str">
        <f>IF('1. Live'!CX122='check-Jul''26'!CT122,"",'1. Live'!CX122-'check-Jul''26'!CT122)</f>
        <v/>
      </c>
      <c r="CU104" s="25" t="str">
        <f>IF('1. Live'!CY122='check-Jul''26'!CU122,"",'1. Live'!CY122-'check-Jul''26'!CU122)</f>
        <v/>
      </c>
      <c r="CV104" s="25" t="str">
        <f>IF('1. Live'!CZ122='check-Jul''26'!CV122,"",'1. Live'!CZ122-'check-Jul''26'!CV122)</f>
        <v/>
      </c>
    </row>
    <row r="105" spans="17:100" x14ac:dyDescent="0.25">
      <c r="Q105" s="26" t="str">
        <f>IF('1. Live'!N123='check-Jul''26'!I123,"",'1. Live'!N123-'check-Jul''26'!I123)</f>
        <v/>
      </c>
      <c r="R105" s="26" t="str">
        <f>IF('1. Live'!O123='check-Jul''26'!J123,"",'1. Live'!O123-'check-Jul''26'!J123)</f>
        <v/>
      </c>
      <c r="S105" s="26" t="str">
        <f>IF('1. Live'!P123='check-Jul''26'!K123,"",'1. Live'!P123-'check-Jul''26'!K123)</f>
        <v/>
      </c>
      <c r="T105" s="26" t="str">
        <f>IF('1. Live'!Q123='check-Jul''26'!L123,"",'1. Live'!Q123-'check-Jul''26'!L123)</f>
        <v/>
      </c>
      <c r="U105" s="80" t="str">
        <f>IF('1. Live'!R123='check-Jul''26'!M123,"",'1. Live'!R123-'check-Jul''26'!M123)</f>
        <v/>
      </c>
      <c r="V105" s="26" t="str">
        <f>IF('1. Live'!S123='check-Jul''26'!N123,"",'1. Live'!S123-'check-Jul''26'!N123)</f>
        <v/>
      </c>
      <c r="W105" s="25" t="str">
        <f>IF('1. Live'!T123='check-Jul''26'!O123,"",'1. Live'!T123-'check-Jul''26'!O123)</f>
        <v/>
      </c>
      <c r="X105" s="25" t="str">
        <f>IF('1. Live'!U123='check-Jul''26'!Q123,"",'1. Live'!U123-'check-Jul''26'!Q123)</f>
        <v/>
      </c>
      <c r="Y105" s="25" t="str">
        <f>IF('1. Live'!V123='check-Jul''26'!R123,"",'1. Live'!V123-'check-Jul''26'!R123)</f>
        <v/>
      </c>
      <c r="Z105" s="25" t="str">
        <f>IF('1. Live'!W123='check-Jul''26'!S123,"",'1. Live'!W123-'check-Jul''26'!S123)</f>
        <v/>
      </c>
      <c r="AA105" s="25" t="str">
        <f>IF('1. Live'!X123='check-Jul''26'!T123,"",'1. Live'!X123-'check-Jul''26'!T123)</f>
        <v/>
      </c>
      <c r="AB105" s="25" t="str">
        <f>IF('1. Live'!AF123='check-Jul''26'!AB123,"",'1. Live'!AF123-'check-Jul''26'!AB123)</f>
        <v/>
      </c>
      <c r="AC105" s="25" t="str">
        <f>IF('1. Live'!AG123='check-Jul''26'!AC123,"",'1. Live'!AG123-'check-Jul''26'!AC123)</f>
        <v/>
      </c>
      <c r="AD105" s="25" t="str">
        <f>IF('1. Live'!AH123='check-Jul''26'!AD123,"",'1. Live'!AH123-'check-Jul''26'!AD123)</f>
        <v/>
      </c>
      <c r="AE105" s="25" t="str">
        <f>IF('1. Live'!AI123='check-Jul''26'!AE123,"",'1. Live'!AI123-'check-Jul''26'!AE123)</f>
        <v/>
      </c>
      <c r="AF105" s="25" t="str">
        <f>IF('1. Live'!AJ123='check-Jul''26'!AF123,"",'1. Live'!AJ123-'check-Jul''26'!AF123)</f>
        <v/>
      </c>
      <c r="AG105" s="25" t="str">
        <f>IF('1. Live'!AK123='check-Jul''26'!AG123,"",'1. Live'!AK123-'check-Jul''26'!AG123)</f>
        <v/>
      </c>
      <c r="AH105" s="25" t="str">
        <f>IF('1. Live'!AL123='check-Jul''26'!AH123,"",'1. Live'!AL123-'check-Jul''26'!AH123)</f>
        <v/>
      </c>
      <c r="AI105" s="25" t="str">
        <f>IF('1. Live'!AM123='check-Jul''26'!AI123,"",'1. Live'!AM123-'check-Jul''26'!AI123)</f>
        <v/>
      </c>
      <c r="AJ105" s="25" t="str">
        <f>IF('1. Live'!AN123='check-Jul''26'!AJ123,"",'1. Live'!AN123-'check-Jul''26'!AJ123)</f>
        <v/>
      </c>
      <c r="AK105" s="25" t="str">
        <f>IF('1. Live'!AO123='check-Jul''26'!AK123,"",'1. Live'!AO123-'check-Jul''26'!AK123)</f>
        <v/>
      </c>
      <c r="AL105" s="25" t="str">
        <f>IF('1. Live'!AP123='check-Jul''26'!AL123,"",'1. Live'!AP123-'check-Jul''26'!AL123)</f>
        <v/>
      </c>
      <c r="AM105" s="25" t="str">
        <f>IF('1. Live'!AQ123='check-Jul''26'!AM123,"",'1. Live'!AQ123-'check-Jul''26'!AM123)</f>
        <v/>
      </c>
      <c r="AN105" s="25" t="str">
        <f>IF('1. Live'!AR123='check-Jul''26'!AN123,"",'1. Live'!AR123-'check-Jul''26'!AN123)</f>
        <v/>
      </c>
      <c r="AO105" s="25" t="str">
        <f>IF('1. Live'!AS123='check-Jul''26'!AO123,"",'1. Live'!AS123-'check-Jul''26'!AO123)</f>
        <v/>
      </c>
      <c r="AP105" s="25" t="str">
        <f>IF('1. Live'!AT123='check-Jul''26'!AP123,"",'1. Live'!AT123-'check-Jul''26'!AP123)</f>
        <v/>
      </c>
      <c r="AQ105" s="25" t="str">
        <f>IF('1. Live'!AU123='check-Jul''26'!AQ123,"",'1. Live'!AU123-'check-Jul''26'!AQ123)</f>
        <v/>
      </c>
      <c r="AR105" s="25" t="str">
        <f>IF('1. Live'!AV123='check-Jul''26'!AR123,"",'1. Live'!AV123-'check-Jul''26'!AR123)</f>
        <v/>
      </c>
      <c r="AS105" s="25" t="str">
        <f>IF('1. Live'!AW123='check-Jul''26'!AS123,"",'1. Live'!AW123-'check-Jul''26'!AS123)</f>
        <v/>
      </c>
      <c r="AT105" s="25" t="str">
        <f>IF('1. Live'!AX123='check-Jul''26'!AT123,"",'1. Live'!AX123-'check-Jul''26'!AT123)</f>
        <v/>
      </c>
      <c r="AU105" s="25" t="str">
        <f>IF('1. Live'!AY123='check-Jul''26'!AU123,"",'1. Live'!AY123-'check-Jul''26'!AU123)</f>
        <v/>
      </c>
      <c r="AV105" s="25" t="str">
        <f>IF('1. Live'!AZ123='check-Jul''26'!AV123,"",'1. Live'!AZ123-'check-Jul''26'!AV123)</f>
        <v/>
      </c>
      <c r="AW105" s="25" t="str">
        <f>IF('1. Live'!BA123='check-Jul''26'!AW123,"",'1. Live'!BA123-'check-Jul''26'!AW123)</f>
        <v/>
      </c>
      <c r="AX105" s="25" t="str">
        <f>IF('1. Live'!BB123='check-Jul''26'!AX123,"",'1. Live'!BB123-'check-Jul''26'!AX123)</f>
        <v/>
      </c>
      <c r="AY105" s="25" t="str">
        <f>IF('1. Live'!BC123='check-Jul''26'!AY123,"",'1. Live'!BC123-'check-Jul''26'!AY123)</f>
        <v/>
      </c>
      <c r="AZ105" s="25" t="str">
        <f>IF('1. Live'!BD123='check-Jul''26'!AZ123,"",'1. Live'!BD123-'check-Jul''26'!AZ123)</f>
        <v/>
      </c>
      <c r="BA105" s="25" t="str">
        <f>IF('1. Live'!BE123='check-Jul''26'!BA123,"",'1. Live'!BE123-'check-Jul''26'!BA123)</f>
        <v/>
      </c>
      <c r="BB105" s="25" t="str">
        <f>IF('1. Live'!BF123='check-Jul''26'!BB123,"",'1. Live'!BF123-'check-Jul''26'!BB123)</f>
        <v/>
      </c>
      <c r="BC105" s="25" t="str">
        <f>IF('1. Live'!BG123='check-Jul''26'!BC123,"",'1. Live'!BG123-'check-Jul''26'!BC123)</f>
        <v/>
      </c>
      <c r="BD105" s="25" t="str">
        <f>IF('1. Live'!BH123='check-Jul''26'!BD123,"",'1. Live'!BH123-'check-Jul''26'!BD123)</f>
        <v/>
      </c>
      <c r="BE105" s="25" t="str">
        <f>IF('1. Live'!BI123='check-Jul''26'!BE123,"",'1. Live'!BI123-'check-Jul''26'!BE123)</f>
        <v/>
      </c>
      <c r="BF105" s="25" t="str">
        <f>IF('1. Live'!BJ123='check-Jul''26'!BF123,"",'1. Live'!BJ123-'check-Jul''26'!BF123)</f>
        <v/>
      </c>
      <c r="BG105" s="25" t="str">
        <f>IF('1. Live'!BK123='check-Jul''26'!BG123,"",'1. Live'!BK123-'check-Jul''26'!BG123)</f>
        <v/>
      </c>
      <c r="BH105" s="25" t="str">
        <f>IF('1. Live'!BL123='check-Jul''26'!BH123,"",'1. Live'!BL123-'check-Jul''26'!BH123)</f>
        <v/>
      </c>
      <c r="BI105" s="25" t="str">
        <f>IF('1. Live'!BM123='check-Jul''26'!BI123,"",'1. Live'!BM123-'check-Jul''26'!BI123)</f>
        <v/>
      </c>
      <c r="BJ105" s="25" t="str">
        <f>IF('1. Live'!BN123='check-Jul''26'!BJ123,"",'1. Live'!BN123-'check-Jul''26'!BJ123)</f>
        <v/>
      </c>
      <c r="BK105" s="25" t="str">
        <f>IF('1. Live'!BO123='check-Jul''26'!BK123,"",'1. Live'!BO123-'check-Jul''26'!BK123)</f>
        <v/>
      </c>
      <c r="BL105" s="25" t="str">
        <f>IF('1. Live'!BP123='check-Jul''26'!BL123,"",'1. Live'!BP123-'check-Jul''26'!BL123)</f>
        <v/>
      </c>
      <c r="BM105" s="25" t="str">
        <f>IF('1. Live'!BQ123='check-Jul''26'!BM123,"",'1. Live'!BQ123-'check-Jul''26'!BM123)</f>
        <v/>
      </c>
      <c r="BN105" s="25" t="str">
        <f>IF('1. Live'!BR123='check-Jul''26'!BN123,"",'1. Live'!BR123-'check-Jul''26'!BN123)</f>
        <v/>
      </c>
      <c r="BO105" s="25" t="str">
        <f>IF('1. Live'!BS123='check-Jul''26'!BO123,"",'1. Live'!BS123-'check-Jul''26'!BO123)</f>
        <v/>
      </c>
      <c r="BP105" s="25" t="str">
        <f>IF('1. Live'!BT123='check-Jul''26'!BP123,"",'1. Live'!BT123-'check-Jul''26'!BP123)</f>
        <v/>
      </c>
      <c r="BQ105" s="25" t="str">
        <f>IF('1. Live'!BU123='check-Jul''26'!BQ123,"",'1. Live'!BU123-'check-Jul''26'!BQ123)</f>
        <v/>
      </c>
      <c r="BR105" s="25" t="str">
        <f>IF('1. Live'!BV123='check-Jul''26'!BR123,"",'1. Live'!BV123-'check-Jul''26'!BR123)</f>
        <v/>
      </c>
      <c r="BS105" s="25" t="str">
        <f>IF('1. Live'!BW123='check-Jul''26'!BS123,"",'1. Live'!BW123-'check-Jul''26'!BS123)</f>
        <v/>
      </c>
      <c r="BT105" s="25" t="str">
        <f>IF('1. Live'!BX123='check-Jul''26'!BT123,"",'1. Live'!BX123-'check-Jul''26'!BT123)</f>
        <v/>
      </c>
      <c r="BU105" s="25" t="str">
        <f>IF('1. Live'!BY123='check-Jul''26'!BU123,"",'1. Live'!BY123-'check-Jul''26'!BU123)</f>
        <v/>
      </c>
      <c r="BV105" s="25" t="str">
        <f>IF('1. Live'!BZ123='check-Jul''26'!BV123,"",'1. Live'!BZ123-'check-Jul''26'!BV123)</f>
        <v/>
      </c>
      <c r="BW105" s="25" t="str">
        <f>IF('1. Live'!CA123='check-Jul''26'!BW123,"",'1. Live'!CA123-'check-Jul''26'!BW123)</f>
        <v/>
      </c>
      <c r="BX105" s="25" t="str">
        <f>IF('1. Live'!CB123='check-Jul''26'!BX123,"",'1. Live'!CB123-'check-Jul''26'!BX123)</f>
        <v/>
      </c>
      <c r="BY105" s="25" t="str">
        <f>IF('1. Live'!CC123='check-Jul''26'!BY123,"",'1. Live'!CC123-'check-Jul''26'!BY123)</f>
        <v/>
      </c>
      <c r="BZ105" s="25" t="str">
        <f>IF('1. Live'!CD123='check-Jul''26'!BZ123,"",'1. Live'!CD123-'check-Jul''26'!BZ123)</f>
        <v/>
      </c>
      <c r="CA105" s="25" t="str">
        <f>IF('1. Live'!CE123='check-Jul''26'!CA123,"",'1. Live'!CE123-'check-Jul''26'!CA123)</f>
        <v/>
      </c>
      <c r="CB105" s="25" t="str">
        <f>IF('1. Live'!CF123='check-Jul''26'!CB123,"",'1. Live'!CF123-'check-Jul''26'!CB123)</f>
        <v/>
      </c>
      <c r="CC105" s="25" t="str">
        <f>IF('1. Live'!CG123='check-Jul''26'!CC123,"",'1. Live'!CG123-'check-Jul''26'!CC123)</f>
        <v/>
      </c>
      <c r="CD105" s="25" t="str">
        <f>IF('1. Live'!CH123='check-Jul''26'!CD123,"",'1. Live'!CH123-'check-Jul''26'!CD123)</f>
        <v/>
      </c>
      <c r="CE105" s="25" t="str">
        <f>IF('1. Live'!CI123='check-Jul''26'!CE123,"",'1. Live'!CI123-'check-Jul''26'!CE123)</f>
        <v/>
      </c>
      <c r="CF105" s="25" t="str">
        <f>IF('1. Live'!CJ123='check-Jul''26'!CF123,"",'1. Live'!CJ123-'check-Jul''26'!CF123)</f>
        <v/>
      </c>
      <c r="CG105" s="25" t="str">
        <f>IF('1. Live'!CK123='check-Jul''26'!CG123,"",'1. Live'!CK123-'check-Jul''26'!CG123)</f>
        <v/>
      </c>
      <c r="CH105" s="25" t="str">
        <f>IF('1. Live'!CL123='check-Jul''26'!CH123,"",'1. Live'!CL123-'check-Jul''26'!CH123)</f>
        <v/>
      </c>
      <c r="CI105" s="25" t="str">
        <f>IF('1. Live'!CM123='check-Jul''26'!CI123,"",'1. Live'!CM123-'check-Jul''26'!CI123)</f>
        <v/>
      </c>
      <c r="CJ105" s="25" t="str">
        <f>IF('1. Live'!CN123='check-Jul''26'!CJ123,"",'1. Live'!CN123-'check-Jul''26'!CJ123)</f>
        <v/>
      </c>
      <c r="CK105" s="25" t="str">
        <f>IF('1. Live'!CO123='check-Jul''26'!CK123,"",'1. Live'!CO123-'check-Jul''26'!CK123)</f>
        <v/>
      </c>
      <c r="CL105" s="25" t="str">
        <f>IF('1. Live'!CP123='check-Jul''26'!CL123,"",'1. Live'!CP123-'check-Jul''26'!CL123)</f>
        <v/>
      </c>
      <c r="CM105" s="25" t="str">
        <f>IF('1. Live'!CQ123='check-Jul''26'!CM123,"",'1. Live'!CQ123-'check-Jul''26'!CM123)</f>
        <v/>
      </c>
      <c r="CN105" s="25" t="str">
        <f>IF('1. Live'!CR123='check-Jul''26'!CN123,"",'1. Live'!CR123-'check-Jul''26'!CN123)</f>
        <v/>
      </c>
      <c r="CO105" s="25" t="str">
        <f>IF('1. Live'!CS123='check-Jul''26'!CO123,"",'1. Live'!CS123-'check-Jul''26'!CO123)</f>
        <v/>
      </c>
      <c r="CP105" s="25" t="str">
        <f>IF('1. Live'!CT123='check-Jul''26'!CP123,"",'1. Live'!CT123-'check-Jul''26'!CP123)</f>
        <v/>
      </c>
      <c r="CQ105" s="25" t="str">
        <f>IF('1. Live'!CU123='check-Jul''26'!CQ123,"",'1. Live'!CU123-'check-Jul''26'!CQ123)</f>
        <v/>
      </c>
      <c r="CR105" s="25" t="str">
        <f>IF('1. Live'!CV123='check-Jul''26'!CR123,"",'1. Live'!CV123-'check-Jul''26'!CR123)</f>
        <v/>
      </c>
      <c r="CS105" s="25" t="str">
        <f>IF('1. Live'!CW123='check-Jul''26'!CS123,"",'1. Live'!CW123-'check-Jul''26'!CS123)</f>
        <v/>
      </c>
      <c r="CT105" s="25" t="str">
        <f>IF('1. Live'!CX123='check-Jul''26'!CT123,"",'1. Live'!CX123-'check-Jul''26'!CT123)</f>
        <v/>
      </c>
      <c r="CU105" s="25" t="str">
        <f>IF('1. Live'!CY123='check-Jul''26'!CU123,"",'1. Live'!CY123-'check-Jul''26'!CU123)</f>
        <v/>
      </c>
      <c r="CV105" s="25" t="str">
        <f>IF('1. Live'!CZ123='check-Jul''26'!CV123,"",'1. Live'!CZ123-'check-Jul''26'!CV123)</f>
        <v/>
      </c>
    </row>
    <row r="106" spans="17:100" x14ac:dyDescent="0.25">
      <c r="Q106" s="26" t="str">
        <f>IF('1. Live'!N124='check-Jul''26'!I124,"",'1. Live'!N124-'check-Jul''26'!I124)</f>
        <v/>
      </c>
      <c r="R106" s="26" t="str">
        <f>IF('1. Live'!O124='check-Jul''26'!J124,"",'1. Live'!O124-'check-Jul''26'!J124)</f>
        <v/>
      </c>
      <c r="S106" s="26" t="str">
        <f>IF('1. Live'!P124='check-Jul''26'!K124,"",'1. Live'!P124-'check-Jul''26'!K124)</f>
        <v/>
      </c>
      <c r="T106" s="26" t="str">
        <f>IF('1. Live'!Q124='check-Jul''26'!L124,"",'1. Live'!Q124-'check-Jul''26'!L124)</f>
        <v/>
      </c>
      <c r="U106" s="80" t="str">
        <f>IF('1. Live'!R124='check-Jul''26'!M124,"",'1. Live'!R124-'check-Jul''26'!M124)</f>
        <v/>
      </c>
      <c r="V106" s="26" t="str">
        <f>IF('1. Live'!S124='check-Jul''26'!N124,"",'1. Live'!S124-'check-Jul''26'!N124)</f>
        <v/>
      </c>
      <c r="W106" s="25" t="str">
        <f>IF('1. Live'!T124='check-Jul''26'!O124,"",'1. Live'!T124-'check-Jul''26'!O124)</f>
        <v/>
      </c>
      <c r="X106" s="25" t="str">
        <f>IF('1. Live'!U124='check-Jul''26'!Q124,"",'1. Live'!U124-'check-Jul''26'!Q124)</f>
        <v/>
      </c>
      <c r="Y106" s="25" t="str">
        <f>IF('1. Live'!V124='check-Jul''26'!R124,"",'1. Live'!V124-'check-Jul''26'!R124)</f>
        <v/>
      </c>
      <c r="Z106" s="25" t="str">
        <f>IF('1. Live'!W124='check-Jul''26'!S124,"",'1. Live'!W124-'check-Jul''26'!S124)</f>
        <v/>
      </c>
      <c r="AA106" s="25" t="str">
        <f>IF('1. Live'!X124='check-Jul''26'!T124,"",'1. Live'!X124-'check-Jul''26'!T124)</f>
        <v/>
      </c>
      <c r="AB106" s="25" t="str">
        <f>IF('1. Live'!AF124='check-Jul''26'!AB124,"",'1. Live'!AF124-'check-Jul''26'!AB124)</f>
        <v/>
      </c>
      <c r="AC106" s="25" t="str">
        <f>IF('1. Live'!AG124='check-Jul''26'!AC124,"",'1. Live'!AG124-'check-Jul''26'!AC124)</f>
        <v/>
      </c>
      <c r="AD106" s="25" t="str">
        <f>IF('1. Live'!AH124='check-Jul''26'!AD124,"",'1. Live'!AH124-'check-Jul''26'!AD124)</f>
        <v/>
      </c>
      <c r="AE106" s="25" t="str">
        <f>IF('1. Live'!AI124='check-Jul''26'!AE124,"",'1. Live'!AI124-'check-Jul''26'!AE124)</f>
        <v/>
      </c>
      <c r="AF106" s="25" t="str">
        <f>IF('1. Live'!AJ124='check-Jul''26'!AF124,"",'1. Live'!AJ124-'check-Jul''26'!AF124)</f>
        <v/>
      </c>
      <c r="AG106" s="25" t="str">
        <f>IF('1. Live'!AK124='check-Jul''26'!AG124,"",'1. Live'!AK124-'check-Jul''26'!AG124)</f>
        <v/>
      </c>
      <c r="AH106" s="25" t="str">
        <f>IF('1. Live'!AL124='check-Jul''26'!AH124,"",'1. Live'!AL124-'check-Jul''26'!AH124)</f>
        <v/>
      </c>
      <c r="AI106" s="25" t="str">
        <f>IF('1. Live'!AM124='check-Jul''26'!AI124,"",'1. Live'!AM124-'check-Jul''26'!AI124)</f>
        <v/>
      </c>
      <c r="AJ106" s="25" t="str">
        <f>IF('1. Live'!AN124='check-Jul''26'!AJ124,"",'1. Live'!AN124-'check-Jul''26'!AJ124)</f>
        <v/>
      </c>
      <c r="AK106" s="25" t="str">
        <f>IF('1. Live'!AO124='check-Jul''26'!AK124,"",'1. Live'!AO124-'check-Jul''26'!AK124)</f>
        <v/>
      </c>
      <c r="AL106" s="25" t="str">
        <f>IF('1. Live'!AP124='check-Jul''26'!AL124,"",'1. Live'!AP124-'check-Jul''26'!AL124)</f>
        <v/>
      </c>
      <c r="AM106" s="25" t="str">
        <f>IF('1. Live'!AQ124='check-Jul''26'!AM124,"",'1. Live'!AQ124-'check-Jul''26'!AM124)</f>
        <v/>
      </c>
      <c r="AN106" s="25" t="str">
        <f>IF('1. Live'!AR124='check-Jul''26'!AN124,"",'1. Live'!AR124-'check-Jul''26'!AN124)</f>
        <v/>
      </c>
      <c r="AO106" s="25" t="str">
        <f>IF('1. Live'!AS124='check-Jul''26'!AO124,"",'1. Live'!AS124-'check-Jul''26'!AO124)</f>
        <v/>
      </c>
      <c r="AP106" s="25" t="str">
        <f>IF('1. Live'!AT124='check-Jul''26'!AP124,"",'1. Live'!AT124-'check-Jul''26'!AP124)</f>
        <v/>
      </c>
      <c r="AQ106" s="25" t="str">
        <f>IF('1. Live'!AU124='check-Jul''26'!AQ124,"",'1. Live'!AU124-'check-Jul''26'!AQ124)</f>
        <v/>
      </c>
      <c r="AR106" s="25" t="str">
        <f>IF('1. Live'!AV124='check-Jul''26'!AR124,"",'1. Live'!AV124-'check-Jul''26'!AR124)</f>
        <v/>
      </c>
      <c r="AS106" s="25" t="str">
        <f>IF('1. Live'!AW124='check-Jul''26'!AS124,"",'1. Live'!AW124-'check-Jul''26'!AS124)</f>
        <v/>
      </c>
      <c r="AT106" s="25" t="str">
        <f>IF('1. Live'!AX124='check-Jul''26'!AT124,"",'1. Live'!AX124-'check-Jul''26'!AT124)</f>
        <v/>
      </c>
      <c r="AU106" s="25" t="str">
        <f>IF('1. Live'!AY124='check-Jul''26'!AU124,"",'1. Live'!AY124-'check-Jul''26'!AU124)</f>
        <v/>
      </c>
      <c r="AV106" s="25" t="str">
        <f>IF('1. Live'!AZ124='check-Jul''26'!AV124,"",'1. Live'!AZ124-'check-Jul''26'!AV124)</f>
        <v/>
      </c>
      <c r="AW106" s="25" t="str">
        <f>IF('1. Live'!BA124='check-Jul''26'!AW124,"",'1. Live'!BA124-'check-Jul''26'!AW124)</f>
        <v/>
      </c>
      <c r="AX106" s="25" t="str">
        <f>IF('1. Live'!BB124='check-Jul''26'!AX124,"",'1. Live'!BB124-'check-Jul''26'!AX124)</f>
        <v/>
      </c>
      <c r="AY106" s="25" t="str">
        <f>IF('1. Live'!BC124='check-Jul''26'!AY124,"",'1. Live'!BC124-'check-Jul''26'!AY124)</f>
        <v/>
      </c>
      <c r="AZ106" s="25" t="str">
        <f>IF('1. Live'!BD124='check-Jul''26'!AZ124,"",'1. Live'!BD124-'check-Jul''26'!AZ124)</f>
        <v/>
      </c>
      <c r="BA106" s="25" t="str">
        <f>IF('1. Live'!BE124='check-Jul''26'!BA124,"",'1. Live'!BE124-'check-Jul''26'!BA124)</f>
        <v/>
      </c>
      <c r="BB106" s="25" t="str">
        <f>IF('1. Live'!BF124='check-Jul''26'!BB124,"",'1. Live'!BF124-'check-Jul''26'!BB124)</f>
        <v/>
      </c>
      <c r="BC106" s="25" t="str">
        <f>IF('1. Live'!BG124='check-Jul''26'!BC124,"",'1. Live'!BG124-'check-Jul''26'!BC124)</f>
        <v/>
      </c>
      <c r="BD106" s="25" t="str">
        <f>IF('1. Live'!BH124='check-Jul''26'!BD124,"",'1. Live'!BH124-'check-Jul''26'!BD124)</f>
        <v/>
      </c>
      <c r="BE106" s="25" t="str">
        <f>IF('1. Live'!BI124='check-Jul''26'!BE124,"",'1. Live'!BI124-'check-Jul''26'!BE124)</f>
        <v/>
      </c>
      <c r="BF106" s="25" t="str">
        <f>IF('1. Live'!BJ124='check-Jul''26'!BF124,"",'1. Live'!BJ124-'check-Jul''26'!BF124)</f>
        <v/>
      </c>
      <c r="BG106" s="25" t="str">
        <f>IF('1. Live'!BK124='check-Jul''26'!BG124,"",'1. Live'!BK124-'check-Jul''26'!BG124)</f>
        <v/>
      </c>
      <c r="BH106" s="25" t="str">
        <f>IF('1. Live'!BL124='check-Jul''26'!BH124,"",'1. Live'!BL124-'check-Jul''26'!BH124)</f>
        <v/>
      </c>
      <c r="BI106" s="25" t="str">
        <f>IF('1. Live'!BM124='check-Jul''26'!BI124,"",'1. Live'!BM124-'check-Jul''26'!BI124)</f>
        <v/>
      </c>
      <c r="BJ106" s="25" t="str">
        <f>IF('1. Live'!BN124='check-Jul''26'!BJ124,"",'1. Live'!BN124-'check-Jul''26'!BJ124)</f>
        <v/>
      </c>
      <c r="BK106" s="25" t="str">
        <f>IF('1. Live'!BO124='check-Jul''26'!BK124,"",'1. Live'!BO124-'check-Jul''26'!BK124)</f>
        <v/>
      </c>
      <c r="BL106" s="25" t="str">
        <f>IF('1. Live'!BP124='check-Jul''26'!BL124,"",'1. Live'!BP124-'check-Jul''26'!BL124)</f>
        <v/>
      </c>
      <c r="BM106" s="25" t="str">
        <f>IF('1. Live'!BQ124='check-Jul''26'!BM124,"",'1. Live'!BQ124-'check-Jul''26'!BM124)</f>
        <v/>
      </c>
      <c r="BN106" s="25" t="str">
        <f>IF('1. Live'!BR124='check-Jul''26'!BN124,"",'1. Live'!BR124-'check-Jul''26'!BN124)</f>
        <v/>
      </c>
      <c r="BO106" s="25" t="str">
        <f>IF('1. Live'!BS124='check-Jul''26'!BO124,"",'1. Live'!BS124-'check-Jul''26'!BO124)</f>
        <v/>
      </c>
      <c r="BP106" s="25" t="str">
        <f>IF('1. Live'!BT124='check-Jul''26'!BP124,"",'1. Live'!BT124-'check-Jul''26'!BP124)</f>
        <v/>
      </c>
      <c r="BQ106" s="25" t="str">
        <f>IF('1. Live'!BU124='check-Jul''26'!BQ124,"",'1. Live'!BU124-'check-Jul''26'!BQ124)</f>
        <v/>
      </c>
      <c r="BR106" s="25" t="str">
        <f>IF('1. Live'!BV124='check-Jul''26'!BR124,"",'1. Live'!BV124-'check-Jul''26'!BR124)</f>
        <v/>
      </c>
      <c r="BS106" s="25" t="str">
        <f>IF('1. Live'!BW124='check-Jul''26'!BS124,"",'1. Live'!BW124-'check-Jul''26'!BS124)</f>
        <v/>
      </c>
      <c r="BT106" s="25" t="str">
        <f>IF('1. Live'!BX124='check-Jul''26'!BT124,"",'1. Live'!BX124-'check-Jul''26'!BT124)</f>
        <v/>
      </c>
      <c r="BU106" s="25" t="str">
        <f>IF('1. Live'!BY124='check-Jul''26'!BU124,"",'1. Live'!BY124-'check-Jul''26'!BU124)</f>
        <v/>
      </c>
      <c r="BV106" s="25" t="str">
        <f>IF('1. Live'!BZ124='check-Jul''26'!BV124,"",'1. Live'!BZ124-'check-Jul''26'!BV124)</f>
        <v/>
      </c>
      <c r="BW106" s="25" t="str">
        <f>IF('1. Live'!CA124='check-Jul''26'!BW124,"",'1. Live'!CA124-'check-Jul''26'!BW124)</f>
        <v/>
      </c>
      <c r="BX106" s="25" t="str">
        <f>IF('1. Live'!CB124='check-Jul''26'!BX124,"",'1. Live'!CB124-'check-Jul''26'!BX124)</f>
        <v/>
      </c>
      <c r="BY106" s="25" t="str">
        <f>IF('1. Live'!CC124='check-Jul''26'!BY124,"",'1. Live'!CC124-'check-Jul''26'!BY124)</f>
        <v/>
      </c>
      <c r="BZ106" s="25" t="str">
        <f>IF('1. Live'!CD124='check-Jul''26'!BZ124,"",'1. Live'!CD124-'check-Jul''26'!BZ124)</f>
        <v/>
      </c>
      <c r="CA106" s="25" t="str">
        <f>IF('1. Live'!CE124='check-Jul''26'!CA124,"",'1. Live'!CE124-'check-Jul''26'!CA124)</f>
        <v/>
      </c>
      <c r="CB106" s="25" t="str">
        <f>IF('1. Live'!CF124='check-Jul''26'!CB124,"",'1. Live'!CF124-'check-Jul''26'!CB124)</f>
        <v/>
      </c>
      <c r="CC106" s="25" t="str">
        <f>IF('1. Live'!CG124='check-Jul''26'!CC124,"",'1. Live'!CG124-'check-Jul''26'!CC124)</f>
        <v/>
      </c>
      <c r="CD106" s="25" t="str">
        <f>IF('1. Live'!CH124='check-Jul''26'!CD124,"",'1. Live'!CH124-'check-Jul''26'!CD124)</f>
        <v/>
      </c>
      <c r="CE106" s="25" t="str">
        <f>IF('1. Live'!CI124='check-Jul''26'!CE124,"",'1. Live'!CI124-'check-Jul''26'!CE124)</f>
        <v/>
      </c>
      <c r="CF106" s="25" t="str">
        <f>IF('1. Live'!CJ124='check-Jul''26'!CF124,"",'1. Live'!CJ124-'check-Jul''26'!CF124)</f>
        <v/>
      </c>
      <c r="CG106" s="25" t="str">
        <f>IF('1. Live'!CK124='check-Jul''26'!CG124,"",'1. Live'!CK124-'check-Jul''26'!CG124)</f>
        <v/>
      </c>
      <c r="CH106" s="25" t="str">
        <f>IF('1. Live'!CL124='check-Jul''26'!CH124,"",'1. Live'!CL124-'check-Jul''26'!CH124)</f>
        <v/>
      </c>
      <c r="CI106" s="25" t="str">
        <f>IF('1. Live'!CM124='check-Jul''26'!CI124,"",'1. Live'!CM124-'check-Jul''26'!CI124)</f>
        <v/>
      </c>
      <c r="CJ106" s="25" t="str">
        <f>IF('1. Live'!CN124='check-Jul''26'!CJ124,"",'1. Live'!CN124-'check-Jul''26'!CJ124)</f>
        <v/>
      </c>
      <c r="CK106" s="25" t="str">
        <f>IF('1. Live'!CO124='check-Jul''26'!CK124,"",'1. Live'!CO124-'check-Jul''26'!CK124)</f>
        <v/>
      </c>
      <c r="CL106" s="25" t="str">
        <f>IF('1. Live'!CP124='check-Jul''26'!CL124,"",'1. Live'!CP124-'check-Jul''26'!CL124)</f>
        <v/>
      </c>
      <c r="CM106" s="25" t="str">
        <f>IF('1. Live'!CQ124='check-Jul''26'!CM124,"",'1. Live'!CQ124-'check-Jul''26'!CM124)</f>
        <v/>
      </c>
      <c r="CN106" s="25" t="str">
        <f>IF('1. Live'!CR124='check-Jul''26'!CN124,"",'1. Live'!CR124-'check-Jul''26'!CN124)</f>
        <v/>
      </c>
      <c r="CO106" s="25" t="str">
        <f>IF('1. Live'!CS124='check-Jul''26'!CO124,"",'1. Live'!CS124-'check-Jul''26'!CO124)</f>
        <v/>
      </c>
      <c r="CP106" s="25" t="str">
        <f>IF('1. Live'!CT124='check-Jul''26'!CP124,"",'1. Live'!CT124-'check-Jul''26'!CP124)</f>
        <v/>
      </c>
      <c r="CQ106" s="25" t="str">
        <f>IF('1. Live'!CU124='check-Jul''26'!CQ124,"",'1. Live'!CU124-'check-Jul''26'!CQ124)</f>
        <v/>
      </c>
      <c r="CR106" s="25" t="str">
        <f>IF('1. Live'!CV124='check-Jul''26'!CR124,"",'1. Live'!CV124-'check-Jul''26'!CR124)</f>
        <v/>
      </c>
      <c r="CS106" s="25" t="str">
        <f>IF('1. Live'!CW124='check-Jul''26'!CS124,"",'1. Live'!CW124-'check-Jul''26'!CS124)</f>
        <v/>
      </c>
      <c r="CT106" s="25" t="str">
        <f>IF('1. Live'!CX124='check-Jul''26'!CT124,"",'1. Live'!CX124-'check-Jul''26'!CT124)</f>
        <v/>
      </c>
      <c r="CU106" s="25" t="str">
        <f>IF('1. Live'!CY124='check-Jul''26'!CU124,"",'1. Live'!CY124-'check-Jul''26'!CU124)</f>
        <v/>
      </c>
      <c r="CV106" s="25" t="str">
        <f>IF('1. Live'!CZ124='check-Jul''26'!CV124,"",'1. Live'!CZ124-'check-Jul''26'!CV124)</f>
        <v/>
      </c>
    </row>
    <row r="107" spans="17:100" x14ac:dyDescent="0.25">
      <c r="Q107" s="26" t="str">
        <f>IF('1. Live'!N125='check-Jul''26'!I125,"",'1. Live'!N125-'check-Jul''26'!I125)</f>
        <v/>
      </c>
      <c r="R107" s="26" t="str">
        <f>IF('1. Live'!O125='check-Jul''26'!J125,"",'1. Live'!O125-'check-Jul''26'!J125)</f>
        <v/>
      </c>
      <c r="S107" s="26" t="str">
        <f>IF('1. Live'!P125='check-Jul''26'!K125,"",'1. Live'!P125-'check-Jul''26'!K125)</f>
        <v/>
      </c>
      <c r="T107" s="26" t="str">
        <f>IF('1. Live'!Q125='check-Jul''26'!L125,"",'1. Live'!Q125-'check-Jul''26'!L125)</f>
        <v/>
      </c>
      <c r="U107" s="80" t="str">
        <f>IF('1. Live'!R125='check-Jul''26'!M125,"",'1. Live'!R125-'check-Jul''26'!M125)</f>
        <v/>
      </c>
      <c r="V107" s="26" t="str">
        <f>IF('1. Live'!S125='check-Jul''26'!N125,"",'1. Live'!S125-'check-Jul''26'!N125)</f>
        <v/>
      </c>
      <c r="W107" s="25" t="str">
        <f>IF('1. Live'!T125='check-Jul''26'!O125,"",'1. Live'!T125-'check-Jul''26'!O125)</f>
        <v/>
      </c>
      <c r="X107" s="25" t="str">
        <f>IF('1. Live'!U125='check-Jul''26'!Q125,"",'1. Live'!U125-'check-Jul''26'!Q125)</f>
        <v/>
      </c>
      <c r="Y107" s="25" t="str">
        <f>IF('1. Live'!V125='check-Jul''26'!R125,"",'1. Live'!V125-'check-Jul''26'!R125)</f>
        <v/>
      </c>
      <c r="Z107" s="25" t="str">
        <f>IF('1. Live'!W125='check-Jul''26'!S125,"",'1. Live'!W125-'check-Jul''26'!S125)</f>
        <v/>
      </c>
      <c r="AA107" s="25" t="str">
        <f>IF('1. Live'!X125='check-Jul''26'!T125,"",'1. Live'!X125-'check-Jul''26'!T125)</f>
        <v/>
      </c>
      <c r="AB107" s="25" t="str">
        <f>IF('1. Live'!AF125='check-Jul''26'!AB125,"",'1. Live'!AF125-'check-Jul''26'!AB125)</f>
        <v/>
      </c>
      <c r="AC107" s="25" t="str">
        <f>IF('1. Live'!AG125='check-Jul''26'!AC125,"",'1. Live'!AG125-'check-Jul''26'!AC125)</f>
        <v/>
      </c>
      <c r="AD107" s="25" t="str">
        <f>IF('1. Live'!AH125='check-Jul''26'!AD125,"",'1. Live'!AH125-'check-Jul''26'!AD125)</f>
        <v/>
      </c>
      <c r="AE107" s="25" t="str">
        <f>IF('1. Live'!AI125='check-Jul''26'!AE125,"",'1. Live'!AI125-'check-Jul''26'!AE125)</f>
        <v/>
      </c>
      <c r="AF107" s="25" t="str">
        <f>IF('1. Live'!AJ125='check-Jul''26'!AF125,"",'1. Live'!AJ125-'check-Jul''26'!AF125)</f>
        <v/>
      </c>
      <c r="AG107" s="25" t="str">
        <f>IF('1. Live'!AK125='check-Jul''26'!AG125,"",'1. Live'!AK125-'check-Jul''26'!AG125)</f>
        <v/>
      </c>
      <c r="AH107" s="25" t="str">
        <f>IF('1. Live'!AL125='check-Jul''26'!AH125,"",'1. Live'!AL125-'check-Jul''26'!AH125)</f>
        <v/>
      </c>
      <c r="AI107" s="25" t="str">
        <f>IF('1. Live'!AM125='check-Jul''26'!AI125,"",'1. Live'!AM125-'check-Jul''26'!AI125)</f>
        <v/>
      </c>
      <c r="AJ107" s="25" t="str">
        <f>IF('1. Live'!AN125='check-Jul''26'!AJ125,"",'1. Live'!AN125-'check-Jul''26'!AJ125)</f>
        <v/>
      </c>
      <c r="AK107" s="25" t="str">
        <f>IF('1. Live'!AO125='check-Jul''26'!AK125,"",'1. Live'!AO125-'check-Jul''26'!AK125)</f>
        <v/>
      </c>
      <c r="AL107" s="25" t="str">
        <f>IF('1. Live'!AP125='check-Jul''26'!AL125,"",'1. Live'!AP125-'check-Jul''26'!AL125)</f>
        <v/>
      </c>
      <c r="AM107" s="25" t="str">
        <f>IF('1. Live'!AQ125='check-Jul''26'!AM125,"",'1. Live'!AQ125-'check-Jul''26'!AM125)</f>
        <v/>
      </c>
      <c r="AN107" s="25" t="str">
        <f>IF('1. Live'!AR125='check-Jul''26'!AN125,"",'1. Live'!AR125-'check-Jul''26'!AN125)</f>
        <v/>
      </c>
      <c r="AO107" s="25" t="str">
        <f>IF('1. Live'!AS125='check-Jul''26'!AO125,"",'1. Live'!AS125-'check-Jul''26'!AO125)</f>
        <v/>
      </c>
      <c r="AP107" s="25" t="str">
        <f>IF('1. Live'!AT125='check-Jul''26'!AP125,"",'1. Live'!AT125-'check-Jul''26'!AP125)</f>
        <v/>
      </c>
      <c r="AQ107" s="25" t="str">
        <f>IF('1. Live'!AU125='check-Jul''26'!AQ125,"",'1. Live'!AU125-'check-Jul''26'!AQ125)</f>
        <v/>
      </c>
      <c r="AR107" s="25" t="str">
        <f>IF('1. Live'!AV125='check-Jul''26'!AR125,"",'1. Live'!AV125-'check-Jul''26'!AR125)</f>
        <v/>
      </c>
      <c r="AS107" s="25" t="str">
        <f>IF('1. Live'!AW125='check-Jul''26'!AS125,"",'1. Live'!AW125-'check-Jul''26'!AS125)</f>
        <v/>
      </c>
      <c r="AT107" s="25" t="str">
        <f>IF('1. Live'!AX125='check-Jul''26'!AT125,"",'1. Live'!AX125-'check-Jul''26'!AT125)</f>
        <v/>
      </c>
      <c r="AU107" s="25" t="str">
        <f>IF('1. Live'!AY125='check-Jul''26'!AU125,"",'1. Live'!AY125-'check-Jul''26'!AU125)</f>
        <v/>
      </c>
      <c r="AV107" s="25" t="str">
        <f>IF('1. Live'!AZ125='check-Jul''26'!AV125,"",'1. Live'!AZ125-'check-Jul''26'!AV125)</f>
        <v/>
      </c>
      <c r="AW107" s="25" t="str">
        <f>IF('1. Live'!BA125='check-Jul''26'!AW125,"",'1. Live'!BA125-'check-Jul''26'!AW125)</f>
        <v/>
      </c>
      <c r="AX107" s="25" t="str">
        <f>IF('1. Live'!BB125='check-Jul''26'!AX125,"",'1. Live'!BB125-'check-Jul''26'!AX125)</f>
        <v/>
      </c>
      <c r="AY107" s="25" t="str">
        <f>IF('1. Live'!BC125='check-Jul''26'!AY125,"",'1. Live'!BC125-'check-Jul''26'!AY125)</f>
        <v/>
      </c>
      <c r="AZ107" s="25" t="str">
        <f>IF('1. Live'!BD125='check-Jul''26'!AZ125,"",'1. Live'!BD125-'check-Jul''26'!AZ125)</f>
        <v/>
      </c>
      <c r="BA107" s="25" t="str">
        <f>IF('1. Live'!BE125='check-Jul''26'!BA125,"",'1. Live'!BE125-'check-Jul''26'!BA125)</f>
        <v/>
      </c>
      <c r="BB107" s="25" t="str">
        <f>IF('1. Live'!BF125='check-Jul''26'!BB125,"",'1. Live'!BF125-'check-Jul''26'!BB125)</f>
        <v/>
      </c>
      <c r="BC107" s="25" t="str">
        <f>IF('1. Live'!BG125='check-Jul''26'!BC125,"",'1. Live'!BG125-'check-Jul''26'!BC125)</f>
        <v/>
      </c>
      <c r="BD107" s="25" t="str">
        <f>IF('1. Live'!BH125='check-Jul''26'!BD125,"",'1. Live'!BH125-'check-Jul''26'!BD125)</f>
        <v/>
      </c>
      <c r="BE107" s="25" t="str">
        <f>IF('1. Live'!BI125='check-Jul''26'!BE125,"",'1. Live'!BI125-'check-Jul''26'!BE125)</f>
        <v/>
      </c>
      <c r="BF107" s="25" t="str">
        <f>IF('1. Live'!BJ125='check-Jul''26'!BF125,"",'1. Live'!BJ125-'check-Jul''26'!BF125)</f>
        <v/>
      </c>
      <c r="BG107" s="25" t="str">
        <f>IF('1. Live'!BK125='check-Jul''26'!BG125,"",'1. Live'!BK125-'check-Jul''26'!BG125)</f>
        <v/>
      </c>
      <c r="BH107" s="25" t="str">
        <f>IF('1. Live'!BL125='check-Jul''26'!BH125,"",'1. Live'!BL125-'check-Jul''26'!BH125)</f>
        <v/>
      </c>
      <c r="BI107" s="25" t="str">
        <f>IF('1. Live'!BM125='check-Jul''26'!BI125,"",'1. Live'!BM125-'check-Jul''26'!BI125)</f>
        <v/>
      </c>
      <c r="BJ107" s="25" t="str">
        <f>IF('1. Live'!BN125='check-Jul''26'!BJ125,"",'1. Live'!BN125-'check-Jul''26'!BJ125)</f>
        <v/>
      </c>
      <c r="BK107" s="25" t="str">
        <f>IF('1. Live'!BO125='check-Jul''26'!BK125,"",'1. Live'!BO125-'check-Jul''26'!BK125)</f>
        <v/>
      </c>
      <c r="BL107" s="25" t="str">
        <f>IF('1. Live'!BP125='check-Jul''26'!BL125,"",'1. Live'!BP125-'check-Jul''26'!BL125)</f>
        <v/>
      </c>
      <c r="BM107" s="25" t="str">
        <f>IF('1. Live'!BQ125='check-Jul''26'!BM125,"",'1. Live'!BQ125-'check-Jul''26'!BM125)</f>
        <v/>
      </c>
      <c r="BN107" s="25" t="str">
        <f>IF('1. Live'!BR125='check-Jul''26'!BN125,"",'1. Live'!BR125-'check-Jul''26'!BN125)</f>
        <v/>
      </c>
      <c r="BO107" s="25" t="str">
        <f>IF('1. Live'!BS125='check-Jul''26'!BO125,"",'1. Live'!BS125-'check-Jul''26'!BO125)</f>
        <v/>
      </c>
      <c r="BP107" s="25" t="str">
        <f>IF('1. Live'!BT125='check-Jul''26'!BP125,"",'1. Live'!BT125-'check-Jul''26'!BP125)</f>
        <v/>
      </c>
      <c r="BQ107" s="25" t="str">
        <f>IF('1. Live'!BU125='check-Jul''26'!BQ125,"",'1. Live'!BU125-'check-Jul''26'!BQ125)</f>
        <v/>
      </c>
      <c r="BR107" s="25" t="str">
        <f>IF('1. Live'!BV125='check-Jul''26'!BR125,"",'1. Live'!BV125-'check-Jul''26'!BR125)</f>
        <v/>
      </c>
      <c r="BS107" s="25" t="str">
        <f>IF('1. Live'!BW125='check-Jul''26'!BS125,"",'1. Live'!BW125-'check-Jul''26'!BS125)</f>
        <v/>
      </c>
      <c r="BT107" s="25" t="str">
        <f>IF('1. Live'!BX125='check-Jul''26'!BT125,"",'1. Live'!BX125-'check-Jul''26'!BT125)</f>
        <v/>
      </c>
      <c r="BU107" s="25" t="str">
        <f>IF('1. Live'!BY125='check-Jul''26'!BU125,"",'1. Live'!BY125-'check-Jul''26'!BU125)</f>
        <v/>
      </c>
      <c r="BV107" s="25" t="str">
        <f>IF('1. Live'!BZ125='check-Jul''26'!BV125,"",'1. Live'!BZ125-'check-Jul''26'!BV125)</f>
        <v/>
      </c>
      <c r="BW107" s="25" t="str">
        <f>IF('1. Live'!CA125='check-Jul''26'!BW125,"",'1. Live'!CA125-'check-Jul''26'!BW125)</f>
        <v/>
      </c>
      <c r="BX107" s="25" t="str">
        <f>IF('1. Live'!CB125='check-Jul''26'!BX125,"",'1. Live'!CB125-'check-Jul''26'!BX125)</f>
        <v/>
      </c>
      <c r="BY107" s="25" t="str">
        <f>IF('1. Live'!CC125='check-Jul''26'!BY125,"",'1. Live'!CC125-'check-Jul''26'!BY125)</f>
        <v/>
      </c>
      <c r="BZ107" s="25" t="str">
        <f>IF('1. Live'!CD125='check-Jul''26'!BZ125,"",'1. Live'!CD125-'check-Jul''26'!BZ125)</f>
        <v/>
      </c>
      <c r="CA107" s="25" t="str">
        <f>IF('1. Live'!CE125='check-Jul''26'!CA125,"",'1. Live'!CE125-'check-Jul''26'!CA125)</f>
        <v/>
      </c>
      <c r="CB107" s="25" t="str">
        <f>IF('1. Live'!CF125='check-Jul''26'!CB125,"",'1. Live'!CF125-'check-Jul''26'!CB125)</f>
        <v/>
      </c>
      <c r="CC107" s="25" t="str">
        <f>IF('1. Live'!CG125='check-Jul''26'!CC125,"",'1. Live'!CG125-'check-Jul''26'!CC125)</f>
        <v/>
      </c>
      <c r="CD107" s="25" t="str">
        <f>IF('1. Live'!CH125='check-Jul''26'!CD125,"",'1. Live'!CH125-'check-Jul''26'!CD125)</f>
        <v/>
      </c>
      <c r="CE107" s="25" t="str">
        <f>IF('1. Live'!CI125='check-Jul''26'!CE125,"",'1. Live'!CI125-'check-Jul''26'!CE125)</f>
        <v/>
      </c>
      <c r="CF107" s="25" t="str">
        <f>IF('1. Live'!CJ125='check-Jul''26'!CF125,"",'1. Live'!CJ125-'check-Jul''26'!CF125)</f>
        <v/>
      </c>
      <c r="CG107" s="25" t="str">
        <f>IF('1. Live'!CK125='check-Jul''26'!CG125,"",'1. Live'!CK125-'check-Jul''26'!CG125)</f>
        <v/>
      </c>
      <c r="CH107" s="25" t="str">
        <f>IF('1. Live'!CL125='check-Jul''26'!CH125,"",'1. Live'!CL125-'check-Jul''26'!CH125)</f>
        <v/>
      </c>
      <c r="CI107" s="25" t="str">
        <f>IF('1. Live'!CM125='check-Jul''26'!CI125,"",'1. Live'!CM125-'check-Jul''26'!CI125)</f>
        <v/>
      </c>
      <c r="CJ107" s="25" t="str">
        <f>IF('1. Live'!CN125='check-Jul''26'!CJ125,"",'1. Live'!CN125-'check-Jul''26'!CJ125)</f>
        <v/>
      </c>
      <c r="CK107" s="25" t="str">
        <f>IF('1. Live'!CO125='check-Jul''26'!CK125,"",'1. Live'!CO125-'check-Jul''26'!CK125)</f>
        <v/>
      </c>
      <c r="CL107" s="25" t="str">
        <f>IF('1. Live'!CP125='check-Jul''26'!CL125,"",'1. Live'!CP125-'check-Jul''26'!CL125)</f>
        <v/>
      </c>
      <c r="CM107" s="25" t="str">
        <f>IF('1. Live'!CQ125='check-Jul''26'!CM125,"",'1. Live'!CQ125-'check-Jul''26'!CM125)</f>
        <v/>
      </c>
      <c r="CN107" s="25" t="str">
        <f>IF('1. Live'!CR125='check-Jul''26'!CN125,"",'1. Live'!CR125-'check-Jul''26'!CN125)</f>
        <v/>
      </c>
      <c r="CO107" s="25" t="str">
        <f>IF('1. Live'!CS125='check-Jul''26'!CO125,"",'1. Live'!CS125-'check-Jul''26'!CO125)</f>
        <v/>
      </c>
      <c r="CP107" s="25" t="str">
        <f>IF('1. Live'!CT125='check-Jul''26'!CP125,"",'1. Live'!CT125-'check-Jul''26'!CP125)</f>
        <v/>
      </c>
      <c r="CQ107" s="25" t="str">
        <f>IF('1. Live'!CU125='check-Jul''26'!CQ125,"",'1. Live'!CU125-'check-Jul''26'!CQ125)</f>
        <v/>
      </c>
      <c r="CR107" s="25" t="str">
        <f>IF('1. Live'!CV125='check-Jul''26'!CR125,"",'1. Live'!CV125-'check-Jul''26'!CR125)</f>
        <v/>
      </c>
      <c r="CS107" s="25" t="str">
        <f>IF('1. Live'!CW125='check-Jul''26'!CS125,"",'1. Live'!CW125-'check-Jul''26'!CS125)</f>
        <v/>
      </c>
      <c r="CT107" s="25" t="str">
        <f>IF('1. Live'!CX125='check-Jul''26'!CT125,"",'1. Live'!CX125-'check-Jul''26'!CT125)</f>
        <v/>
      </c>
      <c r="CU107" s="25" t="str">
        <f>IF('1. Live'!CY125='check-Jul''26'!CU125,"",'1. Live'!CY125-'check-Jul''26'!CU125)</f>
        <v/>
      </c>
      <c r="CV107" s="25" t="str">
        <f>IF('1. Live'!CZ125='check-Jul''26'!CV125,"",'1. Live'!CZ125-'check-Jul''26'!CV125)</f>
        <v/>
      </c>
    </row>
    <row r="108" spans="17:100" x14ac:dyDescent="0.25">
      <c r="Q108" s="26" t="str">
        <f>IF('1. Live'!N126='check-Jul''26'!I126,"",'1. Live'!N126-'check-Jul''26'!I126)</f>
        <v/>
      </c>
      <c r="R108" s="26" t="str">
        <f>IF('1. Live'!O126='check-Jul''26'!J126,"",'1. Live'!O126-'check-Jul''26'!J126)</f>
        <v/>
      </c>
      <c r="S108" s="26" t="str">
        <f>IF('1. Live'!P126='check-Jul''26'!K126,"",'1. Live'!P126-'check-Jul''26'!K126)</f>
        <v/>
      </c>
      <c r="T108" s="26" t="str">
        <f>IF('1. Live'!Q126='check-Jul''26'!L126,"",'1. Live'!Q126-'check-Jul''26'!L126)</f>
        <v/>
      </c>
      <c r="U108" s="80" t="str">
        <f>IF('1. Live'!R126='check-Jul''26'!M126,"",'1. Live'!R126-'check-Jul''26'!M126)</f>
        <v/>
      </c>
      <c r="V108" s="26" t="str">
        <f>IF('1. Live'!S126='check-Jul''26'!N126,"",'1. Live'!S126-'check-Jul''26'!N126)</f>
        <v/>
      </c>
      <c r="W108" s="25" t="str">
        <f>IF('1. Live'!T126='check-Jul''26'!O126,"",'1. Live'!T126-'check-Jul''26'!O126)</f>
        <v/>
      </c>
      <c r="X108" s="25" t="str">
        <f>IF('1. Live'!U126='check-Jul''26'!Q126,"",'1. Live'!U126-'check-Jul''26'!Q126)</f>
        <v/>
      </c>
      <c r="Y108" s="25" t="str">
        <f>IF('1. Live'!V126='check-Jul''26'!R126,"",'1. Live'!V126-'check-Jul''26'!R126)</f>
        <v/>
      </c>
      <c r="Z108" s="25" t="str">
        <f>IF('1. Live'!W126='check-Jul''26'!S126,"",'1. Live'!W126-'check-Jul''26'!S126)</f>
        <v/>
      </c>
      <c r="AA108" s="25" t="str">
        <f>IF('1. Live'!X126='check-Jul''26'!T126,"",'1. Live'!X126-'check-Jul''26'!T126)</f>
        <v/>
      </c>
      <c r="AB108" s="25" t="str">
        <f>IF('1. Live'!AF126='check-Jul''26'!AB126,"",'1. Live'!AF126-'check-Jul''26'!AB126)</f>
        <v/>
      </c>
      <c r="AC108" s="25" t="str">
        <f>IF('1. Live'!AG126='check-Jul''26'!AC126,"",'1. Live'!AG126-'check-Jul''26'!AC126)</f>
        <v/>
      </c>
      <c r="AD108" s="25" t="str">
        <f>IF('1. Live'!AH126='check-Jul''26'!AD126,"",'1. Live'!AH126-'check-Jul''26'!AD126)</f>
        <v/>
      </c>
      <c r="AE108" s="25" t="str">
        <f>IF('1. Live'!AI126='check-Jul''26'!AE126,"",'1. Live'!AI126-'check-Jul''26'!AE126)</f>
        <v/>
      </c>
      <c r="AF108" s="25" t="str">
        <f>IF('1. Live'!AJ126='check-Jul''26'!AF126,"",'1. Live'!AJ126-'check-Jul''26'!AF126)</f>
        <v/>
      </c>
      <c r="AG108" s="25" t="str">
        <f>IF('1. Live'!AK126='check-Jul''26'!AG126,"",'1. Live'!AK126-'check-Jul''26'!AG126)</f>
        <v/>
      </c>
      <c r="AH108" s="25" t="str">
        <f>IF('1. Live'!AL126='check-Jul''26'!AH126,"",'1. Live'!AL126-'check-Jul''26'!AH126)</f>
        <v/>
      </c>
      <c r="AI108" s="25" t="str">
        <f>IF('1. Live'!AM126='check-Jul''26'!AI126,"",'1. Live'!AM126-'check-Jul''26'!AI126)</f>
        <v/>
      </c>
      <c r="AJ108" s="25" t="str">
        <f>IF('1. Live'!AN126='check-Jul''26'!AJ126,"",'1. Live'!AN126-'check-Jul''26'!AJ126)</f>
        <v/>
      </c>
      <c r="AK108" s="25" t="str">
        <f>IF('1. Live'!AO126='check-Jul''26'!AK126,"",'1. Live'!AO126-'check-Jul''26'!AK126)</f>
        <v/>
      </c>
      <c r="AL108" s="25" t="str">
        <f>IF('1. Live'!AP126='check-Jul''26'!AL126,"",'1. Live'!AP126-'check-Jul''26'!AL126)</f>
        <v/>
      </c>
      <c r="AM108" s="25" t="str">
        <f>IF('1. Live'!AQ126='check-Jul''26'!AM126,"",'1. Live'!AQ126-'check-Jul''26'!AM126)</f>
        <v/>
      </c>
      <c r="AN108" s="25" t="str">
        <f>IF('1. Live'!AR126='check-Jul''26'!AN126,"",'1. Live'!AR126-'check-Jul''26'!AN126)</f>
        <v/>
      </c>
      <c r="AO108" s="25" t="str">
        <f>IF('1. Live'!AS126='check-Jul''26'!AO126,"",'1. Live'!AS126-'check-Jul''26'!AO126)</f>
        <v/>
      </c>
      <c r="AP108" s="25" t="str">
        <f>IF('1. Live'!AT126='check-Jul''26'!AP126,"",'1. Live'!AT126-'check-Jul''26'!AP126)</f>
        <v/>
      </c>
      <c r="AQ108" s="25" t="str">
        <f>IF('1. Live'!AU126='check-Jul''26'!AQ126,"",'1. Live'!AU126-'check-Jul''26'!AQ126)</f>
        <v/>
      </c>
      <c r="AR108" s="25" t="str">
        <f>IF('1. Live'!AV126='check-Jul''26'!AR126,"",'1. Live'!AV126-'check-Jul''26'!AR126)</f>
        <v/>
      </c>
      <c r="AS108" s="25" t="str">
        <f>IF('1. Live'!AW126='check-Jul''26'!AS126,"",'1. Live'!AW126-'check-Jul''26'!AS126)</f>
        <v/>
      </c>
      <c r="AT108" s="25" t="str">
        <f>IF('1. Live'!AX126='check-Jul''26'!AT126,"",'1. Live'!AX126-'check-Jul''26'!AT126)</f>
        <v/>
      </c>
      <c r="AU108" s="25" t="str">
        <f>IF('1. Live'!AY126='check-Jul''26'!AU126,"",'1. Live'!AY126-'check-Jul''26'!AU126)</f>
        <v/>
      </c>
      <c r="AV108" s="25" t="str">
        <f>IF('1. Live'!AZ126='check-Jul''26'!AV126,"",'1. Live'!AZ126-'check-Jul''26'!AV126)</f>
        <v/>
      </c>
      <c r="AW108" s="25" t="str">
        <f>IF('1. Live'!BA126='check-Jul''26'!AW126,"",'1. Live'!BA126-'check-Jul''26'!AW126)</f>
        <v/>
      </c>
      <c r="AX108" s="25" t="str">
        <f>IF('1. Live'!BB126='check-Jul''26'!AX126,"",'1. Live'!BB126-'check-Jul''26'!AX126)</f>
        <v/>
      </c>
      <c r="AY108" s="25" t="str">
        <f>IF('1. Live'!BC126='check-Jul''26'!AY126,"",'1. Live'!BC126-'check-Jul''26'!AY126)</f>
        <v/>
      </c>
      <c r="AZ108" s="25" t="str">
        <f>IF('1. Live'!BD126='check-Jul''26'!AZ126,"",'1. Live'!BD126-'check-Jul''26'!AZ126)</f>
        <v/>
      </c>
      <c r="BA108" s="25" t="str">
        <f>IF('1. Live'!BE126='check-Jul''26'!BA126,"",'1. Live'!BE126-'check-Jul''26'!BA126)</f>
        <v/>
      </c>
      <c r="BB108" s="25" t="str">
        <f>IF('1. Live'!BF126='check-Jul''26'!BB126,"",'1. Live'!BF126-'check-Jul''26'!BB126)</f>
        <v/>
      </c>
      <c r="BC108" s="25" t="str">
        <f>IF('1. Live'!BG126='check-Jul''26'!BC126,"",'1. Live'!BG126-'check-Jul''26'!BC126)</f>
        <v/>
      </c>
      <c r="BD108" s="25" t="str">
        <f>IF('1. Live'!BH126='check-Jul''26'!BD126,"",'1. Live'!BH126-'check-Jul''26'!BD126)</f>
        <v/>
      </c>
      <c r="BE108" s="25" t="str">
        <f>IF('1. Live'!BI126='check-Jul''26'!BE126,"",'1. Live'!BI126-'check-Jul''26'!BE126)</f>
        <v/>
      </c>
      <c r="BF108" s="25" t="str">
        <f>IF('1. Live'!BJ126='check-Jul''26'!BF126,"",'1. Live'!BJ126-'check-Jul''26'!BF126)</f>
        <v/>
      </c>
      <c r="BG108" s="25" t="str">
        <f>IF('1. Live'!BK126='check-Jul''26'!BG126,"",'1. Live'!BK126-'check-Jul''26'!BG126)</f>
        <v/>
      </c>
      <c r="BH108" s="25" t="str">
        <f>IF('1. Live'!BL126='check-Jul''26'!BH126,"",'1. Live'!BL126-'check-Jul''26'!BH126)</f>
        <v/>
      </c>
      <c r="BI108" s="25" t="str">
        <f>IF('1. Live'!BM126='check-Jul''26'!BI126,"",'1. Live'!BM126-'check-Jul''26'!BI126)</f>
        <v/>
      </c>
      <c r="BJ108" s="25" t="str">
        <f>IF('1. Live'!BN126='check-Jul''26'!BJ126,"",'1. Live'!BN126-'check-Jul''26'!BJ126)</f>
        <v/>
      </c>
      <c r="BK108" s="25" t="str">
        <f>IF('1. Live'!BO126='check-Jul''26'!BK126,"",'1. Live'!BO126-'check-Jul''26'!BK126)</f>
        <v/>
      </c>
      <c r="BL108" s="25" t="str">
        <f>IF('1. Live'!BP126='check-Jul''26'!BL126,"",'1. Live'!BP126-'check-Jul''26'!BL126)</f>
        <v/>
      </c>
      <c r="BM108" s="25" t="str">
        <f>IF('1. Live'!BQ126='check-Jul''26'!BM126,"",'1. Live'!BQ126-'check-Jul''26'!BM126)</f>
        <v/>
      </c>
      <c r="BN108" s="25" t="str">
        <f>IF('1. Live'!BR126='check-Jul''26'!BN126,"",'1. Live'!BR126-'check-Jul''26'!BN126)</f>
        <v/>
      </c>
      <c r="BO108" s="25" t="str">
        <f>IF('1. Live'!BS126='check-Jul''26'!BO126,"",'1. Live'!BS126-'check-Jul''26'!BO126)</f>
        <v/>
      </c>
      <c r="BP108" s="25" t="str">
        <f>IF('1. Live'!BT126='check-Jul''26'!BP126,"",'1. Live'!BT126-'check-Jul''26'!BP126)</f>
        <v/>
      </c>
      <c r="BQ108" s="25" t="str">
        <f>IF('1. Live'!BU126='check-Jul''26'!BQ126,"",'1. Live'!BU126-'check-Jul''26'!BQ126)</f>
        <v/>
      </c>
      <c r="BR108" s="25" t="str">
        <f>IF('1. Live'!BV126='check-Jul''26'!BR126,"",'1. Live'!BV126-'check-Jul''26'!BR126)</f>
        <v/>
      </c>
      <c r="BS108" s="25" t="str">
        <f>IF('1. Live'!BW126='check-Jul''26'!BS126,"",'1. Live'!BW126-'check-Jul''26'!BS126)</f>
        <v/>
      </c>
      <c r="BT108" s="25" t="str">
        <f>IF('1. Live'!BX126='check-Jul''26'!BT126,"",'1. Live'!BX126-'check-Jul''26'!BT126)</f>
        <v/>
      </c>
      <c r="BU108" s="25" t="str">
        <f>IF('1. Live'!BY126='check-Jul''26'!BU126,"",'1. Live'!BY126-'check-Jul''26'!BU126)</f>
        <v/>
      </c>
      <c r="BV108" s="25" t="str">
        <f>IF('1. Live'!BZ126='check-Jul''26'!BV126,"",'1. Live'!BZ126-'check-Jul''26'!BV126)</f>
        <v/>
      </c>
      <c r="BW108" s="25" t="str">
        <f>IF('1. Live'!CA126='check-Jul''26'!BW126,"",'1. Live'!CA126-'check-Jul''26'!BW126)</f>
        <v/>
      </c>
      <c r="BX108" s="25" t="str">
        <f>IF('1. Live'!CB126='check-Jul''26'!BX126,"",'1. Live'!CB126-'check-Jul''26'!BX126)</f>
        <v/>
      </c>
      <c r="BY108" s="25" t="str">
        <f>IF('1. Live'!CC126='check-Jul''26'!BY126,"",'1. Live'!CC126-'check-Jul''26'!BY126)</f>
        <v/>
      </c>
      <c r="BZ108" s="25" t="str">
        <f>IF('1. Live'!CD126='check-Jul''26'!BZ126,"",'1. Live'!CD126-'check-Jul''26'!BZ126)</f>
        <v/>
      </c>
      <c r="CA108" s="25" t="str">
        <f>IF('1. Live'!CE126='check-Jul''26'!CA126,"",'1. Live'!CE126-'check-Jul''26'!CA126)</f>
        <v/>
      </c>
      <c r="CB108" s="25" t="str">
        <f>IF('1. Live'!CF126='check-Jul''26'!CB126,"",'1. Live'!CF126-'check-Jul''26'!CB126)</f>
        <v/>
      </c>
      <c r="CC108" s="25" t="str">
        <f>IF('1. Live'!CG126='check-Jul''26'!CC126,"",'1. Live'!CG126-'check-Jul''26'!CC126)</f>
        <v/>
      </c>
      <c r="CD108" s="25" t="str">
        <f>IF('1. Live'!CH126='check-Jul''26'!CD126,"",'1. Live'!CH126-'check-Jul''26'!CD126)</f>
        <v/>
      </c>
      <c r="CE108" s="25" t="str">
        <f>IF('1. Live'!CI126='check-Jul''26'!CE126,"",'1. Live'!CI126-'check-Jul''26'!CE126)</f>
        <v/>
      </c>
      <c r="CF108" s="25" t="str">
        <f>IF('1. Live'!CJ126='check-Jul''26'!CF126,"",'1. Live'!CJ126-'check-Jul''26'!CF126)</f>
        <v/>
      </c>
      <c r="CG108" s="25" t="str">
        <f>IF('1. Live'!CK126='check-Jul''26'!CG126,"",'1. Live'!CK126-'check-Jul''26'!CG126)</f>
        <v/>
      </c>
      <c r="CH108" s="25" t="str">
        <f>IF('1. Live'!CL126='check-Jul''26'!CH126,"",'1. Live'!CL126-'check-Jul''26'!CH126)</f>
        <v/>
      </c>
      <c r="CI108" s="25" t="str">
        <f>IF('1. Live'!CM126='check-Jul''26'!CI126,"",'1. Live'!CM126-'check-Jul''26'!CI126)</f>
        <v/>
      </c>
      <c r="CJ108" s="25" t="str">
        <f>IF('1. Live'!CN126='check-Jul''26'!CJ126,"",'1. Live'!CN126-'check-Jul''26'!CJ126)</f>
        <v/>
      </c>
      <c r="CK108" s="25" t="str">
        <f>IF('1. Live'!CO126='check-Jul''26'!CK126,"",'1. Live'!CO126-'check-Jul''26'!CK126)</f>
        <v/>
      </c>
      <c r="CL108" s="25" t="str">
        <f>IF('1. Live'!CP126='check-Jul''26'!CL126,"",'1. Live'!CP126-'check-Jul''26'!CL126)</f>
        <v/>
      </c>
      <c r="CM108" s="25" t="str">
        <f>IF('1. Live'!CQ126='check-Jul''26'!CM126,"",'1. Live'!CQ126-'check-Jul''26'!CM126)</f>
        <v/>
      </c>
      <c r="CN108" s="25" t="str">
        <f>IF('1. Live'!CR126='check-Jul''26'!CN126,"",'1. Live'!CR126-'check-Jul''26'!CN126)</f>
        <v/>
      </c>
      <c r="CO108" s="25" t="str">
        <f>IF('1. Live'!CS126='check-Jul''26'!CO126,"",'1. Live'!CS126-'check-Jul''26'!CO126)</f>
        <v/>
      </c>
      <c r="CP108" s="25" t="str">
        <f>IF('1. Live'!CT126='check-Jul''26'!CP126,"",'1. Live'!CT126-'check-Jul''26'!CP126)</f>
        <v/>
      </c>
      <c r="CQ108" s="25" t="str">
        <f>IF('1. Live'!CU126='check-Jul''26'!CQ126,"",'1. Live'!CU126-'check-Jul''26'!CQ126)</f>
        <v/>
      </c>
      <c r="CR108" s="25" t="str">
        <f>IF('1. Live'!CV126='check-Jul''26'!CR126,"",'1. Live'!CV126-'check-Jul''26'!CR126)</f>
        <v/>
      </c>
      <c r="CS108" s="25" t="str">
        <f>IF('1. Live'!CW126='check-Jul''26'!CS126,"",'1. Live'!CW126-'check-Jul''26'!CS126)</f>
        <v/>
      </c>
      <c r="CT108" s="25" t="str">
        <f>IF('1. Live'!CX126='check-Jul''26'!CT126,"",'1. Live'!CX126-'check-Jul''26'!CT126)</f>
        <v/>
      </c>
      <c r="CU108" s="25" t="str">
        <f>IF('1. Live'!CY126='check-Jul''26'!CU126,"",'1. Live'!CY126-'check-Jul''26'!CU126)</f>
        <v/>
      </c>
      <c r="CV108" s="25" t="str">
        <f>IF('1. Live'!CZ126='check-Jul''26'!CV126,"",'1. Live'!CZ126-'check-Jul''26'!CV126)</f>
        <v/>
      </c>
    </row>
    <row r="109" spans="17:100" x14ac:dyDescent="0.25">
      <c r="Q109" s="26" t="str">
        <f>IF('1. Live'!N127='check-Jul''26'!I127,"",'1. Live'!N127-'check-Jul''26'!I127)</f>
        <v/>
      </c>
      <c r="R109" s="26" t="str">
        <f>IF('1. Live'!O127='check-Jul''26'!J127,"",'1. Live'!O127-'check-Jul''26'!J127)</f>
        <v/>
      </c>
      <c r="S109" s="26" t="str">
        <f>IF('1. Live'!P127='check-Jul''26'!K127,"",'1. Live'!P127-'check-Jul''26'!K127)</f>
        <v/>
      </c>
      <c r="T109" s="26" t="str">
        <f>IF('1. Live'!Q127='check-Jul''26'!L127,"",'1. Live'!Q127-'check-Jul''26'!L127)</f>
        <v/>
      </c>
      <c r="U109" s="80" t="str">
        <f>IF('1. Live'!R127='check-Jul''26'!M127,"",'1. Live'!R127-'check-Jul''26'!M127)</f>
        <v/>
      </c>
      <c r="V109" s="26" t="str">
        <f>IF('1. Live'!S127='check-Jul''26'!N127,"",'1. Live'!S127-'check-Jul''26'!N127)</f>
        <v/>
      </c>
      <c r="W109" s="25" t="str">
        <f>IF('1. Live'!T127='check-Jul''26'!O127,"",'1. Live'!T127-'check-Jul''26'!O127)</f>
        <v/>
      </c>
      <c r="X109" s="25" t="str">
        <f>IF('1. Live'!U127='check-Jul''26'!Q127,"",'1. Live'!U127-'check-Jul''26'!Q127)</f>
        <v/>
      </c>
      <c r="Y109" s="25" t="str">
        <f>IF('1. Live'!V127='check-Jul''26'!R127,"",'1. Live'!V127-'check-Jul''26'!R127)</f>
        <v/>
      </c>
      <c r="Z109" s="25" t="str">
        <f>IF('1. Live'!W127='check-Jul''26'!S127,"",'1. Live'!W127-'check-Jul''26'!S127)</f>
        <v/>
      </c>
      <c r="AA109" s="25" t="str">
        <f>IF('1. Live'!X127='check-Jul''26'!T127,"",'1. Live'!X127-'check-Jul''26'!T127)</f>
        <v/>
      </c>
      <c r="AB109" s="25" t="str">
        <f>IF('1. Live'!AF127='check-Jul''26'!AB127,"",'1. Live'!AF127-'check-Jul''26'!AB127)</f>
        <v/>
      </c>
      <c r="AC109" s="25" t="str">
        <f>IF('1. Live'!AG127='check-Jul''26'!AC127,"",'1. Live'!AG127-'check-Jul''26'!AC127)</f>
        <v/>
      </c>
      <c r="AD109" s="25" t="str">
        <f>IF('1. Live'!AH127='check-Jul''26'!AD127,"",'1. Live'!AH127-'check-Jul''26'!AD127)</f>
        <v/>
      </c>
      <c r="AE109" s="25" t="str">
        <f>IF('1. Live'!AI127='check-Jul''26'!AE127,"",'1. Live'!AI127-'check-Jul''26'!AE127)</f>
        <v/>
      </c>
      <c r="AF109" s="25" t="str">
        <f>IF('1. Live'!AJ127='check-Jul''26'!AF127,"",'1. Live'!AJ127-'check-Jul''26'!AF127)</f>
        <v/>
      </c>
      <c r="AG109" s="25" t="str">
        <f>IF('1. Live'!AK127='check-Jul''26'!AG127,"",'1. Live'!AK127-'check-Jul''26'!AG127)</f>
        <v/>
      </c>
      <c r="AH109" s="25" t="str">
        <f>IF('1. Live'!AL127='check-Jul''26'!AH127,"",'1. Live'!AL127-'check-Jul''26'!AH127)</f>
        <v/>
      </c>
      <c r="AI109" s="25" t="str">
        <f>IF('1. Live'!AM127='check-Jul''26'!AI127,"",'1. Live'!AM127-'check-Jul''26'!AI127)</f>
        <v/>
      </c>
      <c r="AJ109" s="25" t="str">
        <f>IF('1. Live'!AN127='check-Jul''26'!AJ127,"",'1. Live'!AN127-'check-Jul''26'!AJ127)</f>
        <v/>
      </c>
      <c r="AK109" s="25" t="str">
        <f>IF('1. Live'!AO127='check-Jul''26'!AK127,"",'1. Live'!AO127-'check-Jul''26'!AK127)</f>
        <v/>
      </c>
      <c r="AL109" s="25" t="str">
        <f>IF('1. Live'!AP127='check-Jul''26'!AL127,"",'1. Live'!AP127-'check-Jul''26'!AL127)</f>
        <v/>
      </c>
      <c r="AM109" s="25" t="str">
        <f>IF('1. Live'!AQ127='check-Jul''26'!AM127,"",'1. Live'!AQ127-'check-Jul''26'!AM127)</f>
        <v/>
      </c>
      <c r="AN109" s="25" t="str">
        <f>IF('1. Live'!AR127='check-Jul''26'!AN127,"",'1. Live'!AR127-'check-Jul''26'!AN127)</f>
        <v/>
      </c>
      <c r="AO109" s="25" t="str">
        <f>IF('1. Live'!AS127='check-Jul''26'!AO127,"",'1. Live'!AS127-'check-Jul''26'!AO127)</f>
        <v/>
      </c>
      <c r="AP109" s="25" t="str">
        <f>IF('1. Live'!AT127='check-Jul''26'!AP127,"",'1. Live'!AT127-'check-Jul''26'!AP127)</f>
        <v/>
      </c>
      <c r="AQ109" s="25" t="str">
        <f>IF('1. Live'!AU127='check-Jul''26'!AQ127,"",'1. Live'!AU127-'check-Jul''26'!AQ127)</f>
        <v/>
      </c>
      <c r="AR109" s="25" t="str">
        <f>IF('1. Live'!AV127='check-Jul''26'!AR127,"",'1. Live'!AV127-'check-Jul''26'!AR127)</f>
        <v/>
      </c>
      <c r="AS109" s="25" t="str">
        <f>IF('1. Live'!AW127='check-Jul''26'!AS127,"",'1. Live'!AW127-'check-Jul''26'!AS127)</f>
        <v/>
      </c>
      <c r="AT109" s="25" t="str">
        <f>IF('1. Live'!AX127='check-Jul''26'!AT127,"",'1. Live'!AX127-'check-Jul''26'!AT127)</f>
        <v/>
      </c>
      <c r="AU109" s="25" t="str">
        <f>IF('1. Live'!AY127='check-Jul''26'!AU127,"",'1. Live'!AY127-'check-Jul''26'!AU127)</f>
        <v/>
      </c>
      <c r="AV109" s="25" t="str">
        <f>IF('1. Live'!AZ127='check-Jul''26'!AV127,"",'1. Live'!AZ127-'check-Jul''26'!AV127)</f>
        <v/>
      </c>
      <c r="AW109" s="25" t="str">
        <f>IF('1. Live'!BA127='check-Jul''26'!AW127,"",'1. Live'!BA127-'check-Jul''26'!AW127)</f>
        <v/>
      </c>
      <c r="AX109" s="25" t="str">
        <f>IF('1. Live'!BB127='check-Jul''26'!AX127,"",'1. Live'!BB127-'check-Jul''26'!AX127)</f>
        <v/>
      </c>
      <c r="AY109" s="25" t="str">
        <f>IF('1. Live'!BC127='check-Jul''26'!AY127,"",'1. Live'!BC127-'check-Jul''26'!AY127)</f>
        <v/>
      </c>
      <c r="AZ109" s="25" t="str">
        <f>IF('1. Live'!BD127='check-Jul''26'!AZ127,"",'1. Live'!BD127-'check-Jul''26'!AZ127)</f>
        <v/>
      </c>
      <c r="BA109" s="25" t="str">
        <f>IF('1. Live'!BE127='check-Jul''26'!BA127,"",'1. Live'!BE127-'check-Jul''26'!BA127)</f>
        <v/>
      </c>
      <c r="BB109" s="25" t="str">
        <f>IF('1. Live'!BF127='check-Jul''26'!BB127,"",'1. Live'!BF127-'check-Jul''26'!BB127)</f>
        <v/>
      </c>
      <c r="BC109" s="25" t="str">
        <f>IF('1. Live'!BG127='check-Jul''26'!BC127,"",'1. Live'!BG127-'check-Jul''26'!BC127)</f>
        <v/>
      </c>
      <c r="BD109" s="25" t="str">
        <f>IF('1. Live'!BH127='check-Jul''26'!BD127,"",'1. Live'!BH127-'check-Jul''26'!BD127)</f>
        <v/>
      </c>
      <c r="BE109" s="25" t="str">
        <f>IF('1. Live'!BI127='check-Jul''26'!BE127,"",'1. Live'!BI127-'check-Jul''26'!BE127)</f>
        <v/>
      </c>
      <c r="BF109" s="25" t="str">
        <f>IF('1. Live'!BJ127='check-Jul''26'!BF127,"",'1. Live'!BJ127-'check-Jul''26'!BF127)</f>
        <v/>
      </c>
      <c r="BG109" s="25" t="str">
        <f>IF('1. Live'!BK127='check-Jul''26'!BG127,"",'1. Live'!BK127-'check-Jul''26'!BG127)</f>
        <v/>
      </c>
      <c r="BH109" s="25" t="str">
        <f>IF('1. Live'!BL127='check-Jul''26'!BH127,"",'1. Live'!BL127-'check-Jul''26'!BH127)</f>
        <v/>
      </c>
      <c r="BI109" s="25" t="str">
        <f>IF('1. Live'!BM127='check-Jul''26'!BI127,"",'1. Live'!BM127-'check-Jul''26'!BI127)</f>
        <v/>
      </c>
      <c r="BJ109" s="25" t="str">
        <f>IF('1. Live'!BN127='check-Jul''26'!BJ127,"",'1. Live'!BN127-'check-Jul''26'!BJ127)</f>
        <v/>
      </c>
      <c r="BK109" s="25" t="str">
        <f>IF('1. Live'!BO127='check-Jul''26'!BK127,"",'1. Live'!BO127-'check-Jul''26'!BK127)</f>
        <v/>
      </c>
      <c r="BL109" s="25" t="str">
        <f>IF('1. Live'!BP127='check-Jul''26'!BL127,"",'1. Live'!BP127-'check-Jul''26'!BL127)</f>
        <v/>
      </c>
      <c r="BM109" s="25" t="str">
        <f>IF('1. Live'!BQ127='check-Jul''26'!BM127,"",'1. Live'!BQ127-'check-Jul''26'!BM127)</f>
        <v/>
      </c>
      <c r="BN109" s="25" t="str">
        <f>IF('1. Live'!BR127='check-Jul''26'!BN127,"",'1. Live'!BR127-'check-Jul''26'!BN127)</f>
        <v/>
      </c>
      <c r="BO109" s="25" t="str">
        <f>IF('1. Live'!BS127='check-Jul''26'!BO127,"",'1. Live'!BS127-'check-Jul''26'!BO127)</f>
        <v/>
      </c>
      <c r="BP109" s="25" t="str">
        <f>IF('1. Live'!BT127='check-Jul''26'!BP127,"",'1. Live'!BT127-'check-Jul''26'!BP127)</f>
        <v/>
      </c>
      <c r="BQ109" s="25" t="str">
        <f>IF('1. Live'!BU127='check-Jul''26'!BQ127,"",'1. Live'!BU127-'check-Jul''26'!BQ127)</f>
        <v/>
      </c>
      <c r="BR109" s="25" t="str">
        <f>IF('1. Live'!BV127='check-Jul''26'!BR127,"",'1. Live'!BV127-'check-Jul''26'!BR127)</f>
        <v/>
      </c>
      <c r="BS109" s="25" t="str">
        <f>IF('1. Live'!BW127='check-Jul''26'!BS127,"",'1. Live'!BW127-'check-Jul''26'!BS127)</f>
        <v/>
      </c>
      <c r="BT109" s="25" t="str">
        <f>IF('1. Live'!BX127='check-Jul''26'!BT127,"",'1. Live'!BX127-'check-Jul''26'!BT127)</f>
        <v/>
      </c>
      <c r="BU109" s="25" t="str">
        <f>IF('1. Live'!BY127='check-Jul''26'!BU127,"",'1. Live'!BY127-'check-Jul''26'!BU127)</f>
        <v/>
      </c>
      <c r="BV109" s="25" t="str">
        <f>IF('1. Live'!BZ127='check-Jul''26'!BV127,"",'1. Live'!BZ127-'check-Jul''26'!BV127)</f>
        <v/>
      </c>
      <c r="BW109" s="25" t="str">
        <f>IF('1. Live'!CA127='check-Jul''26'!BW127,"",'1. Live'!CA127-'check-Jul''26'!BW127)</f>
        <v/>
      </c>
      <c r="BX109" s="25" t="str">
        <f>IF('1. Live'!CB127='check-Jul''26'!BX127,"",'1. Live'!CB127-'check-Jul''26'!BX127)</f>
        <v/>
      </c>
      <c r="BY109" s="25" t="str">
        <f>IF('1. Live'!CC127='check-Jul''26'!BY127,"",'1. Live'!CC127-'check-Jul''26'!BY127)</f>
        <v/>
      </c>
      <c r="BZ109" s="25" t="str">
        <f>IF('1. Live'!CD127='check-Jul''26'!BZ127,"",'1. Live'!CD127-'check-Jul''26'!BZ127)</f>
        <v/>
      </c>
      <c r="CA109" s="25" t="str">
        <f>IF('1. Live'!CE127='check-Jul''26'!CA127,"",'1. Live'!CE127-'check-Jul''26'!CA127)</f>
        <v/>
      </c>
      <c r="CB109" s="25" t="str">
        <f>IF('1. Live'!CF127='check-Jul''26'!CB127,"",'1. Live'!CF127-'check-Jul''26'!CB127)</f>
        <v/>
      </c>
      <c r="CC109" s="25" t="str">
        <f>IF('1. Live'!CG127='check-Jul''26'!CC127,"",'1. Live'!CG127-'check-Jul''26'!CC127)</f>
        <v/>
      </c>
      <c r="CD109" s="25" t="str">
        <f>IF('1. Live'!CH127='check-Jul''26'!CD127,"",'1. Live'!CH127-'check-Jul''26'!CD127)</f>
        <v/>
      </c>
      <c r="CE109" s="25" t="str">
        <f>IF('1. Live'!CI127='check-Jul''26'!CE127,"",'1. Live'!CI127-'check-Jul''26'!CE127)</f>
        <v/>
      </c>
      <c r="CF109" s="25" t="str">
        <f>IF('1. Live'!CJ127='check-Jul''26'!CF127,"",'1. Live'!CJ127-'check-Jul''26'!CF127)</f>
        <v/>
      </c>
      <c r="CG109" s="25" t="str">
        <f>IF('1. Live'!CK127='check-Jul''26'!CG127,"",'1. Live'!CK127-'check-Jul''26'!CG127)</f>
        <v/>
      </c>
      <c r="CH109" s="25" t="str">
        <f>IF('1. Live'!CL127='check-Jul''26'!CH127,"",'1. Live'!CL127-'check-Jul''26'!CH127)</f>
        <v/>
      </c>
      <c r="CI109" s="25" t="str">
        <f>IF('1. Live'!CM127='check-Jul''26'!CI127,"",'1. Live'!CM127-'check-Jul''26'!CI127)</f>
        <v/>
      </c>
      <c r="CJ109" s="25" t="str">
        <f>IF('1. Live'!CN127='check-Jul''26'!CJ127,"",'1. Live'!CN127-'check-Jul''26'!CJ127)</f>
        <v/>
      </c>
      <c r="CK109" s="25" t="str">
        <f>IF('1. Live'!CO127='check-Jul''26'!CK127,"",'1. Live'!CO127-'check-Jul''26'!CK127)</f>
        <v/>
      </c>
      <c r="CL109" s="25" t="str">
        <f>IF('1. Live'!CP127='check-Jul''26'!CL127,"",'1. Live'!CP127-'check-Jul''26'!CL127)</f>
        <v/>
      </c>
      <c r="CM109" s="25" t="str">
        <f>IF('1. Live'!CQ127='check-Jul''26'!CM127,"",'1. Live'!CQ127-'check-Jul''26'!CM127)</f>
        <v/>
      </c>
      <c r="CN109" s="25" t="str">
        <f>IF('1. Live'!CR127='check-Jul''26'!CN127,"",'1. Live'!CR127-'check-Jul''26'!CN127)</f>
        <v/>
      </c>
      <c r="CO109" s="25" t="str">
        <f>IF('1. Live'!CS127='check-Jul''26'!CO127,"",'1. Live'!CS127-'check-Jul''26'!CO127)</f>
        <v/>
      </c>
      <c r="CP109" s="25" t="str">
        <f>IF('1. Live'!CT127='check-Jul''26'!CP127,"",'1. Live'!CT127-'check-Jul''26'!CP127)</f>
        <v/>
      </c>
      <c r="CQ109" s="25" t="str">
        <f>IF('1. Live'!CU127='check-Jul''26'!CQ127,"",'1. Live'!CU127-'check-Jul''26'!CQ127)</f>
        <v/>
      </c>
      <c r="CR109" s="25" t="str">
        <f>IF('1. Live'!CV127='check-Jul''26'!CR127,"",'1. Live'!CV127-'check-Jul''26'!CR127)</f>
        <v/>
      </c>
      <c r="CS109" s="25" t="str">
        <f>IF('1. Live'!CW127='check-Jul''26'!CS127,"",'1. Live'!CW127-'check-Jul''26'!CS127)</f>
        <v/>
      </c>
      <c r="CT109" s="25" t="str">
        <f>IF('1. Live'!CX127='check-Jul''26'!CT127,"",'1. Live'!CX127-'check-Jul''26'!CT127)</f>
        <v/>
      </c>
      <c r="CU109" s="25" t="str">
        <f>IF('1. Live'!CY127='check-Jul''26'!CU127,"",'1. Live'!CY127-'check-Jul''26'!CU127)</f>
        <v/>
      </c>
      <c r="CV109" s="25" t="str">
        <f>IF('1. Live'!CZ127='check-Jul''26'!CV127,"",'1. Live'!CZ127-'check-Jul''26'!CV127)</f>
        <v/>
      </c>
    </row>
    <row r="110" spans="17:100" x14ac:dyDescent="0.25">
      <c r="Q110" s="26" t="str">
        <f>IF('1. Live'!N128='check-Jul''26'!I128,"",'1. Live'!N128-'check-Jul''26'!I128)</f>
        <v/>
      </c>
      <c r="R110" s="26" t="str">
        <f>IF('1. Live'!O128='check-Jul''26'!J128,"",'1. Live'!O128-'check-Jul''26'!J128)</f>
        <v/>
      </c>
      <c r="S110" s="26" t="str">
        <f>IF('1. Live'!P128='check-Jul''26'!K128,"",'1. Live'!P128-'check-Jul''26'!K128)</f>
        <v/>
      </c>
      <c r="T110" s="26" t="str">
        <f>IF('1. Live'!Q128='check-Jul''26'!L128,"",'1. Live'!Q128-'check-Jul''26'!L128)</f>
        <v/>
      </c>
      <c r="U110" s="80" t="str">
        <f>IF('1. Live'!R128='check-Jul''26'!M128,"",'1. Live'!R128-'check-Jul''26'!M128)</f>
        <v/>
      </c>
      <c r="V110" s="26" t="str">
        <f>IF('1. Live'!S128='check-Jul''26'!N128,"",'1. Live'!S128-'check-Jul''26'!N128)</f>
        <v/>
      </c>
      <c r="W110" s="25" t="str">
        <f>IF('1. Live'!T128='check-Jul''26'!O128,"",'1. Live'!T128-'check-Jul''26'!O128)</f>
        <v/>
      </c>
      <c r="X110" s="25" t="str">
        <f>IF('1. Live'!U128='check-Jul''26'!Q128,"",'1. Live'!U128-'check-Jul''26'!Q128)</f>
        <v/>
      </c>
      <c r="Y110" s="25" t="str">
        <f>IF('1. Live'!V128='check-Jul''26'!R128,"",'1. Live'!V128-'check-Jul''26'!R128)</f>
        <v/>
      </c>
      <c r="Z110" s="25" t="str">
        <f>IF('1. Live'!W128='check-Jul''26'!S128,"",'1. Live'!W128-'check-Jul''26'!S128)</f>
        <v/>
      </c>
      <c r="AA110" s="25" t="str">
        <f>IF('1. Live'!X128='check-Jul''26'!T128,"",'1. Live'!X128-'check-Jul''26'!T128)</f>
        <v/>
      </c>
      <c r="AB110" s="25" t="str">
        <f>IF('1. Live'!AF128='check-Jul''26'!AB128,"",'1. Live'!AF128-'check-Jul''26'!AB128)</f>
        <v/>
      </c>
      <c r="AC110" s="25" t="str">
        <f>IF('1. Live'!AG128='check-Jul''26'!AC128,"",'1. Live'!AG128-'check-Jul''26'!AC128)</f>
        <v/>
      </c>
      <c r="AD110" s="25" t="str">
        <f>IF('1. Live'!AH128='check-Jul''26'!AD128,"",'1. Live'!AH128-'check-Jul''26'!AD128)</f>
        <v/>
      </c>
      <c r="AE110" s="25" t="str">
        <f>IF('1. Live'!AI128='check-Jul''26'!AE128,"",'1. Live'!AI128-'check-Jul''26'!AE128)</f>
        <v/>
      </c>
      <c r="AF110" s="25" t="str">
        <f>IF('1. Live'!AJ128='check-Jul''26'!AF128,"",'1. Live'!AJ128-'check-Jul''26'!AF128)</f>
        <v/>
      </c>
      <c r="AG110" s="25" t="str">
        <f>IF('1. Live'!AK128='check-Jul''26'!AG128,"",'1. Live'!AK128-'check-Jul''26'!AG128)</f>
        <v/>
      </c>
      <c r="AH110" s="25" t="str">
        <f>IF('1. Live'!AL128='check-Jul''26'!AH128,"",'1. Live'!AL128-'check-Jul''26'!AH128)</f>
        <v/>
      </c>
      <c r="AI110" s="25" t="str">
        <f>IF('1. Live'!AM128='check-Jul''26'!AI128,"",'1. Live'!AM128-'check-Jul''26'!AI128)</f>
        <v/>
      </c>
      <c r="AJ110" s="25" t="str">
        <f>IF('1. Live'!AN128='check-Jul''26'!AJ128,"",'1. Live'!AN128-'check-Jul''26'!AJ128)</f>
        <v/>
      </c>
      <c r="AK110" s="25" t="str">
        <f>IF('1. Live'!AO128='check-Jul''26'!AK128,"",'1. Live'!AO128-'check-Jul''26'!AK128)</f>
        <v/>
      </c>
      <c r="AL110" s="25" t="str">
        <f>IF('1. Live'!AP128='check-Jul''26'!AL128,"",'1. Live'!AP128-'check-Jul''26'!AL128)</f>
        <v/>
      </c>
      <c r="AM110" s="25" t="str">
        <f>IF('1. Live'!AQ128='check-Jul''26'!AM128,"",'1. Live'!AQ128-'check-Jul''26'!AM128)</f>
        <v/>
      </c>
      <c r="AN110" s="25" t="str">
        <f>IF('1. Live'!AR128='check-Jul''26'!AN128,"",'1. Live'!AR128-'check-Jul''26'!AN128)</f>
        <v/>
      </c>
      <c r="AO110" s="25" t="str">
        <f>IF('1. Live'!AS128='check-Jul''26'!AO128,"",'1. Live'!AS128-'check-Jul''26'!AO128)</f>
        <v/>
      </c>
      <c r="AP110" s="25" t="str">
        <f>IF('1. Live'!AT128='check-Jul''26'!AP128,"",'1. Live'!AT128-'check-Jul''26'!AP128)</f>
        <v/>
      </c>
      <c r="AQ110" s="25" t="str">
        <f>IF('1. Live'!AU128='check-Jul''26'!AQ128,"",'1. Live'!AU128-'check-Jul''26'!AQ128)</f>
        <v/>
      </c>
      <c r="AR110" s="25" t="str">
        <f>IF('1. Live'!AV128='check-Jul''26'!AR128,"",'1. Live'!AV128-'check-Jul''26'!AR128)</f>
        <v/>
      </c>
      <c r="AS110" s="25" t="str">
        <f>IF('1. Live'!AW128='check-Jul''26'!AS128,"",'1. Live'!AW128-'check-Jul''26'!AS128)</f>
        <v/>
      </c>
      <c r="AT110" s="25" t="str">
        <f>IF('1. Live'!AX128='check-Jul''26'!AT128,"",'1. Live'!AX128-'check-Jul''26'!AT128)</f>
        <v/>
      </c>
      <c r="AU110" s="25" t="str">
        <f>IF('1. Live'!AY128='check-Jul''26'!AU128,"",'1. Live'!AY128-'check-Jul''26'!AU128)</f>
        <v/>
      </c>
      <c r="AV110" s="25" t="str">
        <f>IF('1. Live'!AZ128='check-Jul''26'!AV128,"",'1. Live'!AZ128-'check-Jul''26'!AV128)</f>
        <v/>
      </c>
      <c r="AW110" s="25" t="str">
        <f>IF('1. Live'!BA128='check-Jul''26'!AW128,"",'1. Live'!BA128-'check-Jul''26'!AW128)</f>
        <v/>
      </c>
      <c r="AX110" s="25" t="str">
        <f>IF('1. Live'!BB128='check-Jul''26'!AX128,"",'1. Live'!BB128-'check-Jul''26'!AX128)</f>
        <v/>
      </c>
      <c r="AY110" s="25" t="str">
        <f>IF('1. Live'!BC128='check-Jul''26'!AY128,"",'1. Live'!BC128-'check-Jul''26'!AY128)</f>
        <v/>
      </c>
      <c r="AZ110" s="25" t="str">
        <f>IF('1. Live'!BD128='check-Jul''26'!AZ128,"",'1. Live'!BD128-'check-Jul''26'!AZ128)</f>
        <v/>
      </c>
      <c r="BA110" s="25" t="str">
        <f>IF('1. Live'!BE128='check-Jul''26'!BA128,"",'1. Live'!BE128-'check-Jul''26'!BA128)</f>
        <v/>
      </c>
      <c r="BB110" s="25" t="str">
        <f>IF('1. Live'!BF128='check-Jul''26'!BB128,"",'1. Live'!BF128-'check-Jul''26'!BB128)</f>
        <v/>
      </c>
      <c r="BC110" s="25" t="str">
        <f>IF('1. Live'!BG128='check-Jul''26'!BC128,"",'1. Live'!BG128-'check-Jul''26'!BC128)</f>
        <v/>
      </c>
      <c r="BD110" s="25" t="str">
        <f>IF('1. Live'!BH128='check-Jul''26'!BD128,"",'1. Live'!BH128-'check-Jul''26'!BD128)</f>
        <v/>
      </c>
      <c r="BE110" s="25" t="str">
        <f>IF('1. Live'!BI128='check-Jul''26'!BE128,"",'1. Live'!BI128-'check-Jul''26'!BE128)</f>
        <v/>
      </c>
      <c r="BF110" s="25" t="str">
        <f>IF('1. Live'!BJ128='check-Jul''26'!BF128,"",'1. Live'!BJ128-'check-Jul''26'!BF128)</f>
        <v/>
      </c>
      <c r="BG110" s="25" t="str">
        <f>IF('1. Live'!BK128='check-Jul''26'!BG128,"",'1. Live'!BK128-'check-Jul''26'!BG128)</f>
        <v/>
      </c>
      <c r="BH110" s="25" t="str">
        <f>IF('1. Live'!BL128='check-Jul''26'!BH128,"",'1. Live'!BL128-'check-Jul''26'!BH128)</f>
        <v/>
      </c>
      <c r="BI110" s="25" t="str">
        <f>IF('1. Live'!BM128='check-Jul''26'!BI128,"",'1. Live'!BM128-'check-Jul''26'!BI128)</f>
        <v/>
      </c>
      <c r="BJ110" s="25" t="str">
        <f>IF('1. Live'!BN128='check-Jul''26'!BJ128,"",'1. Live'!BN128-'check-Jul''26'!BJ128)</f>
        <v/>
      </c>
      <c r="BK110" s="25" t="str">
        <f>IF('1. Live'!BO128='check-Jul''26'!BK128,"",'1. Live'!BO128-'check-Jul''26'!BK128)</f>
        <v/>
      </c>
      <c r="BL110" s="25" t="str">
        <f>IF('1. Live'!BP128='check-Jul''26'!BL128,"",'1. Live'!BP128-'check-Jul''26'!BL128)</f>
        <v/>
      </c>
      <c r="BM110" s="25" t="str">
        <f>IF('1. Live'!BQ128='check-Jul''26'!BM128,"",'1. Live'!BQ128-'check-Jul''26'!BM128)</f>
        <v/>
      </c>
      <c r="BN110" s="25" t="str">
        <f>IF('1. Live'!BR128='check-Jul''26'!BN128,"",'1. Live'!BR128-'check-Jul''26'!BN128)</f>
        <v/>
      </c>
      <c r="BO110" s="25" t="str">
        <f>IF('1. Live'!BS128='check-Jul''26'!BO128,"",'1. Live'!BS128-'check-Jul''26'!BO128)</f>
        <v/>
      </c>
      <c r="BP110" s="25" t="str">
        <f>IF('1. Live'!BT128='check-Jul''26'!BP128,"",'1. Live'!BT128-'check-Jul''26'!BP128)</f>
        <v/>
      </c>
      <c r="BQ110" s="25" t="str">
        <f>IF('1. Live'!BU128='check-Jul''26'!BQ128,"",'1. Live'!BU128-'check-Jul''26'!BQ128)</f>
        <v/>
      </c>
      <c r="BR110" s="25" t="str">
        <f>IF('1. Live'!BV128='check-Jul''26'!BR128,"",'1. Live'!BV128-'check-Jul''26'!BR128)</f>
        <v/>
      </c>
      <c r="BS110" s="25" t="str">
        <f>IF('1. Live'!BW128='check-Jul''26'!BS128,"",'1. Live'!BW128-'check-Jul''26'!BS128)</f>
        <v/>
      </c>
      <c r="BT110" s="25" t="str">
        <f>IF('1. Live'!BX128='check-Jul''26'!BT128,"",'1. Live'!BX128-'check-Jul''26'!BT128)</f>
        <v/>
      </c>
      <c r="BU110" s="25" t="str">
        <f>IF('1. Live'!BY128='check-Jul''26'!BU128,"",'1. Live'!BY128-'check-Jul''26'!BU128)</f>
        <v/>
      </c>
      <c r="BV110" s="25" t="str">
        <f>IF('1. Live'!BZ128='check-Jul''26'!BV128,"",'1. Live'!BZ128-'check-Jul''26'!BV128)</f>
        <v/>
      </c>
      <c r="BW110" s="25" t="str">
        <f>IF('1. Live'!CA128='check-Jul''26'!BW128,"",'1. Live'!CA128-'check-Jul''26'!BW128)</f>
        <v/>
      </c>
      <c r="BX110" s="25" t="str">
        <f>IF('1. Live'!CB128='check-Jul''26'!BX128,"",'1. Live'!CB128-'check-Jul''26'!BX128)</f>
        <v/>
      </c>
      <c r="BY110" s="25" t="str">
        <f>IF('1. Live'!CC128='check-Jul''26'!BY128,"",'1. Live'!CC128-'check-Jul''26'!BY128)</f>
        <v/>
      </c>
      <c r="BZ110" s="25" t="str">
        <f>IF('1. Live'!CD128='check-Jul''26'!BZ128,"",'1. Live'!CD128-'check-Jul''26'!BZ128)</f>
        <v/>
      </c>
      <c r="CA110" s="25" t="str">
        <f>IF('1. Live'!CE128='check-Jul''26'!CA128,"",'1. Live'!CE128-'check-Jul''26'!CA128)</f>
        <v/>
      </c>
      <c r="CB110" s="25" t="str">
        <f>IF('1. Live'!CF128='check-Jul''26'!CB128,"",'1. Live'!CF128-'check-Jul''26'!CB128)</f>
        <v/>
      </c>
      <c r="CC110" s="25" t="str">
        <f>IF('1. Live'!CG128='check-Jul''26'!CC128,"",'1. Live'!CG128-'check-Jul''26'!CC128)</f>
        <v/>
      </c>
      <c r="CD110" s="25" t="str">
        <f>IF('1. Live'!CH128='check-Jul''26'!CD128,"",'1. Live'!CH128-'check-Jul''26'!CD128)</f>
        <v/>
      </c>
      <c r="CE110" s="25" t="str">
        <f>IF('1. Live'!CI128='check-Jul''26'!CE128,"",'1. Live'!CI128-'check-Jul''26'!CE128)</f>
        <v/>
      </c>
      <c r="CF110" s="25" t="str">
        <f>IF('1. Live'!CJ128='check-Jul''26'!CF128,"",'1. Live'!CJ128-'check-Jul''26'!CF128)</f>
        <v/>
      </c>
      <c r="CG110" s="25" t="str">
        <f>IF('1. Live'!CK128='check-Jul''26'!CG128,"",'1. Live'!CK128-'check-Jul''26'!CG128)</f>
        <v/>
      </c>
      <c r="CH110" s="25" t="str">
        <f>IF('1. Live'!CL128='check-Jul''26'!CH128,"",'1. Live'!CL128-'check-Jul''26'!CH128)</f>
        <v/>
      </c>
      <c r="CI110" s="25" t="str">
        <f>IF('1. Live'!CM128='check-Jul''26'!CI128,"",'1. Live'!CM128-'check-Jul''26'!CI128)</f>
        <v/>
      </c>
      <c r="CJ110" s="25" t="str">
        <f>IF('1. Live'!CN128='check-Jul''26'!CJ128,"",'1. Live'!CN128-'check-Jul''26'!CJ128)</f>
        <v/>
      </c>
      <c r="CK110" s="25" t="str">
        <f>IF('1. Live'!CO128='check-Jul''26'!CK128,"",'1. Live'!CO128-'check-Jul''26'!CK128)</f>
        <v/>
      </c>
      <c r="CL110" s="25" t="str">
        <f>IF('1. Live'!CP128='check-Jul''26'!CL128,"",'1. Live'!CP128-'check-Jul''26'!CL128)</f>
        <v/>
      </c>
      <c r="CM110" s="25" t="str">
        <f>IF('1. Live'!CQ128='check-Jul''26'!CM128,"",'1. Live'!CQ128-'check-Jul''26'!CM128)</f>
        <v/>
      </c>
      <c r="CN110" s="25" t="str">
        <f>IF('1. Live'!CR128='check-Jul''26'!CN128,"",'1. Live'!CR128-'check-Jul''26'!CN128)</f>
        <v/>
      </c>
      <c r="CO110" s="25" t="str">
        <f>IF('1. Live'!CS128='check-Jul''26'!CO128,"",'1. Live'!CS128-'check-Jul''26'!CO128)</f>
        <v/>
      </c>
      <c r="CP110" s="25" t="str">
        <f>IF('1. Live'!CT128='check-Jul''26'!CP128,"",'1. Live'!CT128-'check-Jul''26'!CP128)</f>
        <v/>
      </c>
      <c r="CQ110" s="25" t="str">
        <f>IF('1. Live'!CU128='check-Jul''26'!CQ128,"",'1. Live'!CU128-'check-Jul''26'!CQ128)</f>
        <v/>
      </c>
      <c r="CR110" s="25" t="str">
        <f>IF('1. Live'!CV128='check-Jul''26'!CR128,"",'1. Live'!CV128-'check-Jul''26'!CR128)</f>
        <v/>
      </c>
      <c r="CS110" s="25" t="str">
        <f>IF('1. Live'!CW128='check-Jul''26'!CS128,"",'1. Live'!CW128-'check-Jul''26'!CS128)</f>
        <v/>
      </c>
      <c r="CT110" s="25" t="str">
        <f>IF('1. Live'!CX128='check-Jul''26'!CT128,"",'1. Live'!CX128-'check-Jul''26'!CT128)</f>
        <v/>
      </c>
      <c r="CU110" s="25" t="str">
        <f>IF('1. Live'!CY128='check-Jul''26'!CU128,"",'1. Live'!CY128-'check-Jul''26'!CU128)</f>
        <v/>
      </c>
      <c r="CV110" s="25" t="str">
        <f>IF('1. Live'!CZ128='check-Jul''26'!CV128,"",'1. Live'!CZ128-'check-Jul''26'!CV128)</f>
        <v/>
      </c>
    </row>
    <row r="111" spans="17:100" x14ac:dyDescent="0.25">
      <c r="Q111" s="26" t="str">
        <f>IF('1. Live'!N129='check-Jul''26'!I129,"",'1. Live'!N129-'check-Jul''26'!I129)</f>
        <v/>
      </c>
      <c r="R111" s="26" t="str">
        <f>IF('1. Live'!O129='check-Jul''26'!J129,"",'1. Live'!O129-'check-Jul''26'!J129)</f>
        <v/>
      </c>
      <c r="S111" s="26" t="str">
        <f>IF('1. Live'!P129='check-Jul''26'!K129,"",'1. Live'!P129-'check-Jul''26'!K129)</f>
        <v/>
      </c>
      <c r="T111" s="26" t="str">
        <f>IF('1. Live'!Q129='check-Jul''26'!L129,"",'1. Live'!Q129-'check-Jul''26'!L129)</f>
        <v/>
      </c>
      <c r="U111" s="80" t="str">
        <f>IF('1. Live'!R129='check-Jul''26'!M129,"",'1. Live'!R129-'check-Jul''26'!M129)</f>
        <v/>
      </c>
      <c r="V111" s="26" t="str">
        <f>IF('1. Live'!S129='check-Jul''26'!N129,"",'1. Live'!S129-'check-Jul''26'!N129)</f>
        <v/>
      </c>
      <c r="W111" s="25" t="str">
        <f>IF('1. Live'!T129='check-Jul''26'!O129,"",'1. Live'!T129-'check-Jul''26'!O129)</f>
        <v/>
      </c>
      <c r="X111" s="25" t="str">
        <f>IF('1. Live'!U129='check-Jul''26'!Q129,"",'1. Live'!U129-'check-Jul''26'!Q129)</f>
        <v/>
      </c>
      <c r="Y111" s="25" t="str">
        <f>IF('1. Live'!V129='check-Jul''26'!R129,"",'1. Live'!V129-'check-Jul''26'!R129)</f>
        <v/>
      </c>
      <c r="Z111" s="25" t="str">
        <f>IF('1. Live'!W129='check-Jul''26'!S129,"",'1. Live'!W129-'check-Jul''26'!S129)</f>
        <v/>
      </c>
      <c r="AA111" s="25" t="str">
        <f>IF('1. Live'!X129='check-Jul''26'!T129,"",'1. Live'!X129-'check-Jul''26'!T129)</f>
        <v/>
      </c>
      <c r="AB111" s="25" t="str">
        <f>IF('1. Live'!AF129='check-Jul''26'!AB129,"",'1. Live'!AF129-'check-Jul''26'!AB129)</f>
        <v/>
      </c>
      <c r="AC111" s="25" t="str">
        <f>IF('1. Live'!AG129='check-Jul''26'!AC129,"",'1. Live'!AG129-'check-Jul''26'!AC129)</f>
        <v/>
      </c>
      <c r="AD111" s="25" t="str">
        <f>IF('1. Live'!AH129='check-Jul''26'!AD129,"",'1. Live'!AH129-'check-Jul''26'!AD129)</f>
        <v/>
      </c>
      <c r="AE111" s="25" t="str">
        <f>IF('1. Live'!AI129='check-Jul''26'!AE129,"",'1. Live'!AI129-'check-Jul''26'!AE129)</f>
        <v/>
      </c>
      <c r="AF111" s="25" t="str">
        <f>IF('1. Live'!AJ129='check-Jul''26'!AF129,"",'1. Live'!AJ129-'check-Jul''26'!AF129)</f>
        <v/>
      </c>
      <c r="AG111" s="25" t="str">
        <f>IF('1. Live'!AK129='check-Jul''26'!AG129,"",'1. Live'!AK129-'check-Jul''26'!AG129)</f>
        <v/>
      </c>
      <c r="AH111" s="25" t="str">
        <f>IF('1. Live'!AL129='check-Jul''26'!AH129,"",'1. Live'!AL129-'check-Jul''26'!AH129)</f>
        <v/>
      </c>
      <c r="AI111" s="25" t="str">
        <f>IF('1. Live'!AM129='check-Jul''26'!AI129,"",'1. Live'!AM129-'check-Jul''26'!AI129)</f>
        <v/>
      </c>
      <c r="AJ111" s="25" t="str">
        <f>IF('1. Live'!AN129='check-Jul''26'!AJ129,"",'1. Live'!AN129-'check-Jul''26'!AJ129)</f>
        <v/>
      </c>
      <c r="AK111" s="25" t="str">
        <f>IF('1. Live'!AO129='check-Jul''26'!AK129,"",'1. Live'!AO129-'check-Jul''26'!AK129)</f>
        <v/>
      </c>
      <c r="AL111" s="25" t="str">
        <f>IF('1. Live'!AP129='check-Jul''26'!AL129,"",'1. Live'!AP129-'check-Jul''26'!AL129)</f>
        <v/>
      </c>
      <c r="AM111" s="25" t="str">
        <f>IF('1. Live'!AQ129='check-Jul''26'!AM129,"",'1. Live'!AQ129-'check-Jul''26'!AM129)</f>
        <v/>
      </c>
      <c r="AN111" s="25" t="str">
        <f>IF('1. Live'!AR129='check-Jul''26'!AN129,"",'1. Live'!AR129-'check-Jul''26'!AN129)</f>
        <v/>
      </c>
      <c r="AO111" s="25" t="str">
        <f>IF('1. Live'!AS129='check-Jul''26'!AO129,"",'1. Live'!AS129-'check-Jul''26'!AO129)</f>
        <v/>
      </c>
      <c r="AP111" s="25" t="str">
        <f>IF('1. Live'!AT129='check-Jul''26'!AP129,"",'1. Live'!AT129-'check-Jul''26'!AP129)</f>
        <v/>
      </c>
      <c r="AQ111" s="25" t="str">
        <f>IF('1. Live'!AU129='check-Jul''26'!AQ129,"",'1. Live'!AU129-'check-Jul''26'!AQ129)</f>
        <v/>
      </c>
      <c r="AR111" s="25" t="str">
        <f>IF('1. Live'!AV129='check-Jul''26'!AR129,"",'1. Live'!AV129-'check-Jul''26'!AR129)</f>
        <v/>
      </c>
      <c r="AS111" s="25" t="str">
        <f>IF('1. Live'!AW129='check-Jul''26'!AS129,"",'1. Live'!AW129-'check-Jul''26'!AS129)</f>
        <v/>
      </c>
      <c r="AT111" s="25" t="str">
        <f>IF('1. Live'!AX129='check-Jul''26'!AT129,"",'1. Live'!AX129-'check-Jul''26'!AT129)</f>
        <v/>
      </c>
      <c r="AU111" s="25" t="str">
        <f>IF('1. Live'!AY129='check-Jul''26'!AU129,"",'1. Live'!AY129-'check-Jul''26'!AU129)</f>
        <v/>
      </c>
      <c r="AV111" s="25" t="str">
        <f>IF('1. Live'!AZ129='check-Jul''26'!AV129,"",'1. Live'!AZ129-'check-Jul''26'!AV129)</f>
        <v/>
      </c>
      <c r="AW111" s="25" t="str">
        <f>IF('1. Live'!BA129='check-Jul''26'!AW129,"",'1. Live'!BA129-'check-Jul''26'!AW129)</f>
        <v/>
      </c>
      <c r="AX111" s="25" t="str">
        <f>IF('1. Live'!BB129='check-Jul''26'!AX129,"",'1. Live'!BB129-'check-Jul''26'!AX129)</f>
        <v/>
      </c>
      <c r="AY111" s="25" t="str">
        <f>IF('1. Live'!BC129='check-Jul''26'!AY129,"",'1. Live'!BC129-'check-Jul''26'!AY129)</f>
        <v/>
      </c>
      <c r="AZ111" s="25" t="str">
        <f>IF('1. Live'!BD129='check-Jul''26'!AZ129,"",'1. Live'!BD129-'check-Jul''26'!AZ129)</f>
        <v/>
      </c>
      <c r="BA111" s="25" t="str">
        <f>IF('1. Live'!BE129='check-Jul''26'!BA129,"",'1. Live'!BE129-'check-Jul''26'!BA129)</f>
        <v/>
      </c>
      <c r="BB111" s="25" t="str">
        <f>IF('1. Live'!BF129='check-Jul''26'!BB129,"",'1. Live'!BF129-'check-Jul''26'!BB129)</f>
        <v/>
      </c>
      <c r="BC111" s="25" t="str">
        <f>IF('1. Live'!BG129='check-Jul''26'!BC129,"",'1. Live'!BG129-'check-Jul''26'!BC129)</f>
        <v/>
      </c>
      <c r="BD111" s="25" t="str">
        <f>IF('1. Live'!BH129='check-Jul''26'!BD129,"",'1. Live'!BH129-'check-Jul''26'!BD129)</f>
        <v/>
      </c>
      <c r="BE111" s="25" t="str">
        <f>IF('1. Live'!BI129='check-Jul''26'!BE129,"",'1. Live'!BI129-'check-Jul''26'!BE129)</f>
        <v/>
      </c>
      <c r="BF111" s="25" t="str">
        <f>IF('1. Live'!BJ129='check-Jul''26'!BF129,"",'1. Live'!BJ129-'check-Jul''26'!BF129)</f>
        <v/>
      </c>
      <c r="BG111" s="25" t="str">
        <f>IF('1. Live'!BK129='check-Jul''26'!BG129,"",'1. Live'!BK129-'check-Jul''26'!BG129)</f>
        <v/>
      </c>
      <c r="BH111" s="25" t="str">
        <f>IF('1. Live'!BL129='check-Jul''26'!BH129,"",'1. Live'!BL129-'check-Jul''26'!BH129)</f>
        <v/>
      </c>
      <c r="BI111" s="25" t="str">
        <f>IF('1. Live'!BM129='check-Jul''26'!BI129,"",'1. Live'!BM129-'check-Jul''26'!BI129)</f>
        <v/>
      </c>
      <c r="BJ111" s="25" t="str">
        <f>IF('1. Live'!BN129='check-Jul''26'!BJ129,"",'1. Live'!BN129-'check-Jul''26'!BJ129)</f>
        <v/>
      </c>
      <c r="BK111" s="25" t="str">
        <f>IF('1. Live'!BO129='check-Jul''26'!BK129,"",'1. Live'!BO129-'check-Jul''26'!BK129)</f>
        <v/>
      </c>
      <c r="BL111" s="25" t="str">
        <f>IF('1. Live'!BP129='check-Jul''26'!BL129,"",'1. Live'!BP129-'check-Jul''26'!BL129)</f>
        <v/>
      </c>
      <c r="BM111" s="25" t="str">
        <f>IF('1. Live'!BQ129='check-Jul''26'!BM129,"",'1. Live'!BQ129-'check-Jul''26'!BM129)</f>
        <v/>
      </c>
      <c r="BN111" s="25" t="str">
        <f>IF('1. Live'!BR129='check-Jul''26'!BN129,"",'1. Live'!BR129-'check-Jul''26'!BN129)</f>
        <v/>
      </c>
      <c r="BO111" s="25" t="str">
        <f>IF('1. Live'!BS129='check-Jul''26'!BO129,"",'1. Live'!BS129-'check-Jul''26'!BO129)</f>
        <v/>
      </c>
      <c r="BP111" s="25" t="str">
        <f>IF('1. Live'!BT129='check-Jul''26'!BP129,"",'1. Live'!BT129-'check-Jul''26'!BP129)</f>
        <v/>
      </c>
      <c r="BQ111" s="25" t="str">
        <f>IF('1. Live'!BU129='check-Jul''26'!BQ129,"",'1. Live'!BU129-'check-Jul''26'!BQ129)</f>
        <v/>
      </c>
      <c r="BR111" s="25" t="str">
        <f>IF('1. Live'!BV129='check-Jul''26'!BR129,"",'1. Live'!BV129-'check-Jul''26'!BR129)</f>
        <v/>
      </c>
      <c r="BS111" s="25" t="str">
        <f>IF('1. Live'!BW129='check-Jul''26'!BS129,"",'1. Live'!BW129-'check-Jul''26'!BS129)</f>
        <v/>
      </c>
      <c r="BT111" s="25" t="str">
        <f>IF('1. Live'!BX129='check-Jul''26'!BT129,"",'1. Live'!BX129-'check-Jul''26'!BT129)</f>
        <v/>
      </c>
      <c r="BU111" s="25" t="str">
        <f>IF('1. Live'!BY129='check-Jul''26'!BU129,"",'1. Live'!BY129-'check-Jul''26'!BU129)</f>
        <v/>
      </c>
      <c r="BV111" s="25" t="str">
        <f>IF('1. Live'!BZ129='check-Jul''26'!BV129,"",'1. Live'!BZ129-'check-Jul''26'!BV129)</f>
        <v/>
      </c>
      <c r="BW111" s="25" t="str">
        <f>IF('1. Live'!CA129='check-Jul''26'!BW129,"",'1. Live'!CA129-'check-Jul''26'!BW129)</f>
        <v/>
      </c>
      <c r="BX111" s="25" t="str">
        <f>IF('1. Live'!CB129='check-Jul''26'!BX129,"",'1. Live'!CB129-'check-Jul''26'!BX129)</f>
        <v/>
      </c>
      <c r="BY111" s="25" t="str">
        <f>IF('1. Live'!CC129='check-Jul''26'!BY129,"",'1. Live'!CC129-'check-Jul''26'!BY129)</f>
        <v/>
      </c>
      <c r="BZ111" s="25" t="str">
        <f>IF('1. Live'!CD129='check-Jul''26'!BZ129,"",'1. Live'!CD129-'check-Jul''26'!BZ129)</f>
        <v/>
      </c>
      <c r="CA111" s="25" t="str">
        <f>IF('1. Live'!CE129='check-Jul''26'!CA129,"",'1. Live'!CE129-'check-Jul''26'!CA129)</f>
        <v/>
      </c>
      <c r="CB111" s="25" t="str">
        <f>IF('1. Live'!CF129='check-Jul''26'!CB129,"",'1. Live'!CF129-'check-Jul''26'!CB129)</f>
        <v/>
      </c>
      <c r="CC111" s="25" t="str">
        <f>IF('1. Live'!CG129='check-Jul''26'!CC129,"",'1. Live'!CG129-'check-Jul''26'!CC129)</f>
        <v/>
      </c>
      <c r="CD111" s="25" t="str">
        <f>IF('1. Live'!CH129='check-Jul''26'!CD129,"",'1. Live'!CH129-'check-Jul''26'!CD129)</f>
        <v/>
      </c>
      <c r="CE111" s="25" t="str">
        <f>IF('1. Live'!CI129='check-Jul''26'!CE129,"",'1. Live'!CI129-'check-Jul''26'!CE129)</f>
        <v/>
      </c>
      <c r="CF111" s="25" t="str">
        <f>IF('1. Live'!CJ129='check-Jul''26'!CF129,"",'1. Live'!CJ129-'check-Jul''26'!CF129)</f>
        <v/>
      </c>
      <c r="CG111" s="25" t="str">
        <f>IF('1. Live'!CK129='check-Jul''26'!CG129,"",'1. Live'!CK129-'check-Jul''26'!CG129)</f>
        <v/>
      </c>
      <c r="CH111" s="25" t="str">
        <f>IF('1. Live'!CL129='check-Jul''26'!CH129,"",'1. Live'!CL129-'check-Jul''26'!CH129)</f>
        <v/>
      </c>
      <c r="CI111" s="25" t="str">
        <f>IF('1. Live'!CM129='check-Jul''26'!CI129,"",'1. Live'!CM129-'check-Jul''26'!CI129)</f>
        <v/>
      </c>
      <c r="CJ111" s="25" t="str">
        <f>IF('1. Live'!CN129='check-Jul''26'!CJ129,"",'1. Live'!CN129-'check-Jul''26'!CJ129)</f>
        <v/>
      </c>
      <c r="CK111" s="25" t="str">
        <f>IF('1. Live'!CO129='check-Jul''26'!CK129,"",'1. Live'!CO129-'check-Jul''26'!CK129)</f>
        <v/>
      </c>
      <c r="CL111" s="25" t="str">
        <f>IF('1. Live'!CP129='check-Jul''26'!CL129,"",'1. Live'!CP129-'check-Jul''26'!CL129)</f>
        <v/>
      </c>
      <c r="CM111" s="25" t="str">
        <f>IF('1. Live'!CQ129='check-Jul''26'!CM129,"",'1. Live'!CQ129-'check-Jul''26'!CM129)</f>
        <v/>
      </c>
      <c r="CN111" s="25" t="str">
        <f>IF('1. Live'!CR129='check-Jul''26'!CN129,"",'1. Live'!CR129-'check-Jul''26'!CN129)</f>
        <v/>
      </c>
      <c r="CO111" s="25" t="str">
        <f>IF('1. Live'!CS129='check-Jul''26'!CO129,"",'1. Live'!CS129-'check-Jul''26'!CO129)</f>
        <v/>
      </c>
      <c r="CP111" s="25" t="str">
        <f>IF('1. Live'!CT129='check-Jul''26'!CP129,"",'1. Live'!CT129-'check-Jul''26'!CP129)</f>
        <v/>
      </c>
      <c r="CQ111" s="25" t="str">
        <f>IF('1. Live'!CU129='check-Jul''26'!CQ129,"",'1. Live'!CU129-'check-Jul''26'!CQ129)</f>
        <v/>
      </c>
      <c r="CR111" s="25" t="str">
        <f>IF('1. Live'!CV129='check-Jul''26'!CR129,"",'1. Live'!CV129-'check-Jul''26'!CR129)</f>
        <v/>
      </c>
      <c r="CS111" s="25" t="str">
        <f>IF('1. Live'!CW129='check-Jul''26'!CS129,"",'1. Live'!CW129-'check-Jul''26'!CS129)</f>
        <v/>
      </c>
      <c r="CT111" s="25" t="str">
        <f>IF('1. Live'!CX129='check-Jul''26'!CT129,"",'1. Live'!CX129-'check-Jul''26'!CT129)</f>
        <v/>
      </c>
      <c r="CU111" s="25" t="str">
        <f>IF('1. Live'!CY129='check-Jul''26'!CU129,"",'1. Live'!CY129-'check-Jul''26'!CU129)</f>
        <v/>
      </c>
      <c r="CV111" s="25" t="str">
        <f>IF('1. Live'!CZ129='check-Jul''26'!CV129,"",'1. Live'!CZ129-'check-Jul''26'!CV129)</f>
        <v/>
      </c>
    </row>
    <row r="112" spans="17:100" x14ac:dyDescent="0.25">
      <c r="Q112" s="26" t="str">
        <f>IF('1. Live'!N130='check-Jul''26'!I130,"",'1. Live'!N130-'check-Jul''26'!I130)</f>
        <v/>
      </c>
      <c r="R112" s="26" t="str">
        <f>IF('1. Live'!O130='check-Jul''26'!J130,"",'1. Live'!O130-'check-Jul''26'!J130)</f>
        <v/>
      </c>
      <c r="S112" s="26" t="str">
        <f>IF('1. Live'!P130='check-Jul''26'!K130,"",'1. Live'!P130-'check-Jul''26'!K130)</f>
        <v/>
      </c>
      <c r="T112" s="26" t="str">
        <f>IF('1. Live'!Q130='check-Jul''26'!L130,"",'1. Live'!Q130-'check-Jul''26'!L130)</f>
        <v/>
      </c>
      <c r="U112" s="80" t="str">
        <f>IF('1. Live'!R130='check-Jul''26'!M130,"",'1. Live'!R130-'check-Jul''26'!M130)</f>
        <v/>
      </c>
      <c r="V112" s="26" t="str">
        <f>IF('1. Live'!S130='check-Jul''26'!N130,"",'1. Live'!S130-'check-Jul''26'!N130)</f>
        <v/>
      </c>
      <c r="W112" s="25" t="str">
        <f>IF('1. Live'!T130='check-Jul''26'!O130,"",'1. Live'!T130-'check-Jul''26'!O130)</f>
        <v/>
      </c>
      <c r="X112" s="25" t="str">
        <f>IF('1. Live'!U130='check-Jul''26'!Q130,"",'1. Live'!U130-'check-Jul''26'!Q130)</f>
        <v/>
      </c>
      <c r="Y112" s="25" t="str">
        <f>IF('1. Live'!V130='check-Jul''26'!R130,"",'1. Live'!V130-'check-Jul''26'!R130)</f>
        <v/>
      </c>
      <c r="Z112" s="25" t="str">
        <f>IF('1. Live'!W130='check-Jul''26'!S130,"",'1. Live'!W130-'check-Jul''26'!S130)</f>
        <v/>
      </c>
      <c r="AA112" s="25" t="str">
        <f>IF('1. Live'!X130='check-Jul''26'!T130,"",'1. Live'!X130-'check-Jul''26'!T130)</f>
        <v/>
      </c>
      <c r="AB112" s="25" t="str">
        <f>IF('1. Live'!AF130='check-Jul''26'!AB130,"",'1. Live'!AF130-'check-Jul''26'!AB130)</f>
        <v/>
      </c>
      <c r="AC112" s="25" t="str">
        <f>IF('1. Live'!AG130='check-Jul''26'!AC130,"",'1. Live'!AG130-'check-Jul''26'!AC130)</f>
        <v/>
      </c>
      <c r="AD112" s="25" t="str">
        <f>IF('1. Live'!AH130='check-Jul''26'!AD130,"",'1. Live'!AH130-'check-Jul''26'!AD130)</f>
        <v/>
      </c>
      <c r="AE112" s="25" t="str">
        <f>IF('1. Live'!AI130='check-Jul''26'!AE130,"",'1. Live'!AI130-'check-Jul''26'!AE130)</f>
        <v/>
      </c>
      <c r="AF112" s="25" t="str">
        <f>IF('1. Live'!AJ130='check-Jul''26'!AF130,"",'1. Live'!AJ130-'check-Jul''26'!AF130)</f>
        <v/>
      </c>
      <c r="AG112" s="25" t="str">
        <f>IF('1. Live'!AK130='check-Jul''26'!AG130,"",'1. Live'!AK130-'check-Jul''26'!AG130)</f>
        <v/>
      </c>
      <c r="AH112" s="25" t="str">
        <f>IF('1. Live'!AL130='check-Jul''26'!AH130,"",'1. Live'!AL130-'check-Jul''26'!AH130)</f>
        <v/>
      </c>
      <c r="AI112" s="25" t="str">
        <f>IF('1. Live'!AM130='check-Jul''26'!AI130,"",'1. Live'!AM130-'check-Jul''26'!AI130)</f>
        <v/>
      </c>
      <c r="AJ112" s="25" t="str">
        <f>IF('1. Live'!AN130='check-Jul''26'!AJ130,"",'1. Live'!AN130-'check-Jul''26'!AJ130)</f>
        <v/>
      </c>
      <c r="AK112" s="25" t="str">
        <f>IF('1. Live'!AO130='check-Jul''26'!AK130,"",'1. Live'!AO130-'check-Jul''26'!AK130)</f>
        <v/>
      </c>
      <c r="AL112" s="25" t="str">
        <f>IF('1. Live'!AP130='check-Jul''26'!AL130,"",'1. Live'!AP130-'check-Jul''26'!AL130)</f>
        <v/>
      </c>
      <c r="AM112" s="25" t="str">
        <f>IF('1. Live'!AQ130='check-Jul''26'!AM130,"",'1. Live'!AQ130-'check-Jul''26'!AM130)</f>
        <v/>
      </c>
      <c r="AN112" s="25" t="str">
        <f>IF('1. Live'!AR130='check-Jul''26'!AN130,"",'1. Live'!AR130-'check-Jul''26'!AN130)</f>
        <v/>
      </c>
      <c r="AO112" s="25" t="str">
        <f>IF('1. Live'!AS130='check-Jul''26'!AO130,"",'1. Live'!AS130-'check-Jul''26'!AO130)</f>
        <v/>
      </c>
      <c r="AP112" s="25" t="str">
        <f>IF('1. Live'!AT130='check-Jul''26'!AP130,"",'1. Live'!AT130-'check-Jul''26'!AP130)</f>
        <v/>
      </c>
      <c r="AQ112" s="25" t="str">
        <f>IF('1. Live'!AU130='check-Jul''26'!AQ130,"",'1. Live'!AU130-'check-Jul''26'!AQ130)</f>
        <v/>
      </c>
      <c r="AR112" s="25" t="str">
        <f>IF('1. Live'!AV130='check-Jul''26'!AR130,"",'1. Live'!AV130-'check-Jul''26'!AR130)</f>
        <v/>
      </c>
      <c r="AS112" s="25" t="str">
        <f>IF('1. Live'!AW130='check-Jul''26'!AS130,"",'1. Live'!AW130-'check-Jul''26'!AS130)</f>
        <v/>
      </c>
      <c r="AT112" s="25" t="str">
        <f>IF('1. Live'!AX130='check-Jul''26'!AT130,"",'1. Live'!AX130-'check-Jul''26'!AT130)</f>
        <v/>
      </c>
      <c r="AU112" s="25" t="str">
        <f>IF('1. Live'!AY130='check-Jul''26'!AU130,"",'1. Live'!AY130-'check-Jul''26'!AU130)</f>
        <v/>
      </c>
      <c r="AV112" s="25" t="str">
        <f>IF('1. Live'!AZ130='check-Jul''26'!AV130,"",'1. Live'!AZ130-'check-Jul''26'!AV130)</f>
        <v/>
      </c>
      <c r="AW112" s="25" t="str">
        <f>IF('1. Live'!BA130='check-Jul''26'!AW130,"",'1. Live'!BA130-'check-Jul''26'!AW130)</f>
        <v/>
      </c>
      <c r="AX112" s="25" t="str">
        <f>IF('1. Live'!BB130='check-Jul''26'!AX130,"",'1. Live'!BB130-'check-Jul''26'!AX130)</f>
        <v/>
      </c>
      <c r="AY112" s="25" t="str">
        <f>IF('1. Live'!BC130='check-Jul''26'!AY130,"",'1. Live'!BC130-'check-Jul''26'!AY130)</f>
        <v/>
      </c>
      <c r="AZ112" s="25" t="str">
        <f>IF('1. Live'!BD130='check-Jul''26'!AZ130,"",'1. Live'!BD130-'check-Jul''26'!AZ130)</f>
        <v/>
      </c>
      <c r="BA112" s="25" t="str">
        <f>IF('1. Live'!BE130='check-Jul''26'!BA130,"",'1. Live'!BE130-'check-Jul''26'!BA130)</f>
        <v/>
      </c>
      <c r="BB112" s="25" t="str">
        <f>IF('1. Live'!BF130='check-Jul''26'!BB130,"",'1. Live'!BF130-'check-Jul''26'!BB130)</f>
        <v/>
      </c>
      <c r="BC112" s="25" t="str">
        <f>IF('1. Live'!BG130='check-Jul''26'!BC130,"",'1. Live'!BG130-'check-Jul''26'!BC130)</f>
        <v/>
      </c>
      <c r="BD112" s="25" t="str">
        <f>IF('1. Live'!BH130='check-Jul''26'!BD130,"",'1. Live'!BH130-'check-Jul''26'!BD130)</f>
        <v/>
      </c>
      <c r="BE112" s="25" t="str">
        <f>IF('1. Live'!BI130='check-Jul''26'!BE130,"",'1. Live'!BI130-'check-Jul''26'!BE130)</f>
        <v/>
      </c>
      <c r="BF112" s="25" t="str">
        <f>IF('1. Live'!BJ130='check-Jul''26'!BF130,"",'1. Live'!BJ130-'check-Jul''26'!BF130)</f>
        <v/>
      </c>
      <c r="BG112" s="25" t="str">
        <f>IF('1. Live'!BK130='check-Jul''26'!BG130,"",'1. Live'!BK130-'check-Jul''26'!BG130)</f>
        <v/>
      </c>
      <c r="BH112" s="25" t="str">
        <f>IF('1. Live'!BL130='check-Jul''26'!BH130,"",'1. Live'!BL130-'check-Jul''26'!BH130)</f>
        <v/>
      </c>
      <c r="BI112" s="25" t="str">
        <f>IF('1. Live'!BM130='check-Jul''26'!BI130,"",'1. Live'!BM130-'check-Jul''26'!BI130)</f>
        <v/>
      </c>
      <c r="BJ112" s="25" t="str">
        <f>IF('1. Live'!BN130='check-Jul''26'!BJ130,"",'1. Live'!BN130-'check-Jul''26'!BJ130)</f>
        <v/>
      </c>
      <c r="BK112" s="25" t="str">
        <f>IF('1. Live'!BO130='check-Jul''26'!BK130,"",'1. Live'!BO130-'check-Jul''26'!BK130)</f>
        <v/>
      </c>
      <c r="BL112" s="25" t="str">
        <f>IF('1. Live'!BP130='check-Jul''26'!BL130,"",'1. Live'!BP130-'check-Jul''26'!BL130)</f>
        <v/>
      </c>
      <c r="BM112" s="25" t="str">
        <f>IF('1. Live'!BQ130='check-Jul''26'!BM130,"",'1. Live'!BQ130-'check-Jul''26'!BM130)</f>
        <v/>
      </c>
      <c r="BN112" s="25" t="str">
        <f>IF('1. Live'!BR130='check-Jul''26'!BN130,"",'1. Live'!BR130-'check-Jul''26'!BN130)</f>
        <v/>
      </c>
      <c r="BO112" s="25" t="str">
        <f>IF('1. Live'!BS130='check-Jul''26'!BO130,"",'1. Live'!BS130-'check-Jul''26'!BO130)</f>
        <v/>
      </c>
      <c r="BP112" s="25" t="str">
        <f>IF('1. Live'!BT130='check-Jul''26'!BP130,"",'1. Live'!BT130-'check-Jul''26'!BP130)</f>
        <v/>
      </c>
      <c r="BQ112" s="25" t="str">
        <f>IF('1. Live'!BU130='check-Jul''26'!BQ130,"",'1. Live'!BU130-'check-Jul''26'!BQ130)</f>
        <v/>
      </c>
      <c r="BR112" s="25" t="str">
        <f>IF('1. Live'!BV130='check-Jul''26'!BR130,"",'1. Live'!BV130-'check-Jul''26'!BR130)</f>
        <v/>
      </c>
      <c r="BS112" s="25" t="str">
        <f>IF('1. Live'!BW130='check-Jul''26'!BS130,"",'1. Live'!BW130-'check-Jul''26'!BS130)</f>
        <v/>
      </c>
      <c r="BT112" s="25" t="str">
        <f>IF('1. Live'!BX130='check-Jul''26'!BT130,"",'1. Live'!BX130-'check-Jul''26'!BT130)</f>
        <v/>
      </c>
      <c r="BU112" s="25" t="str">
        <f>IF('1. Live'!BY130='check-Jul''26'!BU130,"",'1. Live'!BY130-'check-Jul''26'!BU130)</f>
        <v/>
      </c>
      <c r="BV112" s="25" t="str">
        <f>IF('1. Live'!BZ130='check-Jul''26'!BV130,"",'1. Live'!BZ130-'check-Jul''26'!BV130)</f>
        <v/>
      </c>
      <c r="BW112" s="25" t="str">
        <f>IF('1. Live'!CA130='check-Jul''26'!BW130,"",'1. Live'!CA130-'check-Jul''26'!BW130)</f>
        <v/>
      </c>
      <c r="BX112" s="25" t="str">
        <f>IF('1. Live'!CB130='check-Jul''26'!BX130,"",'1. Live'!CB130-'check-Jul''26'!BX130)</f>
        <v/>
      </c>
      <c r="BY112" s="25" t="str">
        <f>IF('1. Live'!CC130='check-Jul''26'!BY130,"",'1. Live'!CC130-'check-Jul''26'!BY130)</f>
        <v/>
      </c>
      <c r="BZ112" s="25" t="str">
        <f>IF('1. Live'!CD130='check-Jul''26'!BZ130,"",'1. Live'!CD130-'check-Jul''26'!BZ130)</f>
        <v/>
      </c>
      <c r="CA112" s="25" t="str">
        <f>IF('1. Live'!CE130='check-Jul''26'!CA130,"",'1. Live'!CE130-'check-Jul''26'!CA130)</f>
        <v/>
      </c>
      <c r="CB112" s="25" t="str">
        <f>IF('1. Live'!CF130='check-Jul''26'!CB130,"",'1. Live'!CF130-'check-Jul''26'!CB130)</f>
        <v/>
      </c>
      <c r="CC112" s="25" t="str">
        <f>IF('1. Live'!CG130='check-Jul''26'!CC130,"",'1. Live'!CG130-'check-Jul''26'!CC130)</f>
        <v/>
      </c>
      <c r="CD112" s="25" t="str">
        <f>IF('1. Live'!CH130='check-Jul''26'!CD130,"",'1. Live'!CH130-'check-Jul''26'!CD130)</f>
        <v/>
      </c>
      <c r="CE112" s="25" t="str">
        <f>IF('1. Live'!CI130='check-Jul''26'!CE130,"",'1. Live'!CI130-'check-Jul''26'!CE130)</f>
        <v/>
      </c>
      <c r="CF112" s="25" t="str">
        <f>IF('1. Live'!CJ130='check-Jul''26'!CF130,"",'1. Live'!CJ130-'check-Jul''26'!CF130)</f>
        <v/>
      </c>
      <c r="CG112" s="25" t="str">
        <f>IF('1. Live'!CK130='check-Jul''26'!CG130,"",'1. Live'!CK130-'check-Jul''26'!CG130)</f>
        <v/>
      </c>
      <c r="CH112" s="25" t="str">
        <f>IF('1. Live'!CL130='check-Jul''26'!CH130,"",'1. Live'!CL130-'check-Jul''26'!CH130)</f>
        <v/>
      </c>
      <c r="CI112" s="25" t="str">
        <f>IF('1. Live'!CM130='check-Jul''26'!CI130,"",'1. Live'!CM130-'check-Jul''26'!CI130)</f>
        <v/>
      </c>
      <c r="CJ112" s="25" t="str">
        <f>IF('1. Live'!CN130='check-Jul''26'!CJ130,"",'1. Live'!CN130-'check-Jul''26'!CJ130)</f>
        <v/>
      </c>
      <c r="CK112" s="25" t="str">
        <f>IF('1. Live'!CO130='check-Jul''26'!CK130,"",'1. Live'!CO130-'check-Jul''26'!CK130)</f>
        <v/>
      </c>
      <c r="CL112" s="25" t="str">
        <f>IF('1. Live'!CP130='check-Jul''26'!CL130,"",'1. Live'!CP130-'check-Jul''26'!CL130)</f>
        <v/>
      </c>
      <c r="CM112" s="25" t="str">
        <f>IF('1. Live'!CQ130='check-Jul''26'!CM130,"",'1. Live'!CQ130-'check-Jul''26'!CM130)</f>
        <v/>
      </c>
      <c r="CN112" s="25" t="str">
        <f>IF('1. Live'!CR130='check-Jul''26'!CN130,"",'1. Live'!CR130-'check-Jul''26'!CN130)</f>
        <v/>
      </c>
      <c r="CO112" s="25" t="str">
        <f>IF('1. Live'!CS130='check-Jul''26'!CO130,"",'1. Live'!CS130-'check-Jul''26'!CO130)</f>
        <v/>
      </c>
      <c r="CP112" s="25" t="str">
        <f>IF('1. Live'!CT130='check-Jul''26'!CP130,"",'1. Live'!CT130-'check-Jul''26'!CP130)</f>
        <v/>
      </c>
      <c r="CQ112" s="25" t="str">
        <f>IF('1. Live'!CU130='check-Jul''26'!CQ130,"",'1. Live'!CU130-'check-Jul''26'!CQ130)</f>
        <v/>
      </c>
      <c r="CR112" s="25" t="str">
        <f>IF('1. Live'!CV130='check-Jul''26'!CR130,"",'1. Live'!CV130-'check-Jul''26'!CR130)</f>
        <v/>
      </c>
      <c r="CS112" s="25" t="str">
        <f>IF('1. Live'!CW130='check-Jul''26'!CS130,"",'1. Live'!CW130-'check-Jul''26'!CS130)</f>
        <v/>
      </c>
      <c r="CT112" s="25" t="str">
        <f>IF('1. Live'!CX130='check-Jul''26'!CT130,"",'1. Live'!CX130-'check-Jul''26'!CT130)</f>
        <v/>
      </c>
      <c r="CU112" s="25" t="str">
        <f>IF('1. Live'!CY130='check-Jul''26'!CU130,"",'1. Live'!CY130-'check-Jul''26'!CU130)</f>
        <v/>
      </c>
      <c r="CV112" s="25" t="str">
        <f>IF('1. Live'!CZ130='check-Jul''26'!CV130,"",'1. Live'!CZ130-'check-Jul''26'!CV130)</f>
        <v/>
      </c>
    </row>
    <row r="113" spans="17:100" x14ac:dyDescent="0.25">
      <c r="Q113" s="26" t="str">
        <f>IF('1. Live'!N131='check-Jul''26'!I131,"",'1. Live'!N131-'check-Jul''26'!I131)</f>
        <v/>
      </c>
      <c r="R113" s="26" t="str">
        <f>IF('1. Live'!O131='check-Jul''26'!J131,"",'1. Live'!O131-'check-Jul''26'!J131)</f>
        <v/>
      </c>
      <c r="S113" s="26" t="str">
        <f>IF('1. Live'!P131='check-Jul''26'!K131,"",'1. Live'!P131-'check-Jul''26'!K131)</f>
        <v/>
      </c>
      <c r="T113" s="26" t="str">
        <f>IF('1. Live'!Q131='check-Jul''26'!L131,"",'1. Live'!Q131-'check-Jul''26'!L131)</f>
        <v/>
      </c>
      <c r="U113" s="80" t="str">
        <f>IF('1. Live'!R131='check-Jul''26'!M131,"",'1. Live'!R131-'check-Jul''26'!M131)</f>
        <v/>
      </c>
      <c r="V113" s="26" t="str">
        <f>IF('1. Live'!S131='check-Jul''26'!N131,"",'1. Live'!S131-'check-Jul''26'!N131)</f>
        <v/>
      </c>
      <c r="W113" s="25" t="str">
        <f>IF('1. Live'!T131='check-Jul''26'!O131,"",'1. Live'!T131-'check-Jul''26'!O131)</f>
        <v/>
      </c>
      <c r="X113" s="25" t="str">
        <f>IF('1. Live'!U131='check-Jul''26'!Q131,"",'1. Live'!U131-'check-Jul''26'!Q131)</f>
        <v/>
      </c>
      <c r="Y113" s="25" t="str">
        <f>IF('1. Live'!V131='check-Jul''26'!R131,"",'1. Live'!V131-'check-Jul''26'!R131)</f>
        <v/>
      </c>
      <c r="Z113" s="25" t="str">
        <f>IF('1. Live'!W131='check-Jul''26'!S131,"",'1. Live'!W131-'check-Jul''26'!S131)</f>
        <v/>
      </c>
      <c r="AA113" s="25" t="str">
        <f>IF('1. Live'!X131='check-Jul''26'!T131,"",'1. Live'!X131-'check-Jul''26'!T131)</f>
        <v/>
      </c>
      <c r="AB113" s="25" t="str">
        <f>IF('1. Live'!AF131='check-Jul''26'!AB131,"",'1. Live'!AF131-'check-Jul''26'!AB131)</f>
        <v/>
      </c>
      <c r="AC113" s="25" t="str">
        <f>IF('1. Live'!AG131='check-Jul''26'!AC131,"",'1. Live'!AG131-'check-Jul''26'!AC131)</f>
        <v/>
      </c>
      <c r="AD113" s="25" t="str">
        <f>IF('1. Live'!AH131='check-Jul''26'!AD131,"",'1. Live'!AH131-'check-Jul''26'!AD131)</f>
        <v/>
      </c>
      <c r="AE113" s="25" t="str">
        <f>IF('1. Live'!AI131='check-Jul''26'!AE131,"",'1. Live'!AI131-'check-Jul''26'!AE131)</f>
        <v/>
      </c>
      <c r="AF113" s="25" t="str">
        <f>IF('1. Live'!AJ131='check-Jul''26'!AF131,"",'1. Live'!AJ131-'check-Jul''26'!AF131)</f>
        <v/>
      </c>
      <c r="AG113" s="25" t="str">
        <f>IF('1. Live'!AK131='check-Jul''26'!AG131,"",'1. Live'!AK131-'check-Jul''26'!AG131)</f>
        <v/>
      </c>
      <c r="AH113" s="25" t="str">
        <f>IF('1. Live'!AL131='check-Jul''26'!AH131,"",'1. Live'!AL131-'check-Jul''26'!AH131)</f>
        <v/>
      </c>
      <c r="AI113" s="25" t="str">
        <f>IF('1. Live'!AM131='check-Jul''26'!AI131,"",'1. Live'!AM131-'check-Jul''26'!AI131)</f>
        <v/>
      </c>
      <c r="AJ113" s="25" t="str">
        <f>IF('1. Live'!AN131='check-Jul''26'!AJ131,"",'1. Live'!AN131-'check-Jul''26'!AJ131)</f>
        <v/>
      </c>
      <c r="AK113" s="25" t="str">
        <f>IF('1. Live'!AO131='check-Jul''26'!AK131,"",'1. Live'!AO131-'check-Jul''26'!AK131)</f>
        <v/>
      </c>
      <c r="AL113" s="25" t="str">
        <f>IF('1. Live'!AP131='check-Jul''26'!AL131,"",'1. Live'!AP131-'check-Jul''26'!AL131)</f>
        <v/>
      </c>
      <c r="AM113" s="25" t="str">
        <f>IF('1. Live'!AQ131='check-Jul''26'!AM131,"",'1. Live'!AQ131-'check-Jul''26'!AM131)</f>
        <v/>
      </c>
      <c r="AN113" s="25" t="str">
        <f>IF('1. Live'!AR131='check-Jul''26'!AN131,"",'1. Live'!AR131-'check-Jul''26'!AN131)</f>
        <v/>
      </c>
      <c r="AO113" s="25" t="str">
        <f>IF('1. Live'!AS131='check-Jul''26'!AO131,"",'1. Live'!AS131-'check-Jul''26'!AO131)</f>
        <v/>
      </c>
      <c r="AP113" s="25" t="str">
        <f>IF('1. Live'!AT131='check-Jul''26'!AP131,"",'1. Live'!AT131-'check-Jul''26'!AP131)</f>
        <v/>
      </c>
      <c r="AQ113" s="25" t="str">
        <f>IF('1. Live'!AU131='check-Jul''26'!AQ131,"",'1. Live'!AU131-'check-Jul''26'!AQ131)</f>
        <v/>
      </c>
      <c r="AR113" s="25" t="str">
        <f>IF('1. Live'!AV131='check-Jul''26'!AR131,"",'1. Live'!AV131-'check-Jul''26'!AR131)</f>
        <v/>
      </c>
      <c r="AS113" s="25" t="str">
        <f>IF('1. Live'!AW131='check-Jul''26'!AS131,"",'1. Live'!AW131-'check-Jul''26'!AS131)</f>
        <v/>
      </c>
      <c r="AT113" s="25" t="str">
        <f>IF('1. Live'!AX131='check-Jul''26'!AT131,"",'1. Live'!AX131-'check-Jul''26'!AT131)</f>
        <v/>
      </c>
      <c r="AU113" s="25" t="str">
        <f>IF('1. Live'!AY131='check-Jul''26'!AU131,"",'1. Live'!AY131-'check-Jul''26'!AU131)</f>
        <v/>
      </c>
      <c r="AV113" s="25" t="str">
        <f>IF('1. Live'!AZ131='check-Jul''26'!AV131,"",'1. Live'!AZ131-'check-Jul''26'!AV131)</f>
        <v/>
      </c>
      <c r="AW113" s="25" t="str">
        <f>IF('1. Live'!BA131='check-Jul''26'!AW131,"",'1. Live'!BA131-'check-Jul''26'!AW131)</f>
        <v/>
      </c>
      <c r="AX113" s="25" t="str">
        <f>IF('1. Live'!BB131='check-Jul''26'!AX131,"",'1. Live'!BB131-'check-Jul''26'!AX131)</f>
        <v/>
      </c>
      <c r="AY113" s="25" t="str">
        <f>IF('1. Live'!BC131='check-Jul''26'!AY131,"",'1. Live'!BC131-'check-Jul''26'!AY131)</f>
        <v/>
      </c>
      <c r="AZ113" s="25" t="str">
        <f>IF('1. Live'!BD131='check-Jul''26'!AZ131,"",'1. Live'!BD131-'check-Jul''26'!AZ131)</f>
        <v/>
      </c>
      <c r="BA113" s="25" t="str">
        <f>IF('1. Live'!BE131='check-Jul''26'!BA131,"",'1. Live'!BE131-'check-Jul''26'!BA131)</f>
        <v/>
      </c>
      <c r="BB113" s="25" t="str">
        <f>IF('1. Live'!BF131='check-Jul''26'!BB131,"",'1. Live'!BF131-'check-Jul''26'!BB131)</f>
        <v/>
      </c>
      <c r="BC113" s="25" t="str">
        <f>IF('1. Live'!BG131='check-Jul''26'!BC131,"",'1. Live'!BG131-'check-Jul''26'!BC131)</f>
        <v/>
      </c>
      <c r="BD113" s="25" t="str">
        <f>IF('1. Live'!BH131='check-Jul''26'!BD131,"",'1. Live'!BH131-'check-Jul''26'!BD131)</f>
        <v/>
      </c>
      <c r="BE113" s="25" t="str">
        <f>IF('1. Live'!BI131='check-Jul''26'!BE131,"",'1. Live'!BI131-'check-Jul''26'!BE131)</f>
        <v/>
      </c>
      <c r="BF113" s="25" t="str">
        <f>IF('1. Live'!BJ131='check-Jul''26'!BF131,"",'1. Live'!BJ131-'check-Jul''26'!BF131)</f>
        <v/>
      </c>
      <c r="BG113" s="25" t="str">
        <f>IF('1. Live'!BK131='check-Jul''26'!BG131,"",'1. Live'!BK131-'check-Jul''26'!BG131)</f>
        <v/>
      </c>
      <c r="BH113" s="25" t="str">
        <f>IF('1. Live'!BL131='check-Jul''26'!BH131,"",'1. Live'!BL131-'check-Jul''26'!BH131)</f>
        <v/>
      </c>
      <c r="BI113" s="25" t="str">
        <f>IF('1. Live'!BM131='check-Jul''26'!BI131,"",'1. Live'!BM131-'check-Jul''26'!BI131)</f>
        <v/>
      </c>
      <c r="BJ113" s="25" t="str">
        <f>IF('1. Live'!BN131='check-Jul''26'!BJ131,"",'1. Live'!BN131-'check-Jul''26'!BJ131)</f>
        <v/>
      </c>
      <c r="BK113" s="25" t="str">
        <f>IF('1. Live'!BO131='check-Jul''26'!BK131,"",'1. Live'!BO131-'check-Jul''26'!BK131)</f>
        <v/>
      </c>
      <c r="BL113" s="25" t="str">
        <f>IF('1. Live'!BP131='check-Jul''26'!BL131,"",'1. Live'!BP131-'check-Jul''26'!BL131)</f>
        <v/>
      </c>
      <c r="BM113" s="25" t="str">
        <f>IF('1. Live'!BQ131='check-Jul''26'!BM131,"",'1. Live'!BQ131-'check-Jul''26'!BM131)</f>
        <v/>
      </c>
      <c r="BN113" s="25" t="str">
        <f>IF('1. Live'!BR131='check-Jul''26'!BN131,"",'1. Live'!BR131-'check-Jul''26'!BN131)</f>
        <v/>
      </c>
      <c r="BO113" s="25" t="str">
        <f>IF('1. Live'!BS131='check-Jul''26'!BO131,"",'1. Live'!BS131-'check-Jul''26'!BO131)</f>
        <v/>
      </c>
      <c r="BP113" s="25" t="str">
        <f>IF('1. Live'!BT131='check-Jul''26'!BP131,"",'1. Live'!BT131-'check-Jul''26'!BP131)</f>
        <v/>
      </c>
      <c r="BQ113" s="25" t="str">
        <f>IF('1. Live'!BU131='check-Jul''26'!BQ131,"",'1. Live'!BU131-'check-Jul''26'!BQ131)</f>
        <v/>
      </c>
      <c r="BR113" s="25" t="str">
        <f>IF('1. Live'!BV131='check-Jul''26'!BR131,"",'1. Live'!BV131-'check-Jul''26'!BR131)</f>
        <v/>
      </c>
      <c r="BS113" s="25" t="str">
        <f>IF('1. Live'!BW131='check-Jul''26'!BS131,"",'1. Live'!BW131-'check-Jul''26'!BS131)</f>
        <v/>
      </c>
      <c r="BT113" s="25" t="str">
        <f>IF('1. Live'!BX131='check-Jul''26'!BT131,"",'1. Live'!BX131-'check-Jul''26'!BT131)</f>
        <v/>
      </c>
      <c r="BU113" s="25" t="str">
        <f>IF('1. Live'!BY131='check-Jul''26'!BU131,"",'1. Live'!BY131-'check-Jul''26'!BU131)</f>
        <v/>
      </c>
      <c r="BV113" s="25" t="str">
        <f>IF('1. Live'!BZ131='check-Jul''26'!BV131,"",'1. Live'!BZ131-'check-Jul''26'!BV131)</f>
        <v/>
      </c>
      <c r="BW113" s="25" t="str">
        <f>IF('1. Live'!CA131='check-Jul''26'!BW131,"",'1. Live'!CA131-'check-Jul''26'!BW131)</f>
        <v/>
      </c>
      <c r="BX113" s="25" t="str">
        <f>IF('1. Live'!CB131='check-Jul''26'!BX131,"",'1. Live'!CB131-'check-Jul''26'!BX131)</f>
        <v/>
      </c>
      <c r="BY113" s="25" t="str">
        <f>IF('1. Live'!CC131='check-Jul''26'!BY131,"",'1. Live'!CC131-'check-Jul''26'!BY131)</f>
        <v/>
      </c>
      <c r="BZ113" s="25" t="str">
        <f>IF('1. Live'!CD131='check-Jul''26'!BZ131,"",'1. Live'!CD131-'check-Jul''26'!BZ131)</f>
        <v/>
      </c>
      <c r="CA113" s="25" t="str">
        <f>IF('1. Live'!CE131='check-Jul''26'!CA131,"",'1. Live'!CE131-'check-Jul''26'!CA131)</f>
        <v/>
      </c>
      <c r="CB113" s="25" t="str">
        <f>IF('1. Live'!CF131='check-Jul''26'!CB131,"",'1. Live'!CF131-'check-Jul''26'!CB131)</f>
        <v/>
      </c>
      <c r="CC113" s="25" t="str">
        <f>IF('1. Live'!CG131='check-Jul''26'!CC131,"",'1. Live'!CG131-'check-Jul''26'!CC131)</f>
        <v/>
      </c>
      <c r="CD113" s="25" t="str">
        <f>IF('1. Live'!CH131='check-Jul''26'!CD131,"",'1. Live'!CH131-'check-Jul''26'!CD131)</f>
        <v/>
      </c>
      <c r="CE113" s="25" t="str">
        <f>IF('1. Live'!CI131='check-Jul''26'!CE131,"",'1. Live'!CI131-'check-Jul''26'!CE131)</f>
        <v/>
      </c>
      <c r="CF113" s="25" t="str">
        <f>IF('1. Live'!CJ131='check-Jul''26'!CF131,"",'1. Live'!CJ131-'check-Jul''26'!CF131)</f>
        <v/>
      </c>
      <c r="CG113" s="25" t="str">
        <f>IF('1. Live'!CK131='check-Jul''26'!CG131,"",'1. Live'!CK131-'check-Jul''26'!CG131)</f>
        <v/>
      </c>
      <c r="CH113" s="25" t="str">
        <f>IF('1. Live'!CL131='check-Jul''26'!CH131,"",'1. Live'!CL131-'check-Jul''26'!CH131)</f>
        <v/>
      </c>
      <c r="CI113" s="25" t="str">
        <f>IF('1. Live'!CM131='check-Jul''26'!CI131,"",'1. Live'!CM131-'check-Jul''26'!CI131)</f>
        <v/>
      </c>
      <c r="CJ113" s="25" t="str">
        <f>IF('1. Live'!CN131='check-Jul''26'!CJ131,"",'1. Live'!CN131-'check-Jul''26'!CJ131)</f>
        <v/>
      </c>
      <c r="CK113" s="25" t="str">
        <f>IF('1. Live'!CO131='check-Jul''26'!CK131,"",'1. Live'!CO131-'check-Jul''26'!CK131)</f>
        <v/>
      </c>
      <c r="CL113" s="25" t="str">
        <f>IF('1. Live'!CP131='check-Jul''26'!CL131,"",'1. Live'!CP131-'check-Jul''26'!CL131)</f>
        <v/>
      </c>
      <c r="CM113" s="25" t="str">
        <f>IF('1. Live'!CQ131='check-Jul''26'!CM131,"",'1. Live'!CQ131-'check-Jul''26'!CM131)</f>
        <v/>
      </c>
      <c r="CN113" s="25" t="str">
        <f>IF('1. Live'!CR131='check-Jul''26'!CN131,"",'1. Live'!CR131-'check-Jul''26'!CN131)</f>
        <v/>
      </c>
      <c r="CO113" s="25" t="str">
        <f>IF('1. Live'!CS131='check-Jul''26'!CO131,"",'1. Live'!CS131-'check-Jul''26'!CO131)</f>
        <v/>
      </c>
      <c r="CP113" s="25" t="str">
        <f>IF('1. Live'!CT131='check-Jul''26'!CP131,"",'1. Live'!CT131-'check-Jul''26'!CP131)</f>
        <v/>
      </c>
      <c r="CQ113" s="25" t="str">
        <f>IF('1. Live'!CU131='check-Jul''26'!CQ131,"",'1. Live'!CU131-'check-Jul''26'!CQ131)</f>
        <v/>
      </c>
      <c r="CR113" s="25" t="str">
        <f>IF('1. Live'!CV131='check-Jul''26'!CR131,"",'1. Live'!CV131-'check-Jul''26'!CR131)</f>
        <v/>
      </c>
      <c r="CS113" s="25" t="str">
        <f>IF('1. Live'!CW131='check-Jul''26'!CS131,"",'1. Live'!CW131-'check-Jul''26'!CS131)</f>
        <v/>
      </c>
      <c r="CT113" s="25" t="str">
        <f>IF('1. Live'!CX131='check-Jul''26'!CT131,"",'1. Live'!CX131-'check-Jul''26'!CT131)</f>
        <v/>
      </c>
      <c r="CU113" s="25" t="str">
        <f>IF('1. Live'!CY131='check-Jul''26'!CU131,"",'1. Live'!CY131-'check-Jul''26'!CU131)</f>
        <v/>
      </c>
      <c r="CV113" s="25" t="str">
        <f>IF('1. Live'!CZ131='check-Jul''26'!CV131,"",'1. Live'!CZ131-'check-Jul''26'!CV131)</f>
        <v/>
      </c>
    </row>
    <row r="114" spans="17:100" x14ac:dyDescent="0.25">
      <c r="Q114" s="26" t="str">
        <f>IF('1. Live'!N132='check-Jul''26'!I132,"",'1. Live'!N132-'check-Jul''26'!I132)</f>
        <v/>
      </c>
      <c r="R114" s="26" t="str">
        <f>IF('1. Live'!O132='check-Jul''26'!J132,"",'1. Live'!O132-'check-Jul''26'!J132)</f>
        <v/>
      </c>
      <c r="S114" s="26" t="str">
        <f>IF('1. Live'!P132='check-Jul''26'!K132,"",'1. Live'!P132-'check-Jul''26'!K132)</f>
        <v/>
      </c>
      <c r="T114" s="26" t="str">
        <f>IF('1. Live'!Q132='check-Jul''26'!L132,"",'1. Live'!Q132-'check-Jul''26'!L132)</f>
        <v/>
      </c>
      <c r="U114" s="80" t="str">
        <f>IF('1. Live'!R132='check-Jul''26'!M132,"",'1. Live'!R132-'check-Jul''26'!M132)</f>
        <v/>
      </c>
      <c r="V114" s="26" t="str">
        <f>IF('1. Live'!S132='check-Jul''26'!N132,"",'1. Live'!S132-'check-Jul''26'!N132)</f>
        <v/>
      </c>
      <c r="W114" s="25" t="str">
        <f>IF('1. Live'!T132='check-Jul''26'!O132,"",'1. Live'!T132-'check-Jul''26'!O132)</f>
        <v/>
      </c>
      <c r="X114" s="25" t="str">
        <f>IF('1. Live'!U132='check-Jul''26'!Q132,"",'1. Live'!U132-'check-Jul''26'!Q132)</f>
        <v/>
      </c>
      <c r="Y114" s="25" t="str">
        <f>IF('1. Live'!V132='check-Jul''26'!R132,"",'1. Live'!V132-'check-Jul''26'!R132)</f>
        <v/>
      </c>
      <c r="Z114" s="25" t="str">
        <f>IF('1. Live'!W132='check-Jul''26'!S132,"",'1. Live'!W132-'check-Jul''26'!S132)</f>
        <v/>
      </c>
      <c r="AA114" s="25" t="str">
        <f>IF('1. Live'!X132='check-Jul''26'!T132,"",'1. Live'!X132-'check-Jul''26'!T132)</f>
        <v/>
      </c>
      <c r="AB114" s="25" t="str">
        <f>IF('1. Live'!AF132='check-Jul''26'!AB132,"",'1. Live'!AF132-'check-Jul''26'!AB132)</f>
        <v/>
      </c>
      <c r="AC114" s="25" t="str">
        <f>IF('1. Live'!AG132='check-Jul''26'!AC132,"",'1. Live'!AG132-'check-Jul''26'!AC132)</f>
        <v/>
      </c>
      <c r="AD114" s="25" t="str">
        <f>IF('1. Live'!AH132='check-Jul''26'!AD132,"",'1. Live'!AH132-'check-Jul''26'!AD132)</f>
        <v/>
      </c>
      <c r="AE114" s="25" t="str">
        <f>IF('1. Live'!AI132='check-Jul''26'!AE132,"",'1. Live'!AI132-'check-Jul''26'!AE132)</f>
        <v/>
      </c>
      <c r="AF114" s="25" t="str">
        <f>IF('1. Live'!AJ132='check-Jul''26'!AF132,"",'1. Live'!AJ132-'check-Jul''26'!AF132)</f>
        <v/>
      </c>
      <c r="AG114" s="25" t="str">
        <f>IF('1. Live'!AK132='check-Jul''26'!AG132,"",'1. Live'!AK132-'check-Jul''26'!AG132)</f>
        <v/>
      </c>
      <c r="AH114" s="25" t="str">
        <f>IF('1. Live'!AL132='check-Jul''26'!AH132,"",'1. Live'!AL132-'check-Jul''26'!AH132)</f>
        <v/>
      </c>
      <c r="AI114" s="25" t="str">
        <f>IF('1. Live'!AM132='check-Jul''26'!AI132,"",'1. Live'!AM132-'check-Jul''26'!AI132)</f>
        <v/>
      </c>
      <c r="AJ114" s="25" t="str">
        <f>IF('1. Live'!AN132='check-Jul''26'!AJ132,"",'1. Live'!AN132-'check-Jul''26'!AJ132)</f>
        <v/>
      </c>
      <c r="AK114" s="25" t="str">
        <f>IF('1. Live'!AO132='check-Jul''26'!AK132,"",'1. Live'!AO132-'check-Jul''26'!AK132)</f>
        <v/>
      </c>
      <c r="AL114" s="25" t="str">
        <f>IF('1. Live'!AP132='check-Jul''26'!AL132,"",'1. Live'!AP132-'check-Jul''26'!AL132)</f>
        <v/>
      </c>
      <c r="AM114" s="25" t="str">
        <f>IF('1. Live'!AQ132='check-Jul''26'!AM132,"",'1. Live'!AQ132-'check-Jul''26'!AM132)</f>
        <v/>
      </c>
      <c r="AN114" s="25" t="str">
        <f>IF('1. Live'!AR132='check-Jul''26'!AN132,"",'1. Live'!AR132-'check-Jul''26'!AN132)</f>
        <v/>
      </c>
      <c r="AO114" s="25" t="str">
        <f>IF('1. Live'!AS132='check-Jul''26'!AO132,"",'1. Live'!AS132-'check-Jul''26'!AO132)</f>
        <v/>
      </c>
      <c r="AP114" s="25" t="str">
        <f>IF('1. Live'!AT132='check-Jul''26'!AP132,"",'1. Live'!AT132-'check-Jul''26'!AP132)</f>
        <v/>
      </c>
      <c r="AQ114" s="25" t="str">
        <f>IF('1. Live'!AU132='check-Jul''26'!AQ132,"",'1. Live'!AU132-'check-Jul''26'!AQ132)</f>
        <v/>
      </c>
      <c r="AR114" s="25" t="str">
        <f>IF('1. Live'!AV132='check-Jul''26'!AR132,"",'1. Live'!AV132-'check-Jul''26'!AR132)</f>
        <v/>
      </c>
      <c r="AS114" s="25" t="str">
        <f>IF('1. Live'!AW132='check-Jul''26'!AS132,"",'1. Live'!AW132-'check-Jul''26'!AS132)</f>
        <v/>
      </c>
      <c r="AT114" s="25" t="str">
        <f>IF('1. Live'!AX132='check-Jul''26'!AT132,"",'1. Live'!AX132-'check-Jul''26'!AT132)</f>
        <v/>
      </c>
      <c r="AU114" s="25" t="str">
        <f>IF('1. Live'!AY132='check-Jul''26'!AU132,"",'1. Live'!AY132-'check-Jul''26'!AU132)</f>
        <v/>
      </c>
      <c r="AV114" s="25" t="str">
        <f>IF('1. Live'!AZ132='check-Jul''26'!AV132,"",'1. Live'!AZ132-'check-Jul''26'!AV132)</f>
        <v/>
      </c>
      <c r="AW114" s="25" t="str">
        <f>IF('1. Live'!BA132='check-Jul''26'!AW132,"",'1. Live'!BA132-'check-Jul''26'!AW132)</f>
        <v/>
      </c>
      <c r="AX114" s="25" t="str">
        <f>IF('1. Live'!BB132='check-Jul''26'!AX132,"",'1. Live'!BB132-'check-Jul''26'!AX132)</f>
        <v/>
      </c>
      <c r="AY114" s="25" t="str">
        <f>IF('1. Live'!BC132='check-Jul''26'!AY132,"",'1. Live'!BC132-'check-Jul''26'!AY132)</f>
        <v/>
      </c>
      <c r="AZ114" s="25" t="str">
        <f>IF('1. Live'!BD132='check-Jul''26'!AZ132,"",'1. Live'!BD132-'check-Jul''26'!AZ132)</f>
        <v/>
      </c>
      <c r="BA114" s="25" t="str">
        <f>IF('1. Live'!BE132='check-Jul''26'!BA132,"",'1. Live'!BE132-'check-Jul''26'!BA132)</f>
        <v/>
      </c>
      <c r="BB114" s="25" t="str">
        <f>IF('1. Live'!BF132='check-Jul''26'!BB132,"",'1. Live'!BF132-'check-Jul''26'!BB132)</f>
        <v/>
      </c>
      <c r="BC114" s="25" t="str">
        <f>IF('1. Live'!BG132='check-Jul''26'!BC132,"",'1. Live'!BG132-'check-Jul''26'!BC132)</f>
        <v/>
      </c>
      <c r="BD114" s="25" t="str">
        <f>IF('1. Live'!BH132='check-Jul''26'!BD132,"",'1. Live'!BH132-'check-Jul''26'!BD132)</f>
        <v/>
      </c>
      <c r="BE114" s="25" t="str">
        <f>IF('1. Live'!BI132='check-Jul''26'!BE132,"",'1. Live'!BI132-'check-Jul''26'!BE132)</f>
        <v/>
      </c>
      <c r="BF114" s="25" t="str">
        <f>IF('1. Live'!BJ132='check-Jul''26'!BF132,"",'1. Live'!BJ132-'check-Jul''26'!BF132)</f>
        <v/>
      </c>
      <c r="BG114" s="25" t="str">
        <f>IF('1. Live'!BK132='check-Jul''26'!BG132,"",'1. Live'!BK132-'check-Jul''26'!BG132)</f>
        <v/>
      </c>
      <c r="BH114" s="25" t="str">
        <f>IF('1. Live'!BL132='check-Jul''26'!BH132,"",'1. Live'!BL132-'check-Jul''26'!BH132)</f>
        <v/>
      </c>
      <c r="BI114" s="25" t="str">
        <f>IF('1. Live'!BM132='check-Jul''26'!BI132,"",'1. Live'!BM132-'check-Jul''26'!BI132)</f>
        <v/>
      </c>
      <c r="BJ114" s="25" t="str">
        <f>IF('1. Live'!BN132='check-Jul''26'!BJ132,"",'1. Live'!BN132-'check-Jul''26'!BJ132)</f>
        <v/>
      </c>
      <c r="BK114" s="25" t="str">
        <f>IF('1. Live'!BO132='check-Jul''26'!BK132,"",'1. Live'!BO132-'check-Jul''26'!BK132)</f>
        <v/>
      </c>
      <c r="BL114" s="25" t="str">
        <f>IF('1. Live'!BP132='check-Jul''26'!BL132,"",'1. Live'!BP132-'check-Jul''26'!BL132)</f>
        <v/>
      </c>
      <c r="BM114" s="25" t="str">
        <f>IF('1. Live'!BQ132='check-Jul''26'!BM132,"",'1. Live'!BQ132-'check-Jul''26'!BM132)</f>
        <v/>
      </c>
      <c r="BN114" s="25" t="str">
        <f>IF('1. Live'!BR132='check-Jul''26'!BN132,"",'1. Live'!BR132-'check-Jul''26'!BN132)</f>
        <v/>
      </c>
      <c r="BO114" s="25" t="str">
        <f>IF('1. Live'!BS132='check-Jul''26'!BO132,"",'1. Live'!BS132-'check-Jul''26'!BO132)</f>
        <v/>
      </c>
      <c r="BP114" s="25" t="str">
        <f>IF('1. Live'!BT132='check-Jul''26'!BP132,"",'1. Live'!BT132-'check-Jul''26'!BP132)</f>
        <v/>
      </c>
      <c r="BQ114" s="25" t="str">
        <f>IF('1. Live'!BU132='check-Jul''26'!BQ132,"",'1. Live'!BU132-'check-Jul''26'!BQ132)</f>
        <v/>
      </c>
      <c r="BR114" s="25" t="str">
        <f>IF('1. Live'!BV132='check-Jul''26'!BR132,"",'1. Live'!BV132-'check-Jul''26'!BR132)</f>
        <v/>
      </c>
      <c r="BS114" s="25" t="str">
        <f>IF('1. Live'!BW132='check-Jul''26'!BS132,"",'1. Live'!BW132-'check-Jul''26'!BS132)</f>
        <v/>
      </c>
      <c r="BT114" s="25" t="str">
        <f>IF('1. Live'!BX132='check-Jul''26'!BT132,"",'1. Live'!BX132-'check-Jul''26'!BT132)</f>
        <v/>
      </c>
      <c r="BU114" s="25" t="str">
        <f>IF('1. Live'!BY132='check-Jul''26'!BU132,"",'1. Live'!BY132-'check-Jul''26'!BU132)</f>
        <v/>
      </c>
      <c r="BV114" s="25" t="str">
        <f>IF('1. Live'!BZ132='check-Jul''26'!BV132,"",'1. Live'!BZ132-'check-Jul''26'!BV132)</f>
        <v/>
      </c>
      <c r="BW114" s="25" t="str">
        <f>IF('1. Live'!CA132='check-Jul''26'!BW132,"",'1. Live'!CA132-'check-Jul''26'!BW132)</f>
        <v/>
      </c>
      <c r="BX114" s="25" t="str">
        <f>IF('1. Live'!CB132='check-Jul''26'!BX132,"",'1. Live'!CB132-'check-Jul''26'!BX132)</f>
        <v/>
      </c>
      <c r="BY114" s="25" t="str">
        <f>IF('1. Live'!CC132='check-Jul''26'!BY132,"",'1. Live'!CC132-'check-Jul''26'!BY132)</f>
        <v/>
      </c>
      <c r="BZ114" s="25" t="str">
        <f>IF('1. Live'!CD132='check-Jul''26'!BZ132,"",'1. Live'!CD132-'check-Jul''26'!BZ132)</f>
        <v/>
      </c>
      <c r="CA114" s="25" t="str">
        <f>IF('1. Live'!CE132='check-Jul''26'!CA132,"",'1. Live'!CE132-'check-Jul''26'!CA132)</f>
        <v/>
      </c>
      <c r="CB114" s="25" t="str">
        <f>IF('1. Live'!CF132='check-Jul''26'!CB132,"",'1. Live'!CF132-'check-Jul''26'!CB132)</f>
        <v/>
      </c>
      <c r="CC114" s="25" t="str">
        <f>IF('1. Live'!CG132='check-Jul''26'!CC132,"",'1. Live'!CG132-'check-Jul''26'!CC132)</f>
        <v/>
      </c>
      <c r="CD114" s="25" t="str">
        <f>IF('1. Live'!CH132='check-Jul''26'!CD132,"",'1. Live'!CH132-'check-Jul''26'!CD132)</f>
        <v/>
      </c>
      <c r="CE114" s="25" t="str">
        <f>IF('1. Live'!CI132='check-Jul''26'!CE132,"",'1. Live'!CI132-'check-Jul''26'!CE132)</f>
        <v/>
      </c>
      <c r="CF114" s="25" t="str">
        <f>IF('1. Live'!CJ132='check-Jul''26'!CF132,"",'1. Live'!CJ132-'check-Jul''26'!CF132)</f>
        <v/>
      </c>
      <c r="CG114" s="25" t="str">
        <f>IF('1. Live'!CK132='check-Jul''26'!CG132,"",'1. Live'!CK132-'check-Jul''26'!CG132)</f>
        <v/>
      </c>
      <c r="CH114" s="25" t="str">
        <f>IF('1. Live'!CL132='check-Jul''26'!CH132,"",'1. Live'!CL132-'check-Jul''26'!CH132)</f>
        <v/>
      </c>
      <c r="CI114" s="25" t="str">
        <f>IF('1. Live'!CM132='check-Jul''26'!CI132,"",'1. Live'!CM132-'check-Jul''26'!CI132)</f>
        <v/>
      </c>
      <c r="CJ114" s="25" t="str">
        <f>IF('1. Live'!CN132='check-Jul''26'!CJ132,"",'1. Live'!CN132-'check-Jul''26'!CJ132)</f>
        <v/>
      </c>
      <c r="CK114" s="25" t="str">
        <f>IF('1. Live'!CO132='check-Jul''26'!CK132,"",'1. Live'!CO132-'check-Jul''26'!CK132)</f>
        <v/>
      </c>
      <c r="CL114" s="25" t="str">
        <f>IF('1. Live'!CP132='check-Jul''26'!CL132,"",'1. Live'!CP132-'check-Jul''26'!CL132)</f>
        <v/>
      </c>
      <c r="CM114" s="25" t="str">
        <f>IF('1. Live'!CQ132='check-Jul''26'!CM132,"",'1. Live'!CQ132-'check-Jul''26'!CM132)</f>
        <v/>
      </c>
      <c r="CN114" s="25" t="str">
        <f>IF('1. Live'!CR132='check-Jul''26'!CN132,"",'1. Live'!CR132-'check-Jul''26'!CN132)</f>
        <v/>
      </c>
      <c r="CO114" s="25" t="str">
        <f>IF('1. Live'!CS132='check-Jul''26'!CO132,"",'1. Live'!CS132-'check-Jul''26'!CO132)</f>
        <v/>
      </c>
      <c r="CP114" s="25" t="str">
        <f>IF('1. Live'!CT132='check-Jul''26'!CP132,"",'1. Live'!CT132-'check-Jul''26'!CP132)</f>
        <v/>
      </c>
      <c r="CQ114" s="25" t="str">
        <f>IF('1. Live'!CU132='check-Jul''26'!CQ132,"",'1. Live'!CU132-'check-Jul''26'!CQ132)</f>
        <v/>
      </c>
      <c r="CR114" s="25" t="str">
        <f>IF('1. Live'!CV132='check-Jul''26'!CR132,"",'1. Live'!CV132-'check-Jul''26'!CR132)</f>
        <v/>
      </c>
      <c r="CS114" s="25" t="str">
        <f>IF('1. Live'!CW132='check-Jul''26'!CS132,"",'1. Live'!CW132-'check-Jul''26'!CS132)</f>
        <v/>
      </c>
      <c r="CT114" s="25" t="str">
        <f>IF('1. Live'!CX132='check-Jul''26'!CT132,"",'1. Live'!CX132-'check-Jul''26'!CT132)</f>
        <v/>
      </c>
      <c r="CU114" s="25" t="str">
        <f>IF('1. Live'!CY132='check-Jul''26'!CU132,"",'1. Live'!CY132-'check-Jul''26'!CU132)</f>
        <v/>
      </c>
      <c r="CV114" s="25" t="str">
        <f>IF('1. Live'!CZ132='check-Jul''26'!CV132,"",'1. Live'!CZ132-'check-Jul''26'!CV132)</f>
        <v/>
      </c>
    </row>
    <row r="115" spans="17:100" x14ac:dyDescent="0.25">
      <c r="Q115" s="26" t="str">
        <f>IF('1. Live'!N133='check-Jul''26'!I133,"",'1. Live'!N133-'check-Jul''26'!I133)</f>
        <v/>
      </c>
      <c r="R115" s="26" t="str">
        <f>IF('1. Live'!O133='check-Jul''26'!J133,"",'1. Live'!O133-'check-Jul''26'!J133)</f>
        <v/>
      </c>
      <c r="S115" s="26" t="str">
        <f>IF('1. Live'!P133='check-Jul''26'!K133,"",'1. Live'!P133-'check-Jul''26'!K133)</f>
        <v/>
      </c>
      <c r="T115" s="26" t="str">
        <f>IF('1. Live'!Q133='check-Jul''26'!L133,"",'1. Live'!Q133-'check-Jul''26'!L133)</f>
        <v/>
      </c>
      <c r="U115" s="80" t="str">
        <f>IF('1. Live'!R133='check-Jul''26'!M133,"",'1. Live'!R133-'check-Jul''26'!M133)</f>
        <v/>
      </c>
      <c r="V115" s="26" t="str">
        <f>IF('1. Live'!S133='check-Jul''26'!N133,"",'1. Live'!S133-'check-Jul''26'!N133)</f>
        <v/>
      </c>
      <c r="W115" s="25" t="str">
        <f>IF('1. Live'!T133='check-Jul''26'!O133,"",'1. Live'!T133-'check-Jul''26'!O133)</f>
        <v/>
      </c>
      <c r="X115" s="25" t="str">
        <f>IF('1. Live'!U133='check-Jul''26'!Q133,"",'1. Live'!U133-'check-Jul''26'!Q133)</f>
        <v/>
      </c>
      <c r="Y115" s="25" t="str">
        <f>IF('1. Live'!V133='check-Jul''26'!R133,"",'1. Live'!V133-'check-Jul''26'!R133)</f>
        <v/>
      </c>
      <c r="Z115" s="25" t="str">
        <f>IF('1. Live'!W133='check-Jul''26'!S133,"",'1. Live'!W133-'check-Jul''26'!S133)</f>
        <v/>
      </c>
      <c r="AA115" s="25" t="str">
        <f>IF('1. Live'!X133='check-Jul''26'!T133,"",'1. Live'!X133-'check-Jul''26'!T133)</f>
        <v/>
      </c>
      <c r="AB115" s="25" t="str">
        <f>IF('1. Live'!AF133='check-Jul''26'!AB133,"",'1. Live'!AF133-'check-Jul''26'!AB133)</f>
        <v/>
      </c>
      <c r="AC115" s="25" t="str">
        <f>IF('1. Live'!AG133='check-Jul''26'!AC133,"",'1. Live'!AG133-'check-Jul''26'!AC133)</f>
        <v/>
      </c>
      <c r="AD115" s="25" t="str">
        <f>IF('1. Live'!AH133='check-Jul''26'!AD133,"",'1. Live'!AH133-'check-Jul''26'!AD133)</f>
        <v/>
      </c>
      <c r="AE115" s="25" t="str">
        <f>IF('1. Live'!AI133='check-Jul''26'!AE133,"",'1. Live'!AI133-'check-Jul''26'!AE133)</f>
        <v/>
      </c>
      <c r="AF115" s="25" t="str">
        <f>IF('1. Live'!AJ133='check-Jul''26'!AF133,"",'1. Live'!AJ133-'check-Jul''26'!AF133)</f>
        <v/>
      </c>
      <c r="AG115" s="25" t="str">
        <f>IF('1. Live'!AK133='check-Jul''26'!AG133,"",'1. Live'!AK133-'check-Jul''26'!AG133)</f>
        <v/>
      </c>
      <c r="AH115" s="25" t="str">
        <f>IF('1. Live'!AL133='check-Jul''26'!AH133,"",'1. Live'!AL133-'check-Jul''26'!AH133)</f>
        <v/>
      </c>
      <c r="AI115" s="25" t="str">
        <f>IF('1. Live'!AM133='check-Jul''26'!AI133,"",'1. Live'!AM133-'check-Jul''26'!AI133)</f>
        <v/>
      </c>
      <c r="AJ115" s="25" t="str">
        <f>IF('1. Live'!AN133='check-Jul''26'!AJ133,"",'1. Live'!AN133-'check-Jul''26'!AJ133)</f>
        <v/>
      </c>
      <c r="AK115" s="25" t="str">
        <f>IF('1. Live'!AO133='check-Jul''26'!AK133,"",'1. Live'!AO133-'check-Jul''26'!AK133)</f>
        <v/>
      </c>
      <c r="AL115" s="25" t="str">
        <f>IF('1. Live'!AP133='check-Jul''26'!AL133,"",'1. Live'!AP133-'check-Jul''26'!AL133)</f>
        <v/>
      </c>
      <c r="AM115" s="25" t="str">
        <f>IF('1. Live'!AQ133='check-Jul''26'!AM133,"",'1. Live'!AQ133-'check-Jul''26'!AM133)</f>
        <v/>
      </c>
      <c r="AN115" s="25" t="str">
        <f>IF('1. Live'!AR133='check-Jul''26'!AN133,"",'1. Live'!AR133-'check-Jul''26'!AN133)</f>
        <v/>
      </c>
      <c r="AO115" s="25" t="str">
        <f>IF('1. Live'!AS133='check-Jul''26'!AO133,"",'1. Live'!AS133-'check-Jul''26'!AO133)</f>
        <v/>
      </c>
      <c r="AP115" s="25" t="str">
        <f>IF('1. Live'!AT133='check-Jul''26'!AP133,"",'1. Live'!AT133-'check-Jul''26'!AP133)</f>
        <v/>
      </c>
      <c r="AQ115" s="25" t="str">
        <f>IF('1. Live'!AU133='check-Jul''26'!AQ133,"",'1. Live'!AU133-'check-Jul''26'!AQ133)</f>
        <v/>
      </c>
      <c r="AR115" s="25" t="str">
        <f>IF('1. Live'!AV133='check-Jul''26'!AR133,"",'1. Live'!AV133-'check-Jul''26'!AR133)</f>
        <v/>
      </c>
      <c r="AS115" s="25" t="str">
        <f>IF('1. Live'!AW133='check-Jul''26'!AS133,"",'1. Live'!AW133-'check-Jul''26'!AS133)</f>
        <v/>
      </c>
      <c r="AT115" s="25" t="str">
        <f>IF('1. Live'!AX133='check-Jul''26'!AT133,"",'1. Live'!AX133-'check-Jul''26'!AT133)</f>
        <v/>
      </c>
      <c r="AU115" s="25" t="str">
        <f>IF('1. Live'!AY133='check-Jul''26'!AU133,"",'1. Live'!AY133-'check-Jul''26'!AU133)</f>
        <v/>
      </c>
      <c r="AV115" s="25" t="str">
        <f>IF('1. Live'!AZ133='check-Jul''26'!AV133,"",'1. Live'!AZ133-'check-Jul''26'!AV133)</f>
        <v/>
      </c>
      <c r="AW115" s="25" t="str">
        <f>IF('1. Live'!BA133='check-Jul''26'!AW133,"",'1. Live'!BA133-'check-Jul''26'!AW133)</f>
        <v/>
      </c>
      <c r="AX115" s="25" t="str">
        <f>IF('1. Live'!BB133='check-Jul''26'!AX133,"",'1. Live'!BB133-'check-Jul''26'!AX133)</f>
        <v/>
      </c>
      <c r="AY115" s="25" t="str">
        <f>IF('1. Live'!BC133='check-Jul''26'!AY133,"",'1. Live'!BC133-'check-Jul''26'!AY133)</f>
        <v/>
      </c>
      <c r="AZ115" s="25" t="str">
        <f>IF('1. Live'!BD133='check-Jul''26'!AZ133,"",'1. Live'!BD133-'check-Jul''26'!AZ133)</f>
        <v/>
      </c>
      <c r="BA115" s="25" t="str">
        <f>IF('1. Live'!BE133='check-Jul''26'!BA133,"",'1. Live'!BE133-'check-Jul''26'!BA133)</f>
        <v/>
      </c>
      <c r="BB115" s="25" t="str">
        <f>IF('1. Live'!BF133='check-Jul''26'!BB133,"",'1. Live'!BF133-'check-Jul''26'!BB133)</f>
        <v/>
      </c>
      <c r="BC115" s="25" t="str">
        <f>IF('1. Live'!BG133='check-Jul''26'!BC133,"",'1. Live'!BG133-'check-Jul''26'!BC133)</f>
        <v/>
      </c>
      <c r="BD115" s="25" t="str">
        <f>IF('1. Live'!BH133='check-Jul''26'!BD133,"",'1. Live'!BH133-'check-Jul''26'!BD133)</f>
        <v/>
      </c>
      <c r="BE115" s="25" t="str">
        <f>IF('1. Live'!BI133='check-Jul''26'!BE133,"",'1. Live'!BI133-'check-Jul''26'!BE133)</f>
        <v/>
      </c>
      <c r="BF115" s="25" t="str">
        <f>IF('1. Live'!BJ133='check-Jul''26'!BF133,"",'1. Live'!BJ133-'check-Jul''26'!BF133)</f>
        <v/>
      </c>
      <c r="BG115" s="25" t="str">
        <f>IF('1. Live'!BK133='check-Jul''26'!BG133,"",'1. Live'!BK133-'check-Jul''26'!BG133)</f>
        <v/>
      </c>
      <c r="BH115" s="25" t="str">
        <f>IF('1. Live'!BL133='check-Jul''26'!BH133,"",'1. Live'!BL133-'check-Jul''26'!BH133)</f>
        <v/>
      </c>
      <c r="BI115" s="25" t="str">
        <f>IF('1. Live'!BM133='check-Jul''26'!BI133,"",'1. Live'!BM133-'check-Jul''26'!BI133)</f>
        <v/>
      </c>
      <c r="BJ115" s="25" t="str">
        <f>IF('1. Live'!BN133='check-Jul''26'!BJ133,"",'1. Live'!BN133-'check-Jul''26'!BJ133)</f>
        <v/>
      </c>
      <c r="BK115" s="25" t="str">
        <f>IF('1. Live'!BO133='check-Jul''26'!BK133,"",'1. Live'!BO133-'check-Jul''26'!BK133)</f>
        <v/>
      </c>
      <c r="BL115" s="25" t="str">
        <f>IF('1. Live'!BP133='check-Jul''26'!BL133,"",'1. Live'!BP133-'check-Jul''26'!BL133)</f>
        <v/>
      </c>
      <c r="BM115" s="25" t="str">
        <f>IF('1. Live'!BQ133='check-Jul''26'!BM133,"",'1. Live'!BQ133-'check-Jul''26'!BM133)</f>
        <v/>
      </c>
      <c r="BN115" s="25" t="str">
        <f>IF('1. Live'!BR133='check-Jul''26'!BN133,"",'1. Live'!BR133-'check-Jul''26'!BN133)</f>
        <v/>
      </c>
      <c r="BO115" s="25" t="str">
        <f>IF('1. Live'!BS133='check-Jul''26'!BO133,"",'1. Live'!BS133-'check-Jul''26'!BO133)</f>
        <v/>
      </c>
      <c r="BP115" s="25" t="str">
        <f>IF('1. Live'!BT133='check-Jul''26'!BP133,"",'1. Live'!BT133-'check-Jul''26'!BP133)</f>
        <v/>
      </c>
      <c r="BQ115" s="25" t="str">
        <f>IF('1. Live'!BU133='check-Jul''26'!BQ133,"",'1. Live'!BU133-'check-Jul''26'!BQ133)</f>
        <v/>
      </c>
      <c r="BR115" s="25" t="str">
        <f>IF('1. Live'!BV133='check-Jul''26'!BR133,"",'1. Live'!BV133-'check-Jul''26'!BR133)</f>
        <v/>
      </c>
      <c r="BS115" s="25" t="str">
        <f>IF('1. Live'!BW133='check-Jul''26'!BS133,"",'1. Live'!BW133-'check-Jul''26'!BS133)</f>
        <v/>
      </c>
      <c r="BT115" s="25" t="str">
        <f>IF('1. Live'!BX133='check-Jul''26'!BT133,"",'1. Live'!BX133-'check-Jul''26'!BT133)</f>
        <v/>
      </c>
      <c r="BU115" s="25" t="str">
        <f>IF('1. Live'!BY133='check-Jul''26'!BU133,"",'1. Live'!BY133-'check-Jul''26'!BU133)</f>
        <v/>
      </c>
      <c r="BV115" s="25" t="str">
        <f>IF('1. Live'!BZ133='check-Jul''26'!BV133,"",'1. Live'!BZ133-'check-Jul''26'!BV133)</f>
        <v/>
      </c>
      <c r="BW115" s="25" t="str">
        <f>IF('1. Live'!CA133='check-Jul''26'!BW133,"",'1. Live'!CA133-'check-Jul''26'!BW133)</f>
        <v/>
      </c>
      <c r="BX115" s="25" t="str">
        <f>IF('1. Live'!CB133='check-Jul''26'!BX133,"",'1. Live'!CB133-'check-Jul''26'!BX133)</f>
        <v/>
      </c>
      <c r="BY115" s="25" t="str">
        <f>IF('1. Live'!CC133='check-Jul''26'!BY133,"",'1. Live'!CC133-'check-Jul''26'!BY133)</f>
        <v/>
      </c>
      <c r="BZ115" s="25" t="str">
        <f>IF('1. Live'!CD133='check-Jul''26'!BZ133,"",'1. Live'!CD133-'check-Jul''26'!BZ133)</f>
        <v/>
      </c>
      <c r="CA115" s="25" t="str">
        <f>IF('1. Live'!CE133='check-Jul''26'!CA133,"",'1. Live'!CE133-'check-Jul''26'!CA133)</f>
        <v/>
      </c>
      <c r="CB115" s="25" t="str">
        <f>IF('1. Live'!CF133='check-Jul''26'!CB133,"",'1. Live'!CF133-'check-Jul''26'!CB133)</f>
        <v/>
      </c>
      <c r="CC115" s="25" t="str">
        <f>IF('1. Live'!CG133='check-Jul''26'!CC133,"",'1. Live'!CG133-'check-Jul''26'!CC133)</f>
        <v/>
      </c>
      <c r="CD115" s="25" t="str">
        <f>IF('1. Live'!CH133='check-Jul''26'!CD133,"",'1. Live'!CH133-'check-Jul''26'!CD133)</f>
        <v/>
      </c>
      <c r="CE115" s="25" t="str">
        <f>IF('1. Live'!CI133='check-Jul''26'!CE133,"",'1. Live'!CI133-'check-Jul''26'!CE133)</f>
        <v/>
      </c>
      <c r="CF115" s="25" t="str">
        <f>IF('1. Live'!CJ133='check-Jul''26'!CF133,"",'1. Live'!CJ133-'check-Jul''26'!CF133)</f>
        <v/>
      </c>
      <c r="CG115" s="25" t="str">
        <f>IF('1. Live'!CK133='check-Jul''26'!CG133,"",'1. Live'!CK133-'check-Jul''26'!CG133)</f>
        <v/>
      </c>
      <c r="CH115" s="25" t="str">
        <f>IF('1. Live'!CL133='check-Jul''26'!CH133,"",'1. Live'!CL133-'check-Jul''26'!CH133)</f>
        <v/>
      </c>
      <c r="CI115" s="25" t="str">
        <f>IF('1. Live'!CM133='check-Jul''26'!CI133,"",'1. Live'!CM133-'check-Jul''26'!CI133)</f>
        <v/>
      </c>
      <c r="CJ115" s="25" t="str">
        <f>IF('1. Live'!CN133='check-Jul''26'!CJ133,"",'1. Live'!CN133-'check-Jul''26'!CJ133)</f>
        <v/>
      </c>
      <c r="CK115" s="25" t="str">
        <f>IF('1. Live'!CO133='check-Jul''26'!CK133,"",'1. Live'!CO133-'check-Jul''26'!CK133)</f>
        <v/>
      </c>
      <c r="CL115" s="25" t="str">
        <f>IF('1. Live'!CP133='check-Jul''26'!CL133,"",'1. Live'!CP133-'check-Jul''26'!CL133)</f>
        <v/>
      </c>
      <c r="CM115" s="25" t="str">
        <f>IF('1. Live'!CQ133='check-Jul''26'!CM133,"",'1. Live'!CQ133-'check-Jul''26'!CM133)</f>
        <v/>
      </c>
      <c r="CN115" s="25" t="str">
        <f>IF('1. Live'!CR133='check-Jul''26'!CN133,"",'1. Live'!CR133-'check-Jul''26'!CN133)</f>
        <v/>
      </c>
      <c r="CO115" s="25" t="str">
        <f>IF('1. Live'!CS133='check-Jul''26'!CO133,"",'1. Live'!CS133-'check-Jul''26'!CO133)</f>
        <v/>
      </c>
      <c r="CP115" s="25" t="str">
        <f>IF('1. Live'!CT133='check-Jul''26'!CP133,"",'1. Live'!CT133-'check-Jul''26'!CP133)</f>
        <v/>
      </c>
      <c r="CQ115" s="25" t="str">
        <f>IF('1. Live'!CU133='check-Jul''26'!CQ133,"",'1. Live'!CU133-'check-Jul''26'!CQ133)</f>
        <v/>
      </c>
      <c r="CR115" s="25" t="str">
        <f>IF('1. Live'!CV133='check-Jul''26'!CR133,"",'1. Live'!CV133-'check-Jul''26'!CR133)</f>
        <v/>
      </c>
      <c r="CS115" s="25" t="str">
        <f>IF('1. Live'!CW133='check-Jul''26'!CS133,"",'1. Live'!CW133-'check-Jul''26'!CS133)</f>
        <v/>
      </c>
      <c r="CT115" s="25" t="str">
        <f>IF('1. Live'!CX133='check-Jul''26'!CT133,"",'1. Live'!CX133-'check-Jul''26'!CT133)</f>
        <v/>
      </c>
      <c r="CU115" s="25" t="str">
        <f>IF('1. Live'!CY133='check-Jul''26'!CU133,"",'1. Live'!CY133-'check-Jul''26'!CU133)</f>
        <v/>
      </c>
      <c r="CV115" s="25" t="str">
        <f>IF('1. Live'!CZ133='check-Jul''26'!CV133,"",'1. Live'!CZ133-'check-Jul''26'!CV133)</f>
        <v/>
      </c>
    </row>
    <row r="116" spans="17:100" x14ac:dyDescent="0.25">
      <c r="Q116" s="26" t="str">
        <f>IF('1. Live'!N134='check-Jul''26'!I134,"",'1. Live'!N134-'check-Jul''26'!I134)</f>
        <v/>
      </c>
      <c r="R116" s="26" t="str">
        <f>IF('1. Live'!O134='check-Jul''26'!J134,"",'1. Live'!O134-'check-Jul''26'!J134)</f>
        <v/>
      </c>
      <c r="S116" s="26" t="str">
        <f>IF('1. Live'!P134='check-Jul''26'!K134,"",'1. Live'!P134-'check-Jul''26'!K134)</f>
        <v/>
      </c>
      <c r="T116" s="26" t="str">
        <f>IF('1. Live'!Q134='check-Jul''26'!L134,"",'1. Live'!Q134-'check-Jul''26'!L134)</f>
        <v/>
      </c>
      <c r="U116" s="80" t="str">
        <f>IF('1. Live'!R134='check-Jul''26'!M134,"",'1. Live'!R134-'check-Jul''26'!M134)</f>
        <v/>
      </c>
      <c r="V116" s="26" t="str">
        <f>IF('1. Live'!S134='check-Jul''26'!N134,"",'1. Live'!S134-'check-Jul''26'!N134)</f>
        <v/>
      </c>
      <c r="W116" s="25" t="str">
        <f>IF('1. Live'!T134='check-Jul''26'!O134,"",'1. Live'!T134-'check-Jul''26'!O134)</f>
        <v/>
      </c>
      <c r="X116" s="25" t="str">
        <f>IF('1. Live'!U134='check-Jul''26'!Q134,"",'1. Live'!U134-'check-Jul''26'!Q134)</f>
        <v/>
      </c>
      <c r="Y116" s="25" t="str">
        <f>IF('1. Live'!V134='check-Jul''26'!R134,"",'1. Live'!V134-'check-Jul''26'!R134)</f>
        <v/>
      </c>
      <c r="Z116" s="25" t="str">
        <f>IF('1. Live'!W134='check-Jul''26'!S134,"",'1. Live'!W134-'check-Jul''26'!S134)</f>
        <v/>
      </c>
      <c r="AA116" s="25" t="str">
        <f>IF('1. Live'!X134='check-Jul''26'!T134,"",'1. Live'!X134-'check-Jul''26'!T134)</f>
        <v/>
      </c>
      <c r="AB116" s="25" t="str">
        <f>IF('1. Live'!AF134='check-Jul''26'!AB134,"",'1. Live'!AF134-'check-Jul''26'!AB134)</f>
        <v/>
      </c>
      <c r="AC116" s="25" t="str">
        <f>IF('1. Live'!AG134='check-Jul''26'!AC134,"",'1. Live'!AG134-'check-Jul''26'!AC134)</f>
        <v/>
      </c>
      <c r="AD116" s="25" t="str">
        <f>IF('1. Live'!AH134='check-Jul''26'!AD134,"",'1. Live'!AH134-'check-Jul''26'!AD134)</f>
        <v/>
      </c>
      <c r="AE116" s="25" t="str">
        <f>IF('1. Live'!AI134='check-Jul''26'!AE134,"",'1. Live'!AI134-'check-Jul''26'!AE134)</f>
        <v/>
      </c>
      <c r="AF116" s="25" t="str">
        <f>IF('1. Live'!AJ134='check-Jul''26'!AF134,"",'1. Live'!AJ134-'check-Jul''26'!AF134)</f>
        <v/>
      </c>
      <c r="AG116" s="25" t="str">
        <f>IF('1. Live'!AK134='check-Jul''26'!AG134,"",'1. Live'!AK134-'check-Jul''26'!AG134)</f>
        <v/>
      </c>
      <c r="AH116" s="25" t="str">
        <f>IF('1. Live'!AL134='check-Jul''26'!AH134,"",'1. Live'!AL134-'check-Jul''26'!AH134)</f>
        <v/>
      </c>
      <c r="AI116" s="25" t="str">
        <f>IF('1. Live'!AM134='check-Jul''26'!AI134,"",'1. Live'!AM134-'check-Jul''26'!AI134)</f>
        <v/>
      </c>
      <c r="AJ116" s="25" t="str">
        <f>IF('1. Live'!AN134='check-Jul''26'!AJ134,"",'1. Live'!AN134-'check-Jul''26'!AJ134)</f>
        <v/>
      </c>
      <c r="AK116" s="25" t="str">
        <f>IF('1. Live'!AO134='check-Jul''26'!AK134,"",'1. Live'!AO134-'check-Jul''26'!AK134)</f>
        <v/>
      </c>
      <c r="AL116" s="25" t="str">
        <f>IF('1. Live'!AP134='check-Jul''26'!AL134,"",'1. Live'!AP134-'check-Jul''26'!AL134)</f>
        <v/>
      </c>
      <c r="AM116" s="25" t="str">
        <f>IF('1. Live'!AQ134='check-Jul''26'!AM134,"",'1. Live'!AQ134-'check-Jul''26'!AM134)</f>
        <v/>
      </c>
      <c r="AN116" s="25" t="str">
        <f>IF('1. Live'!AR134='check-Jul''26'!AN134,"",'1. Live'!AR134-'check-Jul''26'!AN134)</f>
        <v/>
      </c>
      <c r="AO116" s="25" t="str">
        <f>IF('1. Live'!AS134='check-Jul''26'!AO134,"",'1. Live'!AS134-'check-Jul''26'!AO134)</f>
        <v/>
      </c>
      <c r="AP116" s="25" t="str">
        <f>IF('1. Live'!AT134='check-Jul''26'!AP134,"",'1. Live'!AT134-'check-Jul''26'!AP134)</f>
        <v/>
      </c>
      <c r="AQ116" s="25" t="str">
        <f>IF('1. Live'!AU134='check-Jul''26'!AQ134,"",'1. Live'!AU134-'check-Jul''26'!AQ134)</f>
        <v/>
      </c>
      <c r="AR116" s="25" t="str">
        <f>IF('1. Live'!AV134='check-Jul''26'!AR134,"",'1. Live'!AV134-'check-Jul''26'!AR134)</f>
        <v/>
      </c>
      <c r="AS116" s="25" t="str">
        <f>IF('1. Live'!AW134='check-Jul''26'!AS134,"",'1. Live'!AW134-'check-Jul''26'!AS134)</f>
        <v/>
      </c>
      <c r="AT116" s="25" t="str">
        <f>IF('1. Live'!AX134='check-Jul''26'!AT134,"",'1. Live'!AX134-'check-Jul''26'!AT134)</f>
        <v/>
      </c>
      <c r="AU116" s="25" t="str">
        <f>IF('1. Live'!AY134='check-Jul''26'!AU134,"",'1. Live'!AY134-'check-Jul''26'!AU134)</f>
        <v/>
      </c>
      <c r="AV116" s="25" t="str">
        <f>IF('1. Live'!AZ134='check-Jul''26'!AV134,"",'1. Live'!AZ134-'check-Jul''26'!AV134)</f>
        <v/>
      </c>
      <c r="AW116" s="25" t="str">
        <f>IF('1. Live'!BA134='check-Jul''26'!AW134,"",'1. Live'!BA134-'check-Jul''26'!AW134)</f>
        <v/>
      </c>
      <c r="AX116" s="25" t="str">
        <f>IF('1. Live'!BB134='check-Jul''26'!AX134,"",'1. Live'!BB134-'check-Jul''26'!AX134)</f>
        <v/>
      </c>
      <c r="AY116" s="25" t="str">
        <f>IF('1. Live'!BC134='check-Jul''26'!AY134,"",'1. Live'!BC134-'check-Jul''26'!AY134)</f>
        <v/>
      </c>
      <c r="AZ116" s="25" t="str">
        <f>IF('1. Live'!BD134='check-Jul''26'!AZ134,"",'1. Live'!BD134-'check-Jul''26'!AZ134)</f>
        <v/>
      </c>
      <c r="BA116" s="25" t="str">
        <f>IF('1. Live'!BE134='check-Jul''26'!BA134,"",'1. Live'!BE134-'check-Jul''26'!BA134)</f>
        <v/>
      </c>
      <c r="BB116" s="25" t="str">
        <f>IF('1. Live'!BF134='check-Jul''26'!BB134,"",'1. Live'!BF134-'check-Jul''26'!BB134)</f>
        <v/>
      </c>
      <c r="BC116" s="25" t="str">
        <f>IF('1. Live'!BG134='check-Jul''26'!BC134,"",'1. Live'!BG134-'check-Jul''26'!BC134)</f>
        <v/>
      </c>
      <c r="BD116" s="25" t="str">
        <f>IF('1. Live'!BH134='check-Jul''26'!BD134,"",'1. Live'!BH134-'check-Jul''26'!BD134)</f>
        <v/>
      </c>
      <c r="BE116" s="25" t="str">
        <f>IF('1. Live'!BI134='check-Jul''26'!BE134,"",'1. Live'!BI134-'check-Jul''26'!BE134)</f>
        <v/>
      </c>
      <c r="BF116" s="25" t="str">
        <f>IF('1. Live'!BJ134='check-Jul''26'!BF134,"",'1. Live'!BJ134-'check-Jul''26'!BF134)</f>
        <v/>
      </c>
      <c r="BG116" s="25" t="str">
        <f>IF('1. Live'!BK134='check-Jul''26'!BG134,"",'1. Live'!BK134-'check-Jul''26'!BG134)</f>
        <v/>
      </c>
      <c r="BH116" s="25" t="str">
        <f>IF('1. Live'!BL134='check-Jul''26'!BH134,"",'1. Live'!BL134-'check-Jul''26'!BH134)</f>
        <v/>
      </c>
      <c r="BI116" s="25" t="str">
        <f>IF('1. Live'!BM134='check-Jul''26'!BI134,"",'1. Live'!BM134-'check-Jul''26'!BI134)</f>
        <v/>
      </c>
      <c r="BJ116" s="25" t="str">
        <f>IF('1. Live'!BN134='check-Jul''26'!BJ134,"",'1. Live'!BN134-'check-Jul''26'!BJ134)</f>
        <v/>
      </c>
      <c r="BK116" s="25" t="str">
        <f>IF('1. Live'!BO134='check-Jul''26'!BK134,"",'1. Live'!BO134-'check-Jul''26'!BK134)</f>
        <v/>
      </c>
      <c r="BL116" s="25" t="str">
        <f>IF('1. Live'!BP134='check-Jul''26'!BL134,"",'1. Live'!BP134-'check-Jul''26'!BL134)</f>
        <v/>
      </c>
      <c r="BM116" s="25" t="str">
        <f>IF('1. Live'!BQ134='check-Jul''26'!BM134,"",'1. Live'!BQ134-'check-Jul''26'!BM134)</f>
        <v/>
      </c>
      <c r="BN116" s="25" t="str">
        <f>IF('1. Live'!BR134='check-Jul''26'!BN134,"",'1. Live'!BR134-'check-Jul''26'!BN134)</f>
        <v/>
      </c>
      <c r="BO116" s="25" t="str">
        <f>IF('1. Live'!BS134='check-Jul''26'!BO134,"",'1. Live'!BS134-'check-Jul''26'!BO134)</f>
        <v/>
      </c>
      <c r="BP116" s="25" t="str">
        <f>IF('1. Live'!BT134='check-Jul''26'!BP134,"",'1. Live'!BT134-'check-Jul''26'!BP134)</f>
        <v/>
      </c>
      <c r="BQ116" s="25" t="str">
        <f>IF('1. Live'!BU134='check-Jul''26'!BQ134,"",'1. Live'!BU134-'check-Jul''26'!BQ134)</f>
        <v/>
      </c>
      <c r="BR116" s="25" t="str">
        <f>IF('1. Live'!BV134='check-Jul''26'!BR134,"",'1. Live'!BV134-'check-Jul''26'!BR134)</f>
        <v/>
      </c>
      <c r="BS116" s="25" t="str">
        <f>IF('1. Live'!BW134='check-Jul''26'!BS134,"",'1. Live'!BW134-'check-Jul''26'!BS134)</f>
        <v/>
      </c>
      <c r="BT116" s="25" t="str">
        <f>IF('1. Live'!BX134='check-Jul''26'!BT134,"",'1. Live'!BX134-'check-Jul''26'!BT134)</f>
        <v/>
      </c>
      <c r="BU116" s="25" t="str">
        <f>IF('1. Live'!BY134='check-Jul''26'!BU134,"",'1. Live'!BY134-'check-Jul''26'!BU134)</f>
        <v/>
      </c>
      <c r="BV116" s="25" t="str">
        <f>IF('1. Live'!BZ134='check-Jul''26'!BV134,"",'1. Live'!BZ134-'check-Jul''26'!BV134)</f>
        <v/>
      </c>
      <c r="BW116" s="25" t="str">
        <f>IF('1. Live'!CA134='check-Jul''26'!BW134,"",'1. Live'!CA134-'check-Jul''26'!BW134)</f>
        <v/>
      </c>
      <c r="BX116" s="25" t="str">
        <f>IF('1. Live'!CB134='check-Jul''26'!BX134,"",'1. Live'!CB134-'check-Jul''26'!BX134)</f>
        <v/>
      </c>
      <c r="BY116" s="25" t="str">
        <f>IF('1. Live'!CC134='check-Jul''26'!BY134,"",'1. Live'!CC134-'check-Jul''26'!BY134)</f>
        <v/>
      </c>
      <c r="BZ116" s="25" t="str">
        <f>IF('1. Live'!CD134='check-Jul''26'!BZ134,"",'1. Live'!CD134-'check-Jul''26'!BZ134)</f>
        <v/>
      </c>
      <c r="CA116" s="25" t="str">
        <f>IF('1. Live'!CE134='check-Jul''26'!CA134,"",'1. Live'!CE134-'check-Jul''26'!CA134)</f>
        <v/>
      </c>
      <c r="CB116" s="25" t="str">
        <f>IF('1. Live'!CF134='check-Jul''26'!CB134,"",'1. Live'!CF134-'check-Jul''26'!CB134)</f>
        <v/>
      </c>
      <c r="CC116" s="25" t="str">
        <f>IF('1. Live'!CG134='check-Jul''26'!CC134,"",'1. Live'!CG134-'check-Jul''26'!CC134)</f>
        <v/>
      </c>
      <c r="CD116" s="25" t="str">
        <f>IF('1. Live'!CH134='check-Jul''26'!CD134,"",'1. Live'!CH134-'check-Jul''26'!CD134)</f>
        <v/>
      </c>
      <c r="CE116" s="25" t="str">
        <f>IF('1. Live'!CI134='check-Jul''26'!CE134,"",'1. Live'!CI134-'check-Jul''26'!CE134)</f>
        <v/>
      </c>
      <c r="CF116" s="25" t="str">
        <f>IF('1. Live'!CJ134='check-Jul''26'!CF134,"",'1. Live'!CJ134-'check-Jul''26'!CF134)</f>
        <v/>
      </c>
      <c r="CG116" s="25" t="str">
        <f>IF('1. Live'!CK134='check-Jul''26'!CG134,"",'1. Live'!CK134-'check-Jul''26'!CG134)</f>
        <v/>
      </c>
      <c r="CH116" s="25" t="str">
        <f>IF('1. Live'!CL134='check-Jul''26'!CH134,"",'1. Live'!CL134-'check-Jul''26'!CH134)</f>
        <v/>
      </c>
      <c r="CI116" s="25" t="str">
        <f>IF('1. Live'!CM134='check-Jul''26'!CI134,"",'1. Live'!CM134-'check-Jul''26'!CI134)</f>
        <v/>
      </c>
      <c r="CJ116" s="25" t="str">
        <f>IF('1. Live'!CN134='check-Jul''26'!CJ134,"",'1. Live'!CN134-'check-Jul''26'!CJ134)</f>
        <v/>
      </c>
      <c r="CK116" s="25" t="str">
        <f>IF('1. Live'!CO134='check-Jul''26'!CK134,"",'1. Live'!CO134-'check-Jul''26'!CK134)</f>
        <v/>
      </c>
      <c r="CL116" s="25" t="str">
        <f>IF('1. Live'!CP134='check-Jul''26'!CL134,"",'1. Live'!CP134-'check-Jul''26'!CL134)</f>
        <v/>
      </c>
      <c r="CM116" s="25" t="str">
        <f>IF('1. Live'!CQ134='check-Jul''26'!CM134,"",'1. Live'!CQ134-'check-Jul''26'!CM134)</f>
        <v/>
      </c>
      <c r="CN116" s="25" t="str">
        <f>IF('1. Live'!CR134='check-Jul''26'!CN134,"",'1. Live'!CR134-'check-Jul''26'!CN134)</f>
        <v/>
      </c>
      <c r="CO116" s="25" t="str">
        <f>IF('1. Live'!CS134='check-Jul''26'!CO134,"",'1. Live'!CS134-'check-Jul''26'!CO134)</f>
        <v/>
      </c>
      <c r="CP116" s="25" t="str">
        <f>IF('1. Live'!CT134='check-Jul''26'!CP134,"",'1. Live'!CT134-'check-Jul''26'!CP134)</f>
        <v/>
      </c>
      <c r="CQ116" s="25" t="str">
        <f>IF('1. Live'!CU134='check-Jul''26'!CQ134,"",'1. Live'!CU134-'check-Jul''26'!CQ134)</f>
        <v/>
      </c>
      <c r="CR116" s="25" t="str">
        <f>IF('1. Live'!CV134='check-Jul''26'!CR134,"",'1. Live'!CV134-'check-Jul''26'!CR134)</f>
        <v/>
      </c>
      <c r="CS116" s="25" t="str">
        <f>IF('1. Live'!CW134='check-Jul''26'!CS134,"",'1. Live'!CW134-'check-Jul''26'!CS134)</f>
        <v/>
      </c>
      <c r="CT116" s="25" t="str">
        <f>IF('1. Live'!CX134='check-Jul''26'!CT134,"",'1. Live'!CX134-'check-Jul''26'!CT134)</f>
        <v/>
      </c>
      <c r="CU116" s="25" t="str">
        <f>IF('1. Live'!CY134='check-Jul''26'!CU134,"",'1. Live'!CY134-'check-Jul''26'!CU134)</f>
        <v/>
      </c>
      <c r="CV116" s="25" t="str">
        <f>IF('1. Live'!CZ134='check-Jul''26'!CV134,"",'1. Live'!CZ134-'check-Jul''26'!CV134)</f>
        <v/>
      </c>
    </row>
    <row r="117" spans="17:100" x14ac:dyDescent="0.25">
      <c r="Q117" s="26" t="str">
        <f>IF('1. Live'!N135='check-Jul''26'!I135,"",'1. Live'!N135-'check-Jul''26'!I135)</f>
        <v/>
      </c>
      <c r="R117" s="26" t="str">
        <f>IF('1. Live'!O135='check-Jul''26'!J135,"",'1. Live'!O135-'check-Jul''26'!J135)</f>
        <v/>
      </c>
      <c r="S117" s="26" t="str">
        <f>IF('1. Live'!P135='check-Jul''26'!K135,"",'1. Live'!P135-'check-Jul''26'!K135)</f>
        <v/>
      </c>
      <c r="T117" s="26" t="str">
        <f>IF('1. Live'!Q135='check-Jul''26'!L135,"",'1. Live'!Q135-'check-Jul''26'!L135)</f>
        <v/>
      </c>
      <c r="U117" s="80" t="str">
        <f>IF('1. Live'!R135='check-Jul''26'!M135,"",'1. Live'!R135-'check-Jul''26'!M135)</f>
        <v/>
      </c>
      <c r="V117" s="26" t="str">
        <f>IF('1. Live'!S135='check-Jul''26'!N135,"",'1. Live'!S135-'check-Jul''26'!N135)</f>
        <v/>
      </c>
      <c r="W117" s="25" t="str">
        <f>IF('1. Live'!T135='check-Jul''26'!O135,"",'1. Live'!T135-'check-Jul''26'!O135)</f>
        <v/>
      </c>
      <c r="X117" s="25" t="str">
        <f>IF('1. Live'!U135='check-Jul''26'!Q135,"",'1. Live'!U135-'check-Jul''26'!Q135)</f>
        <v/>
      </c>
      <c r="Y117" s="25" t="str">
        <f>IF('1. Live'!V135='check-Jul''26'!R135,"",'1. Live'!V135-'check-Jul''26'!R135)</f>
        <v/>
      </c>
      <c r="Z117" s="25" t="str">
        <f>IF('1. Live'!W135='check-Jul''26'!S135,"",'1. Live'!W135-'check-Jul''26'!S135)</f>
        <v/>
      </c>
      <c r="AA117" s="25" t="str">
        <f>IF('1. Live'!X135='check-Jul''26'!T135,"",'1. Live'!X135-'check-Jul''26'!T135)</f>
        <v/>
      </c>
      <c r="AB117" s="25" t="str">
        <f>IF('1. Live'!AF135='check-Jul''26'!AB135,"",'1. Live'!AF135-'check-Jul''26'!AB135)</f>
        <v/>
      </c>
      <c r="AC117" s="25" t="str">
        <f>IF('1. Live'!AG135='check-Jul''26'!AC135,"",'1. Live'!AG135-'check-Jul''26'!AC135)</f>
        <v/>
      </c>
      <c r="AD117" s="25" t="str">
        <f>IF('1. Live'!AH135='check-Jul''26'!AD135,"",'1. Live'!AH135-'check-Jul''26'!AD135)</f>
        <v/>
      </c>
      <c r="AE117" s="25" t="str">
        <f>IF('1. Live'!AI135='check-Jul''26'!AE135,"",'1. Live'!AI135-'check-Jul''26'!AE135)</f>
        <v/>
      </c>
      <c r="AF117" s="25" t="str">
        <f>IF('1. Live'!AJ135='check-Jul''26'!AF135,"",'1. Live'!AJ135-'check-Jul''26'!AF135)</f>
        <v/>
      </c>
      <c r="AG117" s="25" t="str">
        <f>IF('1. Live'!AK135='check-Jul''26'!AG135,"",'1. Live'!AK135-'check-Jul''26'!AG135)</f>
        <v/>
      </c>
      <c r="AH117" s="25" t="str">
        <f>IF('1. Live'!AL135='check-Jul''26'!AH135,"",'1. Live'!AL135-'check-Jul''26'!AH135)</f>
        <v/>
      </c>
      <c r="AI117" s="25" t="str">
        <f>IF('1. Live'!AM135='check-Jul''26'!AI135,"",'1. Live'!AM135-'check-Jul''26'!AI135)</f>
        <v/>
      </c>
      <c r="AJ117" s="25" t="str">
        <f>IF('1. Live'!AN135='check-Jul''26'!AJ135,"",'1. Live'!AN135-'check-Jul''26'!AJ135)</f>
        <v/>
      </c>
      <c r="AK117" s="25" t="str">
        <f>IF('1. Live'!AO135='check-Jul''26'!AK135,"",'1. Live'!AO135-'check-Jul''26'!AK135)</f>
        <v/>
      </c>
      <c r="AL117" s="25" t="str">
        <f>IF('1. Live'!AP135='check-Jul''26'!AL135,"",'1. Live'!AP135-'check-Jul''26'!AL135)</f>
        <v/>
      </c>
      <c r="AM117" s="25" t="str">
        <f>IF('1. Live'!AQ135='check-Jul''26'!AM135,"",'1. Live'!AQ135-'check-Jul''26'!AM135)</f>
        <v/>
      </c>
      <c r="AN117" s="25" t="str">
        <f>IF('1. Live'!AR135='check-Jul''26'!AN135,"",'1. Live'!AR135-'check-Jul''26'!AN135)</f>
        <v/>
      </c>
      <c r="AO117" s="25" t="str">
        <f>IF('1. Live'!AS135='check-Jul''26'!AO135,"",'1. Live'!AS135-'check-Jul''26'!AO135)</f>
        <v/>
      </c>
      <c r="AP117" s="25" t="str">
        <f>IF('1. Live'!AT135='check-Jul''26'!AP135,"",'1. Live'!AT135-'check-Jul''26'!AP135)</f>
        <v/>
      </c>
      <c r="AQ117" s="25" t="str">
        <f>IF('1. Live'!AU135='check-Jul''26'!AQ135,"",'1. Live'!AU135-'check-Jul''26'!AQ135)</f>
        <v/>
      </c>
      <c r="AR117" s="25" t="str">
        <f>IF('1. Live'!AV135='check-Jul''26'!AR135,"",'1. Live'!AV135-'check-Jul''26'!AR135)</f>
        <v/>
      </c>
      <c r="AS117" s="25" t="str">
        <f>IF('1. Live'!AW135='check-Jul''26'!AS135,"",'1. Live'!AW135-'check-Jul''26'!AS135)</f>
        <v/>
      </c>
      <c r="AT117" s="25" t="str">
        <f>IF('1. Live'!AX135='check-Jul''26'!AT135,"",'1. Live'!AX135-'check-Jul''26'!AT135)</f>
        <v/>
      </c>
      <c r="AU117" s="25" t="str">
        <f>IF('1. Live'!AY135='check-Jul''26'!AU135,"",'1. Live'!AY135-'check-Jul''26'!AU135)</f>
        <v/>
      </c>
      <c r="AV117" s="25" t="str">
        <f>IF('1. Live'!AZ135='check-Jul''26'!AV135,"",'1. Live'!AZ135-'check-Jul''26'!AV135)</f>
        <v/>
      </c>
      <c r="AW117" s="25" t="str">
        <f>IF('1. Live'!BA135='check-Jul''26'!AW135,"",'1. Live'!BA135-'check-Jul''26'!AW135)</f>
        <v/>
      </c>
      <c r="AX117" s="25" t="str">
        <f>IF('1. Live'!BB135='check-Jul''26'!AX135,"",'1. Live'!BB135-'check-Jul''26'!AX135)</f>
        <v/>
      </c>
      <c r="AY117" s="25" t="str">
        <f>IF('1. Live'!BC135='check-Jul''26'!AY135,"",'1. Live'!BC135-'check-Jul''26'!AY135)</f>
        <v/>
      </c>
      <c r="AZ117" s="25" t="str">
        <f>IF('1. Live'!BD135='check-Jul''26'!AZ135,"",'1. Live'!BD135-'check-Jul''26'!AZ135)</f>
        <v/>
      </c>
      <c r="BA117" s="25" t="str">
        <f>IF('1. Live'!BE135='check-Jul''26'!BA135,"",'1. Live'!BE135-'check-Jul''26'!BA135)</f>
        <v/>
      </c>
      <c r="BB117" s="25" t="str">
        <f>IF('1. Live'!BF135='check-Jul''26'!BB135,"",'1. Live'!BF135-'check-Jul''26'!BB135)</f>
        <v/>
      </c>
      <c r="BC117" s="25" t="str">
        <f>IF('1. Live'!BG135='check-Jul''26'!BC135,"",'1. Live'!BG135-'check-Jul''26'!BC135)</f>
        <v/>
      </c>
      <c r="BD117" s="25" t="str">
        <f>IF('1. Live'!BH135='check-Jul''26'!BD135,"",'1. Live'!BH135-'check-Jul''26'!BD135)</f>
        <v/>
      </c>
      <c r="BE117" s="25" t="str">
        <f>IF('1. Live'!BI135='check-Jul''26'!BE135,"",'1. Live'!BI135-'check-Jul''26'!BE135)</f>
        <v/>
      </c>
      <c r="BF117" s="25" t="str">
        <f>IF('1. Live'!BJ135='check-Jul''26'!BF135,"",'1. Live'!BJ135-'check-Jul''26'!BF135)</f>
        <v/>
      </c>
      <c r="BG117" s="25" t="str">
        <f>IF('1. Live'!BK135='check-Jul''26'!BG135,"",'1. Live'!BK135-'check-Jul''26'!BG135)</f>
        <v/>
      </c>
      <c r="BH117" s="25" t="str">
        <f>IF('1. Live'!BL135='check-Jul''26'!BH135,"",'1. Live'!BL135-'check-Jul''26'!BH135)</f>
        <v/>
      </c>
      <c r="BI117" s="25" t="str">
        <f>IF('1. Live'!BM135='check-Jul''26'!BI135,"",'1. Live'!BM135-'check-Jul''26'!BI135)</f>
        <v/>
      </c>
      <c r="BJ117" s="25" t="str">
        <f>IF('1. Live'!BN135='check-Jul''26'!BJ135,"",'1. Live'!BN135-'check-Jul''26'!BJ135)</f>
        <v/>
      </c>
      <c r="BK117" s="25" t="str">
        <f>IF('1. Live'!BO135='check-Jul''26'!BK135,"",'1. Live'!BO135-'check-Jul''26'!BK135)</f>
        <v/>
      </c>
      <c r="BL117" s="25" t="str">
        <f>IF('1. Live'!BP135='check-Jul''26'!BL135,"",'1. Live'!BP135-'check-Jul''26'!BL135)</f>
        <v/>
      </c>
      <c r="BM117" s="25" t="str">
        <f>IF('1. Live'!BQ135='check-Jul''26'!BM135,"",'1. Live'!BQ135-'check-Jul''26'!BM135)</f>
        <v/>
      </c>
      <c r="BN117" s="25" t="str">
        <f>IF('1. Live'!BR135='check-Jul''26'!BN135,"",'1. Live'!BR135-'check-Jul''26'!BN135)</f>
        <v/>
      </c>
      <c r="BO117" s="25" t="str">
        <f>IF('1. Live'!BS135='check-Jul''26'!BO135,"",'1. Live'!BS135-'check-Jul''26'!BO135)</f>
        <v/>
      </c>
      <c r="BP117" s="25" t="str">
        <f>IF('1. Live'!BT135='check-Jul''26'!BP135,"",'1. Live'!BT135-'check-Jul''26'!BP135)</f>
        <v/>
      </c>
      <c r="BQ117" s="25" t="str">
        <f>IF('1. Live'!BU135='check-Jul''26'!BQ135,"",'1. Live'!BU135-'check-Jul''26'!BQ135)</f>
        <v/>
      </c>
      <c r="BR117" s="25" t="str">
        <f>IF('1. Live'!BV135='check-Jul''26'!BR135,"",'1. Live'!BV135-'check-Jul''26'!BR135)</f>
        <v/>
      </c>
      <c r="BS117" s="25" t="str">
        <f>IF('1. Live'!BW135='check-Jul''26'!BS135,"",'1. Live'!BW135-'check-Jul''26'!BS135)</f>
        <v/>
      </c>
      <c r="BT117" s="25" t="str">
        <f>IF('1. Live'!BX135='check-Jul''26'!BT135,"",'1. Live'!BX135-'check-Jul''26'!BT135)</f>
        <v/>
      </c>
      <c r="BU117" s="25" t="str">
        <f>IF('1. Live'!BY135='check-Jul''26'!BU135,"",'1. Live'!BY135-'check-Jul''26'!BU135)</f>
        <v/>
      </c>
      <c r="BV117" s="25" t="str">
        <f>IF('1. Live'!BZ135='check-Jul''26'!BV135,"",'1. Live'!BZ135-'check-Jul''26'!BV135)</f>
        <v/>
      </c>
      <c r="BW117" s="25" t="str">
        <f>IF('1. Live'!CA135='check-Jul''26'!BW135,"",'1. Live'!CA135-'check-Jul''26'!BW135)</f>
        <v/>
      </c>
      <c r="BX117" s="25" t="str">
        <f>IF('1. Live'!CB135='check-Jul''26'!BX135,"",'1. Live'!CB135-'check-Jul''26'!BX135)</f>
        <v/>
      </c>
      <c r="BY117" s="25" t="str">
        <f>IF('1. Live'!CC135='check-Jul''26'!BY135,"",'1. Live'!CC135-'check-Jul''26'!BY135)</f>
        <v/>
      </c>
      <c r="BZ117" s="25" t="str">
        <f>IF('1. Live'!CD135='check-Jul''26'!BZ135,"",'1. Live'!CD135-'check-Jul''26'!BZ135)</f>
        <v/>
      </c>
      <c r="CA117" s="25" t="str">
        <f>IF('1. Live'!CE135='check-Jul''26'!CA135,"",'1. Live'!CE135-'check-Jul''26'!CA135)</f>
        <v/>
      </c>
      <c r="CB117" s="25" t="str">
        <f>IF('1. Live'!CF135='check-Jul''26'!CB135,"",'1. Live'!CF135-'check-Jul''26'!CB135)</f>
        <v/>
      </c>
      <c r="CC117" s="25" t="str">
        <f>IF('1. Live'!CG135='check-Jul''26'!CC135,"",'1. Live'!CG135-'check-Jul''26'!CC135)</f>
        <v/>
      </c>
      <c r="CD117" s="25" t="str">
        <f>IF('1. Live'!CH135='check-Jul''26'!CD135,"",'1. Live'!CH135-'check-Jul''26'!CD135)</f>
        <v/>
      </c>
      <c r="CE117" s="25" t="str">
        <f>IF('1. Live'!CI135='check-Jul''26'!CE135,"",'1. Live'!CI135-'check-Jul''26'!CE135)</f>
        <v/>
      </c>
      <c r="CF117" s="25" t="str">
        <f>IF('1. Live'!CJ135='check-Jul''26'!CF135,"",'1. Live'!CJ135-'check-Jul''26'!CF135)</f>
        <v/>
      </c>
      <c r="CG117" s="25" t="str">
        <f>IF('1. Live'!CK135='check-Jul''26'!CG135,"",'1. Live'!CK135-'check-Jul''26'!CG135)</f>
        <v/>
      </c>
      <c r="CH117" s="25" t="str">
        <f>IF('1. Live'!CL135='check-Jul''26'!CH135,"",'1. Live'!CL135-'check-Jul''26'!CH135)</f>
        <v/>
      </c>
      <c r="CI117" s="25" t="str">
        <f>IF('1. Live'!CM135='check-Jul''26'!CI135,"",'1. Live'!CM135-'check-Jul''26'!CI135)</f>
        <v/>
      </c>
      <c r="CJ117" s="25" t="str">
        <f>IF('1. Live'!CN135='check-Jul''26'!CJ135,"",'1. Live'!CN135-'check-Jul''26'!CJ135)</f>
        <v/>
      </c>
      <c r="CK117" s="25" t="str">
        <f>IF('1. Live'!CO135='check-Jul''26'!CK135,"",'1. Live'!CO135-'check-Jul''26'!CK135)</f>
        <v/>
      </c>
      <c r="CL117" s="25" t="str">
        <f>IF('1. Live'!CP135='check-Jul''26'!CL135,"",'1. Live'!CP135-'check-Jul''26'!CL135)</f>
        <v/>
      </c>
      <c r="CM117" s="25" t="str">
        <f>IF('1. Live'!CQ135='check-Jul''26'!CM135,"",'1. Live'!CQ135-'check-Jul''26'!CM135)</f>
        <v/>
      </c>
      <c r="CN117" s="25" t="str">
        <f>IF('1. Live'!CR135='check-Jul''26'!CN135,"",'1. Live'!CR135-'check-Jul''26'!CN135)</f>
        <v/>
      </c>
      <c r="CO117" s="25" t="str">
        <f>IF('1. Live'!CS135='check-Jul''26'!CO135,"",'1. Live'!CS135-'check-Jul''26'!CO135)</f>
        <v/>
      </c>
      <c r="CP117" s="25" t="str">
        <f>IF('1. Live'!CT135='check-Jul''26'!CP135,"",'1. Live'!CT135-'check-Jul''26'!CP135)</f>
        <v/>
      </c>
      <c r="CQ117" s="25" t="str">
        <f>IF('1. Live'!CU135='check-Jul''26'!CQ135,"",'1. Live'!CU135-'check-Jul''26'!CQ135)</f>
        <v/>
      </c>
      <c r="CR117" s="25" t="str">
        <f>IF('1. Live'!CV135='check-Jul''26'!CR135,"",'1. Live'!CV135-'check-Jul''26'!CR135)</f>
        <v/>
      </c>
      <c r="CS117" s="25" t="str">
        <f>IF('1. Live'!CW135='check-Jul''26'!CS135,"",'1. Live'!CW135-'check-Jul''26'!CS135)</f>
        <v/>
      </c>
      <c r="CT117" s="25" t="str">
        <f>IF('1. Live'!CX135='check-Jul''26'!CT135,"",'1. Live'!CX135-'check-Jul''26'!CT135)</f>
        <v/>
      </c>
      <c r="CU117" s="25" t="str">
        <f>IF('1. Live'!CY135='check-Jul''26'!CU135,"",'1. Live'!CY135-'check-Jul''26'!CU135)</f>
        <v/>
      </c>
      <c r="CV117" s="25" t="str">
        <f>IF('1. Live'!CZ135='check-Jul''26'!CV135,"",'1. Live'!CZ135-'check-Jul''26'!CV135)</f>
        <v/>
      </c>
    </row>
    <row r="118" spans="17:100" x14ac:dyDescent="0.25">
      <c r="Q118" s="26" t="str">
        <f>IF('1. Live'!N136='check-Jul''26'!I136,"",'1. Live'!N136-'check-Jul''26'!I136)</f>
        <v/>
      </c>
      <c r="R118" s="26" t="str">
        <f>IF('1. Live'!O136='check-Jul''26'!J136,"",'1. Live'!O136-'check-Jul''26'!J136)</f>
        <v/>
      </c>
      <c r="S118" s="26" t="str">
        <f>IF('1. Live'!P136='check-Jul''26'!K136,"",'1. Live'!P136-'check-Jul''26'!K136)</f>
        <v/>
      </c>
      <c r="T118" s="26" t="str">
        <f>IF('1. Live'!Q136='check-Jul''26'!L136,"",'1. Live'!Q136-'check-Jul''26'!L136)</f>
        <v/>
      </c>
      <c r="U118" s="80" t="str">
        <f>IF('1. Live'!R136='check-Jul''26'!M136,"",'1. Live'!R136-'check-Jul''26'!M136)</f>
        <v/>
      </c>
      <c r="V118" s="26" t="str">
        <f>IF('1. Live'!S136='check-Jul''26'!N136,"",'1. Live'!S136-'check-Jul''26'!N136)</f>
        <v/>
      </c>
      <c r="W118" s="25" t="str">
        <f>IF('1. Live'!T136='check-Jul''26'!O136,"",'1. Live'!T136-'check-Jul''26'!O136)</f>
        <v/>
      </c>
      <c r="X118" s="25" t="str">
        <f>IF('1. Live'!U136='check-Jul''26'!Q136,"",'1. Live'!U136-'check-Jul''26'!Q136)</f>
        <v/>
      </c>
      <c r="Y118" s="25" t="str">
        <f>IF('1. Live'!V136='check-Jul''26'!R136,"",'1. Live'!V136-'check-Jul''26'!R136)</f>
        <v/>
      </c>
      <c r="Z118" s="25" t="str">
        <f>IF('1. Live'!W136='check-Jul''26'!S136,"",'1. Live'!W136-'check-Jul''26'!S136)</f>
        <v/>
      </c>
      <c r="AA118" s="25" t="str">
        <f>IF('1. Live'!X136='check-Jul''26'!T136,"",'1. Live'!X136-'check-Jul''26'!T136)</f>
        <v/>
      </c>
      <c r="AB118" s="25" t="str">
        <f>IF('1. Live'!AF136='check-Jul''26'!AB136,"",'1. Live'!AF136-'check-Jul''26'!AB136)</f>
        <v/>
      </c>
      <c r="AC118" s="25" t="str">
        <f>IF('1. Live'!AG136='check-Jul''26'!AC136,"",'1. Live'!AG136-'check-Jul''26'!AC136)</f>
        <v/>
      </c>
      <c r="AD118" s="25" t="str">
        <f>IF('1. Live'!AH136='check-Jul''26'!AD136,"",'1. Live'!AH136-'check-Jul''26'!AD136)</f>
        <v/>
      </c>
      <c r="AE118" s="25" t="str">
        <f>IF('1. Live'!AI136='check-Jul''26'!AE136,"",'1. Live'!AI136-'check-Jul''26'!AE136)</f>
        <v/>
      </c>
      <c r="AF118" s="25" t="str">
        <f>IF('1. Live'!AJ136='check-Jul''26'!AF136,"",'1. Live'!AJ136-'check-Jul''26'!AF136)</f>
        <v/>
      </c>
      <c r="AG118" s="25" t="str">
        <f>IF('1. Live'!AK136='check-Jul''26'!AG136,"",'1. Live'!AK136-'check-Jul''26'!AG136)</f>
        <v/>
      </c>
      <c r="AH118" s="25" t="str">
        <f>IF('1. Live'!AL136='check-Jul''26'!AH136,"",'1. Live'!AL136-'check-Jul''26'!AH136)</f>
        <v/>
      </c>
      <c r="AI118" s="25" t="str">
        <f>IF('1. Live'!AM136='check-Jul''26'!AI136,"",'1. Live'!AM136-'check-Jul''26'!AI136)</f>
        <v/>
      </c>
      <c r="AJ118" s="25" t="str">
        <f>IF('1. Live'!AN136='check-Jul''26'!AJ136,"",'1. Live'!AN136-'check-Jul''26'!AJ136)</f>
        <v/>
      </c>
      <c r="AK118" s="25" t="str">
        <f>IF('1. Live'!AO136='check-Jul''26'!AK136,"",'1. Live'!AO136-'check-Jul''26'!AK136)</f>
        <v/>
      </c>
      <c r="AL118" s="25" t="str">
        <f>IF('1. Live'!AP136='check-Jul''26'!AL136,"",'1. Live'!AP136-'check-Jul''26'!AL136)</f>
        <v/>
      </c>
      <c r="AM118" s="25" t="str">
        <f>IF('1. Live'!AQ136='check-Jul''26'!AM136,"",'1. Live'!AQ136-'check-Jul''26'!AM136)</f>
        <v/>
      </c>
      <c r="AN118" s="25" t="str">
        <f>IF('1. Live'!AR136='check-Jul''26'!AN136,"",'1. Live'!AR136-'check-Jul''26'!AN136)</f>
        <v/>
      </c>
      <c r="AO118" s="25" t="str">
        <f>IF('1. Live'!AS136='check-Jul''26'!AO136,"",'1. Live'!AS136-'check-Jul''26'!AO136)</f>
        <v/>
      </c>
      <c r="AP118" s="25" t="str">
        <f>IF('1. Live'!AT136='check-Jul''26'!AP136,"",'1. Live'!AT136-'check-Jul''26'!AP136)</f>
        <v/>
      </c>
      <c r="AQ118" s="25" t="str">
        <f>IF('1. Live'!AU136='check-Jul''26'!AQ136,"",'1. Live'!AU136-'check-Jul''26'!AQ136)</f>
        <v/>
      </c>
      <c r="AR118" s="25" t="str">
        <f>IF('1. Live'!AV136='check-Jul''26'!AR136,"",'1. Live'!AV136-'check-Jul''26'!AR136)</f>
        <v/>
      </c>
      <c r="AS118" s="25" t="str">
        <f>IF('1. Live'!AW136='check-Jul''26'!AS136,"",'1. Live'!AW136-'check-Jul''26'!AS136)</f>
        <v/>
      </c>
      <c r="AT118" s="25" t="str">
        <f>IF('1. Live'!AX136='check-Jul''26'!AT136,"",'1. Live'!AX136-'check-Jul''26'!AT136)</f>
        <v/>
      </c>
      <c r="AU118" s="25" t="str">
        <f>IF('1. Live'!AY136='check-Jul''26'!AU136,"",'1. Live'!AY136-'check-Jul''26'!AU136)</f>
        <v/>
      </c>
      <c r="AV118" s="25" t="str">
        <f>IF('1. Live'!AZ136='check-Jul''26'!AV136,"",'1. Live'!AZ136-'check-Jul''26'!AV136)</f>
        <v/>
      </c>
      <c r="AW118" s="25" t="str">
        <f>IF('1. Live'!BA136='check-Jul''26'!AW136,"",'1. Live'!BA136-'check-Jul''26'!AW136)</f>
        <v/>
      </c>
      <c r="AX118" s="25" t="str">
        <f>IF('1. Live'!BB136='check-Jul''26'!AX136,"",'1. Live'!BB136-'check-Jul''26'!AX136)</f>
        <v/>
      </c>
      <c r="AY118" s="25" t="str">
        <f>IF('1. Live'!BC136='check-Jul''26'!AY136,"",'1. Live'!BC136-'check-Jul''26'!AY136)</f>
        <v/>
      </c>
      <c r="AZ118" s="25" t="str">
        <f>IF('1. Live'!BD136='check-Jul''26'!AZ136,"",'1. Live'!BD136-'check-Jul''26'!AZ136)</f>
        <v/>
      </c>
      <c r="BA118" s="25" t="str">
        <f>IF('1. Live'!BE136='check-Jul''26'!BA136,"",'1. Live'!BE136-'check-Jul''26'!BA136)</f>
        <v/>
      </c>
      <c r="BB118" s="25" t="str">
        <f>IF('1. Live'!BF136='check-Jul''26'!BB136,"",'1. Live'!BF136-'check-Jul''26'!BB136)</f>
        <v/>
      </c>
      <c r="BC118" s="25" t="str">
        <f>IF('1. Live'!BG136='check-Jul''26'!BC136,"",'1. Live'!BG136-'check-Jul''26'!BC136)</f>
        <v/>
      </c>
      <c r="BD118" s="25" t="str">
        <f>IF('1. Live'!BH136='check-Jul''26'!BD136,"",'1. Live'!BH136-'check-Jul''26'!BD136)</f>
        <v/>
      </c>
      <c r="BE118" s="25" t="str">
        <f>IF('1. Live'!BI136='check-Jul''26'!BE136,"",'1. Live'!BI136-'check-Jul''26'!BE136)</f>
        <v/>
      </c>
      <c r="BF118" s="25" t="str">
        <f>IF('1. Live'!BJ136='check-Jul''26'!BF136,"",'1. Live'!BJ136-'check-Jul''26'!BF136)</f>
        <v/>
      </c>
      <c r="BG118" s="25" t="str">
        <f>IF('1. Live'!BK136='check-Jul''26'!BG136,"",'1. Live'!BK136-'check-Jul''26'!BG136)</f>
        <v/>
      </c>
      <c r="BH118" s="25" t="str">
        <f>IF('1. Live'!BL136='check-Jul''26'!BH136,"",'1. Live'!BL136-'check-Jul''26'!BH136)</f>
        <v/>
      </c>
      <c r="BI118" s="25" t="str">
        <f>IF('1. Live'!BM136='check-Jul''26'!BI136,"",'1. Live'!BM136-'check-Jul''26'!BI136)</f>
        <v/>
      </c>
      <c r="BJ118" s="25" t="str">
        <f>IF('1. Live'!BN136='check-Jul''26'!BJ136,"",'1. Live'!BN136-'check-Jul''26'!BJ136)</f>
        <v/>
      </c>
      <c r="BK118" s="25" t="str">
        <f>IF('1. Live'!BO136='check-Jul''26'!BK136,"",'1. Live'!BO136-'check-Jul''26'!BK136)</f>
        <v/>
      </c>
      <c r="BL118" s="25" t="str">
        <f>IF('1. Live'!BP136='check-Jul''26'!BL136,"",'1. Live'!BP136-'check-Jul''26'!BL136)</f>
        <v/>
      </c>
      <c r="BM118" s="25" t="str">
        <f>IF('1. Live'!BQ136='check-Jul''26'!BM136,"",'1. Live'!BQ136-'check-Jul''26'!BM136)</f>
        <v/>
      </c>
      <c r="BN118" s="25" t="str">
        <f>IF('1. Live'!BR136='check-Jul''26'!BN136,"",'1. Live'!BR136-'check-Jul''26'!BN136)</f>
        <v/>
      </c>
      <c r="BO118" s="25" t="str">
        <f>IF('1. Live'!BS136='check-Jul''26'!BO136,"",'1. Live'!BS136-'check-Jul''26'!BO136)</f>
        <v/>
      </c>
      <c r="BP118" s="25" t="str">
        <f>IF('1. Live'!BT136='check-Jul''26'!BP136,"",'1. Live'!BT136-'check-Jul''26'!BP136)</f>
        <v/>
      </c>
      <c r="BQ118" s="25" t="str">
        <f>IF('1. Live'!BU136='check-Jul''26'!BQ136,"",'1. Live'!BU136-'check-Jul''26'!BQ136)</f>
        <v/>
      </c>
      <c r="BR118" s="25" t="str">
        <f>IF('1. Live'!BV136='check-Jul''26'!BR136,"",'1. Live'!BV136-'check-Jul''26'!BR136)</f>
        <v/>
      </c>
      <c r="BS118" s="25" t="str">
        <f>IF('1. Live'!BW136='check-Jul''26'!BS136,"",'1. Live'!BW136-'check-Jul''26'!BS136)</f>
        <v/>
      </c>
      <c r="BT118" s="25" t="str">
        <f>IF('1. Live'!BX136='check-Jul''26'!BT136,"",'1. Live'!BX136-'check-Jul''26'!BT136)</f>
        <v/>
      </c>
      <c r="BU118" s="25" t="str">
        <f>IF('1. Live'!BY136='check-Jul''26'!BU136,"",'1. Live'!BY136-'check-Jul''26'!BU136)</f>
        <v/>
      </c>
      <c r="BV118" s="25" t="str">
        <f>IF('1. Live'!BZ136='check-Jul''26'!BV136,"",'1. Live'!BZ136-'check-Jul''26'!BV136)</f>
        <v/>
      </c>
      <c r="BW118" s="25" t="str">
        <f>IF('1. Live'!CA136='check-Jul''26'!BW136,"",'1. Live'!CA136-'check-Jul''26'!BW136)</f>
        <v/>
      </c>
      <c r="BX118" s="25" t="str">
        <f>IF('1. Live'!CB136='check-Jul''26'!BX136,"",'1. Live'!CB136-'check-Jul''26'!BX136)</f>
        <v/>
      </c>
      <c r="BY118" s="25" t="str">
        <f>IF('1. Live'!CC136='check-Jul''26'!BY136,"",'1. Live'!CC136-'check-Jul''26'!BY136)</f>
        <v/>
      </c>
      <c r="BZ118" s="25" t="str">
        <f>IF('1. Live'!CD136='check-Jul''26'!BZ136,"",'1. Live'!CD136-'check-Jul''26'!BZ136)</f>
        <v/>
      </c>
      <c r="CA118" s="25" t="str">
        <f>IF('1. Live'!CE136='check-Jul''26'!CA136,"",'1. Live'!CE136-'check-Jul''26'!CA136)</f>
        <v/>
      </c>
      <c r="CB118" s="25" t="str">
        <f>IF('1. Live'!CF136='check-Jul''26'!CB136,"",'1. Live'!CF136-'check-Jul''26'!CB136)</f>
        <v/>
      </c>
      <c r="CC118" s="25" t="str">
        <f>IF('1. Live'!CG136='check-Jul''26'!CC136,"",'1. Live'!CG136-'check-Jul''26'!CC136)</f>
        <v/>
      </c>
      <c r="CD118" s="25" t="str">
        <f>IF('1. Live'!CH136='check-Jul''26'!CD136,"",'1. Live'!CH136-'check-Jul''26'!CD136)</f>
        <v/>
      </c>
      <c r="CE118" s="25" t="str">
        <f>IF('1. Live'!CI136='check-Jul''26'!CE136,"",'1. Live'!CI136-'check-Jul''26'!CE136)</f>
        <v/>
      </c>
      <c r="CF118" s="25" t="str">
        <f>IF('1. Live'!CJ136='check-Jul''26'!CF136,"",'1. Live'!CJ136-'check-Jul''26'!CF136)</f>
        <v/>
      </c>
      <c r="CG118" s="25" t="str">
        <f>IF('1. Live'!CK136='check-Jul''26'!CG136,"",'1. Live'!CK136-'check-Jul''26'!CG136)</f>
        <v/>
      </c>
      <c r="CH118" s="25" t="str">
        <f>IF('1. Live'!CL136='check-Jul''26'!CH136,"",'1. Live'!CL136-'check-Jul''26'!CH136)</f>
        <v/>
      </c>
      <c r="CI118" s="25" t="str">
        <f>IF('1. Live'!CM136='check-Jul''26'!CI136,"",'1. Live'!CM136-'check-Jul''26'!CI136)</f>
        <v/>
      </c>
      <c r="CJ118" s="25" t="str">
        <f>IF('1. Live'!CN136='check-Jul''26'!CJ136,"",'1. Live'!CN136-'check-Jul''26'!CJ136)</f>
        <v/>
      </c>
      <c r="CK118" s="25" t="str">
        <f>IF('1. Live'!CO136='check-Jul''26'!CK136,"",'1. Live'!CO136-'check-Jul''26'!CK136)</f>
        <v/>
      </c>
      <c r="CL118" s="25" t="str">
        <f>IF('1. Live'!CP136='check-Jul''26'!CL136,"",'1. Live'!CP136-'check-Jul''26'!CL136)</f>
        <v/>
      </c>
      <c r="CM118" s="25" t="str">
        <f>IF('1. Live'!CQ136='check-Jul''26'!CM136,"",'1. Live'!CQ136-'check-Jul''26'!CM136)</f>
        <v/>
      </c>
      <c r="CN118" s="25" t="str">
        <f>IF('1. Live'!CR136='check-Jul''26'!CN136,"",'1. Live'!CR136-'check-Jul''26'!CN136)</f>
        <v/>
      </c>
      <c r="CO118" s="25" t="str">
        <f>IF('1. Live'!CS136='check-Jul''26'!CO136,"",'1. Live'!CS136-'check-Jul''26'!CO136)</f>
        <v/>
      </c>
      <c r="CP118" s="25" t="str">
        <f>IF('1. Live'!CT136='check-Jul''26'!CP136,"",'1. Live'!CT136-'check-Jul''26'!CP136)</f>
        <v/>
      </c>
      <c r="CQ118" s="25" t="str">
        <f>IF('1. Live'!CU136='check-Jul''26'!CQ136,"",'1. Live'!CU136-'check-Jul''26'!CQ136)</f>
        <v/>
      </c>
      <c r="CR118" s="25" t="str">
        <f>IF('1. Live'!CV136='check-Jul''26'!CR136,"",'1. Live'!CV136-'check-Jul''26'!CR136)</f>
        <v/>
      </c>
      <c r="CS118" s="25" t="str">
        <f>IF('1. Live'!CW136='check-Jul''26'!CS136,"",'1. Live'!CW136-'check-Jul''26'!CS136)</f>
        <v/>
      </c>
      <c r="CT118" s="25" t="str">
        <f>IF('1. Live'!CX136='check-Jul''26'!CT136,"",'1. Live'!CX136-'check-Jul''26'!CT136)</f>
        <v/>
      </c>
      <c r="CU118" s="25" t="str">
        <f>IF('1. Live'!CY136='check-Jul''26'!CU136,"",'1. Live'!CY136-'check-Jul''26'!CU136)</f>
        <v/>
      </c>
      <c r="CV118" s="25" t="str">
        <f>IF('1. Live'!CZ136='check-Jul''26'!CV136,"",'1. Live'!CZ136-'check-Jul''26'!CV136)</f>
        <v/>
      </c>
    </row>
    <row r="119" spans="17:100" x14ac:dyDescent="0.25">
      <c r="Q119" s="26" t="str">
        <f>IF('1. Live'!N137='check-Jul''26'!I137,"",'1. Live'!N137-'check-Jul''26'!I137)</f>
        <v/>
      </c>
      <c r="R119" s="26" t="str">
        <f>IF('1. Live'!O137='check-Jul''26'!J137,"",'1. Live'!O137-'check-Jul''26'!J137)</f>
        <v/>
      </c>
      <c r="S119" s="26" t="str">
        <f>IF('1. Live'!P137='check-Jul''26'!K137,"",'1. Live'!P137-'check-Jul''26'!K137)</f>
        <v/>
      </c>
      <c r="T119" s="26" t="str">
        <f>IF('1. Live'!Q137='check-Jul''26'!L137,"",'1. Live'!Q137-'check-Jul''26'!L137)</f>
        <v/>
      </c>
      <c r="U119" s="80" t="str">
        <f>IF('1. Live'!R137='check-Jul''26'!M137,"",'1. Live'!R137-'check-Jul''26'!M137)</f>
        <v/>
      </c>
      <c r="V119" s="26" t="str">
        <f>IF('1. Live'!S137='check-Jul''26'!N137,"",'1. Live'!S137-'check-Jul''26'!N137)</f>
        <v/>
      </c>
      <c r="W119" s="25" t="str">
        <f>IF('1. Live'!T137='check-Jul''26'!O137,"",'1. Live'!T137-'check-Jul''26'!O137)</f>
        <v/>
      </c>
      <c r="X119" s="25" t="str">
        <f>IF('1. Live'!U137='check-Jul''26'!Q137,"",'1. Live'!U137-'check-Jul''26'!Q137)</f>
        <v/>
      </c>
      <c r="Y119" s="25" t="str">
        <f>IF('1. Live'!V137='check-Jul''26'!R137,"",'1. Live'!V137-'check-Jul''26'!R137)</f>
        <v/>
      </c>
      <c r="Z119" s="25" t="str">
        <f>IF('1. Live'!W137='check-Jul''26'!S137,"",'1. Live'!W137-'check-Jul''26'!S137)</f>
        <v/>
      </c>
      <c r="AA119" s="25" t="str">
        <f>IF('1. Live'!X137='check-Jul''26'!T137,"",'1. Live'!X137-'check-Jul''26'!T137)</f>
        <v/>
      </c>
      <c r="AB119" s="25" t="str">
        <f>IF('1. Live'!AF137='check-Jul''26'!AB137,"",'1. Live'!AF137-'check-Jul''26'!AB137)</f>
        <v/>
      </c>
      <c r="AC119" s="25" t="str">
        <f>IF('1. Live'!AG137='check-Jul''26'!AC137,"",'1. Live'!AG137-'check-Jul''26'!AC137)</f>
        <v/>
      </c>
      <c r="AD119" s="25" t="str">
        <f>IF('1. Live'!AH137='check-Jul''26'!AD137,"",'1. Live'!AH137-'check-Jul''26'!AD137)</f>
        <v/>
      </c>
      <c r="AE119" s="25" t="str">
        <f>IF('1. Live'!AI137='check-Jul''26'!AE137,"",'1. Live'!AI137-'check-Jul''26'!AE137)</f>
        <v/>
      </c>
      <c r="AF119" s="25" t="str">
        <f>IF('1. Live'!AJ137='check-Jul''26'!AF137,"",'1. Live'!AJ137-'check-Jul''26'!AF137)</f>
        <v/>
      </c>
      <c r="AG119" s="25" t="str">
        <f>IF('1. Live'!AK137='check-Jul''26'!AG137,"",'1. Live'!AK137-'check-Jul''26'!AG137)</f>
        <v/>
      </c>
      <c r="AH119" s="25" t="str">
        <f>IF('1. Live'!AL137='check-Jul''26'!AH137,"",'1. Live'!AL137-'check-Jul''26'!AH137)</f>
        <v/>
      </c>
      <c r="AI119" s="25" t="str">
        <f>IF('1. Live'!AM137='check-Jul''26'!AI137,"",'1. Live'!AM137-'check-Jul''26'!AI137)</f>
        <v/>
      </c>
      <c r="AJ119" s="25" t="str">
        <f>IF('1. Live'!AN137='check-Jul''26'!AJ137,"",'1. Live'!AN137-'check-Jul''26'!AJ137)</f>
        <v/>
      </c>
      <c r="AK119" s="25" t="str">
        <f>IF('1. Live'!AO137='check-Jul''26'!AK137,"",'1. Live'!AO137-'check-Jul''26'!AK137)</f>
        <v/>
      </c>
      <c r="AL119" s="25" t="str">
        <f>IF('1. Live'!AP137='check-Jul''26'!AL137,"",'1. Live'!AP137-'check-Jul''26'!AL137)</f>
        <v/>
      </c>
      <c r="AM119" s="25" t="str">
        <f>IF('1. Live'!AQ137='check-Jul''26'!AM137,"",'1. Live'!AQ137-'check-Jul''26'!AM137)</f>
        <v/>
      </c>
      <c r="AN119" s="25" t="str">
        <f>IF('1. Live'!AR137='check-Jul''26'!AN137,"",'1. Live'!AR137-'check-Jul''26'!AN137)</f>
        <v/>
      </c>
      <c r="AO119" s="25" t="str">
        <f>IF('1. Live'!AS137='check-Jul''26'!AO137,"",'1. Live'!AS137-'check-Jul''26'!AO137)</f>
        <v/>
      </c>
      <c r="AP119" s="25" t="str">
        <f>IF('1. Live'!AT137='check-Jul''26'!AP137,"",'1. Live'!AT137-'check-Jul''26'!AP137)</f>
        <v/>
      </c>
      <c r="AQ119" s="25" t="str">
        <f>IF('1. Live'!AU137='check-Jul''26'!AQ137,"",'1. Live'!AU137-'check-Jul''26'!AQ137)</f>
        <v/>
      </c>
      <c r="AR119" s="25" t="str">
        <f>IF('1. Live'!AV137='check-Jul''26'!AR137,"",'1. Live'!AV137-'check-Jul''26'!AR137)</f>
        <v/>
      </c>
      <c r="AS119" s="25" t="str">
        <f>IF('1. Live'!AW137='check-Jul''26'!AS137,"",'1. Live'!AW137-'check-Jul''26'!AS137)</f>
        <v/>
      </c>
      <c r="AT119" s="25" t="str">
        <f>IF('1. Live'!AX137='check-Jul''26'!AT137,"",'1. Live'!AX137-'check-Jul''26'!AT137)</f>
        <v/>
      </c>
      <c r="AU119" s="25" t="str">
        <f>IF('1. Live'!AY137='check-Jul''26'!AU137,"",'1. Live'!AY137-'check-Jul''26'!AU137)</f>
        <v/>
      </c>
      <c r="AV119" s="25" t="str">
        <f>IF('1. Live'!AZ137='check-Jul''26'!AV137,"",'1. Live'!AZ137-'check-Jul''26'!AV137)</f>
        <v/>
      </c>
      <c r="AW119" s="25" t="str">
        <f>IF('1. Live'!BA137='check-Jul''26'!AW137,"",'1. Live'!BA137-'check-Jul''26'!AW137)</f>
        <v/>
      </c>
      <c r="AX119" s="25" t="str">
        <f>IF('1. Live'!BB137='check-Jul''26'!AX137,"",'1. Live'!BB137-'check-Jul''26'!AX137)</f>
        <v/>
      </c>
      <c r="AY119" s="25" t="str">
        <f>IF('1. Live'!BC137='check-Jul''26'!AY137,"",'1. Live'!BC137-'check-Jul''26'!AY137)</f>
        <v/>
      </c>
      <c r="AZ119" s="25" t="str">
        <f>IF('1. Live'!BD137='check-Jul''26'!AZ137,"",'1. Live'!BD137-'check-Jul''26'!AZ137)</f>
        <v/>
      </c>
      <c r="BA119" s="25" t="str">
        <f>IF('1. Live'!BE137='check-Jul''26'!BA137,"",'1. Live'!BE137-'check-Jul''26'!BA137)</f>
        <v/>
      </c>
      <c r="BB119" s="25" t="str">
        <f>IF('1. Live'!BF137='check-Jul''26'!BB137,"",'1. Live'!BF137-'check-Jul''26'!BB137)</f>
        <v/>
      </c>
      <c r="BC119" s="25" t="str">
        <f>IF('1. Live'!BG137='check-Jul''26'!BC137,"",'1. Live'!BG137-'check-Jul''26'!BC137)</f>
        <v/>
      </c>
      <c r="BD119" s="25" t="str">
        <f>IF('1. Live'!BH137='check-Jul''26'!BD137,"",'1. Live'!BH137-'check-Jul''26'!BD137)</f>
        <v/>
      </c>
      <c r="BE119" s="25" t="str">
        <f>IF('1. Live'!BI137='check-Jul''26'!BE137,"",'1. Live'!BI137-'check-Jul''26'!BE137)</f>
        <v/>
      </c>
      <c r="BF119" s="25" t="str">
        <f>IF('1. Live'!BJ137='check-Jul''26'!BF137,"",'1. Live'!BJ137-'check-Jul''26'!BF137)</f>
        <v/>
      </c>
      <c r="BG119" s="25" t="str">
        <f>IF('1. Live'!BK137='check-Jul''26'!BG137,"",'1. Live'!BK137-'check-Jul''26'!BG137)</f>
        <v/>
      </c>
      <c r="BH119" s="25" t="str">
        <f>IF('1. Live'!BL137='check-Jul''26'!BH137,"",'1. Live'!BL137-'check-Jul''26'!BH137)</f>
        <v/>
      </c>
      <c r="BI119" s="25" t="str">
        <f>IF('1. Live'!BM137='check-Jul''26'!BI137,"",'1. Live'!BM137-'check-Jul''26'!BI137)</f>
        <v/>
      </c>
      <c r="BJ119" s="25" t="str">
        <f>IF('1. Live'!BN137='check-Jul''26'!BJ137,"",'1. Live'!BN137-'check-Jul''26'!BJ137)</f>
        <v/>
      </c>
      <c r="BK119" s="25" t="str">
        <f>IF('1. Live'!BO137='check-Jul''26'!BK137,"",'1. Live'!BO137-'check-Jul''26'!BK137)</f>
        <v/>
      </c>
      <c r="BL119" s="25" t="str">
        <f>IF('1. Live'!BP137='check-Jul''26'!BL137,"",'1. Live'!BP137-'check-Jul''26'!BL137)</f>
        <v/>
      </c>
      <c r="BM119" s="25" t="str">
        <f>IF('1. Live'!BQ137='check-Jul''26'!BM137,"",'1. Live'!BQ137-'check-Jul''26'!BM137)</f>
        <v/>
      </c>
      <c r="BN119" s="25" t="str">
        <f>IF('1. Live'!BR137='check-Jul''26'!BN137,"",'1. Live'!BR137-'check-Jul''26'!BN137)</f>
        <v/>
      </c>
      <c r="BO119" s="25" t="str">
        <f>IF('1. Live'!BS137='check-Jul''26'!BO137,"",'1. Live'!BS137-'check-Jul''26'!BO137)</f>
        <v/>
      </c>
      <c r="BP119" s="25" t="str">
        <f>IF('1. Live'!BT137='check-Jul''26'!BP137,"",'1. Live'!BT137-'check-Jul''26'!BP137)</f>
        <v/>
      </c>
      <c r="BQ119" s="25" t="str">
        <f>IF('1. Live'!BU137='check-Jul''26'!BQ137,"",'1. Live'!BU137-'check-Jul''26'!BQ137)</f>
        <v/>
      </c>
      <c r="BR119" s="25" t="str">
        <f>IF('1. Live'!BV137='check-Jul''26'!BR137,"",'1. Live'!BV137-'check-Jul''26'!BR137)</f>
        <v/>
      </c>
      <c r="BS119" s="25" t="str">
        <f>IF('1. Live'!BW137='check-Jul''26'!BS137,"",'1. Live'!BW137-'check-Jul''26'!BS137)</f>
        <v/>
      </c>
      <c r="BT119" s="25" t="str">
        <f>IF('1. Live'!BX137='check-Jul''26'!BT137,"",'1. Live'!BX137-'check-Jul''26'!BT137)</f>
        <v/>
      </c>
      <c r="BU119" s="25" t="str">
        <f>IF('1. Live'!BY137='check-Jul''26'!BU137,"",'1. Live'!BY137-'check-Jul''26'!BU137)</f>
        <v/>
      </c>
      <c r="BV119" s="25" t="str">
        <f>IF('1. Live'!BZ137='check-Jul''26'!BV137,"",'1. Live'!BZ137-'check-Jul''26'!BV137)</f>
        <v/>
      </c>
      <c r="BW119" s="25" t="str">
        <f>IF('1. Live'!CA137='check-Jul''26'!BW137,"",'1. Live'!CA137-'check-Jul''26'!BW137)</f>
        <v/>
      </c>
      <c r="BX119" s="25" t="str">
        <f>IF('1. Live'!CB137='check-Jul''26'!BX137,"",'1. Live'!CB137-'check-Jul''26'!BX137)</f>
        <v/>
      </c>
      <c r="BY119" s="25" t="str">
        <f>IF('1. Live'!CC137='check-Jul''26'!BY137,"",'1. Live'!CC137-'check-Jul''26'!BY137)</f>
        <v/>
      </c>
      <c r="BZ119" s="25" t="str">
        <f>IF('1. Live'!CD137='check-Jul''26'!BZ137,"",'1. Live'!CD137-'check-Jul''26'!BZ137)</f>
        <v/>
      </c>
      <c r="CA119" s="25" t="str">
        <f>IF('1. Live'!CE137='check-Jul''26'!CA137,"",'1. Live'!CE137-'check-Jul''26'!CA137)</f>
        <v/>
      </c>
      <c r="CB119" s="25" t="str">
        <f>IF('1. Live'!CF137='check-Jul''26'!CB137,"",'1. Live'!CF137-'check-Jul''26'!CB137)</f>
        <v/>
      </c>
      <c r="CC119" s="25" t="str">
        <f>IF('1. Live'!CG137='check-Jul''26'!CC137,"",'1. Live'!CG137-'check-Jul''26'!CC137)</f>
        <v/>
      </c>
      <c r="CD119" s="25" t="str">
        <f>IF('1. Live'!CH137='check-Jul''26'!CD137,"",'1. Live'!CH137-'check-Jul''26'!CD137)</f>
        <v/>
      </c>
      <c r="CE119" s="25" t="str">
        <f>IF('1. Live'!CI137='check-Jul''26'!CE137,"",'1. Live'!CI137-'check-Jul''26'!CE137)</f>
        <v/>
      </c>
      <c r="CF119" s="25" t="str">
        <f>IF('1. Live'!CJ137='check-Jul''26'!CF137,"",'1. Live'!CJ137-'check-Jul''26'!CF137)</f>
        <v/>
      </c>
      <c r="CG119" s="25" t="str">
        <f>IF('1. Live'!CK137='check-Jul''26'!CG137,"",'1. Live'!CK137-'check-Jul''26'!CG137)</f>
        <v/>
      </c>
      <c r="CH119" s="25" t="str">
        <f>IF('1. Live'!CL137='check-Jul''26'!CH137,"",'1. Live'!CL137-'check-Jul''26'!CH137)</f>
        <v/>
      </c>
      <c r="CI119" s="25" t="str">
        <f>IF('1. Live'!CM137='check-Jul''26'!CI137,"",'1. Live'!CM137-'check-Jul''26'!CI137)</f>
        <v/>
      </c>
      <c r="CJ119" s="25" t="str">
        <f>IF('1. Live'!CN137='check-Jul''26'!CJ137,"",'1. Live'!CN137-'check-Jul''26'!CJ137)</f>
        <v/>
      </c>
      <c r="CK119" s="25" t="str">
        <f>IF('1. Live'!CO137='check-Jul''26'!CK137,"",'1. Live'!CO137-'check-Jul''26'!CK137)</f>
        <v/>
      </c>
      <c r="CL119" s="25" t="str">
        <f>IF('1. Live'!CP137='check-Jul''26'!CL137,"",'1. Live'!CP137-'check-Jul''26'!CL137)</f>
        <v/>
      </c>
      <c r="CM119" s="25" t="str">
        <f>IF('1. Live'!CQ137='check-Jul''26'!CM137,"",'1. Live'!CQ137-'check-Jul''26'!CM137)</f>
        <v/>
      </c>
      <c r="CN119" s="25" t="str">
        <f>IF('1. Live'!CR137='check-Jul''26'!CN137,"",'1. Live'!CR137-'check-Jul''26'!CN137)</f>
        <v/>
      </c>
      <c r="CO119" s="25" t="str">
        <f>IF('1. Live'!CS137='check-Jul''26'!CO137,"",'1. Live'!CS137-'check-Jul''26'!CO137)</f>
        <v/>
      </c>
      <c r="CP119" s="25" t="str">
        <f>IF('1. Live'!CT137='check-Jul''26'!CP137,"",'1. Live'!CT137-'check-Jul''26'!CP137)</f>
        <v/>
      </c>
      <c r="CQ119" s="25" t="str">
        <f>IF('1. Live'!CU137='check-Jul''26'!CQ137,"",'1. Live'!CU137-'check-Jul''26'!CQ137)</f>
        <v/>
      </c>
      <c r="CR119" s="25" t="str">
        <f>IF('1. Live'!CV137='check-Jul''26'!CR137,"",'1. Live'!CV137-'check-Jul''26'!CR137)</f>
        <v/>
      </c>
      <c r="CS119" s="25" t="str">
        <f>IF('1. Live'!CW137='check-Jul''26'!CS137,"",'1. Live'!CW137-'check-Jul''26'!CS137)</f>
        <v/>
      </c>
      <c r="CT119" s="25" t="str">
        <f>IF('1. Live'!CX137='check-Jul''26'!CT137,"",'1. Live'!CX137-'check-Jul''26'!CT137)</f>
        <v/>
      </c>
      <c r="CU119" s="25" t="str">
        <f>IF('1. Live'!CY137='check-Jul''26'!CU137,"",'1. Live'!CY137-'check-Jul''26'!CU137)</f>
        <v/>
      </c>
      <c r="CV119" s="25" t="str">
        <f>IF('1. Live'!CZ137='check-Jul''26'!CV137,"",'1. Live'!CZ137-'check-Jul''26'!CV137)</f>
        <v/>
      </c>
    </row>
    <row r="120" spans="17:100" x14ac:dyDescent="0.25">
      <c r="Q120" s="26" t="str">
        <f>IF('1. Live'!N138='check-Jul''26'!I138,"",'1. Live'!N138-'check-Jul''26'!I138)</f>
        <v/>
      </c>
      <c r="R120" s="26" t="str">
        <f>IF('1. Live'!O138='check-Jul''26'!J138,"",'1. Live'!O138-'check-Jul''26'!J138)</f>
        <v/>
      </c>
      <c r="S120" s="26" t="str">
        <f>IF('1. Live'!P138='check-Jul''26'!K138,"",'1. Live'!P138-'check-Jul''26'!K138)</f>
        <v/>
      </c>
      <c r="T120" s="26" t="str">
        <f>IF('1. Live'!Q138='check-Jul''26'!L138,"",'1. Live'!Q138-'check-Jul''26'!L138)</f>
        <v/>
      </c>
      <c r="U120" s="80" t="str">
        <f>IF('1. Live'!R138='check-Jul''26'!M138,"",'1. Live'!R138-'check-Jul''26'!M138)</f>
        <v/>
      </c>
      <c r="V120" s="26" t="str">
        <f>IF('1. Live'!S138='check-Jul''26'!N138,"",'1. Live'!S138-'check-Jul''26'!N138)</f>
        <v/>
      </c>
      <c r="W120" s="25" t="str">
        <f>IF('1. Live'!T138='check-Jul''26'!O138,"",'1. Live'!T138-'check-Jul''26'!O138)</f>
        <v/>
      </c>
      <c r="X120" s="25" t="str">
        <f>IF('1. Live'!U138='check-Jul''26'!Q138,"",'1. Live'!U138-'check-Jul''26'!Q138)</f>
        <v/>
      </c>
      <c r="Y120" s="25" t="str">
        <f>IF('1. Live'!V138='check-Jul''26'!R138,"",'1. Live'!V138-'check-Jul''26'!R138)</f>
        <v/>
      </c>
      <c r="Z120" s="25" t="str">
        <f>IF('1. Live'!W138='check-Jul''26'!S138,"",'1. Live'!W138-'check-Jul''26'!S138)</f>
        <v/>
      </c>
      <c r="AA120" s="25" t="str">
        <f>IF('1. Live'!X138='check-Jul''26'!T138,"",'1. Live'!X138-'check-Jul''26'!T138)</f>
        <v/>
      </c>
      <c r="AB120" s="25" t="str">
        <f>IF('1. Live'!AF138='check-Jul''26'!AB138,"",'1. Live'!AF138-'check-Jul''26'!AB138)</f>
        <v/>
      </c>
      <c r="AC120" s="25" t="str">
        <f>IF('1. Live'!AG138='check-Jul''26'!AC138,"",'1. Live'!AG138-'check-Jul''26'!AC138)</f>
        <v/>
      </c>
      <c r="AD120" s="25" t="str">
        <f>IF('1. Live'!AH138='check-Jul''26'!AD138,"",'1. Live'!AH138-'check-Jul''26'!AD138)</f>
        <v/>
      </c>
      <c r="AE120" s="25" t="str">
        <f>IF('1. Live'!AI138='check-Jul''26'!AE138,"",'1. Live'!AI138-'check-Jul''26'!AE138)</f>
        <v/>
      </c>
      <c r="AF120" s="25" t="str">
        <f>IF('1. Live'!AJ138='check-Jul''26'!AF138,"",'1. Live'!AJ138-'check-Jul''26'!AF138)</f>
        <v/>
      </c>
      <c r="AG120" s="25" t="str">
        <f>IF('1. Live'!AK138='check-Jul''26'!AG138,"",'1. Live'!AK138-'check-Jul''26'!AG138)</f>
        <v/>
      </c>
      <c r="AH120" s="25" t="str">
        <f>IF('1. Live'!AL138='check-Jul''26'!AH138,"",'1. Live'!AL138-'check-Jul''26'!AH138)</f>
        <v/>
      </c>
      <c r="AI120" s="25" t="str">
        <f>IF('1. Live'!AM138='check-Jul''26'!AI138,"",'1. Live'!AM138-'check-Jul''26'!AI138)</f>
        <v/>
      </c>
      <c r="AJ120" s="25" t="str">
        <f>IF('1. Live'!AN138='check-Jul''26'!AJ138,"",'1. Live'!AN138-'check-Jul''26'!AJ138)</f>
        <v/>
      </c>
      <c r="AK120" s="25" t="str">
        <f>IF('1. Live'!AO138='check-Jul''26'!AK138,"",'1. Live'!AO138-'check-Jul''26'!AK138)</f>
        <v/>
      </c>
      <c r="AL120" s="25" t="str">
        <f>IF('1. Live'!AP138='check-Jul''26'!AL138,"",'1. Live'!AP138-'check-Jul''26'!AL138)</f>
        <v/>
      </c>
      <c r="AM120" s="25" t="str">
        <f>IF('1. Live'!AQ138='check-Jul''26'!AM138,"",'1. Live'!AQ138-'check-Jul''26'!AM138)</f>
        <v/>
      </c>
      <c r="AN120" s="25" t="str">
        <f>IF('1. Live'!AR138='check-Jul''26'!AN138,"",'1. Live'!AR138-'check-Jul''26'!AN138)</f>
        <v/>
      </c>
      <c r="AO120" s="25" t="str">
        <f>IF('1. Live'!AS138='check-Jul''26'!AO138,"",'1. Live'!AS138-'check-Jul''26'!AO138)</f>
        <v/>
      </c>
      <c r="AP120" s="25" t="str">
        <f>IF('1. Live'!AT138='check-Jul''26'!AP138,"",'1. Live'!AT138-'check-Jul''26'!AP138)</f>
        <v/>
      </c>
      <c r="AQ120" s="25" t="str">
        <f>IF('1. Live'!AU138='check-Jul''26'!AQ138,"",'1. Live'!AU138-'check-Jul''26'!AQ138)</f>
        <v/>
      </c>
      <c r="AR120" s="25" t="str">
        <f>IF('1. Live'!AV138='check-Jul''26'!AR138,"",'1. Live'!AV138-'check-Jul''26'!AR138)</f>
        <v/>
      </c>
      <c r="AS120" s="25" t="str">
        <f>IF('1. Live'!AW138='check-Jul''26'!AS138,"",'1. Live'!AW138-'check-Jul''26'!AS138)</f>
        <v/>
      </c>
      <c r="AT120" s="25" t="str">
        <f>IF('1. Live'!AX138='check-Jul''26'!AT138,"",'1. Live'!AX138-'check-Jul''26'!AT138)</f>
        <v/>
      </c>
      <c r="AU120" s="25" t="str">
        <f>IF('1. Live'!AY138='check-Jul''26'!AU138,"",'1. Live'!AY138-'check-Jul''26'!AU138)</f>
        <v/>
      </c>
      <c r="AV120" s="25" t="str">
        <f>IF('1. Live'!AZ138='check-Jul''26'!AV138,"",'1. Live'!AZ138-'check-Jul''26'!AV138)</f>
        <v/>
      </c>
      <c r="AW120" s="25" t="str">
        <f>IF('1. Live'!BA138='check-Jul''26'!AW138,"",'1. Live'!BA138-'check-Jul''26'!AW138)</f>
        <v/>
      </c>
      <c r="AX120" s="25" t="str">
        <f>IF('1. Live'!BB138='check-Jul''26'!AX138,"",'1. Live'!BB138-'check-Jul''26'!AX138)</f>
        <v/>
      </c>
      <c r="AY120" s="25" t="str">
        <f>IF('1. Live'!BC138='check-Jul''26'!AY138,"",'1. Live'!BC138-'check-Jul''26'!AY138)</f>
        <v/>
      </c>
      <c r="AZ120" s="25" t="str">
        <f>IF('1. Live'!BD138='check-Jul''26'!AZ138,"",'1. Live'!BD138-'check-Jul''26'!AZ138)</f>
        <v/>
      </c>
      <c r="BA120" s="25" t="str">
        <f>IF('1. Live'!BE138='check-Jul''26'!BA138,"",'1. Live'!BE138-'check-Jul''26'!BA138)</f>
        <v/>
      </c>
      <c r="BB120" s="25" t="str">
        <f>IF('1. Live'!BF138='check-Jul''26'!BB138,"",'1. Live'!BF138-'check-Jul''26'!BB138)</f>
        <v/>
      </c>
      <c r="BC120" s="25" t="str">
        <f>IF('1. Live'!BG138='check-Jul''26'!BC138,"",'1. Live'!BG138-'check-Jul''26'!BC138)</f>
        <v/>
      </c>
      <c r="BD120" s="25" t="str">
        <f>IF('1. Live'!BH138='check-Jul''26'!BD138,"",'1. Live'!BH138-'check-Jul''26'!BD138)</f>
        <v/>
      </c>
      <c r="BE120" s="25" t="str">
        <f>IF('1. Live'!BI138='check-Jul''26'!BE138,"",'1. Live'!BI138-'check-Jul''26'!BE138)</f>
        <v/>
      </c>
      <c r="BF120" s="25" t="str">
        <f>IF('1. Live'!BJ138='check-Jul''26'!BF138,"",'1. Live'!BJ138-'check-Jul''26'!BF138)</f>
        <v/>
      </c>
      <c r="BG120" s="25" t="str">
        <f>IF('1. Live'!BK138='check-Jul''26'!BG138,"",'1. Live'!BK138-'check-Jul''26'!BG138)</f>
        <v/>
      </c>
      <c r="BH120" s="25" t="str">
        <f>IF('1. Live'!BL138='check-Jul''26'!BH138,"",'1. Live'!BL138-'check-Jul''26'!BH138)</f>
        <v/>
      </c>
      <c r="BI120" s="25" t="str">
        <f>IF('1. Live'!BM138='check-Jul''26'!BI138,"",'1. Live'!BM138-'check-Jul''26'!BI138)</f>
        <v/>
      </c>
      <c r="BJ120" s="25" t="str">
        <f>IF('1. Live'!BN138='check-Jul''26'!BJ138,"",'1. Live'!BN138-'check-Jul''26'!BJ138)</f>
        <v/>
      </c>
      <c r="BK120" s="25" t="str">
        <f>IF('1. Live'!BO138='check-Jul''26'!BK138,"",'1. Live'!BO138-'check-Jul''26'!BK138)</f>
        <v/>
      </c>
      <c r="BL120" s="25" t="str">
        <f>IF('1. Live'!BP138='check-Jul''26'!BL138,"",'1. Live'!BP138-'check-Jul''26'!BL138)</f>
        <v/>
      </c>
      <c r="BM120" s="25" t="str">
        <f>IF('1. Live'!BQ138='check-Jul''26'!BM138,"",'1. Live'!BQ138-'check-Jul''26'!BM138)</f>
        <v/>
      </c>
      <c r="BN120" s="25" t="str">
        <f>IF('1. Live'!BR138='check-Jul''26'!BN138,"",'1. Live'!BR138-'check-Jul''26'!BN138)</f>
        <v/>
      </c>
      <c r="BO120" s="25" t="str">
        <f>IF('1. Live'!BS138='check-Jul''26'!BO138,"",'1. Live'!BS138-'check-Jul''26'!BO138)</f>
        <v/>
      </c>
      <c r="BP120" s="25" t="str">
        <f>IF('1. Live'!BT138='check-Jul''26'!BP138,"",'1. Live'!BT138-'check-Jul''26'!BP138)</f>
        <v/>
      </c>
      <c r="BQ120" s="25" t="str">
        <f>IF('1. Live'!BU138='check-Jul''26'!BQ138,"",'1. Live'!BU138-'check-Jul''26'!BQ138)</f>
        <v/>
      </c>
      <c r="BR120" s="25" t="str">
        <f>IF('1. Live'!BV138='check-Jul''26'!BR138,"",'1. Live'!BV138-'check-Jul''26'!BR138)</f>
        <v/>
      </c>
      <c r="BS120" s="25" t="str">
        <f>IF('1. Live'!BW138='check-Jul''26'!BS138,"",'1. Live'!BW138-'check-Jul''26'!BS138)</f>
        <v/>
      </c>
      <c r="BT120" s="25" t="str">
        <f>IF('1. Live'!BX138='check-Jul''26'!BT138,"",'1. Live'!BX138-'check-Jul''26'!BT138)</f>
        <v/>
      </c>
      <c r="BU120" s="25" t="str">
        <f>IF('1. Live'!BY138='check-Jul''26'!BU138,"",'1. Live'!BY138-'check-Jul''26'!BU138)</f>
        <v/>
      </c>
      <c r="BV120" s="25" t="str">
        <f>IF('1. Live'!BZ138='check-Jul''26'!BV138,"",'1. Live'!BZ138-'check-Jul''26'!BV138)</f>
        <v/>
      </c>
      <c r="BW120" s="25" t="str">
        <f>IF('1. Live'!CA138='check-Jul''26'!BW138,"",'1. Live'!CA138-'check-Jul''26'!BW138)</f>
        <v/>
      </c>
      <c r="BX120" s="25" t="str">
        <f>IF('1. Live'!CB138='check-Jul''26'!BX138,"",'1. Live'!CB138-'check-Jul''26'!BX138)</f>
        <v/>
      </c>
      <c r="BY120" s="25" t="str">
        <f>IF('1. Live'!CC138='check-Jul''26'!BY138,"",'1. Live'!CC138-'check-Jul''26'!BY138)</f>
        <v/>
      </c>
      <c r="BZ120" s="25" t="str">
        <f>IF('1. Live'!CD138='check-Jul''26'!BZ138,"",'1. Live'!CD138-'check-Jul''26'!BZ138)</f>
        <v/>
      </c>
      <c r="CA120" s="25" t="str">
        <f>IF('1. Live'!CE138='check-Jul''26'!CA138,"",'1. Live'!CE138-'check-Jul''26'!CA138)</f>
        <v/>
      </c>
      <c r="CB120" s="25" t="str">
        <f>IF('1. Live'!CF138='check-Jul''26'!CB138,"",'1. Live'!CF138-'check-Jul''26'!CB138)</f>
        <v/>
      </c>
      <c r="CC120" s="25" t="str">
        <f>IF('1. Live'!CG138='check-Jul''26'!CC138,"",'1. Live'!CG138-'check-Jul''26'!CC138)</f>
        <v/>
      </c>
      <c r="CD120" s="25" t="str">
        <f>IF('1. Live'!CH138='check-Jul''26'!CD138,"",'1. Live'!CH138-'check-Jul''26'!CD138)</f>
        <v/>
      </c>
      <c r="CE120" s="25" t="str">
        <f>IF('1. Live'!CI138='check-Jul''26'!CE138,"",'1. Live'!CI138-'check-Jul''26'!CE138)</f>
        <v/>
      </c>
      <c r="CF120" s="25" t="str">
        <f>IF('1. Live'!CJ138='check-Jul''26'!CF138,"",'1. Live'!CJ138-'check-Jul''26'!CF138)</f>
        <v/>
      </c>
      <c r="CG120" s="25" t="str">
        <f>IF('1. Live'!CK138='check-Jul''26'!CG138,"",'1. Live'!CK138-'check-Jul''26'!CG138)</f>
        <v/>
      </c>
      <c r="CH120" s="25" t="str">
        <f>IF('1. Live'!CL138='check-Jul''26'!CH138,"",'1. Live'!CL138-'check-Jul''26'!CH138)</f>
        <v/>
      </c>
      <c r="CI120" s="25" t="str">
        <f>IF('1. Live'!CM138='check-Jul''26'!CI138,"",'1. Live'!CM138-'check-Jul''26'!CI138)</f>
        <v/>
      </c>
      <c r="CJ120" s="25" t="str">
        <f>IF('1. Live'!CN138='check-Jul''26'!CJ138,"",'1. Live'!CN138-'check-Jul''26'!CJ138)</f>
        <v/>
      </c>
      <c r="CK120" s="25" t="str">
        <f>IF('1. Live'!CO138='check-Jul''26'!CK138,"",'1. Live'!CO138-'check-Jul''26'!CK138)</f>
        <v/>
      </c>
      <c r="CL120" s="25" t="str">
        <f>IF('1. Live'!CP138='check-Jul''26'!CL138,"",'1. Live'!CP138-'check-Jul''26'!CL138)</f>
        <v/>
      </c>
      <c r="CM120" s="25" t="str">
        <f>IF('1. Live'!CQ138='check-Jul''26'!CM138,"",'1. Live'!CQ138-'check-Jul''26'!CM138)</f>
        <v/>
      </c>
      <c r="CN120" s="25" t="str">
        <f>IF('1. Live'!CR138='check-Jul''26'!CN138,"",'1. Live'!CR138-'check-Jul''26'!CN138)</f>
        <v/>
      </c>
      <c r="CO120" s="25" t="str">
        <f>IF('1. Live'!CS138='check-Jul''26'!CO138,"",'1. Live'!CS138-'check-Jul''26'!CO138)</f>
        <v/>
      </c>
      <c r="CP120" s="25" t="str">
        <f>IF('1. Live'!CT138='check-Jul''26'!CP138,"",'1. Live'!CT138-'check-Jul''26'!CP138)</f>
        <v/>
      </c>
      <c r="CQ120" s="25" t="str">
        <f>IF('1. Live'!CU138='check-Jul''26'!CQ138,"",'1. Live'!CU138-'check-Jul''26'!CQ138)</f>
        <v/>
      </c>
      <c r="CR120" s="25" t="str">
        <f>IF('1. Live'!CV138='check-Jul''26'!CR138,"",'1. Live'!CV138-'check-Jul''26'!CR138)</f>
        <v/>
      </c>
      <c r="CS120" s="25" t="str">
        <f>IF('1. Live'!CW138='check-Jul''26'!CS138,"",'1. Live'!CW138-'check-Jul''26'!CS138)</f>
        <v/>
      </c>
      <c r="CT120" s="25" t="str">
        <f>IF('1. Live'!CX138='check-Jul''26'!CT138,"",'1. Live'!CX138-'check-Jul''26'!CT138)</f>
        <v/>
      </c>
      <c r="CU120" s="25" t="str">
        <f>IF('1. Live'!CY138='check-Jul''26'!CU138,"",'1. Live'!CY138-'check-Jul''26'!CU138)</f>
        <v/>
      </c>
      <c r="CV120" s="25" t="str">
        <f>IF('1. Live'!CZ138='check-Jul''26'!CV138,"",'1. Live'!CZ138-'check-Jul''26'!CV138)</f>
        <v/>
      </c>
    </row>
    <row r="121" spans="17:100" x14ac:dyDescent="0.25">
      <c r="Q121" s="26" t="str">
        <f>IF('1. Live'!N139='check-Jul''26'!I139,"",'1. Live'!N139-'check-Jul''26'!I139)</f>
        <v/>
      </c>
      <c r="R121" s="26" t="str">
        <f>IF('1. Live'!O139='check-Jul''26'!J139,"",'1. Live'!O139-'check-Jul''26'!J139)</f>
        <v/>
      </c>
      <c r="S121" s="26" t="str">
        <f>IF('1. Live'!P139='check-Jul''26'!K139,"",'1. Live'!P139-'check-Jul''26'!K139)</f>
        <v/>
      </c>
      <c r="T121" s="26" t="str">
        <f>IF('1. Live'!Q139='check-Jul''26'!L139,"",'1. Live'!Q139-'check-Jul''26'!L139)</f>
        <v/>
      </c>
      <c r="U121" s="80" t="str">
        <f>IF('1. Live'!R139='check-Jul''26'!M139,"",'1. Live'!R139-'check-Jul''26'!M139)</f>
        <v/>
      </c>
      <c r="V121" s="26" t="str">
        <f>IF('1. Live'!S139='check-Jul''26'!N139,"",'1. Live'!S139-'check-Jul''26'!N139)</f>
        <v/>
      </c>
      <c r="W121" s="25" t="str">
        <f>IF('1. Live'!T139='check-Jul''26'!O139,"",'1. Live'!T139-'check-Jul''26'!O139)</f>
        <v/>
      </c>
      <c r="X121" s="25" t="str">
        <f>IF('1. Live'!U139='check-Jul''26'!Q139,"",'1. Live'!U139-'check-Jul''26'!Q139)</f>
        <v/>
      </c>
      <c r="Y121" s="25" t="str">
        <f>IF('1. Live'!V139='check-Jul''26'!R139,"",'1. Live'!V139-'check-Jul''26'!R139)</f>
        <v/>
      </c>
      <c r="Z121" s="25" t="str">
        <f>IF('1. Live'!W139='check-Jul''26'!S139,"",'1. Live'!W139-'check-Jul''26'!S139)</f>
        <v/>
      </c>
      <c r="AA121" s="25" t="str">
        <f>IF('1. Live'!X139='check-Jul''26'!T139,"",'1. Live'!X139-'check-Jul''26'!T139)</f>
        <v/>
      </c>
      <c r="AB121" s="25" t="str">
        <f>IF('1. Live'!AF139='check-Jul''26'!AB139,"",'1. Live'!AF139-'check-Jul''26'!AB139)</f>
        <v/>
      </c>
      <c r="AC121" s="25" t="str">
        <f>IF('1. Live'!AG139='check-Jul''26'!AC139,"",'1. Live'!AG139-'check-Jul''26'!AC139)</f>
        <v/>
      </c>
      <c r="AD121" s="25" t="str">
        <f>IF('1. Live'!AH139='check-Jul''26'!AD139,"",'1. Live'!AH139-'check-Jul''26'!AD139)</f>
        <v/>
      </c>
      <c r="AE121" s="25" t="str">
        <f>IF('1. Live'!AI139='check-Jul''26'!AE139,"",'1. Live'!AI139-'check-Jul''26'!AE139)</f>
        <v/>
      </c>
      <c r="AF121" s="25" t="str">
        <f>IF('1. Live'!AJ139='check-Jul''26'!AF139,"",'1. Live'!AJ139-'check-Jul''26'!AF139)</f>
        <v/>
      </c>
      <c r="AG121" s="25" t="str">
        <f>IF('1. Live'!AK139='check-Jul''26'!AG139,"",'1. Live'!AK139-'check-Jul''26'!AG139)</f>
        <v/>
      </c>
      <c r="AH121" s="25" t="str">
        <f>IF('1. Live'!AL139='check-Jul''26'!AH139,"",'1. Live'!AL139-'check-Jul''26'!AH139)</f>
        <v/>
      </c>
      <c r="AI121" s="25" t="str">
        <f>IF('1. Live'!AM139='check-Jul''26'!AI139,"",'1. Live'!AM139-'check-Jul''26'!AI139)</f>
        <v/>
      </c>
      <c r="AJ121" s="25" t="str">
        <f>IF('1. Live'!AN139='check-Jul''26'!AJ139,"",'1. Live'!AN139-'check-Jul''26'!AJ139)</f>
        <v/>
      </c>
      <c r="AK121" s="25" t="str">
        <f>IF('1. Live'!AO139='check-Jul''26'!AK139,"",'1. Live'!AO139-'check-Jul''26'!AK139)</f>
        <v/>
      </c>
      <c r="AL121" s="25" t="str">
        <f>IF('1. Live'!AP139='check-Jul''26'!AL139,"",'1. Live'!AP139-'check-Jul''26'!AL139)</f>
        <v/>
      </c>
      <c r="AM121" s="25" t="str">
        <f>IF('1. Live'!AQ139='check-Jul''26'!AM139,"",'1. Live'!AQ139-'check-Jul''26'!AM139)</f>
        <v/>
      </c>
      <c r="AN121" s="25" t="str">
        <f>IF('1. Live'!AR139='check-Jul''26'!AN139,"",'1. Live'!AR139-'check-Jul''26'!AN139)</f>
        <v/>
      </c>
      <c r="AO121" s="25" t="str">
        <f>IF('1. Live'!AS139='check-Jul''26'!AO139,"",'1. Live'!AS139-'check-Jul''26'!AO139)</f>
        <v/>
      </c>
      <c r="AP121" s="25" t="str">
        <f>IF('1. Live'!AT139='check-Jul''26'!AP139,"",'1. Live'!AT139-'check-Jul''26'!AP139)</f>
        <v/>
      </c>
      <c r="AQ121" s="25" t="str">
        <f>IF('1. Live'!AU139='check-Jul''26'!AQ139,"",'1. Live'!AU139-'check-Jul''26'!AQ139)</f>
        <v/>
      </c>
      <c r="AR121" s="25" t="str">
        <f>IF('1. Live'!AV139='check-Jul''26'!AR139,"",'1. Live'!AV139-'check-Jul''26'!AR139)</f>
        <v/>
      </c>
      <c r="AS121" s="25" t="str">
        <f>IF('1. Live'!AW139='check-Jul''26'!AS139,"",'1. Live'!AW139-'check-Jul''26'!AS139)</f>
        <v/>
      </c>
      <c r="AT121" s="25" t="str">
        <f>IF('1. Live'!AX139='check-Jul''26'!AT139,"",'1. Live'!AX139-'check-Jul''26'!AT139)</f>
        <v/>
      </c>
      <c r="AU121" s="25" t="str">
        <f>IF('1. Live'!AY139='check-Jul''26'!AU139,"",'1. Live'!AY139-'check-Jul''26'!AU139)</f>
        <v/>
      </c>
      <c r="AV121" s="25" t="str">
        <f>IF('1. Live'!AZ139='check-Jul''26'!AV139,"",'1. Live'!AZ139-'check-Jul''26'!AV139)</f>
        <v/>
      </c>
      <c r="AW121" s="25" t="str">
        <f>IF('1. Live'!BA139='check-Jul''26'!AW139,"",'1. Live'!BA139-'check-Jul''26'!AW139)</f>
        <v/>
      </c>
      <c r="AX121" s="25" t="str">
        <f>IF('1. Live'!BB139='check-Jul''26'!AX139,"",'1. Live'!BB139-'check-Jul''26'!AX139)</f>
        <v/>
      </c>
      <c r="AY121" s="25" t="str">
        <f>IF('1. Live'!BC139='check-Jul''26'!AY139,"",'1. Live'!BC139-'check-Jul''26'!AY139)</f>
        <v/>
      </c>
      <c r="AZ121" s="25" t="str">
        <f>IF('1. Live'!BD139='check-Jul''26'!AZ139,"",'1. Live'!BD139-'check-Jul''26'!AZ139)</f>
        <v/>
      </c>
      <c r="BA121" s="25" t="str">
        <f>IF('1. Live'!BE139='check-Jul''26'!BA139,"",'1. Live'!BE139-'check-Jul''26'!BA139)</f>
        <v/>
      </c>
      <c r="BB121" s="25" t="str">
        <f>IF('1. Live'!BF139='check-Jul''26'!BB139,"",'1. Live'!BF139-'check-Jul''26'!BB139)</f>
        <v/>
      </c>
      <c r="BC121" s="25" t="str">
        <f>IF('1. Live'!BG139='check-Jul''26'!BC139,"",'1. Live'!BG139-'check-Jul''26'!BC139)</f>
        <v/>
      </c>
      <c r="BD121" s="25" t="str">
        <f>IF('1. Live'!BH139='check-Jul''26'!BD139,"",'1. Live'!BH139-'check-Jul''26'!BD139)</f>
        <v/>
      </c>
      <c r="BE121" s="25" t="str">
        <f>IF('1. Live'!BI139='check-Jul''26'!BE139,"",'1. Live'!BI139-'check-Jul''26'!BE139)</f>
        <v/>
      </c>
      <c r="BF121" s="25" t="str">
        <f>IF('1. Live'!BJ139='check-Jul''26'!BF139,"",'1. Live'!BJ139-'check-Jul''26'!BF139)</f>
        <v/>
      </c>
      <c r="BG121" s="25" t="str">
        <f>IF('1. Live'!BK139='check-Jul''26'!BG139,"",'1. Live'!BK139-'check-Jul''26'!BG139)</f>
        <v/>
      </c>
      <c r="BH121" s="25" t="str">
        <f>IF('1. Live'!BL139='check-Jul''26'!BH139,"",'1. Live'!BL139-'check-Jul''26'!BH139)</f>
        <v/>
      </c>
      <c r="BI121" s="25" t="str">
        <f>IF('1. Live'!BM139='check-Jul''26'!BI139,"",'1. Live'!BM139-'check-Jul''26'!BI139)</f>
        <v/>
      </c>
      <c r="BJ121" s="25" t="str">
        <f>IF('1. Live'!BN139='check-Jul''26'!BJ139,"",'1. Live'!BN139-'check-Jul''26'!BJ139)</f>
        <v/>
      </c>
      <c r="BK121" s="25" t="str">
        <f>IF('1. Live'!BO139='check-Jul''26'!BK139,"",'1. Live'!BO139-'check-Jul''26'!BK139)</f>
        <v/>
      </c>
      <c r="BL121" s="25" t="str">
        <f>IF('1. Live'!BP139='check-Jul''26'!BL139,"",'1. Live'!BP139-'check-Jul''26'!BL139)</f>
        <v/>
      </c>
      <c r="BM121" s="25" t="str">
        <f>IF('1. Live'!BQ139='check-Jul''26'!BM139,"",'1. Live'!BQ139-'check-Jul''26'!BM139)</f>
        <v/>
      </c>
      <c r="BN121" s="25" t="str">
        <f>IF('1. Live'!BR139='check-Jul''26'!BN139,"",'1. Live'!BR139-'check-Jul''26'!BN139)</f>
        <v/>
      </c>
      <c r="BO121" s="25" t="str">
        <f>IF('1. Live'!BS139='check-Jul''26'!BO139,"",'1. Live'!BS139-'check-Jul''26'!BO139)</f>
        <v/>
      </c>
      <c r="BP121" s="25" t="str">
        <f>IF('1. Live'!BT139='check-Jul''26'!BP139,"",'1. Live'!BT139-'check-Jul''26'!BP139)</f>
        <v/>
      </c>
      <c r="BQ121" s="25" t="str">
        <f>IF('1. Live'!BU139='check-Jul''26'!BQ139,"",'1. Live'!BU139-'check-Jul''26'!BQ139)</f>
        <v/>
      </c>
      <c r="BR121" s="25" t="str">
        <f>IF('1. Live'!BV139='check-Jul''26'!BR139,"",'1. Live'!BV139-'check-Jul''26'!BR139)</f>
        <v/>
      </c>
      <c r="BS121" s="25" t="str">
        <f>IF('1. Live'!BW139='check-Jul''26'!BS139,"",'1. Live'!BW139-'check-Jul''26'!BS139)</f>
        <v/>
      </c>
      <c r="BT121" s="25" t="str">
        <f>IF('1. Live'!BX139='check-Jul''26'!BT139,"",'1. Live'!BX139-'check-Jul''26'!BT139)</f>
        <v/>
      </c>
      <c r="BU121" s="25" t="str">
        <f>IF('1. Live'!BY139='check-Jul''26'!BU139,"",'1. Live'!BY139-'check-Jul''26'!BU139)</f>
        <v/>
      </c>
      <c r="BV121" s="25" t="str">
        <f>IF('1. Live'!BZ139='check-Jul''26'!BV139,"",'1. Live'!BZ139-'check-Jul''26'!BV139)</f>
        <v/>
      </c>
      <c r="BW121" s="25" t="str">
        <f>IF('1. Live'!CA139='check-Jul''26'!BW139,"",'1. Live'!CA139-'check-Jul''26'!BW139)</f>
        <v/>
      </c>
      <c r="BX121" s="25" t="str">
        <f>IF('1. Live'!CB139='check-Jul''26'!BX139,"",'1. Live'!CB139-'check-Jul''26'!BX139)</f>
        <v/>
      </c>
      <c r="BY121" s="25" t="str">
        <f>IF('1. Live'!CC139='check-Jul''26'!BY139,"",'1. Live'!CC139-'check-Jul''26'!BY139)</f>
        <v/>
      </c>
      <c r="BZ121" s="25" t="str">
        <f>IF('1. Live'!CD139='check-Jul''26'!BZ139,"",'1. Live'!CD139-'check-Jul''26'!BZ139)</f>
        <v/>
      </c>
      <c r="CA121" s="25" t="str">
        <f>IF('1. Live'!CE139='check-Jul''26'!CA139,"",'1. Live'!CE139-'check-Jul''26'!CA139)</f>
        <v/>
      </c>
      <c r="CB121" s="25" t="str">
        <f>IF('1. Live'!CF139='check-Jul''26'!CB139,"",'1. Live'!CF139-'check-Jul''26'!CB139)</f>
        <v/>
      </c>
      <c r="CC121" s="25" t="str">
        <f>IF('1. Live'!CG139='check-Jul''26'!CC139,"",'1. Live'!CG139-'check-Jul''26'!CC139)</f>
        <v/>
      </c>
      <c r="CD121" s="25" t="str">
        <f>IF('1. Live'!CH139='check-Jul''26'!CD139,"",'1. Live'!CH139-'check-Jul''26'!CD139)</f>
        <v/>
      </c>
      <c r="CE121" s="25" t="str">
        <f>IF('1. Live'!CI139='check-Jul''26'!CE139,"",'1. Live'!CI139-'check-Jul''26'!CE139)</f>
        <v/>
      </c>
      <c r="CF121" s="25" t="str">
        <f>IF('1. Live'!CJ139='check-Jul''26'!CF139,"",'1. Live'!CJ139-'check-Jul''26'!CF139)</f>
        <v/>
      </c>
      <c r="CG121" s="25" t="str">
        <f>IF('1. Live'!CK139='check-Jul''26'!CG139,"",'1. Live'!CK139-'check-Jul''26'!CG139)</f>
        <v/>
      </c>
      <c r="CH121" s="25" t="str">
        <f>IF('1. Live'!CL139='check-Jul''26'!CH139,"",'1. Live'!CL139-'check-Jul''26'!CH139)</f>
        <v/>
      </c>
      <c r="CI121" s="25" t="str">
        <f>IF('1. Live'!CM139='check-Jul''26'!CI139,"",'1. Live'!CM139-'check-Jul''26'!CI139)</f>
        <v/>
      </c>
      <c r="CJ121" s="25" t="str">
        <f>IF('1. Live'!CN139='check-Jul''26'!CJ139,"",'1. Live'!CN139-'check-Jul''26'!CJ139)</f>
        <v/>
      </c>
      <c r="CK121" s="25" t="str">
        <f>IF('1. Live'!CO139='check-Jul''26'!CK139,"",'1. Live'!CO139-'check-Jul''26'!CK139)</f>
        <v/>
      </c>
      <c r="CL121" s="25" t="str">
        <f>IF('1. Live'!CP139='check-Jul''26'!CL139,"",'1. Live'!CP139-'check-Jul''26'!CL139)</f>
        <v/>
      </c>
      <c r="CM121" s="25" t="str">
        <f>IF('1. Live'!CQ139='check-Jul''26'!CM139,"",'1. Live'!CQ139-'check-Jul''26'!CM139)</f>
        <v/>
      </c>
      <c r="CN121" s="25" t="str">
        <f>IF('1. Live'!CR139='check-Jul''26'!CN139,"",'1. Live'!CR139-'check-Jul''26'!CN139)</f>
        <v/>
      </c>
      <c r="CO121" s="25" t="str">
        <f>IF('1. Live'!CS139='check-Jul''26'!CO139,"",'1. Live'!CS139-'check-Jul''26'!CO139)</f>
        <v/>
      </c>
      <c r="CP121" s="25" t="str">
        <f>IF('1. Live'!CT139='check-Jul''26'!CP139,"",'1. Live'!CT139-'check-Jul''26'!CP139)</f>
        <v/>
      </c>
      <c r="CQ121" s="25" t="str">
        <f>IF('1. Live'!CU139='check-Jul''26'!CQ139,"",'1. Live'!CU139-'check-Jul''26'!CQ139)</f>
        <v/>
      </c>
      <c r="CR121" s="25" t="str">
        <f>IF('1. Live'!CV139='check-Jul''26'!CR139,"",'1. Live'!CV139-'check-Jul''26'!CR139)</f>
        <v/>
      </c>
      <c r="CS121" s="25" t="str">
        <f>IF('1. Live'!CW139='check-Jul''26'!CS139,"",'1. Live'!CW139-'check-Jul''26'!CS139)</f>
        <v/>
      </c>
      <c r="CT121" s="25" t="str">
        <f>IF('1. Live'!CX139='check-Jul''26'!CT139,"",'1. Live'!CX139-'check-Jul''26'!CT139)</f>
        <v/>
      </c>
      <c r="CU121" s="25" t="str">
        <f>IF('1. Live'!CY139='check-Jul''26'!CU139,"",'1. Live'!CY139-'check-Jul''26'!CU139)</f>
        <v/>
      </c>
      <c r="CV121" s="25" t="str">
        <f>IF('1. Live'!CZ139='check-Jul''26'!CV139,"",'1. Live'!CZ139-'check-Jul''26'!CV139)</f>
        <v/>
      </c>
    </row>
    <row r="122" spans="17:100" x14ac:dyDescent="0.25">
      <c r="Q122" s="26" t="str">
        <f>IF('1. Live'!N140='check-Jul''26'!I140,"",'1. Live'!N140-'check-Jul''26'!I140)</f>
        <v/>
      </c>
      <c r="R122" s="26" t="str">
        <f>IF('1. Live'!O140='check-Jul''26'!J140,"",'1. Live'!O140-'check-Jul''26'!J140)</f>
        <v/>
      </c>
      <c r="S122" s="26" t="str">
        <f>IF('1. Live'!P140='check-Jul''26'!K140,"",'1. Live'!P140-'check-Jul''26'!K140)</f>
        <v/>
      </c>
      <c r="T122" s="26" t="str">
        <f>IF('1. Live'!Q140='check-Jul''26'!L140,"",'1. Live'!Q140-'check-Jul''26'!L140)</f>
        <v/>
      </c>
      <c r="U122" s="80" t="str">
        <f>IF('1. Live'!R140='check-Jul''26'!M140,"",'1. Live'!R140-'check-Jul''26'!M140)</f>
        <v/>
      </c>
      <c r="V122" s="26" t="str">
        <f>IF('1. Live'!S140='check-Jul''26'!N140,"",'1. Live'!S140-'check-Jul''26'!N140)</f>
        <v/>
      </c>
      <c r="W122" s="25" t="str">
        <f>IF('1. Live'!T140='check-Jul''26'!O140,"",'1. Live'!T140-'check-Jul''26'!O140)</f>
        <v/>
      </c>
      <c r="X122" s="25" t="str">
        <f>IF('1. Live'!U140='check-Jul''26'!Q140,"",'1. Live'!U140-'check-Jul''26'!Q140)</f>
        <v/>
      </c>
      <c r="Y122" s="25" t="str">
        <f>IF('1. Live'!V140='check-Jul''26'!R140,"",'1. Live'!V140-'check-Jul''26'!R140)</f>
        <v/>
      </c>
      <c r="Z122" s="25" t="str">
        <f>IF('1. Live'!W140='check-Jul''26'!S140,"",'1. Live'!W140-'check-Jul''26'!S140)</f>
        <v/>
      </c>
      <c r="AA122" s="25" t="str">
        <f>IF('1. Live'!X140='check-Jul''26'!T140,"",'1. Live'!X140-'check-Jul''26'!T140)</f>
        <v/>
      </c>
      <c r="AB122" s="25" t="str">
        <f>IF('1. Live'!AF140='check-Jul''26'!AB140,"",'1. Live'!AF140-'check-Jul''26'!AB140)</f>
        <v/>
      </c>
      <c r="AC122" s="25" t="str">
        <f>IF('1. Live'!AG140='check-Jul''26'!AC140,"",'1. Live'!AG140-'check-Jul''26'!AC140)</f>
        <v/>
      </c>
      <c r="AD122" s="25" t="str">
        <f>IF('1. Live'!AH140='check-Jul''26'!AD140,"",'1. Live'!AH140-'check-Jul''26'!AD140)</f>
        <v/>
      </c>
      <c r="AE122" s="25" t="str">
        <f>IF('1. Live'!AI140='check-Jul''26'!AE140,"",'1. Live'!AI140-'check-Jul''26'!AE140)</f>
        <v/>
      </c>
      <c r="AF122" s="25" t="str">
        <f>IF('1. Live'!AJ140='check-Jul''26'!AF140,"",'1. Live'!AJ140-'check-Jul''26'!AF140)</f>
        <v/>
      </c>
      <c r="AG122" s="25" t="str">
        <f>IF('1. Live'!AK140='check-Jul''26'!AG140,"",'1. Live'!AK140-'check-Jul''26'!AG140)</f>
        <v/>
      </c>
      <c r="AH122" s="25" t="str">
        <f>IF('1. Live'!AL140='check-Jul''26'!AH140,"",'1. Live'!AL140-'check-Jul''26'!AH140)</f>
        <v/>
      </c>
      <c r="AI122" s="25" t="str">
        <f>IF('1. Live'!AM140='check-Jul''26'!AI140,"",'1. Live'!AM140-'check-Jul''26'!AI140)</f>
        <v/>
      </c>
      <c r="AJ122" s="25" t="str">
        <f>IF('1. Live'!AN140='check-Jul''26'!AJ140,"",'1. Live'!AN140-'check-Jul''26'!AJ140)</f>
        <v/>
      </c>
      <c r="AK122" s="25" t="str">
        <f>IF('1. Live'!AO140='check-Jul''26'!AK140,"",'1. Live'!AO140-'check-Jul''26'!AK140)</f>
        <v/>
      </c>
      <c r="AL122" s="25" t="str">
        <f>IF('1. Live'!AP140='check-Jul''26'!AL140,"",'1. Live'!AP140-'check-Jul''26'!AL140)</f>
        <v/>
      </c>
      <c r="AM122" s="25" t="str">
        <f>IF('1. Live'!AQ140='check-Jul''26'!AM140,"",'1. Live'!AQ140-'check-Jul''26'!AM140)</f>
        <v/>
      </c>
      <c r="AN122" s="25" t="str">
        <f>IF('1. Live'!AR140='check-Jul''26'!AN140,"",'1. Live'!AR140-'check-Jul''26'!AN140)</f>
        <v/>
      </c>
      <c r="AO122" s="25" t="str">
        <f>IF('1. Live'!AS140='check-Jul''26'!AO140,"",'1. Live'!AS140-'check-Jul''26'!AO140)</f>
        <v/>
      </c>
      <c r="AP122" s="25" t="str">
        <f>IF('1. Live'!AT140='check-Jul''26'!AP140,"",'1. Live'!AT140-'check-Jul''26'!AP140)</f>
        <v/>
      </c>
      <c r="AQ122" s="25" t="str">
        <f>IF('1. Live'!AU140='check-Jul''26'!AQ140,"",'1. Live'!AU140-'check-Jul''26'!AQ140)</f>
        <v/>
      </c>
      <c r="AR122" s="25" t="str">
        <f>IF('1. Live'!AV140='check-Jul''26'!AR140,"",'1. Live'!AV140-'check-Jul''26'!AR140)</f>
        <v/>
      </c>
      <c r="AS122" s="25" t="str">
        <f>IF('1. Live'!AW140='check-Jul''26'!AS140,"",'1. Live'!AW140-'check-Jul''26'!AS140)</f>
        <v/>
      </c>
      <c r="AT122" s="25" t="str">
        <f>IF('1. Live'!AX140='check-Jul''26'!AT140,"",'1. Live'!AX140-'check-Jul''26'!AT140)</f>
        <v/>
      </c>
      <c r="AU122" s="25" t="str">
        <f>IF('1. Live'!AY140='check-Jul''26'!AU140,"",'1. Live'!AY140-'check-Jul''26'!AU140)</f>
        <v/>
      </c>
      <c r="AV122" s="25" t="str">
        <f>IF('1. Live'!AZ140='check-Jul''26'!AV140,"",'1. Live'!AZ140-'check-Jul''26'!AV140)</f>
        <v/>
      </c>
      <c r="AW122" s="25" t="str">
        <f>IF('1. Live'!BA140='check-Jul''26'!AW140,"",'1. Live'!BA140-'check-Jul''26'!AW140)</f>
        <v/>
      </c>
      <c r="AX122" s="25" t="str">
        <f>IF('1. Live'!BB140='check-Jul''26'!AX140,"",'1. Live'!BB140-'check-Jul''26'!AX140)</f>
        <v/>
      </c>
      <c r="AY122" s="25" t="str">
        <f>IF('1. Live'!BC140='check-Jul''26'!AY140,"",'1. Live'!BC140-'check-Jul''26'!AY140)</f>
        <v/>
      </c>
      <c r="AZ122" s="25" t="str">
        <f>IF('1. Live'!BD140='check-Jul''26'!AZ140,"",'1. Live'!BD140-'check-Jul''26'!AZ140)</f>
        <v/>
      </c>
      <c r="BA122" s="25" t="str">
        <f>IF('1. Live'!BE140='check-Jul''26'!BA140,"",'1. Live'!BE140-'check-Jul''26'!BA140)</f>
        <v/>
      </c>
      <c r="BB122" s="25" t="str">
        <f>IF('1. Live'!BF140='check-Jul''26'!BB140,"",'1. Live'!BF140-'check-Jul''26'!BB140)</f>
        <v/>
      </c>
      <c r="BC122" s="25" t="str">
        <f>IF('1. Live'!BG140='check-Jul''26'!BC140,"",'1. Live'!BG140-'check-Jul''26'!BC140)</f>
        <v/>
      </c>
      <c r="BD122" s="25" t="str">
        <f>IF('1. Live'!BH140='check-Jul''26'!BD140,"",'1. Live'!BH140-'check-Jul''26'!BD140)</f>
        <v/>
      </c>
      <c r="BE122" s="25" t="str">
        <f>IF('1. Live'!BI140='check-Jul''26'!BE140,"",'1. Live'!BI140-'check-Jul''26'!BE140)</f>
        <v/>
      </c>
      <c r="BF122" s="25" t="str">
        <f>IF('1. Live'!BJ140='check-Jul''26'!BF140,"",'1. Live'!BJ140-'check-Jul''26'!BF140)</f>
        <v/>
      </c>
      <c r="BG122" s="25" t="str">
        <f>IF('1. Live'!BK140='check-Jul''26'!BG140,"",'1. Live'!BK140-'check-Jul''26'!BG140)</f>
        <v/>
      </c>
      <c r="BH122" s="25" t="str">
        <f>IF('1. Live'!BL140='check-Jul''26'!BH140,"",'1. Live'!BL140-'check-Jul''26'!BH140)</f>
        <v/>
      </c>
      <c r="BI122" s="25" t="str">
        <f>IF('1. Live'!BM140='check-Jul''26'!BI140,"",'1. Live'!BM140-'check-Jul''26'!BI140)</f>
        <v/>
      </c>
      <c r="BJ122" s="25" t="str">
        <f>IF('1. Live'!BN140='check-Jul''26'!BJ140,"",'1. Live'!BN140-'check-Jul''26'!BJ140)</f>
        <v/>
      </c>
      <c r="BK122" s="25" t="str">
        <f>IF('1. Live'!BO140='check-Jul''26'!BK140,"",'1. Live'!BO140-'check-Jul''26'!BK140)</f>
        <v/>
      </c>
      <c r="BL122" s="25" t="str">
        <f>IF('1. Live'!BP140='check-Jul''26'!BL140,"",'1. Live'!BP140-'check-Jul''26'!BL140)</f>
        <v/>
      </c>
      <c r="BM122" s="25" t="str">
        <f>IF('1. Live'!BQ140='check-Jul''26'!BM140,"",'1. Live'!BQ140-'check-Jul''26'!BM140)</f>
        <v/>
      </c>
      <c r="BN122" s="25" t="str">
        <f>IF('1. Live'!BR140='check-Jul''26'!BN140,"",'1. Live'!BR140-'check-Jul''26'!BN140)</f>
        <v/>
      </c>
      <c r="BO122" s="25" t="str">
        <f>IF('1. Live'!BS140='check-Jul''26'!BO140,"",'1. Live'!BS140-'check-Jul''26'!BO140)</f>
        <v/>
      </c>
      <c r="BP122" s="25" t="str">
        <f>IF('1. Live'!BT140='check-Jul''26'!BP140,"",'1. Live'!BT140-'check-Jul''26'!BP140)</f>
        <v/>
      </c>
      <c r="BQ122" s="25" t="str">
        <f>IF('1. Live'!BU140='check-Jul''26'!BQ140,"",'1. Live'!BU140-'check-Jul''26'!BQ140)</f>
        <v/>
      </c>
      <c r="BR122" s="25" t="str">
        <f>IF('1. Live'!BV140='check-Jul''26'!BR140,"",'1. Live'!BV140-'check-Jul''26'!BR140)</f>
        <v/>
      </c>
      <c r="BS122" s="25" t="str">
        <f>IF('1. Live'!BW140='check-Jul''26'!BS140,"",'1. Live'!BW140-'check-Jul''26'!BS140)</f>
        <v/>
      </c>
      <c r="BT122" s="25" t="str">
        <f>IF('1. Live'!BX140='check-Jul''26'!BT140,"",'1. Live'!BX140-'check-Jul''26'!BT140)</f>
        <v/>
      </c>
      <c r="BU122" s="25" t="str">
        <f>IF('1. Live'!BY140='check-Jul''26'!BU140,"",'1. Live'!BY140-'check-Jul''26'!BU140)</f>
        <v/>
      </c>
      <c r="BV122" s="25" t="str">
        <f>IF('1. Live'!BZ140='check-Jul''26'!BV140,"",'1. Live'!BZ140-'check-Jul''26'!BV140)</f>
        <v/>
      </c>
      <c r="BW122" s="25" t="str">
        <f>IF('1. Live'!CA140='check-Jul''26'!BW140,"",'1. Live'!CA140-'check-Jul''26'!BW140)</f>
        <v/>
      </c>
      <c r="BX122" s="25" t="str">
        <f>IF('1. Live'!CB140='check-Jul''26'!BX140,"",'1. Live'!CB140-'check-Jul''26'!BX140)</f>
        <v/>
      </c>
      <c r="BY122" s="25" t="str">
        <f>IF('1. Live'!CC140='check-Jul''26'!BY140,"",'1. Live'!CC140-'check-Jul''26'!BY140)</f>
        <v/>
      </c>
      <c r="BZ122" s="25" t="str">
        <f>IF('1. Live'!CD140='check-Jul''26'!BZ140,"",'1. Live'!CD140-'check-Jul''26'!BZ140)</f>
        <v/>
      </c>
      <c r="CA122" s="25" t="str">
        <f>IF('1. Live'!CE140='check-Jul''26'!CA140,"",'1. Live'!CE140-'check-Jul''26'!CA140)</f>
        <v/>
      </c>
      <c r="CB122" s="25" t="str">
        <f>IF('1. Live'!CF140='check-Jul''26'!CB140,"",'1. Live'!CF140-'check-Jul''26'!CB140)</f>
        <v/>
      </c>
      <c r="CC122" s="25" t="str">
        <f>IF('1. Live'!CG140='check-Jul''26'!CC140,"",'1. Live'!CG140-'check-Jul''26'!CC140)</f>
        <v/>
      </c>
      <c r="CD122" s="25" t="str">
        <f>IF('1. Live'!CH140='check-Jul''26'!CD140,"",'1. Live'!CH140-'check-Jul''26'!CD140)</f>
        <v/>
      </c>
      <c r="CE122" s="25" t="str">
        <f>IF('1. Live'!CI140='check-Jul''26'!CE140,"",'1. Live'!CI140-'check-Jul''26'!CE140)</f>
        <v/>
      </c>
      <c r="CF122" s="25" t="str">
        <f>IF('1. Live'!CJ140='check-Jul''26'!CF140,"",'1. Live'!CJ140-'check-Jul''26'!CF140)</f>
        <v/>
      </c>
      <c r="CG122" s="25" t="str">
        <f>IF('1. Live'!CK140='check-Jul''26'!CG140,"",'1. Live'!CK140-'check-Jul''26'!CG140)</f>
        <v/>
      </c>
      <c r="CH122" s="25" t="str">
        <f>IF('1. Live'!CL140='check-Jul''26'!CH140,"",'1. Live'!CL140-'check-Jul''26'!CH140)</f>
        <v/>
      </c>
      <c r="CI122" s="25" t="str">
        <f>IF('1. Live'!CM140='check-Jul''26'!CI140,"",'1. Live'!CM140-'check-Jul''26'!CI140)</f>
        <v/>
      </c>
      <c r="CJ122" s="25" t="str">
        <f>IF('1. Live'!CN140='check-Jul''26'!CJ140,"",'1. Live'!CN140-'check-Jul''26'!CJ140)</f>
        <v/>
      </c>
      <c r="CK122" s="25" t="str">
        <f>IF('1. Live'!CO140='check-Jul''26'!CK140,"",'1. Live'!CO140-'check-Jul''26'!CK140)</f>
        <v/>
      </c>
      <c r="CL122" s="25" t="str">
        <f>IF('1. Live'!CP140='check-Jul''26'!CL140,"",'1. Live'!CP140-'check-Jul''26'!CL140)</f>
        <v/>
      </c>
      <c r="CM122" s="25" t="str">
        <f>IF('1. Live'!CQ140='check-Jul''26'!CM140,"",'1. Live'!CQ140-'check-Jul''26'!CM140)</f>
        <v/>
      </c>
      <c r="CN122" s="25" t="str">
        <f>IF('1. Live'!CR140='check-Jul''26'!CN140,"",'1. Live'!CR140-'check-Jul''26'!CN140)</f>
        <v/>
      </c>
      <c r="CO122" s="25" t="str">
        <f>IF('1. Live'!CS140='check-Jul''26'!CO140,"",'1. Live'!CS140-'check-Jul''26'!CO140)</f>
        <v/>
      </c>
      <c r="CP122" s="25" t="str">
        <f>IF('1. Live'!CT140='check-Jul''26'!CP140,"",'1. Live'!CT140-'check-Jul''26'!CP140)</f>
        <v/>
      </c>
      <c r="CQ122" s="25" t="str">
        <f>IF('1. Live'!CU140='check-Jul''26'!CQ140,"",'1. Live'!CU140-'check-Jul''26'!CQ140)</f>
        <v/>
      </c>
      <c r="CR122" s="25" t="str">
        <f>IF('1. Live'!CV140='check-Jul''26'!CR140,"",'1. Live'!CV140-'check-Jul''26'!CR140)</f>
        <v/>
      </c>
      <c r="CS122" s="25" t="str">
        <f>IF('1. Live'!CW140='check-Jul''26'!CS140,"",'1. Live'!CW140-'check-Jul''26'!CS140)</f>
        <v/>
      </c>
      <c r="CT122" s="25" t="str">
        <f>IF('1. Live'!CX140='check-Jul''26'!CT140,"",'1. Live'!CX140-'check-Jul''26'!CT140)</f>
        <v/>
      </c>
      <c r="CU122" s="25" t="str">
        <f>IF('1. Live'!CY140='check-Jul''26'!CU140,"",'1. Live'!CY140-'check-Jul''26'!CU140)</f>
        <v/>
      </c>
      <c r="CV122" s="25" t="str">
        <f>IF('1. Live'!CZ140='check-Jul''26'!CV140,"",'1. Live'!CZ140-'check-Jul''26'!CV140)</f>
        <v/>
      </c>
    </row>
    <row r="123" spans="17:100" x14ac:dyDescent="0.25">
      <c r="Q123" s="26" t="str">
        <f>IF('1. Live'!N141='check-Jul''26'!I141,"",'1. Live'!N141-'check-Jul''26'!I141)</f>
        <v/>
      </c>
      <c r="R123" s="26" t="str">
        <f>IF('1. Live'!O141='check-Jul''26'!J141,"",'1. Live'!O141-'check-Jul''26'!J141)</f>
        <v/>
      </c>
      <c r="S123" s="26" t="str">
        <f>IF('1. Live'!P141='check-Jul''26'!K141,"",'1. Live'!P141-'check-Jul''26'!K141)</f>
        <v/>
      </c>
      <c r="T123" s="26" t="str">
        <f>IF('1. Live'!Q141='check-Jul''26'!L141,"",'1. Live'!Q141-'check-Jul''26'!L141)</f>
        <v/>
      </c>
      <c r="U123" s="80" t="str">
        <f>IF('1. Live'!R141='check-Jul''26'!M141,"",'1. Live'!R141-'check-Jul''26'!M141)</f>
        <v/>
      </c>
      <c r="V123" s="26" t="str">
        <f>IF('1. Live'!S141='check-Jul''26'!N141,"",'1. Live'!S141-'check-Jul''26'!N141)</f>
        <v/>
      </c>
      <c r="W123" s="25" t="str">
        <f>IF('1. Live'!T141='check-Jul''26'!O141,"",'1. Live'!T141-'check-Jul''26'!O141)</f>
        <v/>
      </c>
      <c r="X123" s="25" t="str">
        <f>IF('1. Live'!U141='check-Jul''26'!Q141,"",'1. Live'!U141-'check-Jul''26'!Q141)</f>
        <v/>
      </c>
      <c r="Y123" s="25" t="str">
        <f>IF('1. Live'!V141='check-Jul''26'!R141,"",'1. Live'!V141-'check-Jul''26'!R141)</f>
        <v/>
      </c>
      <c r="Z123" s="25" t="str">
        <f>IF('1. Live'!W141='check-Jul''26'!S141,"",'1. Live'!W141-'check-Jul''26'!S141)</f>
        <v/>
      </c>
      <c r="AA123" s="25" t="str">
        <f>IF('1. Live'!X141='check-Jul''26'!T141,"",'1. Live'!X141-'check-Jul''26'!T141)</f>
        <v/>
      </c>
      <c r="AB123" s="25" t="str">
        <f>IF('1. Live'!AF141='check-Jul''26'!AB141,"",'1. Live'!AF141-'check-Jul''26'!AB141)</f>
        <v/>
      </c>
      <c r="AC123" s="25" t="str">
        <f>IF('1. Live'!AG141='check-Jul''26'!AC141,"",'1. Live'!AG141-'check-Jul''26'!AC141)</f>
        <v/>
      </c>
      <c r="AD123" s="25" t="str">
        <f>IF('1. Live'!AH141='check-Jul''26'!AD141,"",'1. Live'!AH141-'check-Jul''26'!AD141)</f>
        <v/>
      </c>
      <c r="AE123" s="25" t="str">
        <f>IF('1. Live'!AI141='check-Jul''26'!AE141,"",'1. Live'!AI141-'check-Jul''26'!AE141)</f>
        <v/>
      </c>
      <c r="AF123" s="25" t="str">
        <f>IF('1. Live'!AJ141='check-Jul''26'!AF141,"",'1. Live'!AJ141-'check-Jul''26'!AF141)</f>
        <v/>
      </c>
      <c r="AG123" s="25" t="str">
        <f>IF('1. Live'!AK141='check-Jul''26'!AG141,"",'1. Live'!AK141-'check-Jul''26'!AG141)</f>
        <v/>
      </c>
      <c r="AH123" s="25" t="str">
        <f>IF('1. Live'!AL141='check-Jul''26'!AH141,"",'1. Live'!AL141-'check-Jul''26'!AH141)</f>
        <v/>
      </c>
      <c r="AI123" s="25" t="str">
        <f>IF('1. Live'!AM141='check-Jul''26'!AI141,"",'1. Live'!AM141-'check-Jul''26'!AI141)</f>
        <v/>
      </c>
      <c r="AJ123" s="25" t="str">
        <f>IF('1. Live'!AN141='check-Jul''26'!AJ141,"",'1. Live'!AN141-'check-Jul''26'!AJ141)</f>
        <v/>
      </c>
      <c r="AK123" s="25" t="str">
        <f>IF('1. Live'!AO141='check-Jul''26'!AK141,"",'1. Live'!AO141-'check-Jul''26'!AK141)</f>
        <v/>
      </c>
      <c r="AL123" s="25" t="str">
        <f>IF('1. Live'!AP141='check-Jul''26'!AL141,"",'1. Live'!AP141-'check-Jul''26'!AL141)</f>
        <v/>
      </c>
      <c r="AM123" s="25" t="str">
        <f>IF('1. Live'!AQ141='check-Jul''26'!AM141,"",'1. Live'!AQ141-'check-Jul''26'!AM141)</f>
        <v/>
      </c>
      <c r="AN123" s="25" t="str">
        <f>IF('1. Live'!AR141='check-Jul''26'!AN141,"",'1. Live'!AR141-'check-Jul''26'!AN141)</f>
        <v/>
      </c>
      <c r="AO123" s="25" t="str">
        <f>IF('1. Live'!AS141='check-Jul''26'!AO141,"",'1. Live'!AS141-'check-Jul''26'!AO141)</f>
        <v/>
      </c>
      <c r="AP123" s="25" t="str">
        <f>IF('1. Live'!AT141='check-Jul''26'!AP141,"",'1. Live'!AT141-'check-Jul''26'!AP141)</f>
        <v/>
      </c>
      <c r="AQ123" s="25" t="str">
        <f>IF('1. Live'!AU141='check-Jul''26'!AQ141,"",'1. Live'!AU141-'check-Jul''26'!AQ141)</f>
        <v/>
      </c>
      <c r="AR123" s="25" t="str">
        <f>IF('1. Live'!AV141='check-Jul''26'!AR141,"",'1. Live'!AV141-'check-Jul''26'!AR141)</f>
        <v/>
      </c>
      <c r="AS123" s="25" t="str">
        <f>IF('1. Live'!AW141='check-Jul''26'!AS141,"",'1. Live'!AW141-'check-Jul''26'!AS141)</f>
        <v/>
      </c>
      <c r="AT123" s="25" t="str">
        <f>IF('1. Live'!AX141='check-Jul''26'!AT141,"",'1. Live'!AX141-'check-Jul''26'!AT141)</f>
        <v/>
      </c>
      <c r="AU123" s="25" t="str">
        <f>IF('1. Live'!AY141='check-Jul''26'!AU141,"",'1. Live'!AY141-'check-Jul''26'!AU141)</f>
        <v/>
      </c>
      <c r="AV123" s="25" t="str">
        <f>IF('1. Live'!AZ141='check-Jul''26'!AV141,"",'1. Live'!AZ141-'check-Jul''26'!AV141)</f>
        <v/>
      </c>
      <c r="AW123" s="25" t="str">
        <f>IF('1. Live'!BA141='check-Jul''26'!AW141,"",'1. Live'!BA141-'check-Jul''26'!AW141)</f>
        <v/>
      </c>
      <c r="AX123" s="25" t="str">
        <f>IF('1. Live'!BB141='check-Jul''26'!AX141,"",'1. Live'!BB141-'check-Jul''26'!AX141)</f>
        <v/>
      </c>
      <c r="AY123" s="25" t="str">
        <f>IF('1. Live'!BC141='check-Jul''26'!AY141,"",'1. Live'!BC141-'check-Jul''26'!AY141)</f>
        <v/>
      </c>
      <c r="AZ123" s="25" t="str">
        <f>IF('1. Live'!BD141='check-Jul''26'!AZ141,"",'1. Live'!BD141-'check-Jul''26'!AZ141)</f>
        <v/>
      </c>
      <c r="BA123" s="25" t="str">
        <f>IF('1. Live'!BE141='check-Jul''26'!BA141,"",'1. Live'!BE141-'check-Jul''26'!BA141)</f>
        <v/>
      </c>
      <c r="BB123" s="25" t="str">
        <f>IF('1. Live'!BF141='check-Jul''26'!BB141,"",'1. Live'!BF141-'check-Jul''26'!BB141)</f>
        <v/>
      </c>
      <c r="BC123" s="25" t="str">
        <f>IF('1. Live'!BG141='check-Jul''26'!BC141,"",'1. Live'!BG141-'check-Jul''26'!BC141)</f>
        <v/>
      </c>
      <c r="BD123" s="25" t="str">
        <f>IF('1. Live'!BH141='check-Jul''26'!BD141,"",'1. Live'!BH141-'check-Jul''26'!BD141)</f>
        <v/>
      </c>
      <c r="BE123" s="25" t="str">
        <f>IF('1. Live'!BI141='check-Jul''26'!BE141,"",'1. Live'!BI141-'check-Jul''26'!BE141)</f>
        <v/>
      </c>
      <c r="BF123" s="25" t="str">
        <f>IF('1. Live'!BJ141='check-Jul''26'!BF141,"",'1. Live'!BJ141-'check-Jul''26'!BF141)</f>
        <v/>
      </c>
      <c r="BG123" s="25" t="str">
        <f>IF('1. Live'!BK141='check-Jul''26'!BG141,"",'1. Live'!BK141-'check-Jul''26'!BG141)</f>
        <v/>
      </c>
      <c r="BH123" s="25" t="str">
        <f>IF('1. Live'!BL141='check-Jul''26'!BH141,"",'1. Live'!BL141-'check-Jul''26'!BH141)</f>
        <v/>
      </c>
      <c r="BI123" s="25" t="str">
        <f>IF('1. Live'!BM141='check-Jul''26'!BI141,"",'1. Live'!BM141-'check-Jul''26'!BI141)</f>
        <v/>
      </c>
      <c r="BJ123" s="25" t="str">
        <f>IF('1. Live'!BN141='check-Jul''26'!BJ141,"",'1. Live'!BN141-'check-Jul''26'!BJ141)</f>
        <v/>
      </c>
      <c r="BK123" s="25" t="str">
        <f>IF('1. Live'!BO141='check-Jul''26'!BK141,"",'1. Live'!BO141-'check-Jul''26'!BK141)</f>
        <v/>
      </c>
      <c r="BL123" s="25" t="str">
        <f>IF('1. Live'!BP141='check-Jul''26'!BL141,"",'1. Live'!BP141-'check-Jul''26'!BL141)</f>
        <v/>
      </c>
      <c r="BM123" s="25" t="str">
        <f>IF('1. Live'!BQ141='check-Jul''26'!BM141,"",'1. Live'!BQ141-'check-Jul''26'!BM141)</f>
        <v/>
      </c>
      <c r="BN123" s="25" t="str">
        <f>IF('1. Live'!BR141='check-Jul''26'!BN141,"",'1. Live'!BR141-'check-Jul''26'!BN141)</f>
        <v/>
      </c>
      <c r="BO123" s="25" t="str">
        <f>IF('1. Live'!BS141='check-Jul''26'!BO141,"",'1. Live'!BS141-'check-Jul''26'!BO141)</f>
        <v/>
      </c>
      <c r="BP123" s="25" t="str">
        <f>IF('1. Live'!BT141='check-Jul''26'!BP141,"",'1. Live'!BT141-'check-Jul''26'!BP141)</f>
        <v/>
      </c>
      <c r="BQ123" s="25" t="str">
        <f>IF('1. Live'!BU141='check-Jul''26'!BQ141,"",'1. Live'!BU141-'check-Jul''26'!BQ141)</f>
        <v/>
      </c>
      <c r="BR123" s="25" t="str">
        <f>IF('1. Live'!BV141='check-Jul''26'!BR141,"",'1. Live'!BV141-'check-Jul''26'!BR141)</f>
        <v/>
      </c>
      <c r="BS123" s="25" t="str">
        <f>IF('1. Live'!BW141='check-Jul''26'!BS141,"",'1. Live'!BW141-'check-Jul''26'!BS141)</f>
        <v/>
      </c>
      <c r="BT123" s="25" t="str">
        <f>IF('1. Live'!BX141='check-Jul''26'!BT141,"",'1. Live'!BX141-'check-Jul''26'!BT141)</f>
        <v/>
      </c>
      <c r="BU123" s="25" t="str">
        <f>IF('1. Live'!BY141='check-Jul''26'!BU141,"",'1. Live'!BY141-'check-Jul''26'!BU141)</f>
        <v/>
      </c>
      <c r="BV123" s="25" t="str">
        <f>IF('1. Live'!BZ141='check-Jul''26'!BV141,"",'1. Live'!BZ141-'check-Jul''26'!BV141)</f>
        <v/>
      </c>
      <c r="BW123" s="25" t="str">
        <f>IF('1. Live'!CA141='check-Jul''26'!BW141,"",'1. Live'!CA141-'check-Jul''26'!BW141)</f>
        <v/>
      </c>
      <c r="BX123" s="25" t="str">
        <f>IF('1. Live'!CB141='check-Jul''26'!BX141,"",'1. Live'!CB141-'check-Jul''26'!BX141)</f>
        <v/>
      </c>
      <c r="BY123" s="25" t="str">
        <f>IF('1. Live'!CC141='check-Jul''26'!BY141,"",'1. Live'!CC141-'check-Jul''26'!BY141)</f>
        <v/>
      </c>
      <c r="BZ123" s="25" t="str">
        <f>IF('1. Live'!CD141='check-Jul''26'!BZ141,"",'1. Live'!CD141-'check-Jul''26'!BZ141)</f>
        <v/>
      </c>
      <c r="CA123" s="25" t="str">
        <f>IF('1. Live'!CE141='check-Jul''26'!CA141,"",'1. Live'!CE141-'check-Jul''26'!CA141)</f>
        <v/>
      </c>
      <c r="CB123" s="25" t="str">
        <f>IF('1. Live'!CF141='check-Jul''26'!CB141,"",'1. Live'!CF141-'check-Jul''26'!CB141)</f>
        <v/>
      </c>
      <c r="CC123" s="25" t="str">
        <f>IF('1. Live'!CG141='check-Jul''26'!CC141,"",'1. Live'!CG141-'check-Jul''26'!CC141)</f>
        <v/>
      </c>
      <c r="CD123" s="25" t="str">
        <f>IF('1. Live'!CH141='check-Jul''26'!CD141,"",'1. Live'!CH141-'check-Jul''26'!CD141)</f>
        <v/>
      </c>
      <c r="CE123" s="25" t="str">
        <f>IF('1. Live'!CI141='check-Jul''26'!CE141,"",'1. Live'!CI141-'check-Jul''26'!CE141)</f>
        <v/>
      </c>
      <c r="CF123" s="25" t="str">
        <f>IF('1. Live'!CJ141='check-Jul''26'!CF141,"",'1. Live'!CJ141-'check-Jul''26'!CF141)</f>
        <v/>
      </c>
      <c r="CG123" s="25" t="str">
        <f>IF('1. Live'!CK141='check-Jul''26'!CG141,"",'1. Live'!CK141-'check-Jul''26'!CG141)</f>
        <v/>
      </c>
      <c r="CH123" s="25" t="str">
        <f>IF('1. Live'!CL141='check-Jul''26'!CH141,"",'1. Live'!CL141-'check-Jul''26'!CH141)</f>
        <v/>
      </c>
      <c r="CI123" s="25" t="str">
        <f>IF('1. Live'!CM141='check-Jul''26'!CI141,"",'1. Live'!CM141-'check-Jul''26'!CI141)</f>
        <v/>
      </c>
      <c r="CJ123" s="25" t="str">
        <f>IF('1. Live'!CN141='check-Jul''26'!CJ141,"",'1. Live'!CN141-'check-Jul''26'!CJ141)</f>
        <v/>
      </c>
      <c r="CK123" s="25" t="str">
        <f>IF('1. Live'!CO141='check-Jul''26'!CK141,"",'1. Live'!CO141-'check-Jul''26'!CK141)</f>
        <v/>
      </c>
      <c r="CL123" s="25" t="str">
        <f>IF('1. Live'!CP141='check-Jul''26'!CL141,"",'1. Live'!CP141-'check-Jul''26'!CL141)</f>
        <v/>
      </c>
      <c r="CM123" s="25" t="str">
        <f>IF('1. Live'!CQ141='check-Jul''26'!CM141,"",'1. Live'!CQ141-'check-Jul''26'!CM141)</f>
        <v/>
      </c>
      <c r="CN123" s="25" t="str">
        <f>IF('1. Live'!CR141='check-Jul''26'!CN141,"",'1. Live'!CR141-'check-Jul''26'!CN141)</f>
        <v/>
      </c>
      <c r="CO123" s="25" t="str">
        <f>IF('1. Live'!CS141='check-Jul''26'!CO141,"",'1. Live'!CS141-'check-Jul''26'!CO141)</f>
        <v/>
      </c>
      <c r="CP123" s="25" t="str">
        <f>IF('1. Live'!CT141='check-Jul''26'!CP141,"",'1. Live'!CT141-'check-Jul''26'!CP141)</f>
        <v/>
      </c>
      <c r="CQ123" s="25" t="str">
        <f>IF('1. Live'!CU141='check-Jul''26'!CQ141,"",'1. Live'!CU141-'check-Jul''26'!CQ141)</f>
        <v/>
      </c>
      <c r="CR123" s="25" t="str">
        <f>IF('1. Live'!CV141='check-Jul''26'!CR141,"",'1. Live'!CV141-'check-Jul''26'!CR141)</f>
        <v/>
      </c>
      <c r="CS123" s="25" t="str">
        <f>IF('1. Live'!CW141='check-Jul''26'!CS141,"",'1. Live'!CW141-'check-Jul''26'!CS141)</f>
        <v/>
      </c>
      <c r="CT123" s="25" t="str">
        <f>IF('1. Live'!CX141='check-Jul''26'!CT141,"",'1. Live'!CX141-'check-Jul''26'!CT141)</f>
        <v/>
      </c>
      <c r="CU123" s="25" t="str">
        <f>IF('1. Live'!CY141='check-Jul''26'!CU141,"",'1. Live'!CY141-'check-Jul''26'!CU141)</f>
        <v/>
      </c>
      <c r="CV123" s="25" t="str">
        <f>IF('1. Live'!CZ141='check-Jul''26'!CV141,"",'1. Live'!CZ141-'check-Jul''26'!CV141)</f>
        <v/>
      </c>
    </row>
    <row r="124" spans="17:100" x14ac:dyDescent="0.25">
      <c r="Q124" s="26" t="str">
        <f>IF('1. Live'!N142='check-Jul''26'!I142,"",'1. Live'!N142-'check-Jul''26'!I142)</f>
        <v/>
      </c>
      <c r="R124" s="26" t="str">
        <f>IF('1. Live'!O142='check-Jul''26'!J142,"",'1. Live'!O142-'check-Jul''26'!J142)</f>
        <v/>
      </c>
      <c r="S124" s="26" t="str">
        <f>IF('1. Live'!P142='check-Jul''26'!K142,"",'1. Live'!P142-'check-Jul''26'!K142)</f>
        <v/>
      </c>
      <c r="T124" s="26" t="str">
        <f>IF('1. Live'!Q142='check-Jul''26'!L142,"",'1. Live'!Q142-'check-Jul''26'!L142)</f>
        <v/>
      </c>
      <c r="U124" s="80" t="str">
        <f>IF('1. Live'!R142='check-Jul''26'!M142,"",'1. Live'!R142-'check-Jul''26'!M142)</f>
        <v/>
      </c>
      <c r="V124" s="26" t="str">
        <f>IF('1. Live'!S142='check-Jul''26'!N142,"",'1. Live'!S142-'check-Jul''26'!N142)</f>
        <v/>
      </c>
      <c r="W124" s="25" t="str">
        <f>IF('1. Live'!T142='check-Jul''26'!O142,"",'1. Live'!T142-'check-Jul''26'!O142)</f>
        <v/>
      </c>
      <c r="X124" s="25" t="str">
        <f>IF('1. Live'!U142='check-Jul''26'!Q142,"",'1. Live'!U142-'check-Jul''26'!Q142)</f>
        <v/>
      </c>
      <c r="Y124" s="25" t="str">
        <f>IF('1. Live'!V142='check-Jul''26'!R142,"",'1. Live'!V142-'check-Jul''26'!R142)</f>
        <v/>
      </c>
      <c r="Z124" s="25" t="str">
        <f>IF('1. Live'!W142='check-Jul''26'!S142,"",'1. Live'!W142-'check-Jul''26'!S142)</f>
        <v/>
      </c>
      <c r="AA124" s="25" t="str">
        <f>IF('1. Live'!X142='check-Jul''26'!T142,"",'1. Live'!X142-'check-Jul''26'!T142)</f>
        <v/>
      </c>
      <c r="AB124" s="25" t="str">
        <f>IF('1. Live'!AF142='check-Jul''26'!AB142,"",'1. Live'!AF142-'check-Jul''26'!AB142)</f>
        <v/>
      </c>
      <c r="AC124" s="25" t="str">
        <f>IF('1. Live'!AG142='check-Jul''26'!AC142,"",'1. Live'!AG142-'check-Jul''26'!AC142)</f>
        <v/>
      </c>
      <c r="AD124" s="25" t="str">
        <f>IF('1. Live'!AH142='check-Jul''26'!AD142,"",'1. Live'!AH142-'check-Jul''26'!AD142)</f>
        <v/>
      </c>
      <c r="AE124" s="25" t="str">
        <f>IF('1. Live'!AI142='check-Jul''26'!AE142,"",'1. Live'!AI142-'check-Jul''26'!AE142)</f>
        <v/>
      </c>
      <c r="AF124" s="25" t="str">
        <f>IF('1. Live'!AJ142='check-Jul''26'!AF142,"",'1. Live'!AJ142-'check-Jul''26'!AF142)</f>
        <v/>
      </c>
      <c r="AG124" s="25" t="str">
        <f>IF('1. Live'!AK142='check-Jul''26'!AG142,"",'1. Live'!AK142-'check-Jul''26'!AG142)</f>
        <v/>
      </c>
      <c r="AH124" s="25" t="str">
        <f>IF('1. Live'!AL142='check-Jul''26'!AH142,"",'1. Live'!AL142-'check-Jul''26'!AH142)</f>
        <v/>
      </c>
      <c r="AI124" s="25" t="str">
        <f>IF('1. Live'!AM142='check-Jul''26'!AI142,"",'1. Live'!AM142-'check-Jul''26'!AI142)</f>
        <v/>
      </c>
      <c r="AJ124" s="25" t="str">
        <f>IF('1. Live'!AN142='check-Jul''26'!AJ142,"",'1. Live'!AN142-'check-Jul''26'!AJ142)</f>
        <v/>
      </c>
      <c r="AK124" s="25" t="str">
        <f>IF('1. Live'!AO142='check-Jul''26'!AK142,"",'1. Live'!AO142-'check-Jul''26'!AK142)</f>
        <v/>
      </c>
      <c r="AL124" s="25" t="str">
        <f>IF('1. Live'!AP142='check-Jul''26'!AL142,"",'1. Live'!AP142-'check-Jul''26'!AL142)</f>
        <v/>
      </c>
      <c r="AM124" s="25" t="str">
        <f>IF('1. Live'!AQ142='check-Jul''26'!AM142,"",'1. Live'!AQ142-'check-Jul''26'!AM142)</f>
        <v/>
      </c>
      <c r="AN124" s="25" t="str">
        <f>IF('1. Live'!AR142='check-Jul''26'!AN142,"",'1. Live'!AR142-'check-Jul''26'!AN142)</f>
        <v/>
      </c>
      <c r="AO124" s="25" t="str">
        <f>IF('1. Live'!AS142='check-Jul''26'!AO142,"",'1. Live'!AS142-'check-Jul''26'!AO142)</f>
        <v/>
      </c>
      <c r="AP124" s="25" t="str">
        <f>IF('1. Live'!AT142='check-Jul''26'!AP142,"",'1. Live'!AT142-'check-Jul''26'!AP142)</f>
        <v/>
      </c>
      <c r="AQ124" s="25" t="str">
        <f>IF('1. Live'!AU142='check-Jul''26'!AQ142,"",'1. Live'!AU142-'check-Jul''26'!AQ142)</f>
        <v/>
      </c>
      <c r="AR124" s="25" t="str">
        <f>IF('1. Live'!AV142='check-Jul''26'!AR142,"",'1. Live'!AV142-'check-Jul''26'!AR142)</f>
        <v/>
      </c>
      <c r="AS124" s="25" t="str">
        <f>IF('1. Live'!AW142='check-Jul''26'!AS142,"",'1. Live'!AW142-'check-Jul''26'!AS142)</f>
        <v/>
      </c>
      <c r="AT124" s="25" t="str">
        <f>IF('1. Live'!AX142='check-Jul''26'!AT142,"",'1. Live'!AX142-'check-Jul''26'!AT142)</f>
        <v/>
      </c>
      <c r="AU124" s="25" t="str">
        <f>IF('1. Live'!AY142='check-Jul''26'!AU142,"",'1. Live'!AY142-'check-Jul''26'!AU142)</f>
        <v/>
      </c>
      <c r="AV124" s="25" t="str">
        <f>IF('1. Live'!AZ142='check-Jul''26'!AV142,"",'1. Live'!AZ142-'check-Jul''26'!AV142)</f>
        <v/>
      </c>
      <c r="AW124" s="25" t="str">
        <f>IF('1. Live'!BA142='check-Jul''26'!AW142,"",'1. Live'!BA142-'check-Jul''26'!AW142)</f>
        <v/>
      </c>
      <c r="AX124" s="25" t="str">
        <f>IF('1. Live'!BB142='check-Jul''26'!AX142,"",'1. Live'!BB142-'check-Jul''26'!AX142)</f>
        <v/>
      </c>
      <c r="AY124" s="25" t="str">
        <f>IF('1. Live'!BC142='check-Jul''26'!AY142,"",'1. Live'!BC142-'check-Jul''26'!AY142)</f>
        <v/>
      </c>
      <c r="AZ124" s="25" t="str">
        <f>IF('1. Live'!BD142='check-Jul''26'!AZ142,"",'1. Live'!BD142-'check-Jul''26'!AZ142)</f>
        <v/>
      </c>
      <c r="BA124" s="25" t="str">
        <f>IF('1. Live'!BE142='check-Jul''26'!BA142,"",'1. Live'!BE142-'check-Jul''26'!BA142)</f>
        <v/>
      </c>
      <c r="BB124" s="25" t="str">
        <f>IF('1. Live'!BF142='check-Jul''26'!BB142,"",'1. Live'!BF142-'check-Jul''26'!BB142)</f>
        <v/>
      </c>
      <c r="BC124" s="25" t="str">
        <f>IF('1. Live'!BG142='check-Jul''26'!BC142,"",'1. Live'!BG142-'check-Jul''26'!BC142)</f>
        <v/>
      </c>
      <c r="BD124" s="25" t="str">
        <f>IF('1. Live'!BH142='check-Jul''26'!BD142,"",'1. Live'!BH142-'check-Jul''26'!BD142)</f>
        <v/>
      </c>
      <c r="BE124" s="25" t="str">
        <f>IF('1. Live'!BI142='check-Jul''26'!BE142,"",'1. Live'!BI142-'check-Jul''26'!BE142)</f>
        <v/>
      </c>
      <c r="BF124" s="25" t="str">
        <f>IF('1. Live'!BJ142='check-Jul''26'!BF142,"",'1. Live'!BJ142-'check-Jul''26'!BF142)</f>
        <v/>
      </c>
      <c r="BG124" s="25" t="str">
        <f>IF('1. Live'!BK142='check-Jul''26'!BG142,"",'1. Live'!BK142-'check-Jul''26'!BG142)</f>
        <v/>
      </c>
      <c r="BH124" s="25" t="str">
        <f>IF('1. Live'!BL142='check-Jul''26'!BH142,"",'1. Live'!BL142-'check-Jul''26'!BH142)</f>
        <v/>
      </c>
      <c r="BI124" s="25" t="str">
        <f>IF('1. Live'!BM142='check-Jul''26'!BI142,"",'1. Live'!BM142-'check-Jul''26'!BI142)</f>
        <v/>
      </c>
      <c r="BJ124" s="25" t="str">
        <f>IF('1. Live'!BN142='check-Jul''26'!BJ142,"",'1. Live'!BN142-'check-Jul''26'!BJ142)</f>
        <v/>
      </c>
      <c r="BK124" s="25" t="str">
        <f>IF('1. Live'!BO142='check-Jul''26'!BK142,"",'1. Live'!BO142-'check-Jul''26'!BK142)</f>
        <v/>
      </c>
      <c r="BL124" s="25" t="str">
        <f>IF('1. Live'!BP142='check-Jul''26'!BL142,"",'1. Live'!BP142-'check-Jul''26'!BL142)</f>
        <v/>
      </c>
      <c r="BM124" s="25" t="str">
        <f>IF('1. Live'!BQ142='check-Jul''26'!BM142,"",'1. Live'!BQ142-'check-Jul''26'!BM142)</f>
        <v/>
      </c>
      <c r="BN124" s="25" t="str">
        <f>IF('1. Live'!BR142='check-Jul''26'!BN142,"",'1. Live'!BR142-'check-Jul''26'!BN142)</f>
        <v/>
      </c>
      <c r="BO124" s="25" t="str">
        <f>IF('1. Live'!BS142='check-Jul''26'!BO142,"",'1. Live'!BS142-'check-Jul''26'!BO142)</f>
        <v/>
      </c>
      <c r="BP124" s="25" t="str">
        <f>IF('1. Live'!BT142='check-Jul''26'!BP142,"",'1. Live'!BT142-'check-Jul''26'!BP142)</f>
        <v/>
      </c>
      <c r="BQ124" s="25" t="str">
        <f>IF('1. Live'!BU142='check-Jul''26'!BQ142,"",'1. Live'!BU142-'check-Jul''26'!BQ142)</f>
        <v/>
      </c>
      <c r="BR124" s="25" t="str">
        <f>IF('1. Live'!BV142='check-Jul''26'!BR142,"",'1. Live'!BV142-'check-Jul''26'!BR142)</f>
        <v/>
      </c>
      <c r="BS124" s="25" t="str">
        <f>IF('1. Live'!BW142='check-Jul''26'!BS142,"",'1. Live'!BW142-'check-Jul''26'!BS142)</f>
        <v/>
      </c>
      <c r="BT124" s="25" t="str">
        <f>IF('1. Live'!BX142='check-Jul''26'!BT142,"",'1. Live'!BX142-'check-Jul''26'!BT142)</f>
        <v/>
      </c>
      <c r="BU124" s="25" t="str">
        <f>IF('1. Live'!BY142='check-Jul''26'!BU142,"",'1. Live'!BY142-'check-Jul''26'!BU142)</f>
        <v/>
      </c>
      <c r="BV124" s="25" t="str">
        <f>IF('1. Live'!BZ142='check-Jul''26'!BV142,"",'1. Live'!BZ142-'check-Jul''26'!BV142)</f>
        <v/>
      </c>
      <c r="BW124" s="25" t="str">
        <f>IF('1. Live'!CA142='check-Jul''26'!BW142,"",'1. Live'!CA142-'check-Jul''26'!BW142)</f>
        <v/>
      </c>
      <c r="BX124" s="25" t="str">
        <f>IF('1. Live'!CB142='check-Jul''26'!BX142,"",'1. Live'!CB142-'check-Jul''26'!BX142)</f>
        <v/>
      </c>
      <c r="BY124" s="25" t="str">
        <f>IF('1. Live'!CC142='check-Jul''26'!BY142,"",'1. Live'!CC142-'check-Jul''26'!BY142)</f>
        <v/>
      </c>
      <c r="BZ124" s="25" t="str">
        <f>IF('1. Live'!CD142='check-Jul''26'!BZ142,"",'1. Live'!CD142-'check-Jul''26'!BZ142)</f>
        <v/>
      </c>
      <c r="CA124" s="25" t="str">
        <f>IF('1. Live'!CE142='check-Jul''26'!CA142,"",'1. Live'!CE142-'check-Jul''26'!CA142)</f>
        <v/>
      </c>
      <c r="CB124" s="25" t="str">
        <f>IF('1. Live'!CF142='check-Jul''26'!CB142,"",'1. Live'!CF142-'check-Jul''26'!CB142)</f>
        <v/>
      </c>
      <c r="CC124" s="25" t="str">
        <f>IF('1. Live'!CG142='check-Jul''26'!CC142,"",'1. Live'!CG142-'check-Jul''26'!CC142)</f>
        <v/>
      </c>
      <c r="CD124" s="25" t="str">
        <f>IF('1. Live'!CH142='check-Jul''26'!CD142,"",'1. Live'!CH142-'check-Jul''26'!CD142)</f>
        <v/>
      </c>
      <c r="CE124" s="25" t="str">
        <f>IF('1. Live'!CI142='check-Jul''26'!CE142,"",'1. Live'!CI142-'check-Jul''26'!CE142)</f>
        <v/>
      </c>
      <c r="CF124" s="25" t="str">
        <f>IF('1. Live'!CJ142='check-Jul''26'!CF142,"",'1. Live'!CJ142-'check-Jul''26'!CF142)</f>
        <v/>
      </c>
      <c r="CG124" s="25" t="str">
        <f>IF('1. Live'!CK142='check-Jul''26'!CG142,"",'1. Live'!CK142-'check-Jul''26'!CG142)</f>
        <v/>
      </c>
      <c r="CH124" s="25" t="str">
        <f>IF('1. Live'!CL142='check-Jul''26'!CH142,"",'1. Live'!CL142-'check-Jul''26'!CH142)</f>
        <v/>
      </c>
      <c r="CI124" s="25" t="str">
        <f>IF('1. Live'!CM142='check-Jul''26'!CI142,"",'1. Live'!CM142-'check-Jul''26'!CI142)</f>
        <v/>
      </c>
      <c r="CJ124" s="25" t="str">
        <f>IF('1. Live'!CN142='check-Jul''26'!CJ142,"",'1. Live'!CN142-'check-Jul''26'!CJ142)</f>
        <v/>
      </c>
      <c r="CK124" s="25" t="str">
        <f>IF('1. Live'!CO142='check-Jul''26'!CK142,"",'1. Live'!CO142-'check-Jul''26'!CK142)</f>
        <v/>
      </c>
      <c r="CL124" s="25" t="str">
        <f>IF('1. Live'!CP142='check-Jul''26'!CL142,"",'1. Live'!CP142-'check-Jul''26'!CL142)</f>
        <v/>
      </c>
      <c r="CM124" s="25" t="str">
        <f>IF('1. Live'!CQ142='check-Jul''26'!CM142,"",'1. Live'!CQ142-'check-Jul''26'!CM142)</f>
        <v/>
      </c>
      <c r="CN124" s="25" t="str">
        <f>IF('1. Live'!CR142='check-Jul''26'!CN142,"",'1. Live'!CR142-'check-Jul''26'!CN142)</f>
        <v/>
      </c>
      <c r="CO124" s="25" t="str">
        <f>IF('1. Live'!CS142='check-Jul''26'!CO142,"",'1. Live'!CS142-'check-Jul''26'!CO142)</f>
        <v/>
      </c>
      <c r="CP124" s="25" t="str">
        <f>IF('1. Live'!CT142='check-Jul''26'!CP142,"",'1. Live'!CT142-'check-Jul''26'!CP142)</f>
        <v/>
      </c>
      <c r="CQ124" s="25" t="str">
        <f>IF('1. Live'!CU142='check-Jul''26'!CQ142,"",'1. Live'!CU142-'check-Jul''26'!CQ142)</f>
        <v/>
      </c>
      <c r="CR124" s="25" t="str">
        <f>IF('1. Live'!CV142='check-Jul''26'!CR142,"",'1. Live'!CV142-'check-Jul''26'!CR142)</f>
        <v/>
      </c>
      <c r="CS124" s="25" t="str">
        <f>IF('1. Live'!CW142='check-Jul''26'!CS142,"",'1. Live'!CW142-'check-Jul''26'!CS142)</f>
        <v/>
      </c>
      <c r="CT124" s="25" t="str">
        <f>IF('1. Live'!CX142='check-Jul''26'!CT142,"",'1. Live'!CX142-'check-Jul''26'!CT142)</f>
        <v/>
      </c>
      <c r="CU124" s="25" t="str">
        <f>IF('1. Live'!CY142='check-Jul''26'!CU142,"",'1. Live'!CY142-'check-Jul''26'!CU142)</f>
        <v/>
      </c>
      <c r="CV124" s="25" t="str">
        <f>IF('1. Live'!CZ142='check-Jul''26'!CV142,"",'1. Live'!CZ142-'check-Jul''26'!CV142)</f>
        <v/>
      </c>
    </row>
    <row r="125" spans="17:100" x14ac:dyDescent="0.25">
      <c r="Q125" s="26" t="str">
        <f>IF('1. Live'!N143='check-Jul''26'!I143,"",'1. Live'!N143-'check-Jul''26'!I143)</f>
        <v/>
      </c>
      <c r="R125" s="26" t="str">
        <f>IF('1. Live'!O143='check-Jul''26'!J143,"",'1. Live'!O143-'check-Jul''26'!J143)</f>
        <v/>
      </c>
      <c r="S125" s="26" t="str">
        <f>IF('1. Live'!P143='check-Jul''26'!K143,"",'1. Live'!P143-'check-Jul''26'!K143)</f>
        <v/>
      </c>
      <c r="T125" s="26" t="str">
        <f>IF('1. Live'!Q143='check-Jul''26'!L143,"",'1. Live'!Q143-'check-Jul''26'!L143)</f>
        <v/>
      </c>
      <c r="U125" s="80" t="str">
        <f>IF('1. Live'!R143='check-Jul''26'!M143,"",'1. Live'!R143-'check-Jul''26'!M143)</f>
        <v/>
      </c>
      <c r="V125" s="26" t="str">
        <f>IF('1. Live'!S143='check-Jul''26'!N143,"",'1. Live'!S143-'check-Jul''26'!N143)</f>
        <v/>
      </c>
      <c r="W125" s="25" t="str">
        <f>IF('1. Live'!T143='check-Jul''26'!O143,"",'1. Live'!T143-'check-Jul''26'!O143)</f>
        <v/>
      </c>
      <c r="X125" s="25" t="str">
        <f>IF('1. Live'!U143='check-Jul''26'!Q143,"",'1. Live'!U143-'check-Jul''26'!Q143)</f>
        <v/>
      </c>
      <c r="Y125" s="25" t="str">
        <f>IF('1. Live'!V143='check-Jul''26'!R143,"",'1. Live'!V143-'check-Jul''26'!R143)</f>
        <v/>
      </c>
      <c r="Z125" s="25" t="str">
        <f>IF('1. Live'!W143='check-Jul''26'!S143,"",'1. Live'!W143-'check-Jul''26'!S143)</f>
        <v/>
      </c>
      <c r="AA125" s="25" t="str">
        <f>IF('1. Live'!X143='check-Jul''26'!T143,"",'1. Live'!X143-'check-Jul''26'!T143)</f>
        <v/>
      </c>
      <c r="AB125" s="25" t="str">
        <f>IF('1. Live'!AF143='check-Jul''26'!AB143,"",'1. Live'!AF143-'check-Jul''26'!AB143)</f>
        <v/>
      </c>
      <c r="AC125" s="25" t="str">
        <f>IF('1. Live'!AG143='check-Jul''26'!AC143,"",'1. Live'!AG143-'check-Jul''26'!AC143)</f>
        <v/>
      </c>
      <c r="AD125" s="25" t="str">
        <f>IF('1. Live'!AH143='check-Jul''26'!AD143,"",'1. Live'!AH143-'check-Jul''26'!AD143)</f>
        <v/>
      </c>
      <c r="AE125" s="25" t="str">
        <f>IF('1. Live'!AI143='check-Jul''26'!AE143,"",'1. Live'!AI143-'check-Jul''26'!AE143)</f>
        <v/>
      </c>
      <c r="AF125" s="25" t="str">
        <f>IF('1. Live'!AJ143='check-Jul''26'!AF143,"",'1. Live'!AJ143-'check-Jul''26'!AF143)</f>
        <v/>
      </c>
      <c r="AG125" s="25" t="str">
        <f>IF('1. Live'!AK143='check-Jul''26'!AG143,"",'1. Live'!AK143-'check-Jul''26'!AG143)</f>
        <v/>
      </c>
      <c r="AH125" s="25" t="str">
        <f>IF('1. Live'!AL143='check-Jul''26'!AH143,"",'1. Live'!AL143-'check-Jul''26'!AH143)</f>
        <v/>
      </c>
      <c r="AI125" s="25" t="str">
        <f>IF('1. Live'!AM143='check-Jul''26'!AI143,"",'1. Live'!AM143-'check-Jul''26'!AI143)</f>
        <v/>
      </c>
      <c r="AJ125" s="25" t="str">
        <f>IF('1. Live'!AN143='check-Jul''26'!AJ143,"",'1. Live'!AN143-'check-Jul''26'!AJ143)</f>
        <v/>
      </c>
      <c r="AK125" s="25" t="str">
        <f>IF('1. Live'!AO143='check-Jul''26'!AK143,"",'1. Live'!AO143-'check-Jul''26'!AK143)</f>
        <v/>
      </c>
      <c r="AL125" s="25" t="str">
        <f>IF('1. Live'!AP143='check-Jul''26'!AL143,"",'1. Live'!AP143-'check-Jul''26'!AL143)</f>
        <v/>
      </c>
      <c r="AM125" s="25" t="str">
        <f>IF('1. Live'!AQ143='check-Jul''26'!AM143,"",'1. Live'!AQ143-'check-Jul''26'!AM143)</f>
        <v/>
      </c>
      <c r="AN125" s="25" t="str">
        <f>IF('1. Live'!AR143='check-Jul''26'!AN143,"",'1. Live'!AR143-'check-Jul''26'!AN143)</f>
        <v/>
      </c>
      <c r="AO125" s="25" t="str">
        <f>IF('1. Live'!AS143='check-Jul''26'!AO143,"",'1. Live'!AS143-'check-Jul''26'!AO143)</f>
        <v/>
      </c>
      <c r="AP125" s="25" t="str">
        <f>IF('1. Live'!AT143='check-Jul''26'!AP143,"",'1. Live'!AT143-'check-Jul''26'!AP143)</f>
        <v/>
      </c>
      <c r="AQ125" s="25" t="str">
        <f>IF('1. Live'!AU143='check-Jul''26'!AQ143,"",'1. Live'!AU143-'check-Jul''26'!AQ143)</f>
        <v/>
      </c>
      <c r="AR125" s="25" t="str">
        <f>IF('1. Live'!AV143='check-Jul''26'!AR143,"",'1. Live'!AV143-'check-Jul''26'!AR143)</f>
        <v/>
      </c>
      <c r="AS125" s="25" t="str">
        <f>IF('1. Live'!AW143='check-Jul''26'!AS143,"",'1. Live'!AW143-'check-Jul''26'!AS143)</f>
        <v/>
      </c>
      <c r="AT125" s="25" t="str">
        <f>IF('1. Live'!AX143='check-Jul''26'!AT143,"",'1. Live'!AX143-'check-Jul''26'!AT143)</f>
        <v/>
      </c>
      <c r="AU125" s="25" t="str">
        <f>IF('1. Live'!AY143='check-Jul''26'!AU143,"",'1. Live'!AY143-'check-Jul''26'!AU143)</f>
        <v/>
      </c>
      <c r="AV125" s="25" t="str">
        <f>IF('1. Live'!AZ143='check-Jul''26'!AV143,"",'1. Live'!AZ143-'check-Jul''26'!AV143)</f>
        <v/>
      </c>
      <c r="AW125" s="25" t="str">
        <f>IF('1. Live'!BA143='check-Jul''26'!AW143,"",'1. Live'!BA143-'check-Jul''26'!AW143)</f>
        <v/>
      </c>
      <c r="AX125" s="25" t="str">
        <f>IF('1. Live'!BB143='check-Jul''26'!AX143,"",'1. Live'!BB143-'check-Jul''26'!AX143)</f>
        <v/>
      </c>
      <c r="AY125" s="25" t="str">
        <f>IF('1. Live'!BC143='check-Jul''26'!AY143,"",'1. Live'!BC143-'check-Jul''26'!AY143)</f>
        <v/>
      </c>
      <c r="AZ125" s="25" t="str">
        <f>IF('1. Live'!BD143='check-Jul''26'!AZ143,"",'1. Live'!BD143-'check-Jul''26'!AZ143)</f>
        <v/>
      </c>
      <c r="BA125" s="25" t="str">
        <f>IF('1. Live'!BE143='check-Jul''26'!BA143,"",'1. Live'!BE143-'check-Jul''26'!BA143)</f>
        <v/>
      </c>
      <c r="BB125" s="25" t="str">
        <f>IF('1. Live'!BF143='check-Jul''26'!BB143,"",'1. Live'!BF143-'check-Jul''26'!BB143)</f>
        <v/>
      </c>
      <c r="BC125" s="25" t="str">
        <f>IF('1. Live'!BG143='check-Jul''26'!BC143,"",'1. Live'!BG143-'check-Jul''26'!BC143)</f>
        <v/>
      </c>
      <c r="BD125" s="25" t="str">
        <f>IF('1. Live'!BH143='check-Jul''26'!BD143,"",'1. Live'!BH143-'check-Jul''26'!BD143)</f>
        <v/>
      </c>
      <c r="BE125" s="25" t="str">
        <f>IF('1. Live'!BI143='check-Jul''26'!BE143,"",'1. Live'!BI143-'check-Jul''26'!BE143)</f>
        <v/>
      </c>
      <c r="BF125" s="25" t="str">
        <f>IF('1. Live'!BJ143='check-Jul''26'!BF143,"",'1. Live'!BJ143-'check-Jul''26'!BF143)</f>
        <v/>
      </c>
      <c r="BG125" s="25" t="str">
        <f>IF('1. Live'!BK143='check-Jul''26'!BG143,"",'1. Live'!BK143-'check-Jul''26'!BG143)</f>
        <v/>
      </c>
      <c r="BH125" s="25" t="str">
        <f>IF('1. Live'!BL143='check-Jul''26'!BH143,"",'1. Live'!BL143-'check-Jul''26'!BH143)</f>
        <v/>
      </c>
      <c r="BI125" s="25" t="str">
        <f>IF('1. Live'!BM143='check-Jul''26'!BI143,"",'1. Live'!BM143-'check-Jul''26'!BI143)</f>
        <v/>
      </c>
      <c r="BJ125" s="25" t="str">
        <f>IF('1. Live'!BN143='check-Jul''26'!BJ143,"",'1. Live'!BN143-'check-Jul''26'!BJ143)</f>
        <v/>
      </c>
      <c r="BK125" s="25" t="str">
        <f>IF('1. Live'!BO143='check-Jul''26'!BK143,"",'1. Live'!BO143-'check-Jul''26'!BK143)</f>
        <v/>
      </c>
      <c r="BL125" s="25" t="str">
        <f>IF('1. Live'!BP143='check-Jul''26'!BL143,"",'1. Live'!BP143-'check-Jul''26'!BL143)</f>
        <v/>
      </c>
      <c r="BM125" s="25" t="str">
        <f>IF('1. Live'!BQ143='check-Jul''26'!BM143,"",'1. Live'!BQ143-'check-Jul''26'!BM143)</f>
        <v/>
      </c>
      <c r="BN125" s="25" t="str">
        <f>IF('1. Live'!BR143='check-Jul''26'!BN143,"",'1. Live'!BR143-'check-Jul''26'!BN143)</f>
        <v/>
      </c>
      <c r="BO125" s="25" t="str">
        <f>IF('1. Live'!BS143='check-Jul''26'!BO143,"",'1. Live'!BS143-'check-Jul''26'!BO143)</f>
        <v/>
      </c>
      <c r="BP125" s="25" t="str">
        <f>IF('1. Live'!BT143='check-Jul''26'!BP143,"",'1. Live'!BT143-'check-Jul''26'!BP143)</f>
        <v/>
      </c>
      <c r="BQ125" s="25" t="str">
        <f>IF('1. Live'!BU143='check-Jul''26'!BQ143,"",'1. Live'!BU143-'check-Jul''26'!BQ143)</f>
        <v/>
      </c>
      <c r="BR125" s="25" t="str">
        <f>IF('1. Live'!BV143='check-Jul''26'!BR143,"",'1. Live'!BV143-'check-Jul''26'!BR143)</f>
        <v/>
      </c>
      <c r="BS125" s="25" t="str">
        <f>IF('1. Live'!BW143='check-Jul''26'!BS143,"",'1. Live'!BW143-'check-Jul''26'!BS143)</f>
        <v/>
      </c>
      <c r="BT125" s="25" t="str">
        <f>IF('1. Live'!BX143='check-Jul''26'!BT143,"",'1. Live'!BX143-'check-Jul''26'!BT143)</f>
        <v/>
      </c>
      <c r="BU125" s="25" t="str">
        <f>IF('1. Live'!BY143='check-Jul''26'!BU143,"",'1. Live'!BY143-'check-Jul''26'!BU143)</f>
        <v/>
      </c>
      <c r="BV125" s="25" t="str">
        <f>IF('1. Live'!BZ143='check-Jul''26'!BV143,"",'1. Live'!BZ143-'check-Jul''26'!BV143)</f>
        <v/>
      </c>
      <c r="BW125" s="25" t="str">
        <f>IF('1. Live'!CA143='check-Jul''26'!BW143,"",'1. Live'!CA143-'check-Jul''26'!BW143)</f>
        <v/>
      </c>
      <c r="BX125" s="25" t="str">
        <f>IF('1. Live'!CB143='check-Jul''26'!BX143,"",'1. Live'!CB143-'check-Jul''26'!BX143)</f>
        <v/>
      </c>
      <c r="BY125" s="25" t="str">
        <f>IF('1. Live'!CC143='check-Jul''26'!BY143,"",'1. Live'!CC143-'check-Jul''26'!BY143)</f>
        <v/>
      </c>
      <c r="BZ125" s="25" t="str">
        <f>IF('1. Live'!CD143='check-Jul''26'!BZ143,"",'1. Live'!CD143-'check-Jul''26'!BZ143)</f>
        <v/>
      </c>
      <c r="CA125" s="25" t="str">
        <f>IF('1. Live'!CE143='check-Jul''26'!CA143,"",'1. Live'!CE143-'check-Jul''26'!CA143)</f>
        <v/>
      </c>
      <c r="CB125" s="25" t="str">
        <f>IF('1. Live'!CF143='check-Jul''26'!CB143,"",'1. Live'!CF143-'check-Jul''26'!CB143)</f>
        <v/>
      </c>
      <c r="CC125" s="25" t="str">
        <f>IF('1. Live'!CG143='check-Jul''26'!CC143,"",'1. Live'!CG143-'check-Jul''26'!CC143)</f>
        <v/>
      </c>
      <c r="CD125" s="25" t="str">
        <f>IF('1. Live'!CH143='check-Jul''26'!CD143,"",'1. Live'!CH143-'check-Jul''26'!CD143)</f>
        <v/>
      </c>
      <c r="CE125" s="25" t="str">
        <f>IF('1. Live'!CI143='check-Jul''26'!CE143,"",'1. Live'!CI143-'check-Jul''26'!CE143)</f>
        <v/>
      </c>
      <c r="CF125" s="25" t="str">
        <f>IF('1. Live'!CJ143='check-Jul''26'!CF143,"",'1. Live'!CJ143-'check-Jul''26'!CF143)</f>
        <v/>
      </c>
      <c r="CG125" s="25" t="str">
        <f>IF('1. Live'!CK143='check-Jul''26'!CG143,"",'1. Live'!CK143-'check-Jul''26'!CG143)</f>
        <v/>
      </c>
      <c r="CH125" s="25" t="str">
        <f>IF('1. Live'!CL143='check-Jul''26'!CH143,"",'1. Live'!CL143-'check-Jul''26'!CH143)</f>
        <v/>
      </c>
      <c r="CI125" s="25" t="str">
        <f>IF('1. Live'!CM143='check-Jul''26'!CI143,"",'1. Live'!CM143-'check-Jul''26'!CI143)</f>
        <v/>
      </c>
      <c r="CJ125" s="25" t="str">
        <f>IF('1. Live'!CN143='check-Jul''26'!CJ143,"",'1. Live'!CN143-'check-Jul''26'!CJ143)</f>
        <v/>
      </c>
      <c r="CK125" s="25" t="str">
        <f>IF('1. Live'!CO143='check-Jul''26'!CK143,"",'1. Live'!CO143-'check-Jul''26'!CK143)</f>
        <v/>
      </c>
      <c r="CL125" s="25" t="str">
        <f>IF('1. Live'!CP143='check-Jul''26'!CL143,"",'1. Live'!CP143-'check-Jul''26'!CL143)</f>
        <v/>
      </c>
      <c r="CM125" s="25" t="str">
        <f>IF('1. Live'!CQ143='check-Jul''26'!CM143,"",'1. Live'!CQ143-'check-Jul''26'!CM143)</f>
        <v/>
      </c>
      <c r="CN125" s="25" t="str">
        <f>IF('1. Live'!CR143='check-Jul''26'!CN143,"",'1. Live'!CR143-'check-Jul''26'!CN143)</f>
        <v/>
      </c>
      <c r="CO125" s="25" t="str">
        <f>IF('1. Live'!CS143='check-Jul''26'!CO143,"",'1. Live'!CS143-'check-Jul''26'!CO143)</f>
        <v/>
      </c>
      <c r="CP125" s="25" t="str">
        <f>IF('1. Live'!CT143='check-Jul''26'!CP143,"",'1. Live'!CT143-'check-Jul''26'!CP143)</f>
        <v/>
      </c>
      <c r="CQ125" s="25" t="str">
        <f>IF('1. Live'!CU143='check-Jul''26'!CQ143,"",'1. Live'!CU143-'check-Jul''26'!CQ143)</f>
        <v/>
      </c>
      <c r="CR125" s="25" t="str">
        <f>IF('1. Live'!CV143='check-Jul''26'!CR143,"",'1. Live'!CV143-'check-Jul''26'!CR143)</f>
        <v/>
      </c>
      <c r="CS125" s="25" t="str">
        <f>IF('1. Live'!CW143='check-Jul''26'!CS143,"",'1. Live'!CW143-'check-Jul''26'!CS143)</f>
        <v/>
      </c>
      <c r="CT125" s="25" t="str">
        <f>IF('1. Live'!CX143='check-Jul''26'!CT143,"",'1. Live'!CX143-'check-Jul''26'!CT143)</f>
        <v/>
      </c>
      <c r="CU125" s="25" t="str">
        <f>IF('1. Live'!CY143='check-Jul''26'!CU143,"",'1. Live'!CY143-'check-Jul''26'!CU143)</f>
        <v/>
      </c>
      <c r="CV125" s="25" t="str">
        <f>IF('1. Live'!CZ143='check-Jul''26'!CV143,"",'1. Live'!CZ143-'check-Jul''26'!CV143)</f>
        <v/>
      </c>
    </row>
    <row r="126" spans="17:100" x14ac:dyDescent="0.25">
      <c r="Q126" s="26" t="str">
        <f>IF('1. Live'!N144='check-Jul''26'!I144,"",'1. Live'!N144-'check-Jul''26'!I144)</f>
        <v/>
      </c>
      <c r="R126" s="26" t="str">
        <f>IF('1. Live'!O144='check-Jul''26'!J144,"",'1. Live'!O144-'check-Jul''26'!J144)</f>
        <v/>
      </c>
      <c r="S126" s="26" t="str">
        <f>IF('1. Live'!P144='check-Jul''26'!K144,"",'1. Live'!P144-'check-Jul''26'!K144)</f>
        <v/>
      </c>
      <c r="T126" s="26" t="str">
        <f>IF('1. Live'!Q144='check-Jul''26'!L144,"",'1. Live'!Q144-'check-Jul''26'!L144)</f>
        <v/>
      </c>
      <c r="U126" s="80" t="str">
        <f>IF('1. Live'!R144='check-Jul''26'!M144,"",'1. Live'!R144-'check-Jul''26'!M144)</f>
        <v/>
      </c>
      <c r="V126" s="26" t="str">
        <f>IF('1. Live'!S144='check-Jul''26'!N144,"",'1. Live'!S144-'check-Jul''26'!N144)</f>
        <v/>
      </c>
      <c r="W126" s="25" t="str">
        <f>IF('1. Live'!T144='check-Jul''26'!O144,"",'1. Live'!T144-'check-Jul''26'!O144)</f>
        <v/>
      </c>
      <c r="X126" s="25" t="str">
        <f>IF('1. Live'!U144='check-Jul''26'!Q144,"",'1. Live'!U144-'check-Jul''26'!Q144)</f>
        <v/>
      </c>
      <c r="Y126" s="25" t="str">
        <f>IF('1. Live'!V144='check-Jul''26'!R144,"",'1. Live'!V144-'check-Jul''26'!R144)</f>
        <v/>
      </c>
      <c r="Z126" s="25" t="str">
        <f>IF('1. Live'!W144='check-Jul''26'!S144,"",'1. Live'!W144-'check-Jul''26'!S144)</f>
        <v/>
      </c>
      <c r="AA126" s="25" t="str">
        <f>IF('1. Live'!X144='check-Jul''26'!T144,"",'1. Live'!X144-'check-Jul''26'!T144)</f>
        <v/>
      </c>
      <c r="AB126" s="25" t="str">
        <f>IF('1. Live'!AF144='check-Jul''26'!AB144,"",'1. Live'!AF144-'check-Jul''26'!AB144)</f>
        <v/>
      </c>
      <c r="AC126" s="25" t="str">
        <f>IF('1. Live'!AG144='check-Jul''26'!AC144,"",'1. Live'!AG144-'check-Jul''26'!AC144)</f>
        <v/>
      </c>
      <c r="AD126" s="25" t="str">
        <f>IF('1. Live'!AH144='check-Jul''26'!AD144,"",'1. Live'!AH144-'check-Jul''26'!AD144)</f>
        <v/>
      </c>
      <c r="AE126" s="25" t="str">
        <f>IF('1. Live'!AI144='check-Jul''26'!AE144,"",'1. Live'!AI144-'check-Jul''26'!AE144)</f>
        <v/>
      </c>
      <c r="AF126" s="25" t="str">
        <f>IF('1. Live'!AJ144='check-Jul''26'!AF144,"",'1. Live'!AJ144-'check-Jul''26'!AF144)</f>
        <v/>
      </c>
      <c r="AG126" s="25" t="str">
        <f>IF('1. Live'!AK144='check-Jul''26'!AG144,"",'1. Live'!AK144-'check-Jul''26'!AG144)</f>
        <v/>
      </c>
      <c r="AH126" s="25" t="str">
        <f>IF('1. Live'!AL144='check-Jul''26'!AH144,"",'1. Live'!AL144-'check-Jul''26'!AH144)</f>
        <v/>
      </c>
      <c r="AI126" s="25" t="str">
        <f>IF('1. Live'!AM144='check-Jul''26'!AI144,"",'1. Live'!AM144-'check-Jul''26'!AI144)</f>
        <v/>
      </c>
      <c r="AJ126" s="25" t="str">
        <f>IF('1. Live'!AN144='check-Jul''26'!AJ144,"",'1. Live'!AN144-'check-Jul''26'!AJ144)</f>
        <v/>
      </c>
      <c r="AK126" s="25" t="str">
        <f>IF('1. Live'!AO144='check-Jul''26'!AK144,"",'1. Live'!AO144-'check-Jul''26'!AK144)</f>
        <v/>
      </c>
      <c r="AL126" s="25" t="str">
        <f>IF('1. Live'!AP144='check-Jul''26'!AL144,"",'1. Live'!AP144-'check-Jul''26'!AL144)</f>
        <v/>
      </c>
      <c r="AM126" s="25" t="str">
        <f>IF('1. Live'!AQ144='check-Jul''26'!AM144,"",'1. Live'!AQ144-'check-Jul''26'!AM144)</f>
        <v/>
      </c>
      <c r="AN126" s="25" t="str">
        <f>IF('1. Live'!AR144='check-Jul''26'!AN144,"",'1. Live'!AR144-'check-Jul''26'!AN144)</f>
        <v/>
      </c>
      <c r="AO126" s="25" t="str">
        <f>IF('1. Live'!AS144='check-Jul''26'!AO144,"",'1. Live'!AS144-'check-Jul''26'!AO144)</f>
        <v/>
      </c>
      <c r="AP126" s="25" t="str">
        <f>IF('1. Live'!AT144='check-Jul''26'!AP144,"",'1. Live'!AT144-'check-Jul''26'!AP144)</f>
        <v/>
      </c>
      <c r="AQ126" s="25" t="str">
        <f>IF('1. Live'!AU144='check-Jul''26'!AQ144,"",'1. Live'!AU144-'check-Jul''26'!AQ144)</f>
        <v/>
      </c>
      <c r="AR126" s="25" t="str">
        <f>IF('1. Live'!AV144='check-Jul''26'!AR144,"",'1. Live'!AV144-'check-Jul''26'!AR144)</f>
        <v/>
      </c>
      <c r="AS126" s="25" t="str">
        <f>IF('1. Live'!AW144='check-Jul''26'!AS144,"",'1. Live'!AW144-'check-Jul''26'!AS144)</f>
        <v/>
      </c>
      <c r="AT126" s="25" t="str">
        <f>IF('1. Live'!AX144='check-Jul''26'!AT144,"",'1. Live'!AX144-'check-Jul''26'!AT144)</f>
        <v/>
      </c>
      <c r="AU126" s="25" t="str">
        <f>IF('1. Live'!AY144='check-Jul''26'!AU144,"",'1. Live'!AY144-'check-Jul''26'!AU144)</f>
        <v/>
      </c>
      <c r="AV126" s="25" t="str">
        <f>IF('1. Live'!AZ144='check-Jul''26'!AV144,"",'1. Live'!AZ144-'check-Jul''26'!AV144)</f>
        <v/>
      </c>
      <c r="AW126" s="25" t="str">
        <f>IF('1. Live'!BA144='check-Jul''26'!AW144,"",'1. Live'!BA144-'check-Jul''26'!AW144)</f>
        <v/>
      </c>
      <c r="AX126" s="25" t="str">
        <f>IF('1. Live'!BB144='check-Jul''26'!AX144,"",'1. Live'!BB144-'check-Jul''26'!AX144)</f>
        <v/>
      </c>
      <c r="AY126" s="25" t="str">
        <f>IF('1. Live'!BC144='check-Jul''26'!AY144,"",'1. Live'!BC144-'check-Jul''26'!AY144)</f>
        <v/>
      </c>
      <c r="AZ126" s="25" t="str">
        <f>IF('1. Live'!BD144='check-Jul''26'!AZ144,"",'1. Live'!BD144-'check-Jul''26'!AZ144)</f>
        <v/>
      </c>
      <c r="BA126" s="25" t="str">
        <f>IF('1. Live'!BE144='check-Jul''26'!BA144,"",'1. Live'!BE144-'check-Jul''26'!BA144)</f>
        <v/>
      </c>
      <c r="BB126" s="25" t="str">
        <f>IF('1. Live'!BF144='check-Jul''26'!BB144,"",'1. Live'!BF144-'check-Jul''26'!BB144)</f>
        <v/>
      </c>
      <c r="BC126" s="25" t="str">
        <f>IF('1. Live'!BG144='check-Jul''26'!BC144,"",'1. Live'!BG144-'check-Jul''26'!BC144)</f>
        <v/>
      </c>
      <c r="BD126" s="25" t="str">
        <f>IF('1. Live'!BH144='check-Jul''26'!BD144,"",'1. Live'!BH144-'check-Jul''26'!BD144)</f>
        <v/>
      </c>
      <c r="BE126" s="25" t="str">
        <f>IF('1. Live'!BI144='check-Jul''26'!BE144,"",'1. Live'!BI144-'check-Jul''26'!BE144)</f>
        <v/>
      </c>
      <c r="BF126" s="25" t="str">
        <f>IF('1. Live'!BJ144='check-Jul''26'!BF144,"",'1. Live'!BJ144-'check-Jul''26'!BF144)</f>
        <v/>
      </c>
      <c r="BG126" s="25" t="str">
        <f>IF('1. Live'!BK144='check-Jul''26'!BG144,"",'1. Live'!BK144-'check-Jul''26'!BG144)</f>
        <v/>
      </c>
      <c r="BH126" s="25" t="str">
        <f>IF('1. Live'!BL144='check-Jul''26'!BH144,"",'1. Live'!BL144-'check-Jul''26'!BH144)</f>
        <v/>
      </c>
      <c r="BI126" s="25" t="str">
        <f>IF('1. Live'!BM144='check-Jul''26'!BI144,"",'1. Live'!BM144-'check-Jul''26'!BI144)</f>
        <v/>
      </c>
      <c r="BJ126" s="25" t="str">
        <f>IF('1. Live'!BN144='check-Jul''26'!BJ144,"",'1. Live'!BN144-'check-Jul''26'!BJ144)</f>
        <v/>
      </c>
      <c r="BK126" s="25" t="str">
        <f>IF('1. Live'!BO144='check-Jul''26'!BK144,"",'1. Live'!BO144-'check-Jul''26'!BK144)</f>
        <v/>
      </c>
      <c r="BL126" s="25" t="str">
        <f>IF('1. Live'!BP144='check-Jul''26'!BL144,"",'1. Live'!BP144-'check-Jul''26'!BL144)</f>
        <v/>
      </c>
      <c r="BM126" s="25" t="str">
        <f>IF('1. Live'!BQ144='check-Jul''26'!BM144,"",'1. Live'!BQ144-'check-Jul''26'!BM144)</f>
        <v/>
      </c>
      <c r="BN126" s="25" t="str">
        <f>IF('1. Live'!BR144='check-Jul''26'!BN144,"",'1. Live'!BR144-'check-Jul''26'!BN144)</f>
        <v/>
      </c>
      <c r="BO126" s="25" t="str">
        <f>IF('1. Live'!BS144='check-Jul''26'!BO144,"",'1. Live'!BS144-'check-Jul''26'!BO144)</f>
        <v/>
      </c>
      <c r="BP126" s="25" t="str">
        <f>IF('1. Live'!BT144='check-Jul''26'!BP144,"",'1. Live'!BT144-'check-Jul''26'!BP144)</f>
        <v/>
      </c>
      <c r="BQ126" s="25" t="str">
        <f>IF('1. Live'!BU144='check-Jul''26'!BQ144,"",'1. Live'!BU144-'check-Jul''26'!BQ144)</f>
        <v/>
      </c>
      <c r="BR126" s="25" t="str">
        <f>IF('1. Live'!BV144='check-Jul''26'!BR144,"",'1. Live'!BV144-'check-Jul''26'!BR144)</f>
        <v/>
      </c>
      <c r="BS126" s="25" t="str">
        <f>IF('1. Live'!BW144='check-Jul''26'!BS144,"",'1. Live'!BW144-'check-Jul''26'!BS144)</f>
        <v/>
      </c>
      <c r="BT126" s="25" t="str">
        <f>IF('1. Live'!BX144='check-Jul''26'!BT144,"",'1. Live'!BX144-'check-Jul''26'!BT144)</f>
        <v/>
      </c>
      <c r="BU126" s="25" t="str">
        <f>IF('1. Live'!BY144='check-Jul''26'!BU144,"",'1. Live'!BY144-'check-Jul''26'!BU144)</f>
        <v/>
      </c>
      <c r="BV126" s="25" t="str">
        <f>IF('1. Live'!BZ144='check-Jul''26'!BV144,"",'1. Live'!BZ144-'check-Jul''26'!BV144)</f>
        <v/>
      </c>
      <c r="BW126" s="25" t="str">
        <f>IF('1. Live'!CA144='check-Jul''26'!BW144,"",'1. Live'!CA144-'check-Jul''26'!BW144)</f>
        <v/>
      </c>
      <c r="BX126" s="25" t="str">
        <f>IF('1. Live'!CB144='check-Jul''26'!BX144,"",'1. Live'!CB144-'check-Jul''26'!BX144)</f>
        <v/>
      </c>
      <c r="BY126" s="25" t="str">
        <f>IF('1. Live'!CC144='check-Jul''26'!BY144,"",'1. Live'!CC144-'check-Jul''26'!BY144)</f>
        <v/>
      </c>
      <c r="BZ126" s="25" t="str">
        <f>IF('1. Live'!CD144='check-Jul''26'!BZ144,"",'1. Live'!CD144-'check-Jul''26'!BZ144)</f>
        <v/>
      </c>
      <c r="CA126" s="25" t="str">
        <f>IF('1. Live'!CE144='check-Jul''26'!CA144,"",'1. Live'!CE144-'check-Jul''26'!CA144)</f>
        <v/>
      </c>
      <c r="CB126" s="25" t="str">
        <f>IF('1. Live'!CF144='check-Jul''26'!CB144,"",'1. Live'!CF144-'check-Jul''26'!CB144)</f>
        <v/>
      </c>
      <c r="CC126" s="25" t="str">
        <f>IF('1. Live'!CG144='check-Jul''26'!CC144,"",'1. Live'!CG144-'check-Jul''26'!CC144)</f>
        <v/>
      </c>
      <c r="CD126" s="25" t="str">
        <f>IF('1. Live'!CH144='check-Jul''26'!CD144,"",'1. Live'!CH144-'check-Jul''26'!CD144)</f>
        <v/>
      </c>
      <c r="CE126" s="25" t="str">
        <f>IF('1. Live'!CI144='check-Jul''26'!CE144,"",'1. Live'!CI144-'check-Jul''26'!CE144)</f>
        <v/>
      </c>
      <c r="CF126" s="25" t="str">
        <f>IF('1. Live'!CJ144='check-Jul''26'!CF144,"",'1. Live'!CJ144-'check-Jul''26'!CF144)</f>
        <v/>
      </c>
      <c r="CG126" s="25" t="str">
        <f>IF('1. Live'!CK144='check-Jul''26'!CG144,"",'1. Live'!CK144-'check-Jul''26'!CG144)</f>
        <v/>
      </c>
      <c r="CH126" s="25" t="str">
        <f>IF('1. Live'!CL144='check-Jul''26'!CH144,"",'1. Live'!CL144-'check-Jul''26'!CH144)</f>
        <v/>
      </c>
      <c r="CI126" s="25" t="str">
        <f>IF('1. Live'!CM144='check-Jul''26'!CI144,"",'1. Live'!CM144-'check-Jul''26'!CI144)</f>
        <v/>
      </c>
      <c r="CJ126" s="25" t="str">
        <f>IF('1. Live'!CN144='check-Jul''26'!CJ144,"",'1. Live'!CN144-'check-Jul''26'!CJ144)</f>
        <v/>
      </c>
      <c r="CK126" s="25" t="str">
        <f>IF('1. Live'!CO144='check-Jul''26'!CK144,"",'1. Live'!CO144-'check-Jul''26'!CK144)</f>
        <v/>
      </c>
      <c r="CL126" s="25" t="str">
        <f>IF('1. Live'!CP144='check-Jul''26'!CL144,"",'1. Live'!CP144-'check-Jul''26'!CL144)</f>
        <v/>
      </c>
      <c r="CM126" s="25" t="str">
        <f>IF('1. Live'!CQ144='check-Jul''26'!CM144,"",'1. Live'!CQ144-'check-Jul''26'!CM144)</f>
        <v/>
      </c>
      <c r="CN126" s="25" t="str">
        <f>IF('1. Live'!CR144='check-Jul''26'!CN144,"",'1. Live'!CR144-'check-Jul''26'!CN144)</f>
        <v/>
      </c>
      <c r="CO126" s="25" t="str">
        <f>IF('1. Live'!CS144='check-Jul''26'!CO144,"",'1. Live'!CS144-'check-Jul''26'!CO144)</f>
        <v/>
      </c>
      <c r="CP126" s="25" t="str">
        <f>IF('1. Live'!CT144='check-Jul''26'!CP144,"",'1. Live'!CT144-'check-Jul''26'!CP144)</f>
        <v/>
      </c>
      <c r="CQ126" s="25" t="str">
        <f>IF('1. Live'!CU144='check-Jul''26'!CQ144,"",'1. Live'!CU144-'check-Jul''26'!CQ144)</f>
        <v/>
      </c>
      <c r="CR126" s="25" t="str">
        <f>IF('1. Live'!CV144='check-Jul''26'!CR144,"",'1. Live'!CV144-'check-Jul''26'!CR144)</f>
        <v/>
      </c>
      <c r="CS126" s="25" t="str">
        <f>IF('1. Live'!CW144='check-Jul''26'!CS144,"",'1. Live'!CW144-'check-Jul''26'!CS144)</f>
        <v/>
      </c>
      <c r="CT126" s="25" t="str">
        <f>IF('1. Live'!CX144='check-Jul''26'!CT144,"",'1. Live'!CX144-'check-Jul''26'!CT144)</f>
        <v/>
      </c>
      <c r="CU126" s="25" t="str">
        <f>IF('1. Live'!CY144='check-Jul''26'!CU144,"",'1. Live'!CY144-'check-Jul''26'!CU144)</f>
        <v/>
      </c>
      <c r="CV126" s="25" t="str">
        <f>IF('1. Live'!CZ144='check-Jul''26'!CV144,"",'1. Live'!CZ144-'check-Jul''26'!CV144)</f>
        <v/>
      </c>
    </row>
    <row r="127" spans="17:100" x14ac:dyDescent="0.25">
      <c r="Q127" s="26" t="str">
        <f>IF('1. Live'!N145='check-Jul''26'!I145,"",'1. Live'!N145-'check-Jul''26'!I145)</f>
        <v/>
      </c>
      <c r="R127" s="26" t="str">
        <f>IF('1. Live'!O145='check-Jul''26'!J145,"",'1. Live'!O145-'check-Jul''26'!J145)</f>
        <v/>
      </c>
      <c r="S127" s="26" t="str">
        <f>IF('1. Live'!P145='check-Jul''26'!K145,"",'1. Live'!P145-'check-Jul''26'!K145)</f>
        <v/>
      </c>
      <c r="T127" s="26" t="str">
        <f>IF('1. Live'!Q145='check-Jul''26'!L145,"",'1. Live'!Q145-'check-Jul''26'!L145)</f>
        <v/>
      </c>
      <c r="U127" s="80" t="str">
        <f>IF('1. Live'!R145='check-Jul''26'!M145,"",'1. Live'!R145-'check-Jul''26'!M145)</f>
        <v/>
      </c>
      <c r="V127" s="26" t="str">
        <f>IF('1. Live'!S145='check-Jul''26'!N145,"",'1. Live'!S145-'check-Jul''26'!N145)</f>
        <v/>
      </c>
      <c r="W127" s="25" t="str">
        <f>IF('1. Live'!T145='check-Jul''26'!O145,"",'1. Live'!T145-'check-Jul''26'!O145)</f>
        <v/>
      </c>
      <c r="X127" s="25" t="str">
        <f>IF('1. Live'!U145='check-Jul''26'!Q145,"",'1. Live'!U145-'check-Jul''26'!Q145)</f>
        <v/>
      </c>
      <c r="Y127" s="25" t="str">
        <f>IF('1. Live'!V145='check-Jul''26'!R145,"",'1. Live'!V145-'check-Jul''26'!R145)</f>
        <v/>
      </c>
      <c r="Z127" s="25" t="str">
        <f>IF('1. Live'!W145='check-Jul''26'!S145,"",'1. Live'!W145-'check-Jul''26'!S145)</f>
        <v/>
      </c>
      <c r="AA127" s="25" t="str">
        <f>IF('1. Live'!X145='check-Jul''26'!T145,"",'1. Live'!X145-'check-Jul''26'!T145)</f>
        <v/>
      </c>
      <c r="AB127" s="25" t="str">
        <f>IF('1. Live'!AF145='check-Jul''26'!AB145,"",'1. Live'!AF145-'check-Jul''26'!AB145)</f>
        <v/>
      </c>
      <c r="AC127" s="25" t="str">
        <f>IF('1. Live'!AG145='check-Jul''26'!AC145,"",'1. Live'!AG145-'check-Jul''26'!AC145)</f>
        <v/>
      </c>
      <c r="AD127" s="25" t="str">
        <f>IF('1. Live'!AH145='check-Jul''26'!AD145,"",'1. Live'!AH145-'check-Jul''26'!AD145)</f>
        <v/>
      </c>
      <c r="AE127" s="25" t="str">
        <f>IF('1. Live'!AI145='check-Jul''26'!AE145,"",'1. Live'!AI145-'check-Jul''26'!AE145)</f>
        <v/>
      </c>
      <c r="AF127" s="25" t="str">
        <f>IF('1. Live'!AJ145='check-Jul''26'!AF145,"",'1. Live'!AJ145-'check-Jul''26'!AF145)</f>
        <v/>
      </c>
      <c r="AG127" s="25" t="str">
        <f>IF('1. Live'!AK145='check-Jul''26'!AG145,"",'1. Live'!AK145-'check-Jul''26'!AG145)</f>
        <v/>
      </c>
      <c r="AH127" s="25" t="str">
        <f>IF('1. Live'!AL145='check-Jul''26'!AH145,"",'1. Live'!AL145-'check-Jul''26'!AH145)</f>
        <v/>
      </c>
      <c r="AI127" s="25" t="str">
        <f>IF('1. Live'!AM145='check-Jul''26'!AI145,"",'1. Live'!AM145-'check-Jul''26'!AI145)</f>
        <v/>
      </c>
      <c r="AJ127" s="25" t="str">
        <f>IF('1. Live'!AN145='check-Jul''26'!AJ145,"",'1. Live'!AN145-'check-Jul''26'!AJ145)</f>
        <v/>
      </c>
      <c r="AK127" s="25" t="str">
        <f>IF('1. Live'!AO145='check-Jul''26'!AK145,"",'1. Live'!AO145-'check-Jul''26'!AK145)</f>
        <v/>
      </c>
      <c r="AL127" s="25" t="str">
        <f>IF('1. Live'!AP145='check-Jul''26'!AL145,"",'1. Live'!AP145-'check-Jul''26'!AL145)</f>
        <v/>
      </c>
      <c r="AM127" s="25" t="str">
        <f>IF('1. Live'!AQ145='check-Jul''26'!AM145,"",'1. Live'!AQ145-'check-Jul''26'!AM145)</f>
        <v/>
      </c>
      <c r="AN127" s="25" t="str">
        <f>IF('1. Live'!AR145='check-Jul''26'!AN145,"",'1. Live'!AR145-'check-Jul''26'!AN145)</f>
        <v/>
      </c>
      <c r="AO127" s="25" t="str">
        <f>IF('1. Live'!AS145='check-Jul''26'!AO145,"",'1. Live'!AS145-'check-Jul''26'!AO145)</f>
        <v/>
      </c>
      <c r="AP127" s="25" t="str">
        <f>IF('1. Live'!AT145='check-Jul''26'!AP145,"",'1. Live'!AT145-'check-Jul''26'!AP145)</f>
        <v/>
      </c>
      <c r="AQ127" s="25" t="str">
        <f>IF('1. Live'!AU145='check-Jul''26'!AQ145,"",'1. Live'!AU145-'check-Jul''26'!AQ145)</f>
        <v/>
      </c>
      <c r="AR127" s="25" t="str">
        <f>IF('1. Live'!AV145='check-Jul''26'!AR145,"",'1. Live'!AV145-'check-Jul''26'!AR145)</f>
        <v/>
      </c>
      <c r="AS127" s="25" t="str">
        <f>IF('1. Live'!AW145='check-Jul''26'!AS145,"",'1. Live'!AW145-'check-Jul''26'!AS145)</f>
        <v/>
      </c>
      <c r="AT127" s="25" t="str">
        <f>IF('1. Live'!AX145='check-Jul''26'!AT145,"",'1. Live'!AX145-'check-Jul''26'!AT145)</f>
        <v/>
      </c>
      <c r="AU127" s="25" t="str">
        <f>IF('1. Live'!AY145='check-Jul''26'!AU145,"",'1. Live'!AY145-'check-Jul''26'!AU145)</f>
        <v/>
      </c>
      <c r="AV127" s="25" t="str">
        <f>IF('1. Live'!AZ145='check-Jul''26'!AV145,"",'1. Live'!AZ145-'check-Jul''26'!AV145)</f>
        <v/>
      </c>
      <c r="AW127" s="25" t="str">
        <f>IF('1. Live'!BA145='check-Jul''26'!AW145,"",'1. Live'!BA145-'check-Jul''26'!AW145)</f>
        <v/>
      </c>
      <c r="AX127" s="25" t="str">
        <f>IF('1. Live'!BB145='check-Jul''26'!AX145,"",'1. Live'!BB145-'check-Jul''26'!AX145)</f>
        <v/>
      </c>
      <c r="AY127" s="25" t="str">
        <f>IF('1. Live'!BC145='check-Jul''26'!AY145,"",'1. Live'!BC145-'check-Jul''26'!AY145)</f>
        <v/>
      </c>
      <c r="AZ127" s="25" t="str">
        <f>IF('1. Live'!BD145='check-Jul''26'!AZ145,"",'1. Live'!BD145-'check-Jul''26'!AZ145)</f>
        <v/>
      </c>
      <c r="BA127" s="25" t="str">
        <f>IF('1. Live'!BE145='check-Jul''26'!BA145,"",'1. Live'!BE145-'check-Jul''26'!BA145)</f>
        <v/>
      </c>
      <c r="BB127" s="25" t="str">
        <f>IF('1. Live'!BF145='check-Jul''26'!BB145,"",'1. Live'!BF145-'check-Jul''26'!BB145)</f>
        <v/>
      </c>
      <c r="BC127" s="25" t="str">
        <f>IF('1. Live'!BG145='check-Jul''26'!BC145,"",'1. Live'!BG145-'check-Jul''26'!BC145)</f>
        <v/>
      </c>
      <c r="BD127" s="25" t="str">
        <f>IF('1. Live'!BH145='check-Jul''26'!BD145,"",'1. Live'!BH145-'check-Jul''26'!BD145)</f>
        <v/>
      </c>
      <c r="BE127" s="25" t="str">
        <f>IF('1. Live'!BI145='check-Jul''26'!BE145,"",'1. Live'!BI145-'check-Jul''26'!BE145)</f>
        <v/>
      </c>
      <c r="BF127" s="25" t="str">
        <f>IF('1. Live'!BJ145='check-Jul''26'!BF145,"",'1. Live'!BJ145-'check-Jul''26'!BF145)</f>
        <v/>
      </c>
      <c r="BG127" s="25" t="str">
        <f>IF('1. Live'!BK145='check-Jul''26'!BG145,"",'1. Live'!BK145-'check-Jul''26'!BG145)</f>
        <v/>
      </c>
      <c r="BH127" s="25" t="str">
        <f>IF('1. Live'!BL145='check-Jul''26'!BH145,"",'1. Live'!BL145-'check-Jul''26'!BH145)</f>
        <v/>
      </c>
      <c r="BI127" s="25" t="str">
        <f>IF('1. Live'!BM145='check-Jul''26'!BI145,"",'1. Live'!BM145-'check-Jul''26'!BI145)</f>
        <v/>
      </c>
      <c r="BJ127" s="25" t="str">
        <f>IF('1. Live'!BN145='check-Jul''26'!BJ145,"",'1. Live'!BN145-'check-Jul''26'!BJ145)</f>
        <v/>
      </c>
      <c r="BK127" s="25" t="str">
        <f>IF('1. Live'!BO145='check-Jul''26'!BK145,"",'1. Live'!BO145-'check-Jul''26'!BK145)</f>
        <v/>
      </c>
      <c r="BL127" s="25" t="str">
        <f>IF('1. Live'!BP145='check-Jul''26'!BL145,"",'1. Live'!BP145-'check-Jul''26'!BL145)</f>
        <v/>
      </c>
      <c r="BM127" s="25" t="str">
        <f>IF('1. Live'!BQ145='check-Jul''26'!BM145,"",'1. Live'!BQ145-'check-Jul''26'!BM145)</f>
        <v/>
      </c>
      <c r="BN127" s="25" t="str">
        <f>IF('1. Live'!BR145='check-Jul''26'!BN145,"",'1. Live'!BR145-'check-Jul''26'!BN145)</f>
        <v/>
      </c>
      <c r="BO127" s="25" t="str">
        <f>IF('1. Live'!BS145='check-Jul''26'!BO145,"",'1. Live'!BS145-'check-Jul''26'!BO145)</f>
        <v/>
      </c>
      <c r="BP127" s="25" t="str">
        <f>IF('1. Live'!BT145='check-Jul''26'!BP145,"",'1. Live'!BT145-'check-Jul''26'!BP145)</f>
        <v/>
      </c>
      <c r="BQ127" s="25" t="str">
        <f>IF('1. Live'!BU145='check-Jul''26'!BQ145,"",'1. Live'!BU145-'check-Jul''26'!BQ145)</f>
        <v/>
      </c>
      <c r="BR127" s="25" t="str">
        <f>IF('1. Live'!BV145='check-Jul''26'!BR145,"",'1. Live'!BV145-'check-Jul''26'!BR145)</f>
        <v/>
      </c>
      <c r="BS127" s="25" t="str">
        <f>IF('1. Live'!BW145='check-Jul''26'!BS145,"",'1. Live'!BW145-'check-Jul''26'!BS145)</f>
        <v/>
      </c>
      <c r="BT127" s="25" t="str">
        <f>IF('1. Live'!BX145='check-Jul''26'!BT145,"",'1. Live'!BX145-'check-Jul''26'!BT145)</f>
        <v/>
      </c>
      <c r="BU127" s="25" t="str">
        <f>IF('1. Live'!BY145='check-Jul''26'!BU145,"",'1. Live'!BY145-'check-Jul''26'!BU145)</f>
        <v/>
      </c>
      <c r="BV127" s="25" t="str">
        <f>IF('1. Live'!BZ145='check-Jul''26'!BV145,"",'1. Live'!BZ145-'check-Jul''26'!BV145)</f>
        <v/>
      </c>
      <c r="BW127" s="25" t="str">
        <f>IF('1. Live'!CA145='check-Jul''26'!BW145,"",'1. Live'!CA145-'check-Jul''26'!BW145)</f>
        <v/>
      </c>
      <c r="BX127" s="25" t="str">
        <f>IF('1. Live'!CB145='check-Jul''26'!BX145,"",'1. Live'!CB145-'check-Jul''26'!BX145)</f>
        <v/>
      </c>
      <c r="BY127" s="25" t="str">
        <f>IF('1. Live'!CC145='check-Jul''26'!BY145,"",'1. Live'!CC145-'check-Jul''26'!BY145)</f>
        <v/>
      </c>
      <c r="BZ127" s="25" t="str">
        <f>IF('1. Live'!CD145='check-Jul''26'!BZ145,"",'1. Live'!CD145-'check-Jul''26'!BZ145)</f>
        <v/>
      </c>
      <c r="CA127" s="25" t="str">
        <f>IF('1. Live'!CE145='check-Jul''26'!CA145,"",'1. Live'!CE145-'check-Jul''26'!CA145)</f>
        <v/>
      </c>
      <c r="CB127" s="25" t="str">
        <f>IF('1. Live'!CF145='check-Jul''26'!CB145,"",'1. Live'!CF145-'check-Jul''26'!CB145)</f>
        <v/>
      </c>
      <c r="CC127" s="25" t="str">
        <f>IF('1. Live'!CG145='check-Jul''26'!CC145,"",'1. Live'!CG145-'check-Jul''26'!CC145)</f>
        <v/>
      </c>
      <c r="CD127" s="25" t="str">
        <f>IF('1. Live'!CH145='check-Jul''26'!CD145,"",'1. Live'!CH145-'check-Jul''26'!CD145)</f>
        <v/>
      </c>
      <c r="CE127" s="25" t="str">
        <f>IF('1. Live'!CI145='check-Jul''26'!CE145,"",'1. Live'!CI145-'check-Jul''26'!CE145)</f>
        <v/>
      </c>
      <c r="CF127" s="25" t="str">
        <f>IF('1. Live'!CJ145='check-Jul''26'!CF145,"",'1. Live'!CJ145-'check-Jul''26'!CF145)</f>
        <v/>
      </c>
      <c r="CG127" s="25" t="str">
        <f>IF('1. Live'!CK145='check-Jul''26'!CG145,"",'1. Live'!CK145-'check-Jul''26'!CG145)</f>
        <v/>
      </c>
      <c r="CH127" s="25" t="str">
        <f>IF('1. Live'!CL145='check-Jul''26'!CH145,"",'1. Live'!CL145-'check-Jul''26'!CH145)</f>
        <v/>
      </c>
      <c r="CI127" s="25" t="str">
        <f>IF('1. Live'!CM145='check-Jul''26'!CI145,"",'1. Live'!CM145-'check-Jul''26'!CI145)</f>
        <v/>
      </c>
      <c r="CJ127" s="25" t="str">
        <f>IF('1. Live'!CN145='check-Jul''26'!CJ145,"",'1. Live'!CN145-'check-Jul''26'!CJ145)</f>
        <v/>
      </c>
      <c r="CK127" s="25" t="str">
        <f>IF('1. Live'!CO145='check-Jul''26'!CK145,"",'1. Live'!CO145-'check-Jul''26'!CK145)</f>
        <v/>
      </c>
      <c r="CL127" s="25" t="str">
        <f>IF('1. Live'!CP145='check-Jul''26'!CL145,"",'1. Live'!CP145-'check-Jul''26'!CL145)</f>
        <v/>
      </c>
      <c r="CM127" s="25" t="str">
        <f>IF('1. Live'!CQ145='check-Jul''26'!CM145,"",'1. Live'!CQ145-'check-Jul''26'!CM145)</f>
        <v/>
      </c>
      <c r="CN127" s="25" t="str">
        <f>IF('1. Live'!CR145='check-Jul''26'!CN145,"",'1. Live'!CR145-'check-Jul''26'!CN145)</f>
        <v/>
      </c>
      <c r="CO127" s="25" t="str">
        <f>IF('1. Live'!CS145='check-Jul''26'!CO145,"",'1. Live'!CS145-'check-Jul''26'!CO145)</f>
        <v/>
      </c>
      <c r="CP127" s="25" t="str">
        <f>IF('1. Live'!CT145='check-Jul''26'!CP145,"",'1. Live'!CT145-'check-Jul''26'!CP145)</f>
        <v/>
      </c>
      <c r="CQ127" s="25" t="str">
        <f>IF('1. Live'!CU145='check-Jul''26'!CQ145,"",'1. Live'!CU145-'check-Jul''26'!CQ145)</f>
        <v/>
      </c>
      <c r="CR127" s="25" t="str">
        <f>IF('1. Live'!CV145='check-Jul''26'!CR145,"",'1. Live'!CV145-'check-Jul''26'!CR145)</f>
        <v/>
      </c>
      <c r="CS127" s="25" t="str">
        <f>IF('1. Live'!CW145='check-Jul''26'!CS145,"",'1. Live'!CW145-'check-Jul''26'!CS145)</f>
        <v/>
      </c>
      <c r="CT127" s="25" t="str">
        <f>IF('1. Live'!CX145='check-Jul''26'!CT145,"",'1. Live'!CX145-'check-Jul''26'!CT145)</f>
        <v/>
      </c>
      <c r="CU127" s="25" t="str">
        <f>IF('1. Live'!CY145='check-Jul''26'!CU145,"",'1. Live'!CY145-'check-Jul''26'!CU145)</f>
        <v/>
      </c>
      <c r="CV127" s="25" t="str">
        <f>IF('1. Live'!CZ145='check-Jul''26'!CV145,"",'1. Live'!CZ145-'check-Jul''26'!CV145)</f>
        <v/>
      </c>
    </row>
    <row r="128" spans="17:100" x14ac:dyDescent="0.25">
      <c r="Q128" s="26" t="str">
        <f>IF('1. Live'!N146='check-Jul''26'!I146,"",'1. Live'!N146-'check-Jul''26'!I146)</f>
        <v/>
      </c>
      <c r="R128" s="26" t="str">
        <f>IF('1. Live'!O146='check-Jul''26'!J146,"",'1. Live'!O146-'check-Jul''26'!J146)</f>
        <v/>
      </c>
      <c r="S128" s="26" t="str">
        <f>IF('1. Live'!P146='check-Jul''26'!K146,"",'1. Live'!P146-'check-Jul''26'!K146)</f>
        <v/>
      </c>
      <c r="T128" s="26" t="str">
        <f>IF('1. Live'!Q146='check-Jul''26'!L146,"",'1. Live'!Q146-'check-Jul''26'!L146)</f>
        <v/>
      </c>
      <c r="U128" s="80" t="str">
        <f>IF('1. Live'!R146='check-Jul''26'!M146,"",'1. Live'!R146-'check-Jul''26'!M146)</f>
        <v/>
      </c>
      <c r="V128" s="26" t="str">
        <f>IF('1. Live'!S146='check-Jul''26'!N146,"",'1. Live'!S146-'check-Jul''26'!N146)</f>
        <v/>
      </c>
      <c r="W128" s="25" t="str">
        <f>IF('1. Live'!T146='check-Jul''26'!O146,"",'1. Live'!T146-'check-Jul''26'!O146)</f>
        <v/>
      </c>
      <c r="X128" s="25" t="str">
        <f>IF('1. Live'!U146='check-Jul''26'!Q146,"",'1. Live'!U146-'check-Jul''26'!Q146)</f>
        <v/>
      </c>
      <c r="Y128" s="25" t="str">
        <f>IF('1. Live'!V146='check-Jul''26'!R146,"",'1. Live'!V146-'check-Jul''26'!R146)</f>
        <v/>
      </c>
      <c r="Z128" s="25" t="str">
        <f>IF('1. Live'!W146='check-Jul''26'!S146,"",'1. Live'!W146-'check-Jul''26'!S146)</f>
        <v/>
      </c>
      <c r="AA128" s="25" t="str">
        <f>IF('1. Live'!X146='check-Jul''26'!T146,"",'1. Live'!X146-'check-Jul''26'!T146)</f>
        <v/>
      </c>
      <c r="AB128" s="25" t="str">
        <f>IF('1. Live'!AF146='check-Jul''26'!AB146,"",'1. Live'!AF146-'check-Jul''26'!AB146)</f>
        <v/>
      </c>
      <c r="AC128" s="25" t="str">
        <f>IF('1. Live'!AG146='check-Jul''26'!AC146,"",'1. Live'!AG146-'check-Jul''26'!AC146)</f>
        <v/>
      </c>
      <c r="AD128" s="25" t="str">
        <f>IF('1. Live'!AH146='check-Jul''26'!AD146,"",'1. Live'!AH146-'check-Jul''26'!AD146)</f>
        <v/>
      </c>
      <c r="AE128" s="25" t="str">
        <f>IF('1. Live'!AI146='check-Jul''26'!AE146,"",'1. Live'!AI146-'check-Jul''26'!AE146)</f>
        <v/>
      </c>
      <c r="AF128" s="25" t="str">
        <f>IF('1. Live'!AJ146='check-Jul''26'!AF146,"",'1. Live'!AJ146-'check-Jul''26'!AF146)</f>
        <v/>
      </c>
      <c r="AG128" s="25" t="str">
        <f>IF('1. Live'!AK146='check-Jul''26'!AG146,"",'1. Live'!AK146-'check-Jul''26'!AG146)</f>
        <v/>
      </c>
      <c r="AH128" s="25" t="str">
        <f>IF('1. Live'!AL146='check-Jul''26'!AH146,"",'1. Live'!AL146-'check-Jul''26'!AH146)</f>
        <v/>
      </c>
      <c r="AI128" s="25" t="str">
        <f>IF('1. Live'!AM146='check-Jul''26'!AI146,"",'1. Live'!AM146-'check-Jul''26'!AI146)</f>
        <v/>
      </c>
      <c r="AJ128" s="25" t="str">
        <f>IF('1. Live'!AN146='check-Jul''26'!AJ146,"",'1. Live'!AN146-'check-Jul''26'!AJ146)</f>
        <v/>
      </c>
      <c r="AK128" s="25" t="str">
        <f>IF('1. Live'!AO146='check-Jul''26'!AK146,"",'1. Live'!AO146-'check-Jul''26'!AK146)</f>
        <v/>
      </c>
      <c r="AL128" s="25" t="str">
        <f>IF('1. Live'!AP146='check-Jul''26'!AL146,"",'1. Live'!AP146-'check-Jul''26'!AL146)</f>
        <v/>
      </c>
      <c r="AM128" s="25" t="str">
        <f>IF('1. Live'!AQ146='check-Jul''26'!AM146,"",'1. Live'!AQ146-'check-Jul''26'!AM146)</f>
        <v/>
      </c>
      <c r="AN128" s="25" t="str">
        <f>IF('1. Live'!AR146='check-Jul''26'!AN146,"",'1. Live'!AR146-'check-Jul''26'!AN146)</f>
        <v/>
      </c>
      <c r="AO128" s="25" t="str">
        <f>IF('1. Live'!AS146='check-Jul''26'!AO146,"",'1. Live'!AS146-'check-Jul''26'!AO146)</f>
        <v/>
      </c>
      <c r="AP128" s="25" t="str">
        <f>IF('1. Live'!AT146='check-Jul''26'!AP146,"",'1. Live'!AT146-'check-Jul''26'!AP146)</f>
        <v/>
      </c>
      <c r="AQ128" s="25" t="str">
        <f>IF('1. Live'!AU146='check-Jul''26'!AQ146,"",'1. Live'!AU146-'check-Jul''26'!AQ146)</f>
        <v/>
      </c>
      <c r="AR128" s="25" t="str">
        <f>IF('1. Live'!AV146='check-Jul''26'!AR146,"",'1. Live'!AV146-'check-Jul''26'!AR146)</f>
        <v/>
      </c>
      <c r="AS128" s="25" t="str">
        <f>IF('1. Live'!AW146='check-Jul''26'!AS146,"",'1. Live'!AW146-'check-Jul''26'!AS146)</f>
        <v/>
      </c>
      <c r="AT128" s="25" t="str">
        <f>IF('1. Live'!AX146='check-Jul''26'!AT146,"",'1. Live'!AX146-'check-Jul''26'!AT146)</f>
        <v/>
      </c>
      <c r="AU128" s="25" t="str">
        <f>IF('1. Live'!AY146='check-Jul''26'!AU146,"",'1. Live'!AY146-'check-Jul''26'!AU146)</f>
        <v/>
      </c>
      <c r="AV128" s="25" t="str">
        <f>IF('1. Live'!AZ146='check-Jul''26'!AV146,"",'1. Live'!AZ146-'check-Jul''26'!AV146)</f>
        <v/>
      </c>
      <c r="AW128" s="25" t="str">
        <f>IF('1. Live'!BA146='check-Jul''26'!AW146,"",'1. Live'!BA146-'check-Jul''26'!AW146)</f>
        <v/>
      </c>
      <c r="AX128" s="25" t="str">
        <f>IF('1. Live'!BB146='check-Jul''26'!AX146,"",'1. Live'!BB146-'check-Jul''26'!AX146)</f>
        <v/>
      </c>
      <c r="AY128" s="25" t="str">
        <f>IF('1. Live'!BC146='check-Jul''26'!AY146,"",'1. Live'!BC146-'check-Jul''26'!AY146)</f>
        <v/>
      </c>
      <c r="AZ128" s="25" t="str">
        <f>IF('1. Live'!BD146='check-Jul''26'!AZ146,"",'1. Live'!BD146-'check-Jul''26'!AZ146)</f>
        <v/>
      </c>
      <c r="BA128" s="25" t="str">
        <f>IF('1. Live'!BE146='check-Jul''26'!BA146,"",'1. Live'!BE146-'check-Jul''26'!BA146)</f>
        <v/>
      </c>
      <c r="BB128" s="25" t="str">
        <f>IF('1. Live'!BF146='check-Jul''26'!BB146,"",'1. Live'!BF146-'check-Jul''26'!BB146)</f>
        <v/>
      </c>
      <c r="BC128" s="25" t="str">
        <f>IF('1. Live'!BG146='check-Jul''26'!BC146,"",'1. Live'!BG146-'check-Jul''26'!BC146)</f>
        <v/>
      </c>
      <c r="BD128" s="25" t="str">
        <f>IF('1. Live'!BH146='check-Jul''26'!BD146,"",'1. Live'!BH146-'check-Jul''26'!BD146)</f>
        <v/>
      </c>
      <c r="BE128" s="25" t="str">
        <f>IF('1. Live'!BI146='check-Jul''26'!BE146,"",'1. Live'!BI146-'check-Jul''26'!BE146)</f>
        <v/>
      </c>
      <c r="BF128" s="25" t="str">
        <f>IF('1. Live'!BJ146='check-Jul''26'!BF146,"",'1. Live'!BJ146-'check-Jul''26'!BF146)</f>
        <v/>
      </c>
      <c r="BG128" s="25" t="str">
        <f>IF('1. Live'!BK146='check-Jul''26'!BG146,"",'1. Live'!BK146-'check-Jul''26'!BG146)</f>
        <v/>
      </c>
      <c r="BH128" s="25" t="str">
        <f>IF('1. Live'!BL146='check-Jul''26'!BH146,"",'1. Live'!BL146-'check-Jul''26'!BH146)</f>
        <v/>
      </c>
      <c r="BI128" s="25" t="str">
        <f>IF('1. Live'!BM146='check-Jul''26'!BI146,"",'1. Live'!BM146-'check-Jul''26'!BI146)</f>
        <v/>
      </c>
      <c r="BJ128" s="25" t="str">
        <f>IF('1. Live'!BN146='check-Jul''26'!BJ146,"",'1. Live'!BN146-'check-Jul''26'!BJ146)</f>
        <v/>
      </c>
      <c r="BK128" s="25" t="str">
        <f>IF('1. Live'!BO146='check-Jul''26'!BK146,"",'1. Live'!BO146-'check-Jul''26'!BK146)</f>
        <v/>
      </c>
      <c r="BL128" s="25" t="str">
        <f>IF('1. Live'!BP146='check-Jul''26'!BL146,"",'1. Live'!BP146-'check-Jul''26'!BL146)</f>
        <v/>
      </c>
      <c r="BM128" s="25" t="str">
        <f>IF('1. Live'!BQ146='check-Jul''26'!BM146,"",'1. Live'!BQ146-'check-Jul''26'!BM146)</f>
        <v/>
      </c>
      <c r="BN128" s="25" t="str">
        <f>IF('1. Live'!BR146='check-Jul''26'!BN146,"",'1. Live'!BR146-'check-Jul''26'!BN146)</f>
        <v/>
      </c>
      <c r="BO128" s="25" t="str">
        <f>IF('1. Live'!BS146='check-Jul''26'!BO146,"",'1. Live'!BS146-'check-Jul''26'!BO146)</f>
        <v/>
      </c>
      <c r="BP128" s="25" t="str">
        <f>IF('1. Live'!BT146='check-Jul''26'!BP146,"",'1. Live'!BT146-'check-Jul''26'!BP146)</f>
        <v/>
      </c>
      <c r="BQ128" s="25" t="str">
        <f>IF('1. Live'!BU146='check-Jul''26'!BQ146,"",'1. Live'!BU146-'check-Jul''26'!BQ146)</f>
        <v/>
      </c>
      <c r="BR128" s="25" t="str">
        <f>IF('1. Live'!BV146='check-Jul''26'!BR146,"",'1. Live'!BV146-'check-Jul''26'!BR146)</f>
        <v/>
      </c>
      <c r="BS128" s="25" t="str">
        <f>IF('1. Live'!BW146='check-Jul''26'!BS146,"",'1. Live'!BW146-'check-Jul''26'!BS146)</f>
        <v/>
      </c>
      <c r="BT128" s="25" t="str">
        <f>IF('1. Live'!BX146='check-Jul''26'!BT146,"",'1. Live'!BX146-'check-Jul''26'!BT146)</f>
        <v/>
      </c>
      <c r="BU128" s="25" t="str">
        <f>IF('1. Live'!BY146='check-Jul''26'!BU146,"",'1. Live'!BY146-'check-Jul''26'!BU146)</f>
        <v/>
      </c>
      <c r="BV128" s="25" t="str">
        <f>IF('1. Live'!BZ146='check-Jul''26'!BV146,"",'1. Live'!BZ146-'check-Jul''26'!BV146)</f>
        <v/>
      </c>
      <c r="BW128" s="25" t="str">
        <f>IF('1. Live'!CA146='check-Jul''26'!BW146,"",'1. Live'!CA146-'check-Jul''26'!BW146)</f>
        <v/>
      </c>
      <c r="BX128" s="25" t="str">
        <f>IF('1. Live'!CB146='check-Jul''26'!BX146,"",'1. Live'!CB146-'check-Jul''26'!BX146)</f>
        <v/>
      </c>
      <c r="BY128" s="25" t="str">
        <f>IF('1. Live'!CC146='check-Jul''26'!BY146,"",'1. Live'!CC146-'check-Jul''26'!BY146)</f>
        <v/>
      </c>
      <c r="BZ128" s="25" t="str">
        <f>IF('1. Live'!CD146='check-Jul''26'!BZ146,"",'1. Live'!CD146-'check-Jul''26'!BZ146)</f>
        <v/>
      </c>
      <c r="CA128" s="25" t="str">
        <f>IF('1. Live'!CE146='check-Jul''26'!CA146,"",'1. Live'!CE146-'check-Jul''26'!CA146)</f>
        <v/>
      </c>
      <c r="CB128" s="25" t="str">
        <f>IF('1. Live'!CF146='check-Jul''26'!CB146,"",'1. Live'!CF146-'check-Jul''26'!CB146)</f>
        <v/>
      </c>
      <c r="CC128" s="25" t="str">
        <f>IF('1. Live'!CG146='check-Jul''26'!CC146,"",'1. Live'!CG146-'check-Jul''26'!CC146)</f>
        <v/>
      </c>
      <c r="CD128" s="25" t="str">
        <f>IF('1. Live'!CH146='check-Jul''26'!CD146,"",'1. Live'!CH146-'check-Jul''26'!CD146)</f>
        <v/>
      </c>
      <c r="CE128" s="25" t="str">
        <f>IF('1. Live'!CI146='check-Jul''26'!CE146,"",'1. Live'!CI146-'check-Jul''26'!CE146)</f>
        <v/>
      </c>
      <c r="CF128" s="25" t="str">
        <f>IF('1. Live'!CJ146='check-Jul''26'!CF146,"",'1. Live'!CJ146-'check-Jul''26'!CF146)</f>
        <v/>
      </c>
      <c r="CG128" s="25" t="str">
        <f>IF('1. Live'!CK146='check-Jul''26'!CG146,"",'1. Live'!CK146-'check-Jul''26'!CG146)</f>
        <v/>
      </c>
      <c r="CH128" s="25" t="str">
        <f>IF('1. Live'!CL146='check-Jul''26'!CH146,"",'1. Live'!CL146-'check-Jul''26'!CH146)</f>
        <v/>
      </c>
      <c r="CI128" s="25" t="str">
        <f>IF('1. Live'!CM146='check-Jul''26'!CI146,"",'1. Live'!CM146-'check-Jul''26'!CI146)</f>
        <v/>
      </c>
      <c r="CJ128" s="25" t="str">
        <f>IF('1. Live'!CN146='check-Jul''26'!CJ146,"",'1. Live'!CN146-'check-Jul''26'!CJ146)</f>
        <v/>
      </c>
      <c r="CK128" s="25" t="str">
        <f>IF('1. Live'!CO146='check-Jul''26'!CK146,"",'1. Live'!CO146-'check-Jul''26'!CK146)</f>
        <v/>
      </c>
      <c r="CL128" s="25" t="str">
        <f>IF('1. Live'!CP146='check-Jul''26'!CL146,"",'1. Live'!CP146-'check-Jul''26'!CL146)</f>
        <v/>
      </c>
      <c r="CM128" s="25" t="str">
        <f>IF('1. Live'!CQ146='check-Jul''26'!CM146,"",'1. Live'!CQ146-'check-Jul''26'!CM146)</f>
        <v/>
      </c>
      <c r="CN128" s="25" t="str">
        <f>IF('1. Live'!CR146='check-Jul''26'!CN146,"",'1. Live'!CR146-'check-Jul''26'!CN146)</f>
        <v/>
      </c>
      <c r="CO128" s="25" t="str">
        <f>IF('1. Live'!CS146='check-Jul''26'!CO146,"",'1. Live'!CS146-'check-Jul''26'!CO146)</f>
        <v/>
      </c>
      <c r="CP128" s="25" t="str">
        <f>IF('1. Live'!CT146='check-Jul''26'!CP146,"",'1. Live'!CT146-'check-Jul''26'!CP146)</f>
        <v/>
      </c>
      <c r="CQ128" s="25" t="str">
        <f>IF('1. Live'!CU146='check-Jul''26'!CQ146,"",'1. Live'!CU146-'check-Jul''26'!CQ146)</f>
        <v/>
      </c>
      <c r="CR128" s="25" t="str">
        <f>IF('1. Live'!CV146='check-Jul''26'!CR146,"",'1. Live'!CV146-'check-Jul''26'!CR146)</f>
        <v/>
      </c>
      <c r="CS128" s="25" t="str">
        <f>IF('1. Live'!CW146='check-Jul''26'!CS146,"",'1. Live'!CW146-'check-Jul''26'!CS146)</f>
        <v/>
      </c>
      <c r="CT128" s="25" t="str">
        <f>IF('1. Live'!CX146='check-Jul''26'!CT146,"",'1. Live'!CX146-'check-Jul''26'!CT146)</f>
        <v/>
      </c>
      <c r="CU128" s="25" t="str">
        <f>IF('1. Live'!CY146='check-Jul''26'!CU146,"",'1. Live'!CY146-'check-Jul''26'!CU146)</f>
        <v/>
      </c>
      <c r="CV128" s="25" t="str">
        <f>IF('1. Live'!CZ146='check-Jul''26'!CV146,"",'1. Live'!CZ146-'check-Jul''26'!CV146)</f>
        <v/>
      </c>
    </row>
    <row r="129" spans="17:100" x14ac:dyDescent="0.25">
      <c r="Q129" s="26" t="str">
        <f>IF('1. Live'!N147='check-Jul''26'!I147,"",'1. Live'!N147-'check-Jul''26'!I147)</f>
        <v/>
      </c>
      <c r="R129" s="26" t="str">
        <f>IF('1. Live'!O147='check-Jul''26'!J147,"",'1. Live'!O147-'check-Jul''26'!J147)</f>
        <v/>
      </c>
      <c r="S129" s="26" t="str">
        <f>IF('1. Live'!P147='check-Jul''26'!K147,"",'1. Live'!P147-'check-Jul''26'!K147)</f>
        <v/>
      </c>
      <c r="T129" s="26" t="str">
        <f>IF('1. Live'!Q147='check-Jul''26'!L147,"",'1. Live'!Q147-'check-Jul''26'!L147)</f>
        <v/>
      </c>
      <c r="U129" s="80" t="str">
        <f>IF('1. Live'!R147='check-Jul''26'!M147,"",'1. Live'!R147-'check-Jul''26'!M147)</f>
        <v/>
      </c>
      <c r="V129" s="26" t="str">
        <f>IF('1. Live'!S147='check-Jul''26'!N147,"",'1. Live'!S147-'check-Jul''26'!N147)</f>
        <v/>
      </c>
      <c r="W129" s="25" t="str">
        <f>IF('1. Live'!T147='check-Jul''26'!O147,"",'1. Live'!T147-'check-Jul''26'!O147)</f>
        <v/>
      </c>
      <c r="X129" s="25" t="str">
        <f>IF('1. Live'!U147='check-Jul''26'!Q147,"",'1. Live'!U147-'check-Jul''26'!Q147)</f>
        <v/>
      </c>
      <c r="Y129" s="25" t="str">
        <f>IF('1. Live'!V147='check-Jul''26'!R147,"",'1. Live'!V147-'check-Jul''26'!R147)</f>
        <v/>
      </c>
      <c r="Z129" s="25" t="str">
        <f>IF('1. Live'!W147='check-Jul''26'!S147,"",'1. Live'!W147-'check-Jul''26'!S147)</f>
        <v/>
      </c>
      <c r="AA129" s="25" t="str">
        <f>IF('1. Live'!X147='check-Jul''26'!T147,"",'1. Live'!X147-'check-Jul''26'!T147)</f>
        <v/>
      </c>
      <c r="AB129" s="25" t="str">
        <f>IF('1. Live'!AF147='check-Jul''26'!AB147,"",'1. Live'!AF147-'check-Jul''26'!AB147)</f>
        <v/>
      </c>
      <c r="AC129" s="25" t="str">
        <f>IF('1. Live'!AG147='check-Jul''26'!AC147,"",'1. Live'!AG147-'check-Jul''26'!AC147)</f>
        <v/>
      </c>
      <c r="AD129" s="25" t="str">
        <f>IF('1. Live'!AH147='check-Jul''26'!AD147,"",'1. Live'!AH147-'check-Jul''26'!AD147)</f>
        <v/>
      </c>
      <c r="AE129" s="25" t="str">
        <f>IF('1. Live'!AI147='check-Jul''26'!AE147,"",'1. Live'!AI147-'check-Jul''26'!AE147)</f>
        <v/>
      </c>
      <c r="AF129" s="25" t="str">
        <f>IF('1. Live'!AJ147='check-Jul''26'!AF147,"",'1. Live'!AJ147-'check-Jul''26'!AF147)</f>
        <v/>
      </c>
      <c r="AG129" s="25" t="str">
        <f>IF('1. Live'!AK147='check-Jul''26'!AG147,"",'1. Live'!AK147-'check-Jul''26'!AG147)</f>
        <v/>
      </c>
      <c r="AH129" s="25" t="str">
        <f>IF('1. Live'!AL147='check-Jul''26'!AH147,"",'1. Live'!AL147-'check-Jul''26'!AH147)</f>
        <v/>
      </c>
      <c r="AI129" s="25" t="str">
        <f>IF('1. Live'!AM147='check-Jul''26'!AI147,"",'1. Live'!AM147-'check-Jul''26'!AI147)</f>
        <v/>
      </c>
      <c r="AJ129" s="25" t="str">
        <f>IF('1. Live'!AN147='check-Jul''26'!AJ147,"",'1. Live'!AN147-'check-Jul''26'!AJ147)</f>
        <v/>
      </c>
      <c r="AK129" s="25" t="str">
        <f>IF('1. Live'!AO147='check-Jul''26'!AK147,"",'1. Live'!AO147-'check-Jul''26'!AK147)</f>
        <v/>
      </c>
      <c r="AL129" s="25" t="str">
        <f>IF('1. Live'!AP147='check-Jul''26'!AL147,"",'1. Live'!AP147-'check-Jul''26'!AL147)</f>
        <v/>
      </c>
      <c r="AM129" s="25" t="str">
        <f>IF('1. Live'!AQ147='check-Jul''26'!AM147,"",'1. Live'!AQ147-'check-Jul''26'!AM147)</f>
        <v/>
      </c>
      <c r="AN129" s="25" t="str">
        <f>IF('1. Live'!AR147='check-Jul''26'!AN147,"",'1. Live'!AR147-'check-Jul''26'!AN147)</f>
        <v/>
      </c>
      <c r="AO129" s="25" t="str">
        <f>IF('1. Live'!AS147='check-Jul''26'!AO147,"",'1. Live'!AS147-'check-Jul''26'!AO147)</f>
        <v/>
      </c>
      <c r="AP129" s="25" t="str">
        <f>IF('1. Live'!AT147='check-Jul''26'!AP147,"",'1. Live'!AT147-'check-Jul''26'!AP147)</f>
        <v/>
      </c>
      <c r="AQ129" s="25" t="str">
        <f>IF('1. Live'!AU147='check-Jul''26'!AQ147,"",'1. Live'!AU147-'check-Jul''26'!AQ147)</f>
        <v/>
      </c>
      <c r="AR129" s="25" t="str">
        <f>IF('1. Live'!AV147='check-Jul''26'!AR147,"",'1. Live'!AV147-'check-Jul''26'!AR147)</f>
        <v/>
      </c>
      <c r="AS129" s="25" t="str">
        <f>IF('1. Live'!AW147='check-Jul''26'!AS147,"",'1. Live'!AW147-'check-Jul''26'!AS147)</f>
        <v/>
      </c>
      <c r="AT129" s="25" t="str">
        <f>IF('1. Live'!AX147='check-Jul''26'!AT147,"",'1. Live'!AX147-'check-Jul''26'!AT147)</f>
        <v/>
      </c>
      <c r="AU129" s="25" t="str">
        <f>IF('1. Live'!AY147='check-Jul''26'!AU147,"",'1. Live'!AY147-'check-Jul''26'!AU147)</f>
        <v/>
      </c>
      <c r="AV129" s="25" t="str">
        <f>IF('1. Live'!AZ147='check-Jul''26'!AV147,"",'1. Live'!AZ147-'check-Jul''26'!AV147)</f>
        <v/>
      </c>
      <c r="AW129" s="25" t="str">
        <f>IF('1. Live'!BA147='check-Jul''26'!AW147,"",'1. Live'!BA147-'check-Jul''26'!AW147)</f>
        <v/>
      </c>
      <c r="AX129" s="25" t="str">
        <f>IF('1. Live'!BB147='check-Jul''26'!AX147,"",'1. Live'!BB147-'check-Jul''26'!AX147)</f>
        <v/>
      </c>
      <c r="AY129" s="25" t="str">
        <f>IF('1. Live'!BC147='check-Jul''26'!AY147,"",'1. Live'!BC147-'check-Jul''26'!AY147)</f>
        <v/>
      </c>
      <c r="AZ129" s="25" t="str">
        <f>IF('1. Live'!BD147='check-Jul''26'!AZ147,"",'1. Live'!BD147-'check-Jul''26'!AZ147)</f>
        <v/>
      </c>
      <c r="BA129" s="25" t="str">
        <f>IF('1. Live'!BE147='check-Jul''26'!BA147,"",'1. Live'!BE147-'check-Jul''26'!BA147)</f>
        <v/>
      </c>
      <c r="BB129" s="25" t="str">
        <f>IF('1. Live'!BF147='check-Jul''26'!BB147,"",'1. Live'!BF147-'check-Jul''26'!BB147)</f>
        <v/>
      </c>
      <c r="BC129" s="25" t="str">
        <f>IF('1. Live'!BG147='check-Jul''26'!BC147,"",'1. Live'!BG147-'check-Jul''26'!BC147)</f>
        <v/>
      </c>
      <c r="BD129" s="25" t="str">
        <f>IF('1. Live'!BH147='check-Jul''26'!BD147,"",'1. Live'!BH147-'check-Jul''26'!BD147)</f>
        <v/>
      </c>
      <c r="BE129" s="25" t="str">
        <f>IF('1. Live'!BI147='check-Jul''26'!BE147,"",'1. Live'!BI147-'check-Jul''26'!BE147)</f>
        <v/>
      </c>
      <c r="BF129" s="25" t="str">
        <f>IF('1. Live'!BJ147='check-Jul''26'!BF147,"",'1. Live'!BJ147-'check-Jul''26'!BF147)</f>
        <v/>
      </c>
      <c r="BG129" s="25" t="str">
        <f>IF('1. Live'!BK147='check-Jul''26'!BG147,"",'1. Live'!BK147-'check-Jul''26'!BG147)</f>
        <v/>
      </c>
      <c r="BH129" s="25" t="str">
        <f>IF('1. Live'!BL147='check-Jul''26'!BH147,"",'1. Live'!BL147-'check-Jul''26'!BH147)</f>
        <v/>
      </c>
      <c r="BI129" s="25" t="str">
        <f>IF('1. Live'!BM147='check-Jul''26'!BI147,"",'1. Live'!BM147-'check-Jul''26'!BI147)</f>
        <v/>
      </c>
      <c r="BJ129" s="25" t="str">
        <f>IF('1. Live'!BN147='check-Jul''26'!BJ147,"",'1. Live'!BN147-'check-Jul''26'!BJ147)</f>
        <v/>
      </c>
      <c r="BK129" s="25" t="str">
        <f>IF('1. Live'!BO147='check-Jul''26'!BK147,"",'1. Live'!BO147-'check-Jul''26'!BK147)</f>
        <v/>
      </c>
      <c r="BL129" s="25" t="str">
        <f>IF('1. Live'!BP147='check-Jul''26'!BL147,"",'1. Live'!BP147-'check-Jul''26'!BL147)</f>
        <v/>
      </c>
      <c r="BM129" s="25" t="str">
        <f>IF('1. Live'!BQ147='check-Jul''26'!BM147,"",'1. Live'!BQ147-'check-Jul''26'!BM147)</f>
        <v/>
      </c>
      <c r="BN129" s="25" t="str">
        <f>IF('1. Live'!BR147='check-Jul''26'!BN147,"",'1. Live'!BR147-'check-Jul''26'!BN147)</f>
        <v/>
      </c>
      <c r="BO129" s="25" t="str">
        <f>IF('1. Live'!BS147='check-Jul''26'!BO147,"",'1. Live'!BS147-'check-Jul''26'!BO147)</f>
        <v/>
      </c>
      <c r="BP129" s="25" t="str">
        <f>IF('1. Live'!BT147='check-Jul''26'!BP147,"",'1. Live'!BT147-'check-Jul''26'!BP147)</f>
        <v/>
      </c>
      <c r="BQ129" s="25" t="str">
        <f>IF('1. Live'!BU147='check-Jul''26'!BQ147,"",'1. Live'!BU147-'check-Jul''26'!BQ147)</f>
        <v/>
      </c>
      <c r="BR129" s="25" t="str">
        <f>IF('1. Live'!BV147='check-Jul''26'!BR147,"",'1. Live'!BV147-'check-Jul''26'!BR147)</f>
        <v/>
      </c>
      <c r="BS129" s="25" t="str">
        <f>IF('1. Live'!BW147='check-Jul''26'!BS147,"",'1. Live'!BW147-'check-Jul''26'!BS147)</f>
        <v/>
      </c>
      <c r="BT129" s="25" t="str">
        <f>IF('1. Live'!BX147='check-Jul''26'!BT147,"",'1. Live'!BX147-'check-Jul''26'!BT147)</f>
        <v/>
      </c>
      <c r="BU129" s="25" t="str">
        <f>IF('1. Live'!BY147='check-Jul''26'!BU147,"",'1. Live'!BY147-'check-Jul''26'!BU147)</f>
        <v/>
      </c>
      <c r="BV129" s="25" t="str">
        <f>IF('1. Live'!BZ147='check-Jul''26'!BV147,"",'1. Live'!BZ147-'check-Jul''26'!BV147)</f>
        <v/>
      </c>
      <c r="BW129" s="25" t="str">
        <f>IF('1. Live'!CA147='check-Jul''26'!BW147,"",'1. Live'!CA147-'check-Jul''26'!BW147)</f>
        <v/>
      </c>
      <c r="BX129" s="25" t="str">
        <f>IF('1. Live'!CB147='check-Jul''26'!BX147,"",'1. Live'!CB147-'check-Jul''26'!BX147)</f>
        <v/>
      </c>
      <c r="BY129" s="25" t="str">
        <f>IF('1. Live'!CC147='check-Jul''26'!BY147,"",'1. Live'!CC147-'check-Jul''26'!BY147)</f>
        <v/>
      </c>
      <c r="BZ129" s="25" t="str">
        <f>IF('1. Live'!CD147='check-Jul''26'!BZ147,"",'1. Live'!CD147-'check-Jul''26'!BZ147)</f>
        <v/>
      </c>
      <c r="CA129" s="25" t="str">
        <f>IF('1. Live'!CE147='check-Jul''26'!CA147,"",'1. Live'!CE147-'check-Jul''26'!CA147)</f>
        <v/>
      </c>
      <c r="CB129" s="25" t="str">
        <f>IF('1. Live'!CF147='check-Jul''26'!CB147,"",'1. Live'!CF147-'check-Jul''26'!CB147)</f>
        <v/>
      </c>
      <c r="CC129" s="25" t="str">
        <f>IF('1. Live'!CG147='check-Jul''26'!CC147,"",'1. Live'!CG147-'check-Jul''26'!CC147)</f>
        <v/>
      </c>
      <c r="CD129" s="25" t="str">
        <f>IF('1. Live'!CH147='check-Jul''26'!CD147,"",'1. Live'!CH147-'check-Jul''26'!CD147)</f>
        <v/>
      </c>
      <c r="CE129" s="25" t="str">
        <f>IF('1. Live'!CI147='check-Jul''26'!CE147,"",'1. Live'!CI147-'check-Jul''26'!CE147)</f>
        <v/>
      </c>
      <c r="CF129" s="25" t="str">
        <f>IF('1. Live'!CJ147='check-Jul''26'!CF147,"",'1. Live'!CJ147-'check-Jul''26'!CF147)</f>
        <v/>
      </c>
      <c r="CG129" s="25" t="str">
        <f>IF('1. Live'!CK147='check-Jul''26'!CG147,"",'1. Live'!CK147-'check-Jul''26'!CG147)</f>
        <v/>
      </c>
      <c r="CH129" s="25" t="str">
        <f>IF('1. Live'!CL147='check-Jul''26'!CH147,"",'1. Live'!CL147-'check-Jul''26'!CH147)</f>
        <v/>
      </c>
      <c r="CI129" s="25" t="str">
        <f>IF('1. Live'!CM147='check-Jul''26'!CI147,"",'1. Live'!CM147-'check-Jul''26'!CI147)</f>
        <v/>
      </c>
      <c r="CJ129" s="25" t="str">
        <f>IF('1. Live'!CN147='check-Jul''26'!CJ147,"",'1. Live'!CN147-'check-Jul''26'!CJ147)</f>
        <v/>
      </c>
      <c r="CK129" s="25" t="str">
        <f>IF('1. Live'!CO147='check-Jul''26'!CK147,"",'1. Live'!CO147-'check-Jul''26'!CK147)</f>
        <v/>
      </c>
      <c r="CL129" s="25" t="str">
        <f>IF('1. Live'!CP147='check-Jul''26'!CL147,"",'1. Live'!CP147-'check-Jul''26'!CL147)</f>
        <v/>
      </c>
      <c r="CM129" s="25" t="str">
        <f>IF('1. Live'!CQ147='check-Jul''26'!CM147,"",'1. Live'!CQ147-'check-Jul''26'!CM147)</f>
        <v/>
      </c>
      <c r="CN129" s="25" t="str">
        <f>IF('1. Live'!CR147='check-Jul''26'!CN147,"",'1. Live'!CR147-'check-Jul''26'!CN147)</f>
        <v/>
      </c>
      <c r="CO129" s="25" t="str">
        <f>IF('1. Live'!CS147='check-Jul''26'!CO147,"",'1. Live'!CS147-'check-Jul''26'!CO147)</f>
        <v/>
      </c>
      <c r="CP129" s="25" t="str">
        <f>IF('1. Live'!CT147='check-Jul''26'!CP147,"",'1. Live'!CT147-'check-Jul''26'!CP147)</f>
        <v/>
      </c>
      <c r="CQ129" s="25" t="str">
        <f>IF('1. Live'!CU147='check-Jul''26'!CQ147,"",'1. Live'!CU147-'check-Jul''26'!CQ147)</f>
        <v/>
      </c>
      <c r="CR129" s="25" t="str">
        <f>IF('1. Live'!CV147='check-Jul''26'!CR147,"",'1. Live'!CV147-'check-Jul''26'!CR147)</f>
        <v/>
      </c>
      <c r="CS129" s="25" t="str">
        <f>IF('1. Live'!CW147='check-Jul''26'!CS147,"",'1. Live'!CW147-'check-Jul''26'!CS147)</f>
        <v/>
      </c>
      <c r="CT129" s="25" t="str">
        <f>IF('1. Live'!CX147='check-Jul''26'!CT147,"",'1. Live'!CX147-'check-Jul''26'!CT147)</f>
        <v/>
      </c>
      <c r="CU129" s="25" t="str">
        <f>IF('1. Live'!CY147='check-Jul''26'!CU147,"",'1. Live'!CY147-'check-Jul''26'!CU147)</f>
        <v/>
      </c>
      <c r="CV129" s="25" t="str">
        <f>IF('1. Live'!CZ147='check-Jul''26'!CV147,"",'1. Live'!CZ147-'check-Jul''26'!CV147)</f>
        <v/>
      </c>
    </row>
    <row r="130" spans="17:100" x14ac:dyDescent="0.25">
      <c r="Q130" s="26" t="str">
        <f>IF('1. Live'!N148='check-Jul''26'!I148,"",'1. Live'!N148-'check-Jul''26'!I148)</f>
        <v/>
      </c>
      <c r="R130" s="26" t="str">
        <f>IF('1. Live'!O148='check-Jul''26'!J148,"",'1. Live'!O148-'check-Jul''26'!J148)</f>
        <v/>
      </c>
      <c r="S130" s="26" t="str">
        <f>IF('1. Live'!P148='check-Jul''26'!K148,"",'1. Live'!P148-'check-Jul''26'!K148)</f>
        <v/>
      </c>
      <c r="T130" s="26" t="str">
        <f>IF('1. Live'!Q148='check-Jul''26'!L148,"",'1. Live'!Q148-'check-Jul''26'!L148)</f>
        <v/>
      </c>
      <c r="U130" s="80" t="str">
        <f>IF('1. Live'!R148='check-Jul''26'!M148,"",'1. Live'!R148-'check-Jul''26'!M148)</f>
        <v/>
      </c>
      <c r="V130" s="26" t="str">
        <f>IF('1. Live'!S148='check-Jul''26'!N148,"",'1. Live'!S148-'check-Jul''26'!N148)</f>
        <v/>
      </c>
      <c r="W130" s="25" t="str">
        <f>IF('1. Live'!T148='check-Jul''26'!O148,"",'1. Live'!T148-'check-Jul''26'!O148)</f>
        <v/>
      </c>
      <c r="X130" s="25" t="str">
        <f>IF('1. Live'!U148='check-Jul''26'!Q148,"",'1. Live'!U148-'check-Jul''26'!Q148)</f>
        <v/>
      </c>
      <c r="Y130" s="25" t="str">
        <f>IF('1. Live'!V148='check-Jul''26'!R148,"",'1. Live'!V148-'check-Jul''26'!R148)</f>
        <v/>
      </c>
      <c r="Z130" s="25" t="str">
        <f>IF('1. Live'!W148='check-Jul''26'!S148,"",'1. Live'!W148-'check-Jul''26'!S148)</f>
        <v/>
      </c>
      <c r="AA130" s="25" t="str">
        <f>IF('1. Live'!X148='check-Jul''26'!T148,"",'1. Live'!X148-'check-Jul''26'!T148)</f>
        <v/>
      </c>
      <c r="AB130" s="25" t="str">
        <f>IF('1. Live'!AF148='check-Jul''26'!AB148,"",'1. Live'!AF148-'check-Jul''26'!AB148)</f>
        <v/>
      </c>
      <c r="AC130" s="25" t="str">
        <f>IF('1. Live'!AG148='check-Jul''26'!AC148,"",'1. Live'!AG148-'check-Jul''26'!AC148)</f>
        <v/>
      </c>
      <c r="AD130" s="25" t="str">
        <f>IF('1. Live'!AH148='check-Jul''26'!AD148,"",'1. Live'!AH148-'check-Jul''26'!AD148)</f>
        <v/>
      </c>
      <c r="AE130" s="25" t="str">
        <f>IF('1. Live'!AI148='check-Jul''26'!AE148,"",'1. Live'!AI148-'check-Jul''26'!AE148)</f>
        <v/>
      </c>
      <c r="AF130" s="25" t="str">
        <f>IF('1. Live'!AJ148='check-Jul''26'!AF148,"",'1. Live'!AJ148-'check-Jul''26'!AF148)</f>
        <v/>
      </c>
      <c r="AG130" s="25" t="str">
        <f>IF('1. Live'!AK148='check-Jul''26'!AG148,"",'1. Live'!AK148-'check-Jul''26'!AG148)</f>
        <v/>
      </c>
      <c r="AH130" s="25" t="str">
        <f>IF('1. Live'!AL148='check-Jul''26'!AH148,"",'1. Live'!AL148-'check-Jul''26'!AH148)</f>
        <v/>
      </c>
      <c r="AI130" s="25" t="str">
        <f>IF('1. Live'!AM148='check-Jul''26'!AI148,"",'1. Live'!AM148-'check-Jul''26'!AI148)</f>
        <v/>
      </c>
      <c r="AJ130" s="25" t="str">
        <f>IF('1. Live'!AN148='check-Jul''26'!AJ148,"",'1. Live'!AN148-'check-Jul''26'!AJ148)</f>
        <v/>
      </c>
      <c r="AK130" s="25" t="str">
        <f>IF('1. Live'!AO148='check-Jul''26'!AK148,"",'1. Live'!AO148-'check-Jul''26'!AK148)</f>
        <v/>
      </c>
      <c r="AL130" s="25" t="str">
        <f>IF('1. Live'!AP148='check-Jul''26'!AL148,"",'1. Live'!AP148-'check-Jul''26'!AL148)</f>
        <v/>
      </c>
      <c r="AM130" s="25" t="str">
        <f>IF('1. Live'!AQ148='check-Jul''26'!AM148,"",'1. Live'!AQ148-'check-Jul''26'!AM148)</f>
        <v/>
      </c>
      <c r="AN130" s="25" t="str">
        <f>IF('1. Live'!AR148='check-Jul''26'!AN148,"",'1. Live'!AR148-'check-Jul''26'!AN148)</f>
        <v/>
      </c>
      <c r="AO130" s="25" t="str">
        <f>IF('1. Live'!AS148='check-Jul''26'!AO148,"",'1. Live'!AS148-'check-Jul''26'!AO148)</f>
        <v/>
      </c>
      <c r="AP130" s="25" t="str">
        <f>IF('1. Live'!AT148='check-Jul''26'!AP148,"",'1. Live'!AT148-'check-Jul''26'!AP148)</f>
        <v/>
      </c>
      <c r="AQ130" s="25" t="str">
        <f>IF('1. Live'!AU148='check-Jul''26'!AQ148,"",'1. Live'!AU148-'check-Jul''26'!AQ148)</f>
        <v/>
      </c>
      <c r="AR130" s="25" t="str">
        <f>IF('1. Live'!AV148='check-Jul''26'!AR148,"",'1. Live'!AV148-'check-Jul''26'!AR148)</f>
        <v/>
      </c>
      <c r="AS130" s="25" t="str">
        <f>IF('1. Live'!AW148='check-Jul''26'!AS148,"",'1. Live'!AW148-'check-Jul''26'!AS148)</f>
        <v/>
      </c>
      <c r="AT130" s="25" t="str">
        <f>IF('1. Live'!AX148='check-Jul''26'!AT148,"",'1. Live'!AX148-'check-Jul''26'!AT148)</f>
        <v/>
      </c>
      <c r="AU130" s="25" t="str">
        <f>IF('1. Live'!AY148='check-Jul''26'!AU148,"",'1. Live'!AY148-'check-Jul''26'!AU148)</f>
        <v/>
      </c>
      <c r="AV130" s="25" t="str">
        <f>IF('1. Live'!AZ148='check-Jul''26'!AV148,"",'1. Live'!AZ148-'check-Jul''26'!AV148)</f>
        <v/>
      </c>
      <c r="AW130" s="25" t="str">
        <f>IF('1. Live'!BA148='check-Jul''26'!AW148,"",'1. Live'!BA148-'check-Jul''26'!AW148)</f>
        <v/>
      </c>
      <c r="AX130" s="25" t="str">
        <f>IF('1. Live'!BB148='check-Jul''26'!AX148,"",'1. Live'!BB148-'check-Jul''26'!AX148)</f>
        <v/>
      </c>
      <c r="AY130" s="25" t="str">
        <f>IF('1. Live'!BC148='check-Jul''26'!AY148,"",'1. Live'!BC148-'check-Jul''26'!AY148)</f>
        <v/>
      </c>
      <c r="AZ130" s="25" t="str">
        <f>IF('1. Live'!BD148='check-Jul''26'!AZ148,"",'1. Live'!BD148-'check-Jul''26'!AZ148)</f>
        <v/>
      </c>
      <c r="BA130" s="25" t="str">
        <f>IF('1. Live'!BE148='check-Jul''26'!BA148,"",'1. Live'!BE148-'check-Jul''26'!BA148)</f>
        <v/>
      </c>
      <c r="BB130" s="25" t="str">
        <f>IF('1. Live'!BF148='check-Jul''26'!BB148,"",'1. Live'!BF148-'check-Jul''26'!BB148)</f>
        <v/>
      </c>
      <c r="BC130" s="25" t="str">
        <f>IF('1. Live'!BG148='check-Jul''26'!BC148,"",'1. Live'!BG148-'check-Jul''26'!BC148)</f>
        <v/>
      </c>
      <c r="BD130" s="25" t="str">
        <f>IF('1. Live'!BH148='check-Jul''26'!BD148,"",'1. Live'!BH148-'check-Jul''26'!BD148)</f>
        <v/>
      </c>
      <c r="BE130" s="25" t="str">
        <f>IF('1. Live'!BI148='check-Jul''26'!BE148,"",'1. Live'!BI148-'check-Jul''26'!BE148)</f>
        <v/>
      </c>
      <c r="BF130" s="25" t="str">
        <f>IF('1. Live'!BJ148='check-Jul''26'!BF148,"",'1. Live'!BJ148-'check-Jul''26'!BF148)</f>
        <v/>
      </c>
      <c r="BG130" s="25" t="str">
        <f>IF('1. Live'!BK148='check-Jul''26'!BG148,"",'1. Live'!BK148-'check-Jul''26'!BG148)</f>
        <v/>
      </c>
      <c r="BH130" s="25" t="str">
        <f>IF('1. Live'!BL148='check-Jul''26'!BH148,"",'1. Live'!BL148-'check-Jul''26'!BH148)</f>
        <v/>
      </c>
      <c r="BI130" s="25" t="str">
        <f>IF('1. Live'!BM148='check-Jul''26'!BI148,"",'1. Live'!BM148-'check-Jul''26'!BI148)</f>
        <v/>
      </c>
      <c r="BJ130" s="25" t="str">
        <f>IF('1. Live'!BN148='check-Jul''26'!BJ148,"",'1. Live'!BN148-'check-Jul''26'!BJ148)</f>
        <v/>
      </c>
      <c r="BK130" s="25" t="str">
        <f>IF('1. Live'!BO148='check-Jul''26'!BK148,"",'1. Live'!BO148-'check-Jul''26'!BK148)</f>
        <v/>
      </c>
      <c r="BL130" s="25" t="str">
        <f>IF('1. Live'!BP148='check-Jul''26'!BL148,"",'1. Live'!BP148-'check-Jul''26'!BL148)</f>
        <v/>
      </c>
      <c r="BM130" s="25" t="str">
        <f>IF('1. Live'!BQ148='check-Jul''26'!BM148,"",'1. Live'!BQ148-'check-Jul''26'!BM148)</f>
        <v/>
      </c>
      <c r="BN130" s="25" t="str">
        <f>IF('1. Live'!BR148='check-Jul''26'!BN148,"",'1. Live'!BR148-'check-Jul''26'!BN148)</f>
        <v/>
      </c>
      <c r="BO130" s="25" t="str">
        <f>IF('1. Live'!BS148='check-Jul''26'!BO148,"",'1. Live'!BS148-'check-Jul''26'!BO148)</f>
        <v/>
      </c>
      <c r="BP130" s="25" t="str">
        <f>IF('1. Live'!BT148='check-Jul''26'!BP148,"",'1. Live'!BT148-'check-Jul''26'!BP148)</f>
        <v/>
      </c>
      <c r="BQ130" s="25" t="str">
        <f>IF('1. Live'!BU148='check-Jul''26'!BQ148,"",'1. Live'!BU148-'check-Jul''26'!BQ148)</f>
        <v/>
      </c>
      <c r="BR130" s="25" t="str">
        <f>IF('1. Live'!BV148='check-Jul''26'!BR148,"",'1. Live'!BV148-'check-Jul''26'!BR148)</f>
        <v/>
      </c>
      <c r="BS130" s="25" t="str">
        <f>IF('1. Live'!BW148='check-Jul''26'!BS148,"",'1. Live'!BW148-'check-Jul''26'!BS148)</f>
        <v/>
      </c>
      <c r="BT130" s="25" t="str">
        <f>IF('1. Live'!BX148='check-Jul''26'!BT148,"",'1. Live'!BX148-'check-Jul''26'!BT148)</f>
        <v/>
      </c>
      <c r="BU130" s="25" t="str">
        <f>IF('1. Live'!BY148='check-Jul''26'!BU148,"",'1. Live'!BY148-'check-Jul''26'!BU148)</f>
        <v/>
      </c>
      <c r="BV130" s="25" t="str">
        <f>IF('1. Live'!BZ148='check-Jul''26'!BV148,"",'1. Live'!BZ148-'check-Jul''26'!BV148)</f>
        <v/>
      </c>
      <c r="BW130" s="25" t="str">
        <f>IF('1. Live'!CA148='check-Jul''26'!BW148,"",'1. Live'!CA148-'check-Jul''26'!BW148)</f>
        <v/>
      </c>
      <c r="BX130" s="25" t="str">
        <f>IF('1. Live'!CB148='check-Jul''26'!BX148,"",'1. Live'!CB148-'check-Jul''26'!BX148)</f>
        <v/>
      </c>
      <c r="BY130" s="25" t="str">
        <f>IF('1. Live'!CC148='check-Jul''26'!BY148,"",'1. Live'!CC148-'check-Jul''26'!BY148)</f>
        <v/>
      </c>
      <c r="BZ130" s="25" t="str">
        <f>IF('1. Live'!CD148='check-Jul''26'!BZ148,"",'1. Live'!CD148-'check-Jul''26'!BZ148)</f>
        <v/>
      </c>
      <c r="CA130" s="25" t="str">
        <f>IF('1. Live'!CE148='check-Jul''26'!CA148,"",'1. Live'!CE148-'check-Jul''26'!CA148)</f>
        <v/>
      </c>
      <c r="CB130" s="25" t="str">
        <f>IF('1. Live'!CF148='check-Jul''26'!CB148,"",'1. Live'!CF148-'check-Jul''26'!CB148)</f>
        <v/>
      </c>
      <c r="CC130" s="25" t="str">
        <f>IF('1. Live'!CG148='check-Jul''26'!CC148,"",'1. Live'!CG148-'check-Jul''26'!CC148)</f>
        <v/>
      </c>
      <c r="CD130" s="25" t="str">
        <f>IF('1. Live'!CH148='check-Jul''26'!CD148,"",'1. Live'!CH148-'check-Jul''26'!CD148)</f>
        <v/>
      </c>
      <c r="CE130" s="25" t="str">
        <f>IF('1. Live'!CI148='check-Jul''26'!CE148,"",'1. Live'!CI148-'check-Jul''26'!CE148)</f>
        <v/>
      </c>
      <c r="CF130" s="25" t="str">
        <f>IF('1. Live'!CJ148='check-Jul''26'!CF148,"",'1. Live'!CJ148-'check-Jul''26'!CF148)</f>
        <v/>
      </c>
      <c r="CG130" s="25" t="str">
        <f>IF('1. Live'!CK148='check-Jul''26'!CG148,"",'1. Live'!CK148-'check-Jul''26'!CG148)</f>
        <v/>
      </c>
      <c r="CH130" s="25" t="str">
        <f>IF('1. Live'!CL148='check-Jul''26'!CH148,"",'1. Live'!CL148-'check-Jul''26'!CH148)</f>
        <v/>
      </c>
      <c r="CI130" s="25" t="str">
        <f>IF('1. Live'!CM148='check-Jul''26'!CI148,"",'1. Live'!CM148-'check-Jul''26'!CI148)</f>
        <v/>
      </c>
      <c r="CJ130" s="25" t="str">
        <f>IF('1. Live'!CN148='check-Jul''26'!CJ148,"",'1. Live'!CN148-'check-Jul''26'!CJ148)</f>
        <v/>
      </c>
      <c r="CK130" s="25" t="str">
        <f>IF('1. Live'!CO148='check-Jul''26'!CK148,"",'1. Live'!CO148-'check-Jul''26'!CK148)</f>
        <v/>
      </c>
      <c r="CL130" s="25" t="str">
        <f>IF('1. Live'!CP148='check-Jul''26'!CL148,"",'1. Live'!CP148-'check-Jul''26'!CL148)</f>
        <v/>
      </c>
      <c r="CM130" s="25" t="str">
        <f>IF('1. Live'!CQ148='check-Jul''26'!CM148,"",'1. Live'!CQ148-'check-Jul''26'!CM148)</f>
        <v/>
      </c>
      <c r="CN130" s="25" t="str">
        <f>IF('1. Live'!CR148='check-Jul''26'!CN148,"",'1. Live'!CR148-'check-Jul''26'!CN148)</f>
        <v/>
      </c>
      <c r="CO130" s="25" t="str">
        <f>IF('1. Live'!CS148='check-Jul''26'!CO148,"",'1. Live'!CS148-'check-Jul''26'!CO148)</f>
        <v/>
      </c>
      <c r="CP130" s="25" t="str">
        <f>IF('1. Live'!CT148='check-Jul''26'!CP148,"",'1. Live'!CT148-'check-Jul''26'!CP148)</f>
        <v/>
      </c>
      <c r="CQ130" s="25" t="str">
        <f>IF('1. Live'!CU148='check-Jul''26'!CQ148,"",'1. Live'!CU148-'check-Jul''26'!CQ148)</f>
        <v/>
      </c>
      <c r="CR130" s="25" t="str">
        <f>IF('1. Live'!CV148='check-Jul''26'!CR148,"",'1. Live'!CV148-'check-Jul''26'!CR148)</f>
        <v/>
      </c>
      <c r="CS130" s="25" t="str">
        <f>IF('1. Live'!CW148='check-Jul''26'!CS148,"",'1. Live'!CW148-'check-Jul''26'!CS148)</f>
        <v/>
      </c>
      <c r="CT130" s="25" t="str">
        <f>IF('1. Live'!CX148='check-Jul''26'!CT148,"",'1. Live'!CX148-'check-Jul''26'!CT148)</f>
        <v/>
      </c>
      <c r="CU130" s="25" t="str">
        <f>IF('1. Live'!CY148='check-Jul''26'!CU148,"",'1. Live'!CY148-'check-Jul''26'!CU148)</f>
        <v/>
      </c>
      <c r="CV130" s="25" t="str">
        <f>IF('1. Live'!CZ148='check-Jul''26'!CV148,"",'1. Live'!CZ148-'check-Jul''26'!CV148)</f>
        <v/>
      </c>
    </row>
    <row r="131" spans="17:100" x14ac:dyDescent="0.25">
      <c r="Q131" s="26" t="str">
        <f>IF('1. Live'!N149='check-Jul''26'!I149,"",'1. Live'!N149-'check-Jul''26'!I149)</f>
        <v/>
      </c>
      <c r="R131" s="26" t="str">
        <f>IF('1. Live'!O149='check-Jul''26'!J149,"",'1. Live'!O149-'check-Jul''26'!J149)</f>
        <v/>
      </c>
      <c r="S131" s="26" t="str">
        <f>IF('1. Live'!P149='check-Jul''26'!K149,"",'1. Live'!P149-'check-Jul''26'!K149)</f>
        <v/>
      </c>
      <c r="T131" s="26" t="str">
        <f>IF('1. Live'!Q149='check-Jul''26'!L149,"",'1. Live'!Q149-'check-Jul''26'!L149)</f>
        <v/>
      </c>
      <c r="U131" s="80" t="str">
        <f>IF('1. Live'!R149='check-Jul''26'!M149,"",'1. Live'!R149-'check-Jul''26'!M149)</f>
        <v/>
      </c>
      <c r="V131" s="26" t="str">
        <f>IF('1. Live'!S149='check-Jul''26'!N149,"",'1. Live'!S149-'check-Jul''26'!N149)</f>
        <v/>
      </c>
      <c r="W131" s="25" t="str">
        <f>IF('1. Live'!T149='check-Jul''26'!O149,"",'1. Live'!T149-'check-Jul''26'!O149)</f>
        <v/>
      </c>
      <c r="X131" s="25" t="str">
        <f>IF('1. Live'!U149='check-Jul''26'!Q149,"",'1. Live'!U149-'check-Jul''26'!Q149)</f>
        <v/>
      </c>
      <c r="Y131" s="25" t="str">
        <f>IF('1. Live'!V149='check-Jul''26'!R149,"",'1. Live'!V149-'check-Jul''26'!R149)</f>
        <v/>
      </c>
      <c r="Z131" s="25" t="str">
        <f>IF('1. Live'!W149='check-Jul''26'!S149,"",'1. Live'!W149-'check-Jul''26'!S149)</f>
        <v/>
      </c>
      <c r="AA131" s="25" t="str">
        <f>IF('1. Live'!X149='check-Jul''26'!T149,"",'1. Live'!X149-'check-Jul''26'!T149)</f>
        <v/>
      </c>
      <c r="AB131" s="25" t="str">
        <f>IF('1. Live'!AF149='check-Jul''26'!AB149,"",'1. Live'!AF149-'check-Jul''26'!AB149)</f>
        <v/>
      </c>
      <c r="AC131" s="25" t="str">
        <f>IF('1. Live'!AG149='check-Jul''26'!AC149,"",'1. Live'!AG149-'check-Jul''26'!AC149)</f>
        <v/>
      </c>
      <c r="AD131" s="25" t="str">
        <f>IF('1. Live'!AH149='check-Jul''26'!AD149,"",'1. Live'!AH149-'check-Jul''26'!AD149)</f>
        <v/>
      </c>
      <c r="AE131" s="25" t="str">
        <f>IF('1. Live'!AI149='check-Jul''26'!AE149,"",'1. Live'!AI149-'check-Jul''26'!AE149)</f>
        <v/>
      </c>
      <c r="AF131" s="25" t="str">
        <f>IF('1. Live'!AJ149='check-Jul''26'!AF149,"",'1. Live'!AJ149-'check-Jul''26'!AF149)</f>
        <v/>
      </c>
      <c r="AG131" s="25" t="str">
        <f>IF('1. Live'!AK149='check-Jul''26'!AG149,"",'1. Live'!AK149-'check-Jul''26'!AG149)</f>
        <v/>
      </c>
      <c r="AH131" s="25" t="str">
        <f>IF('1. Live'!AL149='check-Jul''26'!AH149,"",'1. Live'!AL149-'check-Jul''26'!AH149)</f>
        <v/>
      </c>
      <c r="AI131" s="25" t="str">
        <f>IF('1. Live'!AM149='check-Jul''26'!AI149,"",'1. Live'!AM149-'check-Jul''26'!AI149)</f>
        <v/>
      </c>
      <c r="AJ131" s="25" t="str">
        <f>IF('1. Live'!AN149='check-Jul''26'!AJ149,"",'1. Live'!AN149-'check-Jul''26'!AJ149)</f>
        <v/>
      </c>
      <c r="AK131" s="25" t="str">
        <f>IF('1. Live'!AO149='check-Jul''26'!AK149,"",'1. Live'!AO149-'check-Jul''26'!AK149)</f>
        <v/>
      </c>
      <c r="AL131" s="25" t="str">
        <f>IF('1. Live'!AP149='check-Jul''26'!AL149,"",'1. Live'!AP149-'check-Jul''26'!AL149)</f>
        <v/>
      </c>
      <c r="AM131" s="25" t="str">
        <f>IF('1. Live'!AQ149='check-Jul''26'!AM149,"",'1. Live'!AQ149-'check-Jul''26'!AM149)</f>
        <v/>
      </c>
      <c r="AN131" s="25" t="str">
        <f>IF('1. Live'!AR149='check-Jul''26'!AN149,"",'1. Live'!AR149-'check-Jul''26'!AN149)</f>
        <v/>
      </c>
      <c r="AO131" s="25" t="str">
        <f>IF('1. Live'!AS149='check-Jul''26'!AO149,"",'1. Live'!AS149-'check-Jul''26'!AO149)</f>
        <v/>
      </c>
      <c r="AP131" s="25" t="str">
        <f>IF('1. Live'!AT149='check-Jul''26'!AP149,"",'1. Live'!AT149-'check-Jul''26'!AP149)</f>
        <v/>
      </c>
      <c r="AQ131" s="25" t="str">
        <f>IF('1. Live'!AU149='check-Jul''26'!AQ149,"",'1. Live'!AU149-'check-Jul''26'!AQ149)</f>
        <v/>
      </c>
      <c r="AR131" s="25" t="str">
        <f>IF('1. Live'!AV149='check-Jul''26'!AR149,"",'1. Live'!AV149-'check-Jul''26'!AR149)</f>
        <v/>
      </c>
      <c r="AS131" s="25" t="str">
        <f>IF('1. Live'!AW149='check-Jul''26'!AS149,"",'1. Live'!AW149-'check-Jul''26'!AS149)</f>
        <v/>
      </c>
      <c r="AT131" s="25" t="str">
        <f>IF('1. Live'!AX149='check-Jul''26'!AT149,"",'1. Live'!AX149-'check-Jul''26'!AT149)</f>
        <v/>
      </c>
      <c r="AU131" s="25" t="str">
        <f>IF('1. Live'!AY149='check-Jul''26'!AU149,"",'1. Live'!AY149-'check-Jul''26'!AU149)</f>
        <v/>
      </c>
      <c r="AV131" s="25" t="str">
        <f>IF('1. Live'!AZ149='check-Jul''26'!AV149,"",'1. Live'!AZ149-'check-Jul''26'!AV149)</f>
        <v/>
      </c>
      <c r="AW131" s="25" t="str">
        <f>IF('1. Live'!BA149='check-Jul''26'!AW149,"",'1. Live'!BA149-'check-Jul''26'!AW149)</f>
        <v/>
      </c>
      <c r="AX131" s="25" t="str">
        <f>IF('1. Live'!BB149='check-Jul''26'!AX149,"",'1. Live'!BB149-'check-Jul''26'!AX149)</f>
        <v/>
      </c>
      <c r="AY131" s="25" t="str">
        <f>IF('1. Live'!BC149='check-Jul''26'!AY149,"",'1. Live'!BC149-'check-Jul''26'!AY149)</f>
        <v/>
      </c>
      <c r="AZ131" s="25" t="str">
        <f>IF('1. Live'!BD149='check-Jul''26'!AZ149,"",'1. Live'!BD149-'check-Jul''26'!AZ149)</f>
        <v/>
      </c>
      <c r="BA131" s="25" t="str">
        <f>IF('1. Live'!BE149='check-Jul''26'!BA149,"",'1. Live'!BE149-'check-Jul''26'!BA149)</f>
        <v/>
      </c>
      <c r="BB131" s="25" t="str">
        <f>IF('1. Live'!BF149='check-Jul''26'!BB149,"",'1. Live'!BF149-'check-Jul''26'!BB149)</f>
        <v/>
      </c>
      <c r="BC131" s="25" t="str">
        <f>IF('1. Live'!BG149='check-Jul''26'!BC149,"",'1. Live'!BG149-'check-Jul''26'!BC149)</f>
        <v/>
      </c>
      <c r="BD131" s="25" t="str">
        <f>IF('1. Live'!BH149='check-Jul''26'!BD149,"",'1. Live'!BH149-'check-Jul''26'!BD149)</f>
        <v/>
      </c>
      <c r="BE131" s="25" t="str">
        <f>IF('1. Live'!BI149='check-Jul''26'!BE149,"",'1. Live'!BI149-'check-Jul''26'!BE149)</f>
        <v/>
      </c>
      <c r="BF131" s="25" t="str">
        <f>IF('1. Live'!BJ149='check-Jul''26'!BF149,"",'1. Live'!BJ149-'check-Jul''26'!BF149)</f>
        <v/>
      </c>
      <c r="BG131" s="25" t="str">
        <f>IF('1. Live'!BK149='check-Jul''26'!BG149,"",'1. Live'!BK149-'check-Jul''26'!BG149)</f>
        <v/>
      </c>
      <c r="BH131" s="25" t="str">
        <f>IF('1. Live'!BL149='check-Jul''26'!BH149,"",'1. Live'!BL149-'check-Jul''26'!BH149)</f>
        <v/>
      </c>
      <c r="BI131" s="25" t="str">
        <f>IF('1. Live'!BM149='check-Jul''26'!BI149,"",'1. Live'!BM149-'check-Jul''26'!BI149)</f>
        <v/>
      </c>
      <c r="BJ131" s="25" t="str">
        <f>IF('1. Live'!BN149='check-Jul''26'!BJ149,"",'1. Live'!BN149-'check-Jul''26'!BJ149)</f>
        <v/>
      </c>
      <c r="BK131" s="25" t="str">
        <f>IF('1. Live'!BO149='check-Jul''26'!BK149,"",'1. Live'!BO149-'check-Jul''26'!BK149)</f>
        <v/>
      </c>
      <c r="BL131" s="25" t="str">
        <f>IF('1. Live'!BP149='check-Jul''26'!BL149,"",'1. Live'!BP149-'check-Jul''26'!BL149)</f>
        <v/>
      </c>
      <c r="BM131" s="25" t="str">
        <f>IF('1. Live'!BQ149='check-Jul''26'!BM149,"",'1. Live'!BQ149-'check-Jul''26'!BM149)</f>
        <v/>
      </c>
      <c r="BN131" s="25" t="str">
        <f>IF('1. Live'!BR149='check-Jul''26'!BN149,"",'1. Live'!BR149-'check-Jul''26'!BN149)</f>
        <v/>
      </c>
      <c r="BO131" s="25" t="str">
        <f>IF('1. Live'!BS149='check-Jul''26'!BO149,"",'1. Live'!BS149-'check-Jul''26'!BO149)</f>
        <v/>
      </c>
      <c r="BP131" s="25" t="str">
        <f>IF('1. Live'!BT149='check-Jul''26'!BP149,"",'1. Live'!BT149-'check-Jul''26'!BP149)</f>
        <v/>
      </c>
      <c r="BQ131" s="25" t="str">
        <f>IF('1. Live'!BU149='check-Jul''26'!BQ149,"",'1. Live'!BU149-'check-Jul''26'!BQ149)</f>
        <v/>
      </c>
      <c r="BR131" s="25" t="str">
        <f>IF('1. Live'!BV149='check-Jul''26'!BR149,"",'1. Live'!BV149-'check-Jul''26'!BR149)</f>
        <v/>
      </c>
      <c r="BS131" s="25" t="str">
        <f>IF('1. Live'!BW149='check-Jul''26'!BS149,"",'1. Live'!BW149-'check-Jul''26'!BS149)</f>
        <v/>
      </c>
      <c r="BT131" s="25" t="str">
        <f>IF('1. Live'!BX149='check-Jul''26'!BT149,"",'1. Live'!BX149-'check-Jul''26'!BT149)</f>
        <v/>
      </c>
      <c r="BU131" s="25" t="str">
        <f>IF('1. Live'!BY149='check-Jul''26'!BU149,"",'1. Live'!BY149-'check-Jul''26'!BU149)</f>
        <v/>
      </c>
      <c r="BV131" s="25" t="str">
        <f>IF('1. Live'!BZ149='check-Jul''26'!BV149,"",'1. Live'!BZ149-'check-Jul''26'!BV149)</f>
        <v/>
      </c>
      <c r="BW131" s="25" t="str">
        <f>IF('1. Live'!CA149='check-Jul''26'!BW149,"",'1. Live'!CA149-'check-Jul''26'!BW149)</f>
        <v/>
      </c>
      <c r="BX131" s="25" t="str">
        <f>IF('1. Live'!CB149='check-Jul''26'!BX149,"",'1. Live'!CB149-'check-Jul''26'!BX149)</f>
        <v/>
      </c>
      <c r="BY131" s="25" t="str">
        <f>IF('1. Live'!CC149='check-Jul''26'!BY149,"",'1. Live'!CC149-'check-Jul''26'!BY149)</f>
        <v/>
      </c>
      <c r="BZ131" s="25" t="str">
        <f>IF('1. Live'!CD149='check-Jul''26'!BZ149,"",'1. Live'!CD149-'check-Jul''26'!BZ149)</f>
        <v/>
      </c>
      <c r="CA131" s="25" t="str">
        <f>IF('1. Live'!CE149='check-Jul''26'!CA149,"",'1. Live'!CE149-'check-Jul''26'!CA149)</f>
        <v/>
      </c>
      <c r="CB131" s="25" t="str">
        <f>IF('1. Live'!CF149='check-Jul''26'!CB149,"",'1. Live'!CF149-'check-Jul''26'!CB149)</f>
        <v/>
      </c>
      <c r="CC131" s="25" t="str">
        <f>IF('1. Live'!CG149='check-Jul''26'!CC149,"",'1. Live'!CG149-'check-Jul''26'!CC149)</f>
        <v/>
      </c>
      <c r="CD131" s="25" t="str">
        <f>IF('1. Live'!CH149='check-Jul''26'!CD149,"",'1. Live'!CH149-'check-Jul''26'!CD149)</f>
        <v/>
      </c>
      <c r="CE131" s="25" t="str">
        <f>IF('1. Live'!CI149='check-Jul''26'!CE149,"",'1. Live'!CI149-'check-Jul''26'!CE149)</f>
        <v/>
      </c>
      <c r="CF131" s="25" t="str">
        <f>IF('1. Live'!CJ149='check-Jul''26'!CF149,"",'1. Live'!CJ149-'check-Jul''26'!CF149)</f>
        <v/>
      </c>
      <c r="CG131" s="25" t="str">
        <f>IF('1. Live'!CK149='check-Jul''26'!CG149,"",'1. Live'!CK149-'check-Jul''26'!CG149)</f>
        <v/>
      </c>
      <c r="CH131" s="25" t="str">
        <f>IF('1. Live'!CL149='check-Jul''26'!CH149,"",'1. Live'!CL149-'check-Jul''26'!CH149)</f>
        <v/>
      </c>
      <c r="CI131" s="25" t="str">
        <f>IF('1. Live'!CM149='check-Jul''26'!CI149,"",'1. Live'!CM149-'check-Jul''26'!CI149)</f>
        <v/>
      </c>
      <c r="CJ131" s="25" t="str">
        <f>IF('1. Live'!CN149='check-Jul''26'!CJ149,"",'1. Live'!CN149-'check-Jul''26'!CJ149)</f>
        <v/>
      </c>
      <c r="CK131" s="25" t="str">
        <f>IF('1. Live'!CO149='check-Jul''26'!CK149,"",'1. Live'!CO149-'check-Jul''26'!CK149)</f>
        <v/>
      </c>
      <c r="CL131" s="25" t="str">
        <f>IF('1. Live'!CP149='check-Jul''26'!CL149,"",'1. Live'!CP149-'check-Jul''26'!CL149)</f>
        <v/>
      </c>
      <c r="CM131" s="25" t="str">
        <f>IF('1. Live'!CQ149='check-Jul''26'!CM149,"",'1. Live'!CQ149-'check-Jul''26'!CM149)</f>
        <v/>
      </c>
      <c r="CN131" s="25" t="str">
        <f>IF('1. Live'!CR149='check-Jul''26'!CN149,"",'1. Live'!CR149-'check-Jul''26'!CN149)</f>
        <v/>
      </c>
      <c r="CO131" s="25" t="str">
        <f>IF('1. Live'!CS149='check-Jul''26'!CO149,"",'1. Live'!CS149-'check-Jul''26'!CO149)</f>
        <v/>
      </c>
      <c r="CP131" s="25" t="str">
        <f>IF('1. Live'!CT149='check-Jul''26'!CP149,"",'1. Live'!CT149-'check-Jul''26'!CP149)</f>
        <v/>
      </c>
      <c r="CQ131" s="25" t="str">
        <f>IF('1. Live'!CU149='check-Jul''26'!CQ149,"",'1. Live'!CU149-'check-Jul''26'!CQ149)</f>
        <v/>
      </c>
      <c r="CR131" s="25" t="str">
        <f>IF('1. Live'!CV149='check-Jul''26'!CR149,"",'1. Live'!CV149-'check-Jul''26'!CR149)</f>
        <v/>
      </c>
      <c r="CS131" s="25" t="str">
        <f>IF('1. Live'!CW149='check-Jul''26'!CS149,"",'1. Live'!CW149-'check-Jul''26'!CS149)</f>
        <v/>
      </c>
      <c r="CT131" s="25" t="str">
        <f>IF('1. Live'!CX149='check-Jul''26'!CT149,"",'1. Live'!CX149-'check-Jul''26'!CT149)</f>
        <v/>
      </c>
      <c r="CU131" s="25" t="str">
        <f>IF('1. Live'!CY149='check-Jul''26'!CU149,"",'1. Live'!CY149-'check-Jul''26'!CU149)</f>
        <v/>
      </c>
      <c r="CV131" s="25" t="str">
        <f>IF('1. Live'!CZ149='check-Jul''26'!CV149,"",'1. Live'!CZ149-'check-Jul''26'!CV149)</f>
        <v/>
      </c>
    </row>
    <row r="132" spans="17:100" x14ac:dyDescent="0.25">
      <c r="Q132" s="26" t="str">
        <f>IF('1. Live'!N150='check-Jul''26'!I150,"",'1. Live'!N150-'check-Jul''26'!I150)</f>
        <v/>
      </c>
      <c r="R132" s="26" t="str">
        <f>IF('1. Live'!O150='check-Jul''26'!J150,"",'1. Live'!O150-'check-Jul''26'!J150)</f>
        <v/>
      </c>
      <c r="S132" s="26" t="str">
        <f>IF('1. Live'!P150='check-Jul''26'!K150,"",'1. Live'!P150-'check-Jul''26'!K150)</f>
        <v/>
      </c>
      <c r="T132" s="26" t="str">
        <f>IF('1. Live'!Q150='check-Jul''26'!L150,"",'1. Live'!Q150-'check-Jul''26'!L150)</f>
        <v/>
      </c>
      <c r="U132" s="80" t="str">
        <f>IF('1. Live'!R150='check-Jul''26'!M150,"",'1. Live'!R150-'check-Jul''26'!M150)</f>
        <v/>
      </c>
      <c r="V132" s="26" t="str">
        <f>IF('1. Live'!S150='check-Jul''26'!N150,"",'1. Live'!S150-'check-Jul''26'!N150)</f>
        <v/>
      </c>
      <c r="W132" s="25" t="str">
        <f>IF('1. Live'!T150='check-Jul''26'!O150,"",'1. Live'!T150-'check-Jul''26'!O150)</f>
        <v/>
      </c>
      <c r="X132" s="25" t="str">
        <f>IF('1. Live'!U150='check-Jul''26'!Q150,"",'1. Live'!U150-'check-Jul''26'!Q150)</f>
        <v/>
      </c>
      <c r="Y132" s="25" t="str">
        <f>IF('1. Live'!V150='check-Jul''26'!R150,"",'1. Live'!V150-'check-Jul''26'!R150)</f>
        <v/>
      </c>
      <c r="Z132" s="25" t="str">
        <f>IF('1. Live'!W150='check-Jul''26'!S150,"",'1. Live'!W150-'check-Jul''26'!S150)</f>
        <v/>
      </c>
      <c r="AA132" s="25" t="str">
        <f>IF('1. Live'!X150='check-Jul''26'!T150,"",'1. Live'!X150-'check-Jul''26'!T150)</f>
        <v/>
      </c>
      <c r="AB132" s="25" t="str">
        <f>IF('1. Live'!AF150='check-Jul''26'!AB150,"",'1. Live'!AF150-'check-Jul''26'!AB150)</f>
        <v/>
      </c>
      <c r="AC132" s="25" t="str">
        <f>IF('1. Live'!AG150='check-Jul''26'!AC150,"",'1. Live'!AG150-'check-Jul''26'!AC150)</f>
        <v/>
      </c>
      <c r="AD132" s="25" t="str">
        <f>IF('1. Live'!AH150='check-Jul''26'!AD150,"",'1. Live'!AH150-'check-Jul''26'!AD150)</f>
        <v/>
      </c>
      <c r="AE132" s="25" t="str">
        <f>IF('1. Live'!AI150='check-Jul''26'!AE150,"",'1. Live'!AI150-'check-Jul''26'!AE150)</f>
        <v/>
      </c>
      <c r="AF132" s="25" t="str">
        <f>IF('1. Live'!AJ150='check-Jul''26'!AF150,"",'1. Live'!AJ150-'check-Jul''26'!AF150)</f>
        <v/>
      </c>
      <c r="AG132" s="25" t="str">
        <f>IF('1. Live'!AK150='check-Jul''26'!AG150,"",'1. Live'!AK150-'check-Jul''26'!AG150)</f>
        <v/>
      </c>
      <c r="AH132" s="25" t="str">
        <f>IF('1. Live'!AL150='check-Jul''26'!AH150,"",'1. Live'!AL150-'check-Jul''26'!AH150)</f>
        <v/>
      </c>
      <c r="AI132" s="25" t="str">
        <f>IF('1. Live'!AM150='check-Jul''26'!AI150,"",'1. Live'!AM150-'check-Jul''26'!AI150)</f>
        <v/>
      </c>
      <c r="AJ132" s="25" t="str">
        <f>IF('1. Live'!AN150='check-Jul''26'!AJ150,"",'1. Live'!AN150-'check-Jul''26'!AJ150)</f>
        <v/>
      </c>
      <c r="AK132" s="25" t="str">
        <f>IF('1. Live'!AO150='check-Jul''26'!AK150,"",'1. Live'!AO150-'check-Jul''26'!AK150)</f>
        <v/>
      </c>
      <c r="AL132" s="25" t="str">
        <f>IF('1. Live'!AP150='check-Jul''26'!AL150,"",'1. Live'!AP150-'check-Jul''26'!AL150)</f>
        <v/>
      </c>
      <c r="AM132" s="25" t="str">
        <f>IF('1. Live'!AQ150='check-Jul''26'!AM150,"",'1. Live'!AQ150-'check-Jul''26'!AM150)</f>
        <v/>
      </c>
      <c r="AN132" s="25" t="str">
        <f>IF('1. Live'!AR150='check-Jul''26'!AN150,"",'1. Live'!AR150-'check-Jul''26'!AN150)</f>
        <v/>
      </c>
      <c r="AO132" s="25" t="str">
        <f>IF('1. Live'!AS150='check-Jul''26'!AO150,"",'1. Live'!AS150-'check-Jul''26'!AO150)</f>
        <v/>
      </c>
      <c r="AP132" s="25" t="str">
        <f>IF('1. Live'!AT150='check-Jul''26'!AP150,"",'1. Live'!AT150-'check-Jul''26'!AP150)</f>
        <v/>
      </c>
      <c r="AQ132" s="25" t="str">
        <f>IF('1. Live'!AU150='check-Jul''26'!AQ150,"",'1. Live'!AU150-'check-Jul''26'!AQ150)</f>
        <v/>
      </c>
      <c r="AR132" s="25" t="str">
        <f>IF('1. Live'!AV150='check-Jul''26'!AR150,"",'1. Live'!AV150-'check-Jul''26'!AR150)</f>
        <v/>
      </c>
      <c r="AS132" s="25" t="str">
        <f>IF('1. Live'!AW150='check-Jul''26'!AS150,"",'1. Live'!AW150-'check-Jul''26'!AS150)</f>
        <v/>
      </c>
      <c r="AT132" s="25" t="str">
        <f>IF('1. Live'!AX150='check-Jul''26'!AT150,"",'1. Live'!AX150-'check-Jul''26'!AT150)</f>
        <v/>
      </c>
      <c r="AU132" s="25" t="str">
        <f>IF('1. Live'!AY150='check-Jul''26'!AU150,"",'1. Live'!AY150-'check-Jul''26'!AU150)</f>
        <v/>
      </c>
      <c r="AV132" s="25" t="str">
        <f>IF('1. Live'!AZ150='check-Jul''26'!AV150,"",'1. Live'!AZ150-'check-Jul''26'!AV150)</f>
        <v/>
      </c>
      <c r="AW132" s="25" t="str">
        <f>IF('1. Live'!BA150='check-Jul''26'!AW150,"",'1. Live'!BA150-'check-Jul''26'!AW150)</f>
        <v/>
      </c>
      <c r="AX132" s="25" t="str">
        <f>IF('1. Live'!BB150='check-Jul''26'!AX150,"",'1. Live'!BB150-'check-Jul''26'!AX150)</f>
        <v/>
      </c>
      <c r="AY132" s="25" t="str">
        <f>IF('1. Live'!BC150='check-Jul''26'!AY150,"",'1. Live'!BC150-'check-Jul''26'!AY150)</f>
        <v/>
      </c>
      <c r="AZ132" s="25" t="str">
        <f>IF('1. Live'!BD150='check-Jul''26'!AZ150,"",'1. Live'!BD150-'check-Jul''26'!AZ150)</f>
        <v/>
      </c>
      <c r="BA132" s="25" t="str">
        <f>IF('1. Live'!BE150='check-Jul''26'!BA150,"",'1. Live'!BE150-'check-Jul''26'!BA150)</f>
        <v/>
      </c>
      <c r="BB132" s="25" t="str">
        <f>IF('1. Live'!BF150='check-Jul''26'!BB150,"",'1. Live'!BF150-'check-Jul''26'!BB150)</f>
        <v/>
      </c>
      <c r="BC132" s="25" t="str">
        <f>IF('1. Live'!BG150='check-Jul''26'!BC150,"",'1. Live'!BG150-'check-Jul''26'!BC150)</f>
        <v/>
      </c>
      <c r="BD132" s="25" t="str">
        <f>IF('1. Live'!BH150='check-Jul''26'!BD150,"",'1. Live'!BH150-'check-Jul''26'!BD150)</f>
        <v/>
      </c>
      <c r="BE132" s="25" t="str">
        <f>IF('1. Live'!BI150='check-Jul''26'!BE150,"",'1. Live'!BI150-'check-Jul''26'!BE150)</f>
        <v/>
      </c>
      <c r="BF132" s="25" t="str">
        <f>IF('1. Live'!BJ150='check-Jul''26'!BF150,"",'1. Live'!BJ150-'check-Jul''26'!BF150)</f>
        <v/>
      </c>
      <c r="BG132" s="25" t="str">
        <f>IF('1. Live'!BK150='check-Jul''26'!BG150,"",'1. Live'!BK150-'check-Jul''26'!BG150)</f>
        <v/>
      </c>
      <c r="BH132" s="25" t="str">
        <f>IF('1. Live'!BL150='check-Jul''26'!BH150,"",'1. Live'!BL150-'check-Jul''26'!BH150)</f>
        <v/>
      </c>
      <c r="BI132" s="25" t="str">
        <f>IF('1. Live'!BM150='check-Jul''26'!BI150,"",'1. Live'!BM150-'check-Jul''26'!BI150)</f>
        <v/>
      </c>
      <c r="BJ132" s="25" t="str">
        <f>IF('1. Live'!BN150='check-Jul''26'!BJ150,"",'1. Live'!BN150-'check-Jul''26'!BJ150)</f>
        <v/>
      </c>
      <c r="BK132" s="25" t="str">
        <f>IF('1. Live'!BO150='check-Jul''26'!BK150,"",'1. Live'!BO150-'check-Jul''26'!BK150)</f>
        <v/>
      </c>
      <c r="BL132" s="25" t="str">
        <f>IF('1. Live'!BP150='check-Jul''26'!BL150,"",'1. Live'!BP150-'check-Jul''26'!BL150)</f>
        <v/>
      </c>
      <c r="BM132" s="25" t="str">
        <f>IF('1. Live'!BQ150='check-Jul''26'!BM150,"",'1. Live'!BQ150-'check-Jul''26'!BM150)</f>
        <v/>
      </c>
      <c r="BN132" s="25" t="str">
        <f>IF('1. Live'!BR150='check-Jul''26'!BN150,"",'1. Live'!BR150-'check-Jul''26'!BN150)</f>
        <v/>
      </c>
      <c r="BO132" s="25" t="str">
        <f>IF('1. Live'!BS150='check-Jul''26'!BO150,"",'1. Live'!BS150-'check-Jul''26'!BO150)</f>
        <v/>
      </c>
      <c r="BP132" s="25" t="str">
        <f>IF('1. Live'!BT150='check-Jul''26'!BP150,"",'1. Live'!BT150-'check-Jul''26'!BP150)</f>
        <v/>
      </c>
      <c r="BQ132" s="25" t="str">
        <f>IF('1. Live'!BU150='check-Jul''26'!BQ150,"",'1. Live'!BU150-'check-Jul''26'!BQ150)</f>
        <v/>
      </c>
      <c r="BR132" s="25" t="str">
        <f>IF('1. Live'!BV150='check-Jul''26'!BR150,"",'1. Live'!BV150-'check-Jul''26'!BR150)</f>
        <v/>
      </c>
      <c r="BS132" s="25" t="str">
        <f>IF('1. Live'!BW150='check-Jul''26'!BS150,"",'1. Live'!BW150-'check-Jul''26'!BS150)</f>
        <v/>
      </c>
      <c r="BT132" s="25" t="str">
        <f>IF('1. Live'!BX150='check-Jul''26'!BT150,"",'1. Live'!BX150-'check-Jul''26'!BT150)</f>
        <v/>
      </c>
      <c r="BU132" s="25" t="str">
        <f>IF('1. Live'!BY150='check-Jul''26'!BU150,"",'1. Live'!BY150-'check-Jul''26'!BU150)</f>
        <v/>
      </c>
      <c r="BV132" s="25" t="str">
        <f>IF('1. Live'!BZ150='check-Jul''26'!BV150,"",'1. Live'!BZ150-'check-Jul''26'!BV150)</f>
        <v/>
      </c>
      <c r="BW132" s="25" t="str">
        <f>IF('1. Live'!CA150='check-Jul''26'!BW150,"",'1. Live'!CA150-'check-Jul''26'!BW150)</f>
        <v/>
      </c>
      <c r="BX132" s="25" t="str">
        <f>IF('1. Live'!CB150='check-Jul''26'!BX150,"",'1. Live'!CB150-'check-Jul''26'!BX150)</f>
        <v/>
      </c>
      <c r="BY132" s="25" t="str">
        <f>IF('1. Live'!CC150='check-Jul''26'!BY150,"",'1. Live'!CC150-'check-Jul''26'!BY150)</f>
        <v/>
      </c>
      <c r="BZ132" s="25" t="str">
        <f>IF('1. Live'!CD150='check-Jul''26'!BZ150,"",'1. Live'!CD150-'check-Jul''26'!BZ150)</f>
        <v/>
      </c>
      <c r="CA132" s="25" t="str">
        <f>IF('1. Live'!CE150='check-Jul''26'!CA150,"",'1. Live'!CE150-'check-Jul''26'!CA150)</f>
        <v/>
      </c>
      <c r="CB132" s="25" t="str">
        <f>IF('1. Live'!CF150='check-Jul''26'!CB150,"",'1. Live'!CF150-'check-Jul''26'!CB150)</f>
        <v/>
      </c>
      <c r="CC132" s="25" t="str">
        <f>IF('1. Live'!CG150='check-Jul''26'!CC150,"",'1. Live'!CG150-'check-Jul''26'!CC150)</f>
        <v/>
      </c>
      <c r="CD132" s="25" t="str">
        <f>IF('1. Live'!CH150='check-Jul''26'!CD150,"",'1. Live'!CH150-'check-Jul''26'!CD150)</f>
        <v/>
      </c>
      <c r="CE132" s="25" t="str">
        <f>IF('1. Live'!CI150='check-Jul''26'!CE150,"",'1. Live'!CI150-'check-Jul''26'!CE150)</f>
        <v/>
      </c>
      <c r="CF132" s="25" t="str">
        <f>IF('1. Live'!CJ150='check-Jul''26'!CF150,"",'1. Live'!CJ150-'check-Jul''26'!CF150)</f>
        <v/>
      </c>
      <c r="CG132" s="25" t="str">
        <f>IF('1. Live'!CK150='check-Jul''26'!CG150,"",'1. Live'!CK150-'check-Jul''26'!CG150)</f>
        <v/>
      </c>
      <c r="CH132" s="25" t="str">
        <f>IF('1. Live'!CL150='check-Jul''26'!CH150,"",'1. Live'!CL150-'check-Jul''26'!CH150)</f>
        <v/>
      </c>
      <c r="CI132" s="25" t="str">
        <f>IF('1. Live'!CM150='check-Jul''26'!CI150,"",'1. Live'!CM150-'check-Jul''26'!CI150)</f>
        <v/>
      </c>
      <c r="CJ132" s="25" t="str">
        <f>IF('1. Live'!CN150='check-Jul''26'!CJ150,"",'1. Live'!CN150-'check-Jul''26'!CJ150)</f>
        <v/>
      </c>
      <c r="CK132" s="25" t="str">
        <f>IF('1. Live'!CO150='check-Jul''26'!CK150,"",'1. Live'!CO150-'check-Jul''26'!CK150)</f>
        <v/>
      </c>
      <c r="CL132" s="25" t="str">
        <f>IF('1. Live'!CP150='check-Jul''26'!CL150,"",'1. Live'!CP150-'check-Jul''26'!CL150)</f>
        <v/>
      </c>
      <c r="CM132" s="25" t="str">
        <f>IF('1. Live'!CQ150='check-Jul''26'!CM150,"",'1. Live'!CQ150-'check-Jul''26'!CM150)</f>
        <v/>
      </c>
      <c r="CN132" s="25" t="str">
        <f>IF('1. Live'!CR150='check-Jul''26'!CN150,"",'1. Live'!CR150-'check-Jul''26'!CN150)</f>
        <v/>
      </c>
      <c r="CO132" s="25" t="str">
        <f>IF('1. Live'!CS150='check-Jul''26'!CO150,"",'1. Live'!CS150-'check-Jul''26'!CO150)</f>
        <v/>
      </c>
      <c r="CP132" s="25" t="str">
        <f>IF('1. Live'!CT150='check-Jul''26'!CP150,"",'1. Live'!CT150-'check-Jul''26'!CP150)</f>
        <v/>
      </c>
      <c r="CQ132" s="25" t="str">
        <f>IF('1. Live'!CU150='check-Jul''26'!CQ150,"",'1. Live'!CU150-'check-Jul''26'!CQ150)</f>
        <v/>
      </c>
      <c r="CR132" s="25" t="str">
        <f>IF('1. Live'!CV150='check-Jul''26'!CR150,"",'1. Live'!CV150-'check-Jul''26'!CR150)</f>
        <v/>
      </c>
      <c r="CS132" s="25" t="str">
        <f>IF('1. Live'!CW150='check-Jul''26'!CS150,"",'1. Live'!CW150-'check-Jul''26'!CS150)</f>
        <v/>
      </c>
      <c r="CT132" s="25" t="str">
        <f>IF('1. Live'!CX150='check-Jul''26'!CT150,"",'1. Live'!CX150-'check-Jul''26'!CT150)</f>
        <v/>
      </c>
      <c r="CU132" s="25" t="str">
        <f>IF('1. Live'!CY150='check-Jul''26'!CU150,"",'1. Live'!CY150-'check-Jul''26'!CU150)</f>
        <v/>
      </c>
      <c r="CV132" s="25" t="str">
        <f>IF('1. Live'!CZ150='check-Jul''26'!CV150,"",'1. Live'!CZ150-'check-Jul''26'!CV150)</f>
        <v/>
      </c>
    </row>
    <row r="133" spans="17:100" x14ac:dyDescent="0.25">
      <c r="Q133" s="26" t="str">
        <f>IF('1. Live'!N151='check-Jul''26'!I151,"",'1. Live'!N151-'check-Jul''26'!I151)</f>
        <v/>
      </c>
      <c r="R133" s="26" t="str">
        <f>IF('1. Live'!O151='check-Jul''26'!J151,"",'1. Live'!O151-'check-Jul''26'!J151)</f>
        <v/>
      </c>
      <c r="S133" s="26" t="str">
        <f>IF('1. Live'!P151='check-Jul''26'!K151,"",'1. Live'!P151-'check-Jul''26'!K151)</f>
        <v/>
      </c>
      <c r="T133" s="26" t="str">
        <f>IF('1. Live'!Q151='check-Jul''26'!L151,"",'1. Live'!Q151-'check-Jul''26'!L151)</f>
        <v/>
      </c>
      <c r="U133" s="80" t="str">
        <f>IF('1. Live'!R151='check-Jul''26'!M151,"",'1. Live'!R151-'check-Jul''26'!M151)</f>
        <v/>
      </c>
      <c r="V133" s="26" t="str">
        <f>IF('1. Live'!S151='check-Jul''26'!N151,"",'1. Live'!S151-'check-Jul''26'!N151)</f>
        <v/>
      </c>
      <c r="W133" s="25" t="str">
        <f>IF('1. Live'!T151='check-Jul''26'!O151,"",'1. Live'!T151-'check-Jul''26'!O151)</f>
        <v/>
      </c>
      <c r="X133" s="25" t="str">
        <f>IF('1. Live'!U151='check-Jul''26'!Q151,"",'1. Live'!U151-'check-Jul''26'!Q151)</f>
        <v/>
      </c>
      <c r="Y133" s="25" t="str">
        <f>IF('1. Live'!V151='check-Jul''26'!R151,"",'1. Live'!V151-'check-Jul''26'!R151)</f>
        <v/>
      </c>
      <c r="Z133" s="25" t="str">
        <f>IF('1. Live'!W151='check-Jul''26'!S151,"",'1. Live'!W151-'check-Jul''26'!S151)</f>
        <v/>
      </c>
      <c r="AA133" s="25" t="str">
        <f>IF('1. Live'!X151='check-Jul''26'!T151,"",'1. Live'!X151-'check-Jul''26'!T151)</f>
        <v/>
      </c>
      <c r="AB133" s="25" t="str">
        <f>IF('1. Live'!AF151='check-Jul''26'!AB151,"",'1. Live'!AF151-'check-Jul''26'!AB151)</f>
        <v/>
      </c>
      <c r="AC133" s="25" t="str">
        <f>IF('1. Live'!AG151='check-Jul''26'!AC151,"",'1. Live'!AG151-'check-Jul''26'!AC151)</f>
        <v/>
      </c>
      <c r="AD133" s="25" t="str">
        <f>IF('1. Live'!AH151='check-Jul''26'!AD151,"",'1. Live'!AH151-'check-Jul''26'!AD151)</f>
        <v/>
      </c>
      <c r="AE133" s="25" t="str">
        <f>IF('1. Live'!AI151='check-Jul''26'!AE151,"",'1. Live'!AI151-'check-Jul''26'!AE151)</f>
        <v/>
      </c>
      <c r="AF133" s="25" t="str">
        <f>IF('1. Live'!AJ151='check-Jul''26'!AF151,"",'1. Live'!AJ151-'check-Jul''26'!AF151)</f>
        <v/>
      </c>
      <c r="AG133" s="25" t="str">
        <f>IF('1. Live'!AK151='check-Jul''26'!AG151,"",'1. Live'!AK151-'check-Jul''26'!AG151)</f>
        <v/>
      </c>
      <c r="AH133" s="25" t="str">
        <f>IF('1. Live'!AL151='check-Jul''26'!AH151,"",'1. Live'!AL151-'check-Jul''26'!AH151)</f>
        <v/>
      </c>
      <c r="AI133" s="25" t="str">
        <f>IF('1. Live'!AM151='check-Jul''26'!AI151,"",'1. Live'!AM151-'check-Jul''26'!AI151)</f>
        <v/>
      </c>
      <c r="AJ133" s="25" t="str">
        <f>IF('1. Live'!AN151='check-Jul''26'!AJ151,"",'1. Live'!AN151-'check-Jul''26'!AJ151)</f>
        <v/>
      </c>
      <c r="AK133" s="25" t="str">
        <f>IF('1. Live'!AO151='check-Jul''26'!AK151,"",'1. Live'!AO151-'check-Jul''26'!AK151)</f>
        <v/>
      </c>
      <c r="AL133" s="25" t="str">
        <f>IF('1. Live'!AP151='check-Jul''26'!AL151,"",'1. Live'!AP151-'check-Jul''26'!AL151)</f>
        <v/>
      </c>
      <c r="AM133" s="25" t="str">
        <f>IF('1. Live'!AQ151='check-Jul''26'!AM151,"",'1. Live'!AQ151-'check-Jul''26'!AM151)</f>
        <v/>
      </c>
      <c r="AN133" s="25" t="str">
        <f>IF('1. Live'!AR151='check-Jul''26'!AN151,"",'1. Live'!AR151-'check-Jul''26'!AN151)</f>
        <v/>
      </c>
      <c r="AO133" s="25" t="str">
        <f>IF('1. Live'!AS151='check-Jul''26'!AO151,"",'1. Live'!AS151-'check-Jul''26'!AO151)</f>
        <v/>
      </c>
      <c r="AP133" s="25" t="str">
        <f>IF('1. Live'!AT151='check-Jul''26'!AP151,"",'1. Live'!AT151-'check-Jul''26'!AP151)</f>
        <v/>
      </c>
      <c r="AQ133" s="25" t="str">
        <f>IF('1. Live'!AU151='check-Jul''26'!AQ151,"",'1. Live'!AU151-'check-Jul''26'!AQ151)</f>
        <v/>
      </c>
      <c r="AR133" s="25" t="str">
        <f>IF('1. Live'!AV151='check-Jul''26'!AR151,"",'1. Live'!AV151-'check-Jul''26'!AR151)</f>
        <v/>
      </c>
      <c r="AS133" s="25" t="str">
        <f>IF('1. Live'!AW151='check-Jul''26'!AS151,"",'1. Live'!AW151-'check-Jul''26'!AS151)</f>
        <v/>
      </c>
      <c r="AT133" s="25" t="str">
        <f>IF('1. Live'!AX151='check-Jul''26'!AT151,"",'1. Live'!AX151-'check-Jul''26'!AT151)</f>
        <v/>
      </c>
      <c r="AU133" s="25" t="str">
        <f>IF('1. Live'!AY151='check-Jul''26'!AU151,"",'1. Live'!AY151-'check-Jul''26'!AU151)</f>
        <v/>
      </c>
      <c r="AV133" s="25" t="str">
        <f>IF('1. Live'!AZ151='check-Jul''26'!AV151,"",'1. Live'!AZ151-'check-Jul''26'!AV151)</f>
        <v/>
      </c>
      <c r="AW133" s="25" t="str">
        <f>IF('1. Live'!BA151='check-Jul''26'!AW151,"",'1. Live'!BA151-'check-Jul''26'!AW151)</f>
        <v/>
      </c>
      <c r="AX133" s="25" t="str">
        <f>IF('1. Live'!BB151='check-Jul''26'!AX151,"",'1. Live'!BB151-'check-Jul''26'!AX151)</f>
        <v/>
      </c>
      <c r="AY133" s="25" t="str">
        <f>IF('1. Live'!BC151='check-Jul''26'!AY151,"",'1. Live'!BC151-'check-Jul''26'!AY151)</f>
        <v/>
      </c>
      <c r="AZ133" s="25" t="str">
        <f>IF('1. Live'!BD151='check-Jul''26'!AZ151,"",'1. Live'!BD151-'check-Jul''26'!AZ151)</f>
        <v/>
      </c>
      <c r="BA133" s="25" t="str">
        <f>IF('1. Live'!BE151='check-Jul''26'!BA151,"",'1. Live'!BE151-'check-Jul''26'!BA151)</f>
        <v/>
      </c>
      <c r="BB133" s="25" t="str">
        <f>IF('1. Live'!BF151='check-Jul''26'!BB151,"",'1. Live'!BF151-'check-Jul''26'!BB151)</f>
        <v/>
      </c>
      <c r="BC133" s="25" t="str">
        <f>IF('1. Live'!BG151='check-Jul''26'!BC151,"",'1. Live'!BG151-'check-Jul''26'!BC151)</f>
        <v/>
      </c>
      <c r="BD133" s="25" t="str">
        <f>IF('1. Live'!BH151='check-Jul''26'!BD151,"",'1. Live'!BH151-'check-Jul''26'!BD151)</f>
        <v/>
      </c>
      <c r="BE133" s="25" t="str">
        <f>IF('1. Live'!BI151='check-Jul''26'!BE151,"",'1. Live'!BI151-'check-Jul''26'!BE151)</f>
        <v/>
      </c>
      <c r="BF133" s="25" t="str">
        <f>IF('1. Live'!BJ151='check-Jul''26'!BF151,"",'1. Live'!BJ151-'check-Jul''26'!BF151)</f>
        <v/>
      </c>
      <c r="BG133" s="25" t="str">
        <f>IF('1. Live'!BK151='check-Jul''26'!BG151,"",'1. Live'!BK151-'check-Jul''26'!BG151)</f>
        <v/>
      </c>
      <c r="BH133" s="25" t="str">
        <f>IF('1. Live'!BL151='check-Jul''26'!BH151,"",'1. Live'!BL151-'check-Jul''26'!BH151)</f>
        <v/>
      </c>
      <c r="BI133" s="25" t="str">
        <f>IF('1. Live'!BM151='check-Jul''26'!BI151,"",'1. Live'!BM151-'check-Jul''26'!BI151)</f>
        <v/>
      </c>
      <c r="BJ133" s="25" t="str">
        <f>IF('1. Live'!BN151='check-Jul''26'!BJ151,"",'1. Live'!BN151-'check-Jul''26'!BJ151)</f>
        <v/>
      </c>
      <c r="BK133" s="25" t="str">
        <f>IF('1. Live'!BO151='check-Jul''26'!BK151,"",'1. Live'!BO151-'check-Jul''26'!BK151)</f>
        <v/>
      </c>
      <c r="BL133" s="25" t="str">
        <f>IF('1. Live'!BP151='check-Jul''26'!BL151,"",'1. Live'!BP151-'check-Jul''26'!BL151)</f>
        <v/>
      </c>
      <c r="BM133" s="25" t="str">
        <f>IF('1. Live'!BQ151='check-Jul''26'!BM151,"",'1. Live'!BQ151-'check-Jul''26'!BM151)</f>
        <v/>
      </c>
      <c r="BN133" s="25" t="str">
        <f>IF('1. Live'!BR151='check-Jul''26'!BN151,"",'1. Live'!BR151-'check-Jul''26'!BN151)</f>
        <v/>
      </c>
      <c r="BO133" s="25" t="str">
        <f>IF('1. Live'!BS151='check-Jul''26'!BO151,"",'1. Live'!BS151-'check-Jul''26'!BO151)</f>
        <v/>
      </c>
      <c r="BP133" s="25" t="str">
        <f>IF('1. Live'!BT151='check-Jul''26'!BP151,"",'1. Live'!BT151-'check-Jul''26'!BP151)</f>
        <v/>
      </c>
      <c r="BQ133" s="25" t="str">
        <f>IF('1. Live'!BU151='check-Jul''26'!BQ151,"",'1. Live'!BU151-'check-Jul''26'!BQ151)</f>
        <v/>
      </c>
      <c r="BR133" s="25" t="str">
        <f>IF('1. Live'!BV151='check-Jul''26'!BR151,"",'1. Live'!BV151-'check-Jul''26'!BR151)</f>
        <v/>
      </c>
      <c r="BS133" s="25" t="str">
        <f>IF('1. Live'!BW151='check-Jul''26'!BS151,"",'1. Live'!BW151-'check-Jul''26'!BS151)</f>
        <v/>
      </c>
      <c r="BT133" s="25" t="str">
        <f>IF('1. Live'!BX151='check-Jul''26'!BT151,"",'1. Live'!BX151-'check-Jul''26'!BT151)</f>
        <v/>
      </c>
      <c r="BU133" s="25" t="str">
        <f>IF('1. Live'!BY151='check-Jul''26'!BU151,"",'1. Live'!BY151-'check-Jul''26'!BU151)</f>
        <v/>
      </c>
      <c r="BV133" s="25" t="str">
        <f>IF('1. Live'!BZ151='check-Jul''26'!BV151,"",'1. Live'!BZ151-'check-Jul''26'!BV151)</f>
        <v/>
      </c>
      <c r="BW133" s="25" t="str">
        <f>IF('1. Live'!CA151='check-Jul''26'!BW151,"",'1. Live'!CA151-'check-Jul''26'!BW151)</f>
        <v/>
      </c>
      <c r="BX133" s="25" t="str">
        <f>IF('1. Live'!CB151='check-Jul''26'!BX151,"",'1. Live'!CB151-'check-Jul''26'!BX151)</f>
        <v/>
      </c>
      <c r="BY133" s="25" t="str">
        <f>IF('1. Live'!CC151='check-Jul''26'!BY151,"",'1. Live'!CC151-'check-Jul''26'!BY151)</f>
        <v/>
      </c>
      <c r="BZ133" s="25" t="str">
        <f>IF('1. Live'!CD151='check-Jul''26'!BZ151,"",'1. Live'!CD151-'check-Jul''26'!BZ151)</f>
        <v/>
      </c>
      <c r="CA133" s="25" t="str">
        <f>IF('1. Live'!CE151='check-Jul''26'!CA151,"",'1. Live'!CE151-'check-Jul''26'!CA151)</f>
        <v/>
      </c>
      <c r="CB133" s="25" t="str">
        <f>IF('1. Live'!CF151='check-Jul''26'!CB151,"",'1. Live'!CF151-'check-Jul''26'!CB151)</f>
        <v/>
      </c>
      <c r="CC133" s="25" t="str">
        <f>IF('1. Live'!CG151='check-Jul''26'!CC151,"",'1. Live'!CG151-'check-Jul''26'!CC151)</f>
        <v/>
      </c>
      <c r="CD133" s="25" t="str">
        <f>IF('1. Live'!CH151='check-Jul''26'!CD151,"",'1. Live'!CH151-'check-Jul''26'!CD151)</f>
        <v/>
      </c>
      <c r="CE133" s="25" t="str">
        <f>IF('1. Live'!CI151='check-Jul''26'!CE151,"",'1. Live'!CI151-'check-Jul''26'!CE151)</f>
        <v/>
      </c>
      <c r="CF133" s="25" t="str">
        <f>IF('1. Live'!CJ151='check-Jul''26'!CF151,"",'1. Live'!CJ151-'check-Jul''26'!CF151)</f>
        <v/>
      </c>
      <c r="CG133" s="25" t="str">
        <f>IF('1. Live'!CK151='check-Jul''26'!CG151,"",'1. Live'!CK151-'check-Jul''26'!CG151)</f>
        <v/>
      </c>
      <c r="CH133" s="25" t="str">
        <f>IF('1. Live'!CL151='check-Jul''26'!CH151,"",'1. Live'!CL151-'check-Jul''26'!CH151)</f>
        <v/>
      </c>
      <c r="CI133" s="25" t="str">
        <f>IF('1. Live'!CM151='check-Jul''26'!CI151,"",'1. Live'!CM151-'check-Jul''26'!CI151)</f>
        <v/>
      </c>
      <c r="CJ133" s="25" t="str">
        <f>IF('1. Live'!CN151='check-Jul''26'!CJ151,"",'1. Live'!CN151-'check-Jul''26'!CJ151)</f>
        <v/>
      </c>
      <c r="CK133" s="25" t="str">
        <f>IF('1. Live'!CO151='check-Jul''26'!CK151,"",'1. Live'!CO151-'check-Jul''26'!CK151)</f>
        <v/>
      </c>
      <c r="CL133" s="25" t="str">
        <f>IF('1. Live'!CP151='check-Jul''26'!CL151,"",'1. Live'!CP151-'check-Jul''26'!CL151)</f>
        <v/>
      </c>
      <c r="CM133" s="25" t="str">
        <f>IF('1. Live'!CQ151='check-Jul''26'!CM151,"",'1. Live'!CQ151-'check-Jul''26'!CM151)</f>
        <v/>
      </c>
      <c r="CN133" s="25" t="str">
        <f>IF('1. Live'!CR151='check-Jul''26'!CN151,"",'1. Live'!CR151-'check-Jul''26'!CN151)</f>
        <v/>
      </c>
      <c r="CO133" s="25" t="str">
        <f>IF('1. Live'!CS151='check-Jul''26'!CO151,"",'1. Live'!CS151-'check-Jul''26'!CO151)</f>
        <v/>
      </c>
      <c r="CP133" s="25" t="str">
        <f>IF('1. Live'!CT151='check-Jul''26'!CP151,"",'1. Live'!CT151-'check-Jul''26'!CP151)</f>
        <v/>
      </c>
      <c r="CQ133" s="25" t="str">
        <f>IF('1. Live'!CU151='check-Jul''26'!CQ151,"",'1. Live'!CU151-'check-Jul''26'!CQ151)</f>
        <v/>
      </c>
      <c r="CR133" s="25" t="str">
        <f>IF('1. Live'!CV151='check-Jul''26'!CR151,"",'1. Live'!CV151-'check-Jul''26'!CR151)</f>
        <v/>
      </c>
      <c r="CS133" s="25" t="str">
        <f>IF('1. Live'!CW151='check-Jul''26'!CS151,"",'1. Live'!CW151-'check-Jul''26'!CS151)</f>
        <v/>
      </c>
      <c r="CT133" s="25" t="str">
        <f>IF('1. Live'!CX151='check-Jul''26'!CT151,"",'1. Live'!CX151-'check-Jul''26'!CT151)</f>
        <v/>
      </c>
      <c r="CU133" s="25" t="str">
        <f>IF('1. Live'!CY151='check-Jul''26'!CU151,"",'1. Live'!CY151-'check-Jul''26'!CU151)</f>
        <v/>
      </c>
      <c r="CV133" s="25" t="str">
        <f>IF('1. Live'!CZ151='check-Jul''26'!CV151,"",'1. Live'!CZ151-'check-Jul''26'!CV151)</f>
        <v/>
      </c>
    </row>
    <row r="134" spans="17:100" x14ac:dyDescent="0.25">
      <c r="Q134" s="26" t="str">
        <f>IF('1. Live'!N152='check-Jul''26'!I152,"",'1. Live'!N152-'check-Jul''26'!I152)</f>
        <v/>
      </c>
      <c r="R134" s="26" t="str">
        <f>IF('1. Live'!O152='check-Jul''26'!J152,"",'1. Live'!O152-'check-Jul''26'!J152)</f>
        <v/>
      </c>
      <c r="S134" s="26" t="str">
        <f>IF('1. Live'!P152='check-Jul''26'!K152,"",'1. Live'!P152-'check-Jul''26'!K152)</f>
        <v/>
      </c>
      <c r="T134" s="26" t="str">
        <f>IF('1. Live'!Q152='check-Jul''26'!L152,"",'1. Live'!Q152-'check-Jul''26'!L152)</f>
        <v/>
      </c>
      <c r="U134" s="80" t="str">
        <f>IF('1. Live'!R152='check-Jul''26'!M152,"",'1. Live'!R152-'check-Jul''26'!M152)</f>
        <v/>
      </c>
      <c r="V134" s="26" t="str">
        <f>IF('1. Live'!S152='check-Jul''26'!N152,"",'1. Live'!S152-'check-Jul''26'!N152)</f>
        <v/>
      </c>
      <c r="W134" s="25" t="str">
        <f>IF('1. Live'!T152='check-Jul''26'!O152,"",'1. Live'!T152-'check-Jul''26'!O152)</f>
        <v/>
      </c>
      <c r="X134" s="25" t="str">
        <f>IF('1. Live'!U152='check-Jul''26'!Q152,"",'1. Live'!U152-'check-Jul''26'!Q152)</f>
        <v/>
      </c>
      <c r="Y134" s="25" t="str">
        <f>IF('1. Live'!V152='check-Jul''26'!R152,"",'1. Live'!V152-'check-Jul''26'!R152)</f>
        <v/>
      </c>
      <c r="Z134" s="25" t="str">
        <f>IF('1. Live'!W152='check-Jul''26'!S152,"",'1. Live'!W152-'check-Jul''26'!S152)</f>
        <v/>
      </c>
      <c r="AA134" s="25" t="str">
        <f>IF('1. Live'!X152='check-Jul''26'!T152,"",'1. Live'!X152-'check-Jul''26'!T152)</f>
        <v/>
      </c>
      <c r="AB134" s="25" t="str">
        <f>IF('1. Live'!AF152='check-Jul''26'!AB152,"",'1. Live'!AF152-'check-Jul''26'!AB152)</f>
        <v/>
      </c>
      <c r="AC134" s="25" t="str">
        <f>IF('1. Live'!AG152='check-Jul''26'!AC152,"",'1. Live'!AG152-'check-Jul''26'!AC152)</f>
        <v/>
      </c>
      <c r="AD134" s="25" t="str">
        <f>IF('1. Live'!AH152='check-Jul''26'!AD152,"",'1. Live'!AH152-'check-Jul''26'!AD152)</f>
        <v/>
      </c>
      <c r="AE134" s="25" t="str">
        <f>IF('1. Live'!AI152='check-Jul''26'!AE152,"",'1. Live'!AI152-'check-Jul''26'!AE152)</f>
        <v/>
      </c>
      <c r="AF134" s="25" t="str">
        <f>IF('1. Live'!AJ152='check-Jul''26'!AF152,"",'1. Live'!AJ152-'check-Jul''26'!AF152)</f>
        <v/>
      </c>
      <c r="AG134" s="25" t="str">
        <f>IF('1. Live'!AK152='check-Jul''26'!AG152,"",'1. Live'!AK152-'check-Jul''26'!AG152)</f>
        <v/>
      </c>
      <c r="AH134" s="25" t="str">
        <f>IF('1. Live'!AL152='check-Jul''26'!AH152,"",'1. Live'!AL152-'check-Jul''26'!AH152)</f>
        <v/>
      </c>
      <c r="AI134" s="25" t="str">
        <f>IF('1. Live'!AM152='check-Jul''26'!AI152,"",'1. Live'!AM152-'check-Jul''26'!AI152)</f>
        <v/>
      </c>
      <c r="AJ134" s="25" t="str">
        <f>IF('1. Live'!AN152='check-Jul''26'!AJ152,"",'1. Live'!AN152-'check-Jul''26'!AJ152)</f>
        <v/>
      </c>
      <c r="AK134" s="25" t="str">
        <f>IF('1. Live'!AO152='check-Jul''26'!AK152,"",'1. Live'!AO152-'check-Jul''26'!AK152)</f>
        <v/>
      </c>
      <c r="AL134" s="25" t="str">
        <f>IF('1. Live'!AP152='check-Jul''26'!AL152,"",'1. Live'!AP152-'check-Jul''26'!AL152)</f>
        <v/>
      </c>
      <c r="AM134" s="25" t="str">
        <f>IF('1. Live'!AQ152='check-Jul''26'!AM152,"",'1. Live'!AQ152-'check-Jul''26'!AM152)</f>
        <v/>
      </c>
      <c r="AN134" s="25" t="str">
        <f>IF('1. Live'!AR152='check-Jul''26'!AN152,"",'1. Live'!AR152-'check-Jul''26'!AN152)</f>
        <v/>
      </c>
      <c r="AO134" s="25" t="str">
        <f>IF('1. Live'!AS152='check-Jul''26'!AO152,"",'1. Live'!AS152-'check-Jul''26'!AO152)</f>
        <v/>
      </c>
      <c r="AP134" s="25" t="str">
        <f>IF('1. Live'!AT152='check-Jul''26'!AP152,"",'1. Live'!AT152-'check-Jul''26'!AP152)</f>
        <v/>
      </c>
      <c r="AQ134" s="25" t="str">
        <f>IF('1. Live'!AU152='check-Jul''26'!AQ152,"",'1. Live'!AU152-'check-Jul''26'!AQ152)</f>
        <v/>
      </c>
      <c r="AR134" s="25" t="str">
        <f>IF('1. Live'!AV152='check-Jul''26'!AR152,"",'1. Live'!AV152-'check-Jul''26'!AR152)</f>
        <v/>
      </c>
      <c r="AS134" s="25" t="str">
        <f>IF('1. Live'!AW152='check-Jul''26'!AS152,"",'1. Live'!AW152-'check-Jul''26'!AS152)</f>
        <v/>
      </c>
      <c r="AT134" s="25" t="str">
        <f>IF('1. Live'!AX152='check-Jul''26'!AT152,"",'1. Live'!AX152-'check-Jul''26'!AT152)</f>
        <v/>
      </c>
      <c r="AU134" s="25" t="str">
        <f>IF('1. Live'!AY152='check-Jul''26'!AU152,"",'1. Live'!AY152-'check-Jul''26'!AU152)</f>
        <v/>
      </c>
      <c r="AV134" s="25" t="str">
        <f>IF('1. Live'!AZ152='check-Jul''26'!AV152,"",'1. Live'!AZ152-'check-Jul''26'!AV152)</f>
        <v/>
      </c>
      <c r="AW134" s="25" t="str">
        <f>IF('1. Live'!BA152='check-Jul''26'!AW152,"",'1. Live'!BA152-'check-Jul''26'!AW152)</f>
        <v/>
      </c>
      <c r="AX134" s="25" t="str">
        <f>IF('1. Live'!BB152='check-Jul''26'!AX152,"",'1. Live'!BB152-'check-Jul''26'!AX152)</f>
        <v/>
      </c>
      <c r="AY134" s="25" t="str">
        <f>IF('1. Live'!BC152='check-Jul''26'!AY152,"",'1. Live'!BC152-'check-Jul''26'!AY152)</f>
        <v/>
      </c>
      <c r="AZ134" s="25" t="str">
        <f>IF('1. Live'!BD152='check-Jul''26'!AZ152,"",'1. Live'!BD152-'check-Jul''26'!AZ152)</f>
        <v/>
      </c>
      <c r="BA134" s="25" t="str">
        <f>IF('1. Live'!BE152='check-Jul''26'!BA152,"",'1. Live'!BE152-'check-Jul''26'!BA152)</f>
        <v/>
      </c>
      <c r="BB134" s="25" t="str">
        <f>IF('1. Live'!BF152='check-Jul''26'!BB152,"",'1. Live'!BF152-'check-Jul''26'!BB152)</f>
        <v/>
      </c>
      <c r="BC134" s="25" t="str">
        <f>IF('1. Live'!BG152='check-Jul''26'!BC152,"",'1. Live'!BG152-'check-Jul''26'!BC152)</f>
        <v/>
      </c>
      <c r="BD134" s="25" t="str">
        <f>IF('1. Live'!BH152='check-Jul''26'!BD152,"",'1. Live'!BH152-'check-Jul''26'!BD152)</f>
        <v/>
      </c>
      <c r="BE134" s="25" t="str">
        <f>IF('1. Live'!BI152='check-Jul''26'!BE152,"",'1. Live'!BI152-'check-Jul''26'!BE152)</f>
        <v/>
      </c>
      <c r="BF134" s="25" t="str">
        <f>IF('1. Live'!BJ152='check-Jul''26'!BF152,"",'1. Live'!BJ152-'check-Jul''26'!BF152)</f>
        <v/>
      </c>
      <c r="BG134" s="25" t="str">
        <f>IF('1. Live'!BK152='check-Jul''26'!BG152,"",'1. Live'!BK152-'check-Jul''26'!BG152)</f>
        <v/>
      </c>
      <c r="BH134" s="25" t="str">
        <f>IF('1. Live'!BL152='check-Jul''26'!BH152,"",'1. Live'!BL152-'check-Jul''26'!BH152)</f>
        <v/>
      </c>
      <c r="BI134" s="25" t="str">
        <f>IF('1. Live'!BM152='check-Jul''26'!BI152,"",'1. Live'!BM152-'check-Jul''26'!BI152)</f>
        <v/>
      </c>
      <c r="BJ134" s="25" t="str">
        <f>IF('1. Live'!BN152='check-Jul''26'!BJ152,"",'1. Live'!BN152-'check-Jul''26'!BJ152)</f>
        <v/>
      </c>
      <c r="BK134" s="25" t="str">
        <f>IF('1. Live'!BO152='check-Jul''26'!BK152,"",'1. Live'!BO152-'check-Jul''26'!BK152)</f>
        <v/>
      </c>
      <c r="BL134" s="25" t="str">
        <f>IF('1. Live'!BP152='check-Jul''26'!BL152,"",'1. Live'!BP152-'check-Jul''26'!BL152)</f>
        <v/>
      </c>
      <c r="BM134" s="25" t="str">
        <f>IF('1. Live'!BQ152='check-Jul''26'!BM152,"",'1. Live'!BQ152-'check-Jul''26'!BM152)</f>
        <v/>
      </c>
      <c r="BN134" s="25" t="str">
        <f>IF('1. Live'!BR152='check-Jul''26'!BN152,"",'1. Live'!BR152-'check-Jul''26'!BN152)</f>
        <v/>
      </c>
      <c r="BO134" s="25" t="str">
        <f>IF('1. Live'!BS152='check-Jul''26'!BO152,"",'1. Live'!BS152-'check-Jul''26'!BO152)</f>
        <v/>
      </c>
      <c r="BP134" s="25" t="str">
        <f>IF('1. Live'!BT152='check-Jul''26'!BP152,"",'1. Live'!BT152-'check-Jul''26'!BP152)</f>
        <v/>
      </c>
      <c r="BQ134" s="25" t="str">
        <f>IF('1. Live'!BU152='check-Jul''26'!BQ152,"",'1. Live'!BU152-'check-Jul''26'!BQ152)</f>
        <v/>
      </c>
      <c r="BR134" s="25" t="str">
        <f>IF('1. Live'!BV152='check-Jul''26'!BR152,"",'1. Live'!BV152-'check-Jul''26'!BR152)</f>
        <v/>
      </c>
      <c r="BS134" s="25" t="str">
        <f>IF('1. Live'!BW152='check-Jul''26'!BS152,"",'1. Live'!BW152-'check-Jul''26'!BS152)</f>
        <v/>
      </c>
      <c r="BT134" s="25" t="str">
        <f>IF('1. Live'!BX152='check-Jul''26'!BT152,"",'1. Live'!BX152-'check-Jul''26'!BT152)</f>
        <v/>
      </c>
      <c r="BU134" s="25" t="str">
        <f>IF('1. Live'!BY152='check-Jul''26'!BU152,"",'1. Live'!BY152-'check-Jul''26'!BU152)</f>
        <v/>
      </c>
      <c r="BV134" s="25" t="str">
        <f>IF('1. Live'!BZ152='check-Jul''26'!BV152,"",'1. Live'!BZ152-'check-Jul''26'!BV152)</f>
        <v/>
      </c>
      <c r="BW134" s="25" t="str">
        <f>IF('1. Live'!CA152='check-Jul''26'!BW152,"",'1. Live'!CA152-'check-Jul''26'!BW152)</f>
        <v/>
      </c>
      <c r="BX134" s="25" t="str">
        <f>IF('1. Live'!CB152='check-Jul''26'!BX152,"",'1. Live'!CB152-'check-Jul''26'!BX152)</f>
        <v/>
      </c>
      <c r="BY134" s="25" t="str">
        <f>IF('1. Live'!CC152='check-Jul''26'!BY152,"",'1. Live'!CC152-'check-Jul''26'!BY152)</f>
        <v/>
      </c>
      <c r="BZ134" s="25" t="str">
        <f>IF('1. Live'!CD152='check-Jul''26'!BZ152,"",'1. Live'!CD152-'check-Jul''26'!BZ152)</f>
        <v/>
      </c>
      <c r="CA134" s="25" t="str">
        <f>IF('1. Live'!CE152='check-Jul''26'!CA152,"",'1. Live'!CE152-'check-Jul''26'!CA152)</f>
        <v/>
      </c>
      <c r="CB134" s="25" t="str">
        <f>IF('1. Live'!CF152='check-Jul''26'!CB152,"",'1. Live'!CF152-'check-Jul''26'!CB152)</f>
        <v/>
      </c>
      <c r="CC134" s="25" t="str">
        <f>IF('1. Live'!CG152='check-Jul''26'!CC152,"",'1. Live'!CG152-'check-Jul''26'!CC152)</f>
        <v/>
      </c>
      <c r="CD134" s="25" t="str">
        <f>IF('1. Live'!CH152='check-Jul''26'!CD152,"",'1. Live'!CH152-'check-Jul''26'!CD152)</f>
        <v/>
      </c>
      <c r="CE134" s="25" t="str">
        <f>IF('1. Live'!CI152='check-Jul''26'!CE152,"",'1. Live'!CI152-'check-Jul''26'!CE152)</f>
        <v/>
      </c>
      <c r="CF134" s="25" t="str">
        <f>IF('1. Live'!CJ152='check-Jul''26'!CF152,"",'1. Live'!CJ152-'check-Jul''26'!CF152)</f>
        <v/>
      </c>
      <c r="CG134" s="25" t="str">
        <f>IF('1. Live'!CK152='check-Jul''26'!CG152,"",'1. Live'!CK152-'check-Jul''26'!CG152)</f>
        <v/>
      </c>
      <c r="CH134" s="25" t="str">
        <f>IF('1. Live'!CL152='check-Jul''26'!CH152,"",'1. Live'!CL152-'check-Jul''26'!CH152)</f>
        <v/>
      </c>
      <c r="CI134" s="25" t="str">
        <f>IF('1. Live'!CM152='check-Jul''26'!CI152,"",'1. Live'!CM152-'check-Jul''26'!CI152)</f>
        <v/>
      </c>
      <c r="CJ134" s="25" t="str">
        <f>IF('1. Live'!CN152='check-Jul''26'!CJ152,"",'1. Live'!CN152-'check-Jul''26'!CJ152)</f>
        <v/>
      </c>
      <c r="CK134" s="25" t="str">
        <f>IF('1. Live'!CO152='check-Jul''26'!CK152,"",'1. Live'!CO152-'check-Jul''26'!CK152)</f>
        <v/>
      </c>
      <c r="CL134" s="25" t="str">
        <f>IF('1. Live'!CP152='check-Jul''26'!CL152,"",'1. Live'!CP152-'check-Jul''26'!CL152)</f>
        <v/>
      </c>
      <c r="CM134" s="25" t="str">
        <f>IF('1. Live'!CQ152='check-Jul''26'!CM152,"",'1. Live'!CQ152-'check-Jul''26'!CM152)</f>
        <v/>
      </c>
      <c r="CN134" s="25" t="str">
        <f>IF('1. Live'!CR152='check-Jul''26'!CN152,"",'1. Live'!CR152-'check-Jul''26'!CN152)</f>
        <v/>
      </c>
      <c r="CO134" s="25" t="str">
        <f>IF('1. Live'!CS152='check-Jul''26'!CO152,"",'1. Live'!CS152-'check-Jul''26'!CO152)</f>
        <v/>
      </c>
      <c r="CP134" s="25" t="str">
        <f>IF('1. Live'!CT152='check-Jul''26'!CP152,"",'1. Live'!CT152-'check-Jul''26'!CP152)</f>
        <v/>
      </c>
      <c r="CQ134" s="25" t="str">
        <f>IF('1. Live'!CU152='check-Jul''26'!CQ152,"",'1. Live'!CU152-'check-Jul''26'!CQ152)</f>
        <v/>
      </c>
      <c r="CR134" s="25" t="str">
        <f>IF('1. Live'!CV152='check-Jul''26'!CR152,"",'1. Live'!CV152-'check-Jul''26'!CR152)</f>
        <v/>
      </c>
      <c r="CS134" s="25" t="str">
        <f>IF('1. Live'!CW152='check-Jul''26'!CS152,"",'1. Live'!CW152-'check-Jul''26'!CS152)</f>
        <v/>
      </c>
      <c r="CT134" s="25" t="str">
        <f>IF('1. Live'!CX152='check-Jul''26'!CT152,"",'1. Live'!CX152-'check-Jul''26'!CT152)</f>
        <v/>
      </c>
      <c r="CU134" s="25" t="str">
        <f>IF('1. Live'!CY152='check-Jul''26'!CU152,"",'1. Live'!CY152-'check-Jul''26'!CU152)</f>
        <v/>
      </c>
      <c r="CV134" s="25" t="str">
        <f>IF('1. Live'!CZ152='check-Jul''26'!CV152,"",'1. Live'!CZ152-'check-Jul''26'!CV152)</f>
        <v/>
      </c>
    </row>
    <row r="135" spans="17:100" x14ac:dyDescent="0.25">
      <c r="Q135" s="26" t="str">
        <f>IF('1. Live'!N153='check-Jul''26'!I153,"",'1. Live'!N153-'check-Jul''26'!I153)</f>
        <v/>
      </c>
      <c r="R135" s="26" t="str">
        <f>IF('1. Live'!O153='check-Jul''26'!J153,"",'1. Live'!O153-'check-Jul''26'!J153)</f>
        <v/>
      </c>
      <c r="S135" s="26" t="str">
        <f>IF('1. Live'!P153='check-Jul''26'!K153,"",'1. Live'!P153-'check-Jul''26'!K153)</f>
        <v/>
      </c>
      <c r="T135" s="26" t="str">
        <f>IF('1. Live'!Q153='check-Jul''26'!L153,"",'1. Live'!Q153-'check-Jul''26'!L153)</f>
        <v/>
      </c>
      <c r="U135" s="80" t="str">
        <f>IF('1. Live'!R153='check-Jul''26'!M153,"",'1. Live'!R153-'check-Jul''26'!M153)</f>
        <v/>
      </c>
      <c r="V135" s="26" t="str">
        <f>IF('1. Live'!S153='check-Jul''26'!N153,"",'1. Live'!S153-'check-Jul''26'!N153)</f>
        <v/>
      </c>
      <c r="W135" s="25" t="str">
        <f>IF('1. Live'!T153='check-Jul''26'!O153,"",'1. Live'!T153-'check-Jul''26'!O153)</f>
        <v/>
      </c>
      <c r="X135" s="25" t="str">
        <f>IF('1. Live'!U153='check-Jul''26'!Q153,"",'1. Live'!U153-'check-Jul''26'!Q153)</f>
        <v/>
      </c>
      <c r="Y135" s="25" t="str">
        <f>IF('1. Live'!V153='check-Jul''26'!R153,"",'1. Live'!V153-'check-Jul''26'!R153)</f>
        <v/>
      </c>
      <c r="Z135" s="25" t="str">
        <f>IF('1. Live'!W153='check-Jul''26'!S153,"",'1. Live'!W153-'check-Jul''26'!S153)</f>
        <v/>
      </c>
      <c r="AA135" s="25" t="str">
        <f>IF('1. Live'!X153='check-Jul''26'!T153,"",'1. Live'!X153-'check-Jul''26'!T153)</f>
        <v/>
      </c>
      <c r="AB135" s="25" t="str">
        <f>IF('1. Live'!AF153='check-Jul''26'!AB153,"",'1. Live'!AF153-'check-Jul''26'!AB153)</f>
        <v/>
      </c>
      <c r="AC135" s="25" t="str">
        <f>IF('1. Live'!AG153='check-Jul''26'!AC153,"",'1. Live'!AG153-'check-Jul''26'!AC153)</f>
        <v/>
      </c>
      <c r="AD135" s="25" t="str">
        <f>IF('1. Live'!AH153='check-Jul''26'!AD153,"",'1. Live'!AH153-'check-Jul''26'!AD153)</f>
        <v/>
      </c>
      <c r="AE135" s="25" t="str">
        <f>IF('1. Live'!AI153='check-Jul''26'!AE153,"",'1. Live'!AI153-'check-Jul''26'!AE153)</f>
        <v/>
      </c>
      <c r="AF135" s="25" t="str">
        <f>IF('1. Live'!AJ153='check-Jul''26'!AF153,"",'1. Live'!AJ153-'check-Jul''26'!AF153)</f>
        <v/>
      </c>
      <c r="AG135" s="25" t="str">
        <f>IF('1. Live'!AK153='check-Jul''26'!AG153,"",'1. Live'!AK153-'check-Jul''26'!AG153)</f>
        <v/>
      </c>
      <c r="AH135" s="25" t="str">
        <f>IF('1. Live'!AL153='check-Jul''26'!AH153,"",'1. Live'!AL153-'check-Jul''26'!AH153)</f>
        <v/>
      </c>
      <c r="AI135" s="25" t="str">
        <f>IF('1. Live'!AM153='check-Jul''26'!AI153,"",'1. Live'!AM153-'check-Jul''26'!AI153)</f>
        <v/>
      </c>
      <c r="AJ135" s="25" t="str">
        <f>IF('1. Live'!AN153='check-Jul''26'!AJ153,"",'1. Live'!AN153-'check-Jul''26'!AJ153)</f>
        <v/>
      </c>
      <c r="AK135" s="25" t="str">
        <f>IF('1. Live'!AO153='check-Jul''26'!AK153,"",'1. Live'!AO153-'check-Jul''26'!AK153)</f>
        <v/>
      </c>
      <c r="AL135" s="25" t="str">
        <f>IF('1. Live'!AP153='check-Jul''26'!AL153,"",'1. Live'!AP153-'check-Jul''26'!AL153)</f>
        <v/>
      </c>
      <c r="AM135" s="25" t="str">
        <f>IF('1. Live'!AQ153='check-Jul''26'!AM153,"",'1. Live'!AQ153-'check-Jul''26'!AM153)</f>
        <v/>
      </c>
      <c r="AN135" s="25" t="str">
        <f>IF('1. Live'!AR153='check-Jul''26'!AN153,"",'1. Live'!AR153-'check-Jul''26'!AN153)</f>
        <v/>
      </c>
      <c r="AO135" s="25" t="str">
        <f>IF('1. Live'!AS153='check-Jul''26'!AO153,"",'1. Live'!AS153-'check-Jul''26'!AO153)</f>
        <v/>
      </c>
      <c r="AP135" s="25" t="str">
        <f>IF('1. Live'!AT153='check-Jul''26'!AP153,"",'1. Live'!AT153-'check-Jul''26'!AP153)</f>
        <v/>
      </c>
      <c r="AQ135" s="25" t="str">
        <f>IF('1. Live'!AU153='check-Jul''26'!AQ153,"",'1. Live'!AU153-'check-Jul''26'!AQ153)</f>
        <v/>
      </c>
      <c r="AR135" s="25" t="str">
        <f>IF('1. Live'!AV153='check-Jul''26'!AR153,"",'1. Live'!AV153-'check-Jul''26'!AR153)</f>
        <v/>
      </c>
      <c r="AS135" s="25" t="str">
        <f>IF('1. Live'!AW153='check-Jul''26'!AS153,"",'1. Live'!AW153-'check-Jul''26'!AS153)</f>
        <v/>
      </c>
      <c r="AT135" s="25" t="str">
        <f>IF('1. Live'!AX153='check-Jul''26'!AT153,"",'1. Live'!AX153-'check-Jul''26'!AT153)</f>
        <v/>
      </c>
      <c r="AU135" s="25" t="str">
        <f>IF('1. Live'!AY153='check-Jul''26'!AU153,"",'1. Live'!AY153-'check-Jul''26'!AU153)</f>
        <v/>
      </c>
      <c r="AV135" s="25" t="str">
        <f>IF('1. Live'!AZ153='check-Jul''26'!AV153,"",'1. Live'!AZ153-'check-Jul''26'!AV153)</f>
        <v/>
      </c>
      <c r="AW135" s="25" t="str">
        <f>IF('1. Live'!BA153='check-Jul''26'!AW153,"",'1. Live'!BA153-'check-Jul''26'!AW153)</f>
        <v/>
      </c>
      <c r="AX135" s="25" t="str">
        <f>IF('1. Live'!BB153='check-Jul''26'!AX153,"",'1. Live'!BB153-'check-Jul''26'!AX153)</f>
        <v/>
      </c>
      <c r="AY135" s="25" t="str">
        <f>IF('1. Live'!BC153='check-Jul''26'!AY153,"",'1. Live'!BC153-'check-Jul''26'!AY153)</f>
        <v/>
      </c>
      <c r="AZ135" s="25" t="str">
        <f>IF('1. Live'!BD153='check-Jul''26'!AZ153,"",'1. Live'!BD153-'check-Jul''26'!AZ153)</f>
        <v/>
      </c>
      <c r="BA135" s="25" t="str">
        <f>IF('1. Live'!BE153='check-Jul''26'!BA153,"",'1. Live'!BE153-'check-Jul''26'!BA153)</f>
        <v/>
      </c>
      <c r="BB135" s="25" t="str">
        <f>IF('1. Live'!BF153='check-Jul''26'!BB153,"",'1. Live'!BF153-'check-Jul''26'!BB153)</f>
        <v/>
      </c>
      <c r="BC135" s="25" t="str">
        <f>IF('1. Live'!BG153='check-Jul''26'!BC153,"",'1. Live'!BG153-'check-Jul''26'!BC153)</f>
        <v/>
      </c>
      <c r="BD135" s="25" t="str">
        <f>IF('1. Live'!BH153='check-Jul''26'!BD153,"",'1. Live'!BH153-'check-Jul''26'!BD153)</f>
        <v/>
      </c>
      <c r="BE135" s="25" t="str">
        <f>IF('1. Live'!BI153='check-Jul''26'!BE153,"",'1. Live'!BI153-'check-Jul''26'!BE153)</f>
        <v/>
      </c>
      <c r="BF135" s="25" t="str">
        <f>IF('1. Live'!BJ153='check-Jul''26'!BF153,"",'1. Live'!BJ153-'check-Jul''26'!BF153)</f>
        <v/>
      </c>
      <c r="BG135" s="25" t="str">
        <f>IF('1. Live'!BK153='check-Jul''26'!BG153,"",'1. Live'!BK153-'check-Jul''26'!BG153)</f>
        <v/>
      </c>
      <c r="BH135" s="25" t="str">
        <f>IF('1. Live'!BL153='check-Jul''26'!BH153,"",'1. Live'!BL153-'check-Jul''26'!BH153)</f>
        <v/>
      </c>
      <c r="BI135" s="25" t="str">
        <f>IF('1. Live'!BM153='check-Jul''26'!BI153,"",'1. Live'!BM153-'check-Jul''26'!BI153)</f>
        <v/>
      </c>
      <c r="BJ135" s="25" t="str">
        <f>IF('1. Live'!BN153='check-Jul''26'!BJ153,"",'1. Live'!BN153-'check-Jul''26'!BJ153)</f>
        <v/>
      </c>
      <c r="BK135" s="25" t="str">
        <f>IF('1. Live'!BO153='check-Jul''26'!BK153,"",'1. Live'!BO153-'check-Jul''26'!BK153)</f>
        <v/>
      </c>
      <c r="BL135" s="25" t="str">
        <f>IF('1. Live'!BP153='check-Jul''26'!BL153,"",'1. Live'!BP153-'check-Jul''26'!BL153)</f>
        <v/>
      </c>
      <c r="BM135" s="25" t="str">
        <f>IF('1. Live'!BQ153='check-Jul''26'!BM153,"",'1. Live'!BQ153-'check-Jul''26'!BM153)</f>
        <v/>
      </c>
      <c r="BN135" s="25" t="str">
        <f>IF('1. Live'!BR153='check-Jul''26'!BN153,"",'1. Live'!BR153-'check-Jul''26'!BN153)</f>
        <v/>
      </c>
      <c r="BO135" s="25" t="str">
        <f>IF('1. Live'!BS153='check-Jul''26'!BO153,"",'1. Live'!BS153-'check-Jul''26'!BO153)</f>
        <v/>
      </c>
      <c r="BP135" s="25" t="str">
        <f>IF('1. Live'!BT153='check-Jul''26'!BP153,"",'1. Live'!BT153-'check-Jul''26'!BP153)</f>
        <v/>
      </c>
      <c r="BQ135" s="25" t="str">
        <f>IF('1. Live'!BU153='check-Jul''26'!BQ153,"",'1. Live'!BU153-'check-Jul''26'!BQ153)</f>
        <v/>
      </c>
      <c r="BR135" s="25" t="str">
        <f>IF('1. Live'!BV153='check-Jul''26'!BR153,"",'1. Live'!BV153-'check-Jul''26'!BR153)</f>
        <v/>
      </c>
      <c r="BS135" s="25" t="str">
        <f>IF('1. Live'!BW153='check-Jul''26'!BS153,"",'1. Live'!BW153-'check-Jul''26'!BS153)</f>
        <v/>
      </c>
      <c r="BT135" s="25" t="str">
        <f>IF('1. Live'!BX153='check-Jul''26'!BT153,"",'1. Live'!BX153-'check-Jul''26'!BT153)</f>
        <v/>
      </c>
      <c r="BU135" s="25" t="str">
        <f>IF('1. Live'!BY153='check-Jul''26'!BU153,"",'1. Live'!BY153-'check-Jul''26'!BU153)</f>
        <v/>
      </c>
      <c r="BV135" s="25" t="str">
        <f>IF('1. Live'!BZ153='check-Jul''26'!BV153,"",'1. Live'!BZ153-'check-Jul''26'!BV153)</f>
        <v/>
      </c>
      <c r="BW135" s="25" t="str">
        <f>IF('1. Live'!CA153='check-Jul''26'!BW153,"",'1. Live'!CA153-'check-Jul''26'!BW153)</f>
        <v/>
      </c>
      <c r="BX135" s="25" t="str">
        <f>IF('1. Live'!CB153='check-Jul''26'!BX153,"",'1. Live'!CB153-'check-Jul''26'!BX153)</f>
        <v/>
      </c>
      <c r="BY135" s="25" t="str">
        <f>IF('1. Live'!CC153='check-Jul''26'!BY153,"",'1. Live'!CC153-'check-Jul''26'!BY153)</f>
        <v/>
      </c>
      <c r="BZ135" s="25" t="str">
        <f>IF('1. Live'!CD153='check-Jul''26'!BZ153,"",'1. Live'!CD153-'check-Jul''26'!BZ153)</f>
        <v/>
      </c>
      <c r="CA135" s="25" t="str">
        <f>IF('1. Live'!CE153='check-Jul''26'!CA153,"",'1. Live'!CE153-'check-Jul''26'!CA153)</f>
        <v/>
      </c>
      <c r="CB135" s="25" t="str">
        <f>IF('1. Live'!CF153='check-Jul''26'!CB153,"",'1. Live'!CF153-'check-Jul''26'!CB153)</f>
        <v/>
      </c>
      <c r="CC135" s="25" t="str">
        <f>IF('1. Live'!CG153='check-Jul''26'!CC153,"",'1. Live'!CG153-'check-Jul''26'!CC153)</f>
        <v/>
      </c>
      <c r="CD135" s="25" t="str">
        <f>IF('1. Live'!CH153='check-Jul''26'!CD153,"",'1. Live'!CH153-'check-Jul''26'!CD153)</f>
        <v/>
      </c>
      <c r="CE135" s="25" t="str">
        <f>IF('1. Live'!CI153='check-Jul''26'!CE153,"",'1. Live'!CI153-'check-Jul''26'!CE153)</f>
        <v/>
      </c>
      <c r="CF135" s="25" t="str">
        <f>IF('1. Live'!CJ153='check-Jul''26'!CF153,"",'1. Live'!CJ153-'check-Jul''26'!CF153)</f>
        <v/>
      </c>
      <c r="CG135" s="25" t="str">
        <f>IF('1. Live'!CK153='check-Jul''26'!CG153,"",'1. Live'!CK153-'check-Jul''26'!CG153)</f>
        <v/>
      </c>
      <c r="CH135" s="25" t="str">
        <f>IF('1. Live'!CL153='check-Jul''26'!CH153,"",'1. Live'!CL153-'check-Jul''26'!CH153)</f>
        <v/>
      </c>
      <c r="CI135" s="25" t="str">
        <f>IF('1. Live'!CM153='check-Jul''26'!CI153,"",'1. Live'!CM153-'check-Jul''26'!CI153)</f>
        <v/>
      </c>
      <c r="CJ135" s="25" t="str">
        <f>IF('1. Live'!CN153='check-Jul''26'!CJ153,"",'1. Live'!CN153-'check-Jul''26'!CJ153)</f>
        <v/>
      </c>
      <c r="CK135" s="25" t="str">
        <f>IF('1. Live'!CO153='check-Jul''26'!CK153,"",'1. Live'!CO153-'check-Jul''26'!CK153)</f>
        <v/>
      </c>
      <c r="CL135" s="25" t="str">
        <f>IF('1. Live'!CP153='check-Jul''26'!CL153,"",'1. Live'!CP153-'check-Jul''26'!CL153)</f>
        <v/>
      </c>
      <c r="CM135" s="25" t="str">
        <f>IF('1. Live'!CQ153='check-Jul''26'!CM153,"",'1. Live'!CQ153-'check-Jul''26'!CM153)</f>
        <v/>
      </c>
      <c r="CN135" s="25" t="str">
        <f>IF('1. Live'!CR153='check-Jul''26'!CN153,"",'1. Live'!CR153-'check-Jul''26'!CN153)</f>
        <v/>
      </c>
      <c r="CO135" s="25" t="str">
        <f>IF('1. Live'!CS153='check-Jul''26'!CO153,"",'1. Live'!CS153-'check-Jul''26'!CO153)</f>
        <v/>
      </c>
      <c r="CP135" s="25" t="str">
        <f>IF('1. Live'!CT153='check-Jul''26'!CP153,"",'1. Live'!CT153-'check-Jul''26'!CP153)</f>
        <v/>
      </c>
      <c r="CQ135" s="25" t="str">
        <f>IF('1. Live'!CU153='check-Jul''26'!CQ153,"",'1. Live'!CU153-'check-Jul''26'!CQ153)</f>
        <v/>
      </c>
      <c r="CR135" s="25" t="str">
        <f>IF('1. Live'!CV153='check-Jul''26'!CR153,"",'1. Live'!CV153-'check-Jul''26'!CR153)</f>
        <v/>
      </c>
      <c r="CS135" s="25" t="str">
        <f>IF('1. Live'!CW153='check-Jul''26'!CS153,"",'1. Live'!CW153-'check-Jul''26'!CS153)</f>
        <v/>
      </c>
      <c r="CT135" s="25" t="str">
        <f>IF('1. Live'!CX153='check-Jul''26'!CT153,"",'1. Live'!CX153-'check-Jul''26'!CT153)</f>
        <v/>
      </c>
      <c r="CU135" s="25" t="str">
        <f>IF('1. Live'!CY153='check-Jul''26'!CU153,"",'1. Live'!CY153-'check-Jul''26'!CU153)</f>
        <v/>
      </c>
      <c r="CV135" s="25" t="str">
        <f>IF('1. Live'!CZ153='check-Jul''26'!CV153,"",'1. Live'!CZ153-'check-Jul''26'!CV153)</f>
        <v/>
      </c>
    </row>
    <row r="136" spans="17:100" x14ac:dyDescent="0.25">
      <c r="Q136" s="26" t="str">
        <f>IF('1. Live'!N154='check-Jul''26'!I154,"",'1. Live'!N154-'check-Jul''26'!I154)</f>
        <v/>
      </c>
      <c r="R136" s="26" t="str">
        <f>IF('1. Live'!O154='check-Jul''26'!J154,"",'1. Live'!O154-'check-Jul''26'!J154)</f>
        <v/>
      </c>
      <c r="S136" s="26" t="str">
        <f>IF('1. Live'!P154='check-Jul''26'!K154,"",'1. Live'!P154-'check-Jul''26'!K154)</f>
        <v/>
      </c>
      <c r="T136" s="26" t="str">
        <f>IF('1. Live'!Q154='check-Jul''26'!L154,"",'1. Live'!Q154-'check-Jul''26'!L154)</f>
        <v/>
      </c>
      <c r="U136" s="80" t="str">
        <f>IF('1. Live'!R154='check-Jul''26'!M154,"",'1. Live'!R154-'check-Jul''26'!M154)</f>
        <v/>
      </c>
      <c r="V136" s="26" t="str">
        <f>IF('1. Live'!S154='check-Jul''26'!N154,"",'1. Live'!S154-'check-Jul''26'!N154)</f>
        <v/>
      </c>
      <c r="W136" s="25" t="str">
        <f>IF('1. Live'!T154='check-Jul''26'!O154,"",'1. Live'!T154-'check-Jul''26'!O154)</f>
        <v/>
      </c>
      <c r="X136" s="25" t="str">
        <f>IF('1. Live'!U154='check-Jul''26'!Q154,"",'1. Live'!U154-'check-Jul''26'!Q154)</f>
        <v/>
      </c>
      <c r="Y136" s="25" t="str">
        <f>IF('1. Live'!V154='check-Jul''26'!R154,"",'1. Live'!V154-'check-Jul''26'!R154)</f>
        <v/>
      </c>
      <c r="Z136" s="25" t="str">
        <f>IF('1. Live'!W154='check-Jul''26'!S154,"",'1. Live'!W154-'check-Jul''26'!S154)</f>
        <v/>
      </c>
      <c r="AA136" s="25" t="str">
        <f>IF('1. Live'!X154='check-Jul''26'!T154,"",'1. Live'!X154-'check-Jul''26'!T154)</f>
        <v/>
      </c>
      <c r="AB136" s="25" t="str">
        <f>IF('1. Live'!AF154='check-Jul''26'!AB154,"",'1. Live'!AF154-'check-Jul''26'!AB154)</f>
        <v/>
      </c>
      <c r="AC136" s="25" t="str">
        <f>IF('1. Live'!AG154='check-Jul''26'!AC154,"",'1. Live'!AG154-'check-Jul''26'!AC154)</f>
        <v/>
      </c>
      <c r="AD136" s="25" t="str">
        <f>IF('1. Live'!AH154='check-Jul''26'!AD154,"",'1. Live'!AH154-'check-Jul''26'!AD154)</f>
        <v/>
      </c>
      <c r="AE136" s="25" t="str">
        <f>IF('1. Live'!AI154='check-Jul''26'!AE154,"",'1. Live'!AI154-'check-Jul''26'!AE154)</f>
        <v/>
      </c>
      <c r="AF136" s="25" t="str">
        <f>IF('1. Live'!AJ154='check-Jul''26'!AF154,"",'1. Live'!AJ154-'check-Jul''26'!AF154)</f>
        <v/>
      </c>
      <c r="AG136" s="25" t="str">
        <f>IF('1. Live'!AK154='check-Jul''26'!AG154,"",'1. Live'!AK154-'check-Jul''26'!AG154)</f>
        <v/>
      </c>
      <c r="AH136" s="25" t="str">
        <f>IF('1. Live'!AL154='check-Jul''26'!AH154,"",'1. Live'!AL154-'check-Jul''26'!AH154)</f>
        <v/>
      </c>
      <c r="AI136" s="25" t="str">
        <f>IF('1. Live'!AM154='check-Jul''26'!AI154,"",'1. Live'!AM154-'check-Jul''26'!AI154)</f>
        <v/>
      </c>
      <c r="AJ136" s="25" t="str">
        <f>IF('1. Live'!AN154='check-Jul''26'!AJ154,"",'1. Live'!AN154-'check-Jul''26'!AJ154)</f>
        <v/>
      </c>
      <c r="AK136" s="25" t="str">
        <f>IF('1. Live'!AO154='check-Jul''26'!AK154,"",'1. Live'!AO154-'check-Jul''26'!AK154)</f>
        <v/>
      </c>
      <c r="AL136" s="25" t="str">
        <f>IF('1. Live'!AP154='check-Jul''26'!AL154,"",'1. Live'!AP154-'check-Jul''26'!AL154)</f>
        <v/>
      </c>
      <c r="AM136" s="25" t="str">
        <f>IF('1. Live'!AQ154='check-Jul''26'!AM154,"",'1. Live'!AQ154-'check-Jul''26'!AM154)</f>
        <v/>
      </c>
      <c r="AN136" s="25" t="str">
        <f>IF('1. Live'!AR154='check-Jul''26'!AN154,"",'1. Live'!AR154-'check-Jul''26'!AN154)</f>
        <v/>
      </c>
      <c r="AO136" s="25" t="str">
        <f>IF('1. Live'!AS154='check-Jul''26'!AO154,"",'1. Live'!AS154-'check-Jul''26'!AO154)</f>
        <v/>
      </c>
      <c r="AP136" s="25" t="str">
        <f>IF('1. Live'!AT154='check-Jul''26'!AP154,"",'1. Live'!AT154-'check-Jul''26'!AP154)</f>
        <v/>
      </c>
      <c r="AQ136" s="25" t="str">
        <f>IF('1. Live'!AU154='check-Jul''26'!AQ154,"",'1. Live'!AU154-'check-Jul''26'!AQ154)</f>
        <v/>
      </c>
      <c r="AR136" s="25" t="str">
        <f>IF('1. Live'!AV154='check-Jul''26'!AR154,"",'1. Live'!AV154-'check-Jul''26'!AR154)</f>
        <v/>
      </c>
      <c r="AS136" s="25" t="str">
        <f>IF('1. Live'!AW154='check-Jul''26'!AS154,"",'1. Live'!AW154-'check-Jul''26'!AS154)</f>
        <v/>
      </c>
      <c r="AT136" s="25" t="str">
        <f>IF('1. Live'!AX154='check-Jul''26'!AT154,"",'1. Live'!AX154-'check-Jul''26'!AT154)</f>
        <v/>
      </c>
      <c r="AU136" s="25" t="str">
        <f>IF('1. Live'!AY154='check-Jul''26'!AU154,"",'1. Live'!AY154-'check-Jul''26'!AU154)</f>
        <v/>
      </c>
      <c r="AV136" s="25" t="str">
        <f>IF('1. Live'!AZ154='check-Jul''26'!AV154,"",'1. Live'!AZ154-'check-Jul''26'!AV154)</f>
        <v/>
      </c>
      <c r="AW136" s="25" t="str">
        <f>IF('1. Live'!BA154='check-Jul''26'!AW154,"",'1. Live'!BA154-'check-Jul''26'!AW154)</f>
        <v/>
      </c>
      <c r="AX136" s="25" t="str">
        <f>IF('1. Live'!BB154='check-Jul''26'!AX154,"",'1. Live'!BB154-'check-Jul''26'!AX154)</f>
        <v/>
      </c>
      <c r="AY136" s="25" t="str">
        <f>IF('1. Live'!BC154='check-Jul''26'!AY154,"",'1. Live'!BC154-'check-Jul''26'!AY154)</f>
        <v/>
      </c>
      <c r="AZ136" s="25" t="str">
        <f>IF('1. Live'!BD154='check-Jul''26'!AZ154,"",'1. Live'!BD154-'check-Jul''26'!AZ154)</f>
        <v/>
      </c>
      <c r="BA136" s="25" t="str">
        <f>IF('1. Live'!BE154='check-Jul''26'!BA154,"",'1. Live'!BE154-'check-Jul''26'!BA154)</f>
        <v/>
      </c>
      <c r="BB136" s="25" t="str">
        <f>IF('1. Live'!BF154='check-Jul''26'!BB154,"",'1. Live'!BF154-'check-Jul''26'!BB154)</f>
        <v/>
      </c>
      <c r="BC136" s="25" t="str">
        <f>IF('1. Live'!BG154='check-Jul''26'!BC154,"",'1. Live'!BG154-'check-Jul''26'!BC154)</f>
        <v/>
      </c>
      <c r="BD136" s="25" t="str">
        <f>IF('1. Live'!BH154='check-Jul''26'!BD154,"",'1. Live'!BH154-'check-Jul''26'!BD154)</f>
        <v/>
      </c>
      <c r="BE136" s="25" t="str">
        <f>IF('1. Live'!BI154='check-Jul''26'!BE154,"",'1. Live'!BI154-'check-Jul''26'!BE154)</f>
        <v/>
      </c>
      <c r="BF136" s="25" t="str">
        <f>IF('1. Live'!BJ154='check-Jul''26'!BF154,"",'1. Live'!BJ154-'check-Jul''26'!BF154)</f>
        <v/>
      </c>
      <c r="BG136" s="25" t="str">
        <f>IF('1. Live'!BK154='check-Jul''26'!BG154,"",'1. Live'!BK154-'check-Jul''26'!BG154)</f>
        <v/>
      </c>
      <c r="BH136" s="25" t="str">
        <f>IF('1. Live'!BL154='check-Jul''26'!BH154,"",'1. Live'!BL154-'check-Jul''26'!BH154)</f>
        <v/>
      </c>
      <c r="BI136" s="25" t="str">
        <f>IF('1. Live'!BM154='check-Jul''26'!BI154,"",'1. Live'!BM154-'check-Jul''26'!BI154)</f>
        <v/>
      </c>
      <c r="BJ136" s="25" t="str">
        <f>IF('1. Live'!BN154='check-Jul''26'!BJ154,"",'1. Live'!BN154-'check-Jul''26'!BJ154)</f>
        <v/>
      </c>
      <c r="BK136" s="25" t="str">
        <f>IF('1. Live'!BO154='check-Jul''26'!BK154,"",'1. Live'!BO154-'check-Jul''26'!BK154)</f>
        <v/>
      </c>
      <c r="BL136" s="25" t="str">
        <f>IF('1. Live'!BP154='check-Jul''26'!BL154,"",'1. Live'!BP154-'check-Jul''26'!BL154)</f>
        <v/>
      </c>
      <c r="BM136" s="25" t="str">
        <f>IF('1. Live'!BQ154='check-Jul''26'!BM154,"",'1. Live'!BQ154-'check-Jul''26'!BM154)</f>
        <v/>
      </c>
      <c r="BN136" s="25" t="str">
        <f>IF('1. Live'!BR154='check-Jul''26'!BN154,"",'1. Live'!BR154-'check-Jul''26'!BN154)</f>
        <v/>
      </c>
      <c r="BO136" s="25" t="str">
        <f>IF('1. Live'!BS154='check-Jul''26'!BO154,"",'1. Live'!BS154-'check-Jul''26'!BO154)</f>
        <v/>
      </c>
      <c r="BP136" s="25" t="str">
        <f>IF('1. Live'!BT154='check-Jul''26'!BP154,"",'1. Live'!BT154-'check-Jul''26'!BP154)</f>
        <v/>
      </c>
      <c r="BQ136" s="25" t="str">
        <f>IF('1. Live'!BU154='check-Jul''26'!BQ154,"",'1. Live'!BU154-'check-Jul''26'!BQ154)</f>
        <v/>
      </c>
      <c r="BR136" s="25" t="str">
        <f>IF('1. Live'!BV154='check-Jul''26'!BR154,"",'1. Live'!BV154-'check-Jul''26'!BR154)</f>
        <v/>
      </c>
      <c r="BS136" s="25" t="str">
        <f>IF('1. Live'!BW154='check-Jul''26'!BS154,"",'1. Live'!BW154-'check-Jul''26'!BS154)</f>
        <v/>
      </c>
      <c r="BT136" s="25" t="str">
        <f>IF('1. Live'!BX154='check-Jul''26'!BT154,"",'1. Live'!BX154-'check-Jul''26'!BT154)</f>
        <v/>
      </c>
      <c r="BU136" s="25" t="str">
        <f>IF('1. Live'!BY154='check-Jul''26'!BU154,"",'1. Live'!BY154-'check-Jul''26'!BU154)</f>
        <v/>
      </c>
      <c r="BV136" s="25" t="str">
        <f>IF('1. Live'!BZ154='check-Jul''26'!BV154,"",'1. Live'!BZ154-'check-Jul''26'!BV154)</f>
        <v/>
      </c>
      <c r="BW136" s="25" t="str">
        <f>IF('1. Live'!CA154='check-Jul''26'!BW154,"",'1. Live'!CA154-'check-Jul''26'!BW154)</f>
        <v/>
      </c>
      <c r="BX136" s="25" t="str">
        <f>IF('1. Live'!CB154='check-Jul''26'!BX154,"",'1. Live'!CB154-'check-Jul''26'!BX154)</f>
        <v/>
      </c>
      <c r="BY136" s="25" t="str">
        <f>IF('1. Live'!CC154='check-Jul''26'!BY154,"",'1. Live'!CC154-'check-Jul''26'!BY154)</f>
        <v/>
      </c>
      <c r="BZ136" s="25" t="str">
        <f>IF('1. Live'!CD154='check-Jul''26'!BZ154,"",'1. Live'!CD154-'check-Jul''26'!BZ154)</f>
        <v/>
      </c>
      <c r="CA136" s="25" t="str">
        <f>IF('1. Live'!CE154='check-Jul''26'!CA154,"",'1. Live'!CE154-'check-Jul''26'!CA154)</f>
        <v/>
      </c>
      <c r="CB136" s="25" t="str">
        <f>IF('1. Live'!CF154='check-Jul''26'!CB154,"",'1. Live'!CF154-'check-Jul''26'!CB154)</f>
        <v/>
      </c>
      <c r="CC136" s="25" t="str">
        <f>IF('1. Live'!CG154='check-Jul''26'!CC154,"",'1. Live'!CG154-'check-Jul''26'!CC154)</f>
        <v/>
      </c>
      <c r="CD136" s="25" t="str">
        <f>IF('1. Live'!CH154='check-Jul''26'!CD154,"",'1. Live'!CH154-'check-Jul''26'!CD154)</f>
        <v/>
      </c>
      <c r="CE136" s="25" t="str">
        <f>IF('1. Live'!CI154='check-Jul''26'!CE154,"",'1. Live'!CI154-'check-Jul''26'!CE154)</f>
        <v/>
      </c>
      <c r="CF136" s="25" t="str">
        <f>IF('1. Live'!CJ154='check-Jul''26'!CF154,"",'1. Live'!CJ154-'check-Jul''26'!CF154)</f>
        <v/>
      </c>
      <c r="CG136" s="25" t="str">
        <f>IF('1. Live'!CK154='check-Jul''26'!CG154,"",'1. Live'!CK154-'check-Jul''26'!CG154)</f>
        <v/>
      </c>
      <c r="CH136" s="25" t="str">
        <f>IF('1. Live'!CL154='check-Jul''26'!CH154,"",'1. Live'!CL154-'check-Jul''26'!CH154)</f>
        <v/>
      </c>
      <c r="CI136" s="25" t="str">
        <f>IF('1. Live'!CM154='check-Jul''26'!CI154,"",'1. Live'!CM154-'check-Jul''26'!CI154)</f>
        <v/>
      </c>
      <c r="CJ136" s="25" t="str">
        <f>IF('1. Live'!CN154='check-Jul''26'!CJ154,"",'1. Live'!CN154-'check-Jul''26'!CJ154)</f>
        <v/>
      </c>
      <c r="CK136" s="25" t="str">
        <f>IF('1. Live'!CO154='check-Jul''26'!CK154,"",'1. Live'!CO154-'check-Jul''26'!CK154)</f>
        <v/>
      </c>
      <c r="CL136" s="25" t="str">
        <f>IF('1. Live'!CP154='check-Jul''26'!CL154,"",'1. Live'!CP154-'check-Jul''26'!CL154)</f>
        <v/>
      </c>
      <c r="CM136" s="25" t="str">
        <f>IF('1. Live'!CQ154='check-Jul''26'!CM154,"",'1. Live'!CQ154-'check-Jul''26'!CM154)</f>
        <v/>
      </c>
      <c r="CN136" s="25" t="str">
        <f>IF('1. Live'!CR154='check-Jul''26'!CN154,"",'1. Live'!CR154-'check-Jul''26'!CN154)</f>
        <v/>
      </c>
      <c r="CO136" s="25" t="str">
        <f>IF('1. Live'!CS154='check-Jul''26'!CO154,"",'1. Live'!CS154-'check-Jul''26'!CO154)</f>
        <v/>
      </c>
      <c r="CP136" s="25" t="str">
        <f>IF('1. Live'!CT154='check-Jul''26'!CP154,"",'1. Live'!CT154-'check-Jul''26'!CP154)</f>
        <v/>
      </c>
      <c r="CQ136" s="25" t="str">
        <f>IF('1. Live'!CU154='check-Jul''26'!CQ154,"",'1. Live'!CU154-'check-Jul''26'!CQ154)</f>
        <v/>
      </c>
      <c r="CR136" s="25" t="str">
        <f>IF('1. Live'!CV154='check-Jul''26'!CR154,"",'1. Live'!CV154-'check-Jul''26'!CR154)</f>
        <v/>
      </c>
      <c r="CS136" s="25" t="str">
        <f>IF('1. Live'!CW154='check-Jul''26'!CS154,"",'1. Live'!CW154-'check-Jul''26'!CS154)</f>
        <v/>
      </c>
      <c r="CT136" s="25" t="str">
        <f>IF('1. Live'!CX154='check-Jul''26'!CT154,"",'1. Live'!CX154-'check-Jul''26'!CT154)</f>
        <v/>
      </c>
      <c r="CU136" s="25" t="str">
        <f>IF('1. Live'!CY154='check-Jul''26'!CU154,"",'1. Live'!CY154-'check-Jul''26'!CU154)</f>
        <v/>
      </c>
      <c r="CV136" s="25" t="str">
        <f>IF('1. Live'!CZ154='check-Jul''26'!CV154,"",'1. Live'!CZ154-'check-Jul''26'!CV154)</f>
        <v/>
      </c>
    </row>
    <row r="137" spans="17:100" x14ac:dyDescent="0.25">
      <c r="Q137" s="26" t="str">
        <f>IF('1. Live'!N155='check-Jul''26'!I155,"",'1. Live'!N155-'check-Jul''26'!I155)</f>
        <v/>
      </c>
      <c r="R137" s="26" t="str">
        <f>IF('1. Live'!O155='check-Jul''26'!J155,"",'1. Live'!O155-'check-Jul''26'!J155)</f>
        <v/>
      </c>
      <c r="S137" s="26" t="str">
        <f>IF('1. Live'!P155='check-Jul''26'!K155,"",'1. Live'!P155-'check-Jul''26'!K155)</f>
        <v/>
      </c>
      <c r="T137" s="26" t="str">
        <f>IF('1. Live'!Q155='check-Jul''26'!L155,"",'1. Live'!Q155-'check-Jul''26'!L155)</f>
        <v/>
      </c>
      <c r="U137" s="80" t="str">
        <f>IF('1. Live'!R155='check-Jul''26'!M155,"",'1. Live'!R155-'check-Jul''26'!M155)</f>
        <v/>
      </c>
      <c r="V137" s="26" t="str">
        <f>IF('1. Live'!S155='check-Jul''26'!N155,"",'1. Live'!S155-'check-Jul''26'!N155)</f>
        <v/>
      </c>
      <c r="W137" s="25" t="str">
        <f>IF('1. Live'!T155='check-Jul''26'!O155,"",'1. Live'!T155-'check-Jul''26'!O155)</f>
        <v/>
      </c>
      <c r="X137" s="25" t="str">
        <f>IF('1. Live'!U155='check-Jul''26'!Q155,"",'1. Live'!U155-'check-Jul''26'!Q155)</f>
        <v/>
      </c>
      <c r="Y137" s="25" t="str">
        <f>IF('1. Live'!V155='check-Jul''26'!R155,"",'1. Live'!V155-'check-Jul''26'!R155)</f>
        <v/>
      </c>
      <c r="Z137" s="25" t="str">
        <f>IF('1. Live'!W155='check-Jul''26'!S155,"",'1. Live'!W155-'check-Jul''26'!S155)</f>
        <v/>
      </c>
      <c r="AA137" s="25" t="str">
        <f>IF('1. Live'!X155='check-Jul''26'!T155,"",'1. Live'!X155-'check-Jul''26'!T155)</f>
        <v/>
      </c>
      <c r="AB137" s="25" t="str">
        <f>IF('1. Live'!AF155='check-Jul''26'!AB155,"",'1. Live'!AF155-'check-Jul''26'!AB155)</f>
        <v/>
      </c>
      <c r="AC137" s="25" t="str">
        <f>IF('1. Live'!AG155='check-Jul''26'!AC155,"",'1. Live'!AG155-'check-Jul''26'!AC155)</f>
        <v/>
      </c>
      <c r="AD137" s="25" t="str">
        <f>IF('1. Live'!AH155='check-Jul''26'!AD155,"",'1. Live'!AH155-'check-Jul''26'!AD155)</f>
        <v/>
      </c>
      <c r="AE137" s="25" t="str">
        <f>IF('1. Live'!AI155='check-Jul''26'!AE155,"",'1. Live'!AI155-'check-Jul''26'!AE155)</f>
        <v/>
      </c>
      <c r="AF137" s="25" t="str">
        <f>IF('1. Live'!AJ155='check-Jul''26'!AF155,"",'1. Live'!AJ155-'check-Jul''26'!AF155)</f>
        <v/>
      </c>
      <c r="AG137" s="25" t="str">
        <f>IF('1. Live'!AK155='check-Jul''26'!AG155,"",'1. Live'!AK155-'check-Jul''26'!AG155)</f>
        <v/>
      </c>
      <c r="AH137" s="25" t="str">
        <f>IF('1. Live'!AL155='check-Jul''26'!AH155,"",'1. Live'!AL155-'check-Jul''26'!AH155)</f>
        <v/>
      </c>
      <c r="AI137" s="25" t="str">
        <f>IF('1. Live'!AM155='check-Jul''26'!AI155,"",'1. Live'!AM155-'check-Jul''26'!AI155)</f>
        <v/>
      </c>
      <c r="AJ137" s="25" t="str">
        <f>IF('1. Live'!AN155='check-Jul''26'!AJ155,"",'1. Live'!AN155-'check-Jul''26'!AJ155)</f>
        <v/>
      </c>
      <c r="AK137" s="25" t="str">
        <f>IF('1. Live'!AO155='check-Jul''26'!AK155,"",'1. Live'!AO155-'check-Jul''26'!AK155)</f>
        <v/>
      </c>
      <c r="AL137" s="25" t="str">
        <f>IF('1. Live'!AP155='check-Jul''26'!AL155,"",'1. Live'!AP155-'check-Jul''26'!AL155)</f>
        <v/>
      </c>
      <c r="AM137" s="25" t="str">
        <f>IF('1. Live'!AQ155='check-Jul''26'!AM155,"",'1. Live'!AQ155-'check-Jul''26'!AM155)</f>
        <v/>
      </c>
      <c r="AN137" s="25" t="str">
        <f>IF('1. Live'!AR155='check-Jul''26'!AN155,"",'1. Live'!AR155-'check-Jul''26'!AN155)</f>
        <v/>
      </c>
      <c r="AO137" s="25" t="str">
        <f>IF('1. Live'!AS155='check-Jul''26'!AO155,"",'1. Live'!AS155-'check-Jul''26'!AO155)</f>
        <v/>
      </c>
      <c r="AP137" s="25" t="str">
        <f>IF('1. Live'!AT155='check-Jul''26'!AP155,"",'1. Live'!AT155-'check-Jul''26'!AP155)</f>
        <v/>
      </c>
      <c r="AQ137" s="25" t="str">
        <f>IF('1. Live'!AU155='check-Jul''26'!AQ155,"",'1. Live'!AU155-'check-Jul''26'!AQ155)</f>
        <v/>
      </c>
      <c r="AR137" s="25" t="str">
        <f>IF('1. Live'!AV155='check-Jul''26'!AR155,"",'1. Live'!AV155-'check-Jul''26'!AR155)</f>
        <v/>
      </c>
      <c r="AS137" s="25" t="str">
        <f>IF('1. Live'!AW155='check-Jul''26'!AS155,"",'1. Live'!AW155-'check-Jul''26'!AS155)</f>
        <v/>
      </c>
      <c r="AT137" s="25" t="str">
        <f>IF('1. Live'!AX155='check-Jul''26'!AT155,"",'1. Live'!AX155-'check-Jul''26'!AT155)</f>
        <v/>
      </c>
      <c r="AU137" s="25" t="str">
        <f>IF('1. Live'!AY155='check-Jul''26'!AU155,"",'1. Live'!AY155-'check-Jul''26'!AU155)</f>
        <v/>
      </c>
      <c r="AV137" s="25" t="str">
        <f>IF('1. Live'!AZ155='check-Jul''26'!AV155,"",'1. Live'!AZ155-'check-Jul''26'!AV155)</f>
        <v/>
      </c>
      <c r="AW137" s="25" t="str">
        <f>IF('1. Live'!BA155='check-Jul''26'!AW155,"",'1. Live'!BA155-'check-Jul''26'!AW155)</f>
        <v/>
      </c>
      <c r="AX137" s="25" t="str">
        <f>IF('1. Live'!BB155='check-Jul''26'!AX155,"",'1. Live'!BB155-'check-Jul''26'!AX155)</f>
        <v/>
      </c>
      <c r="AY137" s="25" t="str">
        <f>IF('1. Live'!BC155='check-Jul''26'!AY155,"",'1. Live'!BC155-'check-Jul''26'!AY155)</f>
        <v/>
      </c>
      <c r="AZ137" s="25" t="str">
        <f>IF('1. Live'!BD155='check-Jul''26'!AZ155,"",'1. Live'!BD155-'check-Jul''26'!AZ155)</f>
        <v/>
      </c>
      <c r="BA137" s="25" t="str">
        <f>IF('1. Live'!BE155='check-Jul''26'!BA155,"",'1. Live'!BE155-'check-Jul''26'!BA155)</f>
        <v/>
      </c>
      <c r="BB137" s="25" t="str">
        <f>IF('1. Live'!BF155='check-Jul''26'!BB155,"",'1. Live'!BF155-'check-Jul''26'!BB155)</f>
        <v/>
      </c>
      <c r="BC137" s="25" t="str">
        <f>IF('1. Live'!BG155='check-Jul''26'!BC155,"",'1. Live'!BG155-'check-Jul''26'!BC155)</f>
        <v/>
      </c>
      <c r="BD137" s="25" t="str">
        <f>IF('1. Live'!BH155='check-Jul''26'!BD155,"",'1. Live'!BH155-'check-Jul''26'!BD155)</f>
        <v/>
      </c>
      <c r="BE137" s="25" t="str">
        <f>IF('1. Live'!BI155='check-Jul''26'!BE155,"",'1. Live'!BI155-'check-Jul''26'!BE155)</f>
        <v/>
      </c>
      <c r="BF137" s="25" t="str">
        <f>IF('1. Live'!BJ155='check-Jul''26'!BF155,"",'1. Live'!BJ155-'check-Jul''26'!BF155)</f>
        <v/>
      </c>
      <c r="BG137" s="25" t="str">
        <f>IF('1. Live'!BK155='check-Jul''26'!BG155,"",'1. Live'!BK155-'check-Jul''26'!BG155)</f>
        <v/>
      </c>
      <c r="BH137" s="25" t="str">
        <f>IF('1. Live'!BL155='check-Jul''26'!BH155,"",'1. Live'!BL155-'check-Jul''26'!BH155)</f>
        <v/>
      </c>
      <c r="BI137" s="25" t="str">
        <f>IF('1. Live'!BM155='check-Jul''26'!BI155,"",'1. Live'!BM155-'check-Jul''26'!BI155)</f>
        <v/>
      </c>
      <c r="BJ137" s="25" t="str">
        <f>IF('1. Live'!BN155='check-Jul''26'!BJ155,"",'1. Live'!BN155-'check-Jul''26'!BJ155)</f>
        <v/>
      </c>
      <c r="BK137" s="25" t="str">
        <f>IF('1. Live'!BO155='check-Jul''26'!BK155,"",'1. Live'!BO155-'check-Jul''26'!BK155)</f>
        <v/>
      </c>
      <c r="BL137" s="25" t="str">
        <f>IF('1. Live'!BP155='check-Jul''26'!BL155,"",'1. Live'!BP155-'check-Jul''26'!BL155)</f>
        <v/>
      </c>
      <c r="BM137" s="25" t="str">
        <f>IF('1. Live'!BQ155='check-Jul''26'!BM155,"",'1. Live'!BQ155-'check-Jul''26'!BM155)</f>
        <v/>
      </c>
      <c r="BN137" s="25" t="str">
        <f>IF('1. Live'!BR155='check-Jul''26'!BN155,"",'1. Live'!BR155-'check-Jul''26'!BN155)</f>
        <v/>
      </c>
      <c r="BO137" s="25" t="str">
        <f>IF('1. Live'!BS155='check-Jul''26'!BO155,"",'1. Live'!BS155-'check-Jul''26'!BO155)</f>
        <v/>
      </c>
      <c r="BP137" s="25" t="str">
        <f>IF('1. Live'!BT155='check-Jul''26'!BP155,"",'1. Live'!BT155-'check-Jul''26'!BP155)</f>
        <v/>
      </c>
      <c r="BQ137" s="25" t="str">
        <f>IF('1. Live'!BU155='check-Jul''26'!BQ155,"",'1. Live'!BU155-'check-Jul''26'!BQ155)</f>
        <v/>
      </c>
      <c r="BR137" s="25" t="str">
        <f>IF('1. Live'!BV155='check-Jul''26'!BR155,"",'1. Live'!BV155-'check-Jul''26'!BR155)</f>
        <v/>
      </c>
      <c r="BS137" s="25" t="str">
        <f>IF('1. Live'!BW155='check-Jul''26'!BS155,"",'1. Live'!BW155-'check-Jul''26'!BS155)</f>
        <v/>
      </c>
      <c r="BT137" s="25" t="str">
        <f>IF('1. Live'!BX155='check-Jul''26'!BT155,"",'1. Live'!BX155-'check-Jul''26'!BT155)</f>
        <v/>
      </c>
      <c r="BU137" s="25" t="str">
        <f>IF('1. Live'!BY155='check-Jul''26'!BU155,"",'1. Live'!BY155-'check-Jul''26'!BU155)</f>
        <v/>
      </c>
      <c r="BV137" s="25" t="str">
        <f>IF('1. Live'!BZ155='check-Jul''26'!BV155,"",'1. Live'!BZ155-'check-Jul''26'!BV155)</f>
        <v/>
      </c>
      <c r="BW137" s="25" t="str">
        <f>IF('1. Live'!CA155='check-Jul''26'!BW155,"",'1. Live'!CA155-'check-Jul''26'!BW155)</f>
        <v/>
      </c>
      <c r="BX137" s="25" t="str">
        <f>IF('1. Live'!CB155='check-Jul''26'!BX155,"",'1. Live'!CB155-'check-Jul''26'!BX155)</f>
        <v/>
      </c>
      <c r="BY137" s="25" t="str">
        <f>IF('1. Live'!CC155='check-Jul''26'!BY155,"",'1. Live'!CC155-'check-Jul''26'!BY155)</f>
        <v/>
      </c>
      <c r="BZ137" s="25" t="str">
        <f>IF('1. Live'!CD155='check-Jul''26'!BZ155,"",'1. Live'!CD155-'check-Jul''26'!BZ155)</f>
        <v/>
      </c>
      <c r="CA137" s="25" t="str">
        <f>IF('1. Live'!CE155='check-Jul''26'!CA155,"",'1. Live'!CE155-'check-Jul''26'!CA155)</f>
        <v/>
      </c>
      <c r="CB137" s="25" t="str">
        <f>IF('1. Live'!CF155='check-Jul''26'!CB155,"",'1. Live'!CF155-'check-Jul''26'!CB155)</f>
        <v/>
      </c>
      <c r="CC137" s="25" t="str">
        <f>IF('1. Live'!CG155='check-Jul''26'!CC155,"",'1. Live'!CG155-'check-Jul''26'!CC155)</f>
        <v/>
      </c>
      <c r="CD137" s="25" t="str">
        <f>IF('1. Live'!CH155='check-Jul''26'!CD155,"",'1. Live'!CH155-'check-Jul''26'!CD155)</f>
        <v/>
      </c>
      <c r="CE137" s="25" t="str">
        <f>IF('1. Live'!CI155='check-Jul''26'!CE155,"",'1. Live'!CI155-'check-Jul''26'!CE155)</f>
        <v/>
      </c>
      <c r="CF137" s="25" t="str">
        <f>IF('1. Live'!CJ155='check-Jul''26'!CF155,"",'1. Live'!CJ155-'check-Jul''26'!CF155)</f>
        <v/>
      </c>
      <c r="CG137" s="25" t="str">
        <f>IF('1. Live'!CK155='check-Jul''26'!CG155,"",'1. Live'!CK155-'check-Jul''26'!CG155)</f>
        <v/>
      </c>
      <c r="CH137" s="25" t="str">
        <f>IF('1. Live'!CL155='check-Jul''26'!CH155,"",'1. Live'!CL155-'check-Jul''26'!CH155)</f>
        <v/>
      </c>
      <c r="CI137" s="25" t="str">
        <f>IF('1. Live'!CM155='check-Jul''26'!CI155,"",'1. Live'!CM155-'check-Jul''26'!CI155)</f>
        <v/>
      </c>
      <c r="CJ137" s="25" t="str">
        <f>IF('1. Live'!CN155='check-Jul''26'!CJ155,"",'1. Live'!CN155-'check-Jul''26'!CJ155)</f>
        <v/>
      </c>
      <c r="CK137" s="25" t="str">
        <f>IF('1. Live'!CO155='check-Jul''26'!CK155,"",'1. Live'!CO155-'check-Jul''26'!CK155)</f>
        <v/>
      </c>
      <c r="CL137" s="25" t="str">
        <f>IF('1. Live'!CP155='check-Jul''26'!CL155,"",'1. Live'!CP155-'check-Jul''26'!CL155)</f>
        <v/>
      </c>
      <c r="CM137" s="25" t="str">
        <f>IF('1. Live'!CQ155='check-Jul''26'!CM155,"",'1. Live'!CQ155-'check-Jul''26'!CM155)</f>
        <v/>
      </c>
      <c r="CN137" s="25" t="str">
        <f>IF('1. Live'!CR155='check-Jul''26'!CN155,"",'1. Live'!CR155-'check-Jul''26'!CN155)</f>
        <v/>
      </c>
      <c r="CO137" s="25" t="str">
        <f>IF('1. Live'!CS155='check-Jul''26'!CO155,"",'1. Live'!CS155-'check-Jul''26'!CO155)</f>
        <v/>
      </c>
      <c r="CP137" s="25" t="str">
        <f>IF('1. Live'!CT155='check-Jul''26'!CP155,"",'1. Live'!CT155-'check-Jul''26'!CP155)</f>
        <v/>
      </c>
      <c r="CQ137" s="25" t="str">
        <f>IF('1. Live'!CU155='check-Jul''26'!CQ155,"",'1. Live'!CU155-'check-Jul''26'!CQ155)</f>
        <v/>
      </c>
      <c r="CR137" s="25" t="str">
        <f>IF('1. Live'!CV155='check-Jul''26'!CR155,"",'1. Live'!CV155-'check-Jul''26'!CR155)</f>
        <v/>
      </c>
      <c r="CS137" s="25" t="str">
        <f>IF('1. Live'!CW155='check-Jul''26'!CS155,"",'1. Live'!CW155-'check-Jul''26'!CS155)</f>
        <v/>
      </c>
      <c r="CT137" s="25" t="str">
        <f>IF('1. Live'!CX155='check-Jul''26'!CT155,"",'1. Live'!CX155-'check-Jul''26'!CT155)</f>
        <v/>
      </c>
      <c r="CU137" s="25" t="str">
        <f>IF('1. Live'!CY155='check-Jul''26'!CU155,"",'1. Live'!CY155-'check-Jul''26'!CU155)</f>
        <v/>
      </c>
      <c r="CV137" s="25" t="str">
        <f>IF('1. Live'!CZ155='check-Jul''26'!CV155,"",'1. Live'!CZ155-'check-Jul''26'!CV155)</f>
        <v/>
      </c>
    </row>
    <row r="138" spans="17:100" x14ac:dyDescent="0.25">
      <c r="Q138" s="26" t="str">
        <f>IF('1. Live'!N156='check-Jul''26'!I156,"",'1. Live'!N156-'check-Jul''26'!I156)</f>
        <v/>
      </c>
      <c r="R138" s="26" t="str">
        <f>IF('1. Live'!O156='check-Jul''26'!J156,"",'1. Live'!O156-'check-Jul''26'!J156)</f>
        <v/>
      </c>
      <c r="S138" s="26" t="str">
        <f>IF('1. Live'!P156='check-Jul''26'!K156,"",'1. Live'!P156-'check-Jul''26'!K156)</f>
        <v/>
      </c>
      <c r="T138" s="26" t="str">
        <f>IF('1. Live'!Q156='check-Jul''26'!L156,"",'1. Live'!Q156-'check-Jul''26'!L156)</f>
        <v/>
      </c>
      <c r="U138" s="80" t="str">
        <f>IF('1. Live'!R156='check-Jul''26'!M156,"",'1. Live'!R156-'check-Jul''26'!M156)</f>
        <v/>
      </c>
      <c r="V138" s="26" t="str">
        <f>IF('1. Live'!S156='check-Jul''26'!N156,"",'1. Live'!S156-'check-Jul''26'!N156)</f>
        <v/>
      </c>
      <c r="W138" s="25" t="str">
        <f>IF('1. Live'!T156='check-Jul''26'!O156,"",'1. Live'!T156-'check-Jul''26'!O156)</f>
        <v/>
      </c>
      <c r="X138" s="25" t="str">
        <f>IF('1. Live'!U156='check-Jul''26'!Q156,"",'1. Live'!U156-'check-Jul''26'!Q156)</f>
        <v/>
      </c>
      <c r="Y138" s="25" t="str">
        <f>IF('1. Live'!V156='check-Jul''26'!R156,"",'1. Live'!V156-'check-Jul''26'!R156)</f>
        <v/>
      </c>
      <c r="Z138" s="25" t="str">
        <f>IF('1. Live'!W156='check-Jul''26'!S156,"",'1. Live'!W156-'check-Jul''26'!S156)</f>
        <v/>
      </c>
      <c r="AA138" s="25" t="str">
        <f>IF('1. Live'!X156='check-Jul''26'!T156,"",'1. Live'!X156-'check-Jul''26'!T156)</f>
        <v/>
      </c>
      <c r="AB138" s="25" t="str">
        <f>IF('1. Live'!AF156='check-Jul''26'!AB156,"",'1. Live'!AF156-'check-Jul''26'!AB156)</f>
        <v/>
      </c>
      <c r="AC138" s="25" t="str">
        <f>IF('1. Live'!AG156='check-Jul''26'!AC156,"",'1. Live'!AG156-'check-Jul''26'!AC156)</f>
        <v/>
      </c>
      <c r="AD138" s="25" t="str">
        <f>IF('1. Live'!AH156='check-Jul''26'!AD156,"",'1. Live'!AH156-'check-Jul''26'!AD156)</f>
        <v/>
      </c>
      <c r="AE138" s="25" t="str">
        <f>IF('1. Live'!AI156='check-Jul''26'!AE156,"",'1. Live'!AI156-'check-Jul''26'!AE156)</f>
        <v/>
      </c>
      <c r="AF138" s="25" t="str">
        <f>IF('1. Live'!AJ156='check-Jul''26'!AF156,"",'1. Live'!AJ156-'check-Jul''26'!AF156)</f>
        <v/>
      </c>
      <c r="AG138" s="25" t="str">
        <f>IF('1. Live'!AK156='check-Jul''26'!AG156,"",'1. Live'!AK156-'check-Jul''26'!AG156)</f>
        <v/>
      </c>
      <c r="AH138" s="25" t="str">
        <f>IF('1. Live'!AL156='check-Jul''26'!AH156,"",'1. Live'!AL156-'check-Jul''26'!AH156)</f>
        <v/>
      </c>
      <c r="AI138" s="25" t="str">
        <f>IF('1. Live'!AM156='check-Jul''26'!AI156,"",'1. Live'!AM156-'check-Jul''26'!AI156)</f>
        <v/>
      </c>
      <c r="AJ138" s="25" t="str">
        <f>IF('1. Live'!AN156='check-Jul''26'!AJ156,"",'1. Live'!AN156-'check-Jul''26'!AJ156)</f>
        <v/>
      </c>
      <c r="AK138" s="25" t="str">
        <f>IF('1. Live'!AO156='check-Jul''26'!AK156,"",'1. Live'!AO156-'check-Jul''26'!AK156)</f>
        <v/>
      </c>
      <c r="AL138" s="25" t="str">
        <f>IF('1. Live'!AP156='check-Jul''26'!AL156,"",'1. Live'!AP156-'check-Jul''26'!AL156)</f>
        <v/>
      </c>
      <c r="AM138" s="25" t="str">
        <f>IF('1. Live'!AQ156='check-Jul''26'!AM156,"",'1. Live'!AQ156-'check-Jul''26'!AM156)</f>
        <v/>
      </c>
      <c r="AN138" s="25" t="str">
        <f>IF('1. Live'!AR156='check-Jul''26'!AN156,"",'1. Live'!AR156-'check-Jul''26'!AN156)</f>
        <v/>
      </c>
      <c r="AO138" s="25" t="str">
        <f>IF('1. Live'!AS156='check-Jul''26'!AO156,"",'1. Live'!AS156-'check-Jul''26'!AO156)</f>
        <v/>
      </c>
      <c r="AP138" s="25" t="str">
        <f>IF('1. Live'!AT156='check-Jul''26'!AP156,"",'1. Live'!AT156-'check-Jul''26'!AP156)</f>
        <v/>
      </c>
      <c r="AQ138" s="25" t="str">
        <f>IF('1. Live'!AU156='check-Jul''26'!AQ156,"",'1. Live'!AU156-'check-Jul''26'!AQ156)</f>
        <v/>
      </c>
      <c r="AR138" s="25" t="str">
        <f>IF('1. Live'!AV156='check-Jul''26'!AR156,"",'1. Live'!AV156-'check-Jul''26'!AR156)</f>
        <v/>
      </c>
      <c r="AS138" s="25" t="str">
        <f>IF('1. Live'!AW156='check-Jul''26'!AS156,"",'1. Live'!AW156-'check-Jul''26'!AS156)</f>
        <v/>
      </c>
      <c r="AT138" s="25" t="str">
        <f>IF('1. Live'!AX156='check-Jul''26'!AT156,"",'1. Live'!AX156-'check-Jul''26'!AT156)</f>
        <v/>
      </c>
      <c r="AU138" s="25" t="str">
        <f>IF('1. Live'!AY156='check-Jul''26'!AU156,"",'1. Live'!AY156-'check-Jul''26'!AU156)</f>
        <v/>
      </c>
      <c r="AV138" s="25" t="str">
        <f>IF('1. Live'!AZ156='check-Jul''26'!AV156,"",'1. Live'!AZ156-'check-Jul''26'!AV156)</f>
        <v/>
      </c>
      <c r="AW138" s="25" t="str">
        <f>IF('1. Live'!BA156='check-Jul''26'!AW156,"",'1. Live'!BA156-'check-Jul''26'!AW156)</f>
        <v/>
      </c>
      <c r="AX138" s="25" t="str">
        <f>IF('1. Live'!BB156='check-Jul''26'!AX156,"",'1. Live'!BB156-'check-Jul''26'!AX156)</f>
        <v/>
      </c>
      <c r="AY138" s="25" t="str">
        <f>IF('1. Live'!BC156='check-Jul''26'!AY156,"",'1. Live'!BC156-'check-Jul''26'!AY156)</f>
        <v/>
      </c>
      <c r="AZ138" s="25" t="str">
        <f>IF('1. Live'!BD156='check-Jul''26'!AZ156,"",'1. Live'!BD156-'check-Jul''26'!AZ156)</f>
        <v/>
      </c>
      <c r="BA138" s="25" t="str">
        <f>IF('1. Live'!BE156='check-Jul''26'!BA156,"",'1. Live'!BE156-'check-Jul''26'!BA156)</f>
        <v/>
      </c>
      <c r="BB138" s="25" t="str">
        <f>IF('1. Live'!BF156='check-Jul''26'!BB156,"",'1. Live'!BF156-'check-Jul''26'!BB156)</f>
        <v/>
      </c>
      <c r="BC138" s="25" t="str">
        <f>IF('1. Live'!BG156='check-Jul''26'!BC156,"",'1. Live'!BG156-'check-Jul''26'!BC156)</f>
        <v/>
      </c>
      <c r="BD138" s="25" t="str">
        <f>IF('1. Live'!BH156='check-Jul''26'!BD156,"",'1. Live'!BH156-'check-Jul''26'!BD156)</f>
        <v/>
      </c>
      <c r="BE138" s="25" t="str">
        <f>IF('1. Live'!BI156='check-Jul''26'!BE156,"",'1. Live'!BI156-'check-Jul''26'!BE156)</f>
        <v/>
      </c>
      <c r="BF138" s="25" t="str">
        <f>IF('1. Live'!BJ156='check-Jul''26'!BF156,"",'1. Live'!BJ156-'check-Jul''26'!BF156)</f>
        <v/>
      </c>
      <c r="BG138" s="25" t="str">
        <f>IF('1. Live'!BK156='check-Jul''26'!BG156,"",'1. Live'!BK156-'check-Jul''26'!BG156)</f>
        <v/>
      </c>
      <c r="BH138" s="25" t="str">
        <f>IF('1. Live'!BL156='check-Jul''26'!BH156,"",'1. Live'!BL156-'check-Jul''26'!BH156)</f>
        <v/>
      </c>
      <c r="BI138" s="25" t="str">
        <f>IF('1. Live'!BM156='check-Jul''26'!BI156,"",'1. Live'!BM156-'check-Jul''26'!BI156)</f>
        <v/>
      </c>
      <c r="BJ138" s="25" t="str">
        <f>IF('1. Live'!BN156='check-Jul''26'!BJ156,"",'1. Live'!BN156-'check-Jul''26'!BJ156)</f>
        <v/>
      </c>
      <c r="BK138" s="25" t="str">
        <f>IF('1. Live'!BO156='check-Jul''26'!BK156,"",'1. Live'!BO156-'check-Jul''26'!BK156)</f>
        <v/>
      </c>
      <c r="BL138" s="25" t="str">
        <f>IF('1. Live'!BP156='check-Jul''26'!BL156,"",'1. Live'!BP156-'check-Jul''26'!BL156)</f>
        <v/>
      </c>
      <c r="BM138" s="25" t="str">
        <f>IF('1. Live'!BQ156='check-Jul''26'!BM156,"",'1. Live'!BQ156-'check-Jul''26'!BM156)</f>
        <v/>
      </c>
      <c r="BN138" s="25" t="str">
        <f>IF('1. Live'!BR156='check-Jul''26'!BN156,"",'1. Live'!BR156-'check-Jul''26'!BN156)</f>
        <v/>
      </c>
      <c r="BO138" s="25" t="str">
        <f>IF('1. Live'!BS156='check-Jul''26'!BO156,"",'1. Live'!BS156-'check-Jul''26'!BO156)</f>
        <v/>
      </c>
      <c r="BP138" s="25" t="str">
        <f>IF('1. Live'!BT156='check-Jul''26'!BP156,"",'1. Live'!BT156-'check-Jul''26'!BP156)</f>
        <v/>
      </c>
      <c r="BQ138" s="25" t="str">
        <f>IF('1. Live'!BU156='check-Jul''26'!BQ156,"",'1. Live'!BU156-'check-Jul''26'!BQ156)</f>
        <v/>
      </c>
      <c r="BR138" s="25" t="str">
        <f>IF('1. Live'!BV156='check-Jul''26'!BR156,"",'1. Live'!BV156-'check-Jul''26'!BR156)</f>
        <v/>
      </c>
      <c r="BS138" s="25" t="str">
        <f>IF('1. Live'!BW156='check-Jul''26'!BS156,"",'1. Live'!BW156-'check-Jul''26'!BS156)</f>
        <v/>
      </c>
      <c r="BT138" s="25" t="str">
        <f>IF('1. Live'!BX156='check-Jul''26'!BT156,"",'1. Live'!BX156-'check-Jul''26'!BT156)</f>
        <v/>
      </c>
      <c r="BU138" s="25" t="str">
        <f>IF('1. Live'!BY156='check-Jul''26'!BU156,"",'1. Live'!BY156-'check-Jul''26'!BU156)</f>
        <v/>
      </c>
      <c r="BV138" s="25" t="str">
        <f>IF('1. Live'!BZ156='check-Jul''26'!BV156,"",'1. Live'!BZ156-'check-Jul''26'!BV156)</f>
        <v/>
      </c>
      <c r="BW138" s="25" t="str">
        <f>IF('1. Live'!CA156='check-Jul''26'!BW156,"",'1. Live'!CA156-'check-Jul''26'!BW156)</f>
        <v/>
      </c>
      <c r="BX138" s="25" t="str">
        <f>IF('1. Live'!CB156='check-Jul''26'!BX156,"",'1. Live'!CB156-'check-Jul''26'!BX156)</f>
        <v/>
      </c>
      <c r="BY138" s="25" t="str">
        <f>IF('1. Live'!CC156='check-Jul''26'!BY156,"",'1. Live'!CC156-'check-Jul''26'!BY156)</f>
        <v/>
      </c>
      <c r="BZ138" s="25" t="str">
        <f>IF('1. Live'!CD156='check-Jul''26'!BZ156,"",'1. Live'!CD156-'check-Jul''26'!BZ156)</f>
        <v/>
      </c>
      <c r="CA138" s="25" t="str">
        <f>IF('1. Live'!CE156='check-Jul''26'!CA156,"",'1. Live'!CE156-'check-Jul''26'!CA156)</f>
        <v/>
      </c>
      <c r="CB138" s="25" t="str">
        <f>IF('1. Live'!CF156='check-Jul''26'!CB156,"",'1. Live'!CF156-'check-Jul''26'!CB156)</f>
        <v/>
      </c>
      <c r="CC138" s="25" t="str">
        <f>IF('1. Live'!CG156='check-Jul''26'!CC156,"",'1. Live'!CG156-'check-Jul''26'!CC156)</f>
        <v/>
      </c>
      <c r="CD138" s="25" t="str">
        <f>IF('1. Live'!CH156='check-Jul''26'!CD156,"",'1. Live'!CH156-'check-Jul''26'!CD156)</f>
        <v/>
      </c>
      <c r="CE138" s="25" t="str">
        <f>IF('1. Live'!CI156='check-Jul''26'!CE156,"",'1. Live'!CI156-'check-Jul''26'!CE156)</f>
        <v/>
      </c>
      <c r="CF138" s="25" t="str">
        <f>IF('1. Live'!CJ156='check-Jul''26'!CF156,"",'1. Live'!CJ156-'check-Jul''26'!CF156)</f>
        <v/>
      </c>
      <c r="CG138" s="25" t="str">
        <f>IF('1. Live'!CK156='check-Jul''26'!CG156,"",'1. Live'!CK156-'check-Jul''26'!CG156)</f>
        <v/>
      </c>
      <c r="CH138" s="25" t="str">
        <f>IF('1. Live'!CL156='check-Jul''26'!CH156,"",'1. Live'!CL156-'check-Jul''26'!CH156)</f>
        <v/>
      </c>
      <c r="CI138" s="25" t="str">
        <f>IF('1. Live'!CM156='check-Jul''26'!CI156,"",'1. Live'!CM156-'check-Jul''26'!CI156)</f>
        <v/>
      </c>
      <c r="CJ138" s="25" t="str">
        <f>IF('1. Live'!CN156='check-Jul''26'!CJ156,"",'1. Live'!CN156-'check-Jul''26'!CJ156)</f>
        <v/>
      </c>
      <c r="CK138" s="25" t="str">
        <f>IF('1. Live'!CO156='check-Jul''26'!CK156,"",'1. Live'!CO156-'check-Jul''26'!CK156)</f>
        <v/>
      </c>
      <c r="CL138" s="25" t="str">
        <f>IF('1. Live'!CP156='check-Jul''26'!CL156,"",'1. Live'!CP156-'check-Jul''26'!CL156)</f>
        <v/>
      </c>
      <c r="CM138" s="25" t="str">
        <f>IF('1. Live'!CQ156='check-Jul''26'!CM156,"",'1. Live'!CQ156-'check-Jul''26'!CM156)</f>
        <v/>
      </c>
      <c r="CN138" s="25" t="str">
        <f>IF('1. Live'!CR156='check-Jul''26'!CN156,"",'1. Live'!CR156-'check-Jul''26'!CN156)</f>
        <v/>
      </c>
      <c r="CO138" s="25" t="str">
        <f>IF('1. Live'!CS156='check-Jul''26'!CO156,"",'1. Live'!CS156-'check-Jul''26'!CO156)</f>
        <v/>
      </c>
      <c r="CP138" s="25" t="str">
        <f>IF('1. Live'!CT156='check-Jul''26'!CP156,"",'1. Live'!CT156-'check-Jul''26'!CP156)</f>
        <v/>
      </c>
      <c r="CQ138" s="25" t="str">
        <f>IF('1. Live'!CU156='check-Jul''26'!CQ156,"",'1. Live'!CU156-'check-Jul''26'!CQ156)</f>
        <v/>
      </c>
      <c r="CR138" s="25" t="str">
        <f>IF('1. Live'!CV156='check-Jul''26'!CR156,"",'1. Live'!CV156-'check-Jul''26'!CR156)</f>
        <v/>
      </c>
      <c r="CS138" s="25" t="str">
        <f>IF('1. Live'!CW156='check-Jul''26'!CS156,"",'1. Live'!CW156-'check-Jul''26'!CS156)</f>
        <v/>
      </c>
      <c r="CT138" s="25" t="str">
        <f>IF('1. Live'!CX156='check-Jul''26'!CT156,"",'1. Live'!CX156-'check-Jul''26'!CT156)</f>
        <v/>
      </c>
      <c r="CU138" s="25" t="str">
        <f>IF('1. Live'!CY156='check-Jul''26'!CU156,"",'1. Live'!CY156-'check-Jul''26'!CU156)</f>
        <v/>
      </c>
      <c r="CV138" s="25" t="str">
        <f>IF('1. Live'!CZ156='check-Jul''26'!CV156,"",'1. Live'!CZ156-'check-Jul''26'!CV156)</f>
        <v/>
      </c>
    </row>
    <row r="139" spans="17:100" x14ac:dyDescent="0.25">
      <c r="Q139" s="26" t="str">
        <f>IF('1. Live'!N157='check-Jul''26'!I157,"",'1. Live'!N157-'check-Jul''26'!I157)</f>
        <v/>
      </c>
      <c r="R139" s="26" t="str">
        <f>IF('1. Live'!O157='check-Jul''26'!J157,"",'1. Live'!O157-'check-Jul''26'!J157)</f>
        <v/>
      </c>
      <c r="S139" s="26" t="str">
        <f>IF('1. Live'!P157='check-Jul''26'!K157,"",'1. Live'!P157-'check-Jul''26'!K157)</f>
        <v/>
      </c>
      <c r="T139" s="26" t="str">
        <f>IF('1. Live'!Q157='check-Jul''26'!L157,"",'1. Live'!Q157-'check-Jul''26'!L157)</f>
        <v/>
      </c>
      <c r="U139" s="80" t="str">
        <f>IF('1. Live'!R157='check-Jul''26'!M157,"",'1. Live'!R157-'check-Jul''26'!M157)</f>
        <v/>
      </c>
      <c r="V139" s="26" t="str">
        <f>IF('1. Live'!S157='check-Jul''26'!N157,"",'1. Live'!S157-'check-Jul''26'!N157)</f>
        <v/>
      </c>
      <c r="W139" s="25" t="str">
        <f>IF('1. Live'!T157='check-Jul''26'!O157,"",'1. Live'!T157-'check-Jul''26'!O157)</f>
        <v/>
      </c>
      <c r="X139" s="25" t="str">
        <f>IF('1. Live'!U157='check-Jul''26'!Q157,"",'1. Live'!U157-'check-Jul''26'!Q157)</f>
        <v/>
      </c>
      <c r="Y139" s="25" t="str">
        <f>IF('1. Live'!V157='check-Jul''26'!R157,"",'1. Live'!V157-'check-Jul''26'!R157)</f>
        <v/>
      </c>
      <c r="Z139" s="25" t="str">
        <f>IF('1. Live'!W157='check-Jul''26'!S157,"",'1. Live'!W157-'check-Jul''26'!S157)</f>
        <v/>
      </c>
      <c r="AA139" s="25" t="str">
        <f>IF('1. Live'!X157='check-Jul''26'!T157,"",'1. Live'!X157-'check-Jul''26'!T157)</f>
        <v/>
      </c>
      <c r="AB139" s="25" t="str">
        <f>IF('1. Live'!AF157='check-Jul''26'!AB157,"",'1. Live'!AF157-'check-Jul''26'!AB157)</f>
        <v/>
      </c>
      <c r="AC139" s="25" t="str">
        <f>IF('1. Live'!AG157='check-Jul''26'!AC157,"",'1. Live'!AG157-'check-Jul''26'!AC157)</f>
        <v/>
      </c>
      <c r="AD139" s="25" t="str">
        <f>IF('1. Live'!AH157='check-Jul''26'!AD157,"",'1. Live'!AH157-'check-Jul''26'!AD157)</f>
        <v/>
      </c>
      <c r="AE139" s="25" t="str">
        <f>IF('1. Live'!AI157='check-Jul''26'!AE157,"",'1. Live'!AI157-'check-Jul''26'!AE157)</f>
        <v/>
      </c>
      <c r="AF139" s="25" t="str">
        <f>IF('1. Live'!AJ157='check-Jul''26'!AF157,"",'1. Live'!AJ157-'check-Jul''26'!AF157)</f>
        <v/>
      </c>
      <c r="AG139" s="25" t="str">
        <f>IF('1. Live'!AK157='check-Jul''26'!AG157,"",'1. Live'!AK157-'check-Jul''26'!AG157)</f>
        <v/>
      </c>
      <c r="AH139" s="25" t="str">
        <f>IF('1. Live'!AL157='check-Jul''26'!AH157,"",'1. Live'!AL157-'check-Jul''26'!AH157)</f>
        <v/>
      </c>
      <c r="AI139" s="25" t="str">
        <f>IF('1. Live'!AM157='check-Jul''26'!AI157,"",'1. Live'!AM157-'check-Jul''26'!AI157)</f>
        <v/>
      </c>
      <c r="AJ139" s="25" t="str">
        <f>IF('1. Live'!AN157='check-Jul''26'!AJ157,"",'1. Live'!AN157-'check-Jul''26'!AJ157)</f>
        <v/>
      </c>
      <c r="AK139" s="25" t="str">
        <f>IF('1. Live'!AO157='check-Jul''26'!AK157,"",'1. Live'!AO157-'check-Jul''26'!AK157)</f>
        <v/>
      </c>
      <c r="AL139" s="25" t="str">
        <f>IF('1. Live'!AP157='check-Jul''26'!AL157,"",'1. Live'!AP157-'check-Jul''26'!AL157)</f>
        <v/>
      </c>
      <c r="AM139" s="25" t="str">
        <f>IF('1. Live'!AQ157='check-Jul''26'!AM157,"",'1. Live'!AQ157-'check-Jul''26'!AM157)</f>
        <v/>
      </c>
      <c r="AN139" s="25" t="str">
        <f>IF('1. Live'!AR157='check-Jul''26'!AN157,"",'1. Live'!AR157-'check-Jul''26'!AN157)</f>
        <v/>
      </c>
      <c r="AO139" s="25" t="str">
        <f>IF('1. Live'!AS157='check-Jul''26'!AO157,"",'1. Live'!AS157-'check-Jul''26'!AO157)</f>
        <v/>
      </c>
      <c r="AP139" s="25" t="str">
        <f>IF('1. Live'!AT157='check-Jul''26'!AP157,"",'1. Live'!AT157-'check-Jul''26'!AP157)</f>
        <v/>
      </c>
      <c r="AQ139" s="25" t="str">
        <f>IF('1. Live'!AU157='check-Jul''26'!AQ157,"",'1. Live'!AU157-'check-Jul''26'!AQ157)</f>
        <v/>
      </c>
      <c r="AR139" s="25" t="str">
        <f>IF('1. Live'!AV157='check-Jul''26'!AR157,"",'1. Live'!AV157-'check-Jul''26'!AR157)</f>
        <v/>
      </c>
      <c r="AS139" s="25" t="str">
        <f>IF('1. Live'!AW157='check-Jul''26'!AS157,"",'1. Live'!AW157-'check-Jul''26'!AS157)</f>
        <v/>
      </c>
      <c r="AT139" s="25" t="str">
        <f>IF('1. Live'!AX157='check-Jul''26'!AT157,"",'1. Live'!AX157-'check-Jul''26'!AT157)</f>
        <v/>
      </c>
      <c r="AU139" s="25" t="str">
        <f>IF('1. Live'!AY157='check-Jul''26'!AU157,"",'1. Live'!AY157-'check-Jul''26'!AU157)</f>
        <v/>
      </c>
      <c r="AV139" s="25" t="str">
        <f>IF('1. Live'!AZ157='check-Jul''26'!AV157,"",'1. Live'!AZ157-'check-Jul''26'!AV157)</f>
        <v/>
      </c>
      <c r="AW139" s="25" t="str">
        <f>IF('1. Live'!BA157='check-Jul''26'!AW157,"",'1. Live'!BA157-'check-Jul''26'!AW157)</f>
        <v/>
      </c>
      <c r="AX139" s="25" t="str">
        <f>IF('1. Live'!BB157='check-Jul''26'!AX157,"",'1. Live'!BB157-'check-Jul''26'!AX157)</f>
        <v/>
      </c>
      <c r="AY139" s="25" t="str">
        <f>IF('1. Live'!BC157='check-Jul''26'!AY157,"",'1. Live'!BC157-'check-Jul''26'!AY157)</f>
        <v/>
      </c>
      <c r="AZ139" s="25" t="str">
        <f>IF('1. Live'!BD157='check-Jul''26'!AZ157,"",'1. Live'!BD157-'check-Jul''26'!AZ157)</f>
        <v/>
      </c>
      <c r="BA139" s="25" t="str">
        <f>IF('1. Live'!BE157='check-Jul''26'!BA157,"",'1. Live'!BE157-'check-Jul''26'!BA157)</f>
        <v/>
      </c>
      <c r="BB139" s="25" t="str">
        <f>IF('1. Live'!BF157='check-Jul''26'!BB157,"",'1. Live'!BF157-'check-Jul''26'!BB157)</f>
        <v/>
      </c>
      <c r="BC139" s="25" t="str">
        <f>IF('1. Live'!BG157='check-Jul''26'!BC157,"",'1. Live'!BG157-'check-Jul''26'!BC157)</f>
        <v/>
      </c>
      <c r="BD139" s="25" t="str">
        <f>IF('1. Live'!BH157='check-Jul''26'!BD157,"",'1. Live'!BH157-'check-Jul''26'!BD157)</f>
        <v/>
      </c>
      <c r="BE139" s="25" t="str">
        <f>IF('1. Live'!BI157='check-Jul''26'!BE157,"",'1. Live'!BI157-'check-Jul''26'!BE157)</f>
        <v/>
      </c>
      <c r="BF139" s="25" t="str">
        <f>IF('1. Live'!BJ157='check-Jul''26'!BF157,"",'1. Live'!BJ157-'check-Jul''26'!BF157)</f>
        <v/>
      </c>
      <c r="BG139" s="25" t="str">
        <f>IF('1. Live'!BK157='check-Jul''26'!BG157,"",'1. Live'!BK157-'check-Jul''26'!BG157)</f>
        <v/>
      </c>
      <c r="BH139" s="25" t="str">
        <f>IF('1. Live'!BL157='check-Jul''26'!BH157,"",'1. Live'!BL157-'check-Jul''26'!BH157)</f>
        <v/>
      </c>
      <c r="BI139" s="25" t="str">
        <f>IF('1. Live'!BM157='check-Jul''26'!BI157,"",'1. Live'!BM157-'check-Jul''26'!BI157)</f>
        <v/>
      </c>
      <c r="BJ139" s="25" t="str">
        <f>IF('1. Live'!BN157='check-Jul''26'!BJ157,"",'1. Live'!BN157-'check-Jul''26'!BJ157)</f>
        <v/>
      </c>
      <c r="BK139" s="25" t="str">
        <f>IF('1. Live'!BO157='check-Jul''26'!BK157,"",'1. Live'!BO157-'check-Jul''26'!BK157)</f>
        <v/>
      </c>
      <c r="BL139" s="25" t="str">
        <f>IF('1. Live'!BP157='check-Jul''26'!BL157,"",'1. Live'!BP157-'check-Jul''26'!BL157)</f>
        <v/>
      </c>
      <c r="BM139" s="25" t="str">
        <f>IF('1. Live'!BQ157='check-Jul''26'!BM157,"",'1. Live'!BQ157-'check-Jul''26'!BM157)</f>
        <v/>
      </c>
      <c r="BN139" s="25" t="str">
        <f>IF('1. Live'!BR157='check-Jul''26'!BN157,"",'1. Live'!BR157-'check-Jul''26'!BN157)</f>
        <v/>
      </c>
      <c r="BO139" s="25" t="str">
        <f>IF('1. Live'!BS157='check-Jul''26'!BO157,"",'1. Live'!BS157-'check-Jul''26'!BO157)</f>
        <v/>
      </c>
      <c r="BP139" s="25" t="str">
        <f>IF('1. Live'!BT157='check-Jul''26'!BP157,"",'1. Live'!BT157-'check-Jul''26'!BP157)</f>
        <v/>
      </c>
      <c r="BQ139" s="25" t="str">
        <f>IF('1. Live'!BU157='check-Jul''26'!BQ157,"",'1. Live'!BU157-'check-Jul''26'!BQ157)</f>
        <v/>
      </c>
      <c r="BR139" s="25" t="str">
        <f>IF('1. Live'!BV157='check-Jul''26'!BR157,"",'1. Live'!BV157-'check-Jul''26'!BR157)</f>
        <v/>
      </c>
      <c r="BS139" s="25" t="str">
        <f>IF('1. Live'!BW157='check-Jul''26'!BS157,"",'1. Live'!BW157-'check-Jul''26'!BS157)</f>
        <v/>
      </c>
      <c r="BT139" s="25" t="str">
        <f>IF('1. Live'!BX157='check-Jul''26'!BT157,"",'1. Live'!BX157-'check-Jul''26'!BT157)</f>
        <v/>
      </c>
      <c r="BU139" s="25" t="str">
        <f>IF('1. Live'!BY157='check-Jul''26'!BU157,"",'1. Live'!BY157-'check-Jul''26'!BU157)</f>
        <v/>
      </c>
      <c r="BV139" s="25" t="str">
        <f>IF('1. Live'!BZ157='check-Jul''26'!BV157,"",'1. Live'!BZ157-'check-Jul''26'!BV157)</f>
        <v/>
      </c>
      <c r="BW139" s="25" t="str">
        <f>IF('1. Live'!CA157='check-Jul''26'!BW157,"",'1. Live'!CA157-'check-Jul''26'!BW157)</f>
        <v/>
      </c>
      <c r="BX139" s="25" t="str">
        <f>IF('1. Live'!CB157='check-Jul''26'!BX157,"",'1. Live'!CB157-'check-Jul''26'!BX157)</f>
        <v/>
      </c>
      <c r="BY139" s="25" t="str">
        <f>IF('1. Live'!CC157='check-Jul''26'!BY157,"",'1. Live'!CC157-'check-Jul''26'!BY157)</f>
        <v/>
      </c>
      <c r="BZ139" s="25" t="str">
        <f>IF('1. Live'!CD157='check-Jul''26'!BZ157,"",'1. Live'!CD157-'check-Jul''26'!BZ157)</f>
        <v/>
      </c>
      <c r="CA139" s="25" t="str">
        <f>IF('1. Live'!CE157='check-Jul''26'!CA157,"",'1. Live'!CE157-'check-Jul''26'!CA157)</f>
        <v/>
      </c>
      <c r="CB139" s="25" t="str">
        <f>IF('1. Live'!CF157='check-Jul''26'!CB157,"",'1. Live'!CF157-'check-Jul''26'!CB157)</f>
        <v/>
      </c>
      <c r="CC139" s="25" t="str">
        <f>IF('1. Live'!CG157='check-Jul''26'!CC157,"",'1. Live'!CG157-'check-Jul''26'!CC157)</f>
        <v/>
      </c>
      <c r="CD139" s="25" t="str">
        <f>IF('1. Live'!CH157='check-Jul''26'!CD157,"",'1. Live'!CH157-'check-Jul''26'!CD157)</f>
        <v/>
      </c>
      <c r="CE139" s="25" t="str">
        <f>IF('1. Live'!CI157='check-Jul''26'!CE157,"",'1. Live'!CI157-'check-Jul''26'!CE157)</f>
        <v/>
      </c>
      <c r="CF139" s="25" t="str">
        <f>IF('1. Live'!CJ157='check-Jul''26'!CF157,"",'1. Live'!CJ157-'check-Jul''26'!CF157)</f>
        <v/>
      </c>
      <c r="CG139" s="25" t="str">
        <f>IF('1. Live'!CK157='check-Jul''26'!CG157,"",'1. Live'!CK157-'check-Jul''26'!CG157)</f>
        <v/>
      </c>
      <c r="CH139" s="25" t="str">
        <f>IF('1. Live'!CL157='check-Jul''26'!CH157,"",'1. Live'!CL157-'check-Jul''26'!CH157)</f>
        <v/>
      </c>
      <c r="CI139" s="25" t="str">
        <f>IF('1. Live'!CM157='check-Jul''26'!CI157,"",'1. Live'!CM157-'check-Jul''26'!CI157)</f>
        <v/>
      </c>
      <c r="CJ139" s="25" t="str">
        <f>IF('1. Live'!CN157='check-Jul''26'!CJ157,"",'1. Live'!CN157-'check-Jul''26'!CJ157)</f>
        <v/>
      </c>
      <c r="CK139" s="25" t="str">
        <f>IF('1. Live'!CO157='check-Jul''26'!CK157,"",'1. Live'!CO157-'check-Jul''26'!CK157)</f>
        <v/>
      </c>
      <c r="CL139" s="25" t="str">
        <f>IF('1. Live'!CP157='check-Jul''26'!CL157,"",'1. Live'!CP157-'check-Jul''26'!CL157)</f>
        <v/>
      </c>
      <c r="CM139" s="25" t="str">
        <f>IF('1. Live'!CQ157='check-Jul''26'!CM157,"",'1. Live'!CQ157-'check-Jul''26'!CM157)</f>
        <v/>
      </c>
      <c r="CN139" s="25" t="str">
        <f>IF('1. Live'!CR157='check-Jul''26'!CN157,"",'1. Live'!CR157-'check-Jul''26'!CN157)</f>
        <v/>
      </c>
      <c r="CO139" s="25" t="str">
        <f>IF('1. Live'!CS157='check-Jul''26'!CO157,"",'1. Live'!CS157-'check-Jul''26'!CO157)</f>
        <v/>
      </c>
      <c r="CP139" s="25" t="str">
        <f>IF('1. Live'!CT157='check-Jul''26'!CP157,"",'1. Live'!CT157-'check-Jul''26'!CP157)</f>
        <v/>
      </c>
      <c r="CQ139" s="25" t="str">
        <f>IF('1. Live'!CU157='check-Jul''26'!CQ157,"",'1. Live'!CU157-'check-Jul''26'!CQ157)</f>
        <v/>
      </c>
      <c r="CR139" s="25" t="str">
        <f>IF('1. Live'!CV157='check-Jul''26'!CR157,"",'1. Live'!CV157-'check-Jul''26'!CR157)</f>
        <v/>
      </c>
      <c r="CS139" s="25" t="str">
        <f>IF('1. Live'!CW157='check-Jul''26'!CS157,"",'1. Live'!CW157-'check-Jul''26'!CS157)</f>
        <v/>
      </c>
      <c r="CT139" s="25" t="str">
        <f>IF('1. Live'!CX157='check-Jul''26'!CT157,"",'1. Live'!CX157-'check-Jul''26'!CT157)</f>
        <v/>
      </c>
      <c r="CU139" s="25" t="str">
        <f>IF('1. Live'!CY157='check-Jul''26'!CU157,"",'1. Live'!CY157-'check-Jul''26'!CU157)</f>
        <v/>
      </c>
      <c r="CV139" s="25" t="str">
        <f>IF('1. Live'!CZ157='check-Jul''26'!CV157,"",'1. Live'!CZ157-'check-Jul''26'!CV157)</f>
        <v/>
      </c>
    </row>
    <row r="140" spans="17:100" x14ac:dyDescent="0.25">
      <c r="Q140" s="26" t="str">
        <f>IF('1. Live'!N158='check-Jul''26'!I158,"",'1. Live'!N158-'check-Jul''26'!I158)</f>
        <v/>
      </c>
      <c r="R140" s="26" t="str">
        <f>IF('1. Live'!O158='check-Jul''26'!J158,"",'1. Live'!O158-'check-Jul''26'!J158)</f>
        <v/>
      </c>
      <c r="S140" s="26" t="str">
        <f>IF('1. Live'!P158='check-Jul''26'!K158,"",'1. Live'!P158-'check-Jul''26'!K158)</f>
        <v/>
      </c>
      <c r="T140" s="26" t="str">
        <f>IF('1. Live'!Q158='check-Jul''26'!L158,"",'1. Live'!Q158-'check-Jul''26'!L158)</f>
        <v/>
      </c>
      <c r="U140" s="80" t="str">
        <f>IF('1. Live'!R158='check-Jul''26'!M158,"",'1. Live'!R158-'check-Jul''26'!M158)</f>
        <v/>
      </c>
      <c r="V140" s="26" t="str">
        <f>IF('1. Live'!S158='check-Jul''26'!N158,"",'1. Live'!S158-'check-Jul''26'!N158)</f>
        <v/>
      </c>
      <c r="W140" s="25" t="str">
        <f>IF('1. Live'!T158='check-Jul''26'!O158,"",'1. Live'!T158-'check-Jul''26'!O158)</f>
        <v/>
      </c>
      <c r="X140" s="25" t="str">
        <f>IF('1. Live'!U158='check-Jul''26'!Q158,"",'1. Live'!U158-'check-Jul''26'!Q158)</f>
        <v/>
      </c>
      <c r="Y140" s="25" t="str">
        <f>IF('1. Live'!V158='check-Jul''26'!R158,"",'1. Live'!V158-'check-Jul''26'!R158)</f>
        <v/>
      </c>
      <c r="Z140" s="25" t="str">
        <f>IF('1. Live'!W158='check-Jul''26'!S158,"",'1. Live'!W158-'check-Jul''26'!S158)</f>
        <v/>
      </c>
      <c r="AA140" s="25" t="str">
        <f>IF('1. Live'!X158='check-Jul''26'!T158,"",'1. Live'!X158-'check-Jul''26'!T158)</f>
        <v/>
      </c>
      <c r="AB140" s="25" t="str">
        <f>IF('1. Live'!AF158='check-Jul''26'!AB158,"",'1. Live'!AF158-'check-Jul''26'!AB158)</f>
        <v/>
      </c>
      <c r="AC140" s="25" t="str">
        <f>IF('1. Live'!AG158='check-Jul''26'!AC158,"",'1. Live'!AG158-'check-Jul''26'!AC158)</f>
        <v/>
      </c>
      <c r="AD140" s="25" t="str">
        <f>IF('1. Live'!AH158='check-Jul''26'!AD158,"",'1. Live'!AH158-'check-Jul''26'!AD158)</f>
        <v/>
      </c>
      <c r="AE140" s="25" t="str">
        <f>IF('1. Live'!AI158='check-Jul''26'!AE158,"",'1. Live'!AI158-'check-Jul''26'!AE158)</f>
        <v/>
      </c>
      <c r="AF140" s="25" t="str">
        <f>IF('1. Live'!AJ158='check-Jul''26'!AF158,"",'1. Live'!AJ158-'check-Jul''26'!AF158)</f>
        <v/>
      </c>
      <c r="AG140" s="25" t="str">
        <f>IF('1. Live'!AK158='check-Jul''26'!AG158,"",'1. Live'!AK158-'check-Jul''26'!AG158)</f>
        <v/>
      </c>
      <c r="AH140" s="25" t="str">
        <f>IF('1. Live'!AL158='check-Jul''26'!AH158,"",'1. Live'!AL158-'check-Jul''26'!AH158)</f>
        <v/>
      </c>
      <c r="AI140" s="25" t="str">
        <f>IF('1. Live'!AM158='check-Jul''26'!AI158,"",'1. Live'!AM158-'check-Jul''26'!AI158)</f>
        <v/>
      </c>
      <c r="AJ140" s="25" t="str">
        <f>IF('1. Live'!AN158='check-Jul''26'!AJ158,"",'1. Live'!AN158-'check-Jul''26'!AJ158)</f>
        <v/>
      </c>
      <c r="AK140" s="25" t="str">
        <f>IF('1. Live'!AO158='check-Jul''26'!AK158,"",'1. Live'!AO158-'check-Jul''26'!AK158)</f>
        <v/>
      </c>
      <c r="AL140" s="25" t="str">
        <f>IF('1. Live'!AP158='check-Jul''26'!AL158,"",'1. Live'!AP158-'check-Jul''26'!AL158)</f>
        <v/>
      </c>
      <c r="AM140" s="25" t="str">
        <f>IF('1. Live'!AQ158='check-Jul''26'!AM158,"",'1. Live'!AQ158-'check-Jul''26'!AM158)</f>
        <v/>
      </c>
      <c r="AN140" s="25" t="str">
        <f>IF('1. Live'!AR158='check-Jul''26'!AN158,"",'1. Live'!AR158-'check-Jul''26'!AN158)</f>
        <v/>
      </c>
      <c r="AO140" s="25" t="str">
        <f>IF('1. Live'!AS158='check-Jul''26'!AO158,"",'1. Live'!AS158-'check-Jul''26'!AO158)</f>
        <v/>
      </c>
      <c r="AP140" s="25" t="str">
        <f>IF('1. Live'!AT158='check-Jul''26'!AP158,"",'1. Live'!AT158-'check-Jul''26'!AP158)</f>
        <v/>
      </c>
      <c r="AQ140" s="25" t="str">
        <f>IF('1. Live'!AU158='check-Jul''26'!AQ158,"",'1. Live'!AU158-'check-Jul''26'!AQ158)</f>
        <v/>
      </c>
      <c r="AR140" s="25" t="str">
        <f>IF('1. Live'!AV158='check-Jul''26'!AR158,"",'1. Live'!AV158-'check-Jul''26'!AR158)</f>
        <v/>
      </c>
      <c r="AS140" s="25" t="str">
        <f>IF('1. Live'!AW158='check-Jul''26'!AS158,"",'1. Live'!AW158-'check-Jul''26'!AS158)</f>
        <v/>
      </c>
      <c r="AT140" s="25" t="str">
        <f>IF('1. Live'!AX158='check-Jul''26'!AT158,"",'1. Live'!AX158-'check-Jul''26'!AT158)</f>
        <v/>
      </c>
      <c r="AU140" s="25" t="str">
        <f>IF('1. Live'!AY158='check-Jul''26'!AU158,"",'1. Live'!AY158-'check-Jul''26'!AU158)</f>
        <v/>
      </c>
      <c r="AV140" s="25" t="str">
        <f>IF('1. Live'!AZ158='check-Jul''26'!AV158,"",'1. Live'!AZ158-'check-Jul''26'!AV158)</f>
        <v/>
      </c>
      <c r="AW140" s="25" t="str">
        <f>IF('1. Live'!BA158='check-Jul''26'!AW158,"",'1. Live'!BA158-'check-Jul''26'!AW158)</f>
        <v/>
      </c>
      <c r="AX140" s="25" t="str">
        <f>IF('1. Live'!BB158='check-Jul''26'!AX158,"",'1. Live'!BB158-'check-Jul''26'!AX158)</f>
        <v/>
      </c>
      <c r="AY140" s="25" t="str">
        <f>IF('1. Live'!BC158='check-Jul''26'!AY158,"",'1. Live'!BC158-'check-Jul''26'!AY158)</f>
        <v/>
      </c>
      <c r="AZ140" s="25" t="str">
        <f>IF('1. Live'!BD158='check-Jul''26'!AZ158,"",'1. Live'!BD158-'check-Jul''26'!AZ158)</f>
        <v/>
      </c>
      <c r="BA140" s="25" t="str">
        <f>IF('1. Live'!BE158='check-Jul''26'!BA158,"",'1. Live'!BE158-'check-Jul''26'!BA158)</f>
        <v/>
      </c>
      <c r="BB140" s="25" t="str">
        <f>IF('1. Live'!BF158='check-Jul''26'!BB158,"",'1. Live'!BF158-'check-Jul''26'!BB158)</f>
        <v/>
      </c>
      <c r="BC140" s="25" t="str">
        <f>IF('1. Live'!BG158='check-Jul''26'!BC158,"",'1. Live'!BG158-'check-Jul''26'!BC158)</f>
        <v/>
      </c>
      <c r="BD140" s="25" t="str">
        <f>IF('1. Live'!BH158='check-Jul''26'!BD158,"",'1. Live'!BH158-'check-Jul''26'!BD158)</f>
        <v/>
      </c>
      <c r="BE140" s="25" t="str">
        <f>IF('1. Live'!BI158='check-Jul''26'!BE158,"",'1. Live'!BI158-'check-Jul''26'!BE158)</f>
        <v/>
      </c>
      <c r="BF140" s="25" t="str">
        <f>IF('1. Live'!BJ158='check-Jul''26'!BF158,"",'1. Live'!BJ158-'check-Jul''26'!BF158)</f>
        <v/>
      </c>
      <c r="BG140" s="25" t="str">
        <f>IF('1. Live'!BK158='check-Jul''26'!BG158,"",'1. Live'!BK158-'check-Jul''26'!BG158)</f>
        <v/>
      </c>
      <c r="BH140" s="25" t="str">
        <f>IF('1. Live'!BL158='check-Jul''26'!BH158,"",'1. Live'!BL158-'check-Jul''26'!BH158)</f>
        <v/>
      </c>
      <c r="BI140" s="25" t="str">
        <f>IF('1. Live'!BM158='check-Jul''26'!BI158,"",'1. Live'!BM158-'check-Jul''26'!BI158)</f>
        <v/>
      </c>
      <c r="BJ140" s="25" t="str">
        <f>IF('1. Live'!BN158='check-Jul''26'!BJ158,"",'1. Live'!BN158-'check-Jul''26'!BJ158)</f>
        <v/>
      </c>
      <c r="BK140" s="25" t="str">
        <f>IF('1. Live'!BO158='check-Jul''26'!BK158,"",'1. Live'!BO158-'check-Jul''26'!BK158)</f>
        <v/>
      </c>
      <c r="BL140" s="25" t="str">
        <f>IF('1. Live'!BP158='check-Jul''26'!BL158,"",'1. Live'!BP158-'check-Jul''26'!BL158)</f>
        <v/>
      </c>
      <c r="BM140" s="25" t="str">
        <f>IF('1. Live'!BQ158='check-Jul''26'!BM158,"",'1. Live'!BQ158-'check-Jul''26'!BM158)</f>
        <v/>
      </c>
      <c r="BN140" s="25" t="str">
        <f>IF('1. Live'!BR158='check-Jul''26'!BN158,"",'1. Live'!BR158-'check-Jul''26'!BN158)</f>
        <v/>
      </c>
      <c r="BO140" s="25" t="str">
        <f>IF('1. Live'!BS158='check-Jul''26'!BO158,"",'1. Live'!BS158-'check-Jul''26'!BO158)</f>
        <v/>
      </c>
      <c r="BP140" s="25" t="str">
        <f>IF('1. Live'!BT158='check-Jul''26'!BP158,"",'1. Live'!BT158-'check-Jul''26'!BP158)</f>
        <v/>
      </c>
      <c r="BQ140" s="25" t="str">
        <f>IF('1. Live'!BU158='check-Jul''26'!BQ158,"",'1. Live'!BU158-'check-Jul''26'!BQ158)</f>
        <v/>
      </c>
      <c r="BR140" s="25" t="str">
        <f>IF('1. Live'!BV158='check-Jul''26'!BR158,"",'1. Live'!BV158-'check-Jul''26'!BR158)</f>
        <v/>
      </c>
      <c r="BS140" s="25" t="str">
        <f>IF('1. Live'!BW158='check-Jul''26'!BS158,"",'1. Live'!BW158-'check-Jul''26'!BS158)</f>
        <v/>
      </c>
      <c r="BT140" s="25" t="str">
        <f>IF('1. Live'!BX158='check-Jul''26'!BT158,"",'1. Live'!BX158-'check-Jul''26'!BT158)</f>
        <v/>
      </c>
      <c r="BU140" s="25" t="str">
        <f>IF('1. Live'!BY158='check-Jul''26'!BU158,"",'1. Live'!BY158-'check-Jul''26'!BU158)</f>
        <v/>
      </c>
      <c r="BV140" s="25" t="str">
        <f>IF('1. Live'!BZ158='check-Jul''26'!BV158,"",'1. Live'!BZ158-'check-Jul''26'!BV158)</f>
        <v/>
      </c>
      <c r="BW140" s="25" t="str">
        <f>IF('1. Live'!CA158='check-Jul''26'!BW158,"",'1. Live'!CA158-'check-Jul''26'!BW158)</f>
        <v/>
      </c>
      <c r="BX140" s="25" t="str">
        <f>IF('1. Live'!CB158='check-Jul''26'!BX158,"",'1. Live'!CB158-'check-Jul''26'!BX158)</f>
        <v/>
      </c>
      <c r="BY140" s="25" t="str">
        <f>IF('1. Live'!CC158='check-Jul''26'!BY158,"",'1. Live'!CC158-'check-Jul''26'!BY158)</f>
        <v/>
      </c>
      <c r="BZ140" s="25" t="str">
        <f>IF('1. Live'!CD158='check-Jul''26'!BZ158,"",'1. Live'!CD158-'check-Jul''26'!BZ158)</f>
        <v/>
      </c>
      <c r="CA140" s="25" t="str">
        <f>IF('1. Live'!CE158='check-Jul''26'!CA158,"",'1. Live'!CE158-'check-Jul''26'!CA158)</f>
        <v/>
      </c>
      <c r="CB140" s="25" t="str">
        <f>IF('1. Live'!CF158='check-Jul''26'!CB158,"",'1. Live'!CF158-'check-Jul''26'!CB158)</f>
        <v/>
      </c>
      <c r="CC140" s="25" t="str">
        <f>IF('1. Live'!CG158='check-Jul''26'!CC158,"",'1. Live'!CG158-'check-Jul''26'!CC158)</f>
        <v/>
      </c>
      <c r="CD140" s="25" t="str">
        <f>IF('1. Live'!CH158='check-Jul''26'!CD158,"",'1. Live'!CH158-'check-Jul''26'!CD158)</f>
        <v/>
      </c>
      <c r="CE140" s="25" t="str">
        <f>IF('1. Live'!CI158='check-Jul''26'!CE158,"",'1. Live'!CI158-'check-Jul''26'!CE158)</f>
        <v/>
      </c>
      <c r="CF140" s="25" t="str">
        <f>IF('1. Live'!CJ158='check-Jul''26'!CF158,"",'1. Live'!CJ158-'check-Jul''26'!CF158)</f>
        <v/>
      </c>
      <c r="CG140" s="25" t="str">
        <f>IF('1. Live'!CK158='check-Jul''26'!CG158,"",'1. Live'!CK158-'check-Jul''26'!CG158)</f>
        <v/>
      </c>
      <c r="CH140" s="25" t="str">
        <f>IF('1. Live'!CL158='check-Jul''26'!CH158,"",'1. Live'!CL158-'check-Jul''26'!CH158)</f>
        <v/>
      </c>
      <c r="CI140" s="25" t="str">
        <f>IF('1. Live'!CM158='check-Jul''26'!CI158,"",'1. Live'!CM158-'check-Jul''26'!CI158)</f>
        <v/>
      </c>
      <c r="CJ140" s="25" t="str">
        <f>IF('1. Live'!CN158='check-Jul''26'!CJ158,"",'1. Live'!CN158-'check-Jul''26'!CJ158)</f>
        <v/>
      </c>
      <c r="CK140" s="25" t="str">
        <f>IF('1. Live'!CO158='check-Jul''26'!CK158,"",'1. Live'!CO158-'check-Jul''26'!CK158)</f>
        <v/>
      </c>
      <c r="CL140" s="25" t="str">
        <f>IF('1. Live'!CP158='check-Jul''26'!CL158,"",'1. Live'!CP158-'check-Jul''26'!CL158)</f>
        <v/>
      </c>
      <c r="CM140" s="25" t="str">
        <f>IF('1. Live'!CQ158='check-Jul''26'!CM158,"",'1. Live'!CQ158-'check-Jul''26'!CM158)</f>
        <v/>
      </c>
      <c r="CN140" s="25" t="str">
        <f>IF('1. Live'!CR158='check-Jul''26'!CN158,"",'1. Live'!CR158-'check-Jul''26'!CN158)</f>
        <v/>
      </c>
      <c r="CO140" s="25" t="str">
        <f>IF('1. Live'!CS158='check-Jul''26'!CO158,"",'1. Live'!CS158-'check-Jul''26'!CO158)</f>
        <v/>
      </c>
      <c r="CP140" s="25" t="str">
        <f>IF('1. Live'!CT158='check-Jul''26'!CP158,"",'1. Live'!CT158-'check-Jul''26'!CP158)</f>
        <v/>
      </c>
      <c r="CQ140" s="25" t="str">
        <f>IF('1. Live'!CU158='check-Jul''26'!CQ158,"",'1. Live'!CU158-'check-Jul''26'!CQ158)</f>
        <v/>
      </c>
      <c r="CR140" s="25" t="str">
        <f>IF('1. Live'!CV158='check-Jul''26'!CR158,"",'1. Live'!CV158-'check-Jul''26'!CR158)</f>
        <v/>
      </c>
      <c r="CS140" s="25" t="str">
        <f>IF('1. Live'!CW158='check-Jul''26'!CS158,"",'1. Live'!CW158-'check-Jul''26'!CS158)</f>
        <v/>
      </c>
      <c r="CT140" s="25" t="str">
        <f>IF('1. Live'!CX158='check-Jul''26'!CT158,"",'1. Live'!CX158-'check-Jul''26'!CT158)</f>
        <v/>
      </c>
      <c r="CU140" s="25" t="str">
        <f>IF('1. Live'!CY158='check-Jul''26'!CU158,"",'1. Live'!CY158-'check-Jul''26'!CU158)</f>
        <v/>
      </c>
      <c r="CV140" s="25" t="str">
        <f>IF('1. Live'!CZ158='check-Jul''26'!CV158,"",'1. Live'!CZ158-'check-Jul''26'!CV158)</f>
        <v/>
      </c>
    </row>
    <row r="141" spans="17:100" x14ac:dyDescent="0.25">
      <c r="Q141" s="26" t="str">
        <f>IF('1. Live'!N159='check-Jul''26'!I159,"",'1. Live'!N159-'check-Jul''26'!I159)</f>
        <v/>
      </c>
      <c r="R141" s="26" t="str">
        <f>IF('1. Live'!O159='check-Jul''26'!J159,"",'1. Live'!O159-'check-Jul''26'!J159)</f>
        <v/>
      </c>
      <c r="S141" s="26" t="str">
        <f>IF('1. Live'!P159='check-Jul''26'!K159,"",'1. Live'!P159-'check-Jul''26'!K159)</f>
        <v/>
      </c>
      <c r="T141" s="26" t="str">
        <f>IF('1. Live'!Q159='check-Jul''26'!L159,"",'1. Live'!Q159-'check-Jul''26'!L159)</f>
        <v/>
      </c>
      <c r="U141" s="80" t="str">
        <f>IF('1. Live'!R159='check-Jul''26'!M159,"",'1. Live'!R159-'check-Jul''26'!M159)</f>
        <v/>
      </c>
      <c r="V141" s="26" t="str">
        <f>IF('1. Live'!S159='check-Jul''26'!N159,"",'1. Live'!S159-'check-Jul''26'!N159)</f>
        <v/>
      </c>
      <c r="W141" s="25" t="str">
        <f>IF('1. Live'!T159='check-Jul''26'!O159,"",'1. Live'!T159-'check-Jul''26'!O159)</f>
        <v/>
      </c>
      <c r="X141" s="25" t="str">
        <f>IF('1. Live'!U159='check-Jul''26'!Q159,"",'1. Live'!U159-'check-Jul''26'!Q159)</f>
        <v/>
      </c>
      <c r="Y141" s="25" t="str">
        <f>IF('1. Live'!V159='check-Jul''26'!R159,"",'1. Live'!V159-'check-Jul''26'!R159)</f>
        <v/>
      </c>
      <c r="Z141" s="25" t="str">
        <f>IF('1. Live'!W159='check-Jul''26'!S159,"",'1. Live'!W159-'check-Jul''26'!S159)</f>
        <v/>
      </c>
      <c r="AA141" s="25" t="str">
        <f>IF('1. Live'!X159='check-Jul''26'!T159,"",'1. Live'!X159-'check-Jul''26'!T159)</f>
        <v/>
      </c>
      <c r="AB141" s="25" t="str">
        <f>IF('1. Live'!AF159='check-Jul''26'!AB159,"",'1. Live'!AF159-'check-Jul''26'!AB159)</f>
        <v/>
      </c>
      <c r="AC141" s="25" t="str">
        <f>IF('1. Live'!AG159='check-Jul''26'!AC159,"",'1. Live'!AG159-'check-Jul''26'!AC159)</f>
        <v/>
      </c>
      <c r="AD141" s="25" t="str">
        <f>IF('1. Live'!AH159='check-Jul''26'!AD159,"",'1. Live'!AH159-'check-Jul''26'!AD159)</f>
        <v/>
      </c>
      <c r="AE141" s="25" t="str">
        <f>IF('1. Live'!AI159='check-Jul''26'!AE159,"",'1. Live'!AI159-'check-Jul''26'!AE159)</f>
        <v/>
      </c>
      <c r="AF141" s="25" t="str">
        <f>IF('1. Live'!AJ159='check-Jul''26'!AF159,"",'1. Live'!AJ159-'check-Jul''26'!AF159)</f>
        <v/>
      </c>
      <c r="AG141" s="25" t="str">
        <f>IF('1. Live'!AK159='check-Jul''26'!AG159,"",'1. Live'!AK159-'check-Jul''26'!AG159)</f>
        <v/>
      </c>
      <c r="AH141" s="25" t="str">
        <f>IF('1. Live'!AL159='check-Jul''26'!AH159,"",'1. Live'!AL159-'check-Jul''26'!AH159)</f>
        <v/>
      </c>
      <c r="AI141" s="25" t="str">
        <f>IF('1. Live'!AM159='check-Jul''26'!AI159,"",'1. Live'!AM159-'check-Jul''26'!AI159)</f>
        <v/>
      </c>
      <c r="AJ141" s="25" t="str">
        <f>IF('1. Live'!AN159='check-Jul''26'!AJ159,"",'1. Live'!AN159-'check-Jul''26'!AJ159)</f>
        <v/>
      </c>
      <c r="AK141" s="25" t="str">
        <f>IF('1. Live'!AO159='check-Jul''26'!AK159,"",'1. Live'!AO159-'check-Jul''26'!AK159)</f>
        <v/>
      </c>
      <c r="AL141" s="25" t="str">
        <f>IF('1. Live'!AP159='check-Jul''26'!AL159,"",'1. Live'!AP159-'check-Jul''26'!AL159)</f>
        <v/>
      </c>
      <c r="AM141" s="25" t="str">
        <f>IF('1. Live'!AQ159='check-Jul''26'!AM159,"",'1. Live'!AQ159-'check-Jul''26'!AM159)</f>
        <v/>
      </c>
      <c r="AN141" s="25" t="str">
        <f>IF('1. Live'!AR159='check-Jul''26'!AN159,"",'1. Live'!AR159-'check-Jul''26'!AN159)</f>
        <v/>
      </c>
      <c r="AO141" s="25" t="str">
        <f>IF('1. Live'!AS159='check-Jul''26'!AO159,"",'1. Live'!AS159-'check-Jul''26'!AO159)</f>
        <v/>
      </c>
      <c r="AP141" s="25" t="str">
        <f>IF('1. Live'!AT159='check-Jul''26'!AP159,"",'1. Live'!AT159-'check-Jul''26'!AP159)</f>
        <v/>
      </c>
      <c r="AQ141" s="25" t="str">
        <f>IF('1. Live'!AU159='check-Jul''26'!AQ159,"",'1. Live'!AU159-'check-Jul''26'!AQ159)</f>
        <v/>
      </c>
      <c r="AR141" s="25" t="str">
        <f>IF('1. Live'!AV159='check-Jul''26'!AR159,"",'1. Live'!AV159-'check-Jul''26'!AR159)</f>
        <v/>
      </c>
      <c r="AS141" s="25" t="str">
        <f>IF('1. Live'!AW159='check-Jul''26'!AS159,"",'1. Live'!AW159-'check-Jul''26'!AS159)</f>
        <v/>
      </c>
      <c r="AT141" s="25" t="str">
        <f>IF('1. Live'!AX159='check-Jul''26'!AT159,"",'1. Live'!AX159-'check-Jul''26'!AT159)</f>
        <v/>
      </c>
      <c r="AU141" s="25" t="str">
        <f>IF('1. Live'!AY159='check-Jul''26'!AU159,"",'1. Live'!AY159-'check-Jul''26'!AU159)</f>
        <v/>
      </c>
      <c r="AV141" s="25" t="str">
        <f>IF('1. Live'!AZ159='check-Jul''26'!AV159,"",'1. Live'!AZ159-'check-Jul''26'!AV159)</f>
        <v/>
      </c>
      <c r="AW141" s="25" t="str">
        <f>IF('1. Live'!BA159='check-Jul''26'!AW159,"",'1. Live'!BA159-'check-Jul''26'!AW159)</f>
        <v/>
      </c>
      <c r="AX141" s="25" t="str">
        <f>IF('1. Live'!BB159='check-Jul''26'!AX159,"",'1. Live'!BB159-'check-Jul''26'!AX159)</f>
        <v/>
      </c>
      <c r="AY141" s="25" t="str">
        <f>IF('1. Live'!BC159='check-Jul''26'!AY159,"",'1. Live'!BC159-'check-Jul''26'!AY159)</f>
        <v/>
      </c>
      <c r="AZ141" s="25" t="str">
        <f>IF('1. Live'!BD159='check-Jul''26'!AZ159,"",'1. Live'!BD159-'check-Jul''26'!AZ159)</f>
        <v/>
      </c>
      <c r="BA141" s="25" t="str">
        <f>IF('1. Live'!BE159='check-Jul''26'!BA159,"",'1. Live'!BE159-'check-Jul''26'!BA159)</f>
        <v/>
      </c>
      <c r="BB141" s="25" t="str">
        <f>IF('1. Live'!BF159='check-Jul''26'!BB159,"",'1. Live'!BF159-'check-Jul''26'!BB159)</f>
        <v/>
      </c>
      <c r="BC141" s="25" t="str">
        <f>IF('1. Live'!BG159='check-Jul''26'!BC159,"",'1. Live'!BG159-'check-Jul''26'!BC159)</f>
        <v/>
      </c>
      <c r="BD141" s="25" t="str">
        <f>IF('1. Live'!BH159='check-Jul''26'!BD159,"",'1. Live'!BH159-'check-Jul''26'!BD159)</f>
        <v/>
      </c>
      <c r="BE141" s="25" t="str">
        <f>IF('1. Live'!BI159='check-Jul''26'!BE159,"",'1. Live'!BI159-'check-Jul''26'!BE159)</f>
        <v/>
      </c>
      <c r="BF141" s="25" t="str">
        <f>IF('1. Live'!BJ159='check-Jul''26'!BF159,"",'1. Live'!BJ159-'check-Jul''26'!BF159)</f>
        <v/>
      </c>
      <c r="BG141" s="25" t="str">
        <f>IF('1. Live'!BK159='check-Jul''26'!BG159,"",'1. Live'!BK159-'check-Jul''26'!BG159)</f>
        <v/>
      </c>
      <c r="BH141" s="25" t="str">
        <f>IF('1. Live'!BL159='check-Jul''26'!BH159,"",'1. Live'!BL159-'check-Jul''26'!BH159)</f>
        <v/>
      </c>
      <c r="BI141" s="25" t="str">
        <f>IF('1. Live'!BM159='check-Jul''26'!BI159,"",'1. Live'!BM159-'check-Jul''26'!BI159)</f>
        <v/>
      </c>
      <c r="BJ141" s="25" t="str">
        <f>IF('1. Live'!BN159='check-Jul''26'!BJ159,"",'1. Live'!BN159-'check-Jul''26'!BJ159)</f>
        <v/>
      </c>
      <c r="BK141" s="25" t="str">
        <f>IF('1. Live'!BO159='check-Jul''26'!BK159,"",'1. Live'!BO159-'check-Jul''26'!BK159)</f>
        <v/>
      </c>
      <c r="BL141" s="25" t="str">
        <f>IF('1. Live'!BP159='check-Jul''26'!BL159,"",'1. Live'!BP159-'check-Jul''26'!BL159)</f>
        <v/>
      </c>
      <c r="BM141" s="25" t="str">
        <f>IF('1. Live'!BQ159='check-Jul''26'!BM159,"",'1. Live'!BQ159-'check-Jul''26'!BM159)</f>
        <v/>
      </c>
      <c r="BN141" s="25" t="str">
        <f>IF('1. Live'!BR159='check-Jul''26'!BN159,"",'1. Live'!BR159-'check-Jul''26'!BN159)</f>
        <v/>
      </c>
      <c r="BO141" s="25" t="str">
        <f>IF('1. Live'!BS159='check-Jul''26'!BO159,"",'1. Live'!BS159-'check-Jul''26'!BO159)</f>
        <v/>
      </c>
      <c r="BP141" s="25" t="str">
        <f>IF('1. Live'!BT159='check-Jul''26'!BP159,"",'1. Live'!BT159-'check-Jul''26'!BP159)</f>
        <v/>
      </c>
      <c r="BQ141" s="25" t="str">
        <f>IF('1. Live'!BU159='check-Jul''26'!BQ159,"",'1. Live'!BU159-'check-Jul''26'!BQ159)</f>
        <v/>
      </c>
      <c r="BR141" s="25" t="str">
        <f>IF('1. Live'!BV159='check-Jul''26'!BR159,"",'1. Live'!BV159-'check-Jul''26'!BR159)</f>
        <v/>
      </c>
      <c r="BS141" s="25" t="str">
        <f>IF('1. Live'!BW159='check-Jul''26'!BS159,"",'1. Live'!BW159-'check-Jul''26'!BS159)</f>
        <v/>
      </c>
      <c r="BT141" s="25" t="str">
        <f>IF('1. Live'!BX159='check-Jul''26'!BT159,"",'1. Live'!BX159-'check-Jul''26'!BT159)</f>
        <v/>
      </c>
      <c r="BU141" s="25" t="str">
        <f>IF('1. Live'!BY159='check-Jul''26'!BU159,"",'1. Live'!BY159-'check-Jul''26'!BU159)</f>
        <v/>
      </c>
      <c r="BV141" s="25" t="str">
        <f>IF('1. Live'!BZ159='check-Jul''26'!BV159,"",'1. Live'!BZ159-'check-Jul''26'!BV159)</f>
        <v/>
      </c>
      <c r="BW141" s="25" t="str">
        <f>IF('1. Live'!CA159='check-Jul''26'!BW159,"",'1. Live'!CA159-'check-Jul''26'!BW159)</f>
        <v/>
      </c>
      <c r="BX141" s="25" t="str">
        <f>IF('1. Live'!CB159='check-Jul''26'!BX159,"",'1. Live'!CB159-'check-Jul''26'!BX159)</f>
        <v/>
      </c>
      <c r="BY141" s="25" t="str">
        <f>IF('1. Live'!CC159='check-Jul''26'!BY159,"",'1. Live'!CC159-'check-Jul''26'!BY159)</f>
        <v/>
      </c>
      <c r="BZ141" s="25" t="str">
        <f>IF('1. Live'!CD159='check-Jul''26'!BZ159,"",'1. Live'!CD159-'check-Jul''26'!BZ159)</f>
        <v/>
      </c>
      <c r="CA141" s="25" t="str">
        <f>IF('1. Live'!CE159='check-Jul''26'!CA159,"",'1. Live'!CE159-'check-Jul''26'!CA159)</f>
        <v/>
      </c>
      <c r="CB141" s="25" t="str">
        <f>IF('1. Live'!CF159='check-Jul''26'!CB159,"",'1. Live'!CF159-'check-Jul''26'!CB159)</f>
        <v/>
      </c>
      <c r="CC141" s="25" t="str">
        <f>IF('1. Live'!CG159='check-Jul''26'!CC159,"",'1. Live'!CG159-'check-Jul''26'!CC159)</f>
        <v/>
      </c>
      <c r="CD141" s="25" t="str">
        <f>IF('1. Live'!CH159='check-Jul''26'!CD159,"",'1. Live'!CH159-'check-Jul''26'!CD159)</f>
        <v/>
      </c>
      <c r="CE141" s="25" t="str">
        <f>IF('1. Live'!CI159='check-Jul''26'!CE159,"",'1. Live'!CI159-'check-Jul''26'!CE159)</f>
        <v/>
      </c>
      <c r="CF141" s="25" t="str">
        <f>IF('1. Live'!CJ159='check-Jul''26'!CF159,"",'1. Live'!CJ159-'check-Jul''26'!CF159)</f>
        <v/>
      </c>
      <c r="CG141" s="25" t="str">
        <f>IF('1. Live'!CK159='check-Jul''26'!CG159,"",'1. Live'!CK159-'check-Jul''26'!CG159)</f>
        <v/>
      </c>
      <c r="CH141" s="25" t="str">
        <f>IF('1. Live'!CL159='check-Jul''26'!CH159,"",'1. Live'!CL159-'check-Jul''26'!CH159)</f>
        <v/>
      </c>
      <c r="CI141" s="25" t="str">
        <f>IF('1. Live'!CM159='check-Jul''26'!CI159,"",'1. Live'!CM159-'check-Jul''26'!CI159)</f>
        <v/>
      </c>
      <c r="CJ141" s="25" t="str">
        <f>IF('1. Live'!CN159='check-Jul''26'!CJ159,"",'1. Live'!CN159-'check-Jul''26'!CJ159)</f>
        <v/>
      </c>
      <c r="CK141" s="25" t="str">
        <f>IF('1. Live'!CO159='check-Jul''26'!CK159,"",'1. Live'!CO159-'check-Jul''26'!CK159)</f>
        <v/>
      </c>
      <c r="CL141" s="25" t="str">
        <f>IF('1. Live'!CP159='check-Jul''26'!CL159,"",'1. Live'!CP159-'check-Jul''26'!CL159)</f>
        <v/>
      </c>
      <c r="CM141" s="25" t="str">
        <f>IF('1. Live'!CQ159='check-Jul''26'!CM159,"",'1. Live'!CQ159-'check-Jul''26'!CM159)</f>
        <v/>
      </c>
      <c r="CN141" s="25" t="str">
        <f>IF('1. Live'!CR159='check-Jul''26'!CN159,"",'1. Live'!CR159-'check-Jul''26'!CN159)</f>
        <v/>
      </c>
      <c r="CO141" s="25" t="str">
        <f>IF('1. Live'!CS159='check-Jul''26'!CO159,"",'1. Live'!CS159-'check-Jul''26'!CO159)</f>
        <v/>
      </c>
      <c r="CP141" s="25" t="str">
        <f>IF('1. Live'!CT159='check-Jul''26'!CP159,"",'1. Live'!CT159-'check-Jul''26'!CP159)</f>
        <v/>
      </c>
      <c r="CQ141" s="25" t="str">
        <f>IF('1. Live'!CU159='check-Jul''26'!CQ159,"",'1. Live'!CU159-'check-Jul''26'!CQ159)</f>
        <v/>
      </c>
      <c r="CR141" s="25" t="str">
        <f>IF('1. Live'!CV159='check-Jul''26'!CR159,"",'1. Live'!CV159-'check-Jul''26'!CR159)</f>
        <v/>
      </c>
      <c r="CS141" s="25" t="str">
        <f>IF('1. Live'!CW159='check-Jul''26'!CS159,"",'1. Live'!CW159-'check-Jul''26'!CS159)</f>
        <v/>
      </c>
      <c r="CT141" s="25" t="str">
        <f>IF('1. Live'!CX159='check-Jul''26'!CT159,"",'1. Live'!CX159-'check-Jul''26'!CT159)</f>
        <v/>
      </c>
      <c r="CU141" s="25" t="str">
        <f>IF('1. Live'!CY159='check-Jul''26'!CU159,"",'1. Live'!CY159-'check-Jul''26'!CU159)</f>
        <v/>
      </c>
      <c r="CV141" s="25" t="str">
        <f>IF('1. Live'!CZ159='check-Jul''26'!CV159,"",'1. Live'!CZ159-'check-Jul''26'!CV159)</f>
        <v/>
      </c>
    </row>
    <row r="142" spans="17:100" x14ac:dyDescent="0.25">
      <c r="Q142" s="26" t="str">
        <f>IF('1. Live'!N160='check-Jul''26'!I160,"",'1. Live'!N160-'check-Jul''26'!I160)</f>
        <v/>
      </c>
      <c r="R142" s="26" t="str">
        <f>IF('1. Live'!O160='check-Jul''26'!J160,"",'1. Live'!O160-'check-Jul''26'!J160)</f>
        <v/>
      </c>
      <c r="S142" s="26" t="str">
        <f>IF('1. Live'!P160='check-Jul''26'!K160,"",'1. Live'!P160-'check-Jul''26'!K160)</f>
        <v/>
      </c>
      <c r="T142" s="26" t="str">
        <f>IF('1. Live'!Q160='check-Jul''26'!L160,"",'1. Live'!Q160-'check-Jul''26'!L160)</f>
        <v/>
      </c>
      <c r="U142" s="80" t="str">
        <f>IF('1. Live'!R160='check-Jul''26'!M160,"",'1. Live'!R160-'check-Jul''26'!M160)</f>
        <v/>
      </c>
      <c r="V142" s="26" t="str">
        <f>IF('1. Live'!S160='check-Jul''26'!N160,"",'1. Live'!S160-'check-Jul''26'!N160)</f>
        <v/>
      </c>
      <c r="W142" s="25" t="str">
        <f>IF('1. Live'!T160='check-Jul''26'!O160,"",'1. Live'!T160-'check-Jul''26'!O160)</f>
        <v/>
      </c>
      <c r="X142" s="25" t="str">
        <f>IF('1. Live'!U160='check-Jul''26'!Q160,"",'1. Live'!U160-'check-Jul''26'!Q160)</f>
        <v/>
      </c>
      <c r="Y142" s="25" t="str">
        <f>IF('1. Live'!V160='check-Jul''26'!R160,"",'1. Live'!V160-'check-Jul''26'!R160)</f>
        <v/>
      </c>
      <c r="Z142" s="25" t="str">
        <f>IF('1. Live'!W160='check-Jul''26'!S160,"",'1. Live'!W160-'check-Jul''26'!S160)</f>
        <v/>
      </c>
      <c r="AA142" s="25" t="str">
        <f>IF('1. Live'!X160='check-Jul''26'!T160,"",'1. Live'!X160-'check-Jul''26'!T160)</f>
        <v/>
      </c>
      <c r="AB142" s="25" t="str">
        <f>IF('1. Live'!AF160='check-Jul''26'!AB160,"",'1. Live'!AF160-'check-Jul''26'!AB160)</f>
        <v/>
      </c>
      <c r="AC142" s="25" t="str">
        <f>IF('1. Live'!AG160='check-Jul''26'!AC160,"",'1. Live'!AG160-'check-Jul''26'!AC160)</f>
        <v/>
      </c>
      <c r="AD142" s="25" t="str">
        <f>IF('1. Live'!AH160='check-Jul''26'!AD160,"",'1. Live'!AH160-'check-Jul''26'!AD160)</f>
        <v/>
      </c>
      <c r="AE142" s="25" t="str">
        <f>IF('1. Live'!AI160='check-Jul''26'!AE160,"",'1. Live'!AI160-'check-Jul''26'!AE160)</f>
        <v/>
      </c>
      <c r="AF142" s="25" t="str">
        <f>IF('1. Live'!AJ160='check-Jul''26'!AF160,"",'1. Live'!AJ160-'check-Jul''26'!AF160)</f>
        <v/>
      </c>
      <c r="AG142" s="25" t="str">
        <f>IF('1. Live'!AK160='check-Jul''26'!AG160,"",'1. Live'!AK160-'check-Jul''26'!AG160)</f>
        <v/>
      </c>
      <c r="AH142" s="25" t="str">
        <f>IF('1. Live'!AL160='check-Jul''26'!AH160,"",'1. Live'!AL160-'check-Jul''26'!AH160)</f>
        <v/>
      </c>
      <c r="AI142" s="25" t="str">
        <f>IF('1. Live'!AM160='check-Jul''26'!AI160,"",'1. Live'!AM160-'check-Jul''26'!AI160)</f>
        <v/>
      </c>
      <c r="AJ142" s="25" t="str">
        <f>IF('1. Live'!AN160='check-Jul''26'!AJ160,"",'1. Live'!AN160-'check-Jul''26'!AJ160)</f>
        <v/>
      </c>
      <c r="AK142" s="25" t="str">
        <f>IF('1. Live'!AO160='check-Jul''26'!AK160,"",'1. Live'!AO160-'check-Jul''26'!AK160)</f>
        <v/>
      </c>
      <c r="AL142" s="25" t="str">
        <f>IF('1. Live'!AP160='check-Jul''26'!AL160,"",'1. Live'!AP160-'check-Jul''26'!AL160)</f>
        <v/>
      </c>
      <c r="AM142" s="25" t="str">
        <f>IF('1. Live'!AQ160='check-Jul''26'!AM160,"",'1. Live'!AQ160-'check-Jul''26'!AM160)</f>
        <v/>
      </c>
      <c r="AN142" s="25" t="str">
        <f>IF('1. Live'!AR160='check-Jul''26'!AN160,"",'1. Live'!AR160-'check-Jul''26'!AN160)</f>
        <v/>
      </c>
      <c r="AO142" s="25" t="str">
        <f>IF('1. Live'!AS160='check-Jul''26'!AO160,"",'1. Live'!AS160-'check-Jul''26'!AO160)</f>
        <v/>
      </c>
      <c r="AP142" s="25" t="str">
        <f>IF('1. Live'!AT160='check-Jul''26'!AP160,"",'1. Live'!AT160-'check-Jul''26'!AP160)</f>
        <v/>
      </c>
      <c r="AQ142" s="25" t="str">
        <f>IF('1. Live'!AU160='check-Jul''26'!AQ160,"",'1. Live'!AU160-'check-Jul''26'!AQ160)</f>
        <v/>
      </c>
      <c r="AR142" s="25" t="str">
        <f>IF('1. Live'!AV160='check-Jul''26'!AR160,"",'1. Live'!AV160-'check-Jul''26'!AR160)</f>
        <v/>
      </c>
      <c r="AS142" s="25" t="str">
        <f>IF('1. Live'!AW160='check-Jul''26'!AS160,"",'1. Live'!AW160-'check-Jul''26'!AS160)</f>
        <v/>
      </c>
      <c r="AT142" s="25" t="str">
        <f>IF('1. Live'!AX160='check-Jul''26'!AT160,"",'1. Live'!AX160-'check-Jul''26'!AT160)</f>
        <v/>
      </c>
      <c r="AU142" s="25" t="str">
        <f>IF('1. Live'!AY160='check-Jul''26'!AU160,"",'1. Live'!AY160-'check-Jul''26'!AU160)</f>
        <v/>
      </c>
      <c r="AV142" s="25" t="str">
        <f>IF('1. Live'!AZ160='check-Jul''26'!AV160,"",'1. Live'!AZ160-'check-Jul''26'!AV160)</f>
        <v/>
      </c>
      <c r="AW142" s="25" t="str">
        <f>IF('1. Live'!BA160='check-Jul''26'!AW160,"",'1. Live'!BA160-'check-Jul''26'!AW160)</f>
        <v/>
      </c>
      <c r="AX142" s="25" t="str">
        <f>IF('1. Live'!BB160='check-Jul''26'!AX160,"",'1. Live'!BB160-'check-Jul''26'!AX160)</f>
        <v/>
      </c>
      <c r="AY142" s="25" t="str">
        <f>IF('1. Live'!BC160='check-Jul''26'!AY160,"",'1. Live'!BC160-'check-Jul''26'!AY160)</f>
        <v/>
      </c>
      <c r="AZ142" s="25" t="str">
        <f>IF('1. Live'!BD160='check-Jul''26'!AZ160,"",'1. Live'!BD160-'check-Jul''26'!AZ160)</f>
        <v/>
      </c>
      <c r="BA142" s="25" t="str">
        <f>IF('1. Live'!BE160='check-Jul''26'!BA160,"",'1. Live'!BE160-'check-Jul''26'!BA160)</f>
        <v/>
      </c>
      <c r="BB142" s="25" t="str">
        <f>IF('1. Live'!BF160='check-Jul''26'!BB160,"",'1. Live'!BF160-'check-Jul''26'!BB160)</f>
        <v/>
      </c>
      <c r="BC142" s="25" t="str">
        <f>IF('1. Live'!BG160='check-Jul''26'!BC160,"",'1. Live'!BG160-'check-Jul''26'!BC160)</f>
        <v/>
      </c>
      <c r="BD142" s="25" t="str">
        <f>IF('1. Live'!BH160='check-Jul''26'!BD160,"",'1. Live'!BH160-'check-Jul''26'!BD160)</f>
        <v/>
      </c>
      <c r="BE142" s="25" t="str">
        <f>IF('1. Live'!BI160='check-Jul''26'!BE160,"",'1. Live'!BI160-'check-Jul''26'!BE160)</f>
        <v/>
      </c>
      <c r="BF142" s="25" t="str">
        <f>IF('1. Live'!BJ160='check-Jul''26'!BF160,"",'1. Live'!BJ160-'check-Jul''26'!BF160)</f>
        <v/>
      </c>
      <c r="BG142" s="25" t="str">
        <f>IF('1. Live'!BK160='check-Jul''26'!BG160,"",'1. Live'!BK160-'check-Jul''26'!BG160)</f>
        <v/>
      </c>
      <c r="BH142" s="25" t="str">
        <f>IF('1. Live'!BL160='check-Jul''26'!BH160,"",'1. Live'!BL160-'check-Jul''26'!BH160)</f>
        <v/>
      </c>
      <c r="BI142" s="25" t="str">
        <f>IF('1. Live'!BM160='check-Jul''26'!BI160,"",'1. Live'!BM160-'check-Jul''26'!BI160)</f>
        <v/>
      </c>
      <c r="BJ142" s="25" t="str">
        <f>IF('1. Live'!BN160='check-Jul''26'!BJ160,"",'1. Live'!BN160-'check-Jul''26'!BJ160)</f>
        <v/>
      </c>
      <c r="BK142" s="25" t="str">
        <f>IF('1. Live'!BO160='check-Jul''26'!BK160,"",'1. Live'!BO160-'check-Jul''26'!BK160)</f>
        <v/>
      </c>
      <c r="BL142" s="25" t="str">
        <f>IF('1. Live'!BP160='check-Jul''26'!BL160,"",'1. Live'!BP160-'check-Jul''26'!BL160)</f>
        <v/>
      </c>
      <c r="BM142" s="25" t="str">
        <f>IF('1. Live'!BQ160='check-Jul''26'!BM160,"",'1. Live'!BQ160-'check-Jul''26'!BM160)</f>
        <v/>
      </c>
      <c r="BN142" s="25" t="str">
        <f>IF('1. Live'!BR160='check-Jul''26'!BN160,"",'1. Live'!BR160-'check-Jul''26'!BN160)</f>
        <v/>
      </c>
      <c r="BO142" s="25" t="str">
        <f>IF('1. Live'!BS160='check-Jul''26'!BO160,"",'1. Live'!BS160-'check-Jul''26'!BO160)</f>
        <v/>
      </c>
      <c r="BP142" s="25" t="str">
        <f>IF('1. Live'!BT160='check-Jul''26'!BP160,"",'1. Live'!BT160-'check-Jul''26'!BP160)</f>
        <v/>
      </c>
      <c r="BQ142" s="25" t="str">
        <f>IF('1. Live'!BU160='check-Jul''26'!BQ160,"",'1. Live'!BU160-'check-Jul''26'!BQ160)</f>
        <v/>
      </c>
      <c r="BR142" s="25" t="str">
        <f>IF('1. Live'!BV160='check-Jul''26'!BR160,"",'1. Live'!BV160-'check-Jul''26'!BR160)</f>
        <v/>
      </c>
      <c r="BS142" s="25" t="str">
        <f>IF('1. Live'!BW160='check-Jul''26'!BS160,"",'1. Live'!BW160-'check-Jul''26'!BS160)</f>
        <v/>
      </c>
      <c r="BT142" s="25" t="str">
        <f>IF('1. Live'!BX160='check-Jul''26'!BT160,"",'1. Live'!BX160-'check-Jul''26'!BT160)</f>
        <v/>
      </c>
      <c r="BU142" s="25" t="str">
        <f>IF('1. Live'!BY160='check-Jul''26'!BU160,"",'1. Live'!BY160-'check-Jul''26'!BU160)</f>
        <v/>
      </c>
      <c r="BV142" s="25" t="str">
        <f>IF('1. Live'!BZ160='check-Jul''26'!BV160,"",'1. Live'!BZ160-'check-Jul''26'!BV160)</f>
        <v/>
      </c>
      <c r="BW142" s="25" t="str">
        <f>IF('1. Live'!CA160='check-Jul''26'!BW160,"",'1. Live'!CA160-'check-Jul''26'!BW160)</f>
        <v/>
      </c>
      <c r="BX142" s="25" t="str">
        <f>IF('1. Live'!CB160='check-Jul''26'!BX160,"",'1. Live'!CB160-'check-Jul''26'!BX160)</f>
        <v/>
      </c>
      <c r="BY142" s="25" t="str">
        <f>IF('1. Live'!CC160='check-Jul''26'!BY160,"",'1. Live'!CC160-'check-Jul''26'!BY160)</f>
        <v/>
      </c>
      <c r="BZ142" s="25" t="str">
        <f>IF('1. Live'!CD160='check-Jul''26'!BZ160,"",'1. Live'!CD160-'check-Jul''26'!BZ160)</f>
        <v/>
      </c>
      <c r="CA142" s="25" t="str">
        <f>IF('1. Live'!CE160='check-Jul''26'!CA160,"",'1. Live'!CE160-'check-Jul''26'!CA160)</f>
        <v/>
      </c>
      <c r="CB142" s="25" t="str">
        <f>IF('1. Live'!CF160='check-Jul''26'!CB160,"",'1. Live'!CF160-'check-Jul''26'!CB160)</f>
        <v/>
      </c>
      <c r="CC142" s="25" t="str">
        <f>IF('1. Live'!CG160='check-Jul''26'!CC160,"",'1. Live'!CG160-'check-Jul''26'!CC160)</f>
        <v/>
      </c>
      <c r="CD142" s="25" t="str">
        <f>IF('1. Live'!CH160='check-Jul''26'!CD160,"",'1. Live'!CH160-'check-Jul''26'!CD160)</f>
        <v/>
      </c>
      <c r="CE142" s="25" t="str">
        <f>IF('1. Live'!CI160='check-Jul''26'!CE160,"",'1. Live'!CI160-'check-Jul''26'!CE160)</f>
        <v/>
      </c>
      <c r="CF142" s="25" t="str">
        <f>IF('1. Live'!CJ160='check-Jul''26'!CF160,"",'1. Live'!CJ160-'check-Jul''26'!CF160)</f>
        <v/>
      </c>
      <c r="CG142" s="25" t="str">
        <f>IF('1. Live'!CK160='check-Jul''26'!CG160,"",'1. Live'!CK160-'check-Jul''26'!CG160)</f>
        <v/>
      </c>
      <c r="CH142" s="25" t="str">
        <f>IF('1. Live'!CL160='check-Jul''26'!CH160,"",'1. Live'!CL160-'check-Jul''26'!CH160)</f>
        <v/>
      </c>
      <c r="CI142" s="25" t="str">
        <f>IF('1. Live'!CM160='check-Jul''26'!CI160,"",'1. Live'!CM160-'check-Jul''26'!CI160)</f>
        <v/>
      </c>
      <c r="CJ142" s="25" t="str">
        <f>IF('1. Live'!CN160='check-Jul''26'!CJ160,"",'1. Live'!CN160-'check-Jul''26'!CJ160)</f>
        <v/>
      </c>
      <c r="CK142" s="25" t="str">
        <f>IF('1. Live'!CO160='check-Jul''26'!CK160,"",'1. Live'!CO160-'check-Jul''26'!CK160)</f>
        <v/>
      </c>
      <c r="CL142" s="25" t="str">
        <f>IF('1. Live'!CP160='check-Jul''26'!CL160,"",'1. Live'!CP160-'check-Jul''26'!CL160)</f>
        <v/>
      </c>
      <c r="CM142" s="25" t="str">
        <f>IF('1. Live'!CQ160='check-Jul''26'!CM160,"",'1. Live'!CQ160-'check-Jul''26'!CM160)</f>
        <v/>
      </c>
      <c r="CN142" s="25" t="str">
        <f>IF('1. Live'!CR160='check-Jul''26'!CN160,"",'1. Live'!CR160-'check-Jul''26'!CN160)</f>
        <v/>
      </c>
      <c r="CO142" s="25" t="str">
        <f>IF('1. Live'!CS160='check-Jul''26'!CO160,"",'1. Live'!CS160-'check-Jul''26'!CO160)</f>
        <v/>
      </c>
      <c r="CP142" s="25" t="str">
        <f>IF('1. Live'!CT160='check-Jul''26'!CP160,"",'1. Live'!CT160-'check-Jul''26'!CP160)</f>
        <v/>
      </c>
      <c r="CQ142" s="25" t="str">
        <f>IF('1. Live'!CU160='check-Jul''26'!CQ160,"",'1. Live'!CU160-'check-Jul''26'!CQ160)</f>
        <v/>
      </c>
      <c r="CR142" s="25" t="str">
        <f>IF('1. Live'!CV160='check-Jul''26'!CR160,"",'1. Live'!CV160-'check-Jul''26'!CR160)</f>
        <v/>
      </c>
      <c r="CS142" s="25" t="str">
        <f>IF('1. Live'!CW160='check-Jul''26'!CS160,"",'1. Live'!CW160-'check-Jul''26'!CS160)</f>
        <v/>
      </c>
      <c r="CT142" s="25" t="str">
        <f>IF('1. Live'!CX160='check-Jul''26'!CT160,"",'1. Live'!CX160-'check-Jul''26'!CT160)</f>
        <v/>
      </c>
      <c r="CU142" s="25" t="str">
        <f>IF('1. Live'!CY160='check-Jul''26'!CU160,"",'1. Live'!CY160-'check-Jul''26'!CU160)</f>
        <v/>
      </c>
      <c r="CV142" s="25" t="str">
        <f>IF('1. Live'!CZ160='check-Jul''26'!CV160,"",'1. Live'!CZ160-'check-Jul''26'!CV160)</f>
        <v/>
      </c>
    </row>
    <row r="143" spans="17:100" x14ac:dyDescent="0.25">
      <c r="Q143" s="26" t="str">
        <f>IF('1. Live'!N161='check-Jul''26'!I161,"",'1. Live'!N161-'check-Jul''26'!I161)</f>
        <v/>
      </c>
      <c r="R143" s="26" t="str">
        <f>IF('1. Live'!O161='check-Jul''26'!J161,"",'1. Live'!O161-'check-Jul''26'!J161)</f>
        <v/>
      </c>
      <c r="S143" s="26" t="str">
        <f>IF('1. Live'!P161='check-Jul''26'!K161,"",'1. Live'!P161-'check-Jul''26'!K161)</f>
        <v/>
      </c>
      <c r="T143" s="26" t="str">
        <f>IF('1. Live'!Q161='check-Jul''26'!L161,"",'1. Live'!Q161-'check-Jul''26'!L161)</f>
        <v/>
      </c>
      <c r="U143" s="80" t="str">
        <f>IF('1. Live'!R161='check-Jul''26'!M161,"",'1. Live'!R161-'check-Jul''26'!M161)</f>
        <v/>
      </c>
      <c r="V143" s="26" t="str">
        <f>IF('1. Live'!S161='check-Jul''26'!N161,"",'1. Live'!S161-'check-Jul''26'!N161)</f>
        <v/>
      </c>
      <c r="W143" s="25" t="str">
        <f>IF('1. Live'!T161='check-Jul''26'!O161,"",'1. Live'!T161-'check-Jul''26'!O161)</f>
        <v/>
      </c>
      <c r="X143" s="25" t="str">
        <f>IF('1. Live'!U161='check-Jul''26'!Q161,"",'1. Live'!U161-'check-Jul''26'!Q161)</f>
        <v/>
      </c>
      <c r="Y143" s="25" t="str">
        <f>IF('1. Live'!V161='check-Jul''26'!R161,"",'1. Live'!V161-'check-Jul''26'!R161)</f>
        <v/>
      </c>
      <c r="Z143" s="25" t="str">
        <f>IF('1. Live'!W161='check-Jul''26'!S161,"",'1. Live'!W161-'check-Jul''26'!S161)</f>
        <v/>
      </c>
      <c r="AA143" s="25" t="str">
        <f>IF('1. Live'!X161='check-Jul''26'!T161,"",'1. Live'!X161-'check-Jul''26'!T161)</f>
        <v/>
      </c>
      <c r="AB143" s="25" t="str">
        <f>IF('1. Live'!AF161='check-Jul''26'!AB161,"",'1. Live'!AF161-'check-Jul''26'!AB161)</f>
        <v/>
      </c>
      <c r="AC143" s="25" t="str">
        <f>IF('1. Live'!AG161='check-Jul''26'!AC161,"",'1. Live'!AG161-'check-Jul''26'!AC161)</f>
        <v/>
      </c>
      <c r="AD143" s="25" t="str">
        <f>IF('1. Live'!AH161='check-Jul''26'!AD161,"",'1. Live'!AH161-'check-Jul''26'!AD161)</f>
        <v/>
      </c>
      <c r="AE143" s="25" t="str">
        <f>IF('1. Live'!AI161='check-Jul''26'!AE161,"",'1. Live'!AI161-'check-Jul''26'!AE161)</f>
        <v/>
      </c>
      <c r="AF143" s="25" t="str">
        <f>IF('1. Live'!AJ161='check-Jul''26'!AF161,"",'1. Live'!AJ161-'check-Jul''26'!AF161)</f>
        <v/>
      </c>
      <c r="AG143" s="25" t="str">
        <f>IF('1. Live'!AK161='check-Jul''26'!AG161,"",'1. Live'!AK161-'check-Jul''26'!AG161)</f>
        <v/>
      </c>
      <c r="AH143" s="25" t="str">
        <f>IF('1. Live'!AL161='check-Jul''26'!AH161,"",'1. Live'!AL161-'check-Jul''26'!AH161)</f>
        <v/>
      </c>
      <c r="AI143" s="25" t="str">
        <f>IF('1. Live'!AM161='check-Jul''26'!AI161,"",'1. Live'!AM161-'check-Jul''26'!AI161)</f>
        <v/>
      </c>
      <c r="AJ143" s="25" t="str">
        <f>IF('1. Live'!AN161='check-Jul''26'!AJ161,"",'1. Live'!AN161-'check-Jul''26'!AJ161)</f>
        <v/>
      </c>
      <c r="AK143" s="25" t="str">
        <f>IF('1. Live'!AO161='check-Jul''26'!AK161,"",'1. Live'!AO161-'check-Jul''26'!AK161)</f>
        <v/>
      </c>
      <c r="AL143" s="25" t="str">
        <f>IF('1. Live'!AP161='check-Jul''26'!AL161,"",'1. Live'!AP161-'check-Jul''26'!AL161)</f>
        <v/>
      </c>
      <c r="AM143" s="25" t="str">
        <f>IF('1. Live'!AQ161='check-Jul''26'!AM161,"",'1. Live'!AQ161-'check-Jul''26'!AM161)</f>
        <v/>
      </c>
      <c r="AN143" s="25" t="str">
        <f>IF('1. Live'!AR161='check-Jul''26'!AN161,"",'1. Live'!AR161-'check-Jul''26'!AN161)</f>
        <v/>
      </c>
      <c r="AO143" s="25" t="str">
        <f>IF('1. Live'!AS161='check-Jul''26'!AO161,"",'1. Live'!AS161-'check-Jul''26'!AO161)</f>
        <v/>
      </c>
      <c r="AP143" s="25" t="str">
        <f>IF('1. Live'!AT161='check-Jul''26'!AP161,"",'1. Live'!AT161-'check-Jul''26'!AP161)</f>
        <v/>
      </c>
      <c r="AQ143" s="25" t="str">
        <f>IF('1. Live'!AU161='check-Jul''26'!AQ161,"",'1. Live'!AU161-'check-Jul''26'!AQ161)</f>
        <v/>
      </c>
      <c r="AR143" s="25" t="str">
        <f>IF('1. Live'!AV161='check-Jul''26'!AR161,"",'1. Live'!AV161-'check-Jul''26'!AR161)</f>
        <v/>
      </c>
      <c r="AS143" s="25" t="str">
        <f>IF('1. Live'!AW161='check-Jul''26'!AS161,"",'1. Live'!AW161-'check-Jul''26'!AS161)</f>
        <v/>
      </c>
      <c r="AT143" s="25" t="str">
        <f>IF('1. Live'!AX161='check-Jul''26'!AT161,"",'1. Live'!AX161-'check-Jul''26'!AT161)</f>
        <v/>
      </c>
      <c r="AU143" s="25" t="str">
        <f>IF('1. Live'!AY161='check-Jul''26'!AU161,"",'1. Live'!AY161-'check-Jul''26'!AU161)</f>
        <v/>
      </c>
      <c r="AV143" s="25" t="str">
        <f>IF('1. Live'!AZ161='check-Jul''26'!AV161,"",'1. Live'!AZ161-'check-Jul''26'!AV161)</f>
        <v/>
      </c>
      <c r="AW143" s="25" t="str">
        <f>IF('1. Live'!BA161='check-Jul''26'!AW161,"",'1. Live'!BA161-'check-Jul''26'!AW161)</f>
        <v/>
      </c>
      <c r="AX143" s="25" t="str">
        <f>IF('1. Live'!BB161='check-Jul''26'!AX161,"",'1. Live'!BB161-'check-Jul''26'!AX161)</f>
        <v/>
      </c>
      <c r="AY143" s="25" t="str">
        <f>IF('1. Live'!BC161='check-Jul''26'!AY161,"",'1. Live'!BC161-'check-Jul''26'!AY161)</f>
        <v/>
      </c>
      <c r="AZ143" s="25" t="str">
        <f>IF('1. Live'!BD161='check-Jul''26'!AZ161,"",'1. Live'!BD161-'check-Jul''26'!AZ161)</f>
        <v/>
      </c>
      <c r="BA143" s="25" t="str">
        <f>IF('1. Live'!BE161='check-Jul''26'!BA161,"",'1. Live'!BE161-'check-Jul''26'!BA161)</f>
        <v/>
      </c>
      <c r="BB143" s="25" t="str">
        <f>IF('1. Live'!BF161='check-Jul''26'!BB161,"",'1. Live'!BF161-'check-Jul''26'!BB161)</f>
        <v/>
      </c>
      <c r="BC143" s="25" t="str">
        <f>IF('1. Live'!BG161='check-Jul''26'!BC161,"",'1. Live'!BG161-'check-Jul''26'!BC161)</f>
        <v/>
      </c>
      <c r="BD143" s="25" t="str">
        <f>IF('1. Live'!BH161='check-Jul''26'!BD161,"",'1. Live'!BH161-'check-Jul''26'!BD161)</f>
        <v/>
      </c>
      <c r="BE143" s="25" t="str">
        <f>IF('1. Live'!BI161='check-Jul''26'!BE161,"",'1. Live'!BI161-'check-Jul''26'!BE161)</f>
        <v/>
      </c>
      <c r="BF143" s="25" t="str">
        <f>IF('1. Live'!BJ161='check-Jul''26'!BF161,"",'1. Live'!BJ161-'check-Jul''26'!BF161)</f>
        <v/>
      </c>
      <c r="BG143" s="25" t="str">
        <f>IF('1. Live'!BK161='check-Jul''26'!BG161,"",'1. Live'!BK161-'check-Jul''26'!BG161)</f>
        <v/>
      </c>
      <c r="BH143" s="25" t="str">
        <f>IF('1. Live'!BL161='check-Jul''26'!BH161,"",'1. Live'!BL161-'check-Jul''26'!BH161)</f>
        <v/>
      </c>
      <c r="BI143" s="25" t="str">
        <f>IF('1. Live'!BM161='check-Jul''26'!BI161,"",'1. Live'!BM161-'check-Jul''26'!BI161)</f>
        <v/>
      </c>
      <c r="BJ143" s="25" t="str">
        <f>IF('1. Live'!BN161='check-Jul''26'!BJ161,"",'1. Live'!BN161-'check-Jul''26'!BJ161)</f>
        <v/>
      </c>
      <c r="BK143" s="25" t="str">
        <f>IF('1. Live'!BO161='check-Jul''26'!BK161,"",'1. Live'!BO161-'check-Jul''26'!BK161)</f>
        <v/>
      </c>
      <c r="BL143" s="25" t="str">
        <f>IF('1. Live'!BP161='check-Jul''26'!BL161,"",'1. Live'!BP161-'check-Jul''26'!BL161)</f>
        <v/>
      </c>
      <c r="BM143" s="25" t="str">
        <f>IF('1. Live'!BQ161='check-Jul''26'!BM161,"",'1. Live'!BQ161-'check-Jul''26'!BM161)</f>
        <v/>
      </c>
      <c r="BN143" s="25" t="str">
        <f>IF('1. Live'!BR161='check-Jul''26'!BN161,"",'1. Live'!BR161-'check-Jul''26'!BN161)</f>
        <v/>
      </c>
      <c r="BO143" s="25" t="str">
        <f>IF('1. Live'!BS161='check-Jul''26'!BO161,"",'1. Live'!BS161-'check-Jul''26'!BO161)</f>
        <v/>
      </c>
      <c r="BP143" s="25" t="str">
        <f>IF('1. Live'!BT161='check-Jul''26'!BP161,"",'1. Live'!BT161-'check-Jul''26'!BP161)</f>
        <v/>
      </c>
      <c r="BQ143" s="25" t="str">
        <f>IF('1. Live'!BU161='check-Jul''26'!BQ161,"",'1. Live'!BU161-'check-Jul''26'!BQ161)</f>
        <v/>
      </c>
      <c r="BR143" s="25" t="str">
        <f>IF('1. Live'!BV161='check-Jul''26'!BR161,"",'1. Live'!BV161-'check-Jul''26'!BR161)</f>
        <v/>
      </c>
      <c r="BS143" s="25" t="str">
        <f>IF('1. Live'!BW161='check-Jul''26'!BS161,"",'1. Live'!BW161-'check-Jul''26'!BS161)</f>
        <v/>
      </c>
      <c r="BT143" s="25" t="str">
        <f>IF('1. Live'!BX161='check-Jul''26'!BT161,"",'1. Live'!BX161-'check-Jul''26'!BT161)</f>
        <v/>
      </c>
      <c r="BU143" s="25" t="str">
        <f>IF('1. Live'!BY161='check-Jul''26'!BU161,"",'1. Live'!BY161-'check-Jul''26'!BU161)</f>
        <v/>
      </c>
      <c r="BV143" s="25" t="str">
        <f>IF('1. Live'!BZ161='check-Jul''26'!BV161,"",'1. Live'!BZ161-'check-Jul''26'!BV161)</f>
        <v/>
      </c>
      <c r="BW143" s="25" t="str">
        <f>IF('1. Live'!CA161='check-Jul''26'!BW161,"",'1. Live'!CA161-'check-Jul''26'!BW161)</f>
        <v/>
      </c>
      <c r="BX143" s="25" t="str">
        <f>IF('1. Live'!CB161='check-Jul''26'!BX161,"",'1. Live'!CB161-'check-Jul''26'!BX161)</f>
        <v/>
      </c>
      <c r="BY143" s="25" t="str">
        <f>IF('1. Live'!CC161='check-Jul''26'!BY161,"",'1. Live'!CC161-'check-Jul''26'!BY161)</f>
        <v/>
      </c>
      <c r="BZ143" s="25" t="str">
        <f>IF('1. Live'!CD161='check-Jul''26'!BZ161,"",'1. Live'!CD161-'check-Jul''26'!BZ161)</f>
        <v/>
      </c>
      <c r="CA143" s="25" t="str">
        <f>IF('1. Live'!CE161='check-Jul''26'!CA161,"",'1. Live'!CE161-'check-Jul''26'!CA161)</f>
        <v/>
      </c>
      <c r="CB143" s="25" t="str">
        <f>IF('1. Live'!CF161='check-Jul''26'!CB161,"",'1. Live'!CF161-'check-Jul''26'!CB161)</f>
        <v/>
      </c>
      <c r="CC143" s="25" t="str">
        <f>IF('1. Live'!CG161='check-Jul''26'!CC161,"",'1. Live'!CG161-'check-Jul''26'!CC161)</f>
        <v/>
      </c>
      <c r="CD143" s="25" t="str">
        <f>IF('1. Live'!CH161='check-Jul''26'!CD161,"",'1. Live'!CH161-'check-Jul''26'!CD161)</f>
        <v/>
      </c>
      <c r="CE143" s="25" t="str">
        <f>IF('1. Live'!CI161='check-Jul''26'!CE161,"",'1. Live'!CI161-'check-Jul''26'!CE161)</f>
        <v/>
      </c>
      <c r="CF143" s="25" t="str">
        <f>IF('1. Live'!CJ161='check-Jul''26'!CF161,"",'1. Live'!CJ161-'check-Jul''26'!CF161)</f>
        <v/>
      </c>
      <c r="CG143" s="25" t="str">
        <f>IF('1. Live'!CK161='check-Jul''26'!CG161,"",'1. Live'!CK161-'check-Jul''26'!CG161)</f>
        <v/>
      </c>
      <c r="CH143" s="25" t="str">
        <f>IF('1. Live'!CL161='check-Jul''26'!CH161,"",'1. Live'!CL161-'check-Jul''26'!CH161)</f>
        <v/>
      </c>
      <c r="CI143" s="25" t="str">
        <f>IF('1. Live'!CM161='check-Jul''26'!CI161,"",'1. Live'!CM161-'check-Jul''26'!CI161)</f>
        <v/>
      </c>
      <c r="CJ143" s="25" t="str">
        <f>IF('1. Live'!CN161='check-Jul''26'!CJ161,"",'1. Live'!CN161-'check-Jul''26'!CJ161)</f>
        <v/>
      </c>
      <c r="CK143" s="25" t="str">
        <f>IF('1. Live'!CO161='check-Jul''26'!CK161,"",'1. Live'!CO161-'check-Jul''26'!CK161)</f>
        <v/>
      </c>
      <c r="CL143" s="25" t="str">
        <f>IF('1. Live'!CP161='check-Jul''26'!CL161,"",'1. Live'!CP161-'check-Jul''26'!CL161)</f>
        <v/>
      </c>
      <c r="CM143" s="25" t="str">
        <f>IF('1. Live'!CQ161='check-Jul''26'!CM161,"",'1. Live'!CQ161-'check-Jul''26'!CM161)</f>
        <v/>
      </c>
      <c r="CN143" s="25" t="str">
        <f>IF('1. Live'!CR161='check-Jul''26'!CN161,"",'1. Live'!CR161-'check-Jul''26'!CN161)</f>
        <v/>
      </c>
      <c r="CO143" s="25" t="str">
        <f>IF('1. Live'!CS161='check-Jul''26'!CO161,"",'1. Live'!CS161-'check-Jul''26'!CO161)</f>
        <v/>
      </c>
      <c r="CP143" s="25" t="str">
        <f>IF('1. Live'!CT161='check-Jul''26'!CP161,"",'1. Live'!CT161-'check-Jul''26'!CP161)</f>
        <v/>
      </c>
      <c r="CQ143" s="25" t="str">
        <f>IF('1. Live'!CU161='check-Jul''26'!CQ161,"",'1. Live'!CU161-'check-Jul''26'!CQ161)</f>
        <v/>
      </c>
      <c r="CR143" s="25" t="str">
        <f>IF('1. Live'!CV161='check-Jul''26'!CR161,"",'1. Live'!CV161-'check-Jul''26'!CR161)</f>
        <v/>
      </c>
      <c r="CS143" s="25" t="str">
        <f>IF('1. Live'!CW161='check-Jul''26'!CS161,"",'1. Live'!CW161-'check-Jul''26'!CS161)</f>
        <v/>
      </c>
      <c r="CT143" s="25" t="str">
        <f>IF('1. Live'!CX161='check-Jul''26'!CT161,"",'1. Live'!CX161-'check-Jul''26'!CT161)</f>
        <v/>
      </c>
      <c r="CU143" s="25" t="str">
        <f>IF('1. Live'!CY161='check-Jul''26'!CU161,"",'1. Live'!CY161-'check-Jul''26'!CU161)</f>
        <v/>
      </c>
      <c r="CV143" s="25" t="str">
        <f>IF('1. Live'!CZ161='check-Jul''26'!CV161,"",'1. Live'!CZ161-'check-Jul''26'!CV161)</f>
        <v/>
      </c>
    </row>
    <row r="144" spans="17:100" x14ac:dyDescent="0.25">
      <c r="Q144" s="26" t="str">
        <f>IF('1. Live'!N162='check-Jul''26'!I162,"",'1. Live'!N162-'check-Jul''26'!I162)</f>
        <v/>
      </c>
      <c r="R144" s="26" t="str">
        <f>IF('1. Live'!O162='check-Jul''26'!J162,"",'1. Live'!O162-'check-Jul''26'!J162)</f>
        <v/>
      </c>
      <c r="S144" s="26" t="str">
        <f>IF('1. Live'!P162='check-Jul''26'!K162,"",'1. Live'!P162-'check-Jul''26'!K162)</f>
        <v/>
      </c>
      <c r="T144" s="26" t="str">
        <f>IF('1. Live'!Q162='check-Jul''26'!L162,"",'1. Live'!Q162-'check-Jul''26'!L162)</f>
        <v/>
      </c>
      <c r="U144" s="80" t="str">
        <f>IF('1. Live'!R162='check-Jul''26'!M162,"",'1. Live'!R162-'check-Jul''26'!M162)</f>
        <v/>
      </c>
      <c r="V144" s="26" t="str">
        <f>IF('1. Live'!S162='check-Jul''26'!N162,"",'1. Live'!S162-'check-Jul''26'!N162)</f>
        <v/>
      </c>
      <c r="W144" s="25" t="str">
        <f>IF('1. Live'!T162='check-Jul''26'!O162,"",'1. Live'!T162-'check-Jul''26'!O162)</f>
        <v/>
      </c>
      <c r="X144" s="25" t="str">
        <f>IF('1. Live'!U162='check-Jul''26'!Q162,"",'1. Live'!U162-'check-Jul''26'!Q162)</f>
        <v/>
      </c>
      <c r="Y144" s="25" t="str">
        <f>IF('1. Live'!V162='check-Jul''26'!R162,"",'1. Live'!V162-'check-Jul''26'!R162)</f>
        <v/>
      </c>
      <c r="Z144" s="25" t="str">
        <f>IF('1. Live'!W162='check-Jul''26'!S162,"",'1. Live'!W162-'check-Jul''26'!S162)</f>
        <v/>
      </c>
      <c r="AA144" s="25" t="str">
        <f>IF('1. Live'!X162='check-Jul''26'!T162,"",'1. Live'!X162-'check-Jul''26'!T162)</f>
        <v/>
      </c>
      <c r="AB144" s="25" t="str">
        <f>IF('1. Live'!AF162='check-Jul''26'!AB162,"",'1. Live'!AF162-'check-Jul''26'!AB162)</f>
        <v/>
      </c>
      <c r="AC144" s="25" t="str">
        <f>IF('1. Live'!AG162='check-Jul''26'!AC162,"",'1. Live'!AG162-'check-Jul''26'!AC162)</f>
        <v/>
      </c>
      <c r="AD144" s="25" t="str">
        <f>IF('1. Live'!AH162='check-Jul''26'!AD162,"",'1. Live'!AH162-'check-Jul''26'!AD162)</f>
        <v/>
      </c>
      <c r="AE144" s="25" t="str">
        <f>IF('1. Live'!AI162='check-Jul''26'!AE162,"",'1. Live'!AI162-'check-Jul''26'!AE162)</f>
        <v/>
      </c>
      <c r="AF144" s="25" t="str">
        <f>IF('1. Live'!AJ162='check-Jul''26'!AF162,"",'1. Live'!AJ162-'check-Jul''26'!AF162)</f>
        <v/>
      </c>
      <c r="AG144" s="25" t="str">
        <f>IF('1. Live'!AK162='check-Jul''26'!AG162,"",'1. Live'!AK162-'check-Jul''26'!AG162)</f>
        <v/>
      </c>
      <c r="AH144" s="25" t="str">
        <f>IF('1. Live'!AL162='check-Jul''26'!AH162,"",'1. Live'!AL162-'check-Jul''26'!AH162)</f>
        <v/>
      </c>
      <c r="AI144" s="25" t="str">
        <f>IF('1. Live'!AM162='check-Jul''26'!AI162,"",'1. Live'!AM162-'check-Jul''26'!AI162)</f>
        <v/>
      </c>
      <c r="AJ144" s="25" t="str">
        <f>IF('1. Live'!AN162='check-Jul''26'!AJ162,"",'1. Live'!AN162-'check-Jul''26'!AJ162)</f>
        <v/>
      </c>
      <c r="AK144" s="25" t="str">
        <f>IF('1. Live'!AO162='check-Jul''26'!AK162,"",'1. Live'!AO162-'check-Jul''26'!AK162)</f>
        <v/>
      </c>
      <c r="AL144" s="25" t="str">
        <f>IF('1. Live'!AP162='check-Jul''26'!AL162,"",'1. Live'!AP162-'check-Jul''26'!AL162)</f>
        <v/>
      </c>
      <c r="AM144" s="25" t="str">
        <f>IF('1. Live'!AQ162='check-Jul''26'!AM162,"",'1. Live'!AQ162-'check-Jul''26'!AM162)</f>
        <v/>
      </c>
      <c r="AN144" s="25" t="str">
        <f>IF('1. Live'!AR162='check-Jul''26'!AN162,"",'1. Live'!AR162-'check-Jul''26'!AN162)</f>
        <v/>
      </c>
      <c r="AO144" s="25" t="str">
        <f>IF('1. Live'!AS162='check-Jul''26'!AO162,"",'1. Live'!AS162-'check-Jul''26'!AO162)</f>
        <v/>
      </c>
      <c r="AP144" s="25" t="str">
        <f>IF('1. Live'!AT162='check-Jul''26'!AP162,"",'1. Live'!AT162-'check-Jul''26'!AP162)</f>
        <v/>
      </c>
      <c r="AQ144" s="25" t="str">
        <f>IF('1. Live'!AU162='check-Jul''26'!AQ162,"",'1. Live'!AU162-'check-Jul''26'!AQ162)</f>
        <v/>
      </c>
      <c r="AR144" s="25" t="str">
        <f>IF('1. Live'!AV162='check-Jul''26'!AR162,"",'1. Live'!AV162-'check-Jul''26'!AR162)</f>
        <v/>
      </c>
      <c r="AS144" s="25" t="str">
        <f>IF('1. Live'!AW162='check-Jul''26'!AS162,"",'1. Live'!AW162-'check-Jul''26'!AS162)</f>
        <v/>
      </c>
      <c r="AT144" s="25" t="str">
        <f>IF('1. Live'!AX162='check-Jul''26'!AT162,"",'1. Live'!AX162-'check-Jul''26'!AT162)</f>
        <v/>
      </c>
      <c r="AU144" s="25" t="str">
        <f>IF('1. Live'!AY162='check-Jul''26'!AU162,"",'1. Live'!AY162-'check-Jul''26'!AU162)</f>
        <v/>
      </c>
      <c r="AV144" s="25" t="str">
        <f>IF('1. Live'!AZ162='check-Jul''26'!AV162,"",'1. Live'!AZ162-'check-Jul''26'!AV162)</f>
        <v/>
      </c>
      <c r="AW144" s="25" t="str">
        <f>IF('1. Live'!BA162='check-Jul''26'!AW162,"",'1. Live'!BA162-'check-Jul''26'!AW162)</f>
        <v/>
      </c>
      <c r="AX144" s="25" t="str">
        <f>IF('1. Live'!BB162='check-Jul''26'!AX162,"",'1. Live'!BB162-'check-Jul''26'!AX162)</f>
        <v/>
      </c>
      <c r="AY144" s="25" t="str">
        <f>IF('1. Live'!BC162='check-Jul''26'!AY162,"",'1. Live'!BC162-'check-Jul''26'!AY162)</f>
        <v/>
      </c>
      <c r="AZ144" s="25" t="str">
        <f>IF('1. Live'!BD162='check-Jul''26'!AZ162,"",'1. Live'!BD162-'check-Jul''26'!AZ162)</f>
        <v/>
      </c>
      <c r="BA144" s="25" t="str">
        <f>IF('1. Live'!BE162='check-Jul''26'!BA162,"",'1. Live'!BE162-'check-Jul''26'!BA162)</f>
        <v/>
      </c>
      <c r="BB144" s="25" t="str">
        <f>IF('1. Live'!BF162='check-Jul''26'!BB162,"",'1. Live'!BF162-'check-Jul''26'!BB162)</f>
        <v/>
      </c>
      <c r="BC144" s="25" t="str">
        <f>IF('1. Live'!BG162='check-Jul''26'!BC162,"",'1. Live'!BG162-'check-Jul''26'!BC162)</f>
        <v/>
      </c>
      <c r="BD144" s="25" t="str">
        <f>IF('1. Live'!BH162='check-Jul''26'!BD162,"",'1. Live'!BH162-'check-Jul''26'!BD162)</f>
        <v/>
      </c>
      <c r="BE144" s="25" t="str">
        <f>IF('1. Live'!BI162='check-Jul''26'!BE162,"",'1. Live'!BI162-'check-Jul''26'!BE162)</f>
        <v/>
      </c>
      <c r="BF144" s="25" t="str">
        <f>IF('1. Live'!BJ162='check-Jul''26'!BF162,"",'1. Live'!BJ162-'check-Jul''26'!BF162)</f>
        <v/>
      </c>
      <c r="BG144" s="25" t="str">
        <f>IF('1. Live'!BK162='check-Jul''26'!BG162,"",'1. Live'!BK162-'check-Jul''26'!BG162)</f>
        <v/>
      </c>
      <c r="BH144" s="25" t="str">
        <f>IF('1. Live'!BL162='check-Jul''26'!BH162,"",'1. Live'!BL162-'check-Jul''26'!BH162)</f>
        <v/>
      </c>
      <c r="BI144" s="25" t="str">
        <f>IF('1. Live'!BM162='check-Jul''26'!BI162,"",'1. Live'!BM162-'check-Jul''26'!BI162)</f>
        <v/>
      </c>
      <c r="BJ144" s="25" t="str">
        <f>IF('1. Live'!BN162='check-Jul''26'!BJ162,"",'1. Live'!BN162-'check-Jul''26'!BJ162)</f>
        <v/>
      </c>
      <c r="BK144" s="25" t="str">
        <f>IF('1. Live'!BO162='check-Jul''26'!BK162,"",'1. Live'!BO162-'check-Jul''26'!BK162)</f>
        <v/>
      </c>
      <c r="BL144" s="25" t="str">
        <f>IF('1. Live'!BP162='check-Jul''26'!BL162,"",'1. Live'!BP162-'check-Jul''26'!BL162)</f>
        <v/>
      </c>
      <c r="BM144" s="25" t="str">
        <f>IF('1. Live'!BQ162='check-Jul''26'!BM162,"",'1. Live'!BQ162-'check-Jul''26'!BM162)</f>
        <v/>
      </c>
      <c r="BN144" s="25" t="str">
        <f>IF('1. Live'!BR162='check-Jul''26'!BN162,"",'1. Live'!BR162-'check-Jul''26'!BN162)</f>
        <v/>
      </c>
      <c r="BO144" s="25" t="str">
        <f>IF('1. Live'!BS162='check-Jul''26'!BO162,"",'1. Live'!BS162-'check-Jul''26'!BO162)</f>
        <v/>
      </c>
      <c r="BP144" s="25" t="str">
        <f>IF('1. Live'!BT162='check-Jul''26'!BP162,"",'1. Live'!BT162-'check-Jul''26'!BP162)</f>
        <v/>
      </c>
      <c r="BQ144" s="25" t="str">
        <f>IF('1. Live'!BU162='check-Jul''26'!BQ162,"",'1. Live'!BU162-'check-Jul''26'!BQ162)</f>
        <v/>
      </c>
      <c r="BR144" s="25" t="str">
        <f>IF('1. Live'!BV162='check-Jul''26'!BR162,"",'1. Live'!BV162-'check-Jul''26'!BR162)</f>
        <v/>
      </c>
      <c r="BS144" s="25" t="str">
        <f>IF('1. Live'!BW162='check-Jul''26'!BS162,"",'1. Live'!BW162-'check-Jul''26'!BS162)</f>
        <v/>
      </c>
      <c r="BT144" s="25" t="str">
        <f>IF('1. Live'!BX162='check-Jul''26'!BT162,"",'1. Live'!BX162-'check-Jul''26'!BT162)</f>
        <v/>
      </c>
      <c r="BU144" s="25" t="str">
        <f>IF('1. Live'!BY162='check-Jul''26'!BU162,"",'1. Live'!BY162-'check-Jul''26'!BU162)</f>
        <v/>
      </c>
      <c r="BV144" s="25" t="str">
        <f>IF('1. Live'!BZ162='check-Jul''26'!BV162,"",'1. Live'!BZ162-'check-Jul''26'!BV162)</f>
        <v/>
      </c>
      <c r="BW144" s="25" t="str">
        <f>IF('1. Live'!CA162='check-Jul''26'!BW162,"",'1. Live'!CA162-'check-Jul''26'!BW162)</f>
        <v/>
      </c>
      <c r="BX144" s="25" t="str">
        <f>IF('1. Live'!CB162='check-Jul''26'!BX162,"",'1. Live'!CB162-'check-Jul''26'!BX162)</f>
        <v/>
      </c>
      <c r="BY144" s="25" t="str">
        <f>IF('1. Live'!CC162='check-Jul''26'!BY162,"",'1. Live'!CC162-'check-Jul''26'!BY162)</f>
        <v/>
      </c>
      <c r="BZ144" s="25" t="str">
        <f>IF('1. Live'!CD162='check-Jul''26'!BZ162,"",'1. Live'!CD162-'check-Jul''26'!BZ162)</f>
        <v/>
      </c>
      <c r="CA144" s="25" t="str">
        <f>IF('1. Live'!CE162='check-Jul''26'!CA162,"",'1. Live'!CE162-'check-Jul''26'!CA162)</f>
        <v/>
      </c>
      <c r="CB144" s="25" t="str">
        <f>IF('1. Live'!CF162='check-Jul''26'!CB162,"",'1. Live'!CF162-'check-Jul''26'!CB162)</f>
        <v/>
      </c>
      <c r="CC144" s="25" t="str">
        <f>IF('1. Live'!CG162='check-Jul''26'!CC162,"",'1. Live'!CG162-'check-Jul''26'!CC162)</f>
        <v/>
      </c>
      <c r="CD144" s="25" t="str">
        <f>IF('1. Live'!CH162='check-Jul''26'!CD162,"",'1. Live'!CH162-'check-Jul''26'!CD162)</f>
        <v/>
      </c>
      <c r="CE144" s="25" t="str">
        <f>IF('1. Live'!CI162='check-Jul''26'!CE162,"",'1. Live'!CI162-'check-Jul''26'!CE162)</f>
        <v/>
      </c>
      <c r="CF144" s="25" t="str">
        <f>IF('1. Live'!CJ162='check-Jul''26'!CF162,"",'1. Live'!CJ162-'check-Jul''26'!CF162)</f>
        <v/>
      </c>
      <c r="CG144" s="25" t="str">
        <f>IF('1. Live'!CK162='check-Jul''26'!CG162,"",'1. Live'!CK162-'check-Jul''26'!CG162)</f>
        <v/>
      </c>
      <c r="CH144" s="25" t="str">
        <f>IF('1. Live'!CL162='check-Jul''26'!CH162,"",'1. Live'!CL162-'check-Jul''26'!CH162)</f>
        <v/>
      </c>
      <c r="CI144" s="25" t="str">
        <f>IF('1. Live'!CM162='check-Jul''26'!CI162,"",'1. Live'!CM162-'check-Jul''26'!CI162)</f>
        <v/>
      </c>
      <c r="CJ144" s="25" t="str">
        <f>IF('1. Live'!CN162='check-Jul''26'!CJ162,"",'1. Live'!CN162-'check-Jul''26'!CJ162)</f>
        <v/>
      </c>
      <c r="CK144" s="25" t="str">
        <f>IF('1. Live'!CO162='check-Jul''26'!CK162,"",'1. Live'!CO162-'check-Jul''26'!CK162)</f>
        <v/>
      </c>
      <c r="CL144" s="25" t="str">
        <f>IF('1. Live'!CP162='check-Jul''26'!CL162,"",'1. Live'!CP162-'check-Jul''26'!CL162)</f>
        <v/>
      </c>
      <c r="CM144" s="25" t="str">
        <f>IF('1. Live'!CQ162='check-Jul''26'!CM162,"",'1. Live'!CQ162-'check-Jul''26'!CM162)</f>
        <v/>
      </c>
      <c r="CN144" s="25" t="str">
        <f>IF('1. Live'!CR162='check-Jul''26'!CN162,"",'1. Live'!CR162-'check-Jul''26'!CN162)</f>
        <v/>
      </c>
      <c r="CO144" s="25" t="str">
        <f>IF('1. Live'!CS162='check-Jul''26'!CO162,"",'1. Live'!CS162-'check-Jul''26'!CO162)</f>
        <v/>
      </c>
      <c r="CP144" s="25" t="str">
        <f>IF('1. Live'!CT162='check-Jul''26'!CP162,"",'1. Live'!CT162-'check-Jul''26'!CP162)</f>
        <v/>
      </c>
      <c r="CQ144" s="25" t="str">
        <f>IF('1. Live'!CU162='check-Jul''26'!CQ162,"",'1. Live'!CU162-'check-Jul''26'!CQ162)</f>
        <v/>
      </c>
      <c r="CR144" s="25" t="str">
        <f>IF('1. Live'!CV162='check-Jul''26'!CR162,"",'1. Live'!CV162-'check-Jul''26'!CR162)</f>
        <v/>
      </c>
      <c r="CS144" s="25" t="str">
        <f>IF('1. Live'!CW162='check-Jul''26'!CS162,"",'1. Live'!CW162-'check-Jul''26'!CS162)</f>
        <v/>
      </c>
      <c r="CT144" s="25" t="str">
        <f>IF('1. Live'!CX162='check-Jul''26'!CT162,"",'1. Live'!CX162-'check-Jul''26'!CT162)</f>
        <v/>
      </c>
      <c r="CU144" s="25" t="str">
        <f>IF('1. Live'!CY162='check-Jul''26'!CU162,"",'1. Live'!CY162-'check-Jul''26'!CU162)</f>
        <v/>
      </c>
      <c r="CV144" s="25" t="str">
        <f>IF('1. Live'!CZ162='check-Jul''26'!CV162,"",'1. Live'!CZ162-'check-Jul''26'!CV162)</f>
        <v/>
      </c>
    </row>
    <row r="145" spans="17:100" x14ac:dyDescent="0.25">
      <c r="Q145" s="26" t="str">
        <f>IF('1. Live'!N163='check-Jul''26'!I163,"",'1. Live'!N163-'check-Jul''26'!I163)</f>
        <v/>
      </c>
      <c r="R145" s="26" t="str">
        <f>IF('1. Live'!O163='check-Jul''26'!J163,"",'1. Live'!O163-'check-Jul''26'!J163)</f>
        <v/>
      </c>
      <c r="S145" s="26" t="str">
        <f>IF('1. Live'!P163='check-Jul''26'!K163,"",'1. Live'!P163-'check-Jul''26'!K163)</f>
        <v/>
      </c>
      <c r="T145" s="26" t="str">
        <f>IF('1. Live'!Q163='check-Jul''26'!L163,"",'1. Live'!Q163-'check-Jul''26'!L163)</f>
        <v/>
      </c>
      <c r="U145" s="80" t="str">
        <f>IF('1. Live'!R163='check-Jul''26'!M163,"",'1. Live'!R163-'check-Jul''26'!M163)</f>
        <v/>
      </c>
      <c r="V145" s="26" t="str">
        <f>IF('1. Live'!S163='check-Jul''26'!N163,"",'1. Live'!S163-'check-Jul''26'!N163)</f>
        <v/>
      </c>
      <c r="W145" s="25" t="str">
        <f>IF('1. Live'!T163='check-Jul''26'!O163,"",'1. Live'!T163-'check-Jul''26'!O163)</f>
        <v/>
      </c>
      <c r="X145" s="25" t="str">
        <f>IF('1. Live'!U163='check-Jul''26'!Q163,"",'1. Live'!U163-'check-Jul''26'!Q163)</f>
        <v/>
      </c>
      <c r="Y145" s="25" t="str">
        <f>IF('1. Live'!V163='check-Jul''26'!R163,"",'1. Live'!V163-'check-Jul''26'!R163)</f>
        <v/>
      </c>
      <c r="Z145" s="25" t="str">
        <f>IF('1. Live'!W163='check-Jul''26'!S163,"",'1. Live'!W163-'check-Jul''26'!S163)</f>
        <v/>
      </c>
      <c r="AA145" s="25" t="str">
        <f>IF('1. Live'!X163='check-Jul''26'!T163,"",'1. Live'!X163-'check-Jul''26'!T163)</f>
        <v/>
      </c>
      <c r="AB145" s="25" t="str">
        <f>IF('1. Live'!AF163='check-Jul''26'!AB163,"",'1. Live'!AF163-'check-Jul''26'!AB163)</f>
        <v/>
      </c>
      <c r="AC145" s="25" t="str">
        <f>IF('1. Live'!AG163='check-Jul''26'!AC163,"",'1. Live'!AG163-'check-Jul''26'!AC163)</f>
        <v/>
      </c>
      <c r="AD145" s="25" t="str">
        <f>IF('1. Live'!AH163='check-Jul''26'!AD163,"",'1. Live'!AH163-'check-Jul''26'!AD163)</f>
        <v/>
      </c>
      <c r="AE145" s="25" t="str">
        <f>IF('1. Live'!AI163='check-Jul''26'!AE163,"",'1. Live'!AI163-'check-Jul''26'!AE163)</f>
        <v/>
      </c>
      <c r="AF145" s="25" t="str">
        <f>IF('1. Live'!AJ163='check-Jul''26'!AF163,"",'1. Live'!AJ163-'check-Jul''26'!AF163)</f>
        <v/>
      </c>
      <c r="AG145" s="25" t="str">
        <f>IF('1. Live'!AK163='check-Jul''26'!AG163,"",'1. Live'!AK163-'check-Jul''26'!AG163)</f>
        <v/>
      </c>
      <c r="AH145" s="25" t="str">
        <f>IF('1. Live'!AL163='check-Jul''26'!AH163,"",'1. Live'!AL163-'check-Jul''26'!AH163)</f>
        <v/>
      </c>
      <c r="AI145" s="25" t="str">
        <f>IF('1. Live'!AM163='check-Jul''26'!AI163,"",'1. Live'!AM163-'check-Jul''26'!AI163)</f>
        <v/>
      </c>
      <c r="AJ145" s="25" t="str">
        <f>IF('1. Live'!AN163='check-Jul''26'!AJ163,"",'1. Live'!AN163-'check-Jul''26'!AJ163)</f>
        <v/>
      </c>
      <c r="AK145" s="25" t="str">
        <f>IF('1. Live'!AO163='check-Jul''26'!AK163,"",'1. Live'!AO163-'check-Jul''26'!AK163)</f>
        <v/>
      </c>
      <c r="AL145" s="25" t="str">
        <f>IF('1. Live'!AP163='check-Jul''26'!AL163,"",'1. Live'!AP163-'check-Jul''26'!AL163)</f>
        <v/>
      </c>
      <c r="AM145" s="25" t="str">
        <f>IF('1. Live'!AQ163='check-Jul''26'!AM163,"",'1. Live'!AQ163-'check-Jul''26'!AM163)</f>
        <v/>
      </c>
      <c r="AN145" s="25" t="str">
        <f>IF('1. Live'!AR163='check-Jul''26'!AN163,"",'1. Live'!AR163-'check-Jul''26'!AN163)</f>
        <v/>
      </c>
      <c r="AO145" s="25" t="str">
        <f>IF('1. Live'!AS163='check-Jul''26'!AO163,"",'1. Live'!AS163-'check-Jul''26'!AO163)</f>
        <v/>
      </c>
      <c r="AP145" s="25" t="str">
        <f>IF('1. Live'!AT163='check-Jul''26'!AP163,"",'1. Live'!AT163-'check-Jul''26'!AP163)</f>
        <v/>
      </c>
      <c r="AQ145" s="25" t="str">
        <f>IF('1. Live'!AU163='check-Jul''26'!AQ163,"",'1. Live'!AU163-'check-Jul''26'!AQ163)</f>
        <v/>
      </c>
      <c r="AR145" s="25" t="str">
        <f>IF('1. Live'!AV163='check-Jul''26'!AR163,"",'1. Live'!AV163-'check-Jul''26'!AR163)</f>
        <v/>
      </c>
      <c r="AS145" s="25" t="str">
        <f>IF('1. Live'!AW163='check-Jul''26'!AS163,"",'1. Live'!AW163-'check-Jul''26'!AS163)</f>
        <v/>
      </c>
      <c r="AT145" s="25" t="str">
        <f>IF('1. Live'!AX163='check-Jul''26'!AT163,"",'1. Live'!AX163-'check-Jul''26'!AT163)</f>
        <v/>
      </c>
      <c r="AU145" s="25" t="str">
        <f>IF('1. Live'!AY163='check-Jul''26'!AU163,"",'1. Live'!AY163-'check-Jul''26'!AU163)</f>
        <v/>
      </c>
      <c r="AV145" s="25" t="str">
        <f>IF('1. Live'!AZ163='check-Jul''26'!AV163,"",'1. Live'!AZ163-'check-Jul''26'!AV163)</f>
        <v/>
      </c>
      <c r="AW145" s="25" t="str">
        <f>IF('1. Live'!BA163='check-Jul''26'!AW163,"",'1. Live'!BA163-'check-Jul''26'!AW163)</f>
        <v/>
      </c>
      <c r="AX145" s="25" t="str">
        <f>IF('1. Live'!BB163='check-Jul''26'!AX163,"",'1. Live'!BB163-'check-Jul''26'!AX163)</f>
        <v/>
      </c>
      <c r="AY145" s="25" t="str">
        <f>IF('1. Live'!BC163='check-Jul''26'!AY163,"",'1. Live'!BC163-'check-Jul''26'!AY163)</f>
        <v/>
      </c>
      <c r="AZ145" s="25" t="str">
        <f>IF('1. Live'!BD163='check-Jul''26'!AZ163,"",'1. Live'!BD163-'check-Jul''26'!AZ163)</f>
        <v/>
      </c>
      <c r="BA145" s="25" t="str">
        <f>IF('1. Live'!BE163='check-Jul''26'!BA163,"",'1. Live'!BE163-'check-Jul''26'!BA163)</f>
        <v/>
      </c>
      <c r="BB145" s="25" t="str">
        <f>IF('1. Live'!BF163='check-Jul''26'!BB163,"",'1. Live'!BF163-'check-Jul''26'!BB163)</f>
        <v/>
      </c>
      <c r="BC145" s="25" t="str">
        <f>IF('1. Live'!BG163='check-Jul''26'!BC163,"",'1. Live'!BG163-'check-Jul''26'!BC163)</f>
        <v/>
      </c>
      <c r="BD145" s="25" t="str">
        <f>IF('1. Live'!BH163='check-Jul''26'!BD163,"",'1. Live'!BH163-'check-Jul''26'!BD163)</f>
        <v/>
      </c>
      <c r="BE145" s="25" t="str">
        <f>IF('1. Live'!BI163='check-Jul''26'!BE163,"",'1. Live'!BI163-'check-Jul''26'!BE163)</f>
        <v/>
      </c>
      <c r="BF145" s="25" t="str">
        <f>IF('1. Live'!BJ163='check-Jul''26'!BF163,"",'1. Live'!BJ163-'check-Jul''26'!BF163)</f>
        <v/>
      </c>
      <c r="BG145" s="25" t="str">
        <f>IF('1. Live'!BK163='check-Jul''26'!BG163,"",'1. Live'!BK163-'check-Jul''26'!BG163)</f>
        <v/>
      </c>
      <c r="BH145" s="25" t="str">
        <f>IF('1. Live'!BL163='check-Jul''26'!BH163,"",'1. Live'!BL163-'check-Jul''26'!BH163)</f>
        <v/>
      </c>
      <c r="BI145" s="25" t="str">
        <f>IF('1. Live'!BM163='check-Jul''26'!BI163,"",'1. Live'!BM163-'check-Jul''26'!BI163)</f>
        <v/>
      </c>
      <c r="BJ145" s="25" t="str">
        <f>IF('1. Live'!BN163='check-Jul''26'!BJ163,"",'1. Live'!BN163-'check-Jul''26'!BJ163)</f>
        <v/>
      </c>
      <c r="BK145" s="25" t="str">
        <f>IF('1. Live'!BO163='check-Jul''26'!BK163,"",'1. Live'!BO163-'check-Jul''26'!BK163)</f>
        <v/>
      </c>
      <c r="BL145" s="25" t="str">
        <f>IF('1. Live'!BP163='check-Jul''26'!BL163,"",'1. Live'!BP163-'check-Jul''26'!BL163)</f>
        <v/>
      </c>
      <c r="BM145" s="25" t="str">
        <f>IF('1. Live'!BQ163='check-Jul''26'!BM163,"",'1. Live'!BQ163-'check-Jul''26'!BM163)</f>
        <v/>
      </c>
      <c r="BN145" s="25" t="str">
        <f>IF('1. Live'!BR163='check-Jul''26'!BN163,"",'1. Live'!BR163-'check-Jul''26'!BN163)</f>
        <v/>
      </c>
      <c r="BO145" s="25" t="str">
        <f>IF('1. Live'!BS163='check-Jul''26'!BO163,"",'1. Live'!BS163-'check-Jul''26'!BO163)</f>
        <v/>
      </c>
      <c r="BP145" s="25" t="str">
        <f>IF('1. Live'!BT163='check-Jul''26'!BP163,"",'1. Live'!BT163-'check-Jul''26'!BP163)</f>
        <v/>
      </c>
      <c r="BQ145" s="25" t="str">
        <f>IF('1. Live'!BU163='check-Jul''26'!BQ163,"",'1. Live'!BU163-'check-Jul''26'!BQ163)</f>
        <v/>
      </c>
      <c r="BR145" s="25" t="str">
        <f>IF('1. Live'!BV163='check-Jul''26'!BR163,"",'1. Live'!BV163-'check-Jul''26'!BR163)</f>
        <v/>
      </c>
      <c r="BS145" s="25" t="str">
        <f>IF('1. Live'!BW163='check-Jul''26'!BS163,"",'1. Live'!BW163-'check-Jul''26'!BS163)</f>
        <v/>
      </c>
      <c r="BT145" s="25" t="str">
        <f>IF('1. Live'!BX163='check-Jul''26'!BT163,"",'1. Live'!BX163-'check-Jul''26'!BT163)</f>
        <v/>
      </c>
      <c r="BU145" s="25" t="str">
        <f>IF('1. Live'!BY163='check-Jul''26'!BU163,"",'1. Live'!BY163-'check-Jul''26'!BU163)</f>
        <v/>
      </c>
      <c r="BV145" s="25" t="str">
        <f>IF('1. Live'!BZ163='check-Jul''26'!BV163,"",'1. Live'!BZ163-'check-Jul''26'!BV163)</f>
        <v/>
      </c>
      <c r="BW145" s="25" t="str">
        <f>IF('1. Live'!CA163='check-Jul''26'!BW163,"",'1. Live'!CA163-'check-Jul''26'!BW163)</f>
        <v/>
      </c>
      <c r="BX145" s="25" t="str">
        <f>IF('1. Live'!CB163='check-Jul''26'!BX163,"",'1. Live'!CB163-'check-Jul''26'!BX163)</f>
        <v/>
      </c>
      <c r="BY145" s="25" t="str">
        <f>IF('1. Live'!CC163='check-Jul''26'!BY163,"",'1. Live'!CC163-'check-Jul''26'!BY163)</f>
        <v/>
      </c>
      <c r="BZ145" s="25" t="str">
        <f>IF('1. Live'!CD163='check-Jul''26'!BZ163,"",'1. Live'!CD163-'check-Jul''26'!BZ163)</f>
        <v/>
      </c>
      <c r="CA145" s="25" t="str">
        <f>IF('1. Live'!CE163='check-Jul''26'!CA163,"",'1. Live'!CE163-'check-Jul''26'!CA163)</f>
        <v/>
      </c>
      <c r="CB145" s="25" t="str">
        <f>IF('1. Live'!CF163='check-Jul''26'!CB163,"",'1. Live'!CF163-'check-Jul''26'!CB163)</f>
        <v/>
      </c>
      <c r="CC145" s="25" t="str">
        <f>IF('1. Live'!CG163='check-Jul''26'!CC163,"",'1. Live'!CG163-'check-Jul''26'!CC163)</f>
        <v/>
      </c>
      <c r="CD145" s="25" t="str">
        <f>IF('1. Live'!CH163='check-Jul''26'!CD163,"",'1. Live'!CH163-'check-Jul''26'!CD163)</f>
        <v/>
      </c>
      <c r="CE145" s="25" t="str">
        <f>IF('1. Live'!CI163='check-Jul''26'!CE163,"",'1. Live'!CI163-'check-Jul''26'!CE163)</f>
        <v/>
      </c>
      <c r="CF145" s="25" t="str">
        <f>IF('1. Live'!CJ163='check-Jul''26'!CF163,"",'1. Live'!CJ163-'check-Jul''26'!CF163)</f>
        <v/>
      </c>
      <c r="CG145" s="25" t="str">
        <f>IF('1. Live'!CK163='check-Jul''26'!CG163,"",'1. Live'!CK163-'check-Jul''26'!CG163)</f>
        <v/>
      </c>
      <c r="CH145" s="25" t="str">
        <f>IF('1. Live'!CL163='check-Jul''26'!CH163,"",'1. Live'!CL163-'check-Jul''26'!CH163)</f>
        <v/>
      </c>
      <c r="CI145" s="25" t="str">
        <f>IF('1. Live'!CM163='check-Jul''26'!CI163,"",'1. Live'!CM163-'check-Jul''26'!CI163)</f>
        <v/>
      </c>
      <c r="CJ145" s="25" t="str">
        <f>IF('1. Live'!CN163='check-Jul''26'!CJ163,"",'1. Live'!CN163-'check-Jul''26'!CJ163)</f>
        <v/>
      </c>
      <c r="CK145" s="25" t="str">
        <f>IF('1. Live'!CO163='check-Jul''26'!CK163,"",'1. Live'!CO163-'check-Jul''26'!CK163)</f>
        <v/>
      </c>
      <c r="CL145" s="25" t="str">
        <f>IF('1. Live'!CP163='check-Jul''26'!CL163,"",'1. Live'!CP163-'check-Jul''26'!CL163)</f>
        <v/>
      </c>
      <c r="CM145" s="25" t="str">
        <f>IF('1. Live'!CQ163='check-Jul''26'!CM163,"",'1. Live'!CQ163-'check-Jul''26'!CM163)</f>
        <v/>
      </c>
      <c r="CN145" s="25" t="str">
        <f>IF('1. Live'!CR163='check-Jul''26'!CN163,"",'1. Live'!CR163-'check-Jul''26'!CN163)</f>
        <v/>
      </c>
      <c r="CO145" s="25" t="str">
        <f>IF('1. Live'!CS163='check-Jul''26'!CO163,"",'1. Live'!CS163-'check-Jul''26'!CO163)</f>
        <v/>
      </c>
      <c r="CP145" s="25" t="str">
        <f>IF('1. Live'!CT163='check-Jul''26'!CP163,"",'1. Live'!CT163-'check-Jul''26'!CP163)</f>
        <v/>
      </c>
      <c r="CQ145" s="25" t="str">
        <f>IF('1. Live'!CU163='check-Jul''26'!CQ163,"",'1. Live'!CU163-'check-Jul''26'!CQ163)</f>
        <v/>
      </c>
      <c r="CR145" s="25" t="str">
        <f>IF('1. Live'!CV163='check-Jul''26'!CR163,"",'1. Live'!CV163-'check-Jul''26'!CR163)</f>
        <v/>
      </c>
      <c r="CS145" s="25" t="str">
        <f>IF('1. Live'!CW163='check-Jul''26'!CS163,"",'1. Live'!CW163-'check-Jul''26'!CS163)</f>
        <v/>
      </c>
      <c r="CT145" s="25" t="str">
        <f>IF('1. Live'!CX163='check-Jul''26'!CT163,"",'1. Live'!CX163-'check-Jul''26'!CT163)</f>
        <v/>
      </c>
      <c r="CU145" s="25" t="str">
        <f>IF('1. Live'!CY163='check-Jul''26'!CU163,"",'1. Live'!CY163-'check-Jul''26'!CU163)</f>
        <v/>
      </c>
      <c r="CV145" s="25" t="str">
        <f>IF('1. Live'!CZ163='check-Jul''26'!CV163,"",'1. Live'!CZ163-'check-Jul''26'!CV163)</f>
        <v/>
      </c>
    </row>
    <row r="146" spans="17:100" x14ac:dyDescent="0.25">
      <c r="Q146" s="26" t="str">
        <f>IF('1. Live'!N164='check-Jul''26'!I164,"",'1. Live'!N164-'check-Jul''26'!I164)</f>
        <v/>
      </c>
      <c r="R146" s="26" t="str">
        <f>IF('1. Live'!O164='check-Jul''26'!J164,"",'1. Live'!O164-'check-Jul''26'!J164)</f>
        <v/>
      </c>
      <c r="S146" s="26" t="str">
        <f>IF('1. Live'!P164='check-Jul''26'!K164,"",'1. Live'!P164-'check-Jul''26'!K164)</f>
        <v/>
      </c>
      <c r="T146" s="26" t="str">
        <f>IF('1. Live'!Q164='check-Jul''26'!L164,"",'1. Live'!Q164-'check-Jul''26'!L164)</f>
        <v/>
      </c>
      <c r="U146" s="80" t="str">
        <f>IF('1. Live'!R164='check-Jul''26'!M164,"",'1. Live'!R164-'check-Jul''26'!M164)</f>
        <v/>
      </c>
      <c r="V146" s="26" t="str">
        <f>IF('1. Live'!S164='check-Jul''26'!N164,"",'1. Live'!S164-'check-Jul''26'!N164)</f>
        <v/>
      </c>
      <c r="W146" s="25" t="str">
        <f>IF('1. Live'!T164='check-Jul''26'!O164,"",'1. Live'!T164-'check-Jul''26'!O164)</f>
        <v/>
      </c>
      <c r="X146" s="25" t="str">
        <f>IF('1. Live'!U164='check-Jul''26'!Q164,"",'1. Live'!U164-'check-Jul''26'!Q164)</f>
        <v/>
      </c>
      <c r="Y146" s="25" t="str">
        <f>IF('1. Live'!V164='check-Jul''26'!R164,"",'1. Live'!V164-'check-Jul''26'!R164)</f>
        <v/>
      </c>
      <c r="Z146" s="25" t="str">
        <f>IF('1. Live'!W164='check-Jul''26'!S164,"",'1. Live'!W164-'check-Jul''26'!S164)</f>
        <v/>
      </c>
      <c r="AA146" s="25" t="str">
        <f>IF('1. Live'!X164='check-Jul''26'!T164,"",'1. Live'!X164-'check-Jul''26'!T164)</f>
        <v/>
      </c>
      <c r="AB146" s="25" t="str">
        <f>IF('1. Live'!AF164='check-Jul''26'!AB164,"",'1. Live'!AF164-'check-Jul''26'!AB164)</f>
        <v/>
      </c>
      <c r="AC146" s="25" t="str">
        <f>IF('1. Live'!AG164='check-Jul''26'!AC164,"",'1. Live'!AG164-'check-Jul''26'!AC164)</f>
        <v/>
      </c>
      <c r="AD146" s="25" t="str">
        <f>IF('1. Live'!AH164='check-Jul''26'!AD164,"",'1. Live'!AH164-'check-Jul''26'!AD164)</f>
        <v/>
      </c>
      <c r="AE146" s="25" t="str">
        <f>IF('1. Live'!AI164='check-Jul''26'!AE164,"",'1. Live'!AI164-'check-Jul''26'!AE164)</f>
        <v/>
      </c>
      <c r="AF146" s="25" t="str">
        <f>IF('1. Live'!AJ164='check-Jul''26'!AF164,"",'1. Live'!AJ164-'check-Jul''26'!AF164)</f>
        <v/>
      </c>
      <c r="AG146" s="25" t="str">
        <f>IF('1. Live'!AK164='check-Jul''26'!AG164,"",'1. Live'!AK164-'check-Jul''26'!AG164)</f>
        <v/>
      </c>
      <c r="AH146" s="25" t="str">
        <f>IF('1. Live'!AL164='check-Jul''26'!AH164,"",'1. Live'!AL164-'check-Jul''26'!AH164)</f>
        <v/>
      </c>
      <c r="AI146" s="25" t="str">
        <f>IF('1. Live'!AM164='check-Jul''26'!AI164,"",'1. Live'!AM164-'check-Jul''26'!AI164)</f>
        <v/>
      </c>
      <c r="AJ146" s="25" t="str">
        <f>IF('1. Live'!AN164='check-Jul''26'!AJ164,"",'1. Live'!AN164-'check-Jul''26'!AJ164)</f>
        <v/>
      </c>
      <c r="AK146" s="25" t="str">
        <f>IF('1. Live'!AO164='check-Jul''26'!AK164,"",'1. Live'!AO164-'check-Jul''26'!AK164)</f>
        <v/>
      </c>
      <c r="AL146" s="25" t="str">
        <f>IF('1. Live'!AP164='check-Jul''26'!AL164,"",'1. Live'!AP164-'check-Jul''26'!AL164)</f>
        <v/>
      </c>
      <c r="AM146" s="25" t="str">
        <f>IF('1. Live'!AQ164='check-Jul''26'!AM164,"",'1. Live'!AQ164-'check-Jul''26'!AM164)</f>
        <v/>
      </c>
      <c r="AN146" s="25" t="str">
        <f>IF('1. Live'!AR164='check-Jul''26'!AN164,"",'1. Live'!AR164-'check-Jul''26'!AN164)</f>
        <v/>
      </c>
      <c r="AO146" s="25" t="str">
        <f>IF('1. Live'!AS164='check-Jul''26'!AO164,"",'1. Live'!AS164-'check-Jul''26'!AO164)</f>
        <v/>
      </c>
      <c r="AP146" s="25" t="str">
        <f>IF('1. Live'!AT164='check-Jul''26'!AP164,"",'1. Live'!AT164-'check-Jul''26'!AP164)</f>
        <v/>
      </c>
      <c r="AQ146" s="25" t="str">
        <f>IF('1. Live'!AU164='check-Jul''26'!AQ164,"",'1. Live'!AU164-'check-Jul''26'!AQ164)</f>
        <v/>
      </c>
      <c r="AR146" s="25" t="str">
        <f>IF('1. Live'!AV164='check-Jul''26'!AR164,"",'1. Live'!AV164-'check-Jul''26'!AR164)</f>
        <v/>
      </c>
      <c r="AS146" s="25" t="str">
        <f>IF('1. Live'!AW164='check-Jul''26'!AS164,"",'1. Live'!AW164-'check-Jul''26'!AS164)</f>
        <v/>
      </c>
      <c r="AT146" s="25" t="str">
        <f>IF('1. Live'!AX164='check-Jul''26'!AT164,"",'1. Live'!AX164-'check-Jul''26'!AT164)</f>
        <v/>
      </c>
      <c r="AU146" s="25" t="str">
        <f>IF('1. Live'!AY164='check-Jul''26'!AU164,"",'1. Live'!AY164-'check-Jul''26'!AU164)</f>
        <v/>
      </c>
      <c r="AV146" s="25" t="str">
        <f>IF('1. Live'!AZ164='check-Jul''26'!AV164,"",'1. Live'!AZ164-'check-Jul''26'!AV164)</f>
        <v/>
      </c>
      <c r="AW146" s="25" t="str">
        <f>IF('1. Live'!BA164='check-Jul''26'!AW164,"",'1. Live'!BA164-'check-Jul''26'!AW164)</f>
        <v/>
      </c>
      <c r="AX146" s="25" t="str">
        <f>IF('1. Live'!BB164='check-Jul''26'!AX164,"",'1. Live'!BB164-'check-Jul''26'!AX164)</f>
        <v/>
      </c>
      <c r="AY146" s="25" t="str">
        <f>IF('1. Live'!BC164='check-Jul''26'!AY164,"",'1. Live'!BC164-'check-Jul''26'!AY164)</f>
        <v/>
      </c>
      <c r="AZ146" s="25" t="str">
        <f>IF('1. Live'!BD164='check-Jul''26'!AZ164,"",'1. Live'!BD164-'check-Jul''26'!AZ164)</f>
        <v/>
      </c>
      <c r="BA146" s="25" t="str">
        <f>IF('1. Live'!BE164='check-Jul''26'!BA164,"",'1. Live'!BE164-'check-Jul''26'!BA164)</f>
        <v/>
      </c>
      <c r="BB146" s="25" t="str">
        <f>IF('1. Live'!BF164='check-Jul''26'!BB164,"",'1. Live'!BF164-'check-Jul''26'!BB164)</f>
        <v/>
      </c>
      <c r="BC146" s="25" t="str">
        <f>IF('1. Live'!BG164='check-Jul''26'!BC164,"",'1. Live'!BG164-'check-Jul''26'!BC164)</f>
        <v/>
      </c>
      <c r="BD146" s="25" t="str">
        <f>IF('1. Live'!BH164='check-Jul''26'!BD164,"",'1. Live'!BH164-'check-Jul''26'!BD164)</f>
        <v/>
      </c>
      <c r="BE146" s="25" t="str">
        <f>IF('1. Live'!BI164='check-Jul''26'!BE164,"",'1. Live'!BI164-'check-Jul''26'!BE164)</f>
        <v/>
      </c>
      <c r="BF146" s="25" t="str">
        <f>IF('1. Live'!BJ164='check-Jul''26'!BF164,"",'1. Live'!BJ164-'check-Jul''26'!BF164)</f>
        <v/>
      </c>
      <c r="BG146" s="25" t="str">
        <f>IF('1. Live'!BK164='check-Jul''26'!BG164,"",'1. Live'!BK164-'check-Jul''26'!BG164)</f>
        <v/>
      </c>
      <c r="BH146" s="25" t="str">
        <f>IF('1. Live'!BL164='check-Jul''26'!BH164,"",'1. Live'!BL164-'check-Jul''26'!BH164)</f>
        <v/>
      </c>
      <c r="BI146" s="25" t="str">
        <f>IF('1. Live'!BM164='check-Jul''26'!BI164,"",'1. Live'!BM164-'check-Jul''26'!BI164)</f>
        <v/>
      </c>
      <c r="BJ146" s="25" t="str">
        <f>IF('1. Live'!BN164='check-Jul''26'!BJ164,"",'1. Live'!BN164-'check-Jul''26'!BJ164)</f>
        <v/>
      </c>
      <c r="BK146" s="25" t="str">
        <f>IF('1. Live'!BO164='check-Jul''26'!BK164,"",'1. Live'!BO164-'check-Jul''26'!BK164)</f>
        <v/>
      </c>
      <c r="BL146" s="25" t="str">
        <f>IF('1. Live'!BP164='check-Jul''26'!BL164,"",'1. Live'!BP164-'check-Jul''26'!BL164)</f>
        <v/>
      </c>
      <c r="BM146" s="25" t="str">
        <f>IF('1. Live'!BQ164='check-Jul''26'!BM164,"",'1. Live'!BQ164-'check-Jul''26'!BM164)</f>
        <v/>
      </c>
      <c r="BN146" s="25" t="str">
        <f>IF('1. Live'!BR164='check-Jul''26'!BN164,"",'1. Live'!BR164-'check-Jul''26'!BN164)</f>
        <v/>
      </c>
      <c r="BO146" s="25" t="str">
        <f>IF('1. Live'!BS164='check-Jul''26'!BO164,"",'1. Live'!BS164-'check-Jul''26'!BO164)</f>
        <v/>
      </c>
      <c r="BP146" s="25" t="str">
        <f>IF('1. Live'!BT164='check-Jul''26'!BP164,"",'1. Live'!BT164-'check-Jul''26'!BP164)</f>
        <v/>
      </c>
      <c r="BQ146" s="25" t="str">
        <f>IF('1. Live'!BU164='check-Jul''26'!BQ164,"",'1. Live'!BU164-'check-Jul''26'!BQ164)</f>
        <v/>
      </c>
      <c r="BR146" s="25" t="str">
        <f>IF('1. Live'!BV164='check-Jul''26'!BR164,"",'1. Live'!BV164-'check-Jul''26'!BR164)</f>
        <v/>
      </c>
      <c r="BS146" s="25" t="str">
        <f>IF('1. Live'!BW164='check-Jul''26'!BS164,"",'1. Live'!BW164-'check-Jul''26'!BS164)</f>
        <v/>
      </c>
      <c r="BT146" s="25" t="str">
        <f>IF('1. Live'!BX164='check-Jul''26'!BT164,"",'1. Live'!BX164-'check-Jul''26'!BT164)</f>
        <v/>
      </c>
      <c r="BU146" s="25" t="str">
        <f>IF('1. Live'!BY164='check-Jul''26'!BU164,"",'1. Live'!BY164-'check-Jul''26'!BU164)</f>
        <v/>
      </c>
      <c r="BV146" s="25" t="str">
        <f>IF('1. Live'!BZ164='check-Jul''26'!BV164,"",'1. Live'!BZ164-'check-Jul''26'!BV164)</f>
        <v/>
      </c>
      <c r="BW146" s="25" t="str">
        <f>IF('1. Live'!CA164='check-Jul''26'!BW164,"",'1. Live'!CA164-'check-Jul''26'!BW164)</f>
        <v/>
      </c>
      <c r="BX146" s="25" t="str">
        <f>IF('1. Live'!CB164='check-Jul''26'!BX164,"",'1. Live'!CB164-'check-Jul''26'!BX164)</f>
        <v/>
      </c>
      <c r="BY146" s="25" t="str">
        <f>IF('1. Live'!CC164='check-Jul''26'!BY164,"",'1. Live'!CC164-'check-Jul''26'!BY164)</f>
        <v/>
      </c>
      <c r="BZ146" s="25" t="str">
        <f>IF('1. Live'!CD164='check-Jul''26'!BZ164,"",'1. Live'!CD164-'check-Jul''26'!BZ164)</f>
        <v/>
      </c>
      <c r="CA146" s="25" t="str">
        <f>IF('1. Live'!CE164='check-Jul''26'!CA164,"",'1. Live'!CE164-'check-Jul''26'!CA164)</f>
        <v/>
      </c>
      <c r="CB146" s="25" t="str">
        <f>IF('1. Live'!CF164='check-Jul''26'!CB164,"",'1. Live'!CF164-'check-Jul''26'!CB164)</f>
        <v/>
      </c>
      <c r="CC146" s="25" t="str">
        <f>IF('1. Live'!CG164='check-Jul''26'!CC164,"",'1. Live'!CG164-'check-Jul''26'!CC164)</f>
        <v/>
      </c>
      <c r="CD146" s="25" t="str">
        <f>IF('1. Live'!CH164='check-Jul''26'!CD164,"",'1. Live'!CH164-'check-Jul''26'!CD164)</f>
        <v/>
      </c>
      <c r="CE146" s="25" t="str">
        <f>IF('1. Live'!CI164='check-Jul''26'!CE164,"",'1. Live'!CI164-'check-Jul''26'!CE164)</f>
        <v/>
      </c>
      <c r="CF146" s="25" t="str">
        <f>IF('1. Live'!CJ164='check-Jul''26'!CF164,"",'1. Live'!CJ164-'check-Jul''26'!CF164)</f>
        <v/>
      </c>
      <c r="CG146" s="25" t="str">
        <f>IF('1. Live'!CK164='check-Jul''26'!CG164,"",'1. Live'!CK164-'check-Jul''26'!CG164)</f>
        <v/>
      </c>
      <c r="CH146" s="25" t="str">
        <f>IF('1. Live'!CL164='check-Jul''26'!CH164,"",'1. Live'!CL164-'check-Jul''26'!CH164)</f>
        <v/>
      </c>
      <c r="CI146" s="25" t="str">
        <f>IF('1. Live'!CM164='check-Jul''26'!CI164,"",'1. Live'!CM164-'check-Jul''26'!CI164)</f>
        <v/>
      </c>
      <c r="CJ146" s="25" t="str">
        <f>IF('1. Live'!CN164='check-Jul''26'!CJ164,"",'1. Live'!CN164-'check-Jul''26'!CJ164)</f>
        <v/>
      </c>
      <c r="CK146" s="25" t="str">
        <f>IF('1. Live'!CO164='check-Jul''26'!CK164,"",'1. Live'!CO164-'check-Jul''26'!CK164)</f>
        <v/>
      </c>
      <c r="CL146" s="25" t="str">
        <f>IF('1. Live'!CP164='check-Jul''26'!CL164,"",'1. Live'!CP164-'check-Jul''26'!CL164)</f>
        <v/>
      </c>
      <c r="CM146" s="25" t="str">
        <f>IF('1. Live'!CQ164='check-Jul''26'!CM164,"",'1. Live'!CQ164-'check-Jul''26'!CM164)</f>
        <v/>
      </c>
      <c r="CN146" s="25" t="str">
        <f>IF('1. Live'!CR164='check-Jul''26'!CN164,"",'1. Live'!CR164-'check-Jul''26'!CN164)</f>
        <v/>
      </c>
      <c r="CO146" s="25" t="str">
        <f>IF('1. Live'!CS164='check-Jul''26'!CO164,"",'1. Live'!CS164-'check-Jul''26'!CO164)</f>
        <v/>
      </c>
      <c r="CP146" s="25" t="str">
        <f>IF('1. Live'!CT164='check-Jul''26'!CP164,"",'1. Live'!CT164-'check-Jul''26'!CP164)</f>
        <v/>
      </c>
      <c r="CQ146" s="25" t="str">
        <f>IF('1. Live'!CU164='check-Jul''26'!CQ164,"",'1. Live'!CU164-'check-Jul''26'!CQ164)</f>
        <v/>
      </c>
      <c r="CR146" s="25" t="str">
        <f>IF('1. Live'!CV164='check-Jul''26'!CR164,"",'1. Live'!CV164-'check-Jul''26'!CR164)</f>
        <v/>
      </c>
      <c r="CS146" s="25" t="str">
        <f>IF('1. Live'!CW164='check-Jul''26'!CS164,"",'1. Live'!CW164-'check-Jul''26'!CS164)</f>
        <v/>
      </c>
      <c r="CT146" s="25" t="str">
        <f>IF('1. Live'!CX164='check-Jul''26'!CT164,"",'1. Live'!CX164-'check-Jul''26'!CT164)</f>
        <v/>
      </c>
      <c r="CU146" s="25" t="str">
        <f>IF('1. Live'!CY164='check-Jul''26'!CU164,"",'1. Live'!CY164-'check-Jul''26'!CU164)</f>
        <v/>
      </c>
      <c r="CV146" s="25" t="str">
        <f>IF('1. Live'!CZ164='check-Jul''26'!CV164,"",'1. Live'!CZ164-'check-Jul''26'!CV164)</f>
        <v/>
      </c>
    </row>
    <row r="147" spans="17:100" x14ac:dyDescent="0.25">
      <c r="Q147" s="26" t="str">
        <f>IF('1. Live'!N165='check-Jul''26'!I165,"",'1. Live'!N165-'check-Jul''26'!I165)</f>
        <v/>
      </c>
      <c r="R147" s="26" t="str">
        <f>IF('1. Live'!O165='check-Jul''26'!J165,"",'1. Live'!O165-'check-Jul''26'!J165)</f>
        <v/>
      </c>
      <c r="S147" s="26" t="str">
        <f>IF('1. Live'!P165='check-Jul''26'!K165,"",'1. Live'!P165-'check-Jul''26'!K165)</f>
        <v/>
      </c>
      <c r="T147" s="26" t="str">
        <f>IF('1. Live'!Q165='check-Jul''26'!L165,"",'1. Live'!Q165-'check-Jul''26'!L165)</f>
        <v/>
      </c>
      <c r="U147" s="80" t="str">
        <f>IF('1. Live'!R165='check-Jul''26'!M165,"",'1. Live'!R165-'check-Jul''26'!M165)</f>
        <v/>
      </c>
      <c r="V147" s="26" t="str">
        <f>IF('1. Live'!S165='check-Jul''26'!N165,"",'1. Live'!S165-'check-Jul''26'!N165)</f>
        <v/>
      </c>
      <c r="W147" s="25" t="str">
        <f>IF('1. Live'!T165='check-Jul''26'!O165,"",'1. Live'!T165-'check-Jul''26'!O165)</f>
        <v/>
      </c>
      <c r="X147" s="25" t="str">
        <f>IF('1. Live'!U165='check-Jul''26'!Q165,"",'1. Live'!U165-'check-Jul''26'!Q165)</f>
        <v/>
      </c>
      <c r="Y147" s="25" t="str">
        <f>IF('1. Live'!V165='check-Jul''26'!R165,"",'1. Live'!V165-'check-Jul''26'!R165)</f>
        <v/>
      </c>
      <c r="Z147" s="25" t="str">
        <f>IF('1. Live'!W165='check-Jul''26'!S165,"",'1. Live'!W165-'check-Jul''26'!S165)</f>
        <v/>
      </c>
      <c r="AA147" s="25" t="str">
        <f>IF('1. Live'!X165='check-Jul''26'!T165,"",'1. Live'!X165-'check-Jul''26'!T165)</f>
        <v/>
      </c>
      <c r="AB147" s="25" t="str">
        <f>IF('1. Live'!AF165='check-Jul''26'!AB165,"",'1. Live'!AF165-'check-Jul''26'!AB165)</f>
        <v/>
      </c>
      <c r="AC147" s="25" t="str">
        <f>IF('1. Live'!AG165='check-Jul''26'!AC165,"",'1. Live'!AG165-'check-Jul''26'!AC165)</f>
        <v/>
      </c>
      <c r="AD147" s="25" t="str">
        <f>IF('1. Live'!AH165='check-Jul''26'!AD165,"",'1. Live'!AH165-'check-Jul''26'!AD165)</f>
        <v/>
      </c>
      <c r="AE147" s="25" t="str">
        <f>IF('1. Live'!AI165='check-Jul''26'!AE165,"",'1. Live'!AI165-'check-Jul''26'!AE165)</f>
        <v/>
      </c>
      <c r="AF147" s="25" t="str">
        <f>IF('1. Live'!AJ165='check-Jul''26'!AF165,"",'1. Live'!AJ165-'check-Jul''26'!AF165)</f>
        <v/>
      </c>
      <c r="AG147" s="25" t="str">
        <f>IF('1. Live'!AK165='check-Jul''26'!AG165,"",'1. Live'!AK165-'check-Jul''26'!AG165)</f>
        <v/>
      </c>
      <c r="AH147" s="25" t="str">
        <f>IF('1. Live'!AL165='check-Jul''26'!AH165,"",'1. Live'!AL165-'check-Jul''26'!AH165)</f>
        <v/>
      </c>
      <c r="AI147" s="25" t="str">
        <f>IF('1. Live'!AM165='check-Jul''26'!AI165,"",'1. Live'!AM165-'check-Jul''26'!AI165)</f>
        <v/>
      </c>
      <c r="AJ147" s="25" t="str">
        <f>IF('1. Live'!AN165='check-Jul''26'!AJ165,"",'1. Live'!AN165-'check-Jul''26'!AJ165)</f>
        <v/>
      </c>
      <c r="AK147" s="25" t="str">
        <f>IF('1. Live'!AO165='check-Jul''26'!AK165,"",'1. Live'!AO165-'check-Jul''26'!AK165)</f>
        <v/>
      </c>
      <c r="AL147" s="25" t="str">
        <f>IF('1. Live'!AP165='check-Jul''26'!AL165,"",'1. Live'!AP165-'check-Jul''26'!AL165)</f>
        <v/>
      </c>
      <c r="AM147" s="25" t="str">
        <f>IF('1. Live'!AQ165='check-Jul''26'!AM165,"",'1. Live'!AQ165-'check-Jul''26'!AM165)</f>
        <v/>
      </c>
      <c r="AN147" s="25" t="str">
        <f>IF('1. Live'!AR165='check-Jul''26'!AN165,"",'1. Live'!AR165-'check-Jul''26'!AN165)</f>
        <v/>
      </c>
      <c r="AO147" s="25" t="str">
        <f>IF('1. Live'!AS165='check-Jul''26'!AO165,"",'1. Live'!AS165-'check-Jul''26'!AO165)</f>
        <v/>
      </c>
      <c r="AP147" s="25" t="str">
        <f>IF('1. Live'!AT165='check-Jul''26'!AP165,"",'1. Live'!AT165-'check-Jul''26'!AP165)</f>
        <v/>
      </c>
      <c r="AQ147" s="25" t="str">
        <f>IF('1. Live'!AU165='check-Jul''26'!AQ165,"",'1. Live'!AU165-'check-Jul''26'!AQ165)</f>
        <v/>
      </c>
      <c r="AR147" s="25" t="str">
        <f>IF('1. Live'!AV165='check-Jul''26'!AR165,"",'1. Live'!AV165-'check-Jul''26'!AR165)</f>
        <v/>
      </c>
      <c r="AS147" s="25" t="str">
        <f>IF('1. Live'!AW165='check-Jul''26'!AS165,"",'1. Live'!AW165-'check-Jul''26'!AS165)</f>
        <v/>
      </c>
      <c r="AT147" s="25" t="str">
        <f>IF('1. Live'!AX165='check-Jul''26'!AT165,"",'1. Live'!AX165-'check-Jul''26'!AT165)</f>
        <v/>
      </c>
      <c r="AU147" s="25" t="str">
        <f>IF('1. Live'!AY165='check-Jul''26'!AU165,"",'1. Live'!AY165-'check-Jul''26'!AU165)</f>
        <v/>
      </c>
      <c r="AV147" s="25" t="str">
        <f>IF('1. Live'!AZ165='check-Jul''26'!AV165,"",'1. Live'!AZ165-'check-Jul''26'!AV165)</f>
        <v/>
      </c>
      <c r="AW147" s="25" t="str">
        <f>IF('1. Live'!BA165='check-Jul''26'!AW165,"",'1. Live'!BA165-'check-Jul''26'!AW165)</f>
        <v/>
      </c>
      <c r="AX147" s="25" t="str">
        <f>IF('1. Live'!BB165='check-Jul''26'!AX165,"",'1. Live'!BB165-'check-Jul''26'!AX165)</f>
        <v/>
      </c>
      <c r="AY147" s="25" t="str">
        <f>IF('1. Live'!BC165='check-Jul''26'!AY165,"",'1. Live'!BC165-'check-Jul''26'!AY165)</f>
        <v/>
      </c>
      <c r="AZ147" s="25" t="str">
        <f>IF('1. Live'!BD165='check-Jul''26'!AZ165,"",'1. Live'!BD165-'check-Jul''26'!AZ165)</f>
        <v/>
      </c>
      <c r="BA147" s="25" t="str">
        <f>IF('1. Live'!BE165='check-Jul''26'!BA165,"",'1. Live'!BE165-'check-Jul''26'!BA165)</f>
        <v/>
      </c>
      <c r="BB147" s="25" t="str">
        <f>IF('1. Live'!BF165='check-Jul''26'!BB165,"",'1. Live'!BF165-'check-Jul''26'!BB165)</f>
        <v/>
      </c>
      <c r="BC147" s="25" t="str">
        <f>IF('1. Live'!BG165='check-Jul''26'!BC165,"",'1. Live'!BG165-'check-Jul''26'!BC165)</f>
        <v/>
      </c>
      <c r="BD147" s="25" t="str">
        <f>IF('1. Live'!BH165='check-Jul''26'!BD165,"",'1. Live'!BH165-'check-Jul''26'!BD165)</f>
        <v/>
      </c>
      <c r="BE147" s="25" t="str">
        <f>IF('1. Live'!BI165='check-Jul''26'!BE165,"",'1. Live'!BI165-'check-Jul''26'!BE165)</f>
        <v/>
      </c>
      <c r="BF147" s="25" t="str">
        <f>IF('1. Live'!BJ165='check-Jul''26'!BF165,"",'1. Live'!BJ165-'check-Jul''26'!BF165)</f>
        <v/>
      </c>
      <c r="BG147" s="25" t="str">
        <f>IF('1. Live'!BK165='check-Jul''26'!BG165,"",'1. Live'!BK165-'check-Jul''26'!BG165)</f>
        <v/>
      </c>
      <c r="BH147" s="25" t="str">
        <f>IF('1. Live'!BL165='check-Jul''26'!BH165,"",'1. Live'!BL165-'check-Jul''26'!BH165)</f>
        <v/>
      </c>
      <c r="BI147" s="25" t="str">
        <f>IF('1. Live'!BM165='check-Jul''26'!BI165,"",'1. Live'!BM165-'check-Jul''26'!BI165)</f>
        <v/>
      </c>
      <c r="BJ147" s="25" t="str">
        <f>IF('1. Live'!BN165='check-Jul''26'!BJ165,"",'1. Live'!BN165-'check-Jul''26'!BJ165)</f>
        <v/>
      </c>
      <c r="BK147" s="25" t="str">
        <f>IF('1. Live'!BO165='check-Jul''26'!BK165,"",'1. Live'!BO165-'check-Jul''26'!BK165)</f>
        <v/>
      </c>
      <c r="BL147" s="25" t="str">
        <f>IF('1. Live'!BP165='check-Jul''26'!BL165,"",'1. Live'!BP165-'check-Jul''26'!BL165)</f>
        <v/>
      </c>
      <c r="BM147" s="25" t="str">
        <f>IF('1. Live'!BQ165='check-Jul''26'!BM165,"",'1. Live'!BQ165-'check-Jul''26'!BM165)</f>
        <v/>
      </c>
      <c r="BN147" s="25" t="str">
        <f>IF('1. Live'!BR165='check-Jul''26'!BN165,"",'1. Live'!BR165-'check-Jul''26'!BN165)</f>
        <v/>
      </c>
      <c r="BO147" s="25" t="str">
        <f>IF('1. Live'!BS165='check-Jul''26'!BO165,"",'1. Live'!BS165-'check-Jul''26'!BO165)</f>
        <v/>
      </c>
      <c r="BP147" s="25" t="str">
        <f>IF('1. Live'!BT165='check-Jul''26'!BP165,"",'1. Live'!BT165-'check-Jul''26'!BP165)</f>
        <v/>
      </c>
      <c r="BQ147" s="25" t="str">
        <f>IF('1. Live'!BU165='check-Jul''26'!BQ165,"",'1. Live'!BU165-'check-Jul''26'!BQ165)</f>
        <v/>
      </c>
      <c r="BR147" s="25" t="str">
        <f>IF('1. Live'!BV165='check-Jul''26'!BR165,"",'1. Live'!BV165-'check-Jul''26'!BR165)</f>
        <v/>
      </c>
      <c r="BS147" s="25" t="str">
        <f>IF('1. Live'!BW165='check-Jul''26'!BS165,"",'1. Live'!BW165-'check-Jul''26'!BS165)</f>
        <v/>
      </c>
      <c r="BT147" s="25" t="str">
        <f>IF('1. Live'!BX165='check-Jul''26'!BT165,"",'1. Live'!BX165-'check-Jul''26'!BT165)</f>
        <v/>
      </c>
      <c r="BU147" s="25" t="str">
        <f>IF('1. Live'!BY165='check-Jul''26'!BU165,"",'1. Live'!BY165-'check-Jul''26'!BU165)</f>
        <v/>
      </c>
      <c r="BV147" s="25" t="str">
        <f>IF('1. Live'!BZ165='check-Jul''26'!BV165,"",'1. Live'!BZ165-'check-Jul''26'!BV165)</f>
        <v/>
      </c>
      <c r="BW147" s="25" t="str">
        <f>IF('1. Live'!CA165='check-Jul''26'!BW165,"",'1. Live'!CA165-'check-Jul''26'!BW165)</f>
        <v/>
      </c>
      <c r="BX147" s="25" t="str">
        <f>IF('1. Live'!CB165='check-Jul''26'!BX165,"",'1. Live'!CB165-'check-Jul''26'!BX165)</f>
        <v/>
      </c>
      <c r="BY147" s="25" t="str">
        <f>IF('1. Live'!CC165='check-Jul''26'!BY165,"",'1. Live'!CC165-'check-Jul''26'!BY165)</f>
        <v/>
      </c>
      <c r="BZ147" s="25" t="str">
        <f>IF('1. Live'!CD165='check-Jul''26'!BZ165,"",'1. Live'!CD165-'check-Jul''26'!BZ165)</f>
        <v/>
      </c>
      <c r="CA147" s="25" t="str">
        <f>IF('1. Live'!CE165='check-Jul''26'!CA165,"",'1. Live'!CE165-'check-Jul''26'!CA165)</f>
        <v/>
      </c>
      <c r="CB147" s="25" t="str">
        <f>IF('1. Live'!CF165='check-Jul''26'!CB165,"",'1. Live'!CF165-'check-Jul''26'!CB165)</f>
        <v/>
      </c>
      <c r="CC147" s="25" t="str">
        <f>IF('1. Live'!CG165='check-Jul''26'!CC165,"",'1. Live'!CG165-'check-Jul''26'!CC165)</f>
        <v/>
      </c>
      <c r="CD147" s="25" t="str">
        <f>IF('1. Live'!CH165='check-Jul''26'!CD165,"",'1. Live'!CH165-'check-Jul''26'!CD165)</f>
        <v/>
      </c>
      <c r="CE147" s="25" t="str">
        <f>IF('1. Live'!CI165='check-Jul''26'!CE165,"",'1. Live'!CI165-'check-Jul''26'!CE165)</f>
        <v/>
      </c>
      <c r="CF147" s="25" t="str">
        <f>IF('1. Live'!CJ165='check-Jul''26'!CF165,"",'1. Live'!CJ165-'check-Jul''26'!CF165)</f>
        <v/>
      </c>
      <c r="CG147" s="25" t="str">
        <f>IF('1. Live'!CK165='check-Jul''26'!CG165,"",'1. Live'!CK165-'check-Jul''26'!CG165)</f>
        <v/>
      </c>
      <c r="CH147" s="25" t="str">
        <f>IF('1. Live'!CL165='check-Jul''26'!CH165,"",'1. Live'!CL165-'check-Jul''26'!CH165)</f>
        <v/>
      </c>
      <c r="CI147" s="25" t="str">
        <f>IF('1. Live'!CM165='check-Jul''26'!CI165,"",'1. Live'!CM165-'check-Jul''26'!CI165)</f>
        <v/>
      </c>
      <c r="CJ147" s="25" t="str">
        <f>IF('1. Live'!CN165='check-Jul''26'!CJ165,"",'1. Live'!CN165-'check-Jul''26'!CJ165)</f>
        <v/>
      </c>
      <c r="CK147" s="25" t="str">
        <f>IF('1. Live'!CO165='check-Jul''26'!CK165,"",'1. Live'!CO165-'check-Jul''26'!CK165)</f>
        <v/>
      </c>
      <c r="CL147" s="25" t="str">
        <f>IF('1. Live'!CP165='check-Jul''26'!CL165,"",'1. Live'!CP165-'check-Jul''26'!CL165)</f>
        <v/>
      </c>
      <c r="CM147" s="25" t="str">
        <f>IF('1. Live'!CQ165='check-Jul''26'!CM165,"",'1. Live'!CQ165-'check-Jul''26'!CM165)</f>
        <v/>
      </c>
      <c r="CN147" s="25" t="str">
        <f>IF('1. Live'!CR165='check-Jul''26'!CN165,"",'1. Live'!CR165-'check-Jul''26'!CN165)</f>
        <v/>
      </c>
      <c r="CO147" s="25" t="str">
        <f>IF('1. Live'!CS165='check-Jul''26'!CO165,"",'1. Live'!CS165-'check-Jul''26'!CO165)</f>
        <v/>
      </c>
      <c r="CP147" s="25" t="str">
        <f>IF('1. Live'!CT165='check-Jul''26'!CP165,"",'1. Live'!CT165-'check-Jul''26'!CP165)</f>
        <v/>
      </c>
      <c r="CQ147" s="25" t="str">
        <f>IF('1. Live'!CU165='check-Jul''26'!CQ165,"",'1. Live'!CU165-'check-Jul''26'!CQ165)</f>
        <v/>
      </c>
      <c r="CR147" s="25" t="str">
        <f>IF('1. Live'!CV165='check-Jul''26'!CR165,"",'1. Live'!CV165-'check-Jul''26'!CR165)</f>
        <v/>
      </c>
      <c r="CS147" s="25" t="str">
        <f>IF('1. Live'!CW165='check-Jul''26'!CS165,"",'1. Live'!CW165-'check-Jul''26'!CS165)</f>
        <v/>
      </c>
      <c r="CT147" s="25" t="str">
        <f>IF('1. Live'!CX165='check-Jul''26'!CT165,"",'1. Live'!CX165-'check-Jul''26'!CT165)</f>
        <v/>
      </c>
      <c r="CU147" s="25" t="str">
        <f>IF('1. Live'!CY165='check-Jul''26'!CU165,"",'1. Live'!CY165-'check-Jul''26'!CU165)</f>
        <v/>
      </c>
      <c r="CV147" s="25" t="str">
        <f>IF('1. Live'!CZ165='check-Jul''26'!CV165,"",'1. Live'!CZ165-'check-Jul''26'!CV165)</f>
        <v/>
      </c>
    </row>
    <row r="148" spans="17:100" x14ac:dyDescent="0.25">
      <c r="Q148" s="26" t="str">
        <f>IF('1. Live'!N166='check-Jul''26'!I166,"",'1. Live'!N166-'check-Jul''26'!I166)</f>
        <v/>
      </c>
      <c r="R148" s="26" t="str">
        <f>IF('1. Live'!O166='check-Jul''26'!J166,"",'1. Live'!O166-'check-Jul''26'!J166)</f>
        <v/>
      </c>
      <c r="S148" s="26" t="str">
        <f>IF('1. Live'!P166='check-Jul''26'!K166,"",'1. Live'!P166-'check-Jul''26'!K166)</f>
        <v/>
      </c>
      <c r="T148" s="26" t="str">
        <f>IF('1. Live'!Q166='check-Jul''26'!L166,"",'1. Live'!Q166-'check-Jul''26'!L166)</f>
        <v/>
      </c>
      <c r="U148" s="80" t="str">
        <f>IF('1. Live'!R166='check-Jul''26'!M166,"",'1. Live'!R166-'check-Jul''26'!M166)</f>
        <v/>
      </c>
      <c r="V148" s="26" t="str">
        <f>IF('1. Live'!S166='check-Jul''26'!N166,"",'1. Live'!S166-'check-Jul''26'!N166)</f>
        <v/>
      </c>
      <c r="W148" s="25" t="str">
        <f>IF('1. Live'!T166='check-Jul''26'!O166,"",'1. Live'!T166-'check-Jul''26'!O166)</f>
        <v/>
      </c>
      <c r="X148" s="25" t="str">
        <f>IF('1. Live'!U166='check-Jul''26'!Q166,"",'1. Live'!U166-'check-Jul''26'!Q166)</f>
        <v/>
      </c>
      <c r="Y148" s="25" t="str">
        <f>IF('1. Live'!V166='check-Jul''26'!R166,"",'1. Live'!V166-'check-Jul''26'!R166)</f>
        <v/>
      </c>
      <c r="Z148" s="25" t="str">
        <f>IF('1. Live'!W166='check-Jul''26'!S166,"",'1. Live'!W166-'check-Jul''26'!S166)</f>
        <v/>
      </c>
      <c r="AA148" s="25" t="str">
        <f>IF('1. Live'!X166='check-Jul''26'!T166,"",'1. Live'!X166-'check-Jul''26'!T166)</f>
        <v/>
      </c>
      <c r="AB148" s="25" t="str">
        <f>IF('1. Live'!AF166='check-Jul''26'!AB166,"",'1. Live'!AF166-'check-Jul''26'!AB166)</f>
        <v/>
      </c>
      <c r="AC148" s="25" t="str">
        <f>IF('1. Live'!AG166='check-Jul''26'!AC166,"",'1. Live'!AG166-'check-Jul''26'!AC166)</f>
        <v/>
      </c>
      <c r="AD148" s="25" t="str">
        <f>IF('1. Live'!AH166='check-Jul''26'!AD166,"",'1. Live'!AH166-'check-Jul''26'!AD166)</f>
        <v/>
      </c>
      <c r="AE148" s="25" t="str">
        <f>IF('1. Live'!AI166='check-Jul''26'!AE166,"",'1. Live'!AI166-'check-Jul''26'!AE166)</f>
        <v/>
      </c>
      <c r="AF148" s="25" t="str">
        <f>IF('1. Live'!AJ166='check-Jul''26'!AF166,"",'1. Live'!AJ166-'check-Jul''26'!AF166)</f>
        <v/>
      </c>
      <c r="AG148" s="25" t="str">
        <f>IF('1. Live'!AK166='check-Jul''26'!AG166,"",'1. Live'!AK166-'check-Jul''26'!AG166)</f>
        <v/>
      </c>
      <c r="AH148" s="25" t="str">
        <f>IF('1. Live'!AL166='check-Jul''26'!AH166,"",'1. Live'!AL166-'check-Jul''26'!AH166)</f>
        <v/>
      </c>
      <c r="AI148" s="25" t="str">
        <f>IF('1. Live'!AM166='check-Jul''26'!AI166,"",'1. Live'!AM166-'check-Jul''26'!AI166)</f>
        <v/>
      </c>
      <c r="AJ148" s="25" t="str">
        <f>IF('1. Live'!AN166='check-Jul''26'!AJ166,"",'1. Live'!AN166-'check-Jul''26'!AJ166)</f>
        <v/>
      </c>
      <c r="AK148" s="25" t="str">
        <f>IF('1. Live'!AO166='check-Jul''26'!AK166,"",'1. Live'!AO166-'check-Jul''26'!AK166)</f>
        <v/>
      </c>
      <c r="AL148" s="25" t="str">
        <f>IF('1. Live'!AP166='check-Jul''26'!AL166,"",'1. Live'!AP166-'check-Jul''26'!AL166)</f>
        <v/>
      </c>
      <c r="AM148" s="25" t="str">
        <f>IF('1. Live'!AQ166='check-Jul''26'!AM166,"",'1. Live'!AQ166-'check-Jul''26'!AM166)</f>
        <v/>
      </c>
      <c r="AN148" s="25" t="str">
        <f>IF('1. Live'!AR166='check-Jul''26'!AN166,"",'1. Live'!AR166-'check-Jul''26'!AN166)</f>
        <v/>
      </c>
      <c r="AO148" s="25" t="str">
        <f>IF('1. Live'!AS166='check-Jul''26'!AO166,"",'1. Live'!AS166-'check-Jul''26'!AO166)</f>
        <v/>
      </c>
      <c r="AP148" s="25" t="str">
        <f>IF('1. Live'!AT166='check-Jul''26'!AP166,"",'1. Live'!AT166-'check-Jul''26'!AP166)</f>
        <v/>
      </c>
      <c r="AQ148" s="25" t="str">
        <f>IF('1. Live'!AU166='check-Jul''26'!AQ166,"",'1. Live'!AU166-'check-Jul''26'!AQ166)</f>
        <v/>
      </c>
      <c r="AR148" s="25" t="str">
        <f>IF('1. Live'!AV166='check-Jul''26'!AR166,"",'1. Live'!AV166-'check-Jul''26'!AR166)</f>
        <v/>
      </c>
      <c r="AS148" s="25" t="str">
        <f>IF('1. Live'!AW166='check-Jul''26'!AS166,"",'1. Live'!AW166-'check-Jul''26'!AS166)</f>
        <v/>
      </c>
      <c r="AT148" s="25" t="str">
        <f>IF('1. Live'!AX166='check-Jul''26'!AT166,"",'1. Live'!AX166-'check-Jul''26'!AT166)</f>
        <v/>
      </c>
      <c r="AU148" s="25" t="str">
        <f>IF('1. Live'!AY166='check-Jul''26'!AU166,"",'1. Live'!AY166-'check-Jul''26'!AU166)</f>
        <v/>
      </c>
      <c r="AV148" s="25" t="str">
        <f>IF('1. Live'!AZ166='check-Jul''26'!AV166,"",'1. Live'!AZ166-'check-Jul''26'!AV166)</f>
        <v/>
      </c>
      <c r="AW148" s="25" t="str">
        <f>IF('1. Live'!BA166='check-Jul''26'!AW166,"",'1. Live'!BA166-'check-Jul''26'!AW166)</f>
        <v/>
      </c>
      <c r="AX148" s="25" t="str">
        <f>IF('1. Live'!BB166='check-Jul''26'!AX166,"",'1. Live'!BB166-'check-Jul''26'!AX166)</f>
        <v/>
      </c>
      <c r="AY148" s="25" t="str">
        <f>IF('1. Live'!BC166='check-Jul''26'!AY166,"",'1. Live'!BC166-'check-Jul''26'!AY166)</f>
        <v/>
      </c>
      <c r="AZ148" s="25" t="str">
        <f>IF('1. Live'!BD166='check-Jul''26'!AZ166,"",'1. Live'!BD166-'check-Jul''26'!AZ166)</f>
        <v/>
      </c>
      <c r="BA148" s="25" t="str">
        <f>IF('1. Live'!BE166='check-Jul''26'!BA166,"",'1. Live'!BE166-'check-Jul''26'!BA166)</f>
        <v/>
      </c>
      <c r="BB148" s="25" t="str">
        <f>IF('1. Live'!BF166='check-Jul''26'!BB166,"",'1. Live'!BF166-'check-Jul''26'!BB166)</f>
        <v/>
      </c>
      <c r="BC148" s="25" t="str">
        <f>IF('1. Live'!BG166='check-Jul''26'!BC166,"",'1. Live'!BG166-'check-Jul''26'!BC166)</f>
        <v/>
      </c>
      <c r="BD148" s="25" t="str">
        <f>IF('1. Live'!BH166='check-Jul''26'!BD166,"",'1. Live'!BH166-'check-Jul''26'!BD166)</f>
        <v/>
      </c>
      <c r="BE148" s="25" t="str">
        <f>IF('1. Live'!BI166='check-Jul''26'!BE166,"",'1. Live'!BI166-'check-Jul''26'!BE166)</f>
        <v/>
      </c>
      <c r="BF148" s="25" t="str">
        <f>IF('1. Live'!BJ166='check-Jul''26'!BF166,"",'1. Live'!BJ166-'check-Jul''26'!BF166)</f>
        <v/>
      </c>
      <c r="BG148" s="25" t="str">
        <f>IF('1. Live'!BK166='check-Jul''26'!BG166,"",'1. Live'!BK166-'check-Jul''26'!BG166)</f>
        <v/>
      </c>
      <c r="BH148" s="25" t="str">
        <f>IF('1. Live'!BL166='check-Jul''26'!BH166,"",'1. Live'!BL166-'check-Jul''26'!BH166)</f>
        <v/>
      </c>
      <c r="BI148" s="25" t="str">
        <f>IF('1. Live'!BM166='check-Jul''26'!BI166,"",'1. Live'!BM166-'check-Jul''26'!BI166)</f>
        <v/>
      </c>
      <c r="BJ148" s="25" t="str">
        <f>IF('1. Live'!BN166='check-Jul''26'!BJ166,"",'1. Live'!BN166-'check-Jul''26'!BJ166)</f>
        <v/>
      </c>
      <c r="BK148" s="25" t="str">
        <f>IF('1. Live'!BO166='check-Jul''26'!BK166,"",'1. Live'!BO166-'check-Jul''26'!BK166)</f>
        <v/>
      </c>
      <c r="BL148" s="25" t="str">
        <f>IF('1. Live'!BP166='check-Jul''26'!BL166,"",'1. Live'!BP166-'check-Jul''26'!BL166)</f>
        <v/>
      </c>
      <c r="BM148" s="25" t="str">
        <f>IF('1. Live'!BQ166='check-Jul''26'!BM166,"",'1. Live'!BQ166-'check-Jul''26'!BM166)</f>
        <v/>
      </c>
      <c r="BN148" s="25" t="str">
        <f>IF('1. Live'!BR166='check-Jul''26'!BN166,"",'1. Live'!BR166-'check-Jul''26'!BN166)</f>
        <v/>
      </c>
      <c r="BO148" s="25" t="str">
        <f>IF('1. Live'!BS166='check-Jul''26'!BO166,"",'1. Live'!BS166-'check-Jul''26'!BO166)</f>
        <v/>
      </c>
      <c r="BP148" s="25" t="str">
        <f>IF('1. Live'!BT166='check-Jul''26'!BP166,"",'1. Live'!BT166-'check-Jul''26'!BP166)</f>
        <v/>
      </c>
      <c r="BQ148" s="25" t="str">
        <f>IF('1. Live'!BU166='check-Jul''26'!BQ166,"",'1. Live'!BU166-'check-Jul''26'!BQ166)</f>
        <v/>
      </c>
      <c r="BR148" s="25" t="str">
        <f>IF('1. Live'!BV166='check-Jul''26'!BR166,"",'1. Live'!BV166-'check-Jul''26'!BR166)</f>
        <v/>
      </c>
      <c r="BS148" s="25" t="str">
        <f>IF('1. Live'!BW166='check-Jul''26'!BS166,"",'1. Live'!BW166-'check-Jul''26'!BS166)</f>
        <v/>
      </c>
      <c r="BT148" s="25" t="str">
        <f>IF('1. Live'!BX166='check-Jul''26'!BT166,"",'1. Live'!BX166-'check-Jul''26'!BT166)</f>
        <v/>
      </c>
      <c r="BU148" s="25" t="str">
        <f>IF('1. Live'!BY166='check-Jul''26'!BU166,"",'1. Live'!BY166-'check-Jul''26'!BU166)</f>
        <v/>
      </c>
      <c r="BV148" s="25" t="str">
        <f>IF('1. Live'!BZ166='check-Jul''26'!BV166,"",'1. Live'!BZ166-'check-Jul''26'!BV166)</f>
        <v/>
      </c>
      <c r="BW148" s="25" t="str">
        <f>IF('1. Live'!CA166='check-Jul''26'!BW166,"",'1. Live'!CA166-'check-Jul''26'!BW166)</f>
        <v/>
      </c>
      <c r="BX148" s="25" t="str">
        <f>IF('1. Live'!CB166='check-Jul''26'!BX166,"",'1. Live'!CB166-'check-Jul''26'!BX166)</f>
        <v/>
      </c>
      <c r="BY148" s="25" t="str">
        <f>IF('1. Live'!CC166='check-Jul''26'!BY166,"",'1. Live'!CC166-'check-Jul''26'!BY166)</f>
        <v/>
      </c>
      <c r="BZ148" s="25" t="str">
        <f>IF('1. Live'!CD166='check-Jul''26'!BZ166,"",'1. Live'!CD166-'check-Jul''26'!BZ166)</f>
        <v/>
      </c>
      <c r="CA148" s="25" t="str">
        <f>IF('1. Live'!CE166='check-Jul''26'!CA166,"",'1. Live'!CE166-'check-Jul''26'!CA166)</f>
        <v/>
      </c>
      <c r="CB148" s="25" t="str">
        <f>IF('1. Live'!CF166='check-Jul''26'!CB166,"",'1. Live'!CF166-'check-Jul''26'!CB166)</f>
        <v/>
      </c>
      <c r="CC148" s="25" t="str">
        <f>IF('1. Live'!CG166='check-Jul''26'!CC166,"",'1. Live'!CG166-'check-Jul''26'!CC166)</f>
        <v/>
      </c>
      <c r="CD148" s="25" t="str">
        <f>IF('1. Live'!CH166='check-Jul''26'!CD166,"",'1. Live'!CH166-'check-Jul''26'!CD166)</f>
        <v/>
      </c>
      <c r="CE148" s="25" t="str">
        <f>IF('1. Live'!CI166='check-Jul''26'!CE166,"",'1. Live'!CI166-'check-Jul''26'!CE166)</f>
        <v/>
      </c>
      <c r="CF148" s="25" t="str">
        <f>IF('1. Live'!CJ166='check-Jul''26'!CF166,"",'1. Live'!CJ166-'check-Jul''26'!CF166)</f>
        <v/>
      </c>
      <c r="CG148" s="25" t="str">
        <f>IF('1. Live'!CK166='check-Jul''26'!CG166,"",'1. Live'!CK166-'check-Jul''26'!CG166)</f>
        <v/>
      </c>
      <c r="CH148" s="25" t="str">
        <f>IF('1. Live'!CL166='check-Jul''26'!CH166,"",'1. Live'!CL166-'check-Jul''26'!CH166)</f>
        <v/>
      </c>
      <c r="CI148" s="25" t="str">
        <f>IF('1. Live'!CM166='check-Jul''26'!CI166,"",'1. Live'!CM166-'check-Jul''26'!CI166)</f>
        <v/>
      </c>
      <c r="CJ148" s="25" t="str">
        <f>IF('1. Live'!CN166='check-Jul''26'!CJ166,"",'1. Live'!CN166-'check-Jul''26'!CJ166)</f>
        <v/>
      </c>
      <c r="CK148" s="25" t="str">
        <f>IF('1. Live'!CO166='check-Jul''26'!CK166,"",'1. Live'!CO166-'check-Jul''26'!CK166)</f>
        <v/>
      </c>
      <c r="CL148" s="25" t="str">
        <f>IF('1. Live'!CP166='check-Jul''26'!CL166,"",'1. Live'!CP166-'check-Jul''26'!CL166)</f>
        <v/>
      </c>
      <c r="CM148" s="25" t="str">
        <f>IF('1. Live'!CQ166='check-Jul''26'!CM166,"",'1. Live'!CQ166-'check-Jul''26'!CM166)</f>
        <v/>
      </c>
      <c r="CN148" s="25" t="str">
        <f>IF('1. Live'!CR166='check-Jul''26'!CN166,"",'1. Live'!CR166-'check-Jul''26'!CN166)</f>
        <v/>
      </c>
      <c r="CO148" s="25" t="str">
        <f>IF('1. Live'!CS166='check-Jul''26'!CO166,"",'1. Live'!CS166-'check-Jul''26'!CO166)</f>
        <v/>
      </c>
      <c r="CP148" s="25" t="str">
        <f>IF('1. Live'!CT166='check-Jul''26'!CP166,"",'1. Live'!CT166-'check-Jul''26'!CP166)</f>
        <v/>
      </c>
      <c r="CQ148" s="25" t="str">
        <f>IF('1. Live'!CU166='check-Jul''26'!CQ166,"",'1. Live'!CU166-'check-Jul''26'!CQ166)</f>
        <v/>
      </c>
      <c r="CR148" s="25" t="str">
        <f>IF('1. Live'!CV166='check-Jul''26'!CR166,"",'1. Live'!CV166-'check-Jul''26'!CR166)</f>
        <v/>
      </c>
      <c r="CS148" s="25" t="str">
        <f>IF('1. Live'!CW166='check-Jul''26'!CS166,"",'1. Live'!CW166-'check-Jul''26'!CS166)</f>
        <v/>
      </c>
      <c r="CT148" s="25" t="str">
        <f>IF('1. Live'!CX166='check-Jul''26'!CT166,"",'1. Live'!CX166-'check-Jul''26'!CT166)</f>
        <v/>
      </c>
      <c r="CU148" s="25" t="str">
        <f>IF('1. Live'!CY166='check-Jul''26'!CU166,"",'1. Live'!CY166-'check-Jul''26'!CU166)</f>
        <v/>
      </c>
      <c r="CV148" s="25" t="str">
        <f>IF('1. Live'!CZ166='check-Jul''26'!CV166,"",'1. Live'!CZ166-'check-Jul''26'!CV166)</f>
        <v/>
      </c>
    </row>
    <row r="149" spans="17:100" x14ac:dyDescent="0.25">
      <c r="Q149" s="26" t="str">
        <f>IF('1. Live'!N167='check-Jul''26'!I167,"",'1. Live'!N167-'check-Jul''26'!I167)</f>
        <v/>
      </c>
      <c r="R149" s="26" t="str">
        <f>IF('1. Live'!O167='check-Jul''26'!J167,"",'1. Live'!O167-'check-Jul''26'!J167)</f>
        <v/>
      </c>
      <c r="S149" s="26" t="str">
        <f>IF('1. Live'!P167='check-Jul''26'!K167,"",'1. Live'!P167-'check-Jul''26'!K167)</f>
        <v/>
      </c>
      <c r="T149" s="26" t="str">
        <f>IF('1. Live'!Q167='check-Jul''26'!L167,"",'1. Live'!Q167-'check-Jul''26'!L167)</f>
        <v/>
      </c>
      <c r="U149" s="80" t="str">
        <f>IF('1. Live'!R167='check-Jul''26'!M167,"",'1. Live'!R167-'check-Jul''26'!M167)</f>
        <v/>
      </c>
      <c r="V149" s="26" t="str">
        <f>IF('1. Live'!S167='check-Jul''26'!N167,"",'1. Live'!S167-'check-Jul''26'!N167)</f>
        <v/>
      </c>
      <c r="W149" s="25" t="str">
        <f>IF('1. Live'!T167='check-Jul''26'!O167,"",'1. Live'!T167-'check-Jul''26'!O167)</f>
        <v/>
      </c>
      <c r="X149" s="25" t="str">
        <f>IF('1. Live'!U167='check-Jul''26'!Q167,"",'1. Live'!U167-'check-Jul''26'!Q167)</f>
        <v/>
      </c>
      <c r="Y149" s="25" t="str">
        <f>IF('1. Live'!V167='check-Jul''26'!R167,"",'1. Live'!V167-'check-Jul''26'!R167)</f>
        <v/>
      </c>
      <c r="Z149" s="25" t="str">
        <f>IF('1. Live'!W167='check-Jul''26'!S167,"",'1. Live'!W167-'check-Jul''26'!S167)</f>
        <v/>
      </c>
      <c r="AA149" s="25" t="str">
        <f>IF('1. Live'!X167='check-Jul''26'!T167,"",'1. Live'!X167-'check-Jul''26'!T167)</f>
        <v/>
      </c>
      <c r="AB149" s="25" t="str">
        <f>IF('1. Live'!AF167='check-Jul''26'!AB167,"",'1. Live'!AF167-'check-Jul''26'!AB167)</f>
        <v/>
      </c>
      <c r="AC149" s="25" t="str">
        <f>IF('1. Live'!AG167='check-Jul''26'!AC167,"",'1. Live'!AG167-'check-Jul''26'!AC167)</f>
        <v/>
      </c>
      <c r="AD149" s="25" t="str">
        <f>IF('1. Live'!AH167='check-Jul''26'!AD167,"",'1. Live'!AH167-'check-Jul''26'!AD167)</f>
        <v/>
      </c>
      <c r="AE149" s="25" t="str">
        <f>IF('1. Live'!AI167='check-Jul''26'!AE167,"",'1. Live'!AI167-'check-Jul''26'!AE167)</f>
        <v/>
      </c>
      <c r="AF149" s="25" t="str">
        <f>IF('1. Live'!AJ167='check-Jul''26'!AF167,"",'1. Live'!AJ167-'check-Jul''26'!AF167)</f>
        <v/>
      </c>
      <c r="AG149" s="25" t="str">
        <f>IF('1. Live'!AK167='check-Jul''26'!AG167,"",'1. Live'!AK167-'check-Jul''26'!AG167)</f>
        <v/>
      </c>
      <c r="AH149" s="25" t="str">
        <f>IF('1. Live'!AL167='check-Jul''26'!AH167,"",'1. Live'!AL167-'check-Jul''26'!AH167)</f>
        <v/>
      </c>
      <c r="AI149" s="25" t="str">
        <f>IF('1. Live'!AM167='check-Jul''26'!AI167,"",'1. Live'!AM167-'check-Jul''26'!AI167)</f>
        <v/>
      </c>
      <c r="AJ149" s="25" t="str">
        <f>IF('1. Live'!AN167='check-Jul''26'!AJ167,"",'1. Live'!AN167-'check-Jul''26'!AJ167)</f>
        <v/>
      </c>
      <c r="AK149" s="25" t="str">
        <f>IF('1. Live'!AO167='check-Jul''26'!AK167,"",'1. Live'!AO167-'check-Jul''26'!AK167)</f>
        <v/>
      </c>
      <c r="AL149" s="25" t="str">
        <f>IF('1. Live'!AP167='check-Jul''26'!AL167,"",'1. Live'!AP167-'check-Jul''26'!AL167)</f>
        <v/>
      </c>
      <c r="AM149" s="25" t="str">
        <f>IF('1. Live'!AQ167='check-Jul''26'!AM167,"",'1. Live'!AQ167-'check-Jul''26'!AM167)</f>
        <v/>
      </c>
      <c r="AN149" s="25" t="str">
        <f>IF('1. Live'!AR167='check-Jul''26'!AN167,"",'1. Live'!AR167-'check-Jul''26'!AN167)</f>
        <v/>
      </c>
      <c r="AO149" s="25" t="str">
        <f>IF('1. Live'!AS167='check-Jul''26'!AO167,"",'1. Live'!AS167-'check-Jul''26'!AO167)</f>
        <v/>
      </c>
      <c r="AP149" s="25" t="str">
        <f>IF('1. Live'!AT167='check-Jul''26'!AP167,"",'1. Live'!AT167-'check-Jul''26'!AP167)</f>
        <v/>
      </c>
      <c r="AQ149" s="25" t="str">
        <f>IF('1. Live'!AU167='check-Jul''26'!AQ167,"",'1. Live'!AU167-'check-Jul''26'!AQ167)</f>
        <v/>
      </c>
      <c r="AR149" s="25" t="str">
        <f>IF('1. Live'!AV167='check-Jul''26'!AR167,"",'1. Live'!AV167-'check-Jul''26'!AR167)</f>
        <v/>
      </c>
      <c r="AS149" s="25" t="str">
        <f>IF('1. Live'!AW167='check-Jul''26'!AS167,"",'1. Live'!AW167-'check-Jul''26'!AS167)</f>
        <v/>
      </c>
      <c r="AT149" s="25" t="str">
        <f>IF('1. Live'!AX167='check-Jul''26'!AT167,"",'1. Live'!AX167-'check-Jul''26'!AT167)</f>
        <v/>
      </c>
      <c r="AU149" s="25" t="str">
        <f>IF('1. Live'!AY167='check-Jul''26'!AU167,"",'1. Live'!AY167-'check-Jul''26'!AU167)</f>
        <v/>
      </c>
      <c r="AV149" s="25" t="str">
        <f>IF('1. Live'!AZ167='check-Jul''26'!AV167,"",'1. Live'!AZ167-'check-Jul''26'!AV167)</f>
        <v/>
      </c>
      <c r="AW149" s="25" t="str">
        <f>IF('1. Live'!BA167='check-Jul''26'!AW167,"",'1. Live'!BA167-'check-Jul''26'!AW167)</f>
        <v/>
      </c>
      <c r="AX149" s="25" t="str">
        <f>IF('1. Live'!BB167='check-Jul''26'!AX167,"",'1. Live'!BB167-'check-Jul''26'!AX167)</f>
        <v/>
      </c>
      <c r="AY149" s="25" t="str">
        <f>IF('1. Live'!BC167='check-Jul''26'!AY167,"",'1. Live'!BC167-'check-Jul''26'!AY167)</f>
        <v/>
      </c>
      <c r="AZ149" s="25" t="str">
        <f>IF('1. Live'!BD167='check-Jul''26'!AZ167,"",'1. Live'!BD167-'check-Jul''26'!AZ167)</f>
        <v/>
      </c>
      <c r="BA149" s="25" t="str">
        <f>IF('1. Live'!BE167='check-Jul''26'!BA167,"",'1. Live'!BE167-'check-Jul''26'!BA167)</f>
        <v/>
      </c>
      <c r="BB149" s="25" t="str">
        <f>IF('1. Live'!BF167='check-Jul''26'!BB167,"",'1. Live'!BF167-'check-Jul''26'!BB167)</f>
        <v/>
      </c>
      <c r="BC149" s="25" t="str">
        <f>IF('1. Live'!BG167='check-Jul''26'!BC167,"",'1. Live'!BG167-'check-Jul''26'!BC167)</f>
        <v/>
      </c>
      <c r="BD149" s="25" t="str">
        <f>IF('1. Live'!BH167='check-Jul''26'!BD167,"",'1. Live'!BH167-'check-Jul''26'!BD167)</f>
        <v/>
      </c>
      <c r="BE149" s="25" t="str">
        <f>IF('1. Live'!BI167='check-Jul''26'!BE167,"",'1. Live'!BI167-'check-Jul''26'!BE167)</f>
        <v/>
      </c>
      <c r="BF149" s="25" t="str">
        <f>IF('1. Live'!BJ167='check-Jul''26'!BF167,"",'1. Live'!BJ167-'check-Jul''26'!BF167)</f>
        <v/>
      </c>
      <c r="BG149" s="25" t="str">
        <f>IF('1. Live'!BK167='check-Jul''26'!BG167,"",'1. Live'!BK167-'check-Jul''26'!BG167)</f>
        <v/>
      </c>
      <c r="BH149" s="25" t="str">
        <f>IF('1. Live'!BL167='check-Jul''26'!BH167,"",'1. Live'!BL167-'check-Jul''26'!BH167)</f>
        <v/>
      </c>
      <c r="BI149" s="25" t="str">
        <f>IF('1. Live'!BM167='check-Jul''26'!BI167,"",'1. Live'!BM167-'check-Jul''26'!BI167)</f>
        <v/>
      </c>
      <c r="BJ149" s="25" t="str">
        <f>IF('1. Live'!BN167='check-Jul''26'!BJ167,"",'1. Live'!BN167-'check-Jul''26'!BJ167)</f>
        <v/>
      </c>
      <c r="BK149" s="25" t="str">
        <f>IF('1. Live'!BO167='check-Jul''26'!BK167,"",'1. Live'!BO167-'check-Jul''26'!BK167)</f>
        <v/>
      </c>
      <c r="BL149" s="25" t="str">
        <f>IF('1. Live'!BP167='check-Jul''26'!BL167,"",'1. Live'!BP167-'check-Jul''26'!BL167)</f>
        <v/>
      </c>
      <c r="BM149" s="25" t="str">
        <f>IF('1. Live'!BQ167='check-Jul''26'!BM167,"",'1. Live'!BQ167-'check-Jul''26'!BM167)</f>
        <v/>
      </c>
      <c r="BN149" s="25" t="str">
        <f>IF('1. Live'!BR167='check-Jul''26'!BN167,"",'1. Live'!BR167-'check-Jul''26'!BN167)</f>
        <v/>
      </c>
      <c r="BO149" s="25" t="str">
        <f>IF('1. Live'!BS167='check-Jul''26'!BO167,"",'1. Live'!BS167-'check-Jul''26'!BO167)</f>
        <v/>
      </c>
      <c r="BP149" s="25" t="str">
        <f>IF('1. Live'!BT167='check-Jul''26'!BP167,"",'1. Live'!BT167-'check-Jul''26'!BP167)</f>
        <v/>
      </c>
      <c r="BQ149" s="25" t="str">
        <f>IF('1. Live'!BU167='check-Jul''26'!BQ167,"",'1. Live'!BU167-'check-Jul''26'!BQ167)</f>
        <v/>
      </c>
      <c r="BR149" s="25" t="str">
        <f>IF('1. Live'!BV167='check-Jul''26'!BR167,"",'1. Live'!BV167-'check-Jul''26'!BR167)</f>
        <v/>
      </c>
      <c r="BS149" s="25" t="str">
        <f>IF('1. Live'!BW167='check-Jul''26'!BS167,"",'1. Live'!BW167-'check-Jul''26'!BS167)</f>
        <v/>
      </c>
      <c r="BT149" s="25" t="str">
        <f>IF('1. Live'!BX167='check-Jul''26'!BT167,"",'1. Live'!BX167-'check-Jul''26'!BT167)</f>
        <v/>
      </c>
      <c r="BU149" s="25" t="str">
        <f>IF('1. Live'!BY167='check-Jul''26'!BU167,"",'1. Live'!BY167-'check-Jul''26'!BU167)</f>
        <v/>
      </c>
      <c r="BV149" s="25" t="str">
        <f>IF('1. Live'!BZ167='check-Jul''26'!BV167,"",'1. Live'!BZ167-'check-Jul''26'!BV167)</f>
        <v/>
      </c>
      <c r="BW149" s="25" t="str">
        <f>IF('1. Live'!CA167='check-Jul''26'!BW167,"",'1. Live'!CA167-'check-Jul''26'!BW167)</f>
        <v/>
      </c>
      <c r="BX149" s="25" t="str">
        <f>IF('1. Live'!CB167='check-Jul''26'!BX167,"",'1. Live'!CB167-'check-Jul''26'!BX167)</f>
        <v/>
      </c>
      <c r="BY149" s="25" t="str">
        <f>IF('1. Live'!CC167='check-Jul''26'!BY167,"",'1. Live'!CC167-'check-Jul''26'!BY167)</f>
        <v/>
      </c>
      <c r="BZ149" s="25" t="str">
        <f>IF('1. Live'!CD167='check-Jul''26'!BZ167,"",'1. Live'!CD167-'check-Jul''26'!BZ167)</f>
        <v/>
      </c>
      <c r="CA149" s="25" t="str">
        <f>IF('1. Live'!CE167='check-Jul''26'!CA167,"",'1. Live'!CE167-'check-Jul''26'!CA167)</f>
        <v/>
      </c>
      <c r="CB149" s="25" t="str">
        <f>IF('1. Live'!CF167='check-Jul''26'!CB167,"",'1. Live'!CF167-'check-Jul''26'!CB167)</f>
        <v/>
      </c>
      <c r="CC149" s="25" t="str">
        <f>IF('1. Live'!CG167='check-Jul''26'!CC167,"",'1. Live'!CG167-'check-Jul''26'!CC167)</f>
        <v/>
      </c>
      <c r="CD149" s="25" t="str">
        <f>IF('1. Live'!CH167='check-Jul''26'!CD167,"",'1. Live'!CH167-'check-Jul''26'!CD167)</f>
        <v/>
      </c>
      <c r="CE149" s="25" t="str">
        <f>IF('1. Live'!CI167='check-Jul''26'!CE167,"",'1. Live'!CI167-'check-Jul''26'!CE167)</f>
        <v/>
      </c>
      <c r="CF149" s="25" t="str">
        <f>IF('1. Live'!CJ167='check-Jul''26'!CF167,"",'1. Live'!CJ167-'check-Jul''26'!CF167)</f>
        <v/>
      </c>
      <c r="CG149" s="25" t="str">
        <f>IF('1. Live'!CK167='check-Jul''26'!CG167,"",'1. Live'!CK167-'check-Jul''26'!CG167)</f>
        <v/>
      </c>
      <c r="CH149" s="25" t="str">
        <f>IF('1. Live'!CL167='check-Jul''26'!CH167,"",'1. Live'!CL167-'check-Jul''26'!CH167)</f>
        <v/>
      </c>
      <c r="CI149" s="25" t="str">
        <f>IF('1. Live'!CM167='check-Jul''26'!CI167,"",'1. Live'!CM167-'check-Jul''26'!CI167)</f>
        <v/>
      </c>
      <c r="CJ149" s="25" t="str">
        <f>IF('1. Live'!CN167='check-Jul''26'!CJ167,"",'1. Live'!CN167-'check-Jul''26'!CJ167)</f>
        <v/>
      </c>
      <c r="CK149" s="25" t="str">
        <f>IF('1. Live'!CO167='check-Jul''26'!CK167,"",'1. Live'!CO167-'check-Jul''26'!CK167)</f>
        <v/>
      </c>
      <c r="CL149" s="25" t="str">
        <f>IF('1. Live'!CP167='check-Jul''26'!CL167,"",'1. Live'!CP167-'check-Jul''26'!CL167)</f>
        <v/>
      </c>
      <c r="CM149" s="25" t="str">
        <f>IF('1. Live'!CQ167='check-Jul''26'!CM167,"",'1. Live'!CQ167-'check-Jul''26'!CM167)</f>
        <v/>
      </c>
      <c r="CN149" s="25" t="str">
        <f>IF('1. Live'!CR167='check-Jul''26'!CN167,"",'1. Live'!CR167-'check-Jul''26'!CN167)</f>
        <v/>
      </c>
      <c r="CO149" s="25" t="str">
        <f>IF('1. Live'!CS167='check-Jul''26'!CO167,"",'1. Live'!CS167-'check-Jul''26'!CO167)</f>
        <v/>
      </c>
      <c r="CP149" s="25" t="str">
        <f>IF('1. Live'!CT167='check-Jul''26'!CP167,"",'1. Live'!CT167-'check-Jul''26'!CP167)</f>
        <v/>
      </c>
      <c r="CQ149" s="25" t="str">
        <f>IF('1. Live'!CU167='check-Jul''26'!CQ167,"",'1. Live'!CU167-'check-Jul''26'!CQ167)</f>
        <v/>
      </c>
      <c r="CR149" s="25" t="str">
        <f>IF('1. Live'!CV167='check-Jul''26'!CR167,"",'1. Live'!CV167-'check-Jul''26'!CR167)</f>
        <v/>
      </c>
      <c r="CS149" s="25" t="str">
        <f>IF('1. Live'!CW167='check-Jul''26'!CS167,"",'1. Live'!CW167-'check-Jul''26'!CS167)</f>
        <v/>
      </c>
      <c r="CT149" s="25" t="str">
        <f>IF('1. Live'!CX167='check-Jul''26'!CT167,"",'1. Live'!CX167-'check-Jul''26'!CT167)</f>
        <v/>
      </c>
      <c r="CU149" s="25" t="str">
        <f>IF('1. Live'!CY167='check-Jul''26'!CU167,"",'1. Live'!CY167-'check-Jul''26'!CU167)</f>
        <v/>
      </c>
      <c r="CV149" s="25" t="str">
        <f>IF('1. Live'!CZ167='check-Jul''26'!CV167,"",'1. Live'!CZ167-'check-Jul''26'!CV167)</f>
        <v/>
      </c>
    </row>
    <row r="150" spans="17:100" x14ac:dyDescent="0.25">
      <c r="Q150" s="26" t="str">
        <f>IF('1. Live'!N168='check-Jul''26'!I168,"",'1. Live'!N168-'check-Jul''26'!I168)</f>
        <v/>
      </c>
      <c r="R150" s="26" t="str">
        <f>IF('1. Live'!O168='check-Jul''26'!J168,"",'1. Live'!O168-'check-Jul''26'!J168)</f>
        <v/>
      </c>
      <c r="S150" s="26" t="str">
        <f>IF('1. Live'!P168='check-Jul''26'!K168,"",'1. Live'!P168-'check-Jul''26'!K168)</f>
        <v/>
      </c>
      <c r="T150" s="26" t="str">
        <f>IF('1. Live'!Q168='check-Jul''26'!L168,"",'1. Live'!Q168-'check-Jul''26'!L168)</f>
        <v/>
      </c>
      <c r="U150" s="80" t="str">
        <f>IF('1. Live'!R168='check-Jul''26'!M168,"",'1. Live'!R168-'check-Jul''26'!M168)</f>
        <v/>
      </c>
      <c r="V150" s="26" t="str">
        <f>IF('1. Live'!S168='check-Jul''26'!N168,"",'1. Live'!S168-'check-Jul''26'!N168)</f>
        <v/>
      </c>
      <c r="W150" s="25" t="str">
        <f>IF('1. Live'!T168='check-Jul''26'!O168,"",'1. Live'!T168-'check-Jul''26'!O168)</f>
        <v/>
      </c>
      <c r="X150" s="25" t="str">
        <f>IF('1. Live'!U168='check-Jul''26'!Q168,"",'1. Live'!U168-'check-Jul''26'!Q168)</f>
        <v/>
      </c>
      <c r="Y150" s="25" t="str">
        <f>IF('1. Live'!V168='check-Jul''26'!R168,"",'1. Live'!V168-'check-Jul''26'!R168)</f>
        <v/>
      </c>
      <c r="Z150" s="25" t="str">
        <f>IF('1. Live'!W168='check-Jul''26'!S168,"",'1. Live'!W168-'check-Jul''26'!S168)</f>
        <v/>
      </c>
      <c r="AA150" s="25" t="str">
        <f>IF('1. Live'!X168='check-Jul''26'!T168,"",'1. Live'!X168-'check-Jul''26'!T168)</f>
        <v/>
      </c>
      <c r="AB150" s="25" t="str">
        <f>IF('1. Live'!AF168='check-Jul''26'!AB168,"",'1. Live'!AF168-'check-Jul''26'!AB168)</f>
        <v/>
      </c>
      <c r="AC150" s="25" t="str">
        <f>IF('1. Live'!AG168='check-Jul''26'!AC168,"",'1. Live'!AG168-'check-Jul''26'!AC168)</f>
        <v/>
      </c>
      <c r="AD150" s="25" t="str">
        <f>IF('1. Live'!AH168='check-Jul''26'!AD168,"",'1. Live'!AH168-'check-Jul''26'!AD168)</f>
        <v/>
      </c>
      <c r="AE150" s="25" t="str">
        <f>IF('1. Live'!AI168='check-Jul''26'!AE168,"",'1. Live'!AI168-'check-Jul''26'!AE168)</f>
        <v/>
      </c>
      <c r="AF150" s="25" t="str">
        <f>IF('1. Live'!AJ168='check-Jul''26'!AF168,"",'1. Live'!AJ168-'check-Jul''26'!AF168)</f>
        <v/>
      </c>
      <c r="AG150" s="25" t="str">
        <f>IF('1. Live'!AK168='check-Jul''26'!AG168,"",'1. Live'!AK168-'check-Jul''26'!AG168)</f>
        <v/>
      </c>
      <c r="AH150" s="25" t="str">
        <f>IF('1. Live'!AL168='check-Jul''26'!AH168,"",'1. Live'!AL168-'check-Jul''26'!AH168)</f>
        <v/>
      </c>
      <c r="AI150" s="25" t="str">
        <f>IF('1. Live'!AM168='check-Jul''26'!AI168,"",'1. Live'!AM168-'check-Jul''26'!AI168)</f>
        <v/>
      </c>
      <c r="AJ150" s="25" t="str">
        <f>IF('1. Live'!AN168='check-Jul''26'!AJ168,"",'1. Live'!AN168-'check-Jul''26'!AJ168)</f>
        <v/>
      </c>
      <c r="AK150" s="25" t="str">
        <f>IF('1. Live'!AO168='check-Jul''26'!AK168,"",'1. Live'!AO168-'check-Jul''26'!AK168)</f>
        <v/>
      </c>
      <c r="AL150" s="25" t="str">
        <f>IF('1. Live'!AP168='check-Jul''26'!AL168,"",'1. Live'!AP168-'check-Jul''26'!AL168)</f>
        <v/>
      </c>
      <c r="AM150" s="25" t="str">
        <f>IF('1. Live'!AQ168='check-Jul''26'!AM168,"",'1. Live'!AQ168-'check-Jul''26'!AM168)</f>
        <v/>
      </c>
      <c r="AN150" s="25" t="str">
        <f>IF('1. Live'!AR168='check-Jul''26'!AN168,"",'1. Live'!AR168-'check-Jul''26'!AN168)</f>
        <v/>
      </c>
      <c r="AO150" s="25" t="str">
        <f>IF('1. Live'!AS168='check-Jul''26'!AO168,"",'1. Live'!AS168-'check-Jul''26'!AO168)</f>
        <v/>
      </c>
      <c r="AP150" s="25" t="str">
        <f>IF('1. Live'!AT168='check-Jul''26'!AP168,"",'1. Live'!AT168-'check-Jul''26'!AP168)</f>
        <v/>
      </c>
      <c r="AQ150" s="25" t="str">
        <f>IF('1. Live'!AU168='check-Jul''26'!AQ168,"",'1. Live'!AU168-'check-Jul''26'!AQ168)</f>
        <v/>
      </c>
      <c r="AR150" s="25" t="str">
        <f>IF('1. Live'!AV168='check-Jul''26'!AR168,"",'1. Live'!AV168-'check-Jul''26'!AR168)</f>
        <v/>
      </c>
      <c r="AS150" s="25" t="str">
        <f>IF('1. Live'!AW168='check-Jul''26'!AS168,"",'1. Live'!AW168-'check-Jul''26'!AS168)</f>
        <v/>
      </c>
      <c r="AT150" s="25" t="str">
        <f>IF('1. Live'!AX168='check-Jul''26'!AT168,"",'1. Live'!AX168-'check-Jul''26'!AT168)</f>
        <v/>
      </c>
      <c r="AU150" s="25" t="str">
        <f>IF('1. Live'!AY168='check-Jul''26'!AU168,"",'1. Live'!AY168-'check-Jul''26'!AU168)</f>
        <v/>
      </c>
      <c r="AV150" s="25" t="str">
        <f>IF('1. Live'!AZ168='check-Jul''26'!AV168,"",'1. Live'!AZ168-'check-Jul''26'!AV168)</f>
        <v/>
      </c>
      <c r="AW150" s="25" t="str">
        <f>IF('1. Live'!BA168='check-Jul''26'!AW168,"",'1. Live'!BA168-'check-Jul''26'!AW168)</f>
        <v/>
      </c>
      <c r="AX150" s="25" t="str">
        <f>IF('1. Live'!BB168='check-Jul''26'!AX168,"",'1. Live'!BB168-'check-Jul''26'!AX168)</f>
        <v/>
      </c>
      <c r="AY150" s="25" t="str">
        <f>IF('1. Live'!BC168='check-Jul''26'!AY168,"",'1. Live'!BC168-'check-Jul''26'!AY168)</f>
        <v/>
      </c>
      <c r="AZ150" s="25" t="str">
        <f>IF('1. Live'!BD168='check-Jul''26'!AZ168,"",'1. Live'!BD168-'check-Jul''26'!AZ168)</f>
        <v/>
      </c>
      <c r="BA150" s="25" t="str">
        <f>IF('1. Live'!BE168='check-Jul''26'!BA168,"",'1. Live'!BE168-'check-Jul''26'!BA168)</f>
        <v/>
      </c>
      <c r="BB150" s="25" t="str">
        <f>IF('1. Live'!BF168='check-Jul''26'!BB168,"",'1. Live'!BF168-'check-Jul''26'!BB168)</f>
        <v/>
      </c>
      <c r="BC150" s="25" t="str">
        <f>IF('1. Live'!BG168='check-Jul''26'!BC168,"",'1. Live'!BG168-'check-Jul''26'!BC168)</f>
        <v/>
      </c>
      <c r="BD150" s="25" t="str">
        <f>IF('1. Live'!BH168='check-Jul''26'!BD168,"",'1. Live'!BH168-'check-Jul''26'!BD168)</f>
        <v/>
      </c>
      <c r="BE150" s="25" t="str">
        <f>IF('1. Live'!BI168='check-Jul''26'!BE168,"",'1. Live'!BI168-'check-Jul''26'!BE168)</f>
        <v/>
      </c>
      <c r="BF150" s="25" t="str">
        <f>IF('1. Live'!BJ168='check-Jul''26'!BF168,"",'1. Live'!BJ168-'check-Jul''26'!BF168)</f>
        <v/>
      </c>
      <c r="BG150" s="25" t="str">
        <f>IF('1. Live'!BK168='check-Jul''26'!BG168,"",'1. Live'!BK168-'check-Jul''26'!BG168)</f>
        <v/>
      </c>
      <c r="BH150" s="25" t="str">
        <f>IF('1. Live'!BL168='check-Jul''26'!BH168,"",'1. Live'!BL168-'check-Jul''26'!BH168)</f>
        <v/>
      </c>
      <c r="BI150" s="25" t="str">
        <f>IF('1. Live'!BM168='check-Jul''26'!BI168,"",'1. Live'!BM168-'check-Jul''26'!BI168)</f>
        <v/>
      </c>
      <c r="BJ150" s="25" t="str">
        <f>IF('1. Live'!BN168='check-Jul''26'!BJ168,"",'1. Live'!BN168-'check-Jul''26'!BJ168)</f>
        <v/>
      </c>
      <c r="BK150" s="25" t="str">
        <f>IF('1. Live'!BO168='check-Jul''26'!BK168,"",'1. Live'!BO168-'check-Jul''26'!BK168)</f>
        <v/>
      </c>
      <c r="BL150" s="25" t="str">
        <f>IF('1. Live'!BP168='check-Jul''26'!BL168,"",'1. Live'!BP168-'check-Jul''26'!BL168)</f>
        <v/>
      </c>
      <c r="BM150" s="25" t="str">
        <f>IF('1. Live'!BQ168='check-Jul''26'!BM168,"",'1. Live'!BQ168-'check-Jul''26'!BM168)</f>
        <v/>
      </c>
      <c r="BN150" s="25" t="str">
        <f>IF('1. Live'!BR168='check-Jul''26'!BN168,"",'1. Live'!BR168-'check-Jul''26'!BN168)</f>
        <v/>
      </c>
      <c r="BO150" s="25" t="str">
        <f>IF('1. Live'!BS168='check-Jul''26'!BO168,"",'1. Live'!BS168-'check-Jul''26'!BO168)</f>
        <v/>
      </c>
      <c r="BP150" s="25" t="str">
        <f>IF('1. Live'!BT168='check-Jul''26'!BP168,"",'1. Live'!BT168-'check-Jul''26'!BP168)</f>
        <v/>
      </c>
      <c r="BQ150" s="25" t="str">
        <f>IF('1. Live'!BU168='check-Jul''26'!BQ168,"",'1. Live'!BU168-'check-Jul''26'!BQ168)</f>
        <v/>
      </c>
      <c r="BR150" s="25" t="str">
        <f>IF('1. Live'!BV168='check-Jul''26'!BR168,"",'1. Live'!BV168-'check-Jul''26'!BR168)</f>
        <v/>
      </c>
      <c r="BS150" s="25" t="str">
        <f>IF('1. Live'!BW168='check-Jul''26'!BS168,"",'1. Live'!BW168-'check-Jul''26'!BS168)</f>
        <v/>
      </c>
      <c r="BT150" s="25" t="str">
        <f>IF('1. Live'!BX168='check-Jul''26'!BT168,"",'1. Live'!BX168-'check-Jul''26'!BT168)</f>
        <v/>
      </c>
      <c r="BU150" s="25" t="str">
        <f>IF('1. Live'!BY168='check-Jul''26'!BU168,"",'1. Live'!BY168-'check-Jul''26'!BU168)</f>
        <v/>
      </c>
      <c r="BV150" s="25" t="str">
        <f>IF('1. Live'!BZ168='check-Jul''26'!BV168,"",'1. Live'!BZ168-'check-Jul''26'!BV168)</f>
        <v/>
      </c>
      <c r="BW150" s="25" t="str">
        <f>IF('1. Live'!CA168='check-Jul''26'!BW168,"",'1. Live'!CA168-'check-Jul''26'!BW168)</f>
        <v/>
      </c>
      <c r="BX150" s="25" t="str">
        <f>IF('1. Live'!CB168='check-Jul''26'!BX168,"",'1. Live'!CB168-'check-Jul''26'!BX168)</f>
        <v/>
      </c>
      <c r="BY150" s="25" t="str">
        <f>IF('1. Live'!CC168='check-Jul''26'!BY168,"",'1. Live'!CC168-'check-Jul''26'!BY168)</f>
        <v/>
      </c>
      <c r="BZ150" s="25" t="str">
        <f>IF('1. Live'!CD168='check-Jul''26'!BZ168,"",'1. Live'!CD168-'check-Jul''26'!BZ168)</f>
        <v/>
      </c>
      <c r="CA150" s="25" t="str">
        <f>IF('1. Live'!CE168='check-Jul''26'!CA168,"",'1. Live'!CE168-'check-Jul''26'!CA168)</f>
        <v/>
      </c>
      <c r="CB150" s="25" t="str">
        <f>IF('1. Live'!CF168='check-Jul''26'!CB168,"",'1. Live'!CF168-'check-Jul''26'!CB168)</f>
        <v/>
      </c>
      <c r="CC150" s="25" t="str">
        <f>IF('1. Live'!CG168='check-Jul''26'!CC168,"",'1. Live'!CG168-'check-Jul''26'!CC168)</f>
        <v/>
      </c>
      <c r="CD150" s="25" t="str">
        <f>IF('1. Live'!CH168='check-Jul''26'!CD168,"",'1. Live'!CH168-'check-Jul''26'!CD168)</f>
        <v/>
      </c>
      <c r="CE150" s="25" t="str">
        <f>IF('1. Live'!CI168='check-Jul''26'!CE168,"",'1. Live'!CI168-'check-Jul''26'!CE168)</f>
        <v/>
      </c>
      <c r="CF150" s="25" t="str">
        <f>IF('1. Live'!CJ168='check-Jul''26'!CF168,"",'1. Live'!CJ168-'check-Jul''26'!CF168)</f>
        <v/>
      </c>
      <c r="CG150" s="25" t="str">
        <f>IF('1. Live'!CK168='check-Jul''26'!CG168,"",'1. Live'!CK168-'check-Jul''26'!CG168)</f>
        <v/>
      </c>
      <c r="CH150" s="25" t="str">
        <f>IF('1. Live'!CL168='check-Jul''26'!CH168,"",'1. Live'!CL168-'check-Jul''26'!CH168)</f>
        <v/>
      </c>
      <c r="CI150" s="25" t="str">
        <f>IF('1. Live'!CM168='check-Jul''26'!CI168,"",'1. Live'!CM168-'check-Jul''26'!CI168)</f>
        <v/>
      </c>
      <c r="CJ150" s="25" t="str">
        <f>IF('1. Live'!CN168='check-Jul''26'!CJ168,"",'1. Live'!CN168-'check-Jul''26'!CJ168)</f>
        <v/>
      </c>
      <c r="CK150" s="25" t="str">
        <f>IF('1. Live'!CO168='check-Jul''26'!CK168,"",'1. Live'!CO168-'check-Jul''26'!CK168)</f>
        <v/>
      </c>
      <c r="CL150" s="25" t="str">
        <f>IF('1. Live'!CP168='check-Jul''26'!CL168,"",'1. Live'!CP168-'check-Jul''26'!CL168)</f>
        <v/>
      </c>
      <c r="CM150" s="25" t="str">
        <f>IF('1. Live'!CQ168='check-Jul''26'!CM168,"",'1. Live'!CQ168-'check-Jul''26'!CM168)</f>
        <v/>
      </c>
      <c r="CN150" s="25" t="str">
        <f>IF('1. Live'!CR168='check-Jul''26'!CN168,"",'1. Live'!CR168-'check-Jul''26'!CN168)</f>
        <v/>
      </c>
      <c r="CO150" s="25" t="str">
        <f>IF('1. Live'!CS168='check-Jul''26'!CO168,"",'1. Live'!CS168-'check-Jul''26'!CO168)</f>
        <v/>
      </c>
      <c r="CP150" s="25" t="str">
        <f>IF('1. Live'!CT168='check-Jul''26'!CP168,"",'1. Live'!CT168-'check-Jul''26'!CP168)</f>
        <v/>
      </c>
      <c r="CQ150" s="25" t="str">
        <f>IF('1. Live'!CU168='check-Jul''26'!CQ168,"",'1. Live'!CU168-'check-Jul''26'!CQ168)</f>
        <v/>
      </c>
      <c r="CR150" s="25" t="str">
        <f>IF('1. Live'!CV168='check-Jul''26'!CR168,"",'1. Live'!CV168-'check-Jul''26'!CR168)</f>
        <v/>
      </c>
      <c r="CS150" s="25" t="str">
        <f>IF('1. Live'!CW168='check-Jul''26'!CS168,"",'1. Live'!CW168-'check-Jul''26'!CS168)</f>
        <v/>
      </c>
      <c r="CT150" s="25" t="str">
        <f>IF('1. Live'!CX168='check-Jul''26'!CT168,"",'1. Live'!CX168-'check-Jul''26'!CT168)</f>
        <v/>
      </c>
      <c r="CU150" s="25" t="str">
        <f>IF('1. Live'!CY168='check-Jul''26'!CU168,"",'1. Live'!CY168-'check-Jul''26'!CU168)</f>
        <v/>
      </c>
      <c r="CV150" s="25" t="str">
        <f>IF('1. Live'!CZ168='check-Jul''26'!CV168,"",'1. Live'!CZ168-'check-Jul''26'!CV168)</f>
        <v/>
      </c>
    </row>
    <row r="151" spans="17:100" x14ac:dyDescent="0.25">
      <c r="Q151" s="26" t="str">
        <f>IF('1. Live'!N169='check-Jul''26'!I169,"",'1. Live'!N169-'check-Jul''26'!I169)</f>
        <v/>
      </c>
      <c r="R151" s="26" t="str">
        <f>IF('1. Live'!O169='check-Jul''26'!J169,"",'1. Live'!O169-'check-Jul''26'!J169)</f>
        <v/>
      </c>
      <c r="S151" s="26" t="str">
        <f>IF('1. Live'!P169='check-Jul''26'!K169,"",'1. Live'!P169-'check-Jul''26'!K169)</f>
        <v/>
      </c>
      <c r="T151" s="26" t="str">
        <f>IF('1. Live'!Q169='check-Jul''26'!L169,"",'1. Live'!Q169-'check-Jul''26'!L169)</f>
        <v/>
      </c>
      <c r="U151" s="80" t="str">
        <f>IF('1. Live'!R169='check-Jul''26'!M169,"",'1. Live'!R169-'check-Jul''26'!M169)</f>
        <v/>
      </c>
      <c r="V151" s="26" t="str">
        <f>IF('1. Live'!S169='check-Jul''26'!N169,"",'1. Live'!S169-'check-Jul''26'!N169)</f>
        <v/>
      </c>
      <c r="W151" s="25" t="str">
        <f>IF('1. Live'!T169='check-Jul''26'!O169,"",'1. Live'!T169-'check-Jul''26'!O169)</f>
        <v/>
      </c>
      <c r="X151" s="25" t="str">
        <f>IF('1. Live'!U169='check-Jul''26'!Q169,"",'1. Live'!U169-'check-Jul''26'!Q169)</f>
        <v/>
      </c>
      <c r="Y151" s="25" t="str">
        <f>IF('1. Live'!V169='check-Jul''26'!R169,"",'1. Live'!V169-'check-Jul''26'!R169)</f>
        <v/>
      </c>
      <c r="Z151" s="25" t="str">
        <f>IF('1. Live'!W169='check-Jul''26'!S169,"",'1. Live'!W169-'check-Jul''26'!S169)</f>
        <v/>
      </c>
      <c r="AA151" s="25" t="str">
        <f>IF('1. Live'!X169='check-Jul''26'!T169,"",'1. Live'!X169-'check-Jul''26'!T169)</f>
        <v/>
      </c>
      <c r="AB151" s="25" t="str">
        <f>IF('1. Live'!AF169='check-Jul''26'!AB169,"",'1. Live'!AF169-'check-Jul''26'!AB169)</f>
        <v/>
      </c>
      <c r="AC151" s="25" t="str">
        <f>IF('1. Live'!AG169='check-Jul''26'!AC169,"",'1. Live'!AG169-'check-Jul''26'!AC169)</f>
        <v/>
      </c>
      <c r="AD151" s="25" t="str">
        <f>IF('1. Live'!AH169='check-Jul''26'!AD169,"",'1. Live'!AH169-'check-Jul''26'!AD169)</f>
        <v/>
      </c>
      <c r="AE151" s="25" t="str">
        <f>IF('1. Live'!AI169='check-Jul''26'!AE169,"",'1. Live'!AI169-'check-Jul''26'!AE169)</f>
        <v/>
      </c>
      <c r="AF151" s="25" t="str">
        <f>IF('1. Live'!AJ169='check-Jul''26'!AF169,"",'1. Live'!AJ169-'check-Jul''26'!AF169)</f>
        <v/>
      </c>
      <c r="AG151" s="25" t="str">
        <f>IF('1. Live'!AK169='check-Jul''26'!AG169,"",'1. Live'!AK169-'check-Jul''26'!AG169)</f>
        <v/>
      </c>
      <c r="AH151" s="25" t="str">
        <f>IF('1. Live'!AL169='check-Jul''26'!AH169,"",'1. Live'!AL169-'check-Jul''26'!AH169)</f>
        <v/>
      </c>
      <c r="AI151" s="25" t="str">
        <f>IF('1. Live'!AM169='check-Jul''26'!AI169,"",'1. Live'!AM169-'check-Jul''26'!AI169)</f>
        <v/>
      </c>
      <c r="AJ151" s="25" t="str">
        <f>IF('1. Live'!AN169='check-Jul''26'!AJ169,"",'1. Live'!AN169-'check-Jul''26'!AJ169)</f>
        <v/>
      </c>
      <c r="AK151" s="25" t="str">
        <f>IF('1. Live'!AO169='check-Jul''26'!AK169,"",'1. Live'!AO169-'check-Jul''26'!AK169)</f>
        <v/>
      </c>
      <c r="AL151" s="25" t="str">
        <f>IF('1. Live'!AP169='check-Jul''26'!AL169,"",'1. Live'!AP169-'check-Jul''26'!AL169)</f>
        <v/>
      </c>
      <c r="AM151" s="25" t="str">
        <f>IF('1. Live'!AQ169='check-Jul''26'!AM169,"",'1. Live'!AQ169-'check-Jul''26'!AM169)</f>
        <v/>
      </c>
      <c r="AN151" s="25" t="str">
        <f>IF('1. Live'!AR169='check-Jul''26'!AN169,"",'1. Live'!AR169-'check-Jul''26'!AN169)</f>
        <v/>
      </c>
      <c r="AO151" s="25" t="str">
        <f>IF('1. Live'!AS169='check-Jul''26'!AO169,"",'1. Live'!AS169-'check-Jul''26'!AO169)</f>
        <v/>
      </c>
      <c r="AP151" s="25" t="str">
        <f>IF('1. Live'!AT169='check-Jul''26'!AP169,"",'1. Live'!AT169-'check-Jul''26'!AP169)</f>
        <v/>
      </c>
      <c r="AQ151" s="25" t="str">
        <f>IF('1. Live'!AU169='check-Jul''26'!AQ169,"",'1. Live'!AU169-'check-Jul''26'!AQ169)</f>
        <v/>
      </c>
      <c r="AR151" s="25" t="str">
        <f>IF('1. Live'!AV169='check-Jul''26'!AR169,"",'1. Live'!AV169-'check-Jul''26'!AR169)</f>
        <v/>
      </c>
      <c r="AS151" s="25" t="str">
        <f>IF('1. Live'!AW169='check-Jul''26'!AS169,"",'1. Live'!AW169-'check-Jul''26'!AS169)</f>
        <v/>
      </c>
      <c r="AT151" s="25" t="str">
        <f>IF('1. Live'!AX169='check-Jul''26'!AT169,"",'1. Live'!AX169-'check-Jul''26'!AT169)</f>
        <v/>
      </c>
      <c r="AU151" s="25" t="str">
        <f>IF('1. Live'!AY169='check-Jul''26'!AU169,"",'1. Live'!AY169-'check-Jul''26'!AU169)</f>
        <v/>
      </c>
      <c r="AV151" s="25" t="str">
        <f>IF('1. Live'!AZ169='check-Jul''26'!AV169,"",'1. Live'!AZ169-'check-Jul''26'!AV169)</f>
        <v/>
      </c>
      <c r="AW151" s="25" t="str">
        <f>IF('1. Live'!BA169='check-Jul''26'!AW169,"",'1. Live'!BA169-'check-Jul''26'!AW169)</f>
        <v/>
      </c>
      <c r="AX151" s="25" t="str">
        <f>IF('1. Live'!BB169='check-Jul''26'!AX169,"",'1. Live'!BB169-'check-Jul''26'!AX169)</f>
        <v/>
      </c>
      <c r="AY151" s="25" t="str">
        <f>IF('1. Live'!BC169='check-Jul''26'!AY169,"",'1. Live'!BC169-'check-Jul''26'!AY169)</f>
        <v/>
      </c>
      <c r="AZ151" s="25" t="str">
        <f>IF('1. Live'!BD169='check-Jul''26'!AZ169,"",'1. Live'!BD169-'check-Jul''26'!AZ169)</f>
        <v/>
      </c>
      <c r="BA151" s="25" t="str">
        <f>IF('1. Live'!BE169='check-Jul''26'!BA169,"",'1. Live'!BE169-'check-Jul''26'!BA169)</f>
        <v/>
      </c>
      <c r="BB151" s="25" t="str">
        <f>IF('1. Live'!BF169='check-Jul''26'!BB169,"",'1. Live'!BF169-'check-Jul''26'!BB169)</f>
        <v/>
      </c>
      <c r="BC151" s="25" t="str">
        <f>IF('1. Live'!BG169='check-Jul''26'!BC169,"",'1. Live'!BG169-'check-Jul''26'!BC169)</f>
        <v/>
      </c>
      <c r="BD151" s="25" t="str">
        <f>IF('1. Live'!BH169='check-Jul''26'!BD169,"",'1. Live'!BH169-'check-Jul''26'!BD169)</f>
        <v/>
      </c>
      <c r="BE151" s="25" t="str">
        <f>IF('1. Live'!BI169='check-Jul''26'!BE169,"",'1. Live'!BI169-'check-Jul''26'!BE169)</f>
        <v/>
      </c>
      <c r="BF151" s="25" t="str">
        <f>IF('1. Live'!BJ169='check-Jul''26'!BF169,"",'1. Live'!BJ169-'check-Jul''26'!BF169)</f>
        <v/>
      </c>
      <c r="BG151" s="25" t="str">
        <f>IF('1. Live'!BK169='check-Jul''26'!BG169,"",'1. Live'!BK169-'check-Jul''26'!BG169)</f>
        <v/>
      </c>
      <c r="BH151" s="25" t="str">
        <f>IF('1. Live'!BL169='check-Jul''26'!BH169,"",'1. Live'!BL169-'check-Jul''26'!BH169)</f>
        <v/>
      </c>
      <c r="BI151" s="25" t="str">
        <f>IF('1. Live'!BM169='check-Jul''26'!BI169,"",'1. Live'!BM169-'check-Jul''26'!BI169)</f>
        <v/>
      </c>
      <c r="BJ151" s="25" t="str">
        <f>IF('1. Live'!BN169='check-Jul''26'!BJ169,"",'1. Live'!BN169-'check-Jul''26'!BJ169)</f>
        <v/>
      </c>
      <c r="BK151" s="25" t="str">
        <f>IF('1. Live'!BO169='check-Jul''26'!BK169,"",'1. Live'!BO169-'check-Jul''26'!BK169)</f>
        <v/>
      </c>
      <c r="BL151" s="25" t="str">
        <f>IF('1. Live'!BP169='check-Jul''26'!BL169,"",'1. Live'!BP169-'check-Jul''26'!BL169)</f>
        <v/>
      </c>
      <c r="BM151" s="25" t="str">
        <f>IF('1. Live'!BQ169='check-Jul''26'!BM169,"",'1. Live'!BQ169-'check-Jul''26'!BM169)</f>
        <v/>
      </c>
      <c r="BN151" s="25" t="str">
        <f>IF('1. Live'!BR169='check-Jul''26'!BN169,"",'1. Live'!BR169-'check-Jul''26'!BN169)</f>
        <v/>
      </c>
      <c r="BO151" s="25" t="str">
        <f>IF('1. Live'!BS169='check-Jul''26'!BO169,"",'1. Live'!BS169-'check-Jul''26'!BO169)</f>
        <v/>
      </c>
      <c r="BP151" s="25" t="str">
        <f>IF('1. Live'!BT169='check-Jul''26'!BP169,"",'1. Live'!BT169-'check-Jul''26'!BP169)</f>
        <v/>
      </c>
      <c r="BQ151" s="25" t="str">
        <f>IF('1. Live'!BU169='check-Jul''26'!BQ169,"",'1. Live'!BU169-'check-Jul''26'!BQ169)</f>
        <v/>
      </c>
      <c r="BR151" s="25" t="str">
        <f>IF('1. Live'!BV169='check-Jul''26'!BR169,"",'1. Live'!BV169-'check-Jul''26'!BR169)</f>
        <v/>
      </c>
      <c r="BS151" s="25" t="str">
        <f>IF('1. Live'!BW169='check-Jul''26'!BS169,"",'1. Live'!BW169-'check-Jul''26'!BS169)</f>
        <v/>
      </c>
      <c r="BT151" s="25" t="str">
        <f>IF('1. Live'!BX169='check-Jul''26'!BT169,"",'1. Live'!BX169-'check-Jul''26'!BT169)</f>
        <v/>
      </c>
      <c r="BU151" s="25" t="str">
        <f>IF('1. Live'!BY169='check-Jul''26'!BU169,"",'1. Live'!BY169-'check-Jul''26'!BU169)</f>
        <v/>
      </c>
      <c r="BV151" s="25" t="str">
        <f>IF('1. Live'!BZ169='check-Jul''26'!BV169,"",'1. Live'!BZ169-'check-Jul''26'!BV169)</f>
        <v/>
      </c>
      <c r="BW151" s="25" t="str">
        <f>IF('1. Live'!CA169='check-Jul''26'!BW169,"",'1. Live'!CA169-'check-Jul''26'!BW169)</f>
        <v/>
      </c>
      <c r="BX151" s="25" t="str">
        <f>IF('1. Live'!CB169='check-Jul''26'!BX169,"",'1. Live'!CB169-'check-Jul''26'!BX169)</f>
        <v/>
      </c>
      <c r="BY151" s="25" t="str">
        <f>IF('1. Live'!CC169='check-Jul''26'!BY169,"",'1. Live'!CC169-'check-Jul''26'!BY169)</f>
        <v/>
      </c>
      <c r="BZ151" s="25" t="str">
        <f>IF('1. Live'!CD169='check-Jul''26'!BZ169,"",'1. Live'!CD169-'check-Jul''26'!BZ169)</f>
        <v/>
      </c>
      <c r="CA151" s="25" t="str">
        <f>IF('1. Live'!CE169='check-Jul''26'!CA169,"",'1. Live'!CE169-'check-Jul''26'!CA169)</f>
        <v/>
      </c>
      <c r="CB151" s="25" t="str">
        <f>IF('1. Live'!CF169='check-Jul''26'!CB169,"",'1. Live'!CF169-'check-Jul''26'!CB169)</f>
        <v/>
      </c>
      <c r="CC151" s="25" t="str">
        <f>IF('1. Live'!CG169='check-Jul''26'!CC169,"",'1. Live'!CG169-'check-Jul''26'!CC169)</f>
        <v/>
      </c>
      <c r="CD151" s="25" t="str">
        <f>IF('1. Live'!CH169='check-Jul''26'!CD169,"",'1. Live'!CH169-'check-Jul''26'!CD169)</f>
        <v/>
      </c>
      <c r="CE151" s="25" t="str">
        <f>IF('1. Live'!CI169='check-Jul''26'!CE169,"",'1. Live'!CI169-'check-Jul''26'!CE169)</f>
        <v/>
      </c>
      <c r="CF151" s="25" t="str">
        <f>IF('1. Live'!CJ169='check-Jul''26'!CF169,"",'1. Live'!CJ169-'check-Jul''26'!CF169)</f>
        <v/>
      </c>
      <c r="CG151" s="25" t="str">
        <f>IF('1. Live'!CK169='check-Jul''26'!CG169,"",'1. Live'!CK169-'check-Jul''26'!CG169)</f>
        <v/>
      </c>
      <c r="CH151" s="25" t="str">
        <f>IF('1. Live'!CL169='check-Jul''26'!CH169,"",'1. Live'!CL169-'check-Jul''26'!CH169)</f>
        <v/>
      </c>
      <c r="CI151" s="25" t="str">
        <f>IF('1. Live'!CM169='check-Jul''26'!CI169,"",'1. Live'!CM169-'check-Jul''26'!CI169)</f>
        <v/>
      </c>
      <c r="CJ151" s="25" t="str">
        <f>IF('1. Live'!CN169='check-Jul''26'!CJ169,"",'1. Live'!CN169-'check-Jul''26'!CJ169)</f>
        <v/>
      </c>
      <c r="CK151" s="25" t="str">
        <f>IF('1. Live'!CO169='check-Jul''26'!CK169,"",'1. Live'!CO169-'check-Jul''26'!CK169)</f>
        <v/>
      </c>
      <c r="CL151" s="25" t="str">
        <f>IF('1. Live'!CP169='check-Jul''26'!CL169,"",'1. Live'!CP169-'check-Jul''26'!CL169)</f>
        <v/>
      </c>
      <c r="CM151" s="25" t="str">
        <f>IF('1. Live'!CQ169='check-Jul''26'!CM169,"",'1. Live'!CQ169-'check-Jul''26'!CM169)</f>
        <v/>
      </c>
      <c r="CN151" s="25" t="str">
        <f>IF('1. Live'!CR169='check-Jul''26'!CN169,"",'1. Live'!CR169-'check-Jul''26'!CN169)</f>
        <v/>
      </c>
      <c r="CO151" s="25" t="str">
        <f>IF('1. Live'!CS169='check-Jul''26'!CO169,"",'1. Live'!CS169-'check-Jul''26'!CO169)</f>
        <v/>
      </c>
      <c r="CP151" s="25" t="str">
        <f>IF('1. Live'!CT169='check-Jul''26'!CP169,"",'1. Live'!CT169-'check-Jul''26'!CP169)</f>
        <v/>
      </c>
      <c r="CQ151" s="25" t="str">
        <f>IF('1. Live'!CU169='check-Jul''26'!CQ169,"",'1. Live'!CU169-'check-Jul''26'!CQ169)</f>
        <v/>
      </c>
      <c r="CR151" s="25" t="str">
        <f>IF('1. Live'!CV169='check-Jul''26'!CR169,"",'1. Live'!CV169-'check-Jul''26'!CR169)</f>
        <v/>
      </c>
      <c r="CS151" s="25" t="str">
        <f>IF('1. Live'!CW169='check-Jul''26'!CS169,"",'1. Live'!CW169-'check-Jul''26'!CS169)</f>
        <v/>
      </c>
      <c r="CT151" s="25" t="str">
        <f>IF('1. Live'!CX169='check-Jul''26'!CT169,"",'1. Live'!CX169-'check-Jul''26'!CT169)</f>
        <v/>
      </c>
      <c r="CU151" s="25" t="str">
        <f>IF('1. Live'!CY169='check-Jul''26'!CU169,"",'1. Live'!CY169-'check-Jul''26'!CU169)</f>
        <v/>
      </c>
      <c r="CV151" s="25" t="str">
        <f>IF('1. Live'!CZ169='check-Jul''26'!CV169,"",'1. Live'!CZ169-'check-Jul''26'!CV169)</f>
        <v/>
      </c>
    </row>
    <row r="152" spans="17:100" x14ac:dyDescent="0.25">
      <c r="Q152" s="26" t="str">
        <f>IF('1. Live'!N170='check-Jul''26'!I170,"",'1. Live'!N170-'check-Jul''26'!I170)</f>
        <v/>
      </c>
      <c r="R152" s="26" t="str">
        <f>IF('1. Live'!O170='check-Jul''26'!J170,"",'1. Live'!O170-'check-Jul''26'!J170)</f>
        <v/>
      </c>
      <c r="S152" s="26" t="str">
        <f>IF('1. Live'!P170='check-Jul''26'!K170,"",'1. Live'!P170-'check-Jul''26'!K170)</f>
        <v/>
      </c>
      <c r="T152" s="26" t="str">
        <f>IF('1. Live'!Q170='check-Jul''26'!L170,"",'1. Live'!Q170-'check-Jul''26'!L170)</f>
        <v/>
      </c>
      <c r="U152" s="80" t="str">
        <f>IF('1. Live'!R170='check-Jul''26'!M170,"",'1. Live'!R170-'check-Jul''26'!M170)</f>
        <v/>
      </c>
      <c r="V152" s="26" t="str">
        <f>IF('1. Live'!S170='check-Jul''26'!N170,"",'1. Live'!S170-'check-Jul''26'!N170)</f>
        <v/>
      </c>
      <c r="W152" s="25" t="str">
        <f>IF('1. Live'!T170='check-Jul''26'!O170,"",'1. Live'!T170-'check-Jul''26'!O170)</f>
        <v/>
      </c>
      <c r="X152" s="25" t="str">
        <f>IF('1. Live'!U170='check-Jul''26'!Q170,"",'1. Live'!U170-'check-Jul''26'!Q170)</f>
        <v/>
      </c>
      <c r="Y152" s="25" t="str">
        <f>IF('1. Live'!V170='check-Jul''26'!R170,"",'1. Live'!V170-'check-Jul''26'!R170)</f>
        <v/>
      </c>
      <c r="Z152" s="25" t="str">
        <f>IF('1. Live'!W170='check-Jul''26'!S170,"",'1. Live'!W170-'check-Jul''26'!S170)</f>
        <v/>
      </c>
      <c r="AA152" s="25" t="str">
        <f>IF('1. Live'!X170='check-Jul''26'!T170,"",'1. Live'!X170-'check-Jul''26'!T170)</f>
        <v/>
      </c>
      <c r="AB152" s="25" t="str">
        <f>IF('1. Live'!AF170='check-Jul''26'!AB170,"",'1. Live'!AF170-'check-Jul''26'!AB170)</f>
        <v/>
      </c>
      <c r="AC152" s="25" t="str">
        <f>IF('1. Live'!AG170='check-Jul''26'!AC170,"",'1. Live'!AG170-'check-Jul''26'!AC170)</f>
        <v/>
      </c>
      <c r="AD152" s="25" t="str">
        <f>IF('1. Live'!AH170='check-Jul''26'!AD170,"",'1. Live'!AH170-'check-Jul''26'!AD170)</f>
        <v/>
      </c>
      <c r="AE152" s="25" t="str">
        <f>IF('1. Live'!AI170='check-Jul''26'!AE170,"",'1. Live'!AI170-'check-Jul''26'!AE170)</f>
        <v/>
      </c>
      <c r="AF152" s="25" t="str">
        <f>IF('1. Live'!AJ170='check-Jul''26'!AF170,"",'1. Live'!AJ170-'check-Jul''26'!AF170)</f>
        <v/>
      </c>
      <c r="AG152" s="25" t="str">
        <f>IF('1. Live'!AK170='check-Jul''26'!AG170,"",'1. Live'!AK170-'check-Jul''26'!AG170)</f>
        <v/>
      </c>
      <c r="AH152" s="25" t="str">
        <f>IF('1. Live'!AL170='check-Jul''26'!AH170,"",'1. Live'!AL170-'check-Jul''26'!AH170)</f>
        <v/>
      </c>
      <c r="AI152" s="25" t="str">
        <f>IF('1. Live'!AM170='check-Jul''26'!AI170,"",'1. Live'!AM170-'check-Jul''26'!AI170)</f>
        <v/>
      </c>
      <c r="AJ152" s="25" t="str">
        <f>IF('1. Live'!AN170='check-Jul''26'!AJ170,"",'1. Live'!AN170-'check-Jul''26'!AJ170)</f>
        <v/>
      </c>
      <c r="AK152" s="25" t="str">
        <f>IF('1. Live'!AO170='check-Jul''26'!AK170,"",'1. Live'!AO170-'check-Jul''26'!AK170)</f>
        <v/>
      </c>
      <c r="AL152" s="25" t="str">
        <f>IF('1. Live'!AP170='check-Jul''26'!AL170,"",'1. Live'!AP170-'check-Jul''26'!AL170)</f>
        <v/>
      </c>
      <c r="AM152" s="25" t="str">
        <f>IF('1. Live'!AQ170='check-Jul''26'!AM170,"",'1. Live'!AQ170-'check-Jul''26'!AM170)</f>
        <v/>
      </c>
      <c r="AN152" s="25" t="str">
        <f>IF('1. Live'!AR170='check-Jul''26'!AN170,"",'1. Live'!AR170-'check-Jul''26'!AN170)</f>
        <v/>
      </c>
      <c r="AO152" s="25" t="str">
        <f>IF('1. Live'!AS170='check-Jul''26'!AO170,"",'1. Live'!AS170-'check-Jul''26'!AO170)</f>
        <v/>
      </c>
      <c r="AP152" s="25" t="str">
        <f>IF('1. Live'!AT170='check-Jul''26'!AP170,"",'1. Live'!AT170-'check-Jul''26'!AP170)</f>
        <v/>
      </c>
      <c r="AQ152" s="25" t="str">
        <f>IF('1. Live'!AU170='check-Jul''26'!AQ170,"",'1. Live'!AU170-'check-Jul''26'!AQ170)</f>
        <v/>
      </c>
      <c r="AR152" s="25" t="str">
        <f>IF('1. Live'!AV170='check-Jul''26'!AR170,"",'1. Live'!AV170-'check-Jul''26'!AR170)</f>
        <v/>
      </c>
      <c r="AS152" s="25" t="str">
        <f>IF('1. Live'!AW170='check-Jul''26'!AS170,"",'1. Live'!AW170-'check-Jul''26'!AS170)</f>
        <v/>
      </c>
      <c r="AT152" s="25" t="str">
        <f>IF('1. Live'!AX170='check-Jul''26'!AT170,"",'1. Live'!AX170-'check-Jul''26'!AT170)</f>
        <v/>
      </c>
      <c r="AU152" s="25" t="str">
        <f>IF('1. Live'!AY170='check-Jul''26'!AU170,"",'1. Live'!AY170-'check-Jul''26'!AU170)</f>
        <v/>
      </c>
      <c r="AV152" s="25" t="str">
        <f>IF('1. Live'!AZ170='check-Jul''26'!AV170,"",'1. Live'!AZ170-'check-Jul''26'!AV170)</f>
        <v/>
      </c>
      <c r="AW152" s="25" t="str">
        <f>IF('1. Live'!BA170='check-Jul''26'!AW170,"",'1. Live'!BA170-'check-Jul''26'!AW170)</f>
        <v/>
      </c>
      <c r="AX152" s="25" t="str">
        <f>IF('1. Live'!BB170='check-Jul''26'!AX170,"",'1. Live'!BB170-'check-Jul''26'!AX170)</f>
        <v/>
      </c>
      <c r="AY152" s="25" t="str">
        <f>IF('1. Live'!BC170='check-Jul''26'!AY170,"",'1. Live'!BC170-'check-Jul''26'!AY170)</f>
        <v/>
      </c>
      <c r="AZ152" s="25" t="str">
        <f>IF('1. Live'!BD170='check-Jul''26'!AZ170,"",'1. Live'!BD170-'check-Jul''26'!AZ170)</f>
        <v/>
      </c>
      <c r="BA152" s="25" t="str">
        <f>IF('1. Live'!BE170='check-Jul''26'!BA170,"",'1. Live'!BE170-'check-Jul''26'!BA170)</f>
        <v/>
      </c>
      <c r="BB152" s="25" t="str">
        <f>IF('1. Live'!BF170='check-Jul''26'!BB170,"",'1. Live'!BF170-'check-Jul''26'!BB170)</f>
        <v/>
      </c>
      <c r="BC152" s="25" t="str">
        <f>IF('1. Live'!BG170='check-Jul''26'!BC170,"",'1. Live'!BG170-'check-Jul''26'!BC170)</f>
        <v/>
      </c>
      <c r="BD152" s="25" t="str">
        <f>IF('1. Live'!BH170='check-Jul''26'!BD170,"",'1. Live'!BH170-'check-Jul''26'!BD170)</f>
        <v/>
      </c>
      <c r="BE152" s="25" t="str">
        <f>IF('1. Live'!BI170='check-Jul''26'!BE170,"",'1. Live'!BI170-'check-Jul''26'!BE170)</f>
        <v/>
      </c>
      <c r="BF152" s="25" t="str">
        <f>IF('1. Live'!BJ170='check-Jul''26'!BF170,"",'1. Live'!BJ170-'check-Jul''26'!BF170)</f>
        <v/>
      </c>
      <c r="BG152" s="25" t="str">
        <f>IF('1. Live'!BK170='check-Jul''26'!BG170,"",'1. Live'!BK170-'check-Jul''26'!BG170)</f>
        <v/>
      </c>
      <c r="BH152" s="25" t="str">
        <f>IF('1. Live'!BL170='check-Jul''26'!BH170,"",'1. Live'!BL170-'check-Jul''26'!BH170)</f>
        <v/>
      </c>
      <c r="BI152" s="25" t="str">
        <f>IF('1. Live'!BM170='check-Jul''26'!BI170,"",'1. Live'!BM170-'check-Jul''26'!BI170)</f>
        <v/>
      </c>
      <c r="BJ152" s="25" t="str">
        <f>IF('1. Live'!BN170='check-Jul''26'!BJ170,"",'1. Live'!BN170-'check-Jul''26'!BJ170)</f>
        <v/>
      </c>
      <c r="BK152" s="25" t="str">
        <f>IF('1. Live'!BO170='check-Jul''26'!BK170,"",'1. Live'!BO170-'check-Jul''26'!BK170)</f>
        <v/>
      </c>
      <c r="BL152" s="25" t="str">
        <f>IF('1. Live'!BP170='check-Jul''26'!BL170,"",'1. Live'!BP170-'check-Jul''26'!BL170)</f>
        <v/>
      </c>
      <c r="BM152" s="25" t="str">
        <f>IF('1. Live'!BQ170='check-Jul''26'!BM170,"",'1. Live'!BQ170-'check-Jul''26'!BM170)</f>
        <v/>
      </c>
      <c r="BN152" s="25" t="str">
        <f>IF('1. Live'!BR170='check-Jul''26'!BN170,"",'1. Live'!BR170-'check-Jul''26'!BN170)</f>
        <v/>
      </c>
      <c r="BO152" s="25" t="str">
        <f>IF('1. Live'!BS170='check-Jul''26'!BO170,"",'1. Live'!BS170-'check-Jul''26'!BO170)</f>
        <v/>
      </c>
      <c r="BP152" s="25" t="str">
        <f>IF('1. Live'!BT170='check-Jul''26'!BP170,"",'1. Live'!BT170-'check-Jul''26'!BP170)</f>
        <v/>
      </c>
      <c r="BQ152" s="25" t="str">
        <f>IF('1. Live'!BU170='check-Jul''26'!BQ170,"",'1. Live'!BU170-'check-Jul''26'!BQ170)</f>
        <v/>
      </c>
      <c r="BR152" s="25" t="str">
        <f>IF('1. Live'!BV170='check-Jul''26'!BR170,"",'1. Live'!BV170-'check-Jul''26'!BR170)</f>
        <v/>
      </c>
      <c r="BS152" s="25" t="str">
        <f>IF('1. Live'!BW170='check-Jul''26'!BS170,"",'1. Live'!BW170-'check-Jul''26'!BS170)</f>
        <v/>
      </c>
      <c r="BT152" s="25" t="str">
        <f>IF('1. Live'!BX170='check-Jul''26'!BT170,"",'1. Live'!BX170-'check-Jul''26'!BT170)</f>
        <v/>
      </c>
      <c r="BU152" s="25" t="str">
        <f>IF('1. Live'!BY170='check-Jul''26'!BU170,"",'1. Live'!BY170-'check-Jul''26'!BU170)</f>
        <v/>
      </c>
      <c r="BV152" s="25" t="str">
        <f>IF('1. Live'!BZ170='check-Jul''26'!BV170,"",'1. Live'!BZ170-'check-Jul''26'!BV170)</f>
        <v/>
      </c>
      <c r="BW152" s="25" t="str">
        <f>IF('1. Live'!CA170='check-Jul''26'!BW170,"",'1. Live'!CA170-'check-Jul''26'!BW170)</f>
        <v/>
      </c>
      <c r="BX152" s="25" t="str">
        <f>IF('1. Live'!CB170='check-Jul''26'!BX170,"",'1. Live'!CB170-'check-Jul''26'!BX170)</f>
        <v/>
      </c>
      <c r="BY152" s="25" t="str">
        <f>IF('1. Live'!CC170='check-Jul''26'!BY170,"",'1. Live'!CC170-'check-Jul''26'!BY170)</f>
        <v/>
      </c>
      <c r="BZ152" s="25" t="str">
        <f>IF('1. Live'!CD170='check-Jul''26'!BZ170,"",'1. Live'!CD170-'check-Jul''26'!BZ170)</f>
        <v/>
      </c>
      <c r="CA152" s="25" t="str">
        <f>IF('1. Live'!CE170='check-Jul''26'!CA170,"",'1. Live'!CE170-'check-Jul''26'!CA170)</f>
        <v/>
      </c>
      <c r="CB152" s="25" t="str">
        <f>IF('1. Live'!CF170='check-Jul''26'!CB170,"",'1. Live'!CF170-'check-Jul''26'!CB170)</f>
        <v/>
      </c>
      <c r="CC152" s="25" t="str">
        <f>IF('1. Live'!CG170='check-Jul''26'!CC170,"",'1. Live'!CG170-'check-Jul''26'!CC170)</f>
        <v/>
      </c>
      <c r="CD152" s="25" t="str">
        <f>IF('1. Live'!CH170='check-Jul''26'!CD170,"",'1. Live'!CH170-'check-Jul''26'!CD170)</f>
        <v/>
      </c>
      <c r="CE152" s="25" t="str">
        <f>IF('1. Live'!CI170='check-Jul''26'!CE170,"",'1. Live'!CI170-'check-Jul''26'!CE170)</f>
        <v/>
      </c>
      <c r="CF152" s="25" t="str">
        <f>IF('1. Live'!CJ170='check-Jul''26'!CF170,"",'1. Live'!CJ170-'check-Jul''26'!CF170)</f>
        <v/>
      </c>
      <c r="CG152" s="25" t="str">
        <f>IF('1. Live'!CK170='check-Jul''26'!CG170,"",'1. Live'!CK170-'check-Jul''26'!CG170)</f>
        <v/>
      </c>
      <c r="CH152" s="25" t="str">
        <f>IF('1. Live'!CL170='check-Jul''26'!CH170,"",'1. Live'!CL170-'check-Jul''26'!CH170)</f>
        <v/>
      </c>
      <c r="CI152" s="25" t="str">
        <f>IF('1. Live'!CM170='check-Jul''26'!CI170,"",'1. Live'!CM170-'check-Jul''26'!CI170)</f>
        <v/>
      </c>
      <c r="CJ152" s="25" t="str">
        <f>IF('1. Live'!CN170='check-Jul''26'!CJ170,"",'1. Live'!CN170-'check-Jul''26'!CJ170)</f>
        <v/>
      </c>
      <c r="CK152" s="25" t="str">
        <f>IF('1. Live'!CO170='check-Jul''26'!CK170,"",'1. Live'!CO170-'check-Jul''26'!CK170)</f>
        <v/>
      </c>
      <c r="CL152" s="25" t="str">
        <f>IF('1. Live'!CP170='check-Jul''26'!CL170,"",'1. Live'!CP170-'check-Jul''26'!CL170)</f>
        <v/>
      </c>
      <c r="CM152" s="25" t="str">
        <f>IF('1. Live'!CQ170='check-Jul''26'!CM170,"",'1. Live'!CQ170-'check-Jul''26'!CM170)</f>
        <v/>
      </c>
      <c r="CN152" s="25" t="str">
        <f>IF('1. Live'!CR170='check-Jul''26'!CN170,"",'1. Live'!CR170-'check-Jul''26'!CN170)</f>
        <v/>
      </c>
      <c r="CO152" s="25" t="str">
        <f>IF('1. Live'!CS170='check-Jul''26'!CO170,"",'1. Live'!CS170-'check-Jul''26'!CO170)</f>
        <v/>
      </c>
      <c r="CP152" s="25" t="str">
        <f>IF('1. Live'!CT170='check-Jul''26'!CP170,"",'1. Live'!CT170-'check-Jul''26'!CP170)</f>
        <v/>
      </c>
      <c r="CQ152" s="25" t="str">
        <f>IF('1. Live'!CU170='check-Jul''26'!CQ170,"",'1. Live'!CU170-'check-Jul''26'!CQ170)</f>
        <v/>
      </c>
      <c r="CR152" s="25" t="str">
        <f>IF('1. Live'!CV170='check-Jul''26'!CR170,"",'1. Live'!CV170-'check-Jul''26'!CR170)</f>
        <v/>
      </c>
      <c r="CS152" s="25" t="str">
        <f>IF('1. Live'!CW170='check-Jul''26'!CS170,"",'1. Live'!CW170-'check-Jul''26'!CS170)</f>
        <v/>
      </c>
      <c r="CT152" s="25" t="str">
        <f>IF('1. Live'!CX170='check-Jul''26'!CT170,"",'1. Live'!CX170-'check-Jul''26'!CT170)</f>
        <v/>
      </c>
      <c r="CU152" s="25" t="str">
        <f>IF('1. Live'!CY170='check-Jul''26'!CU170,"",'1. Live'!CY170-'check-Jul''26'!CU170)</f>
        <v/>
      </c>
      <c r="CV152" s="25" t="str">
        <f>IF('1. Live'!CZ170='check-Jul''26'!CV170,"",'1. Live'!CZ170-'check-Jul''26'!CV170)</f>
        <v/>
      </c>
    </row>
    <row r="153" spans="17:100" x14ac:dyDescent="0.25">
      <c r="Q153" s="26" t="str">
        <f>IF('1. Live'!N171='check-Jul''26'!I171,"",'1. Live'!N171-'check-Jul''26'!I171)</f>
        <v/>
      </c>
      <c r="R153" s="26" t="str">
        <f>IF('1. Live'!O171='check-Jul''26'!J171,"",'1. Live'!O171-'check-Jul''26'!J171)</f>
        <v/>
      </c>
      <c r="S153" s="26" t="str">
        <f>IF('1. Live'!P171='check-Jul''26'!K171,"",'1. Live'!P171-'check-Jul''26'!K171)</f>
        <v/>
      </c>
      <c r="T153" s="26" t="str">
        <f>IF('1. Live'!Q171='check-Jul''26'!L171,"",'1. Live'!Q171-'check-Jul''26'!L171)</f>
        <v/>
      </c>
      <c r="U153" s="80" t="str">
        <f>IF('1. Live'!R171='check-Jul''26'!M171,"",'1. Live'!R171-'check-Jul''26'!M171)</f>
        <v/>
      </c>
      <c r="V153" s="26" t="str">
        <f>IF('1. Live'!S171='check-Jul''26'!N171,"",'1. Live'!S171-'check-Jul''26'!N171)</f>
        <v/>
      </c>
      <c r="W153" s="25" t="str">
        <f>IF('1. Live'!T171='check-Jul''26'!O171,"",'1. Live'!T171-'check-Jul''26'!O171)</f>
        <v/>
      </c>
      <c r="X153" s="25" t="str">
        <f>IF('1. Live'!U171='check-Jul''26'!Q171,"",'1. Live'!U171-'check-Jul''26'!Q171)</f>
        <v/>
      </c>
      <c r="Y153" s="25" t="str">
        <f>IF('1. Live'!V171='check-Jul''26'!R171,"",'1. Live'!V171-'check-Jul''26'!R171)</f>
        <v/>
      </c>
      <c r="Z153" s="25" t="str">
        <f>IF('1. Live'!W171='check-Jul''26'!S171,"",'1. Live'!W171-'check-Jul''26'!S171)</f>
        <v/>
      </c>
      <c r="AA153" s="25" t="str">
        <f>IF('1. Live'!X171='check-Jul''26'!T171,"",'1. Live'!X171-'check-Jul''26'!T171)</f>
        <v/>
      </c>
      <c r="AB153" s="25" t="str">
        <f>IF('1. Live'!AF171='check-Jul''26'!AB171,"",'1. Live'!AF171-'check-Jul''26'!AB171)</f>
        <v/>
      </c>
      <c r="AC153" s="25" t="str">
        <f>IF('1. Live'!AG171='check-Jul''26'!AC171,"",'1. Live'!AG171-'check-Jul''26'!AC171)</f>
        <v/>
      </c>
      <c r="AD153" s="25" t="str">
        <f>IF('1. Live'!AH171='check-Jul''26'!AD171,"",'1. Live'!AH171-'check-Jul''26'!AD171)</f>
        <v/>
      </c>
      <c r="AE153" s="25" t="str">
        <f>IF('1. Live'!AI171='check-Jul''26'!AE171,"",'1. Live'!AI171-'check-Jul''26'!AE171)</f>
        <v/>
      </c>
      <c r="AF153" s="25" t="str">
        <f>IF('1. Live'!AJ171='check-Jul''26'!AF171,"",'1. Live'!AJ171-'check-Jul''26'!AF171)</f>
        <v/>
      </c>
      <c r="AG153" s="25" t="str">
        <f>IF('1. Live'!AK171='check-Jul''26'!AG171,"",'1. Live'!AK171-'check-Jul''26'!AG171)</f>
        <v/>
      </c>
      <c r="AH153" s="25" t="str">
        <f>IF('1. Live'!AL171='check-Jul''26'!AH171,"",'1. Live'!AL171-'check-Jul''26'!AH171)</f>
        <v/>
      </c>
      <c r="AI153" s="25" t="str">
        <f>IF('1. Live'!AM171='check-Jul''26'!AI171,"",'1. Live'!AM171-'check-Jul''26'!AI171)</f>
        <v/>
      </c>
      <c r="AJ153" s="25" t="str">
        <f>IF('1. Live'!AN171='check-Jul''26'!AJ171,"",'1. Live'!AN171-'check-Jul''26'!AJ171)</f>
        <v/>
      </c>
      <c r="AK153" s="25" t="str">
        <f>IF('1. Live'!AO171='check-Jul''26'!AK171,"",'1. Live'!AO171-'check-Jul''26'!AK171)</f>
        <v/>
      </c>
      <c r="AL153" s="25" t="str">
        <f>IF('1. Live'!AP171='check-Jul''26'!AL171,"",'1. Live'!AP171-'check-Jul''26'!AL171)</f>
        <v/>
      </c>
      <c r="AM153" s="25" t="str">
        <f>IF('1. Live'!AQ171='check-Jul''26'!AM171,"",'1. Live'!AQ171-'check-Jul''26'!AM171)</f>
        <v/>
      </c>
      <c r="AN153" s="25" t="str">
        <f>IF('1. Live'!AR171='check-Jul''26'!AN171,"",'1. Live'!AR171-'check-Jul''26'!AN171)</f>
        <v/>
      </c>
      <c r="AO153" s="25" t="str">
        <f>IF('1. Live'!AS171='check-Jul''26'!AO171,"",'1. Live'!AS171-'check-Jul''26'!AO171)</f>
        <v/>
      </c>
      <c r="AP153" s="25" t="str">
        <f>IF('1. Live'!AT171='check-Jul''26'!AP171,"",'1. Live'!AT171-'check-Jul''26'!AP171)</f>
        <v/>
      </c>
      <c r="AQ153" s="25" t="str">
        <f>IF('1. Live'!AU171='check-Jul''26'!AQ171,"",'1. Live'!AU171-'check-Jul''26'!AQ171)</f>
        <v/>
      </c>
      <c r="AR153" s="25" t="str">
        <f>IF('1. Live'!AV171='check-Jul''26'!AR171,"",'1. Live'!AV171-'check-Jul''26'!AR171)</f>
        <v/>
      </c>
      <c r="AS153" s="25" t="str">
        <f>IF('1. Live'!AW171='check-Jul''26'!AS171,"",'1. Live'!AW171-'check-Jul''26'!AS171)</f>
        <v/>
      </c>
      <c r="AT153" s="25" t="str">
        <f>IF('1. Live'!AX171='check-Jul''26'!AT171,"",'1. Live'!AX171-'check-Jul''26'!AT171)</f>
        <v/>
      </c>
      <c r="AU153" s="25" t="str">
        <f>IF('1. Live'!AY171='check-Jul''26'!AU171,"",'1. Live'!AY171-'check-Jul''26'!AU171)</f>
        <v/>
      </c>
      <c r="AV153" s="25" t="str">
        <f>IF('1. Live'!AZ171='check-Jul''26'!AV171,"",'1. Live'!AZ171-'check-Jul''26'!AV171)</f>
        <v/>
      </c>
      <c r="AW153" s="25" t="str">
        <f>IF('1. Live'!BA171='check-Jul''26'!AW171,"",'1. Live'!BA171-'check-Jul''26'!AW171)</f>
        <v/>
      </c>
      <c r="AX153" s="25" t="str">
        <f>IF('1. Live'!BB171='check-Jul''26'!AX171,"",'1. Live'!BB171-'check-Jul''26'!AX171)</f>
        <v/>
      </c>
      <c r="AY153" s="25" t="str">
        <f>IF('1. Live'!BC171='check-Jul''26'!AY171,"",'1. Live'!BC171-'check-Jul''26'!AY171)</f>
        <v/>
      </c>
      <c r="AZ153" s="25" t="str">
        <f>IF('1. Live'!BD171='check-Jul''26'!AZ171,"",'1. Live'!BD171-'check-Jul''26'!AZ171)</f>
        <v/>
      </c>
      <c r="BA153" s="25" t="str">
        <f>IF('1. Live'!BE171='check-Jul''26'!BA171,"",'1. Live'!BE171-'check-Jul''26'!BA171)</f>
        <v/>
      </c>
      <c r="BB153" s="25" t="str">
        <f>IF('1. Live'!BF171='check-Jul''26'!BB171,"",'1. Live'!BF171-'check-Jul''26'!BB171)</f>
        <v/>
      </c>
      <c r="BC153" s="25" t="str">
        <f>IF('1. Live'!BG171='check-Jul''26'!BC171,"",'1. Live'!BG171-'check-Jul''26'!BC171)</f>
        <v/>
      </c>
      <c r="BD153" s="25" t="str">
        <f>IF('1. Live'!BH171='check-Jul''26'!BD171,"",'1. Live'!BH171-'check-Jul''26'!BD171)</f>
        <v/>
      </c>
      <c r="BE153" s="25" t="str">
        <f>IF('1. Live'!BI171='check-Jul''26'!BE171,"",'1. Live'!BI171-'check-Jul''26'!BE171)</f>
        <v/>
      </c>
      <c r="BF153" s="25" t="str">
        <f>IF('1. Live'!BJ171='check-Jul''26'!BF171,"",'1. Live'!BJ171-'check-Jul''26'!BF171)</f>
        <v/>
      </c>
      <c r="BG153" s="25" t="str">
        <f>IF('1. Live'!BK171='check-Jul''26'!BG171,"",'1. Live'!BK171-'check-Jul''26'!BG171)</f>
        <v/>
      </c>
      <c r="BH153" s="25" t="str">
        <f>IF('1. Live'!BL171='check-Jul''26'!BH171,"",'1. Live'!BL171-'check-Jul''26'!BH171)</f>
        <v/>
      </c>
      <c r="BI153" s="25" t="str">
        <f>IF('1. Live'!BM171='check-Jul''26'!BI171,"",'1. Live'!BM171-'check-Jul''26'!BI171)</f>
        <v/>
      </c>
      <c r="BJ153" s="25" t="str">
        <f>IF('1. Live'!BN171='check-Jul''26'!BJ171,"",'1. Live'!BN171-'check-Jul''26'!BJ171)</f>
        <v/>
      </c>
      <c r="BK153" s="25" t="str">
        <f>IF('1. Live'!BO171='check-Jul''26'!BK171,"",'1. Live'!BO171-'check-Jul''26'!BK171)</f>
        <v/>
      </c>
      <c r="BL153" s="25" t="str">
        <f>IF('1. Live'!BP171='check-Jul''26'!BL171,"",'1. Live'!BP171-'check-Jul''26'!BL171)</f>
        <v/>
      </c>
      <c r="BM153" s="25" t="str">
        <f>IF('1. Live'!BQ171='check-Jul''26'!BM171,"",'1. Live'!BQ171-'check-Jul''26'!BM171)</f>
        <v/>
      </c>
      <c r="BN153" s="25" t="str">
        <f>IF('1. Live'!BR171='check-Jul''26'!BN171,"",'1. Live'!BR171-'check-Jul''26'!BN171)</f>
        <v/>
      </c>
      <c r="BO153" s="25" t="str">
        <f>IF('1. Live'!BS171='check-Jul''26'!BO171,"",'1. Live'!BS171-'check-Jul''26'!BO171)</f>
        <v/>
      </c>
      <c r="BP153" s="25" t="str">
        <f>IF('1. Live'!BT171='check-Jul''26'!BP171,"",'1. Live'!BT171-'check-Jul''26'!BP171)</f>
        <v/>
      </c>
      <c r="BQ153" s="25" t="str">
        <f>IF('1. Live'!BU171='check-Jul''26'!BQ171,"",'1. Live'!BU171-'check-Jul''26'!BQ171)</f>
        <v/>
      </c>
      <c r="BR153" s="25" t="str">
        <f>IF('1. Live'!BV171='check-Jul''26'!BR171,"",'1. Live'!BV171-'check-Jul''26'!BR171)</f>
        <v/>
      </c>
      <c r="BS153" s="25" t="str">
        <f>IF('1. Live'!BW171='check-Jul''26'!BS171,"",'1. Live'!BW171-'check-Jul''26'!BS171)</f>
        <v/>
      </c>
      <c r="BT153" s="25" t="str">
        <f>IF('1. Live'!BX171='check-Jul''26'!BT171,"",'1. Live'!BX171-'check-Jul''26'!BT171)</f>
        <v/>
      </c>
      <c r="BU153" s="25" t="str">
        <f>IF('1. Live'!BY171='check-Jul''26'!BU171,"",'1. Live'!BY171-'check-Jul''26'!BU171)</f>
        <v/>
      </c>
      <c r="BV153" s="25" t="str">
        <f>IF('1. Live'!BZ171='check-Jul''26'!BV171,"",'1. Live'!BZ171-'check-Jul''26'!BV171)</f>
        <v/>
      </c>
      <c r="BW153" s="25" t="str">
        <f>IF('1. Live'!CA171='check-Jul''26'!BW171,"",'1. Live'!CA171-'check-Jul''26'!BW171)</f>
        <v/>
      </c>
      <c r="BX153" s="25" t="str">
        <f>IF('1. Live'!CB171='check-Jul''26'!BX171,"",'1. Live'!CB171-'check-Jul''26'!BX171)</f>
        <v/>
      </c>
      <c r="BY153" s="25" t="str">
        <f>IF('1. Live'!CC171='check-Jul''26'!BY171,"",'1. Live'!CC171-'check-Jul''26'!BY171)</f>
        <v/>
      </c>
      <c r="BZ153" s="25" t="str">
        <f>IF('1. Live'!CD171='check-Jul''26'!BZ171,"",'1. Live'!CD171-'check-Jul''26'!BZ171)</f>
        <v/>
      </c>
      <c r="CA153" s="25" t="str">
        <f>IF('1. Live'!CE171='check-Jul''26'!CA171,"",'1. Live'!CE171-'check-Jul''26'!CA171)</f>
        <v/>
      </c>
      <c r="CB153" s="25" t="str">
        <f>IF('1. Live'!CF171='check-Jul''26'!CB171,"",'1. Live'!CF171-'check-Jul''26'!CB171)</f>
        <v/>
      </c>
      <c r="CC153" s="25" t="str">
        <f>IF('1. Live'!CG171='check-Jul''26'!CC171,"",'1. Live'!CG171-'check-Jul''26'!CC171)</f>
        <v/>
      </c>
      <c r="CD153" s="25" t="str">
        <f>IF('1. Live'!CH171='check-Jul''26'!CD171,"",'1. Live'!CH171-'check-Jul''26'!CD171)</f>
        <v/>
      </c>
      <c r="CE153" s="25" t="str">
        <f>IF('1. Live'!CI171='check-Jul''26'!CE171,"",'1. Live'!CI171-'check-Jul''26'!CE171)</f>
        <v/>
      </c>
      <c r="CF153" s="25" t="str">
        <f>IF('1. Live'!CJ171='check-Jul''26'!CF171,"",'1. Live'!CJ171-'check-Jul''26'!CF171)</f>
        <v/>
      </c>
      <c r="CG153" s="25" t="str">
        <f>IF('1. Live'!CK171='check-Jul''26'!CG171,"",'1. Live'!CK171-'check-Jul''26'!CG171)</f>
        <v/>
      </c>
      <c r="CH153" s="25" t="str">
        <f>IF('1. Live'!CL171='check-Jul''26'!CH171,"",'1. Live'!CL171-'check-Jul''26'!CH171)</f>
        <v/>
      </c>
      <c r="CI153" s="25" t="str">
        <f>IF('1. Live'!CM171='check-Jul''26'!CI171,"",'1. Live'!CM171-'check-Jul''26'!CI171)</f>
        <v/>
      </c>
      <c r="CJ153" s="25" t="str">
        <f>IF('1. Live'!CN171='check-Jul''26'!CJ171,"",'1. Live'!CN171-'check-Jul''26'!CJ171)</f>
        <v/>
      </c>
      <c r="CK153" s="25" t="str">
        <f>IF('1. Live'!CO171='check-Jul''26'!CK171,"",'1. Live'!CO171-'check-Jul''26'!CK171)</f>
        <v/>
      </c>
      <c r="CL153" s="25" t="str">
        <f>IF('1. Live'!CP171='check-Jul''26'!CL171,"",'1. Live'!CP171-'check-Jul''26'!CL171)</f>
        <v/>
      </c>
      <c r="CM153" s="25" t="str">
        <f>IF('1. Live'!CQ171='check-Jul''26'!CM171,"",'1. Live'!CQ171-'check-Jul''26'!CM171)</f>
        <v/>
      </c>
      <c r="CN153" s="25" t="str">
        <f>IF('1. Live'!CR171='check-Jul''26'!CN171,"",'1. Live'!CR171-'check-Jul''26'!CN171)</f>
        <v/>
      </c>
      <c r="CO153" s="25" t="str">
        <f>IF('1. Live'!CS171='check-Jul''26'!CO171,"",'1. Live'!CS171-'check-Jul''26'!CO171)</f>
        <v/>
      </c>
      <c r="CP153" s="25" t="str">
        <f>IF('1. Live'!CT171='check-Jul''26'!CP171,"",'1. Live'!CT171-'check-Jul''26'!CP171)</f>
        <v/>
      </c>
      <c r="CQ153" s="25" t="str">
        <f>IF('1. Live'!CU171='check-Jul''26'!CQ171,"",'1. Live'!CU171-'check-Jul''26'!CQ171)</f>
        <v/>
      </c>
      <c r="CR153" s="25" t="str">
        <f>IF('1. Live'!CV171='check-Jul''26'!CR171,"",'1. Live'!CV171-'check-Jul''26'!CR171)</f>
        <v/>
      </c>
      <c r="CS153" s="25" t="str">
        <f>IF('1. Live'!CW171='check-Jul''26'!CS171,"",'1. Live'!CW171-'check-Jul''26'!CS171)</f>
        <v/>
      </c>
      <c r="CT153" s="25" t="str">
        <f>IF('1. Live'!CX171='check-Jul''26'!CT171,"",'1. Live'!CX171-'check-Jul''26'!CT171)</f>
        <v/>
      </c>
      <c r="CU153" s="25" t="str">
        <f>IF('1. Live'!CY171='check-Jul''26'!CU171,"",'1. Live'!CY171-'check-Jul''26'!CU171)</f>
        <v/>
      </c>
      <c r="CV153" s="25" t="str">
        <f>IF('1. Live'!CZ171='check-Jul''26'!CV171,"",'1. Live'!CZ171-'check-Jul''26'!CV171)</f>
        <v/>
      </c>
    </row>
    <row r="154" spans="17:100" x14ac:dyDescent="0.25">
      <c r="Q154" s="26" t="str">
        <f>IF('1. Live'!N172='check-Jul''26'!I172,"",'1. Live'!N172-'check-Jul''26'!I172)</f>
        <v/>
      </c>
      <c r="R154" s="26" t="str">
        <f>IF('1. Live'!O172='check-Jul''26'!J172,"",'1. Live'!O172-'check-Jul''26'!J172)</f>
        <v/>
      </c>
      <c r="S154" s="26" t="str">
        <f>IF('1. Live'!P172='check-Jul''26'!K172,"",'1. Live'!P172-'check-Jul''26'!K172)</f>
        <v/>
      </c>
      <c r="T154" s="26" t="str">
        <f>IF('1. Live'!Q172='check-Jul''26'!L172,"",'1. Live'!Q172-'check-Jul''26'!L172)</f>
        <v/>
      </c>
      <c r="U154" s="80" t="str">
        <f>IF('1. Live'!R172='check-Jul''26'!M172,"",'1. Live'!R172-'check-Jul''26'!M172)</f>
        <v/>
      </c>
      <c r="V154" s="26" t="str">
        <f>IF('1. Live'!S172='check-Jul''26'!N172,"",'1. Live'!S172-'check-Jul''26'!N172)</f>
        <v/>
      </c>
      <c r="W154" s="25" t="str">
        <f>IF('1. Live'!T172='check-Jul''26'!O172,"",'1. Live'!T172-'check-Jul''26'!O172)</f>
        <v/>
      </c>
      <c r="X154" s="25" t="str">
        <f>IF('1. Live'!U172='check-Jul''26'!Q172,"",'1. Live'!U172-'check-Jul''26'!Q172)</f>
        <v/>
      </c>
      <c r="Y154" s="25" t="str">
        <f>IF('1. Live'!V172='check-Jul''26'!R172,"",'1. Live'!V172-'check-Jul''26'!R172)</f>
        <v/>
      </c>
      <c r="Z154" s="25" t="str">
        <f>IF('1. Live'!W172='check-Jul''26'!S172,"",'1. Live'!W172-'check-Jul''26'!S172)</f>
        <v/>
      </c>
      <c r="AA154" s="25" t="str">
        <f>IF('1. Live'!X172='check-Jul''26'!T172,"",'1. Live'!X172-'check-Jul''26'!T172)</f>
        <v/>
      </c>
      <c r="AB154" s="25" t="str">
        <f>IF('1. Live'!AF172='check-Jul''26'!AB172,"",'1. Live'!AF172-'check-Jul''26'!AB172)</f>
        <v/>
      </c>
      <c r="AC154" s="25" t="str">
        <f>IF('1. Live'!AG172='check-Jul''26'!AC172,"",'1. Live'!AG172-'check-Jul''26'!AC172)</f>
        <v/>
      </c>
      <c r="AD154" s="25" t="str">
        <f>IF('1. Live'!AH172='check-Jul''26'!AD172,"",'1. Live'!AH172-'check-Jul''26'!AD172)</f>
        <v/>
      </c>
      <c r="AE154" s="25" t="str">
        <f>IF('1. Live'!AI172='check-Jul''26'!AE172,"",'1. Live'!AI172-'check-Jul''26'!AE172)</f>
        <v/>
      </c>
      <c r="AF154" s="25" t="str">
        <f>IF('1. Live'!AJ172='check-Jul''26'!AF172,"",'1. Live'!AJ172-'check-Jul''26'!AF172)</f>
        <v/>
      </c>
      <c r="AG154" s="25" t="str">
        <f>IF('1. Live'!AK172='check-Jul''26'!AG172,"",'1. Live'!AK172-'check-Jul''26'!AG172)</f>
        <v/>
      </c>
      <c r="AH154" s="25" t="str">
        <f>IF('1. Live'!AL172='check-Jul''26'!AH172,"",'1. Live'!AL172-'check-Jul''26'!AH172)</f>
        <v/>
      </c>
      <c r="AI154" s="25" t="str">
        <f>IF('1. Live'!AM172='check-Jul''26'!AI172,"",'1. Live'!AM172-'check-Jul''26'!AI172)</f>
        <v/>
      </c>
      <c r="AJ154" s="25" t="str">
        <f>IF('1. Live'!AN172='check-Jul''26'!AJ172,"",'1. Live'!AN172-'check-Jul''26'!AJ172)</f>
        <v/>
      </c>
      <c r="AK154" s="25" t="str">
        <f>IF('1. Live'!AO172='check-Jul''26'!AK172,"",'1. Live'!AO172-'check-Jul''26'!AK172)</f>
        <v/>
      </c>
      <c r="AL154" s="25" t="str">
        <f>IF('1. Live'!AP172='check-Jul''26'!AL172,"",'1. Live'!AP172-'check-Jul''26'!AL172)</f>
        <v/>
      </c>
      <c r="AM154" s="25" t="str">
        <f>IF('1. Live'!AQ172='check-Jul''26'!AM172,"",'1. Live'!AQ172-'check-Jul''26'!AM172)</f>
        <v/>
      </c>
      <c r="AN154" s="25" t="str">
        <f>IF('1. Live'!AR172='check-Jul''26'!AN172,"",'1. Live'!AR172-'check-Jul''26'!AN172)</f>
        <v/>
      </c>
      <c r="AO154" s="25" t="str">
        <f>IF('1. Live'!AS172='check-Jul''26'!AO172,"",'1. Live'!AS172-'check-Jul''26'!AO172)</f>
        <v/>
      </c>
      <c r="AP154" s="25" t="str">
        <f>IF('1. Live'!AT172='check-Jul''26'!AP172,"",'1. Live'!AT172-'check-Jul''26'!AP172)</f>
        <v/>
      </c>
      <c r="AQ154" s="25" t="str">
        <f>IF('1. Live'!AU172='check-Jul''26'!AQ172,"",'1. Live'!AU172-'check-Jul''26'!AQ172)</f>
        <v/>
      </c>
      <c r="AR154" s="25" t="str">
        <f>IF('1. Live'!AV172='check-Jul''26'!AR172,"",'1. Live'!AV172-'check-Jul''26'!AR172)</f>
        <v/>
      </c>
      <c r="AS154" s="25" t="str">
        <f>IF('1. Live'!AW172='check-Jul''26'!AS172,"",'1. Live'!AW172-'check-Jul''26'!AS172)</f>
        <v/>
      </c>
      <c r="AT154" s="25" t="str">
        <f>IF('1. Live'!AX172='check-Jul''26'!AT172,"",'1. Live'!AX172-'check-Jul''26'!AT172)</f>
        <v/>
      </c>
      <c r="AU154" s="25" t="str">
        <f>IF('1. Live'!AY172='check-Jul''26'!AU172,"",'1. Live'!AY172-'check-Jul''26'!AU172)</f>
        <v/>
      </c>
      <c r="AV154" s="25" t="str">
        <f>IF('1. Live'!AZ172='check-Jul''26'!AV172,"",'1. Live'!AZ172-'check-Jul''26'!AV172)</f>
        <v/>
      </c>
      <c r="AW154" s="25" t="str">
        <f>IF('1. Live'!BA172='check-Jul''26'!AW172,"",'1. Live'!BA172-'check-Jul''26'!AW172)</f>
        <v/>
      </c>
      <c r="AX154" s="25" t="str">
        <f>IF('1. Live'!BB172='check-Jul''26'!AX172,"",'1. Live'!BB172-'check-Jul''26'!AX172)</f>
        <v/>
      </c>
      <c r="AY154" s="25" t="str">
        <f>IF('1. Live'!BC172='check-Jul''26'!AY172,"",'1. Live'!BC172-'check-Jul''26'!AY172)</f>
        <v/>
      </c>
      <c r="AZ154" s="25" t="str">
        <f>IF('1. Live'!BD172='check-Jul''26'!AZ172,"",'1. Live'!BD172-'check-Jul''26'!AZ172)</f>
        <v/>
      </c>
      <c r="BA154" s="25" t="str">
        <f>IF('1. Live'!BE172='check-Jul''26'!BA172,"",'1. Live'!BE172-'check-Jul''26'!BA172)</f>
        <v/>
      </c>
      <c r="BB154" s="25" t="str">
        <f>IF('1. Live'!BF172='check-Jul''26'!BB172,"",'1. Live'!BF172-'check-Jul''26'!BB172)</f>
        <v/>
      </c>
      <c r="BC154" s="25" t="str">
        <f>IF('1. Live'!BG172='check-Jul''26'!BC172,"",'1. Live'!BG172-'check-Jul''26'!BC172)</f>
        <v/>
      </c>
      <c r="BD154" s="25" t="str">
        <f>IF('1. Live'!BH172='check-Jul''26'!BD172,"",'1. Live'!BH172-'check-Jul''26'!BD172)</f>
        <v/>
      </c>
      <c r="BE154" s="25" t="str">
        <f>IF('1. Live'!BI172='check-Jul''26'!BE172,"",'1. Live'!BI172-'check-Jul''26'!BE172)</f>
        <v/>
      </c>
      <c r="BF154" s="25" t="str">
        <f>IF('1. Live'!BJ172='check-Jul''26'!BF172,"",'1. Live'!BJ172-'check-Jul''26'!BF172)</f>
        <v/>
      </c>
      <c r="BG154" s="25" t="str">
        <f>IF('1. Live'!BK172='check-Jul''26'!BG172,"",'1. Live'!BK172-'check-Jul''26'!BG172)</f>
        <v/>
      </c>
      <c r="BH154" s="25" t="str">
        <f>IF('1. Live'!BL172='check-Jul''26'!BH172,"",'1. Live'!BL172-'check-Jul''26'!BH172)</f>
        <v/>
      </c>
      <c r="BI154" s="25" t="str">
        <f>IF('1. Live'!BM172='check-Jul''26'!BI172,"",'1. Live'!BM172-'check-Jul''26'!BI172)</f>
        <v/>
      </c>
      <c r="BJ154" s="25" t="str">
        <f>IF('1. Live'!BN172='check-Jul''26'!BJ172,"",'1. Live'!BN172-'check-Jul''26'!BJ172)</f>
        <v/>
      </c>
      <c r="BK154" s="25" t="str">
        <f>IF('1. Live'!BO172='check-Jul''26'!BK172,"",'1. Live'!BO172-'check-Jul''26'!BK172)</f>
        <v/>
      </c>
      <c r="BL154" s="25" t="str">
        <f>IF('1. Live'!BP172='check-Jul''26'!BL172,"",'1. Live'!BP172-'check-Jul''26'!BL172)</f>
        <v/>
      </c>
      <c r="BM154" s="25" t="str">
        <f>IF('1. Live'!BQ172='check-Jul''26'!BM172,"",'1. Live'!BQ172-'check-Jul''26'!BM172)</f>
        <v/>
      </c>
      <c r="BN154" s="25" t="str">
        <f>IF('1. Live'!BR172='check-Jul''26'!BN172,"",'1. Live'!BR172-'check-Jul''26'!BN172)</f>
        <v/>
      </c>
      <c r="BO154" s="25" t="str">
        <f>IF('1. Live'!BS172='check-Jul''26'!BO172,"",'1. Live'!BS172-'check-Jul''26'!BO172)</f>
        <v/>
      </c>
      <c r="BP154" s="25" t="str">
        <f>IF('1. Live'!BT172='check-Jul''26'!BP172,"",'1. Live'!BT172-'check-Jul''26'!BP172)</f>
        <v/>
      </c>
      <c r="BQ154" s="25" t="str">
        <f>IF('1. Live'!BU172='check-Jul''26'!BQ172,"",'1. Live'!BU172-'check-Jul''26'!BQ172)</f>
        <v/>
      </c>
      <c r="BR154" s="25" t="str">
        <f>IF('1. Live'!BV172='check-Jul''26'!BR172,"",'1. Live'!BV172-'check-Jul''26'!BR172)</f>
        <v/>
      </c>
      <c r="BS154" s="25" t="str">
        <f>IF('1. Live'!BW172='check-Jul''26'!BS172,"",'1. Live'!BW172-'check-Jul''26'!BS172)</f>
        <v/>
      </c>
      <c r="BT154" s="25" t="str">
        <f>IF('1. Live'!BX172='check-Jul''26'!BT172,"",'1. Live'!BX172-'check-Jul''26'!BT172)</f>
        <v/>
      </c>
      <c r="BU154" s="25" t="str">
        <f>IF('1. Live'!BY172='check-Jul''26'!BU172,"",'1. Live'!BY172-'check-Jul''26'!BU172)</f>
        <v/>
      </c>
      <c r="BV154" s="25" t="str">
        <f>IF('1. Live'!BZ172='check-Jul''26'!BV172,"",'1. Live'!BZ172-'check-Jul''26'!BV172)</f>
        <v/>
      </c>
      <c r="BW154" s="25" t="str">
        <f>IF('1. Live'!CA172='check-Jul''26'!BW172,"",'1. Live'!CA172-'check-Jul''26'!BW172)</f>
        <v/>
      </c>
      <c r="BX154" s="25" t="str">
        <f>IF('1. Live'!CB172='check-Jul''26'!BX172,"",'1. Live'!CB172-'check-Jul''26'!BX172)</f>
        <v/>
      </c>
      <c r="BY154" s="25" t="str">
        <f>IF('1. Live'!CC172='check-Jul''26'!BY172,"",'1. Live'!CC172-'check-Jul''26'!BY172)</f>
        <v/>
      </c>
      <c r="BZ154" s="25" t="str">
        <f>IF('1. Live'!CD172='check-Jul''26'!BZ172,"",'1. Live'!CD172-'check-Jul''26'!BZ172)</f>
        <v/>
      </c>
      <c r="CA154" s="25" t="str">
        <f>IF('1. Live'!CE172='check-Jul''26'!CA172,"",'1. Live'!CE172-'check-Jul''26'!CA172)</f>
        <v/>
      </c>
      <c r="CB154" s="25" t="str">
        <f>IF('1. Live'!CF172='check-Jul''26'!CB172,"",'1. Live'!CF172-'check-Jul''26'!CB172)</f>
        <v/>
      </c>
      <c r="CC154" s="25" t="str">
        <f>IF('1. Live'!CG172='check-Jul''26'!CC172,"",'1. Live'!CG172-'check-Jul''26'!CC172)</f>
        <v/>
      </c>
      <c r="CD154" s="25" t="str">
        <f>IF('1. Live'!CH172='check-Jul''26'!CD172,"",'1. Live'!CH172-'check-Jul''26'!CD172)</f>
        <v/>
      </c>
      <c r="CE154" s="25" t="str">
        <f>IF('1. Live'!CI172='check-Jul''26'!CE172,"",'1. Live'!CI172-'check-Jul''26'!CE172)</f>
        <v/>
      </c>
      <c r="CF154" s="25" t="str">
        <f>IF('1. Live'!CJ172='check-Jul''26'!CF172,"",'1. Live'!CJ172-'check-Jul''26'!CF172)</f>
        <v/>
      </c>
      <c r="CG154" s="25" t="str">
        <f>IF('1. Live'!CK172='check-Jul''26'!CG172,"",'1. Live'!CK172-'check-Jul''26'!CG172)</f>
        <v/>
      </c>
      <c r="CH154" s="25" t="str">
        <f>IF('1. Live'!CL172='check-Jul''26'!CH172,"",'1. Live'!CL172-'check-Jul''26'!CH172)</f>
        <v/>
      </c>
      <c r="CI154" s="25" t="str">
        <f>IF('1. Live'!CM172='check-Jul''26'!CI172,"",'1. Live'!CM172-'check-Jul''26'!CI172)</f>
        <v/>
      </c>
      <c r="CJ154" s="25" t="str">
        <f>IF('1. Live'!CN172='check-Jul''26'!CJ172,"",'1. Live'!CN172-'check-Jul''26'!CJ172)</f>
        <v/>
      </c>
      <c r="CK154" s="25" t="str">
        <f>IF('1. Live'!CO172='check-Jul''26'!CK172,"",'1. Live'!CO172-'check-Jul''26'!CK172)</f>
        <v/>
      </c>
      <c r="CL154" s="25" t="str">
        <f>IF('1. Live'!CP172='check-Jul''26'!CL172,"",'1. Live'!CP172-'check-Jul''26'!CL172)</f>
        <v/>
      </c>
      <c r="CM154" s="25" t="str">
        <f>IF('1. Live'!CQ172='check-Jul''26'!CM172,"",'1. Live'!CQ172-'check-Jul''26'!CM172)</f>
        <v/>
      </c>
      <c r="CN154" s="25" t="str">
        <f>IF('1. Live'!CR172='check-Jul''26'!CN172,"",'1. Live'!CR172-'check-Jul''26'!CN172)</f>
        <v/>
      </c>
      <c r="CO154" s="25" t="str">
        <f>IF('1. Live'!CS172='check-Jul''26'!CO172,"",'1. Live'!CS172-'check-Jul''26'!CO172)</f>
        <v/>
      </c>
      <c r="CP154" s="25" t="str">
        <f>IF('1. Live'!CT172='check-Jul''26'!CP172,"",'1. Live'!CT172-'check-Jul''26'!CP172)</f>
        <v/>
      </c>
      <c r="CQ154" s="25" t="str">
        <f>IF('1. Live'!CU172='check-Jul''26'!CQ172,"",'1. Live'!CU172-'check-Jul''26'!CQ172)</f>
        <v/>
      </c>
      <c r="CR154" s="25" t="str">
        <f>IF('1. Live'!CV172='check-Jul''26'!CR172,"",'1. Live'!CV172-'check-Jul''26'!CR172)</f>
        <v/>
      </c>
      <c r="CS154" s="25" t="str">
        <f>IF('1. Live'!CW172='check-Jul''26'!CS172,"",'1. Live'!CW172-'check-Jul''26'!CS172)</f>
        <v/>
      </c>
      <c r="CT154" s="25" t="str">
        <f>IF('1. Live'!CX172='check-Jul''26'!CT172,"",'1. Live'!CX172-'check-Jul''26'!CT172)</f>
        <v/>
      </c>
      <c r="CU154" s="25" t="str">
        <f>IF('1. Live'!CY172='check-Jul''26'!CU172,"",'1. Live'!CY172-'check-Jul''26'!CU172)</f>
        <v/>
      </c>
      <c r="CV154" s="25" t="str">
        <f>IF('1. Live'!CZ172='check-Jul''26'!CV172,"",'1. Live'!CZ172-'check-Jul''26'!CV172)</f>
        <v/>
      </c>
    </row>
    <row r="155" spans="17:100" x14ac:dyDescent="0.25">
      <c r="Q155" s="26" t="str">
        <f>IF('1. Live'!N173='check-Jul''26'!I173,"",'1. Live'!N173-'check-Jul''26'!I173)</f>
        <v/>
      </c>
      <c r="R155" s="26" t="str">
        <f>IF('1. Live'!O173='check-Jul''26'!J173,"",'1. Live'!O173-'check-Jul''26'!J173)</f>
        <v/>
      </c>
      <c r="S155" s="26" t="str">
        <f>IF('1. Live'!P173='check-Jul''26'!K173,"",'1. Live'!P173-'check-Jul''26'!K173)</f>
        <v/>
      </c>
      <c r="T155" s="26" t="str">
        <f>IF('1. Live'!Q173='check-Jul''26'!L173,"",'1. Live'!Q173-'check-Jul''26'!L173)</f>
        <v/>
      </c>
      <c r="U155" s="80" t="str">
        <f>IF('1. Live'!R173='check-Jul''26'!M173,"",'1. Live'!R173-'check-Jul''26'!M173)</f>
        <v/>
      </c>
      <c r="V155" s="26" t="str">
        <f>IF('1. Live'!S173='check-Jul''26'!N173,"",'1. Live'!S173-'check-Jul''26'!N173)</f>
        <v/>
      </c>
      <c r="W155" s="25" t="str">
        <f>IF('1. Live'!T173='check-Jul''26'!O173,"",'1. Live'!T173-'check-Jul''26'!O173)</f>
        <v/>
      </c>
      <c r="X155" s="25" t="str">
        <f>IF('1. Live'!U173='check-Jul''26'!Q173,"",'1. Live'!U173-'check-Jul''26'!Q173)</f>
        <v/>
      </c>
      <c r="Y155" s="25" t="str">
        <f>IF('1. Live'!V173='check-Jul''26'!R173,"",'1. Live'!V173-'check-Jul''26'!R173)</f>
        <v/>
      </c>
      <c r="Z155" s="25" t="str">
        <f>IF('1. Live'!W173='check-Jul''26'!S173,"",'1. Live'!W173-'check-Jul''26'!S173)</f>
        <v/>
      </c>
      <c r="AA155" s="25" t="str">
        <f>IF('1. Live'!X173='check-Jul''26'!T173,"",'1. Live'!X173-'check-Jul''26'!T173)</f>
        <v/>
      </c>
      <c r="AB155" s="25" t="str">
        <f>IF('1. Live'!AF173='check-Jul''26'!AB173,"",'1. Live'!AF173-'check-Jul''26'!AB173)</f>
        <v/>
      </c>
      <c r="AC155" s="25" t="str">
        <f>IF('1. Live'!AG173='check-Jul''26'!AC173,"",'1. Live'!AG173-'check-Jul''26'!AC173)</f>
        <v/>
      </c>
      <c r="AD155" s="25" t="str">
        <f>IF('1. Live'!AH173='check-Jul''26'!AD173,"",'1. Live'!AH173-'check-Jul''26'!AD173)</f>
        <v/>
      </c>
      <c r="AE155" s="25" t="str">
        <f>IF('1. Live'!AI173='check-Jul''26'!AE173,"",'1. Live'!AI173-'check-Jul''26'!AE173)</f>
        <v/>
      </c>
      <c r="AF155" s="25" t="str">
        <f>IF('1. Live'!AJ173='check-Jul''26'!AF173,"",'1. Live'!AJ173-'check-Jul''26'!AF173)</f>
        <v/>
      </c>
      <c r="AG155" s="25" t="str">
        <f>IF('1. Live'!AK173='check-Jul''26'!AG173,"",'1. Live'!AK173-'check-Jul''26'!AG173)</f>
        <v/>
      </c>
      <c r="AH155" s="25" t="str">
        <f>IF('1. Live'!AL173='check-Jul''26'!AH173,"",'1. Live'!AL173-'check-Jul''26'!AH173)</f>
        <v/>
      </c>
      <c r="AI155" s="25" t="str">
        <f>IF('1. Live'!AM173='check-Jul''26'!AI173,"",'1. Live'!AM173-'check-Jul''26'!AI173)</f>
        <v/>
      </c>
      <c r="AJ155" s="25" t="str">
        <f>IF('1. Live'!AN173='check-Jul''26'!AJ173,"",'1. Live'!AN173-'check-Jul''26'!AJ173)</f>
        <v/>
      </c>
      <c r="AK155" s="25" t="str">
        <f>IF('1. Live'!AO173='check-Jul''26'!AK173,"",'1. Live'!AO173-'check-Jul''26'!AK173)</f>
        <v/>
      </c>
      <c r="AL155" s="25" t="str">
        <f>IF('1. Live'!AP173='check-Jul''26'!AL173,"",'1. Live'!AP173-'check-Jul''26'!AL173)</f>
        <v/>
      </c>
      <c r="AM155" s="25" t="str">
        <f>IF('1. Live'!AQ173='check-Jul''26'!AM173,"",'1. Live'!AQ173-'check-Jul''26'!AM173)</f>
        <v/>
      </c>
      <c r="AN155" s="25" t="str">
        <f>IF('1. Live'!AR173='check-Jul''26'!AN173,"",'1. Live'!AR173-'check-Jul''26'!AN173)</f>
        <v/>
      </c>
      <c r="AO155" s="25" t="str">
        <f>IF('1. Live'!AS173='check-Jul''26'!AO173,"",'1. Live'!AS173-'check-Jul''26'!AO173)</f>
        <v/>
      </c>
      <c r="AP155" s="25" t="str">
        <f>IF('1. Live'!AT173='check-Jul''26'!AP173,"",'1. Live'!AT173-'check-Jul''26'!AP173)</f>
        <v/>
      </c>
      <c r="AQ155" s="25" t="str">
        <f>IF('1. Live'!AU173='check-Jul''26'!AQ173,"",'1. Live'!AU173-'check-Jul''26'!AQ173)</f>
        <v/>
      </c>
      <c r="AR155" s="25" t="str">
        <f>IF('1. Live'!AV173='check-Jul''26'!AR173,"",'1. Live'!AV173-'check-Jul''26'!AR173)</f>
        <v/>
      </c>
      <c r="AS155" s="25" t="str">
        <f>IF('1. Live'!AW173='check-Jul''26'!AS173,"",'1. Live'!AW173-'check-Jul''26'!AS173)</f>
        <v/>
      </c>
      <c r="AT155" s="25" t="str">
        <f>IF('1. Live'!AX173='check-Jul''26'!AT173,"",'1. Live'!AX173-'check-Jul''26'!AT173)</f>
        <v/>
      </c>
      <c r="AU155" s="25" t="str">
        <f>IF('1. Live'!AY173='check-Jul''26'!AU173,"",'1. Live'!AY173-'check-Jul''26'!AU173)</f>
        <v/>
      </c>
      <c r="AV155" s="25" t="str">
        <f>IF('1. Live'!AZ173='check-Jul''26'!AV173,"",'1. Live'!AZ173-'check-Jul''26'!AV173)</f>
        <v/>
      </c>
      <c r="AW155" s="25" t="str">
        <f>IF('1. Live'!BA173='check-Jul''26'!AW173,"",'1. Live'!BA173-'check-Jul''26'!AW173)</f>
        <v/>
      </c>
      <c r="AX155" s="25" t="str">
        <f>IF('1. Live'!BB173='check-Jul''26'!AX173,"",'1. Live'!BB173-'check-Jul''26'!AX173)</f>
        <v/>
      </c>
      <c r="AY155" s="25" t="str">
        <f>IF('1. Live'!BC173='check-Jul''26'!AY173,"",'1. Live'!BC173-'check-Jul''26'!AY173)</f>
        <v/>
      </c>
      <c r="AZ155" s="25" t="str">
        <f>IF('1. Live'!BD173='check-Jul''26'!AZ173,"",'1. Live'!BD173-'check-Jul''26'!AZ173)</f>
        <v/>
      </c>
      <c r="BA155" s="25" t="str">
        <f>IF('1. Live'!BE173='check-Jul''26'!BA173,"",'1. Live'!BE173-'check-Jul''26'!BA173)</f>
        <v/>
      </c>
      <c r="BB155" s="25" t="str">
        <f>IF('1. Live'!BF173='check-Jul''26'!BB173,"",'1. Live'!BF173-'check-Jul''26'!BB173)</f>
        <v/>
      </c>
      <c r="BC155" s="25" t="str">
        <f>IF('1. Live'!BG173='check-Jul''26'!BC173,"",'1. Live'!BG173-'check-Jul''26'!BC173)</f>
        <v/>
      </c>
      <c r="BD155" s="25" t="str">
        <f>IF('1. Live'!BH173='check-Jul''26'!BD173,"",'1. Live'!BH173-'check-Jul''26'!BD173)</f>
        <v/>
      </c>
      <c r="BE155" s="25" t="str">
        <f>IF('1. Live'!BI173='check-Jul''26'!BE173,"",'1. Live'!BI173-'check-Jul''26'!BE173)</f>
        <v/>
      </c>
      <c r="BF155" s="25" t="str">
        <f>IF('1. Live'!BJ173='check-Jul''26'!BF173,"",'1. Live'!BJ173-'check-Jul''26'!BF173)</f>
        <v/>
      </c>
      <c r="BG155" s="25" t="str">
        <f>IF('1. Live'!BK173='check-Jul''26'!BG173,"",'1. Live'!BK173-'check-Jul''26'!BG173)</f>
        <v/>
      </c>
      <c r="BH155" s="25" t="str">
        <f>IF('1. Live'!BL173='check-Jul''26'!BH173,"",'1. Live'!BL173-'check-Jul''26'!BH173)</f>
        <v/>
      </c>
      <c r="BI155" s="25" t="str">
        <f>IF('1. Live'!BM173='check-Jul''26'!BI173,"",'1. Live'!BM173-'check-Jul''26'!BI173)</f>
        <v/>
      </c>
      <c r="BJ155" s="25" t="str">
        <f>IF('1. Live'!BN173='check-Jul''26'!BJ173,"",'1. Live'!BN173-'check-Jul''26'!BJ173)</f>
        <v/>
      </c>
      <c r="BK155" s="25" t="str">
        <f>IF('1. Live'!BO173='check-Jul''26'!BK173,"",'1. Live'!BO173-'check-Jul''26'!BK173)</f>
        <v/>
      </c>
      <c r="BL155" s="25" t="str">
        <f>IF('1. Live'!BP173='check-Jul''26'!BL173,"",'1. Live'!BP173-'check-Jul''26'!BL173)</f>
        <v/>
      </c>
      <c r="BM155" s="25" t="str">
        <f>IF('1. Live'!BQ173='check-Jul''26'!BM173,"",'1. Live'!BQ173-'check-Jul''26'!BM173)</f>
        <v/>
      </c>
      <c r="BN155" s="25" t="str">
        <f>IF('1. Live'!BR173='check-Jul''26'!BN173,"",'1. Live'!BR173-'check-Jul''26'!BN173)</f>
        <v/>
      </c>
      <c r="BO155" s="25" t="str">
        <f>IF('1. Live'!BS173='check-Jul''26'!BO173,"",'1. Live'!BS173-'check-Jul''26'!BO173)</f>
        <v/>
      </c>
      <c r="BP155" s="25" t="str">
        <f>IF('1. Live'!BT173='check-Jul''26'!BP173,"",'1. Live'!BT173-'check-Jul''26'!BP173)</f>
        <v/>
      </c>
      <c r="BQ155" s="25" t="str">
        <f>IF('1. Live'!BU173='check-Jul''26'!BQ173,"",'1. Live'!BU173-'check-Jul''26'!BQ173)</f>
        <v/>
      </c>
      <c r="BR155" s="25" t="str">
        <f>IF('1. Live'!BV173='check-Jul''26'!BR173,"",'1. Live'!BV173-'check-Jul''26'!BR173)</f>
        <v/>
      </c>
      <c r="BS155" s="25" t="str">
        <f>IF('1. Live'!BW173='check-Jul''26'!BS173,"",'1. Live'!BW173-'check-Jul''26'!BS173)</f>
        <v/>
      </c>
      <c r="BT155" s="25" t="str">
        <f>IF('1. Live'!BX173='check-Jul''26'!BT173,"",'1. Live'!BX173-'check-Jul''26'!BT173)</f>
        <v/>
      </c>
      <c r="BU155" s="25" t="str">
        <f>IF('1. Live'!BY173='check-Jul''26'!BU173,"",'1. Live'!BY173-'check-Jul''26'!BU173)</f>
        <v/>
      </c>
      <c r="BV155" s="25" t="str">
        <f>IF('1. Live'!BZ173='check-Jul''26'!BV173,"",'1. Live'!BZ173-'check-Jul''26'!BV173)</f>
        <v/>
      </c>
      <c r="BW155" s="25" t="str">
        <f>IF('1. Live'!CA173='check-Jul''26'!BW173,"",'1. Live'!CA173-'check-Jul''26'!BW173)</f>
        <v/>
      </c>
      <c r="BX155" s="25" t="str">
        <f>IF('1. Live'!CB173='check-Jul''26'!BX173,"",'1. Live'!CB173-'check-Jul''26'!BX173)</f>
        <v/>
      </c>
      <c r="BY155" s="25" t="str">
        <f>IF('1. Live'!CC173='check-Jul''26'!BY173,"",'1. Live'!CC173-'check-Jul''26'!BY173)</f>
        <v/>
      </c>
      <c r="BZ155" s="25" t="str">
        <f>IF('1. Live'!CD173='check-Jul''26'!BZ173,"",'1. Live'!CD173-'check-Jul''26'!BZ173)</f>
        <v/>
      </c>
      <c r="CA155" s="25" t="str">
        <f>IF('1. Live'!CE173='check-Jul''26'!CA173,"",'1. Live'!CE173-'check-Jul''26'!CA173)</f>
        <v/>
      </c>
      <c r="CB155" s="25" t="str">
        <f>IF('1. Live'!CF173='check-Jul''26'!CB173,"",'1. Live'!CF173-'check-Jul''26'!CB173)</f>
        <v/>
      </c>
      <c r="CC155" s="25" t="str">
        <f>IF('1. Live'!CG173='check-Jul''26'!CC173,"",'1. Live'!CG173-'check-Jul''26'!CC173)</f>
        <v/>
      </c>
      <c r="CD155" s="25" t="str">
        <f>IF('1. Live'!CH173='check-Jul''26'!CD173,"",'1. Live'!CH173-'check-Jul''26'!CD173)</f>
        <v/>
      </c>
      <c r="CE155" s="25" t="str">
        <f>IF('1. Live'!CI173='check-Jul''26'!CE173,"",'1. Live'!CI173-'check-Jul''26'!CE173)</f>
        <v/>
      </c>
      <c r="CF155" s="25" t="str">
        <f>IF('1. Live'!CJ173='check-Jul''26'!CF173,"",'1. Live'!CJ173-'check-Jul''26'!CF173)</f>
        <v/>
      </c>
      <c r="CG155" s="25" t="str">
        <f>IF('1. Live'!CK173='check-Jul''26'!CG173,"",'1. Live'!CK173-'check-Jul''26'!CG173)</f>
        <v/>
      </c>
      <c r="CH155" s="25" t="str">
        <f>IF('1. Live'!CL173='check-Jul''26'!CH173,"",'1. Live'!CL173-'check-Jul''26'!CH173)</f>
        <v/>
      </c>
      <c r="CI155" s="25" t="str">
        <f>IF('1. Live'!CM173='check-Jul''26'!CI173,"",'1. Live'!CM173-'check-Jul''26'!CI173)</f>
        <v/>
      </c>
      <c r="CJ155" s="25" t="str">
        <f>IF('1. Live'!CN173='check-Jul''26'!CJ173,"",'1. Live'!CN173-'check-Jul''26'!CJ173)</f>
        <v/>
      </c>
      <c r="CK155" s="25" t="str">
        <f>IF('1. Live'!CO173='check-Jul''26'!CK173,"",'1. Live'!CO173-'check-Jul''26'!CK173)</f>
        <v/>
      </c>
      <c r="CL155" s="25" t="str">
        <f>IF('1. Live'!CP173='check-Jul''26'!CL173,"",'1. Live'!CP173-'check-Jul''26'!CL173)</f>
        <v/>
      </c>
      <c r="CM155" s="25" t="str">
        <f>IF('1. Live'!CQ173='check-Jul''26'!CM173,"",'1. Live'!CQ173-'check-Jul''26'!CM173)</f>
        <v/>
      </c>
      <c r="CN155" s="25" t="str">
        <f>IF('1. Live'!CR173='check-Jul''26'!CN173,"",'1. Live'!CR173-'check-Jul''26'!CN173)</f>
        <v/>
      </c>
      <c r="CO155" s="25" t="str">
        <f>IF('1. Live'!CS173='check-Jul''26'!CO173,"",'1. Live'!CS173-'check-Jul''26'!CO173)</f>
        <v/>
      </c>
      <c r="CP155" s="25" t="str">
        <f>IF('1. Live'!CT173='check-Jul''26'!CP173,"",'1. Live'!CT173-'check-Jul''26'!CP173)</f>
        <v/>
      </c>
      <c r="CQ155" s="25" t="str">
        <f>IF('1. Live'!CU173='check-Jul''26'!CQ173,"",'1. Live'!CU173-'check-Jul''26'!CQ173)</f>
        <v/>
      </c>
      <c r="CR155" s="25" t="str">
        <f>IF('1. Live'!CV173='check-Jul''26'!CR173,"",'1. Live'!CV173-'check-Jul''26'!CR173)</f>
        <v/>
      </c>
      <c r="CS155" s="25" t="str">
        <f>IF('1. Live'!CW173='check-Jul''26'!CS173,"",'1. Live'!CW173-'check-Jul''26'!CS173)</f>
        <v/>
      </c>
      <c r="CT155" s="25" t="str">
        <f>IF('1. Live'!CX173='check-Jul''26'!CT173,"",'1. Live'!CX173-'check-Jul''26'!CT173)</f>
        <v/>
      </c>
      <c r="CU155" s="25" t="str">
        <f>IF('1. Live'!CY173='check-Jul''26'!CU173,"",'1. Live'!CY173-'check-Jul''26'!CU173)</f>
        <v/>
      </c>
      <c r="CV155" s="25" t="str">
        <f>IF('1. Live'!CZ173='check-Jul''26'!CV173,"",'1. Live'!CZ173-'check-Jul''26'!CV173)</f>
        <v/>
      </c>
    </row>
    <row r="156" spans="17:100" x14ac:dyDescent="0.25">
      <c r="Q156" s="26" t="str">
        <f>IF('1. Live'!N174='check-Jul''26'!I174,"",'1. Live'!N174-'check-Jul''26'!I174)</f>
        <v/>
      </c>
      <c r="R156" s="26" t="str">
        <f>IF('1. Live'!O174='check-Jul''26'!J174,"",'1. Live'!O174-'check-Jul''26'!J174)</f>
        <v/>
      </c>
      <c r="S156" s="26" t="str">
        <f>IF('1. Live'!P174='check-Jul''26'!K174,"",'1. Live'!P174-'check-Jul''26'!K174)</f>
        <v/>
      </c>
      <c r="T156" s="26" t="str">
        <f>IF('1. Live'!Q174='check-Jul''26'!L174,"",'1. Live'!Q174-'check-Jul''26'!L174)</f>
        <v/>
      </c>
      <c r="U156" s="80" t="str">
        <f>IF('1. Live'!R174='check-Jul''26'!M174,"",'1. Live'!R174-'check-Jul''26'!M174)</f>
        <v/>
      </c>
      <c r="V156" s="26" t="str">
        <f>IF('1. Live'!S174='check-Jul''26'!N174,"",'1. Live'!S174-'check-Jul''26'!N174)</f>
        <v/>
      </c>
      <c r="W156" s="25" t="str">
        <f>IF('1. Live'!T174='check-Jul''26'!O174,"",'1. Live'!T174-'check-Jul''26'!O174)</f>
        <v/>
      </c>
      <c r="X156" s="25" t="str">
        <f>IF('1. Live'!U174='check-Jul''26'!Q174,"",'1. Live'!U174-'check-Jul''26'!Q174)</f>
        <v/>
      </c>
      <c r="Y156" s="25" t="str">
        <f>IF('1. Live'!V174='check-Jul''26'!R174,"",'1. Live'!V174-'check-Jul''26'!R174)</f>
        <v/>
      </c>
      <c r="Z156" s="25" t="str">
        <f>IF('1. Live'!W174='check-Jul''26'!S174,"",'1. Live'!W174-'check-Jul''26'!S174)</f>
        <v/>
      </c>
      <c r="AA156" s="25" t="str">
        <f>IF('1. Live'!X174='check-Jul''26'!T174,"",'1. Live'!X174-'check-Jul''26'!T174)</f>
        <v/>
      </c>
      <c r="AB156" s="25" t="str">
        <f>IF('1. Live'!AF174='check-Jul''26'!AB174,"",'1. Live'!AF174-'check-Jul''26'!AB174)</f>
        <v/>
      </c>
      <c r="AC156" s="25" t="str">
        <f>IF('1. Live'!AG174='check-Jul''26'!AC174,"",'1. Live'!AG174-'check-Jul''26'!AC174)</f>
        <v/>
      </c>
      <c r="AD156" s="25" t="str">
        <f>IF('1. Live'!AH174='check-Jul''26'!AD174,"",'1. Live'!AH174-'check-Jul''26'!AD174)</f>
        <v/>
      </c>
      <c r="AE156" s="25" t="str">
        <f>IF('1. Live'!AI174='check-Jul''26'!AE174,"",'1. Live'!AI174-'check-Jul''26'!AE174)</f>
        <v/>
      </c>
      <c r="AF156" s="25" t="str">
        <f>IF('1. Live'!AJ174='check-Jul''26'!AF174,"",'1. Live'!AJ174-'check-Jul''26'!AF174)</f>
        <v/>
      </c>
      <c r="AG156" s="25" t="str">
        <f>IF('1. Live'!AK174='check-Jul''26'!AG174,"",'1. Live'!AK174-'check-Jul''26'!AG174)</f>
        <v/>
      </c>
      <c r="AH156" s="25" t="str">
        <f>IF('1. Live'!AL174='check-Jul''26'!AH174,"",'1. Live'!AL174-'check-Jul''26'!AH174)</f>
        <v/>
      </c>
      <c r="AI156" s="25" t="str">
        <f>IF('1. Live'!AM174='check-Jul''26'!AI174,"",'1. Live'!AM174-'check-Jul''26'!AI174)</f>
        <v/>
      </c>
      <c r="AJ156" s="25" t="str">
        <f>IF('1. Live'!AN174='check-Jul''26'!AJ174,"",'1. Live'!AN174-'check-Jul''26'!AJ174)</f>
        <v/>
      </c>
      <c r="AK156" s="25" t="str">
        <f>IF('1. Live'!AO174='check-Jul''26'!AK174,"",'1. Live'!AO174-'check-Jul''26'!AK174)</f>
        <v/>
      </c>
      <c r="AL156" s="25" t="str">
        <f>IF('1. Live'!AP174='check-Jul''26'!AL174,"",'1. Live'!AP174-'check-Jul''26'!AL174)</f>
        <v/>
      </c>
      <c r="AM156" s="25" t="str">
        <f>IF('1. Live'!AQ174='check-Jul''26'!AM174,"",'1. Live'!AQ174-'check-Jul''26'!AM174)</f>
        <v/>
      </c>
      <c r="AN156" s="25" t="str">
        <f>IF('1. Live'!AR174='check-Jul''26'!AN174,"",'1. Live'!AR174-'check-Jul''26'!AN174)</f>
        <v/>
      </c>
      <c r="AO156" s="25" t="str">
        <f>IF('1. Live'!AS174='check-Jul''26'!AO174,"",'1. Live'!AS174-'check-Jul''26'!AO174)</f>
        <v/>
      </c>
      <c r="AP156" s="25" t="str">
        <f>IF('1. Live'!AT174='check-Jul''26'!AP174,"",'1. Live'!AT174-'check-Jul''26'!AP174)</f>
        <v/>
      </c>
      <c r="AQ156" s="25" t="str">
        <f>IF('1. Live'!AU174='check-Jul''26'!AQ174,"",'1. Live'!AU174-'check-Jul''26'!AQ174)</f>
        <v/>
      </c>
      <c r="AR156" s="25" t="str">
        <f>IF('1. Live'!AV174='check-Jul''26'!AR174,"",'1. Live'!AV174-'check-Jul''26'!AR174)</f>
        <v/>
      </c>
      <c r="AS156" s="25" t="str">
        <f>IF('1. Live'!AW174='check-Jul''26'!AS174,"",'1. Live'!AW174-'check-Jul''26'!AS174)</f>
        <v/>
      </c>
      <c r="AT156" s="25" t="str">
        <f>IF('1. Live'!AX174='check-Jul''26'!AT174,"",'1. Live'!AX174-'check-Jul''26'!AT174)</f>
        <v/>
      </c>
      <c r="AU156" s="25" t="str">
        <f>IF('1. Live'!AY174='check-Jul''26'!AU174,"",'1. Live'!AY174-'check-Jul''26'!AU174)</f>
        <v/>
      </c>
      <c r="AV156" s="25" t="str">
        <f>IF('1. Live'!AZ174='check-Jul''26'!AV174,"",'1. Live'!AZ174-'check-Jul''26'!AV174)</f>
        <v/>
      </c>
      <c r="AW156" s="25" t="str">
        <f>IF('1. Live'!BA174='check-Jul''26'!AW174,"",'1. Live'!BA174-'check-Jul''26'!AW174)</f>
        <v/>
      </c>
      <c r="AX156" s="25" t="str">
        <f>IF('1. Live'!BB174='check-Jul''26'!AX174,"",'1. Live'!BB174-'check-Jul''26'!AX174)</f>
        <v/>
      </c>
      <c r="AY156" s="25" t="str">
        <f>IF('1. Live'!BC174='check-Jul''26'!AY174,"",'1. Live'!BC174-'check-Jul''26'!AY174)</f>
        <v/>
      </c>
      <c r="AZ156" s="25" t="str">
        <f>IF('1. Live'!BD174='check-Jul''26'!AZ174,"",'1. Live'!BD174-'check-Jul''26'!AZ174)</f>
        <v/>
      </c>
      <c r="BA156" s="25" t="str">
        <f>IF('1. Live'!BE174='check-Jul''26'!BA174,"",'1. Live'!BE174-'check-Jul''26'!BA174)</f>
        <v/>
      </c>
      <c r="BB156" s="25" t="str">
        <f>IF('1. Live'!BF174='check-Jul''26'!BB174,"",'1. Live'!BF174-'check-Jul''26'!BB174)</f>
        <v/>
      </c>
      <c r="BC156" s="25" t="str">
        <f>IF('1. Live'!BG174='check-Jul''26'!BC174,"",'1. Live'!BG174-'check-Jul''26'!BC174)</f>
        <v/>
      </c>
      <c r="BD156" s="25" t="str">
        <f>IF('1. Live'!BH174='check-Jul''26'!BD174,"",'1. Live'!BH174-'check-Jul''26'!BD174)</f>
        <v/>
      </c>
      <c r="BE156" s="25" t="str">
        <f>IF('1. Live'!BI174='check-Jul''26'!BE174,"",'1. Live'!BI174-'check-Jul''26'!BE174)</f>
        <v/>
      </c>
      <c r="BF156" s="25" t="str">
        <f>IF('1. Live'!BJ174='check-Jul''26'!BF174,"",'1. Live'!BJ174-'check-Jul''26'!BF174)</f>
        <v/>
      </c>
      <c r="BG156" s="25" t="str">
        <f>IF('1. Live'!BK174='check-Jul''26'!BG174,"",'1. Live'!BK174-'check-Jul''26'!BG174)</f>
        <v/>
      </c>
      <c r="BH156" s="25" t="str">
        <f>IF('1. Live'!BL174='check-Jul''26'!BH174,"",'1. Live'!BL174-'check-Jul''26'!BH174)</f>
        <v/>
      </c>
      <c r="BI156" s="25" t="str">
        <f>IF('1. Live'!BM174='check-Jul''26'!BI174,"",'1. Live'!BM174-'check-Jul''26'!BI174)</f>
        <v/>
      </c>
      <c r="BJ156" s="25" t="str">
        <f>IF('1. Live'!BN174='check-Jul''26'!BJ174,"",'1. Live'!BN174-'check-Jul''26'!BJ174)</f>
        <v/>
      </c>
      <c r="BK156" s="25" t="str">
        <f>IF('1. Live'!BO174='check-Jul''26'!BK174,"",'1. Live'!BO174-'check-Jul''26'!BK174)</f>
        <v/>
      </c>
      <c r="BL156" s="25" t="str">
        <f>IF('1. Live'!BP174='check-Jul''26'!BL174,"",'1. Live'!BP174-'check-Jul''26'!BL174)</f>
        <v/>
      </c>
      <c r="BM156" s="25" t="str">
        <f>IF('1. Live'!BQ174='check-Jul''26'!BM174,"",'1. Live'!BQ174-'check-Jul''26'!BM174)</f>
        <v/>
      </c>
      <c r="BN156" s="25" t="str">
        <f>IF('1. Live'!BR174='check-Jul''26'!BN174,"",'1. Live'!BR174-'check-Jul''26'!BN174)</f>
        <v/>
      </c>
      <c r="BO156" s="25" t="str">
        <f>IF('1. Live'!BS174='check-Jul''26'!BO174,"",'1. Live'!BS174-'check-Jul''26'!BO174)</f>
        <v/>
      </c>
      <c r="BP156" s="25" t="str">
        <f>IF('1. Live'!BT174='check-Jul''26'!BP174,"",'1. Live'!BT174-'check-Jul''26'!BP174)</f>
        <v/>
      </c>
      <c r="BQ156" s="25" t="str">
        <f>IF('1. Live'!BU174='check-Jul''26'!BQ174,"",'1. Live'!BU174-'check-Jul''26'!BQ174)</f>
        <v/>
      </c>
      <c r="BR156" s="25" t="str">
        <f>IF('1. Live'!BV174='check-Jul''26'!BR174,"",'1. Live'!BV174-'check-Jul''26'!BR174)</f>
        <v/>
      </c>
      <c r="BS156" s="25" t="str">
        <f>IF('1. Live'!BW174='check-Jul''26'!BS174,"",'1. Live'!BW174-'check-Jul''26'!BS174)</f>
        <v/>
      </c>
      <c r="BT156" s="25" t="str">
        <f>IF('1. Live'!BX174='check-Jul''26'!BT174,"",'1. Live'!BX174-'check-Jul''26'!BT174)</f>
        <v/>
      </c>
      <c r="BU156" s="25" t="str">
        <f>IF('1. Live'!BY174='check-Jul''26'!BU174,"",'1. Live'!BY174-'check-Jul''26'!BU174)</f>
        <v/>
      </c>
      <c r="BV156" s="25" t="str">
        <f>IF('1. Live'!BZ174='check-Jul''26'!BV174,"",'1. Live'!BZ174-'check-Jul''26'!BV174)</f>
        <v/>
      </c>
      <c r="BW156" s="25" t="str">
        <f>IF('1. Live'!CA174='check-Jul''26'!BW174,"",'1. Live'!CA174-'check-Jul''26'!BW174)</f>
        <v/>
      </c>
      <c r="BX156" s="25" t="str">
        <f>IF('1. Live'!CB174='check-Jul''26'!BX174,"",'1. Live'!CB174-'check-Jul''26'!BX174)</f>
        <v/>
      </c>
      <c r="BY156" s="25" t="str">
        <f>IF('1. Live'!CC174='check-Jul''26'!BY174,"",'1. Live'!CC174-'check-Jul''26'!BY174)</f>
        <v/>
      </c>
      <c r="BZ156" s="25" t="str">
        <f>IF('1. Live'!CD174='check-Jul''26'!BZ174,"",'1. Live'!CD174-'check-Jul''26'!BZ174)</f>
        <v/>
      </c>
      <c r="CA156" s="25" t="str">
        <f>IF('1. Live'!CE174='check-Jul''26'!CA174,"",'1. Live'!CE174-'check-Jul''26'!CA174)</f>
        <v/>
      </c>
      <c r="CB156" s="25" t="str">
        <f>IF('1. Live'!CF174='check-Jul''26'!CB174,"",'1. Live'!CF174-'check-Jul''26'!CB174)</f>
        <v/>
      </c>
      <c r="CC156" s="25" t="str">
        <f>IF('1. Live'!CG174='check-Jul''26'!CC174,"",'1. Live'!CG174-'check-Jul''26'!CC174)</f>
        <v/>
      </c>
      <c r="CD156" s="25" t="str">
        <f>IF('1. Live'!CH174='check-Jul''26'!CD174,"",'1. Live'!CH174-'check-Jul''26'!CD174)</f>
        <v/>
      </c>
      <c r="CE156" s="25" t="str">
        <f>IF('1. Live'!CI174='check-Jul''26'!CE174,"",'1. Live'!CI174-'check-Jul''26'!CE174)</f>
        <v/>
      </c>
      <c r="CF156" s="25" t="str">
        <f>IF('1. Live'!CJ174='check-Jul''26'!CF174,"",'1. Live'!CJ174-'check-Jul''26'!CF174)</f>
        <v/>
      </c>
      <c r="CG156" s="25" t="str">
        <f>IF('1. Live'!CK174='check-Jul''26'!CG174,"",'1. Live'!CK174-'check-Jul''26'!CG174)</f>
        <v/>
      </c>
      <c r="CH156" s="25" t="str">
        <f>IF('1. Live'!CL174='check-Jul''26'!CH174,"",'1. Live'!CL174-'check-Jul''26'!CH174)</f>
        <v/>
      </c>
      <c r="CI156" s="25" t="str">
        <f>IF('1. Live'!CM174='check-Jul''26'!CI174,"",'1. Live'!CM174-'check-Jul''26'!CI174)</f>
        <v/>
      </c>
      <c r="CJ156" s="25" t="str">
        <f>IF('1. Live'!CN174='check-Jul''26'!CJ174,"",'1. Live'!CN174-'check-Jul''26'!CJ174)</f>
        <v/>
      </c>
      <c r="CK156" s="25" t="str">
        <f>IF('1. Live'!CO174='check-Jul''26'!CK174,"",'1. Live'!CO174-'check-Jul''26'!CK174)</f>
        <v/>
      </c>
      <c r="CL156" s="25" t="str">
        <f>IF('1. Live'!CP174='check-Jul''26'!CL174,"",'1. Live'!CP174-'check-Jul''26'!CL174)</f>
        <v/>
      </c>
      <c r="CM156" s="25" t="str">
        <f>IF('1. Live'!CQ174='check-Jul''26'!CM174,"",'1. Live'!CQ174-'check-Jul''26'!CM174)</f>
        <v/>
      </c>
      <c r="CN156" s="25" t="str">
        <f>IF('1. Live'!CR174='check-Jul''26'!CN174,"",'1. Live'!CR174-'check-Jul''26'!CN174)</f>
        <v/>
      </c>
      <c r="CO156" s="25" t="str">
        <f>IF('1. Live'!CS174='check-Jul''26'!CO174,"",'1. Live'!CS174-'check-Jul''26'!CO174)</f>
        <v/>
      </c>
      <c r="CP156" s="25" t="str">
        <f>IF('1. Live'!CT174='check-Jul''26'!CP174,"",'1. Live'!CT174-'check-Jul''26'!CP174)</f>
        <v/>
      </c>
      <c r="CQ156" s="25" t="str">
        <f>IF('1. Live'!CU174='check-Jul''26'!CQ174,"",'1. Live'!CU174-'check-Jul''26'!CQ174)</f>
        <v/>
      </c>
      <c r="CR156" s="25" t="str">
        <f>IF('1. Live'!CV174='check-Jul''26'!CR174,"",'1. Live'!CV174-'check-Jul''26'!CR174)</f>
        <v/>
      </c>
      <c r="CS156" s="25" t="str">
        <f>IF('1. Live'!CW174='check-Jul''26'!CS174,"",'1. Live'!CW174-'check-Jul''26'!CS174)</f>
        <v/>
      </c>
      <c r="CT156" s="25" t="str">
        <f>IF('1. Live'!CX174='check-Jul''26'!CT174,"",'1. Live'!CX174-'check-Jul''26'!CT174)</f>
        <v/>
      </c>
      <c r="CU156" s="25" t="str">
        <f>IF('1. Live'!CY174='check-Jul''26'!CU174,"",'1. Live'!CY174-'check-Jul''26'!CU174)</f>
        <v/>
      </c>
      <c r="CV156" s="25" t="str">
        <f>IF('1. Live'!CZ174='check-Jul''26'!CV174,"",'1. Live'!CZ174-'check-Jul''26'!CV174)</f>
        <v/>
      </c>
    </row>
    <row r="157" spans="17:100" x14ac:dyDescent="0.25">
      <c r="Q157" s="26" t="str">
        <f>IF('1. Live'!N175='check-Jul''26'!I175,"",'1. Live'!N175-'check-Jul''26'!I175)</f>
        <v/>
      </c>
      <c r="R157" s="26" t="str">
        <f>IF('1. Live'!O175='check-Jul''26'!J175,"",'1. Live'!O175-'check-Jul''26'!J175)</f>
        <v/>
      </c>
      <c r="S157" s="26" t="str">
        <f>IF('1. Live'!P175='check-Jul''26'!K175,"",'1. Live'!P175-'check-Jul''26'!K175)</f>
        <v/>
      </c>
      <c r="T157" s="26" t="str">
        <f>IF('1. Live'!Q175='check-Jul''26'!L175,"",'1. Live'!Q175-'check-Jul''26'!L175)</f>
        <v/>
      </c>
      <c r="U157" s="80" t="str">
        <f>IF('1. Live'!R175='check-Jul''26'!M175,"",'1. Live'!R175-'check-Jul''26'!M175)</f>
        <v/>
      </c>
      <c r="V157" s="26" t="str">
        <f>IF('1. Live'!S175='check-Jul''26'!N175,"",'1. Live'!S175-'check-Jul''26'!N175)</f>
        <v/>
      </c>
      <c r="W157" s="25" t="str">
        <f>IF('1. Live'!T175='check-Jul''26'!O175,"",'1. Live'!T175-'check-Jul''26'!O175)</f>
        <v/>
      </c>
      <c r="X157" s="25" t="str">
        <f>IF('1. Live'!U175='check-Jul''26'!Q175,"",'1. Live'!U175-'check-Jul''26'!Q175)</f>
        <v/>
      </c>
      <c r="Y157" s="25" t="str">
        <f>IF('1. Live'!V175='check-Jul''26'!R175,"",'1. Live'!V175-'check-Jul''26'!R175)</f>
        <v/>
      </c>
      <c r="Z157" s="25" t="str">
        <f>IF('1. Live'!W175='check-Jul''26'!S175,"",'1. Live'!W175-'check-Jul''26'!S175)</f>
        <v/>
      </c>
      <c r="AA157" s="25" t="str">
        <f>IF('1. Live'!X175='check-Jul''26'!T175,"",'1. Live'!X175-'check-Jul''26'!T175)</f>
        <v/>
      </c>
      <c r="AB157" s="25" t="str">
        <f>IF('1. Live'!AF175='check-Jul''26'!AB175,"",'1. Live'!AF175-'check-Jul''26'!AB175)</f>
        <v/>
      </c>
      <c r="AC157" s="25" t="str">
        <f>IF('1. Live'!AG175='check-Jul''26'!AC175,"",'1. Live'!AG175-'check-Jul''26'!AC175)</f>
        <v/>
      </c>
      <c r="AD157" s="25" t="str">
        <f>IF('1. Live'!AH175='check-Jul''26'!AD175,"",'1. Live'!AH175-'check-Jul''26'!AD175)</f>
        <v/>
      </c>
      <c r="AE157" s="25" t="str">
        <f>IF('1. Live'!AI175='check-Jul''26'!AE175,"",'1. Live'!AI175-'check-Jul''26'!AE175)</f>
        <v/>
      </c>
      <c r="AF157" s="25" t="str">
        <f>IF('1. Live'!AJ175='check-Jul''26'!AF175,"",'1. Live'!AJ175-'check-Jul''26'!AF175)</f>
        <v/>
      </c>
      <c r="AG157" s="25" t="str">
        <f>IF('1. Live'!AK175='check-Jul''26'!AG175,"",'1. Live'!AK175-'check-Jul''26'!AG175)</f>
        <v/>
      </c>
      <c r="AH157" s="25" t="str">
        <f>IF('1. Live'!AL175='check-Jul''26'!AH175,"",'1. Live'!AL175-'check-Jul''26'!AH175)</f>
        <v/>
      </c>
      <c r="AI157" s="25" t="str">
        <f>IF('1. Live'!AM175='check-Jul''26'!AI175,"",'1. Live'!AM175-'check-Jul''26'!AI175)</f>
        <v/>
      </c>
      <c r="AJ157" s="25" t="str">
        <f>IF('1. Live'!AN175='check-Jul''26'!AJ175,"",'1. Live'!AN175-'check-Jul''26'!AJ175)</f>
        <v/>
      </c>
      <c r="AK157" s="25" t="str">
        <f>IF('1. Live'!AO175='check-Jul''26'!AK175,"",'1. Live'!AO175-'check-Jul''26'!AK175)</f>
        <v/>
      </c>
      <c r="AL157" s="25" t="str">
        <f>IF('1. Live'!AP175='check-Jul''26'!AL175,"",'1. Live'!AP175-'check-Jul''26'!AL175)</f>
        <v/>
      </c>
      <c r="AM157" s="25" t="str">
        <f>IF('1. Live'!AQ175='check-Jul''26'!AM175,"",'1. Live'!AQ175-'check-Jul''26'!AM175)</f>
        <v/>
      </c>
      <c r="AN157" s="25" t="str">
        <f>IF('1. Live'!AR175='check-Jul''26'!AN175,"",'1. Live'!AR175-'check-Jul''26'!AN175)</f>
        <v/>
      </c>
      <c r="AO157" s="25" t="str">
        <f>IF('1. Live'!AS175='check-Jul''26'!AO175,"",'1. Live'!AS175-'check-Jul''26'!AO175)</f>
        <v/>
      </c>
      <c r="AP157" s="25" t="str">
        <f>IF('1. Live'!AT175='check-Jul''26'!AP175,"",'1. Live'!AT175-'check-Jul''26'!AP175)</f>
        <v/>
      </c>
      <c r="AQ157" s="25" t="str">
        <f>IF('1. Live'!AU175='check-Jul''26'!AQ175,"",'1. Live'!AU175-'check-Jul''26'!AQ175)</f>
        <v/>
      </c>
      <c r="AR157" s="25" t="str">
        <f>IF('1. Live'!AV175='check-Jul''26'!AR175,"",'1. Live'!AV175-'check-Jul''26'!AR175)</f>
        <v/>
      </c>
      <c r="AS157" s="25" t="str">
        <f>IF('1. Live'!AW175='check-Jul''26'!AS175,"",'1. Live'!AW175-'check-Jul''26'!AS175)</f>
        <v/>
      </c>
      <c r="AT157" s="25" t="str">
        <f>IF('1. Live'!AX175='check-Jul''26'!AT175,"",'1. Live'!AX175-'check-Jul''26'!AT175)</f>
        <v/>
      </c>
      <c r="AU157" s="25" t="str">
        <f>IF('1. Live'!AY175='check-Jul''26'!AU175,"",'1. Live'!AY175-'check-Jul''26'!AU175)</f>
        <v/>
      </c>
      <c r="AV157" s="25" t="str">
        <f>IF('1. Live'!AZ175='check-Jul''26'!AV175,"",'1. Live'!AZ175-'check-Jul''26'!AV175)</f>
        <v/>
      </c>
      <c r="AW157" s="25" t="str">
        <f>IF('1. Live'!BA175='check-Jul''26'!AW175,"",'1. Live'!BA175-'check-Jul''26'!AW175)</f>
        <v/>
      </c>
      <c r="AX157" s="25" t="str">
        <f>IF('1. Live'!BB175='check-Jul''26'!AX175,"",'1. Live'!BB175-'check-Jul''26'!AX175)</f>
        <v/>
      </c>
      <c r="AY157" s="25" t="str">
        <f>IF('1. Live'!BC175='check-Jul''26'!AY175,"",'1. Live'!BC175-'check-Jul''26'!AY175)</f>
        <v/>
      </c>
      <c r="AZ157" s="25" t="str">
        <f>IF('1. Live'!BD175='check-Jul''26'!AZ175,"",'1. Live'!BD175-'check-Jul''26'!AZ175)</f>
        <v/>
      </c>
      <c r="BA157" s="25" t="str">
        <f>IF('1. Live'!BE175='check-Jul''26'!BA175,"",'1. Live'!BE175-'check-Jul''26'!BA175)</f>
        <v/>
      </c>
      <c r="BB157" s="25" t="str">
        <f>IF('1. Live'!BF175='check-Jul''26'!BB175,"",'1. Live'!BF175-'check-Jul''26'!BB175)</f>
        <v/>
      </c>
      <c r="BC157" s="25" t="str">
        <f>IF('1. Live'!BG175='check-Jul''26'!BC175,"",'1. Live'!BG175-'check-Jul''26'!BC175)</f>
        <v/>
      </c>
      <c r="BD157" s="25" t="str">
        <f>IF('1. Live'!BH175='check-Jul''26'!BD175,"",'1. Live'!BH175-'check-Jul''26'!BD175)</f>
        <v/>
      </c>
      <c r="BE157" s="25" t="str">
        <f>IF('1. Live'!BI175='check-Jul''26'!BE175,"",'1. Live'!BI175-'check-Jul''26'!BE175)</f>
        <v/>
      </c>
      <c r="BF157" s="25" t="str">
        <f>IF('1. Live'!BJ175='check-Jul''26'!BF175,"",'1. Live'!BJ175-'check-Jul''26'!BF175)</f>
        <v/>
      </c>
      <c r="BG157" s="25" t="str">
        <f>IF('1. Live'!BK175='check-Jul''26'!BG175,"",'1. Live'!BK175-'check-Jul''26'!BG175)</f>
        <v/>
      </c>
      <c r="BH157" s="25" t="str">
        <f>IF('1. Live'!BL175='check-Jul''26'!BH175,"",'1. Live'!BL175-'check-Jul''26'!BH175)</f>
        <v/>
      </c>
      <c r="BI157" s="25" t="str">
        <f>IF('1. Live'!BM175='check-Jul''26'!BI175,"",'1. Live'!BM175-'check-Jul''26'!BI175)</f>
        <v/>
      </c>
      <c r="BJ157" s="25" t="str">
        <f>IF('1. Live'!BN175='check-Jul''26'!BJ175,"",'1. Live'!BN175-'check-Jul''26'!BJ175)</f>
        <v/>
      </c>
      <c r="BK157" s="25" t="str">
        <f>IF('1. Live'!BO175='check-Jul''26'!BK175,"",'1. Live'!BO175-'check-Jul''26'!BK175)</f>
        <v/>
      </c>
      <c r="BL157" s="25" t="str">
        <f>IF('1. Live'!BP175='check-Jul''26'!BL175,"",'1. Live'!BP175-'check-Jul''26'!BL175)</f>
        <v/>
      </c>
      <c r="BM157" s="25" t="str">
        <f>IF('1. Live'!BQ175='check-Jul''26'!BM175,"",'1. Live'!BQ175-'check-Jul''26'!BM175)</f>
        <v/>
      </c>
      <c r="BN157" s="25" t="str">
        <f>IF('1. Live'!BR175='check-Jul''26'!BN175,"",'1. Live'!BR175-'check-Jul''26'!BN175)</f>
        <v/>
      </c>
      <c r="BO157" s="25" t="str">
        <f>IF('1. Live'!BS175='check-Jul''26'!BO175,"",'1. Live'!BS175-'check-Jul''26'!BO175)</f>
        <v/>
      </c>
      <c r="BP157" s="25" t="str">
        <f>IF('1. Live'!BT175='check-Jul''26'!BP175,"",'1. Live'!BT175-'check-Jul''26'!BP175)</f>
        <v/>
      </c>
      <c r="BQ157" s="25" t="str">
        <f>IF('1. Live'!BU175='check-Jul''26'!BQ175,"",'1. Live'!BU175-'check-Jul''26'!BQ175)</f>
        <v/>
      </c>
      <c r="BR157" s="25" t="str">
        <f>IF('1. Live'!BV175='check-Jul''26'!BR175,"",'1. Live'!BV175-'check-Jul''26'!BR175)</f>
        <v/>
      </c>
      <c r="BS157" s="25" t="str">
        <f>IF('1. Live'!BW175='check-Jul''26'!BS175,"",'1. Live'!BW175-'check-Jul''26'!BS175)</f>
        <v/>
      </c>
      <c r="BT157" s="25" t="str">
        <f>IF('1. Live'!BX175='check-Jul''26'!BT175,"",'1. Live'!BX175-'check-Jul''26'!BT175)</f>
        <v/>
      </c>
      <c r="BU157" s="25" t="str">
        <f>IF('1. Live'!BY175='check-Jul''26'!BU175,"",'1. Live'!BY175-'check-Jul''26'!BU175)</f>
        <v/>
      </c>
      <c r="BV157" s="25" t="str">
        <f>IF('1. Live'!BZ175='check-Jul''26'!BV175,"",'1. Live'!BZ175-'check-Jul''26'!BV175)</f>
        <v/>
      </c>
      <c r="BW157" s="25" t="str">
        <f>IF('1. Live'!CA175='check-Jul''26'!BW175,"",'1. Live'!CA175-'check-Jul''26'!BW175)</f>
        <v/>
      </c>
      <c r="BX157" s="25" t="str">
        <f>IF('1. Live'!CB175='check-Jul''26'!BX175,"",'1. Live'!CB175-'check-Jul''26'!BX175)</f>
        <v/>
      </c>
      <c r="BY157" s="25" t="str">
        <f>IF('1. Live'!CC175='check-Jul''26'!BY175,"",'1. Live'!CC175-'check-Jul''26'!BY175)</f>
        <v/>
      </c>
      <c r="BZ157" s="25" t="str">
        <f>IF('1. Live'!CD175='check-Jul''26'!BZ175,"",'1. Live'!CD175-'check-Jul''26'!BZ175)</f>
        <v/>
      </c>
      <c r="CA157" s="25" t="str">
        <f>IF('1. Live'!CE175='check-Jul''26'!CA175,"",'1. Live'!CE175-'check-Jul''26'!CA175)</f>
        <v/>
      </c>
      <c r="CB157" s="25" t="str">
        <f>IF('1. Live'!CF175='check-Jul''26'!CB175,"",'1. Live'!CF175-'check-Jul''26'!CB175)</f>
        <v/>
      </c>
      <c r="CC157" s="25" t="str">
        <f>IF('1. Live'!CG175='check-Jul''26'!CC175,"",'1. Live'!CG175-'check-Jul''26'!CC175)</f>
        <v/>
      </c>
      <c r="CD157" s="25" t="str">
        <f>IF('1. Live'!CH175='check-Jul''26'!CD175,"",'1. Live'!CH175-'check-Jul''26'!CD175)</f>
        <v/>
      </c>
      <c r="CE157" s="25" t="str">
        <f>IF('1. Live'!CI175='check-Jul''26'!CE175,"",'1. Live'!CI175-'check-Jul''26'!CE175)</f>
        <v/>
      </c>
      <c r="CF157" s="25" t="str">
        <f>IF('1. Live'!CJ175='check-Jul''26'!CF175,"",'1. Live'!CJ175-'check-Jul''26'!CF175)</f>
        <v/>
      </c>
      <c r="CG157" s="25" t="str">
        <f>IF('1. Live'!CK175='check-Jul''26'!CG175,"",'1. Live'!CK175-'check-Jul''26'!CG175)</f>
        <v/>
      </c>
      <c r="CH157" s="25" t="str">
        <f>IF('1. Live'!CL175='check-Jul''26'!CH175,"",'1. Live'!CL175-'check-Jul''26'!CH175)</f>
        <v/>
      </c>
      <c r="CI157" s="25" t="str">
        <f>IF('1. Live'!CM175='check-Jul''26'!CI175,"",'1. Live'!CM175-'check-Jul''26'!CI175)</f>
        <v/>
      </c>
      <c r="CJ157" s="25" t="str">
        <f>IF('1. Live'!CN175='check-Jul''26'!CJ175,"",'1. Live'!CN175-'check-Jul''26'!CJ175)</f>
        <v/>
      </c>
      <c r="CK157" s="25" t="str">
        <f>IF('1. Live'!CO175='check-Jul''26'!CK175,"",'1. Live'!CO175-'check-Jul''26'!CK175)</f>
        <v/>
      </c>
      <c r="CL157" s="25" t="str">
        <f>IF('1. Live'!CP175='check-Jul''26'!CL175,"",'1. Live'!CP175-'check-Jul''26'!CL175)</f>
        <v/>
      </c>
      <c r="CM157" s="25" t="str">
        <f>IF('1. Live'!CQ175='check-Jul''26'!CM175,"",'1. Live'!CQ175-'check-Jul''26'!CM175)</f>
        <v/>
      </c>
      <c r="CN157" s="25" t="str">
        <f>IF('1. Live'!CR175='check-Jul''26'!CN175,"",'1. Live'!CR175-'check-Jul''26'!CN175)</f>
        <v/>
      </c>
      <c r="CO157" s="25" t="str">
        <f>IF('1. Live'!CS175='check-Jul''26'!CO175,"",'1. Live'!CS175-'check-Jul''26'!CO175)</f>
        <v/>
      </c>
      <c r="CP157" s="25" t="str">
        <f>IF('1. Live'!CT175='check-Jul''26'!CP175,"",'1. Live'!CT175-'check-Jul''26'!CP175)</f>
        <v/>
      </c>
      <c r="CQ157" s="25" t="str">
        <f>IF('1. Live'!CU175='check-Jul''26'!CQ175,"",'1. Live'!CU175-'check-Jul''26'!CQ175)</f>
        <v/>
      </c>
      <c r="CR157" s="25" t="str">
        <f>IF('1. Live'!CV175='check-Jul''26'!CR175,"",'1. Live'!CV175-'check-Jul''26'!CR175)</f>
        <v/>
      </c>
      <c r="CS157" s="25" t="str">
        <f>IF('1. Live'!CW175='check-Jul''26'!CS175,"",'1. Live'!CW175-'check-Jul''26'!CS175)</f>
        <v/>
      </c>
      <c r="CT157" s="25" t="str">
        <f>IF('1. Live'!CX175='check-Jul''26'!CT175,"",'1. Live'!CX175-'check-Jul''26'!CT175)</f>
        <v/>
      </c>
      <c r="CU157" s="25" t="str">
        <f>IF('1. Live'!CY175='check-Jul''26'!CU175,"",'1. Live'!CY175-'check-Jul''26'!CU175)</f>
        <v/>
      </c>
      <c r="CV157" s="25" t="str">
        <f>IF('1. Live'!CZ175='check-Jul''26'!CV175,"",'1. Live'!CZ175-'check-Jul''26'!CV175)</f>
        <v/>
      </c>
    </row>
    <row r="158" spans="17:100" x14ac:dyDescent="0.25">
      <c r="Q158" s="26" t="str">
        <f>IF('1. Live'!N176='check-Jul''26'!I176,"",'1. Live'!N176-'check-Jul''26'!I176)</f>
        <v/>
      </c>
      <c r="R158" s="26" t="str">
        <f>IF('1. Live'!O176='check-Jul''26'!J176,"",'1. Live'!O176-'check-Jul''26'!J176)</f>
        <v/>
      </c>
      <c r="S158" s="26" t="str">
        <f>IF('1. Live'!P176='check-Jul''26'!K176,"",'1. Live'!P176-'check-Jul''26'!K176)</f>
        <v/>
      </c>
      <c r="T158" s="26" t="str">
        <f>IF('1. Live'!Q176='check-Jul''26'!L176,"",'1. Live'!Q176-'check-Jul''26'!L176)</f>
        <v/>
      </c>
      <c r="U158" s="80" t="str">
        <f>IF('1. Live'!R176='check-Jul''26'!M176,"",'1. Live'!R176-'check-Jul''26'!M176)</f>
        <v/>
      </c>
      <c r="V158" s="26" t="str">
        <f>IF('1. Live'!S176='check-Jul''26'!N176,"",'1. Live'!S176-'check-Jul''26'!N176)</f>
        <v/>
      </c>
      <c r="W158" s="25" t="str">
        <f>IF('1. Live'!T176='check-Jul''26'!O176,"",'1. Live'!T176-'check-Jul''26'!O176)</f>
        <v/>
      </c>
      <c r="X158" s="25" t="str">
        <f>IF('1. Live'!U176='check-Jul''26'!Q176,"",'1. Live'!U176-'check-Jul''26'!Q176)</f>
        <v/>
      </c>
      <c r="Y158" s="25" t="str">
        <f>IF('1. Live'!V176='check-Jul''26'!R176,"",'1. Live'!V176-'check-Jul''26'!R176)</f>
        <v/>
      </c>
      <c r="Z158" s="25" t="str">
        <f>IF('1. Live'!W176='check-Jul''26'!S176,"",'1. Live'!W176-'check-Jul''26'!S176)</f>
        <v/>
      </c>
      <c r="AA158" s="25" t="str">
        <f>IF('1. Live'!X176='check-Jul''26'!T176,"",'1. Live'!X176-'check-Jul''26'!T176)</f>
        <v/>
      </c>
      <c r="AB158" s="25" t="str">
        <f>IF('1. Live'!AF176='check-Jul''26'!AB176,"",'1. Live'!AF176-'check-Jul''26'!AB176)</f>
        <v/>
      </c>
      <c r="AC158" s="25" t="str">
        <f>IF('1. Live'!AG176='check-Jul''26'!AC176,"",'1. Live'!AG176-'check-Jul''26'!AC176)</f>
        <v/>
      </c>
      <c r="AD158" s="25" t="str">
        <f>IF('1. Live'!AH176='check-Jul''26'!AD176,"",'1. Live'!AH176-'check-Jul''26'!AD176)</f>
        <v/>
      </c>
      <c r="AE158" s="25" t="str">
        <f>IF('1. Live'!AI176='check-Jul''26'!AE176,"",'1. Live'!AI176-'check-Jul''26'!AE176)</f>
        <v/>
      </c>
      <c r="AF158" s="25" t="str">
        <f>IF('1. Live'!AJ176='check-Jul''26'!AF176,"",'1. Live'!AJ176-'check-Jul''26'!AF176)</f>
        <v/>
      </c>
      <c r="AG158" s="25" t="str">
        <f>IF('1. Live'!AK176='check-Jul''26'!AG176,"",'1. Live'!AK176-'check-Jul''26'!AG176)</f>
        <v/>
      </c>
      <c r="AH158" s="25" t="str">
        <f>IF('1. Live'!AL176='check-Jul''26'!AH176,"",'1. Live'!AL176-'check-Jul''26'!AH176)</f>
        <v/>
      </c>
      <c r="AI158" s="25" t="str">
        <f>IF('1. Live'!AM176='check-Jul''26'!AI176,"",'1. Live'!AM176-'check-Jul''26'!AI176)</f>
        <v/>
      </c>
      <c r="AJ158" s="25" t="str">
        <f>IF('1. Live'!AN176='check-Jul''26'!AJ176,"",'1. Live'!AN176-'check-Jul''26'!AJ176)</f>
        <v/>
      </c>
      <c r="AK158" s="25" t="str">
        <f>IF('1. Live'!AO176='check-Jul''26'!AK176,"",'1. Live'!AO176-'check-Jul''26'!AK176)</f>
        <v/>
      </c>
      <c r="AL158" s="25" t="str">
        <f>IF('1. Live'!AP176='check-Jul''26'!AL176,"",'1. Live'!AP176-'check-Jul''26'!AL176)</f>
        <v/>
      </c>
      <c r="AM158" s="25" t="str">
        <f>IF('1. Live'!AQ176='check-Jul''26'!AM176,"",'1. Live'!AQ176-'check-Jul''26'!AM176)</f>
        <v/>
      </c>
      <c r="AN158" s="25" t="str">
        <f>IF('1. Live'!AR176='check-Jul''26'!AN176,"",'1. Live'!AR176-'check-Jul''26'!AN176)</f>
        <v/>
      </c>
      <c r="AO158" s="25" t="str">
        <f>IF('1. Live'!AS176='check-Jul''26'!AO176,"",'1. Live'!AS176-'check-Jul''26'!AO176)</f>
        <v/>
      </c>
      <c r="AP158" s="25" t="str">
        <f>IF('1. Live'!AT176='check-Jul''26'!AP176,"",'1. Live'!AT176-'check-Jul''26'!AP176)</f>
        <v/>
      </c>
      <c r="AQ158" s="25" t="str">
        <f>IF('1. Live'!AU176='check-Jul''26'!AQ176,"",'1. Live'!AU176-'check-Jul''26'!AQ176)</f>
        <v/>
      </c>
      <c r="AR158" s="25" t="str">
        <f>IF('1. Live'!AV176='check-Jul''26'!AR176,"",'1. Live'!AV176-'check-Jul''26'!AR176)</f>
        <v/>
      </c>
      <c r="AS158" s="25" t="str">
        <f>IF('1. Live'!AW176='check-Jul''26'!AS176,"",'1. Live'!AW176-'check-Jul''26'!AS176)</f>
        <v/>
      </c>
      <c r="AT158" s="25" t="str">
        <f>IF('1. Live'!AX176='check-Jul''26'!AT176,"",'1. Live'!AX176-'check-Jul''26'!AT176)</f>
        <v/>
      </c>
      <c r="AU158" s="25" t="str">
        <f>IF('1. Live'!AY176='check-Jul''26'!AU176,"",'1. Live'!AY176-'check-Jul''26'!AU176)</f>
        <v/>
      </c>
      <c r="AV158" s="25" t="str">
        <f>IF('1. Live'!AZ176='check-Jul''26'!AV176,"",'1. Live'!AZ176-'check-Jul''26'!AV176)</f>
        <v/>
      </c>
      <c r="AW158" s="25" t="str">
        <f>IF('1. Live'!BA176='check-Jul''26'!AW176,"",'1. Live'!BA176-'check-Jul''26'!AW176)</f>
        <v/>
      </c>
      <c r="AX158" s="25" t="str">
        <f>IF('1. Live'!BB176='check-Jul''26'!AX176,"",'1. Live'!BB176-'check-Jul''26'!AX176)</f>
        <v/>
      </c>
      <c r="AY158" s="25" t="str">
        <f>IF('1. Live'!BC176='check-Jul''26'!AY176,"",'1. Live'!BC176-'check-Jul''26'!AY176)</f>
        <v/>
      </c>
      <c r="AZ158" s="25" t="str">
        <f>IF('1. Live'!BD176='check-Jul''26'!AZ176,"",'1. Live'!BD176-'check-Jul''26'!AZ176)</f>
        <v/>
      </c>
      <c r="BA158" s="25" t="str">
        <f>IF('1. Live'!BE176='check-Jul''26'!BA176,"",'1. Live'!BE176-'check-Jul''26'!BA176)</f>
        <v/>
      </c>
      <c r="BB158" s="25" t="str">
        <f>IF('1. Live'!BF176='check-Jul''26'!BB176,"",'1. Live'!BF176-'check-Jul''26'!BB176)</f>
        <v/>
      </c>
      <c r="BC158" s="25" t="str">
        <f>IF('1. Live'!BG176='check-Jul''26'!BC176,"",'1. Live'!BG176-'check-Jul''26'!BC176)</f>
        <v/>
      </c>
      <c r="BD158" s="25" t="str">
        <f>IF('1. Live'!BH176='check-Jul''26'!BD176,"",'1. Live'!BH176-'check-Jul''26'!BD176)</f>
        <v/>
      </c>
      <c r="BE158" s="25" t="str">
        <f>IF('1. Live'!BI176='check-Jul''26'!BE176,"",'1. Live'!BI176-'check-Jul''26'!BE176)</f>
        <v/>
      </c>
      <c r="BF158" s="25" t="str">
        <f>IF('1. Live'!BJ176='check-Jul''26'!BF176,"",'1. Live'!BJ176-'check-Jul''26'!BF176)</f>
        <v/>
      </c>
      <c r="BG158" s="25" t="str">
        <f>IF('1. Live'!BK176='check-Jul''26'!BG176,"",'1. Live'!BK176-'check-Jul''26'!BG176)</f>
        <v/>
      </c>
      <c r="BH158" s="25" t="str">
        <f>IF('1. Live'!BL176='check-Jul''26'!BH176,"",'1. Live'!BL176-'check-Jul''26'!BH176)</f>
        <v/>
      </c>
      <c r="BI158" s="25" t="str">
        <f>IF('1. Live'!BM176='check-Jul''26'!BI176,"",'1. Live'!BM176-'check-Jul''26'!BI176)</f>
        <v/>
      </c>
      <c r="BJ158" s="25" t="str">
        <f>IF('1. Live'!BN176='check-Jul''26'!BJ176,"",'1. Live'!BN176-'check-Jul''26'!BJ176)</f>
        <v/>
      </c>
      <c r="BK158" s="25" t="str">
        <f>IF('1. Live'!BO176='check-Jul''26'!BK176,"",'1. Live'!BO176-'check-Jul''26'!BK176)</f>
        <v/>
      </c>
      <c r="BL158" s="25" t="str">
        <f>IF('1. Live'!BP176='check-Jul''26'!BL176,"",'1. Live'!BP176-'check-Jul''26'!BL176)</f>
        <v/>
      </c>
      <c r="BM158" s="25" t="str">
        <f>IF('1. Live'!BQ176='check-Jul''26'!BM176,"",'1. Live'!BQ176-'check-Jul''26'!BM176)</f>
        <v/>
      </c>
      <c r="BN158" s="25" t="str">
        <f>IF('1. Live'!BR176='check-Jul''26'!BN176,"",'1. Live'!BR176-'check-Jul''26'!BN176)</f>
        <v/>
      </c>
      <c r="BO158" s="25" t="str">
        <f>IF('1. Live'!BS176='check-Jul''26'!BO176,"",'1. Live'!BS176-'check-Jul''26'!BO176)</f>
        <v/>
      </c>
      <c r="BP158" s="25" t="str">
        <f>IF('1. Live'!BT176='check-Jul''26'!BP176,"",'1. Live'!BT176-'check-Jul''26'!BP176)</f>
        <v/>
      </c>
      <c r="BQ158" s="25" t="str">
        <f>IF('1. Live'!BU176='check-Jul''26'!BQ176,"",'1. Live'!BU176-'check-Jul''26'!BQ176)</f>
        <v/>
      </c>
      <c r="BR158" s="25" t="str">
        <f>IF('1. Live'!BV176='check-Jul''26'!BR176,"",'1. Live'!BV176-'check-Jul''26'!BR176)</f>
        <v/>
      </c>
      <c r="BS158" s="25" t="str">
        <f>IF('1. Live'!BW176='check-Jul''26'!BS176,"",'1. Live'!BW176-'check-Jul''26'!BS176)</f>
        <v/>
      </c>
      <c r="BT158" s="25" t="str">
        <f>IF('1. Live'!BX176='check-Jul''26'!BT176,"",'1. Live'!BX176-'check-Jul''26'!BT176)</f>
        <v/>
      </c>
      <c r="BU158" s="25" t="str">
        <f>IF('1. Live'!BY176='check-Jul''26'!BU176,"",'1. Live'!BY176-'check-Jul''26'!BU176)</f>
        <v/>
      </c>
      <c r="BV158" s="25" t="str">
        <f>IF('1. Live'!BZ176='check-Jul''26'!BV176,"",'1. Live'!BZ176-'check-Jul''26'!BV176)</f>
        <v/>
      </c>
      <c r="BW158" s="25" t="str">
        <f>IF('1. Live'!CA176='check-Jul''26'!BW176,"",'1. Live'!CA176-'check-Jul''26'!BW176)</f>
        <v/>
      </c>
      <c r="BX158" s="25" t="str">
        <f>IF('1. Live'!CB176='check-Jul''26'!BX176,"",'1. Live'!CB176-'check-Jul''26'!BX176)</f>
        <v/>
      </c>
      <c r="BY158" s="25" t="str">
        <f>IF('1. Live'!CC176='check-Jul''26'!BY176,"",'1. Live'!CC176-'check-Jul''26'!BY176)</f>
        <v/>
      </c>
      <c r="BZ158" s="25" t="str">
        <f>IF('1. Live'!CD176='check-Jul''26'!BZ176,"",'1. Live'!CD176-'check-Jul''26'!BZ176)</f>
        <v/>
      </c>
      <c r="CA158" s="25" t="str">
        <f>IF('1. Live'!CE176='check-Jul''26'!CA176,"",'1. Live'!CE176-'check-Jul''26'!CA176)</f>
        <v/>
      </c>
      <c r="CB158" s="25" t="str">
        <f>IF('1. Live'!CF176='check-Jul''26'!CB176,"",'1. Live'!CF176-'check-Jul''26'!CB176)</f>
        <v/>
      </c>
      <c r="CC158" s="25" t="str">
        <f>IF('1. Live'!CG176='check-Jul''26'!CC176,"",'1. Live'!CG176-'check-Jul''26'!CC176)</f>
        <v/>
      </c>
      <c r="CD158" s="25" t="str">
        <f>IF('1. Live'!CH176='check-Jul''26'!CD176,"",'1. Live'!CH176-'check-Jul''26'!CD176)</f>
        <v/>
      </c>
      <c r="CE158" s="25" t="str">
        <f>IF('1. Live'!CI176='check-Jul''26'!CE176,"",'1. Live'!CI176-'check-Jul''26'!CE176)</f>
        <v/>
      </c>
      <c r="CF158" s="25" t="str">
        <f>IF('1. Live'!CJ176='check-Jul''26'!CF176,"",'1. Live'!CJ176-'check-Jul''26'!CF176)</f>
        <v/>
      </c>
      <c r="CG158" s="25" t="str">
        <f>IF('1. Live'!CK176='check-Jul''26'!CG176,"",'1. Live'!CK176-'check-Jul''26'!CG176)</f>
        <v/>
      </c>
      <c r="CH158" s="25" t="str">
        <f>IF('1. Live'!CL176='check-Jul''26'!CH176,"",'1. Live'!CL176-'check-Jul''26'!CH176)</f>
        <v/>
      </c>
      <c r="CI158" s="25" t="str">
        <f>IF('1. Live'!CM176='check-Jul''26'!CI176,"",'1. Live'!CM176-'check-Jul''26'!CI176)</f>
        <v/>
      </c>
      <c r="CJ158" s="25" t="str">
        <f>IF('1. Live'!CN176='check-Jul''26'!CJ176,"",'1. Live'!CN176-'check-Jul''26'!CJ176)</f>
        <v/>
      </c>
      <c r="CK158" s="25" t="str">
        <f>IF('1. Live'!CO176='check-Jul''26'!CK176,"",'1. Live'!CO176-'check-Jul''26'!CK176)</f>
        <v/>
      </c>
      <c r="CL158" s="25" t="str">
        <f>IF('1. Live'!CP176='check-Jul''26'!CL176,"",'1. Live'!CP176-'check-Jul''26'!CL176)</f>
        <v/>
      </c>
      <c r="CM158" s="25" t="str">
        <f>IF('1. Live'!CQ176='check-Jul''26'!CM176,"",'1. Live'!CQ176-'check-Jul''26'!CM176)</f>
        <v/>
      </c>
      <c r="CN158" s="25" t="str">
        <f>IF('1. Live'!CR176='check-Jul''26'!CN176,"",'1. Live'!CR176-'check-Jul''26'!CN176)</f>
        <v/>
      </c>
      <c r="CO158" s="25" t="str">
        <f>IF('1. Live'!CS176='check-Jul''26'!CO176,"",'1. Live'!CS176-'check-Jul''26'!CO176)</f>
        <v/>
      </c>
      <c r="CP158" s="25" t="str">
        <f>IF('1. Live'!CT176='check-Jul''26'!CP176,"",'1. Live'!CT176-'check-Jul''26'!CP176)</f>
        <v/>
      </c>
      <c r="CQ158" s="25" t="str">
        <f>IF('1. Live'!CU176='check-Jul''26'!CQ176,"",'1. Live'!CU176-'check-Jul''26'!CQ176)</f>
        <v/>
      </c>
      <c r="CR158" s="25" t="str">
        <f>IF('1. Live'!CV176='check-Jul''26'!CR176,"",'1. Live'!CV176-'check-Jul''26'!CR176)</f>
        <v/>
      </c>
      <c r="CS158" s="25" t="str">
        <f>IF('1. Live'!CW176='check-Jul''26'!CS176,"",'1. Live'!CW176-'check-Jul''26'!CS176)</f>
        <v/>
      </c>
      <c r="CT158" s="25" t="str">
        <f>IF('1. Live'!CX176='check-Jul''26'!CT176,"",'1. Live'!CX176-'check-Jul''26'!CT176)</f>
        <v/>
      </c>
      <c r="CU158" s="25" t="str">
        <f>IF('1. Live'!CY176='check-Jul''26'!CU176,"",'1. Live'!CY176-'check-Jul''26'!CU176)</f>
        <v/>
      </c>
      <c r="CV158" s="25" t="str">
        <f>IF('1. Live'!CZ176='check-Jul''26'!CV176,"",'1. Live'!CZ176-'check-Jul''26'!CV176)</f>
        <v/>
      </c>
    </row>
    <row r="159" spans="17:100" x14ac:dyDescent="0.25">
      <c r="Q159" s="26" t="str">
        <f>IF('1. Live'!N177='check-Jul''26'!I177,"",'1. Live'!N177-'check-Jul''26'!I177)</f>
        <v/>
      </c>
      <c r="R159" s="26" t="str">
        <f>IF('1. Live'!O177='check-Jul''26'!J177,"",'1. Live'!O177-'check-Jul''26'!J177)</f>
        <v/>
      </c>
      <c r="S159" s="26" t="str">
        <f>IF('1. Live'!P177='check-Jul''26'!K177,"",'1. Live'!P177-'check-Jul''26'!K177)</f>
        <v/>
      </c>
      <c r="T159" s="26" t="str">
        <f>IF('1. Live'!Q177='check-Jul''26'!L177,"",'1. Live'!Q177-'check-Jul''26'!L177)</f>
        <v/>
      </c>
      <c r="U159" s="80" t="str">
        <f>IF('1. Live'!R177='check-Jul''26'!M177,"",'1. Live'!R177-'check-Jul''26'!M177)</f>
        <v/>
      </c>
      <c r="V159" s="26" t="str">
        <f>IF('1. Live'!S177='check-Jul''26'!N177,"",'1. Live'!S177-'check-Jul''26'!N177)</f>
        <v/>
      </c>
      <c r="W159" s="25" t="str">
        <f>IF('1. Live'!T177='check-Jul''26'!O177,"",'1. Live'!T177-'check-Jul''26'!O177)</f>
        <v/>
      </c>
      <c r="X159" s="25" t="str">
        <f>IF('1. Live'!U177='check-Jul''26'!Q177,"",'1. Live'!U177-'check-Jul''26'!Q177)</f>
        <v/>
      </c>
      <c r="Y159" s="25" t="str">
        <f>IF('1. Live'!V177='check-Jul''26'!R177,"",'1. Live'!V177-'check-Jul''26'!R177)</f>
        <v/>
      </c>
      <c r="Z159" s="25" t="str">
        <f>IF('1. Live'!W177='check-Jul''26'!S177,"",'1. Live'!W177-'check-Jul''26'!S177)</f>
        <v/>
      </c>
      <c r="AA159" s="25" t="str">
        <f>IF('1. Live'!X177='check-Jul''26'!T177,"",'1. Live'!X177-'check-Jul''26'!T177)</f>
        <v/>
      </c>
      <c r="AB159" s="25" t="str">
        <f>IF('1. Live'!AF177='check-Jul''26'!AB177,"",'1. Live'!AF177-'check-Jul''26'!AB177)</f>
        <v/>
      </c>
      <c r="AC159" s="25" t="str">
        <f>IF('1. Live'!AG177='check-Jul''26'!AC177,"",'1. Live'!AG177-'check-Jul''26'!AC177)</f>
        <v/>
      </c>
      <c r="AD159" s="25" t="str">
        <f>IF('1. Live'!AH177='check-Jul''26'!AD177,"",'1. Live'!AH177-'check-Jul''26'!AD177)</f>
        <v/>
      </c>
      <c r="AE159" s="25" t="str">
        <f>IF('1. Live'!AI177='check-Jul''26'!AE177,"",'1. Live'!AI177-'check-Jul''26'!AE177)</f>
        <v/>
      </c>
      <c r="AF159" s="25" t="str">
        <f>IF('1. Live'!AJ177='check-Jul''26'!AF177,"",'1. Live'!AJ177-'check-Jul''26'!AF177)</f>
        <v/>
      </c>
      <c r="AG159" s="25" t="str">
        <f>IF('1. Live'!AK177='check-Jul''26'!AG177,"",'1. Live'!AK177-'check-Jul''26'!AG177)</f>
        <v/>
      </c>
      <c r="AH159" s="25" t="str">
        <f>IF('1. Live'!AL177='check-Jul''26'!AH177,"",'1. Live'!AL177-'check-Jul''26'!AH177)</f>
        <v/>
      </c>
      <c r="AI159" s="25" t="str">
        <f>IF('1. Live'!AM177='check-Jul''26'!AI177,"",'1. Live'!AM177-'check-Jul''26'!AI177)</f>
        <v/>
      </c>
      <c r="AJ159" s="25" t="str">
        <f>IF('1. Live'!AN177='check-Jul''26'!AJ177,"",'1. Live'!AN177-'check-Jul''26'!AJ177)</f>
        <v/>
      </c>
      <c r="AK159" s="25" t="str">
        <f>IF('1. Live'!AO177='check-Jul''26'!AK177,"",'1. Live'!AO177-'check-Jul''26'!AK177)</f>
        <v/>
      </c>
      <c r="AL159" s="25" t="str">
        <f>IF('1. Live'!AP177='check-Jul''26'!AL177,"",'1. Live'!AP177-'check-Jul''26'!AL177)</f>
        <v/>
      </c>
      <c r="AM159" s="25" t="str">
        <f>IF('1. Live'!AQ177='check-Jul''26'!AM177,"",'1. Live'!AQ177-'check-Jul''26'!AM177)</f>
        <v/>
      </c>
      <c r="AN159" s="25" t="str">
        <f>IF('1. Live'!AR177='check-Jul''26'!AN177,"",'1. Live'!AR177-'check-Jul''26'!AN177)</f>
        <v/>
      </c>
      <c r="AO159" s="25" t="str">
        <f>IF('1. Live'!AS177='check-Jul''26'!AO177,"",'1. Live'!AS177-'check-Jul''26'!AO177)</f>
        <v/>
      </c>
      <c r="AP159" s="25" t="str">
        <f>IF('1. Live'!AT177='check-Jul''26'!AP177,"",'1. Live'!AT177-'check-Jul''26'!AP177)</f>
        <v/>
      </c>
      <c r="AQ159" s="25" t="str">
        <f>IF('1. Live'!AU177='check-Jul''26'!AQ177,"",'1. Live'!AU177-'check-Jul''26'!AQ177)</f>
        <v/>
      </c>
      <c r="AR159" s="25" t="str">
        <f>IF('1. Live'!AV177='check-Jul''26'!AR177,"",'1. Live'!AV177-'check-Jul''26'!AR177)</f>
        <v/>
      </c>
      <c r="AS159" s="25" t="str">
        <f>IF('1. Live'!AW177='check-Jul''26'!AS177,"",'1. Live'!AW177-'check-Jul''26'!AS177)</f>
        <v/>
      </c>
      <c r="AT159" s="25" t="str">
        <f>IF('1. Live'!AX177='check-Jul''26'!AT177,"",'1. Live'!AX177-'check-Jul''26'!AT177)</f>
        <v/>
      </c>
      <c r="AU159" s="25" t="str">
        <f>IF('1. Live'!AY177='check-Jul''26'!AU177,"",'1. Live'!AY177-'check-Jul''26'!AU177)</f>
        <v/>
      </c>
      <c r="AV159" s="25" t="str">
        <f>IF('1. Live'!AZ177='check-Jul''26'!AV177,"",'1. Live'!AZ177-'check-Jul''26'!AV177)</f>
        <v/>
      </c>
      <c r="AW159" s="25" t="str">
        <f>IF('1. Live'!BA177='check-Jul''26'!AW177,"",'1. Live'!BA177-'check-Jul''26'!AW177)</f>
        <v/>
      </c>
      <c r="AX159" s="25" t="str">
        <f>IF('1. Live'!BB177='check-Jul''26'!AX177,"",'1. Live'!BB177-'check-Jul''26'!AX177)</f>
        <v/>
      </c>
      <c r="AY159" s="25" t="str">
        <f>IF('1. Live'!BC177='check-Jul''26'!AY177,"",'1. Live'!BC177-'check-Jul''26'!AY177)</f>
        <v/>
      </c>
      <c r="AZ159" s="25" t="str">
        <f>IF('1. Live'!BD177='check-Jul''26'!AZ177,"",'1. Live'!BD177-'check-Jul''26'!AZ177)</f>
        <v/>
      </c>
      <c r="BA159" s="25" t="str">
        <f>IF('1. Live'!BE177='check-Jul''26'!BA177,"",'1. Live'!BE177-'check-Jul''26'!BA177)</f>
        <v/>
      </c>
      <c r="BB159" s="25" t="str">
        <f>IF('1. Live'!BF177='check-Jul''26'!BB177,"",'1. Live'!BF177-'check-Jul''26'!BB177)</f>
        <v/>
      </c>
      <c r="BC159" s="25" t="str">
        <f>IF('1. Live'!BG177='check-Jul''26'!BC177,"",'1. Live'!BG177-'check-Jul''26'!BC177)</f>
        <v/>
      </c>
      <c r="BD159" s="25" t="str">
        <f>IF('1. Live'!BH177='check-Jul''26'!BD177,"",'1. Live'!BH177-'check-Jul''26'!BD177)</f>
        <v/>
      </c>
      <c r="BE159" s="25" t="str">
        <f>IF('1. Live'!BI177='check-Jul''26'!BE177,"",'1. Live'!BI177-'check-Jul''26'!BE177)</f>
        <v/>
      </c>
      <c r="BF159" s="25" t="str">
        <f>IF('1. Live'!BJ177='check-Jul''26'!BF177,"",'1. Live'!BJ177-'check-Jul''26'!BF177)</f>
        <v/>
      </c>
      <c r="BG159" s="25" t="str">
        <f>IF('1. Live'!BK177='check-Jul''26'!BG177,"",'1. Live'!BK177-'check-Jul''26'!BG177)</f>
        <v/>
      </c>
      <c r="BH159" s="25" t="str">
        <f>IF('1. Live'!BL177='check-Jul''26'!BH177,"",'1. Live'!BL177-'check-Jul''26'!BH177)</f>
        <v/>
      </c>
      <c r="BI159" s="25" t="str">
        <f>IF('1. Live'!BM177='check-Jul''26'!BI177,"",'1. Live'!BM177-'check-Jul''26'!BI177)</f>
        <v/>
      </c>
      <c r="BJ159" s="25" t="str">
        <f>IF('1. Live'!BN177='check-Jul''26'!BJ177,"",'1. Live'!BN177-'check-Jul''26'!BJ177)</f>
        <v/>
      </c>
      <c r="BK159" s="25" t="str">
        <f>IF('1. Live'!BO177='check-Jul''26'!BK177,"",'1. Live'!BO177-'check-Jul''26'!BK177)</f>
        <v/>
      </c>
      <c r="BL159" s="25" t="str">
        <f>IF('1. Live'!BP177='check-Jul''26'!BL177,"",'1. Live'!BP177-'check-Jul''26'!BL177)</f>
        <v/>
      </c>
      <c r="BM159" s="25" t="str">
        <f>IF('1. Live'!BQ177='check-Jul''26'!BM177,"",'1. Live'!BQ177-'check-Jul''26'!BM177)</f>
        <v/>
      </c>
      <c r="BN159" s="25" t="str">
        <f>IF('1. Live'!BR177='check-Jul''26'!BN177,"",'1. Live'!BR177-'check-Jul''26'!BN177)</f>
        <v/>
      </c>
      <c r="BO159" s="25" t="str">
        <f>IF('1. Live'!BS177='check-Jul''26'!BO177,"",'1. Live'!BS177-'check-Jul''26'!BO177)</f>
        <v/>
      </c>
      <c r="BP159" s="25" t="str">
        <f>IF('1. Live'!BT177='check-Jul''26'!BP177,"",'1. Live'!BT177-'check-Jul''26'!BP177)</f>
        <v/>
      </c>
      <c r="BQ159" s="25" t="str">
        <f>IF('1. Live'!BU177='check-Jul''26'!BQ177,"",'1. Live'!BU177-'check-Jul''26'!BQ177)</f>
        <v/>
      </c>
      <c r="BR159" s="25" t="str">
        <f>IF('1. Live'!BV177='check-Jul''26'!BR177,"",'1. Live'!BV177-'check-Jul''26'!BR177)</f>
        <v/>
      </c>
      <c r="BS159" s="25" t="str">
        <f>IF('1. Live'!BW177='check-Jul''26'!BS177,"",'1. Live'!BW177-'check-Jul''26'!BS177)</f>
        <v/>
      </c>
      <c r="BT159" s="25" t="str">
        <f>IF('1. Live'!BX177='check-Jul''26'!BT177,"",'1. Live'!BX177-'check-Jul''26'!BT177)</f>
        <v/>
      </c>
      <c r="BU159" s="25" t="str">
        <f>IF('1. Live'!BY177='check-Jul''26'!BU177,"",'1. Live'!BY177-'check-Jul''26'!BU177)</f>
        <v/>
      </c>
      <c r="BV159" s="25" t="str">
        <f>IF('1. Live'!BZ177='check-Jul''26'!BV177,"",'1. Live'!BZ177-'check-Jul''26'!BV177)</f>
        <v/>
      </c>
      <c r="BW159" s="25" t="str">
        <f>IF('1. Live'!CA177='check-Jul''26'!BW177,"",'1. Live'!CA177-'check-Jul''26'!BW177)</f>
        <v/>
      </c>
      <c r="BX159" s="25" t="str">
        <f>IF('1. Live'!CB177='check-Jul''26'!BX177,"",'1. Live'!CB177-'check-Jul''26'!BX177)</f>
        <v/>
      </c>
      <c r="BY159" s="25" t="str">
        <f>IF('1. Live'!CC177='check-Jul''26'!BY177,"",'1. Live'!CC177-'check-Jul''26'!BY177)</f>
        <v/>
      </c>
      <c r="BZ159" s="25" t="str">
        <f>IF('1. Live'!CD177='check-Jul''26'!BZ177,"",'1. Live'!CD177-'check-Jul''26'!BZ177)</f>
        <v/>
      </c>
      <c r="CA159" s="25" t="str">
        <f>IF('1. Live'!CE177='check-Jul''26'!CA177,"",'1. Live'!CE177-'check-Jul''26'!CA177)</f>
        <v/>
      </c>
      <c r="CB159" s="25" t="str">
        <f>IF('1. Live'!CF177='check-Jul''26'!CB177,"",'1. Live'!CF177-'check-Jul''26'!CB177)</f>
        <v/>
      </c>
      <c r="CC159" s="25" t="str">
        <f>IF('1. Live'!CG177='check-Jul''26'!CC177,"",'1. Live'!CG177-'check-Jul''26'!CC177)</f>
        <v/>
      </c>
      <c r="CD159" s="25" t="str">
        <f>IF('1. Live'!CH177='check-Jul''26'!CD177,"",'1. Live'!CH177-'check-Jul''26'!CD177)</f>
        <v/>
      </c>
      <c r="CE159" s="25" t="str">
        <f>IF('1. Live'!CI177='check-Jul''26'!CE177,"",'1. Live'!CI177-'check-Jul''26'!CE177)</f>
        <v/>
      </c>
      <c r="CF159" s="25" t="str">
        <f>IF('1. Live'!CJ177='check-Jul''26'!CF177,"",'1. Live'!CJ177-'check-Jul''26'!CF177)</f>
        <v/>
      </c>
      <c r="CG159" s="25" t="str">
        <f>IF('1. Live'!CK177='check-Jul''26'!CG177,"",'1. Live'!CK177-'check-Jul''26'!CG177)</f>
        <v/>
      </c>
      <c r="CH159" s="25" t="str">
        <f>IF('1. Live'!CL177='check-Jul''26'!CH177,"",'1. Live'!CL177-'check-Jul''26'!CH177)</f>
        <v/>
      </c>
      <c r="CI159" s="25" t="str">
        <f>IF('1. Live'!CM177='check-Jul''26'!CI177,"",'1. Live'!CM177-'check-Jul''26'!CI177)</f>
        <v/>
      </c>
      <c r="CJ159" s="25" t="str">
        <f>IF('1. Live'!CN177='check-Jul''26'!CJ177,"",'1. Live'!CN177-'check-Jul''26'!CJ177)</f>
        <v/>
      </c>
      <c r="CK159" s="25" t="str">
        <f>IF('1. Live'!CO177='check-Jul''26'!CK177,"",'1. Live'!CO177-'check-Jul''26'!CK177)</f>
        <v/>
      </c>
      <c r="CL159" s="25" t="str">
        <f>IF('1. Live'!CP177='check-Jul''26'!CL177,"",'1. Live'!CP177-'check-Jul''26'!CL177)</f>
        <v/>
      </c>
      <c r="CM159" s="25" t="str">
        <f>IF('1. Live'!CQ177='check-Jul''26'!CM177,"",'1. Live'!CQ177-'check-Jul''26'!CM177)</f>
        <v/>
      </c>
      <c r="CN159" s="25" t="str">
        <f>IF('1. Live'!CR177='check-Jul''26'!CN177,"",'1. Live'!CR177-'check-Jul''26'!CN177)</f>
        <v/>
      </c>
      <c r="CO159" s="25" t="str">
        <f>IF('1. Live'!CS177='check-Jul''26'!CO177,"",'1. Live'!CS177-'check-Jul''26'!CO177)</f>
        <v/>
      </c>
      <c r="CP159" s="25" t="str">
        <f>IF('1. Live'!CT177='check-Jul''26'!CP177,"",'1. Live'!CT177-'check-Jul''26'!CP177)</f>
        <v/>
      </c>
      <c r="CQ159" s="25" t="str">
        <f>IF('1. Live'!CU177='check-Jul''26'!CQ177,"",'1. Live'!CU177-'check-Jul''26'!CQ177)</f>
        <v/>
      </c>
      <c r="CR159" s="25" t="str">
        <f>IF('1. Live'!CV177='check-Jul''26'!CR177,"",'1. Live'!CV177-'check-Jul''26'!CR177)</f>
        <v/>
      </c>
      <c r="CS159" s="25" t="str">
        <f>IF('1. Live'!CW177='check-Jul''26'!CS177,"",'1. Live'!CW177-'check-Jul''26'!CS177)</f>
        <v/>
      </c>
      <c r="CT159" s="25" t="str">
        <f>IF('1. Live'!CX177='check-Jul''26'!CT177,"",'1. Live'!CX177-'check-Jul''26'!CT177)</f>
        <v/>
      </c>
      <c r="CU159" s="25" t="str">
        <f>IF('1. Live'!CY177='check-Jul''26'!CU177,"",'1. Live'!CY177-'check-Jul''26'!CU177)</f>
        <v/>
      </c>
      <c r="CV159" s="25" t="str">
        <f>IF('1. Live'!CZ177='check-Jul''26'!CV177,"",'1. Live'!CZ177-'check-Jul''26'!CV177)</f>
        <v/>
      </c>
    </row>
    <row r="160" spans="17:100" x14ac:dyDescent="0.25">
      <c r="Q160" s="26" t="str">
        <f>IF('1. Live'!N178='check-Jul''26'!I178,"",'1. Live'!N178-'check-Jul''26'!I178)</f>
        <v/>
      </c>
      <c r="R160" s="26" t="str">
        <f>IF('1. Live'!O178='check-Jul''26'!J178,"",'1. Live'!O178-'check-Jul''26'!J178)</f>
        <v/>
      </c>
      <c r="S160" s="26" t="str">
        <f>IF('1. Live'!P178='check-Jul''26'!K178,"",'1. Live'!P178-'check-Jul''26'!K178)</f>
        <v/>
      </c>
      <c r="T160" s="26" t="str">
        <f>IF('1. Live'!Q178='check-Jul''26'!L178,"",'1. Live'!Q178-'check-Jul''26'!L178)</f>
        <v/>
      </c>
      <c r="U160" s="80" t="str">
        <f>IF('1. Live'!R178='check-Jul''26'!M178,"",'1. Live'!R178-'check-Jul''26'!M178)</f>
        <v/>
      </c>
      <c r="V160" s="26" t="str">
        <f>IF('1. Live'!S178='check-Jul''26'!N178,"",'1. Live'!S178-'check-Jul''26'!N178)</f>
        <v/>
      </c>
      <c r="W160" s="25" t="str">
        <f>IF('1. Live'!T178='check-Jul''26'!O178,"",'1. Live'!T178-'check-Jul''26'!O178)</f>
        <v/>
      </c>
      <c r="X160" s="25" t="str">
        <f>IF('1. Live'!U178='check-Jul''26'!Q178,"",'1. Live'!U178-'check-Jul''26'!Q178)</f>
        <v/>
      </c>
      <c r="Y160" s="25" t="str">
        <f>IF('1. Live'!V178='check-Jul''26'!R178,"",'1. Live'!V178-'check-Jul''26'!R178)</f>
        <v/>
      </c>
      <c r="Z160" s="25" t="str">
        <f>IF('1. Live'!W178='check-Jul''26'!S178,"",'1. Live'!W178-'check-Jul''26'!S178)</f>
        <v/>
      </c>
      <c r="AA160" s="25" t="str">
        <f>IF('1. Live'!X178='check-Jul''26'!T178,"",'1. Live'!X178-'check-Jul''26'!T178)</f>
        <v/>
      </c>
      <c r="AB160" s="25" t="str">
        <f>IF('1. Live'!AF178='check-Jul''26'!AB178,"",'1. Live'!AF178-'check-Jul''26'!AB178)</f>
        <v/>
      </c>
      <c r="AC160" s="25" t="str">
        <f>IF('1. Live'!AG178='check-Jul''26'!AC178,"",'1. Live'!AG178-'check-Jul''26'!AC178)</f>
        <v/>
      </c>
      <c r="AD160" s="25" t="str">
        <f>IF('1. Live'!AH178='check-Jul''26'!AD178,"",'1. Live'!AH178-'check-Jul''26'!AD178)</f>
        <v/>
      </c>
      <c r="AE160" s="25" t="str">
        <f>IF('1. Live'!AI178='check-Jul''26'!AE178,"",'1. Live'!AI178-'check-Jul''26'!AE178)</f>
        <v/>
      </c>
      <c r="AF160" s="25" t="str">
        <f>IF('1. Live'!AJ178='check-Jul''26'!AF178,"",'1. Live'!AJ178-'check-Jul''26'!AF178)</f>
        <v/>
      </c>
      <c r="AG160" s="25" t="str">
        <f>IF('1. Live'!AK178='check-Jul''26'!AG178,"",'1. Live'!AK178-'check-Jul''26'!AG178)</f>
        <v/>
      </c>
      <c r="AH160" s="25" t="str">
        <f>IF('1. Live'!AL178='check-Jul''26'!AH178,"",'1. Live'!AL178-'check-Jul''26'!AH178)</f>
        <v/>
      </c>
      <c r="AI160" s="25" t="str">
        <f>IF('1. Live'!AM178='check-Jul''26'!AI178,"",'1. Live'!AM178-'check-Jul''26'!AI178)</f>
        <v/>
      </c>
      <c r="AJ160" s="25" t="str">
        <f>IF('1. Live'!AN178='check-Jul''26'!AJ178,"",'1. Live'!AN178-'check-Jul''26'!AJ178)</f>
        <v/>
      </c>
      <c r="AK160" s="25" t="str">
        <f>IF('1. Live'!AO178='check-Jul''26'!AK178,"",'1. Live'!AO178-'check-Jul''26'!AK178)</f>
        <v/>
      </c>
      <c r="AL160" s="25" t="str">
        <f>IF('1. Live'!AP178='check-Jul''26'!AL178,"",'1. Live'!AP178-'check-Jul''26'!AL178)</f>
        <v/>
      </c>
      <c r="AM160" s="25" t="str">
        <f>IF('1. Live'!AQ178='check-Jul''26'!AM178,"",'1. Live'!AQ178-'check-Jul''26'!AM178)</f>
        <v/>
      </c>
      <c r="AN160" s="25" t="str">
        <f>IF('1. Live'!AR178='check-Jul''26'!AN178,"",'1. Live'!AR178-'check-Jul''26'!AN178)</f>
        <v/>
      </c>
      <c r="AO160" s="25" t="str">
        <f>IF('1. Live'!AS178='check-Jul''26'!AO178,"",'1. Live'!AS178-'check-Jul''26'!AO178)</f>
        <v/>
      </c>
      <c r="AP160" s="25" t="str">
        <f>IF('1. Live'!AT178='check-Jul''26'!AP178,"",'1. Live'!AT178-'check-Jul''26'!AP178)</f>
        <v/>
      </c>
      <c r="AQ160" s="25" t="str">
        <f>IF('1. Live'!AU178='check-Jul''26'!AQ178,"",'1. Live'!AU178-'check-Jul''26'!AQ178)</f>
        <v/>
      </c>
      <c r="AR160" s="25" t="str">
        <f>IF('1. Live'!AV178='check-Jul''26'!AR178,"",'1. Live'!AV178-'check-Jul''26'!AR178)</f>
        <v/>
      </c>
      <c r="AS160" s="25" t="str">
        <f>IF('1. Live'!AW178='check-Jul''26'!AS178,"",'1. Live'!AW178-'check-Jul''26'!AS178)</f>
        <v/>
      </c>
      <c r="AT160" s="25" t="str">
        <f>IF('1. Live'!AX178='check-Jul''26'!AT178,"",'1. Live'!AX178-'check-Jul''26'!AT178)</f>
        <v/>
      </c>
      <c r="AU160" s="25" t="str">
        <f>IF('1. Live'!AY178='check-Jul''26'!AU178,"",'1. Live'!AY178-'check-Jul''26'!AU178)</f>
        <v/>
      </c>
      <c r="AV160" s="25" t="str">
        <f>IF('1. Live'!AZ178='check-Jul''26'!AV178,"",'1. Live'!AZ178-'check-Jul''26'!AV178)</f>
        <v/>
      </c>
      <c r="AW160" s="25" t="str">
        <f>IF('1. Live'!BA178='check-Jul''26'!AW178,"",'1. Live'!BA178-'check-Jul''26'!AW178)</f>
        <v/>
      </c>
      <c r="AX160" s="25" t="str">
        <f>IF('1. Live'!BB178='check-Jul''26'!AX178,"",'1. Live'!BB178-'check-Jul''26'!AX178)</f>
        <v/>
      </c>
      <c r="AY160" s="25" t="str">
        <f>IF('1. Live'!BC178='check-Jul''26'!AY178,"",'1. Live'!BC178-'check-Jul''26'!AY178)</f>
        <v/>
      </c>
      <c r="AZ160" s="25" t="str">
        <f>IF('1. Live'!BD178='check-Jul''26'!AZ178,"",'1. Live'!BD178-'check-Jul''26'!AZ178)</f>
        <v/>
      </c>
      <c r="BA160" s="25" t="str">
        <f>IF('1. Live'!BE178='check-Jul''26'!BA178,"",'1. Live'!BE178-'check-Jul''26'!BA178)</f>
        <v/>
      </c>
      <c r="BB160" s="25" t="str">
        <f>IF('1. Live'!BF178='check-Jul''26'!BB178,"",'1. Live'!BF178-'check-Jul''26'!BB178)</f>
        <v/>
      </c>
      <c r="BC160" s="25" t="str">
        <f>IF('1. Live'!BG178='check-Jul''26'!BC178,"",'1. Live'!BG178-'check-Jul''26'!BC178)</f>
        <v/>
      </c>
      <c r="BD160" s="25" t="str">
        <f>IF('1. Live'!BH178='check-Jul''26'!BD178,"",'1. Live'!BH178-'check-Jul''26'!BD178)</f>
        <v/>
      </c>
      <c r="BE160" s="25" t="str">
        <f>IF('1. Live'!BI178='check-Jul''26'!BE178,"",'1. Live'!BI178-'check-Jul''26'!BE178)</f>
        <v/>
      </c>
      <c r="BF160" s="25" t="str">
        <f>IF('1. Live'!BJ178='check-Jul''26'!BF178,"",'1. Live'!BJ178-'check-Jul''26'!BF178)</f>
        <v/>
      </c>
      <c r="BG160" s="25" t="str">
        <f>IF('1. Live'!BK178='check-Jul''26'!BG178,"",'1. Live'!BK178-'check-Jul''26'!BG178)</f>
        <v/>
      </c>
      <c r="BH160" s="25" t="str">
        <f>IF('1. Live'!BL178='check-Jul''26'!BH178,"",'1. Live'!BL178-'check-Jul''26'!BH178)</f>
        <v/>
      </c>
      <c r="BI160" s="25" t="str">
        <f>IF('1. Live'!BM178='check-Jul''26'!BI178,"",'1. Live'!BM178-'check-Jul''26'!BI178)</f>
        <v/>
      </c>
      <c r="BJ160" s="25" t="str">
        <f>IF('1. Live'!BN178='check-Jul''26'!BJ178,"",'1. Live'!BN178-'check-Jul''26'!BJ178)</f>
        <v/>
      </c>
      <c r="BK160" s="25" t="str">
        <f>IF('1. Live'!BO178='check-Jul''26'!BK178,"",'1. Live'!BO178-'check-Jul''26'!BK178)</f>
        <v/>
      </c>
      <c r="BL160" s="25" t="str">
        <f>IF('1. Live'!BP178='check-Jul''26'!BL178,"",'1. Live'!BP178-'check-Jul''26'!BL178)</f>
        <v/>
      </c>
      <c r="BM160" s="25" t="str">
        <f>IF('1. Live'!BQ178='check-Jul''26'!BM178,"",'1. Live'!BQ178-'check-Jul''26'!BM178)</f>
        <v/>
      </c>
      <c r="BN160" s="25" t="str">
        <f>IF('1. Live'!BR178='check-Jul''26'!BN178,"",'1. Live'!BR178-'check-Jul''26'!BN178)</f>
        <v/>
      </c>
      <c r="BO160" s="25" t="str">
        <f>IF('1. Live'!BS178='check-Jul''26'!BO178,"",'1. Live'!BS178-'check-Jul''26'!BO178)</f>
        <v/>
      </c>
      <c r="BP160" s="25" t="str">
        <f>IF('1. Live'!BT178='check-Jul''26'!BP178,"",'1. Live'!BT178-'check-Jul''26'!BP178)</f>
        <v/>
      </c>
      <c r="BQ160" s="25" t="str">
        <f>IF('1. Live'!BU178='check-Jul''26'!BQ178,"",'1. Live'!BU178-'check-Jul''26'!BQ178)</f>
        <v/>
      </c>
      <c r="BR160" s="25" t="str">
        <f>IF('1. Live'!BV178='check-Jul''26'!BR178,"",'1. Live'!BV178-'check-Jul''26'!BR178)</f>
        <v/>
      </c>
      <c r="BS160" s="25" t="str">
        <f>IF('1. Live'!BW178='check-Jul''26'!BS178,"",'1. Live'!BW178-'check-Jul''26'!BS178)</f>
        <v/>
      </c>
      <c r="BT160" s="25" t="str">
        <f>IF('1. Live'!BX178='check-Jul''26'!BT178,"",'1. Live'!BX178-'check-Jul''26'!BT178)</f>
        <v/>
      </c>
      <c r="BU160" s="25" t="str">
        <f>IF('1. Live'!BY178='check-Jul''26'!BU178,"",'1. Live'!BY178-'check-Jul''26'!BU178)</f>
        <v/>
      </c>
      <c r="BV160" s="25" t="str">
        <f>IF('1. Live'!BZ178='check-Jul''26'!BV178,"",'1. Live'!BZ178-'check-Jul''26'!BV178)</f>
        <v/>
      </c>
      <c r="BW160" s="25" t="str">
        <f>IF('1. Live'!CA178='check-Jul''26'!BW178,"",'1. Live'!CA178-'check-Jul''26'!BW178)</f>
        <v/>
      </c>
      <c r="BX160" s="25" t="str">
        <f>IF('1. Live'!CB178='check-Jul''26'!BX178,"",'1. Live'!CB178-'check-Jul''26'!BX178)</f>
        <v/>
      </c>
      <c r="BY160" s="25" t="str">
        <f>IF('1. Live'!CC178='check-Jul''26'!BY178,"",'1. Live'!CC178-'check-Jul''26'!BY178)</f>
        <v/>
      </c>
      <c r="BZ160" s="25" t="str">
        <f>IF('1. Live'!CD178='check-Jul''26'!BZ178,"",'1. Live'!CD178-'check-Jul''26'!BZ178)</f>
        <v/>
      </c>
      <c r="CA160" s="25" t="str">
        <f>IF('1. Live'!CE178='check-Jul''26'!CA178,"",'1. Live'!CE178-'check-Jul''26'!CA178)</f>
        <v/>
      </c>
      <c r="CB160" s="25" t="str">
        <f>IF('1. Live'!CF178='check-Jul''26'!CB178,"",'1. Live'!CF178-'check-Jul''26'!CB178)</f>
        <v/>
      </c>
      <c r="CC160" s="25" t="str">
        <f>IF('1. Live'!CG178='check-Jul''26'!CC178,"",'1. Live'!CG178-'check-Jul''26'!CC178)</f>
        <v/>
      </c>
      <c r="CD160" s="25" t="str">
        <f>IF('1. Live'!CH178='check-Jul''26'!CD178,"",'1. Live'!CH178-'check-Jul''26'!CD178)</f>
        <v/>
      </c>
      <c r="CE160" s="25" t="str">
        <f>IF('1. Live'!CI178='check-Jul''26'!CE178,"",'1. Live'!CI178-'check-Jul''26'!CE178)</f>
        <v/>
      </c>
      <c r="CF160" s="25" t="str">
        <f>IF('1. Live'!CJ178='check-Jul''26'!CF178,"",'1. Live'!CJ178-'check-Jul''26'!CF178)</f>
        <v/>
      </c>
      <c r="CG160" s="25" t="str">
        <f>IF('1. Live'!CK178='check-Jul''26'!CG178,"",'1. Live'!CK178-'check-Jul''26'!CG178)</f>
        <v/>
      </c>
      <c r="CH160" s="25" t="str">
        <f>IF('1. Live'!CL178='check-Jul''26'!CH178,"",'1. Live'!CL178-'check-Jul''26'!CH178)</f>
        <v/>
      </c>
      <c r="CI160" s="25" t="str">
        <f>IF('1. Live'!CM178='check-Jul''26'!CI178,"",'1. Live'!CM178-'check-Jul''26'!CI178)</f>
        <v/>
      </c>
      <c r="CJ160" s="25" t="str">
        <f>IF('1. Live'!CN178='check-Jul''26'!CJ178,"",'1. Live'!CN178-'check-Jul''26'!CJ178)</f>
        <v/>
      </c>
      <c r="CK160" s="25" t="str">
        <f>IF('1. Live'!CO178='check-Jul''26'!CK178,"",'1. Live'!CO178-'check-Jul''26'!CK178)</f>
        <v/>
      </c>
      <c r="CL160" s="25" t="str">
        <f>IF('1. Live'!CP178='check-Jul''26'!CL178,"",'1. Live'!CP178-'check-Jul''26'!CL178)</f>
        <v/>
      </c>
      <c r="CM160" s="25" t="str">
        <f>IF('1. Live'!CQ178='check-Jul''26'!CM178,"",'1. Live'!CQ178-'check-Jul''26'!CM178)</f>
        <v/>
      </c>
      <c r="CN160" s="25" t="str">
        <f>IF('1. Live'!CR178='check-Jul''26'!CN178,"",'1. Live'!CR178-'check-Jul''26'!CN178)</f>
        <v/>
      </c>
      <c r="CO160" s="25" t="str">
        <f>IF('1. Live'!CS178='check-Jul''26'!CO178,"",'1. Live'!CS178-'check-Jul''26'!CO178)</f>
        <v/>
      </c>
      <c r="CP160" s="25" t="str">
        <f>IF('1. Live'!CT178='check-Jul''26'!CP178,"",'1. Live'!CT178-'check-Jul''26'!CP178)</f>
        <v/>
      </c>
      <c r="CQ160" s="25" t="str">
        <f>IF('1. Live'!CU178='check-Jul''26'!CQ178,"",'1. Live'!CU178-'check-Jul''26'!CQ178)</f>
        <v/>
      </c>
      <c r="CR160" s="25" t="str">
        <f>IF('1. Live'!CV178='check-Jul''26'!CR178,"",'1. Live'!CV178-'check-Jul''26'!CR178)</f>
        <v/>
      </c>
      <c r="CS160" s="25" t="str">
        <f>IF('1. Live'!CW178='check-Jul''26'!CS178,"",'1. Live'!CW178-'check-Jul''26'!CS178)</f>
        <v/>
      </c>
      <c r="CT160" s="25" t="str">
        <f>IF('1. Live'!CX178='check-Jul''26'!CT178,"",'1. Live'!CX178-'check-Jul''26'!CT178)</f>
        <v/>
      </c>
      <c r="CU160" s="25" t="str">
        <f>IF('1. Live'!CY178='check-Jul''26'!CU178,"",'1. Live'!CY178-'check-Jul''26'!CU178)</f>
        <v/>
      </c>
      <c r="CV160" s="25" t="str">
        <f>IF('1. Live'!CZ178='check-Jul''26'!CV178,"",'1. Live'!CZ178-'check-Jul''26'!CV178)</f>
        <v/>
      </c>
    </row>
    <row r="161" spans="17:100" x14ac:dyDescent="0.25">
      <c r="Q161" s="26" t="str">
        <f>IF('1. Live'!N179='check-Jul''26'!I179,"",'1. Live'!N179-'check-Jul''26'!I179)</f>
        <v/>
      </c>
      <c r="R161" s="26" t="str">
        <f>IF('1. Live'!O179='check-Jul''26'!J179,"",'1. Live'!O179-'check-Jul''26'!J179)</f>
        <v/>
      </c>
      <c r="S161" s="26" t="str">
        <f>IF('1. Live'!P179='check-Jul''26'!K179,"",'1. Live'!P179-'check-Jul''26'!K179)</f>
        <v/>
      </c>
      <c r="T161" s="26" t="str">
        <f>IF('1. Live'!Q179='check-Jul''26'!L179,"",'1. Live'!Q179-'check-Jul''26'!L179)</f>
        <v/>
      </c>
      <c r="U161" s="80" t="str">
        <f>IF('1. Live'!R179='check-Jul''26'!M179,"",'1. Live'!R179-'check-Jul''26'!M179)</f>
        <v/>
      </c>
      <c r="V161" s="26" t="str">
        <f>IF('1. Live'!S179='check-Jul''26'!N179,"",'1. Live'!S179-'check-Jul''26'!N179)</f>
        <v/>
      </c>
      <c r="W161" s="25" t="str">
        <f>IF('1. Live'!T179='check-Jul''26'!O179,"",'1. Live'!T179-'check-Jul''26'!O179)</f>
        <v/>
      </c>
      <c r="X161" s="25" t="str">
        <f>IF('1. Live'!U179='check-Jul''26'!Q179,"",'1. Live'!U179-'check-Jul''26'!Q179)</f>
        <v/>
      </c>
      <c r="Y161" s="25" t="str">
        <f>IF('1. Live'!V179='check-Jul''26'!R179,"",'1. Live'!V179-'check-Jul''26'!R179)</f>
        <v/>
      </c>
      <c r="Z161" s="25" t="str">
        <f>IF('1. Live'!W179='check-Jul''26'!S179,"",'1. Live'!W179-'check-Jul''26'!S179)</f>
        <v/>
      </c>
      <c r="AA161" s="25" t="str">
        <f>IF('1. Live'!X179='check-Jul''26'!T179,"",'1. Live'!X179-'check-Jul''26'!T179)</f>
        <v/>
      </c>
      <c r="AB161" s="25" t="str">
        <f>IF('1. Live'!AF179='check-Jul''26'!AB179,"",'1. Live'!AF179-'check-Jul''26'!AB179)</f>
        <v/>
      </c>
      <c r="AC161" s="25" t="str">
        <f>IF('1. Live'!AG179='check-Jul''26'!AC179,"",'1. Live'!AG179-'check-Jul''26'!AC179)</f>
        <v/>
      </c>
      <c r="AD161" s="25" t="str">
        <f>IF('1. Live'!AH179='check-Jul''26'!AD179,"",'1. Live'!AH179-'check-Jul''26'!AD179)</f>
        <v/>
      </c>
      <c r="AE161" s="25" t="str">
        <f>IF('1. Live'!AI179='check-Jul''26'!AE179,"",'1. Live'!AI179-'check-Jul''26'!AE179)</f>
        <v/>
      </c>
      <c r="AF161" s="25" t="str">
        <f>IF('1. Live'!AJ179='check-Jul''26'!AF179,"",'1. Live'!AJ179-'check-Jul''26'!AF179)</f>
        <v/>
      </c>
      <c r="AG161" s="25" t="str">
        <f>IF('1. Live'!AK179='check-Jul''26'!AG179,"",'1. Live'!AK179-'check-Jul''26'!AG179)</f>
        <v/>
      </c>
      <c r="AH161" s="25" t="str">
        <f>IF('1. Live'!AL179='check-Jul''26'!AH179,"",'1. Live'!AL179-'check-Jul''26'!AH179)</f>
        <v/>
      </c>
      <c r="AI161" s="25" t="str">
        <f>IF('1. Live'!AM179='check-Jul''26'!AI179,"",'1. Live'!AM179-'check-Jul''26'!AI179)</f>
        <v/>
      </c>
      <c r="AJ161" s="25" t="str">
        <f>IF('1. Live'!AN179='check-Jul''26'!AJ179,"",'1. Live'!AN179-'check-Jul''26'!AJ179)</f>
        <v/>
      </c>
      <c r="AK161" s="25" t="str">
        <f>IF('1. Live'!AO179='check-Jul''26'!AK179,"",'1. Live'!AO179-'check-Jul''26'!AK179)</f>
        <v/>
      </c>
      <c r="AL161" s="25" t="str">
        <f>IF('1. Live'!AP179='check-Jul''26'!AL179,"",'1. Live'!AP179-'check-Jul''26'!AL179)</f>
        <v/>
      </c>
      <c r="AM161" s="25" t="str">
        <f>IF('1. Live'!AQ179='check-Jul''26'!AM179,"",'1. Live'!AQ179-'check-Jul''26'!AM179)</f>
        <v/>
      </c>
      <c r="AN161" s="25" t="str">
        <f>IF('1. Live'!AR179='check-Jul''26'!AN179,"",'1. Live'!AR179-'check-Jul''26'!AN179)</f>
        <v/>
      </c>
      <c r="AO161" s="25" t="str">
        <f>IF('1. Live'!AS179='check-Jul''26'!AO179,"",'1. Live'!AS179-'check-Jul''26'!AO179)</f>
        <v/>
      </c>
      <c r="AP161" s="25" t="str">
        <f>IF('1. Live'!AT179='check-Jul''26'!AP179,"",'1. Live'!AT179-'check-Jul''26'!AP179)</f>
        <v/>
      </c>
      <c r="AQ161" s="25" t="str">
        <f>IF('1. Live'!AU179='check-Jul''26'!AQ179,"",'1. Live'!AU179-'check-Jul''26'!AQ179)</f>
        <v/>
      </c>
      <c r="AR161" s="25" t="str">
        <f>IF('1. Live'!AV179='check-Jul''26'!AR179,"",'1. Live'!AV179-'check-Jul''26'!AR179)</f>
        <v/>
      </c>
      <c r="AS161" s="25" t="str">
        <f>IF('1. Live'!AW179='check-Jul''26'!AS179,"",'1. Live'!AW179-'check-Jul''26'!AS179)</f>
        <v/>
      </c>
      <c r="AT161" s="25" t="str">
        <f>IF('1. Live'!AX179='check-Jul''26'!AT179,"",'1. Live'!AX179-'check-Jul''26'!AT179)</f>
        <v/>
      </c>
      <c r="AU161" s="25" t="str">
        <f>IF('1. Live'!AY179='check-Jul''26'!AU179,"",'1. Live'!AY179-'check-Jul''26'!AU179)</f>
        <v/>
      </c>
      <c r="AV161" s="25" t="str">
        <f>IF('1. Live'!AZ179='check-Jul''26'!AV179,"",'1. Live'!AZ179-'check-Jul''26'!AV179)</f>
        <v/>
      </c>
      <c r="AW161" s="25" t="str">
        <f>IF('1. Live'!BA179='check-Jul''26'!AW179,"",'1. Live'!BA179-'check-Jul''26'!AW179)</f>
        <v/>
      </c>
      <c r="AX161" s="25" t="str">
        <f>IF('1. Live'!BB179='check-Jul''26'!AX179,"",'1. Live'!BB179-'check-Jul''26'!AX179)</f>
        <v/>
      </c>
      <c r="AY161" s="25" t="str">
        <f>IF('1. Live'!BC179='check-Jul''26'!AY179,"",'1. Live'!BC179-'check-Jul''26'!AY179)</f>
        <v/>
      </c>
      <c r="AZ161" s="25" t="str">
        <f>IF('1. Live'!BD179='check-Jul''26'!AZ179,"",'1. Live'!BD179-'check-Jul''26'!AZ179)</f>
        <v/>
      </c>
      <c r="BA161" s="25" t="str">
        <f>IF('1. Live'!BE179='check-Jul''26'!BA179,"",'1. Live'!BE179-'check-Jul''26'!BA179)</f>
        <v/>
      </c>
      <c r="BB161" s="25" t="str">
        <f>IF('1. Live'!BF179='check-Jul''26'!BB179,"",'1. Live'!BF179-'check-Jul''26'!BB179)</f>
        <v/>
      </c>
      <c r="BC161" s="25" t="str">
        <f>IF('1. Live'!BG179='check-Jul''26'!BC179,"",'1. Live'!BG179-'check-Jul''26'!BC179)</f>
        <v/>
      </c>
      <c r="BD161" s="25" t="str">
        <f>IF('1. Live'!BH179='check-Jul''26'!BD179,"",'1. Live'!BH179-'check-Jul''26'!BD179)</f>
        <v/>
      </c>
      <c r="BE161" s="25" t="str">
        <f>IF('1. Live'!BI179='check-Jul''26'!BE179,"",'1. Live'!BI179-'check-Jul''26'!BE179)</f>
        <v/>
      </c>
      <c r="BF161" s="25" t="str">
        <f>IF('1. Live'!BJ179='check-Jul''26'!BF179,"",'1. Live'!BJ179-'check-Jul''26'!BF179)</f>
        <v/>
      </c>
      <c r="BG161" s="25" t="str">
        <f>IF('1. Live'!BK179='check-Jul''26'!BG179,"",'1. Live'!BK179-'check-Jul''26'!BG179)</f>
        <v/>
      </c>
      <c r="BH161" s="25" t="str">
        <f>IF('1. Live'!BL179='check-Jul''26'!BH179,"",'1. Live'!BL179-'check-Jul''26'!BH179)</f>
        <v/>
      </c>
      <c r="BI161" s="25" t="str">
        <f>IF('1. Live'!BM179='check-Jul''26'!BI179,"",'1. Live'!BM179-'check-Jul''26'!BI179)</f>
        <v/>
      </c>
      <c r="BJ161" s="25" t="str">
        <f>IF('1. Live'!BN179='check-Jul''26'!BJ179,"",'1. Live'!BN179-'check-Jul''26'!BJ179)</f>
        <v/>
      </c>
      <c r="BK161" s="25" t="str">
        <f>IF('1. Live'!BO179='check-Jul''26'!BK179,"",'1. Live'!BO179-'check-Jul''26'!BK179)</f>
        <v/>
      </c>
      <c r="BL161" s="25" t="str">
        <f>IF('1. Live'!BP179='check-Jul''26'!BL179,"",'1. Live'!BP179-'check-Jul''26'!BL179)</f>
        <v/>
      </c>
      <c r="BM161" s="25" t="str">
        <f>IF('1. Live'!BQ179='check-Jul''26'!BM179,"",'1. Live'!BQ179-'check-Jul''26'!BM179)</f>
        <v/>
      </c>
      <c r="BN161" s="25" t="str">
        <f>IF('1. Live'!BR179='check-Jul''26'!BN179,"",'1. Live'!BR179-'check-Jul''26'!BN179)</f>
        <v/>
      </c>
      <c r="BO161" s="25" t="str">
        <f>IF('1. Live'!BS179='check-Jul''26'!BO179,"",'1. Live'!BS179-'check-Jul''26'!BO179)</f>
        <v/>
      </c>
      <c r="BP161" s="25" t="str">
        <f>IF('1. Live'!BT179='check-Jul''26'!BP179,"",'1. Live'!BT179-'check-Jul''26'!BP179)</f>
        <v/>
      </c>
      <c r="BQ161" s="25" t="str">
        <f>IF('1. Live'!BU179='check-Jul''26'!BQ179,"",'1. Live'!BU179-'check-Jul''26'!BQ179)</f>
        <v/>
      </c>
      <c r="BR161" s="25" t="str">
        <f>IF('1. Live'!BV179='check-Jul''26'!BR179,"",'1. Live'!BV179-'check-Jul''26'!BR179)</f>
        <v/>
      </c>
      <c r="BS161" s="25" t="str">
        <f>IF('1. Live'!BW179='check-Jul''26'!BS179,"",'1. Live'!BW179-'check-Jul''26'!BS179)</f>
        <v/>
      </c>
      <c r="BT161" s="25" t="str">
        <f>IF('1. Live'!BX179='check-Jul''26'!BT179,"",'1. Live'!BX179-'check-Jul''26'!BT179)</f>
        <v/>
      </c>
      <c r="BU161" s="25" t="str">
        <f>IF('1. Live'!BY179='check-Jul''26'!BU179,"",'1. Live'!BY179-'check-Jul''26'!BU179)</f>
        <v/>
      </c>
      <c r="BV161" s="25" t="str">
        <f>IF('1. Live'!BZ179='check-Jul''26'!BV179,"",'1. Live'!BZ179-'check-Jul''26'!BV179)</f>
        <v/>
      </c>
      <c r="BW161" s="25" t="str">
        <f>IF('1. Live'!CA179='check-Jul''26'!BW179,"",'1. Live'!CA179-'check-Jul''26'!BW179)</f>
        <v/>
      </c>
      <c r="BX161" s="25" t="str">
        <f>IF('1. Live'!CB179='check-Jul''26'!BX179,"",'1. Live'!CB179-'check-Jul''26'!BX179)</f>
        <v/>
      </c>
      <c r="BY161" s="25" t="str">
        <f>IF('1. Live'!CC179='check-Jul''26'!BY179,"",'1. Live'!CC179-'check-Jul''26'!BY179)</f>
        <v/>
      </c>
      <c r="BZ161" s="25" t="str">
        <f>IF('1. Live'!CD179='check-Jul''26'!BZ179,"",'1. Live'!CD179-'check-Jul''26'!BZ179)</f>
        <v/>
      </c>
      <c r="CA161" s="25" t="str">
        <f>IF('1. Live'!CE179='check-Jul''26'!CA179,"",'1. Live'!CE179-'check-Jul''26'!CA179)</f>
        <v/>
      </c>
      <c r="CB161" s="25" t="str">
        <f>IF('1. Live'!CF179='check-Jul''26'!CB179,"",'1. Live'!CF179-'check-Jul''26'!CB179)</f>
        <v/>
      </c>
      <c r="CC161" s="25" t="str">
        <f>IF('1. Live'!CG179='check-Jul''26'!CC179,"",'1. Live'!CG179-'check-Jul''26'!CC179)</f>
        <v/>
      </c>
      <c r="CD161" s="25" t="str">
        <f>IF('1. Live'!CH179='check-Jul''26'!CD179,"",'1. Live'!CH179-'check-Jul''26'!CD179)</f>
        <v/>
      </c>
      <c r="CE161" s="25" t="str">
        <f>IF('1. Live'!CI179='check-Jul''26'!CE179,"",'1. Live'!CI179-'check-Jul''26'!CE179)</f>
        <v/>
      </c>
      <c r="CF161" s="25" t="str">
        <f>IF('1. Live'!CJ179='check-Jul''26'!CF179,"",'1. Live'!CJ179-'check-Jul''26'!CF179)</f>
        <v/>
      </c>
      <c r="CG161" s="25" t="str">
        <f>IF('1. Live'!CK179='check-Jul''26'!CG179,"",'1. Live'!CK179-'check-Jul''26'!CG179)</f>
        <v/>
      </c>
      <c r="CH161" s="25" t="str">
        <f>IF('1. Live'!CL179='check-Jul''26'!CH179,"",'1. Live'!CL179-'check-Jul''26'!CH179)</f>
        <v/>
      </c>
      <c r="CI161" s="25" t="str">
        <f>IF('1. Live'!CM179='check-Jul''26'!CI179,"",'1. Live'!CM179-'check-Jul''26'!CI179)</f>
        <v/>
      </c>
      <c r="CJ161" s="25" t="str">
        <f>IF('1. Live'!CN179='check-Jul''26'!CJ179,"",'1. Live'!CN179-'check-Jul''26'!CJ179)</f>
        <v/>
      </c>
      <c r="CK161" s="25" t="str">
        <f>IF('1. Live'!CO179='check-Jul''26'!CK179,"",'1. Live'!CO179-'check-Jul''26'!CK179)</f>
        <v/>
      </c>
      <c r="CL161" s="25" t="str">
        <f>IF('1. Live'!CP179='check-Jul''26'!CL179,"",'1. Live'!CP179-'check-Jul''26'!CL179)</f>
        <v/>
      </c>
      <c r="CM161" s="25" t="str">
        <f>IF('1. Live'!CQ179='check-Jul''26'!CM179,"",'1. Live'!CQ179-'check-Jul''26'!CM179)</f>
        <v/>
      </c>
      <c r="CN161" s="25" t="str">
        <f>IF('1. Live'!CR179='check-Jul''26'!CN179,"",'1. Live'!CR179-'check-Jul''26'!CN179)</f>
        <v/>
      </c>
      <c r="CO161" s="25" t="str">
        <f>IF('1. Live'!CS179='check-Jul''26'!CO179,"",'1. Live'!CS179-'check-Jul''26'!CO179)</f>
        <v/>
      </c>
      <c r="CP161" s="25" t="str">
        <f>IF('1. Live'!CT179='check-Jul''26'!CP179,"",'1. Live'!CT179-'check-Jul''26'!CP179)</f>
        <v/>
      </c>
      <c r="CQ161" s="25" t="str">
        <f>IF('1. Live'!CU179='check-Jul''26'!CQ179,"",'1. Live'!CU179-'check-Jul''26'!CQ179)</f>
        <v/>
      </c>
      <c r="CR161" s="25" t="str">
        <f>IF('1. Live'!CV179='check-Jul''26'!CR179,"",'1. Live'!CV179-'check-Jul''26'!CR179)</f>
        <v/>
      </c>
      <c r="CS161" s="25" t="str">
        <f>IF('1. Live'!CW179='check-Jul''26'!CS179,"",'1. Live'!CW179-'check-Jul''26'!CS179)</f>
        <v/>
      </c>
      <c r="CT161" s="25" t="str">
        <f>IF('1. Live'!CX179='check-Jul''26'!CT179,"",'1. Live'!CX179-'check-Jul''26'!CT179)</f>
        <v/>
      </c>
      <c r="CU161" s="25" t="str">
        <f>IF('1. Live'!CY179='check-Jul''26'!CU179,"",'1. Live'!CY179-'check-Jul''26'!CU179)</f>
        <v/>
      </c>
      <c r="CV161" s="25" t="str">
        <f>IF('1. Live'!CZ179='check-Jul''26'!CV179,"",'1. Live'!CZ179-'check-Jul''26'!CV179)</f>
        <v/>
      </c>
    </row>
    <row r="162" spans="17:100" x14ac:dyDescent="0.25">
      <c r="Q162" s="26" t="str">
        <f>IF('1. Live'!N180='check-Jul''26'!I180,"",'1. Live'!N180-'check-Jul''26'!I180)</f>
        <v/>
      </c>
      <c r="R162" s="26" t="str">
        <f>IF('1. Live'!O180='check-Jul''26'!J180,"",'1. Live'!O180-'check-Jul''26'!J180)</f>
        <v/>
      </c>
      <c r="S162" s="26" t="str">
        <f>IF('1. Live'!P180='check-Jul''26'!K180,"",'1. Live'!P180-'check-Jul''26'!K180)</f>
        <v/>
      </c>
      <c r="T162" s="26" t="str">
        <f>IF('1. Live'!Q180='check-Jul''26'!L180,"",'1. Live'!Q180-'check-Jul''26'!L180)</f>
        <v/>
      </c>
      <c r="U162" s="80" t="str">
        <f>IF('1. Live'!R180='check-Jul''26'!M180,"",'1. Live'!R180-'check-Jul''26'!M180)</f>
        <v/>
      </c>
      <c r="V162" s="26" t="str">
        <f>IF('1. Live'!S180='check-Jul''26'!N180,"",'1. Live'!S180-'check-Jul''26'!N180)</f>
        <v/>
      </c>
      <c r="W162" s="25" t="str">
        <f>IF('1. Live'!T180='check-Jul''26'!O180,"",'1. Live'!T180-'check-Jul''26'!O180)</f>
        <v/>
      </c>
      <c r="X162" s="25" t="str">
        <f>IF('1. Live'!U180='check-Jul''26'!Q180,"",'1. Live'!U180-'check-Jul''26'!Q180)</f>
        <v/>
      </c>
      <c r="Y162" s="25" t="str">
        <f>IF('1. Live'!V180='check-Jul''26'!R180,"",'1. Live'!V180-'check-Jul''26'!R180)</f>
        <v/>
      </c>
      <c r="Z162" s="25" t="str">
        <f>IF('1. Live'!W180='check-Jul''26'!S180,"",'1. Live'!W180-'check-Jul''26'!S180)</f>
        <v/>
      </c>
      <c r="AA162" s="25" t="str">
        <f>IF('1. Live'!X180='check-Jul''26'!T180,"",'1. Live'!X180-'check-Jul''26'!T180)</f>
        <v/>
      </c>
      <c r="AB162" s="25" t="str">
        <f>IF('1. Live'!AF180='check-Jul''26'!AB180,"",'1. Live'!AF180-'check-Jul''26'!AB180)</f>
        <v/>
      </c>
      <c r="AC162" s="25" t="str">
        <f>IF('1. Live'!AG180='check-Jul''26'!AC180,"",'1. Live'!AG180-'check-Jul''26'!AC180)</f>
        <v/>
      </c>
      <c r="AD162" s="25" t="str">
        <f>IF('1. Live'!AH180='check-Jul''26'!AD180,"",'1. Live'!AH180-'check-Jul''26'!AD180)</f>
        <v/>
      </c>
      <c r="AE162" s="25" t="str">
        <f>IF('1. Live'!AI180='check-Jul''26'!AE180,"",'1. Live'!AI180-'check-Jul''26'!AE180)</f>
        <v/>
      </c>
      <c r="AF162" s="25" t="str">
        <f>IF('1. Live'!AJ180='check-Jul''26'!AF180,"",'1. Live'!AJ180-'check-Jul''26'!AF180)</f>
        <v/>
      </c>
      <c r="AG162" s="25" t="str">
        <f>IF('1. Live'!AK180='check-Jul''26'!AG180,"",'1. Live'!AK180-'check-Jul''26'!AG180)</f>
        <v/>
      </c>
      <c r="AH162" s="25" t="str">
        <f>IF('1. Live'!AL180='check-Jul''26'!AH180,"",'1. Live'!AL180-'check-Jul''26'!AH180)</f>
        <v/>
      </c>
      <c r="AI162" s="25" t="str">
        <f>IF('1. Live'!AM180='check-Jul''26'!AI180,"",'1. Live'!AM180-'check-Jul''26'!AI180)</f>
        <v/>
      </c>
      <c r="AJ162" s="25" t="str">
        <f>IF('1. Live'!AN180='check-Jul''26'!AJ180,"",'1. Live'!AN180-'check-Jul''26'!AJ180)</f>
        <v/>
      </c>
      <c r="AK162" s="25" t="str">
        <f>IF('1. Live'!AO180='check-Jul''26'!AK180,"",'1. Live'!AO180-'check-Jul''26'!AK180)</f>
        <v/>
      </c>
      <c r="AL162" s="25" t="str">
        <f>IF('1. Live'!AP180='check-Jul''26'!AL180,"",'1. Live'!AP180-'check-Jul''26'!AL180)</f>
        <v/>
      </c>
      <c r="AM162" s="25" t="str">
        <f>IF('1. Live'!AQ180='check-Jul''26'!AM180,"",'1. Live'!AQ180-'check-Jul''26'!AM180)</f>
        <v/>
      </c>
      <c r="AN162" s="25" t="str">
        <f>IF('1. Live'!AR180='check-Jul''26'!AN180,"",'1. Live'!AR180-'check-Jul''26'!AN180)</f>
        <v/>
      </c>
      <c r="AO162" s="25" t="str">
        <f>IF('1. Live'!AS180='check-Jul''26'!AO180,"",'1. Live'!AS180-'check-Jul''26'!AO180)</f>
        <v/>
      </c>
      <c r="AP162" s="25" t="str">
        <f>IF('1. Live'!AT180='check-Jul''26'!AP180,"",'1. Live'!AT180-'check-Jul''26'!AP180)</f>
        <v/>
      </c>
      <c r="AQ162" s="25" t="str">
        <f>IF('1. Live'!AU180='check-Jul''26'!AQ180,"",'1. Live'!AU180-'check-Jul''26'!AQ180)</f>
        <v/>
      </c>
      <c r="AR162" s="25" t="str">
        <f>IF('1. Live'!AV180='check-Jul''26'!AR180,"",'1. Live'!AV180-'check-Jul''26'!AR180)</f>
        <v/>
      </c>
      <c r="AS162" s="25" t="str">
        <f>IF('1. Live'!AW180='check-Jul''26'!AS180,"",'1. Live'!AW180-'check-Jul''26'!AS180)</f>
        <v/>
      </c>
      <c r="AT162" s="25" t="str">
        <f>IF('1. Live'!AX180='check-Jul''26'!AT180,"",'1. Live'!AX180-'check-Jul''26'!AT180)</f>
        <v/>
      </c>
      <c r="AU162" s="25" t="str">
        <f>IF('1. Live'!AY180='check-Jul''26'!AU180,"",'1. Live'!AY180-'check-Jul''26'!AU180)</f>
        <v/>
      </c>
      <c r="AV162" s="25" t="str">
        <f>IF('1. Live'!AZ180='check-Jul''26'!AV180,"",'1. Live'!AZ180-'check-Jul''26'!AV180)</f>
        <v/>
      </c>
      <c r="AW162" s="25" t="str">
        <f>IF('1. Live'!BA180='check-Jul''26'!AW180,"",'1. Live'!BA180-'check-Jul''26'!AW180)</f>
        <v/>
      </c>
      <c r="AX162" s="25" t="str">
        <f>IF('1. Live'!BB180='check-Jul''26'!AX180,"",'1. Live'!BB180-'check-Jul''26'!AX180)</f>
        <v/>
      </c>
      <c r="AY162" s="25" t="str">
        <f>IF('1. Live'!BC180='check-Jul''26'!AY180,"",'1. Live'!BC180-'check-Jul''26'!AY180)</f>
        <v/>
      </c>
      <c r="AZ162" s="25" t="str">
        <f>IF('1. Live'!BD180='check-Jul''26'!AZ180,"",'1. Live'!BD180-'check-Jul''26'!AZ180)</f>
        <v/>
      </c>
      <c r="BA162" s="25" t="str">
        <f>IF('1. Live'!BE180='check-Jul''26'!BA180,"",'1. Live'!BE180-'check-Jul''26'!BA180)</f>
        <v/>
      </c>
      <c r="BB162" s="25" t="str">
        <f>IF('1. Live'!BF180='check-Jul''26'!BB180,"",'1. Live'!BF180-'check-Jul''26'!BB180)</f>
        <v/>
      </c>
      <c r="BC162" s="25" t="str">
        <f>IF('1. Live'!BG180='check-Jul''26'!BC180,"",'1. Live'!BG180-'check-Jul''26'!BC180)</f>
        <v/>
      </c>
      <c r="BD162" s="25" t="str">
        <f>IF('1. Live'!BH180='check-Jul''26'!BD180,"",'1. Live'!BH180-'check-Jul''26'!BD180)</f>
        <v/>
      </c>
      <c r="BE162" s="25" t="str">
        <f>IF('1. Live'!BI180='check-Jul''26'!BE180,"",'1. Live'!BI180-'check-Jul''26'!BE180)</f>
        <v/>
      </c>
      <c r="BF162" s="25" t="str">
        <f>IF('1. Live'!BJ180='check-Jul''26'!BF180,"",'1. Live'!BJ180-'check-Jul''26'!BF180)</f>
        <v/>
      </c>
      <c r="BG162" s="25" t="str">
        <f>IF('1. Live'!BK180='check-Jul''26'!BG180,"",'1. Live'!BK180-'check-Jul''26'!BG180)</f>
        <v/>
      </c>
      <c r="BH162" s="25" t="str">
        <f>IF('1. Live'!BL180='check-Jul''26'!BH180,"",'1. Live'!BL180-'check-Jul''26'!BH180)</f>
        <v/>
      </c>
      <c r="BI162" s="25" t="str">
        <f>IF('1. Live'!BM180='check-Jul''26'!BI180,"",'1. Live'!BM180-'check-Jul''26'!BI180)</f>
        <v/>
      </c>
      <c r="BJ162" s="25" t="str">
        <f>IF('1. Live'!BN180='check-Jul''26'!BJ180,"",'1. Live'!BN180-'check-Jul''26'!BJ180)</f>
        <v/>
      </c>
      <c r="BK162" s="25" t="str">
        <f>IF('1. Live'!BO180='check-Jul''26'!BK180,"",'1. Live'!BO180-'check-Jul''26'!BK180)</f>
        <v/>
      </c>
      <c r="BL162" s="25" t="str">
        <f>IF('1. Live'!BP180='check-Jul''26'!BL180,"",'1. Live'!BP180-'check-Jul''26'!BL180)</f>
        <v/>
      </c>
      <c r="BM162" s="25" t="str">
        <f>IF('1. Live'!BQ180='check-Jul''26'!BM180,"",'1. Live'!BQ180-'check-Jul''26'!BM180)</f>
        <v/>
      </c>
      <c r="BN162" s="25" t="str">
        <f>IF('1. Live'!BR180='check-Jul''26'!BN180,"",'1. Live'!BR180-'check-Jul''26'!BN180)</f>
        <v/>
      </c>
      <c r="BO162" s="25" t="str">
        <f>IF('1. Live'!BS180='check-Jul''26'!BO180,"",'1. Live'!BS180-'check-Jul''26'!BO180)</f>
        <v/>
      </c>
      <c r="BP162" s="25" t="str">
        <f>IF('1. Live'!BT180='check-Jul''26'!BP180,"",'1. Live'!BT180-'check-Jul''26'!BP180)</f>
        <v/>
      </c>
      <c r="BQ162" s="25" t="str">
        <f>IF('1. Live'!BU180='check-Jul''26'!BQ180,"",'1. Live'!BU180-'check-Jul''26'!BQ180)</f>
        <v/>
      </c>
      <c r="BR162" s="25" t="str">
        <f>IF('1. Live'!BV180='check-Jul''26'!BR180,"",'1. Live'!BV180-'check-Jul''26'!BR180)</f>
        <v/>
      </c>
      <c r="BS162" s="25" t="str">
        <f>IF('1. Live'!BW180='check-Jul''26'!BS180,"",'1. Live'!BW180-'check-Jul''26'!BS180)</f>
        <v/>
      </c>
      <c r="BT162" s="25" t="str">
        <f>IF('1. Live'!BX180='check-Jul''26'!BT180,"",'1. Live'!BX180-'check-Jul''26'!BT180)</f>
        <v/>
      </c>
      <c r="BU162" s="25" t="str">
        <f>IF('1. Live'!BY180='check-Jul''26'!BU180,"",'1. Live'!BY180-'check-Jul''26'!BU180)</f>
        <v/>
      </c>
      <c r="BV162" s="25" t="str">
        <f>IF('1. Live'!BZ180='check-Jul''26'!BV180,"",'1. Live'!BZ180-'check-Jul''26'!BV180)</f>
        <v/>
      </c>
      <c r="BW162" s="25" t="str">
        <f>IF('1. Live'!CA180='check-Jul''26'!BW180,"",'1. Live'!CA180-'check-Jul''26'!BW180)</f>
        <v/>
      </c>
      <c r="BX162" s="25" t="str">
        <f>IF('1. Live'!CB180='check-Jul''26'!BX180,"",'1. Live'!CB180-'check-Jul''26'!BX180)</f>
        <v/>
      </c>
      <c r="BY162" s="25" t="str">
        <f>IF('1. Live'!CC180='check-Jul''26'!BY180,"",'1. Live'!CC180-'check-Jul''26'!BY180)</f>
        <v/>
      </c>
      <c r="BZ162" s="25" t="str">
        <f>IF('1. Live'!CD180='check-Jul''26'!BZ180,"",'1. Live'!CD180-'check-Jul''26'!BZ180)</f>
        <v/>
      </c>
      <c r="CA162" s="25" t="str">
        <f>IF('1. Live'!CE180='check-Jul''26'!CA180,"",'1. Live'!CE180-'check-Jul''26'!CA180)</f>
        <v/>
      </c>
      <c r="CB162" s="25" t="str">
        <f>IF('1. Live'!CF180='check-Jul''26'!CB180,"",'1. Live'!CF180-'check-Jul''26'!CB180)</f>
        <v/>
      </c>
      <c r="CC162" s="25" t="str">
        <f>IF('1. Live'!CG180='check-Jul''26'!CC180,"",'1. Live'!CG180-'check-Jul''26'!CC180)</f>
        <v/>
      </c>
      <c r="CD162" s="25" t="str">
        <f>IF('1. Live'!CH180='check-Jul''26'!CD180,"",'1. Live'!CH180-'check-Jul''26'!CD180)</f>
        <v/>
      </c>
      <c r="CE162" s="25" t="str">
        <f>IF('1. Live'!CI180='check-Jul''26'!CE180,"",'1. Live'!CI180-'check-Jul''26'!CE180)</f>
        <v/>
      </c>
      <c r="CF162" s="25" t="str">
        <f>IF('1. Live'!CJ180='check-Jul''26'!CF180,"",'1. Live'!CJ180-'check-Jul''26'!CF180)</f>
        <v/>
      </c>
      <c r="CG162" s="25" t="str">
        <f>IF('1. Live'!CK180='check-Jul''26'!CG180,"",'1. Live'!CK180-'check-Jul''26'!CG180)</f>
        <v/>
      </c>
      <c r="CH162" s="25" t="str">
        <f>IF('1. Live'!CL180='check-Jul''26'!CH180,"",'1. Live'!CL180-'check-Jul''26'!CH180)</f>
        <v/>
      </c>
      <c r="CI162" s="25" t="str">
        <f>IF('1. Live'!CM180='check-Jul''26'!CI180,"",'1. Live'!CM180-'check-Jul''26'!CI180)</f>
        <v/>
      </c>
      <c r="CJ162" s="25" t="str">
        <f>IF('1. Live'!CN180='check-Jul''26'!CJ180,"",'1. Live'!CN180-'check-Jul''26'!CJ180)</f>
        <v/>
      </c>
      <c r="CK162" s="25" t="str">
        <f>IF('1. Live'!CO180='check-Jul''26'!CK180,"",'1. Live'!CO180-'check-Jul''26'!CK180)</f>
        <v/>
      </c>
      <c r="CL162" s="25" t="str">
        <f>IF('1. Live'!CP180='check-Jul''26'!CL180,"",'1. Live'!CP180-'check-Jul''26'!CL180)</f>
        <v/>
      </c>
      <c r="CM162" s="25" t="str">
        <f>IF('1. Live'!CQ180='check-Jul''26'!CM180,"",'1. Live'!CQ180-'check-Jul''26'!CM180)</f>
        <v/>
      </c>
      <c r="CN162" s="25" t="str">
        <f>IF('1. Live'!CR180='check-Jul''26'!CN180,"",'1. Live'!CR180-'check-Jul''26'!CN180)</f>
        <v/>
      </c>
      <c r="CO162" s="25" t="str">
        <f>IF('1. Live'!CS180='check-Jul''26'!CO180,"",'1. Live'!CS180-'check-Jul''26'!CO180)</f>
        <v/>
      </c>
      <c r="CP162" s="25" t="str">
        <f>IF('1. Live'!CT180='check-Jul''26'!CP180,"",'1. Live'!CT180-'check-Jul''26'!CP180)</f>
        <v/>
      </c>
      <c r="CQ162" s="25" t="str">
        <f>IF('1. Live'!CU180='check-Jul''26'!CQ180,"",'1. Live'!CU180-'check-Jul''26'!CQ180)</f>
        <v/>
      </c>
      <c r="CR162" s="25" t="str">
        <f>IF('1. Live'!CV180='check-Jul''26'!CR180,"",'1. Live'!CV180-'check-Jul''26'!CR180)</f>
        <v/>
      </c>
      <c r="CS162" s="25" t="str">
        <f>IF('1. Live'!CW180='check-Jul''26'!CS180,"",'1. Live'!CW180-'check-Jul''26'!CS180)</f>
        <v/>
      </c>
      <c r="CT162" s="25" t="str">
        <f>IF('1. Live'!CX180='check-Jul''26'!CT180,"",'1. Live'!CX180-'check-Jul''26'!CT180)</f>
        <v/>
      </c>
      <c r="CU162" s="25" t="str">
        <f>IF('1. Live'!CY180='check-Jul''26'!CU180,"",'1. Live'!CY180-'check-Jul''26'!CU180)</f>
        <v/>
      </c>
      <c r="CV162" s="25" t="str">
        <f>IF('1. Live'!CZ180='check-Jul''26'!CV180,"",'1. Live'!CZ180-'check-Jul''26'!CV180)</f>
        <v/>
      </c>
    </row>
    <row r="163" spans="17:100" x14ac:dyDescent="0.25">
      <c r="Q163" s="26" t="str">
        <f>IF('1. Live'!N181='check-Jul''26'!I181,"",'1. Live'!N181-'check-Jul''26'!I181)</f>
        <v/>
      </c>
      <c r="R163" s="26" t="str">
        <f>IF('1. Live'!O181='check-Jul''26'!J181,"",'1. Live'!O181-'check-Jul''26'!J181)</f>
        <v/>
      </c>
      <c r="S163" s="26" t="str">
        <f>IF('1. Live'!P181='check-Jul''26'!K181,"",'1. Live'!P181-'check-Jul''26'!K181)</f>
        <v/>
      </c>
      <c r="T163" s="26" t="str">
        <f>IF('1. Live'!Q181='check-Jul''26'!L181,"",'1. Live'!Q181-'check-Jul''26'!L181)</f>
        <v/>
      </c>
      <c r="U163" s="80" t="str">
        <f>IF('1. Live'!R181='check-Jul''26'!M181,"",'1. Live'!R181-'check-Jul''26'!M181)</f>
        <v/>
      </c>
      <c r="V163" s="26" t="str">
        <f>IF('1. Live'!S181='check-Jul''26'!N181,"",'1. Live'!S181-'check-Jul''26'!N181)</f>
        <v/>
      </c>
      <c r="W163" s="25" t="str">
        <f>IF('1. Live'!T181='check-Jul''26'!O181,"",'1. Live'!T181-'check-Jul''26'!O181)</f>
        <v/>
      </c>
      <c r="X163" s="25" t="str">
        <f>IF('1. Live'!U181='check-Jul''26'!Q181,"",'1. Live'!U181-'check-Jul''26'!Q181)</f>
        <v/>
      </c>
      <c r="Y163" s="25" t="str">
        <f>IF('1. Live'!V181='check-Jul''26'!R181,"",'1. Live'!V181-'check-Jul''26'!R181)</f>
        <v/>
      </c>
      <c r="Z163" s="25" t="str">
        <f>IF('1. Live'!W181='check-Jul''26'!S181,"",'1. Live'!W181-'check-Jul''26'!S181)</f>
        <v/>
      </c>
      <c r="AA163" s="25" t="str">
        <f>IF('1. Live'!X181='check-Jul''26'!T181,"",'1. Live'!X181-'check-Jul''26'!T181)</f>
        <v/>
      </c>
      <c r="AB163" s="25" t="str">
        <f>IF('1. Live'!AF181='check-Jul''26'!AB181,"",'1. Live'!AF181-'check-Jul''26'!AB181)</f>
        <v/>
      </c>
      <c r="AC163" s="25" t="str">
        <f>IF('1. Live'!AG181='check-Jul''26'!AC181,"",'1. Live'!AG181-'check-Jul''26'!AC181)</f>
        <v/>
      </c>
      <c r="AD163" s="25" t="str">
        <f>IF('1. Live'!AH181='check-Jul''26'!AD181,"",'1. Live'!AH181-'check-Jul''26'!AD181)</f>
        <v/>
      </c>
      <c r="AE163" s="25" t="str">
        <f>IF('1. Live'!AI181='check-Jul''26'!AE181,"",'1. Live'!AI181-'check-Jul''26'!AE181)</f>
        <v/>
      </c>
      <c r="AF163" s="25" t="str">
        <f>IF('1. Live'!AJ181='check-Jul''26'!AF181,"",'1. Live'!AJ181-'check-Jul''26'!AF181)</f>
        <v/>
      </c>
      <c r="AG163" s="25" t="str">
        <f>IF('1. Live'!AK181='check-Jul''26'!AG181,"",'1. Live'!AK181-'check-Jul''26'!AG181)</f>
        <v/>
      </c>
      <c r="AH163" s="25" t="str">
        <f>IF('1. Live'!AL181='check-Jul''26'!AH181,"",'1. Live'!AL181-'check-Jul''26'!AH181)</f>
        <v/>
      </c>
      <c r="AI163" s="25" t="str">
        <f>IF('1. Live'!AM181='check-Jul''26'!AI181,"",'1. Live'!AM181-'check-Jul''26'!AI181)</f>
        <v/>
      </c>
      <c r="AJ163" s="25" t="str">
        <f>IF('1. Live'!AN181='check-Jul''26'!AJ181,"",'1. Live'!AN181-'check-Jul''26'!AJ181)</f>
        <v/>
      </c>
      <c r="AK163" s="25" t="str">
        <f>IF('1. Live'!AO181='check-Jul''26'!AK181,"",'1. Live'!AO181-'check-Jul''26'!AK181)</f>
        <v/>
      </c>
      <c r="AL163" s="25" t="str">
        <f>IF('1. Live'!AP181='check-Jul''26'!AL181,"",'1. Live'!AP181-'check-Jul''26'!AL181)</f>
        <v/>
      </c>
      <c r="AM163" s="25" t="str">
        <f>IF('1. Live'!AQ181='check-Jul''26'!AM181,"",'1. Live'!AQ181-'check-Jul''26'!AM181)</f>
        <v/>
      </c>
      <c r="AN163" s="25" t="str">
        <f>IF('1. Live'!AR181='check-Jul''26'!AN181,"",'1. Live'!AR181-'check-Jul''26'!AN181)</f>
        <v/>
      </c>
      <c r="AO163" s="25" t="str">
        <f>IF('1. Live'!AS181='check-Jul''26'!AO181,"",'1. Live'!AS181-'check-Jul''26'!AO181)</f>
        <v/>
      </c>
      <c r="AP163" s="25" t="str">
        <f>IF('1. Live'!AT181='check-Jul''26'!AP181,"",'1. Live'!AT181-'check-Jul''26'!AP181)</f>
        <v/>
      </c>
      <c r="AQ163" s="25" t="str">
        <f>IF('1. Live'!AU181='check-Jul''26'!AQ181,"",'1. Live'!AU181-'check-Jul''26'!AQ181)</f>
        <v/>
      </c>
      <c r="AR163" s="25" t="str">
        <f>IF('1. Live'!AV181='check-Jul''26'!AR181,"",'1. Live'!AV181-'check-Jul''26'!AR181)</f>
        <v/>
      </c>
      <c r="AS163" s="25" t="str">
        <f>IF('1. Live'!AW181='check-Jul''26'!AS181,"",'1. Live'!AW181-'check-Jul''26'!AS181)</f>
        <v/>
      </c>
      <c r="AT163" s="25" t="str">
        <f>IF('1. Live'!AX181='check-Jul''26'!AT181,"",'1. Live'!AX181-'check-Jul''26'!AT181)</f>
        <v/>
      </c>
      <c r="AU163" s="25" t="str">
        <f>IF('1. Live'!AY181='check-Jul''26'!AU181,"",'1. Live'!AY181-'check-Jul''26'!AU181)</f>
        <v/>
      </c>
      <c r="AV163" s="25" t="str">
        <f>IF('1. Live'!AZ181='check-Jul''26'!AV181,"",'1. Live'!AZ181-'check-Jul''26'!AV181)</f>
        <v/>
      </c>
      <c r="AW163" s="25" t="str">
        <f>IF('1. Live'!BA181='check-Jul''26'!AW181,"",'1. Live'!BA181-'check-Jul''26'!AW181)</f>
        <v/>
      </c>
      <c r="AX163" s="25" t="str">
        <f>IF('1. Live'!BB181='check-Jul''26'!AX181,"",'1. Live'!BB181-'check-Jul''26'!AX181)</f>
        <v/>
      </c>
      <c r="AY163" s="25" t="str">
        <f>IF('1. Live'!BC181='check-Jul''26'!AY181,"",'1. Live'!BC181-'check-Jul''26'!AY181)</f>
        <v/>
      </c>
      <c r="AZ163" s="25" t="str">
        <f>IF('1. Live'!BD181='check-Jul''26'!AZ181,"",'1. Live'!BD181-'check-Jul''26'!AZ181)</f>
        <v/>
      </c>
      <c r="BA163" s="25" t="str">
        <f>IF('1. Live'!BE181='check-Jul''26'!BA181,"",'1. Live'!BE181-'check-Jul''26'!BA181)</f>
        <v/>
      </c>
      <c r="BB163" s="25" t="str">
        <f>IF('1. Live'!BF181='check-Jul''26'!BB181,"",'1. Live'!BF181-'check-Jul''26'!BB181)</f>
        <v/>
      </c>
      <c r="BC163" s="25" t="str">
        <f>IF('1. Live'!BG181='check-Jul''26'!BC181,"",'1. Live'!BG181-'check-Jul''26'!BC181)</f>
        <v/>
      </c>
      <c r="BD163" s="25" t="str">
        <f>IF('1. Live'!BH181='check-Jul''26'!BD181,"",'1. Live'!BH181-'check-Jul''26'!BD181)</f>
        <v/>
      </c>
      <c r="BE163" s="25" t="str">
        <f>IF('1. Live'!BI181='check-Jul''26'!BE181,"",'1. Live'!BI181-'check-Jul''26'!BE181)</f>
        <v/>
      </c>
      <c r="BF163" s="25" t="str">
        <f>IF('1. Live'!BJ181='check-Jul''26'!BF181,"",'1. Live'!BJ181-'check-Jul''26'!BF181)</f>
        <v/>
      </c>
      <c r="BG163" s="25" t="str">
        <f>IF('1. Live'!BK181='check-Jul''26'!BG181,"",'1. Live'!BK181-'check-Jul''26'!BG181)</f>
        <v/>
      </c>
      <c r="BH163" s="25" t="str">
        <f>IF('1. Live'!BL181='check-Jul''26'!BH181,"",'1. Live'!BL181-'check-Jul''26'!BH181)</f>
        <v/>
      </c>
      <c r="BI163" s="25" t="str">
        <f>IF('1. Live'!BM181='check-Jul''26'!BI181,"",'1. Live'!BM181-'check-Jul''26'!BI181)</f>
        <v/>
      </c>
      <c r="BJ163" s="25" t="str">
        <f>IF('1. Live'!BN181='check-Jul''26'!BJ181,"",'1. Live'!BN181-'check-Jul''26'!BJ181)</f>
        <v/>
      </c>
      <c r="BK163" s="25" t="str">
        <f>IF('1. Live'!BO181='check-Jul''26'!BK181,"",'1. Live'!BO181-'check-Jul''26'!BK181)</f>
        <v/>
      </c>
      <c r="BL163" s="25" t="str">
        <f>IF('1. Live'!BP181='check-Jul''26'!BL181,"",'1. Live'!BP181-'check-Jul''26'!BL181)</f>
        <v/>
      </c>
      <c r="BM163" s="25" t="str">
        <f>IF('1. Live'!BQ181='check-Jul''26'!BM181,"",'1. Live'!BQ181-'check-Jul''26'!BM181)</f>
        <v/>
      </c>
      <c r="BN163" s="25" t="str">
        <f>IF('1. Live'!BR181='check-Jul''26'!BN181,"",'1. Live'!BR181-'check-Jul''26'!BN181)</f>
        <v/>
      </c>
      <c r="BO163" s="25" t="str">
        <f>IF('1. Live'!BS181='check-Jul''26'!BO181,"",'1. Live'!BS181-'check-Jul''26'!BO181)</f>
        <v/>
      </c>
      <c r="BP163" s="25" t="str">
        <f>IF('1. Live'!BT181='check-Jul''26'!BP181,"",'1. Live'!BT181-'check-Jul''26'!BP181)</f>
        <v/>
      </c>
      <c r="BQ163" s="25" t="str">
        <f>IF('1. Live'!BU181='check-Jul''26'!BQ181,"",'1. Live'!BU181-'check-Jul''26'!BQ181)</f>
        <v/>
      </c>
      <c r="BR163" s="25" t="str">
        <f>IF('1. Live'!BV181='check-Jul''26'!BR181,"",'1. Live'!BV181-'check-Jul''26'!BR181)</f>
        <v/>
      </c>
      <c r="BS163" s="25" t="str">
        <f>IF('1. Live'!BW181='check-Jul''26'!BS181,"",'1. Live'!BW181-'check-Jul''26'!BS181)</f>
        <v/>
      </c>
      <c r="BT163" s="25" t="str">
        <f>IF('1. Live'!BX181='check-Jul''26'!BT181,"",'1. Live'!BX181-'check-Jul''26'!BT181)</f>
        <v/>
      </c>
      <c r="BU163" s="25" t="str">
        <f>IF('1. Live'!BY181='check-Jul''26'!BU181,"",'1. Live'!BY181-'check-Jul''26'!BU181)</f>
        <v/>
      </c>
      <c r="BV163" s="25" t="str">
        <f>IF('1. Live'!BZ181='check-Jul''26'!BV181,"",'1. Live'!BZ181-'check-Jul''26'!BV181)</f>
        <v/>
      </c>
      <c r="BW163" s="25" t="str">
        <f>IF('1. Live'!CA181='check-Jul''26'!BW181,"",'1. Live'!CA181-'check-Jul''26'!BW181)</f>
        <v/>
      </c>
      <c r="BX163" s="25" t="str">
        <f>IF('1. Live'!CB181='check-Jul''26'!BX181,"",'1. Live'!CB181-'check-Jul''26'!BX181)</f>
        <v/>
      </c>
      <c r="BY163" s="25" t="str">
        <f>IF('1. Live'!CC181='check-Jul''26'!BY181,"",'1. Live'!CC181-'check-Jul''26'!BY181)</f>
        <v/>
      </c>
      <c r="BZ163" s="25" t="str">
        <f>IF('1. Live'!CD181='check-Jul''26'!BZ181,"",'1. Live'!CD181-'check-Jul''26'!BZ181)</f>
        <v/>
      </c>
      <c r="CA163" s="25" t="str">
        <f>IF('1. Live'!CE181='check-Jul''26'!CA181,"",'1. Live'!CE181-'check-Jul''26'!CA181)</f>
        <v/>
      </c>
      <c r="CB163" s="25" t="str">
        <f>IF('1. Live'!CF181='check-Jul''26'!CB181,"",'1. Live'!CF181-'check-Jul''26'!CB181)</f>
        <v/>
      </c>
      <c r="CC163" s="25" t="str">
        <f>IF('1. Live'!CG181='check-Jul''26'!CC181,"",'1. Live'!CG181-'check-Jul''26'!CC181)</f>
        <v/>
      </c>
      <c r="CD163" s="25" t="str">
        <f>IF('1. Live'!CH181='check-Jul''26'!CD181,"",'1. Live'!CH181-'check-Jul''26'!CD181)</f>
        <v/>
      </c>
      <c r="CE163" s="25" t="str">
        <f>IF('1. Live'!CI181='check-Jul''26'!CE181,"",'1. Live'!CI181-'check-Jul''26'!CE181)</f>
        <v/>
      </c>
      <c r="CF163" s="25" t="str">
        <f>IF('1. Live'!CJ181='check-Jul''26'!CF181,"",'1. Live'!CJ181-'check-Jul''26'!CF181)</f>
        <v/>
      </c>
      <c r="CG163" s="25" t="str">
        <f>IF('1. Live'!CK181='check-Jul''26'!CG181,"",'1. Live'!CK181-'check-Jul''26'!CG181)</f>
        <v/>
      </c>
      <c r="CH163" s="25" t="str">
        <f>IF('1. Live'!CL181='check-Jul''26'!CH181,"",'1. Live'!CL181-'check-Jul''26'!CH181)</f>
        <v/>
      </c>
      <c r="CI163" s="25" t="str">
        <f>IF('1. Live'!CM181='check-Jul''26'!CI181,"",'1. Live'!CM181-'check-Jul''26'!CI181)</f>
        <v/>
      </c>
      <c r="CJ163" s="25" t="str">
        <f>IF('1. Live'!CN181='check-Jul''26'!CJ181,"",'1. Live'!CN181-'check-Jul''26'!CJ181)</f>
        <v/>
      </c>
      <c r="CK163" s="25" t="str">
        <f>IF('1. Live'!CO181='check-Jul''26'!CK181,"",'1. Live'!CO181-'check-Jul''26'!CK181)</f>
        <v/>
      </c>
      <c r="CL163" s="25" t="str">
        <f>IF('1. Live'!CP181='check-Jul''26'!CL181,"",'1. Live'!CP181-'check-Jul''26'!CL181)</f>
        <v/>
      </c>
      <c r="CM163" s="25" t="str">
        <f>IF('1. Live'!CQ181='check-Jul''26'!CM181,"",'1. Live'!CQ181-'check-Jul''26'!CM181)</f>
        <v/>
      </c>
      <c r="CN163" s="25" t="str">
        <f>IF('1. Live'!CR181='check-Jul''26'!CN181,"",'1. Live'!CR181-'check-Jul''26'!CN181)</f>
        <v/>
      </c>
      <c r="CO163" s="25" t="str">
        <f>IF('1. Live'!CS181='check-Jul''26'!CO181,"",'1. Live'!CS181-'check-Jul''26'!CO181)</f>
        <v/>
      </c>
      <c r="CP163" s="25" t="str">
        <f>IF('1. Live'!CT181='check-Jul''26'!CP181,"",'1. Live'!CT181-'check-Jul''26'!CP181)</f>
        <v/>
      </c>
      <c r="CQ163" s="25" t="str">
        <f>IF('1. Live'!CU181='check-Jul''26'!CQ181,"",'1. Live'!CU181-'check-Jul''26'!CQ181)</f>
        <v/>
      </c>
      <c r="CR163" s="25" t="str">
        <f>IF('1. Live'!CV181='check-Jul''26'!CR181,"",'1. Live'!CV181-'check-Jul''26'!CR181)</f>
        <v/>
      </c>
      <c r="CS163" s="25" t="str">
        <f>IF('1. Live'!CW181='check-Jul''26'!CS181,"",'1. Live'!CW181-'check-Jul''26'!CS181)</f>
        <v/>
      </c>
      <c r="CT163" s="25" t="str">
        <f>IF('1. Live'!CX181='check-Jul''26'!CT181,"",'1. Live'!CX181-'check-Jul''26'!CT181)</f>
        <v/>
      </c>
      <c r="CU163" s="25" t="str">
        <f>IF('1. Live'!CY181='check-Jul''26'!CU181,"",'1. Live'!CY181-'check-Jul''26'!CU181)</f>
        <v/>
      </c>
      <c r="CV163" s="25" t="str">
        <f>IF('1. Live'!CZ181='check-Jul''26'!CV181,"",'1. Live'!CZ181-'check-Jul''26'!CV181)</f>
        <v/>
      </c>
    </row>
    <row r="164" spans="17:100" x14ac:dyDescent="0.25">
      <c r="Q164" s="26" t="str">
        <f>IF('1. Live'!N182='check-Jul''26'!I182,"",'1. Live'!N182-'check-Jul''26'!I182)</f>
        <v/>
      </c>
      <c r="R164" s="26" t="str">
        <f>IF('1. Live'!O182='check-Jul''26'!J182,"",'1. Live'!O182-'check-Jul''26'!J182)</f>
        <v/>
      </c>
      <c r="S164" s="26" t="str">
        <f>IF('1. Live'!P182='check-Jul''26'!K182,"",'1. Live'!P182-'check-Jul''26'!K182)</f>
        <v/>
      </c>
      <c r="T164" s="26" t="str">
        <f>IF('1. Live'!Q182='check-Jul''26'!L182,"",'1. Live'!Q182-'check-Jul''26'!L182)</f>
        <v/>
      </c>
      <c r="U164" s="80" t="str">
        <f>IF('1. Live'!R182='check-Jul''26'!M182,"",'1. Live'!R182-'check-Jul''26'!M182)</f>
        <v/>
      </c>
      <c r="V164" s="26" t="str">
        <f>IF('1. Live'!S182='check-Jul''26'!N182,"",'1. Live'!S182-'check-Jul''26'!N182)</f>
        <v/>
      </c>
      <c r="W164" s="25" t="str">
        <f>IF('1. Live'!T182='check-Jul''26'!O182,"",'1. Live'!T182-'check-Jul''26'!O182)</f>
        <v/>
      </c>
      <c r="X164" s="25" t="str">
        <f>IF('1. Live'!U182='check-Jul''26'!Q182,"",'1. Live'!U182-'check-Jul''26'!Q182)</f>
        <v/>
      </c>
      <c r="Y164" s="25" t="str">
        <f>IF('1. Live'!V182='check-Jul''26'!R182,"",'1. Live'!V182-'check-Jul''26'!R182)</f>
        <v/>
      </c>
      <c r="Z164" s="25" t="str">
        <f>IF('1. Live'!W182='check-Jul''26'!S182,"",'1. Live'!W182-'check-Jul''26'!S182)</f>
        <v/>
      </c>
      <c r="AA164" s="25" t="str">
        <f>IF('1. Live'!X182='check-Jul''26'!T182,"",'1. Live'!X182-'check-Jul''26'!T182)</f>
        <v/>
      </c>
      <c r="AB164" s="25" t="str">
        <f>IF('1. Live'!AF182='check-Jul''26'!AB182,"",'1. Live'!AF182-'check-Jul''26'!AB182)</f>
        <v/>
      </c>
      <c r="AC164" s="25" t="str">
        <f>IF('1. Live'!AG182='check-Jul''26'!AC182,"",'1. Live'!AG182-'check-Jul''26'!AC182)</f>
        <v/>
      </c>
      <c r="AD164" s="25" t="str">
        <f>IF('1. Live'!AH182='check-Jul''26'!AD182,"",'1. Live'!AH182-'check-Jul''26'!AD182)</f>
        <v/>
      </c>
      <c r="AE164" s="25" t="str">
        <f>IF('1. Live'!AI182='check-Jul''26'!AE182,"",'1. Live'!AI182-'check-Jul''26'!AE182)</f>
        <v/>
      </c>
      <c r="AF164" s="25" t="str">
        <f>IF('1. Live'!AJ182='check-Jul''26'!AF182,"",'1. Live'!AJ182-'check-Jul''26'!AF182)</f>
        <v/>
      </c>
      <c r="AG164" s="25" t="str">
        <f>IF('1. Live'!AK182='check-Jul''26'!AG182,"",'1. Live'!AK182-'check-Jul''26'!AG182)</f>
        <v/>
      </c>
      <c r="AH164" s="25" t="str">
        <f>IF('1. Live'!AL182='check-Jul''26'!AH182,"",'1. Live'!AL182-'check-Jul''26'!AH182)</f>
        <v/>
      </c>
      <c r="AI164" s="25" t="str">
        <f>IF('1. Live'!AM182='check-Jul''26'!AI182,"",'1. Live'!AM182-'check-Jul''26'!AI182)</f>
        <v/>
      </c>
      <c r="AJ164" s="25" t="str">
        <f>IF('1. Live'!AN182='check-Jul''26'!AJ182,"",'1. Live'!AN182-'check-Jul''26'!AJ182)</f>
        <v/>
      </c>
      <c r="AK164" s="25" t="str">
        <f>IF('1. Live'!AO182='check-Jul''26'!AK182,"",'1. Live'!AO182-'check-Jul''26'!AK182)</f>
        <v/>
      </c>
      <c r="AL164" s="25" t="str">
        <f>IF('1. Live'!AP182='check-Jul''26'!AL182,"",'1. Live'!AP182-'check-Jul''26'!AL182)</f>
        <v/>
      </c>
      <c r="AM164" s="25" t="str">
        <f>IF('1. Live'!AQ182='check-Jul''26'!AM182,"",'1. Live'!AQ182-'check-Jul''26'!AM182)</f>
        <v/>
      </c>
      <c r="AN164" s="25" t="str">
        <f>IF('1. Live'!AR182='check-Jul''26'!AN182,"",'1. Live'!AR182-'check-Jul''26'!AN182)</f>
        <v/>
      </c>
      <c r="AO164" s="25" t="str">
        <f>IF('1. Live'!AS182='check-Jul''26'!AO182,"",'1. Live'!AS182-'check-Jul''26'!AO182)</f>
        <v/>
      </c>
      <c r="AP164" s="25" t="str">
        <f>IF('1. Live'!AT182='check-Jul''26'!AP182,"",'1. Live'!AT182-'check-Jul''26'!AP182)</f>
        <v/>
      </c>
      <c r="AQ164" s="25" t="str">
        <f>IF('1. Live'!AU182='check-Jul''26'!AQ182,"",'1. Live'!AU182-'check-Jul''26'!AQ182)</f>
        <v/>
      </c>
      <c r="AR164" s="25" t="str">
        <f>IF('1. Live'!AV182='check-Jul''26'!AR182,"",'1. Live'!AV182-'check-Jul''26'!AR182)</f>
        <v/>
      </c>
      <c r="AS164" s="25" t="str">
        <f>IF('1. Live'!AW182='check-Jul''26'!AS182,"",'1. Live'!AW182-'check-Jul''26'!AS182)</f>
        <v/>
      </c>
      <c r="AT164" s="25" t="str">
        <f>IF('1. Live'!AX182='check-Jul''26'!AT182,"",'1. Live'!AX182-'check-Jul''26'!AT182)</f>
        <v/>
      </c>
      <c r="AU164" s="25" t="str">
        <f>IF('1. Live'!AY182='check-Jul''26'!AU182,"",'1. Live'!AY182-'check-Jul''26'!AU182)</f>
        <v/>
      </c>
      <c r="AV164" s="25" t="str">
        <f>IF('1. Live'!AZ182='check-Jul''26'!AV182,"",'1. Live'!AZ182-'check-Jul''26'!AV182)</f>
        <v/>
      </c>
      <c r="AW164" s="25" t="str">
        <f>IF('1. Live'!BA182='check-Jul''26'!AW182,"",'1. Live'!BA182-'check-Jul''26'!AW182)</f>
        <v/>
      </c>
      <c r="AX164" s="25" t="str">
        <f>IF('1. Live'!BB182='check-Jul''26'!AX182,"",'1. Live'!BB182-'check-Jul''26'!AX182)</f>
        <v/>
      </c>
      <c r="AY164" s="25" t="str">
        <f>IF('1. Live'!BC182='check-Jul''26'!AY182,"",'1. Live'!BC182-'check-Jul''26'!AY182)</f>
        <v/>
      </c>
      <c r="AZ164" s="25" t="str">
        <f>IF('1. Live'!BD182='check-Jul''26'!AZ182,"",'1. Live'!BD182-'check-Jul''26'!AZ182)</f>
        <v/>
      </c>
      <c r="BA164" s="25" t="str">
        <f>IF('1. Live'!BE182='check-Jul''26'!BA182,"",'1. Live'!BE182-'check-Jul''26'!BA182)</f>
        <v/>
      </c>
      <c r="BB164" s="25" t="str">
        <f>IF('1. Live'!BF182='check-Jul''26'!BB182,"",'1. Live'!BF182-'check-Jul''26'!BB182)</f>
        <v/>
      </c>
      <c r="BC164" s="25" t="str">
        <f>IF('1. Live'!BG182='check-Jul''26'!BC182,"",'1. Live'!BG182-'check-Jul''26'!BC182)</f>
        <v/>
      </c>
      <c r="BD164" s="25" t="str">
        <f>IF('1. Live'!BH182='check-Jul''26'!BD182,"",'1. Live'!BH182-'check-Jul''26'!BD182)</f>
        <v/>
      </c>
      <c r="BE164" s="25" t="str">
        <f>IF('1. Live'!BI182='check-Jul''26'!BE182,"",'1. Live'!BI182-'check-Jul''26'!BE182)</f>
        <v/>
      </c>
      <c r="BF164" s="25" t="str">
        <f>IF('1. Live'!BJ182='check-Jul''26'!BF182,"",'1. Live'!BJ182-'check-Jul''26'!BF182)</f>
        <v/>
      </c>
      <c r="BG164" s="25" t="str">
        <f>IF('1. Live'!BK182='check-Jul''26'!BG182,"",'1. Live'!BK182-'check-Jul''26'!BG182)</f>
        <v/>
      </c>
      <c r="BH164" s="25" t="str">
        <f>IF('1. Live'!BL182='check-Jul''26'!BH182,"",'1. Live'!BL182-'check-Jul''26'!BH182)</f>
        <v/>
      </c>
      <c r="BI164" s="25" t="str">
        <f>IF('1. Live'!BM182='check-Jul''26'!BI182,"",'1. Live'!BM182-'check-Jul''26'!BI182)</f>
        <v/>
      </c>
      <c r="BJ164" s="25" t="str">
        <f>IF('1. Live'!BN182='check-Jul''26'!BJ182,"",'1. Live'!BN182-'check-Jul''26'!BJ182)</f>
        <v/>
      </c>
      <c r="BK164" s="25" t="str">
        <f>IF('1. Live'!BO182='check-Jul''26'!BK182,"",'1. Live'!BO182-'check-Jul''26'!BK182)</f>
        <v/>
      </c>
      <c r="BL164" s="25" t="str">
        <f>IF('1. Live'!BP182='check-Jul''26'!BL182,"",'1. Live'!BP182-'check-Jul''26'!BL182)</f>
        <v/>
      </c>
      <c r="BM164" s="25" t="str">
        <f>IF('1. Live'!BQ182='check-Jul''26'!BM182,"",'1. Live'!BQ182-'check-Jul''26'!BM182)</f>
        <v/>
      </c>
      <c r="BN164" s="25" t="str">
        <f>IF('1. Live'!BR182='check-Jul''26'!BN182,"",'1. Live'!BR182-'check-Jul''26'!BN182)</f>
        <v/>
      </c>
      <c r="BO164" s="25" t="str">
        <f>IF('1. Live'!BS182='check-Jul''26'!BO182,"",'1. Live'!BS182-'check-Jul''26'!BO182)</f>
        <v/>
      </c>
      <c r="BP164" s="25" t="str">
        <f>IF('1. Live'!BT182='check-Jul''26'!BP182,"",'1. Live'!BT182-'check-Jul''26'!BP182)</f>
        <v/>
      </c>
      <c r="BQ164" s="25" t="str">
        <f>IF('1. Live'!BU182='check-Jul''26'!BQ182,"",'1. Live'!BU182-'check-Jul''26'!BQ182)</f>
        <v/>
      </c>
      <c r="BR164" s="25" t="str">
        <f>IF('1. Live'!BV182='check-Jul''26'!BR182,"",'1. Live'!BV182-'check-Jul''26'!BR182)</f>
        <v/>
      </c>
      <c r="BS164" s="25" t="str">
        <f>IF('1. Live'!BW182='check-Jul''26'!BS182,"",'1. Live'!BW182-'check-Jul''26'!BS182)</f>
        <v/>
      </c>
      <c r="BT164" s="25" t="str">
        <f>IF('1. Live'!BX182='check-Jul''26'!BT182,"",'1. Live'!BX182-'check-Jul''26'!BT182)</f>
        <v/>
      </c>
      <c r="BU164" s="25" t="str">
        <f>IF('1. Live'!BY182='check-Jul''26'!BU182,"",'1. Live'!BY182-'check-Jul''26'!BU182)</f>
        <v/>
      </c>
      <c r="BV164" s="25" t="str">
        <f>IF('1. Live'!BZ182='check-Jul''26'!BV182,"",'1. Live'!BZ182-'check-Jul''26'!BV182)</f>
        <v/>
      </c>
      <c r="BW164" s="25" t="str">
        <f>IF('1. Live'!CA182='check-Jul''26'!BW182,"",'1. Live'!CA182-'check-Jul''26'!BW182)</f>
        <v/>
      </c>
      <c r="BX164" s="25" t="str">
        <f>IF('1. Live'!CB182='check-Jul''26'!BX182,"",'1. Live'!CB182-'check-Jul''26'!BX182)</f>
        <v/>
      </c>
      <c r="BY164" s="25" t="str">
        <f>IF('1. Live'!CC182='check-Jul''26'!BY182,"",'1. Live'!CC182-'check-Jul''26'!BY182)</f>
        <v/>
      </c>
      <c r="BZ164" s="25" t="str">
        <f>IF('1. Live'!CD182='check-Jul''26'!BZ182,"",'1. Live'!CD182-'check-Jul''26'!BZ182)</f>
        <v/>
      </c>
      <c r="CA164" s="25" t="str">
        <f>IF('1. Live'!CE182='check-Jul''26'!CA182,"",'1. Live'!CE182-'check-Jul''26'!CA182)</f>
        <v/>
      </c>
      <c r="CB164" s="25" t="str">
        <f>IF('1. Live'!CF182='check-Jul''26'!CB182,"",'1. Live'!CF182-'check-Jul''26'!CB182)</f>
        <v/>
      </c>
      <c r="CC164" s="25" t="str">
        <f>IF('1. Live'!CG182='check-Jul''26'!CC182,"",'1. Live'!CG182-'check-Jul''26'!CC182)</f>
        <v/>
      </c>
      <c r="CD164" s="25" t="str">
        <f>IF('1. Live'!CH182='check-Jul''26'!CD182,"",'1. Live'!CH182-'check-Jul''26'!CD182)</f>
        <v/>
      </c>
      <c r="CE164" s="25" t="str">
        <f>IF('1. Live'!CI182='check-Jul''26'!CE182,"",'1. Live'!CI182-'check-Jul''26'!CE182)</f>
        <v/>
      </c>
      <c r="CF164" s="25" t="str">
        <f>IF('1. Live'!CJ182='check-Jul''26'!CF182,"",'1. Live'!CJ182-'check-Jul''26'!CF182)</f>
        <v/>
      </c>
      <c r="CG164" s="25" t="str">
        <f>IF('1. Live'!CK182='check-Jul''26'!CG182,"",'1. Live'!CK182-'check-Jul''26'!CG182)</f>
        <v/>
      </c>
      <c r="CH164" s="25" t="str">
        <f>IF('1. Live'!CL182='check-Jul''26'!CH182,"",'1. Live'!CL182-'check-Jul''26'!CH182)</f>
        <v/>
      </c>
      <c r="CI164" s="25" t="str">
        <f>IF('1. Live'!CM182='check-Jul''26'!CI182,"",'1. Live'!CM182-'check-Jul''26'!CI182)</f>
        <v/>
      </c>
      <c r="CJ164" s="25" t="str">
        <f>IF('1. Live'!CN182='check-Jul''26'!CJ182,"",'1. Live'!CN182-'check-Jul''26'!CJ182)</f>
        <v/>
      </c>
      <c r="CK164" s="25" t="str">
        <f>IF('1. Live'!CO182='check-Jul''26'!CK182,"",'1. Live'!CO182-'check-Jul''26'!CK182)</f>
        <v/>
      </c>
      <c r="CL164" s="25" t="str">
        <f>IF('1. Live'!CP182='check-Jul''26'!CL182,"",'1. Live'!CP182-'check-Jul''26'!CL182)</f>
        <v/>
      </c>
      <c r="CM164" s="25" t="str">
        <f>IF('1. Live'!CQ182='check-Jul''26'!CM182,"",'1. Live'!CQ182-'check-Jul''26'!CM182)</f>
        <v/>
      </c>
      <c r="CN164" s="25" t="str">
        <f>IF('1. Live'!CR182='check-Jul''26'!CN182,"",'1. Live'!CR182-'check-Jul''26'!CN182)</f>
        <v/>
      </c>
      <c r="CO164" s="25" t="str">
        <f>IF('1. Live'!CS182='check-Jul''26'!CO182,"",'1. Live'!CS182-'check-Jul''26'!CO182)</f>
        <v/>
      </c>
      <c r="CP164" s="25" t="str">
        <f>IF('1. Live'!CT182='check-Jul''26'!CP182,"",'1. Live'!CT182-'check-Jul''26'!CP182)</f>
        <v/>
      </c>
      <c r="CQ164" s="25" t="str">
        <f>IF('1. Live'!CU182='check-Jul''26'!CQ182,"",'1. Live'!CU182-'check-Jul''26'!CQ182)</f>
        <v/>
      </c>
      <c r="CR164" s="25" t="str">
        <f>IF('1. Live'!CV182='check-Jul''26'!CR182,"",'1. Live'!CV182-'check-Jul''26'!CR182)</f>
        <v/>
      </c>
      <c r="CS164" s="25" t="str">
        <f>IF('1. Live'!CW182='check-Jul''26'!CS182,"",'1. Live'!CW182-'check-Jul''26'!CS182)</f>
        <v/>
      </c>
      <c r="CT164" s="25" t="str">
        <f>IF('1. Live'!CX182='check-Jul''26'!CT182,"",'1. Live'!CX182-'check-Jul''26'!CT182)</f>
        <v/>
      </c>
      <c r="CU164" s="25" t="str">
        <f>IF('1. Live'!CY182='check-Jul''26'!CU182,"",'1. Live'!CY182-'check-Jul''26'!CU182)</f>
        <v/>
      </c>
      <c r="CV164" s="25" t="str">
        <f>IF('1. Live'!CZ182='check-Jul''26'!CV182,"",'1. Live'!CZ182-'check-Jul''26'!CV182)</f>
        <v/>
      </c>
    </row>
    <row r="165" spans="17:100" x14ac:dyDescent="0.25">
      <c r="Q165" s="26" t="str">
        <f>IF('1. Live'!N183='check-Jul''26'!I183,"",'1. Live'!N183-'check-Jul''26'!I183)</f>
        <v/>
      </c>
      <c r="R165" s="26" t="str">
        <f>IF('1. Live'!O183='check-Jul''26'!J183,"",'1. Live'!O183-'check-Jul''26'!J183)</f>
        <v/>
      </c>
      <c r="S165" s="26" t="str">
        <f>IF('1. Live'!P183='check-Jul''26'!K183,"",'1. Live'!P183-'check-Jul''26'!K183)</f>
        <v/>
      </c>
      <c r="T165" s="26" t="str">
        <f>IF('1. Live'!Q183='check-Jul''26'!L183,"",'1. Live'!Q183-'check-Jul''26'!L183)</f>
        <v/>
      </c>
      <c r="U165" s="80" t="str">
        <f>IF('1. Live'!R183='check-Jul''26'!M183,"",'1. Live'!R183-'check-Jul''26'!M183)</f>
        <v/>
      </c>
      <c r="V165" s="26" t="str">
        <f>IF('1. Live'!S183='check-Jul''26'!N183,"",'1. Live'!S183-'check-Jul''26'!N183)</f>
        <v/>
      </c>
      <c r="W165" s="25" t="str">
        <f>IF('1. Live'!T183='check-Jul''26'!O183,"",'1. Live'!T183-'check-Jul''26'!O183)</f>
        <v/>
      </c>
      <c r="X165" s="25" t="str">
        <f>IF('1. Live'!U183='check-Jul''26'!Q183,"",'1. Live'!U183-'check-Jul''26'!Q183)</f>
        <v/>
      </c>
      <c r="Y165" s="25" t="str">
        <f>IF('1. Live'!V183='check-Jul''26'!R183,"",'1. Live'!V183-'check-Jul''26'!R183)</f>
        <v/>
      </c>
      <c r="Z165" s="25" t="str">
        <f>IF('1. Live'!W183='check-Jul''26'!S183,"",'1. Live'!W183-'check-Jul''26'!S183)</f>
        <v/>
      </c>
      <c r="AA165" s="25" t="str">
        <f>IF('1. Live'!X183='check-Jul''26'!T183,"",'1. Live'!X183-'check-Jul''26'!T183)</f>
        <v/>
      </c>
      <c r="AB165" s="25" t="str">
        <f>IF('1. Live'!AF183='check-Jul''26'!AB183,"",'1. Live'!AF183-'check-Jul''26'!AB183)</f>
        <v/>
      </c>
      <c r="AC165" s="25" t="str">
        <f>IF('1. Live'!AG183='check-Jul''26'!AC183,"",'1. Live'!AG183-'check-Jul''26'!AC183)</f>
        <v/>
      </c>
      <c r="AD165" s="25" t="str">
        <f>IF('1. Live'!AH183='check-Jul''26'!AD183,"",'1. Live'!AH183-'check-Jul''26'!AD183)</f>
        <v/>
      </c>
      <c r="AE165" s="25" t="str">
        <f>IF('1. Live'!AI183='check-Jul''26'!AE183,"",'1. Live'!AI183-'check-Jul''26'!AE183)</f>
        <v/>
      </c>
      <c r="AF165" s="25" t="str">
        <f>IF('1. Live'!AJ183='check-Jul''26'!AF183,"",'1. Live'!AJ183-'check-Jul''26'!AF183)</f>
        <v/>
      </c>
      <c r="AG165" s="25" t="str">
        <f>IF('1. Live'!AK183='check-Jul''26'!AG183,"",'1. Live'!AK183-'check-Jul''26'!AG183)</f>
        <v/>
      </c>
      <c r="AH165" s="25" t="str">
        <f>IF('1. Live'!AL183='check-Jul''26'!AH183,"",'1. Live'!AL183-'check-Jul''26'!AH183)</f>
        <v/>
      </c>
      <c r="AI165" s="25" t="str">
        <f>IF('1. Live'!AM183='check-Jul''26'!AI183,"",'1. Live'!AM183-'check-Jul''26'!AI183)</f>
        <v/>
      </c>
      <c r="AJ165" s="25" t="str">
        <f>IF('1. Live'!AN183='check-Jul''26'!AJ183,"",'1. Live'!AN183-'check-Jul''26'!AJ183)</f>
        <v/>
      </c>
      <c r="AK165" s="25" t="str">
        <f>IF('1. Live'!AO183='check-Jul''26'!AK183,"",'1. Live'!AO183-'check-Jul''26'!AK183)</f>
        <v/>
      </c>
      <c r="AL165" s="25" t="str">
        <f>IF('1. Live'!AP183='check-Jul''26'!AL183,"",'1. Live'!AP183-'check-Jul''26'!AL183)</f>
        <v/>
      </c>
      <c r="AM165" s="25" t="str">
        <f>IF('1. Live'!AQ183='check-Jul''26'!AM183,"",'1. Live'!AQ183-'check-Jul''26'!AM183)</f>
        <v/>
      </c>
      <c r="AN165" s="25" t="str">
        <f>IF('1. Live'!AR183='check-Jul''26'!AN183,"",'1. Live'!AR183-'check-Jul''26'!AN183)</f>
        <v/>
      </c>
      <c r="AO165" s="25" t="str">
        <f>IF('1. Live'!AS183='check-Jul''26'!AO183,"",'1. Live'!AS183-'check-Jul''26'!AO183)</f>
        <v/>
      </c>
      <c r="AP165" s="25" t="str">
        <f>IF('1. Live'!AT183='check-Jul''26'!AP183,"",'1. Live'!AT183-'check-Jul''26'!AP183)</f>
        <v/>
      </c>
      <c r="AQ165" s="25" t="str">
        <f>IF('1. Live'!AU183='check-Jul''26'!AQ183,"",'1. Live'!AU183-'check-Jul''26'!AQ183)</f>
        <v/>
      </c>
      <c r="AR165" s="25" t="str">
        <f>IF('1. Live'!AV183='check-Jul''26'!AR183,"",'1. Live'!AV183-'check-Jul''26'!AR183)</f>
        <v/>
      </c>
      <c r="AS165" s="25" t="str">
        <f>IF('1. Live'!AW183='check-Jul''26'!AS183,"",'1. Live'!AW183-'check-Jul''26'!AS183)</f>
        <v/>
      </c>
      <c r="AT165" s="25" t="str">
        <f>IF('1. Live'!AX183='check-Jul''26'!AT183,"",'1. Live'!AX183-'check-Jul''26'!AT183)</f>
        <v/>
      </c>
      <c r="AU165" s="25" t="str">
        <f>IF('1. Live'!AY183='check-Jul''26'!AU183,"",'1. Live'!AY183-'check-Jul''26'!AU183)</f>
        <v/>
      </c>
      <c r="AV165" s="25" t="str">
        <f>IF('1. Live'!AZ183='check-Jul''26'!AV183,"",'1. Live'!AZ183-'check-Jul''26'!AV183)</f>
        <v/>
      </c>
      <c r="AW165" s="25" t="str">
        <f>IF('1. Live'!BA183='check-Jul''26'!AW183,"",'1. Live'!BA183-'check-Jul''26'!AW183)</f>
        <v/>
      </c>
      <c r="AX165" s="25" t="str">
        <f>IF('1. Live'!BB183='check-Jul''26'!AX183,"",'1. Live'!BB183-'check-Jul''26'!AX183)</f>
        <v/>
      </c>
      <c r="AY165" s="25" t="str">
        <f>IF('1. Live'!BC183='check-Jul''26'!AY183,"",'1. Live'!BC183-'check-Jul''26'!AY183)</f>
        <v/>
      </c>
      <c r="AZ165" s="25" t="str">
        <f>IF('1. Live'!BD183='check-Jul''26'!AZ183,"",'1. Live'!BD183-'check-Jul''26'!AZ183)</f>
        <v/>
      </c>
      <c r="BA165" s="25" t="str">
        <f>IF('1. Live'!BE183='check-Jul''26'!BA183,"",'1. Live'!BE183-'check-Jul''26'!BA183)</f>
        <v/>
      </c>
      <c r="BB165" s="25" t="str">
        <f>IF('1. Live'!BF183='check-Jul''26'!BB183,"",'1. Live'!BF183-'check-Jul''26'!BB183)</f>
        <v/>
      </c>
      <c r="BC165" s="25" t="str">
        <f>IF('1. Live'!BG183='check-Jul''26'!BC183,"",'1. Live'!BG183-'check-Jul''26'!BC183)</f>
        <v/>
      </c>
      <c r="BD165" s="25" t="str">
        <f>IF('1. Live'!BH183='check-Jul''26'!BD183,"",'1. Live'!BH183-'check-Jul''26'!BD183)</f>
        <v/>
      </c>
      <c r="BE165" s="25" t="str">
        <f>IF('1. Live'!BI183='check-Jul''26'!BE183,"",'1. Live'!BI183-'check-Jul''26'!BE183)</f>
        <v/>
      </c>
      <c r="BF165" s="25" t="str">
        <f>IF('1. Live'!BJ183='check-Jul''26'!BF183,"",'1. Live'!BJ183-'check-Jul''26'!BF183)</f>
        <v/>
      </c>
      <c r="BG165" s="25" t="str">
        <f>IF('1. Live'!BK183='check-Jul''26'!BG183,"",'1. Live'!BK183-'check-Jul''26'!BG183)</f>
        <v/>
      </c>
      <c r="BH165" s="25" t="str">
        <f>IF('1. Live'!BL183='check-Jul''26'!BH183,"",'1. Live'!BL183-'check-Jul''26'!BH183)</f>
        <v/>
      </c>
      <c r="BI165" s="25" t="str">
        <f>IF('1. Live'!BM183='check-Jul''26'!BI183,"",'1. Live'!BM183-'check-Jul''26'!BI183)</f>
        <v/>
      </c>
      <c r="BJ165" s="25" t="str">
        <f>IF('1. Live'!BN183='check-Jul''26'!BJ183,"",'1. Live'!BN183-'check-Jul''26'!BJ183)</f>
        <v/>
      </c>
      <c r="BK165" s="25" t="str">
        <f>IF('1. Live'!BO183='check-Jul''26'!BK183,"",'1. Live'!BO183-'check-Jul''26'!BK183)</f>
        <v/>
      </c>
      <c r="BL165" s="25" t="str">
        <f>IF('1. Live'!BP183='check-Jul''26'!BL183,"",'1. Live'!BP183-'check-Jul''26'!BL183)</f>
        <v/>
      </c>
      <c r="BM165" s="25" t="str">
        <f>IF('1. Live'!BQ183='check-Jul''26'!BM183,"",'1. Live'!BQ183-'check-Jul''26'!BM183)</f>
        <v/>
      </c>
      <c r="BN165" s="25" t="str">
        <f>IF('1. Live'!BR183='check-Jul''26'!BN183,"",'1. Live'!BR183-'check-Jul''26'!BN183)</f>
        <v/>
      </c>
      <c r="BO165" s="25" t="str">
        <f>IF('1. Live'!BS183='check-Jul''26'!BO183,"",'1. Live'!BS183-'check-Jul''26'!BO183)</f>
        <v/>
      </c>
      <c r="BP165" s="25" t="str">
        <f>IF('1. Live'!BT183='check-Jul''26'!BP183,"",'1. Live'!BT183-'check-Jul''26'!BP183)</f>
        <v/>
      </c>
      <c r="BQ165" s="25" t="str">
        <f>IF('1. Live'!BU183='check-Jul''26'!BQ183,"",'1. Live'!BU183-'check-Jul''26'!BQ183)</f>
        <v/>
      </c>
      <c r="BR165" s="25" t="str">
        <f>IF('1. Live'!BV183='check-Jul''26'!BR183,"",'1. Live'!BV183-'check-Jul''26'!BR183)</f>
        <v/>
      </c>
      <c r="BS165" s="25" t="str">
        <f>IF('1. Live'!BW183='check-Jul''26'!BS183,"",'1. Live'!BW183-'check-Jul''26'!BS183)</f>
        <v/>
      </c>
      <c r="BT165" s="25" t="str">
        <f>IF('1. Live'!BX183='check-Jul''26'!BT183,"",'1. Live'!BX183-'check-Jul''26'!BT183)</f>
        <v/>
      </c>
      <c r="BU165" s="25" t="str">
        <f>IF('1. Live'!BY183='check-Jul''26'!BU183,"",'1. Live'!BY183-'check-Jul''26'!BU183)</f>
        <v/>
      </c>
      <c r="BV165" s="25" t="str">
        <f>IF('1. Live'!BZ183='check-Jul''26'!BV183,"",'1. Live'!BZ183-'check-Jul''26'!BV183)</f>
        <v/>
      </c>
      <c r="BW165" s="25" t="str">
        <f>IF('1. Live'!CA183='check-Jul''26'!BW183,"",'1. Live'!CA183-'check-Jul''26'!BW183)</f>
        <v/>
      </c>
      <c r="BX165" s="25" t="str">
        <f>IF('1. Live'!CB183='check-Jul''26'!BX183,"",'1. Live'!CB183-'check-Jul''26'!BX183)</f>
        <v/>
      </c>
      <c r="BY165" s="25" t="str">
        <f>IF('1. Live'!CC183='check-Jul''26'!BY183,"",'1. Live'!CC183-'check-Jul''26'!BY183)</f>
        <v/>
      </c>
      <c r="BZ165" s="25" t="str">
        <f>IF('1. Live'!CD183='check-Jul''26'!BZ183,"",'1. Live'!CD183-'check-Jul''26'!BZ183)</f>
        <v/>
      </c>
      <c r="CA165" s="25" t="str">
        <f>IF('1. Live'!CE183='check-Jul''26'!CA183,"",'1. Live'!CE183-'check-Jul''26'!CA183)</f>
        <v/>
      </c>
      <c r="CB165" s="25" t="str">
        <f>IF('1. Live'!CF183='check-Jul''26'!CB183,"",'1. Live'!CF183-'check-Jul''26'!CB183)</f>
        <v/>
      </c>
      <c r="CC165" s="25" t="str">
        <f>IF('1. Live'!CG183='check-Jul''26'!CC183,"",'1. Live'!CG183-'check-Jul''26'!CC183)</f>
        <v/>
      </c>
      <c r="CD165" s="25" t="str">
        <f>IF('1. Live'!CH183='check-Jul''26'!CD183,"",'1. Live'!CH183-'check-Jul''26'!CD183)</f>
        <v/>
      </c>
      <c r="CE165" s="25" t="str">
        <f>IF('1. Live'!CI183='check-Jul''26'!CE183,"",'1. Live'!CI183-'check-Jul''26'!CE183)</f>
        <v/>
      </c>
      <c r="CF165" s="25" t="str">
        <f>IF('1. Live'!CJ183='check-Jul''26'!CF183,"",'1. Live'!CJ183-'check-Jul''26'!CF183)</f>
        <v/>
      </c>
      <c r="CG165" s="25" t="str">
        <f>IF('1. Live'!CK183='check-Jul''26'!CG183,"",'1. Live'!CK183-'check-Jul''26'!CG183)</f>
        <v/>
      </c>
      <c r="CH165" s="25" t="str">
        <f>IF('1. Live'!CL183='check-Jul''26'!CH183,"",'1. Live'!CL183-'check-Jul''26'!CH183)</f>
        <v/>
      </c>
      <c r="CI165" s="25" t="str">
        <f>IF('1. Live'!CM183='check-Jul''26'!CI183,"",'1. Live'!CM183-'check-Jul''26'!CI183)</f>
        <v/>
      </c>
      <c r="CJ165" s="25" t="str">
        <f>IF('1. Live'!CN183='check-Jul''26'!CJ183,"",'1. Live'!CN183-'check-Jul''26'!CJ183)</f>
        <v/>
      </c>
      <c r="CK165" s="25" t="str">
        <f>IF('1. Live'!CO183='check-Jul''26'!CK183,"",'1. Live'!CO183-'check-Jul''26'!CK183)</f>
        <v/>
      </c>
      <c r="CL165" s="25" t="str">
        <f>IF('1. Live'!CP183='check-Jul''26'!CL183,"",'1. Live'!CP183-'check-Jul''26'!CL183)</f>
        <v/>
      </c>
      <c r="CM165" s="25" t="str">
        <f>IF('1. Live'!CQ183='check-Jul''26'!CM183,"",'1. Live'!CQ183-'check-Jul''26'!CM183)</f>
        <v/>
      </c>
      <c r="CN165" s="25" t="str">
        <f>IF('1. Live'!CR183='check-Jul''26'!CN183,"",'1. Live'!CR183-'check-Jul''26'!CN183)</f>
        <v/>
      </c>
      <c r="CO165" s="25" t="str">
        <f>IF('1. Live'!CS183='check-Jul''26'!CO183,"",'1. Live'!CS183-'check-Jul''26'!CO183)</f>
        <v/>
      </c>
      <c r="CP165" s="25" t="str">
        <f>IF('1. Live'!CT183='check-Jul''26'!CP183,"",'1. Live'!CT183-'check-Jul''26'!CP183)</f>
        <v/>
      </c>
      <c r="CQ165" s="25" t="str">
        <f>IF('1. Live'!CU183='check-Jul''26'!CQ183,"",'1. Live'!CU183-'check-Jul''26'!CQ183)</f>
        <v/>
      </c>
      <c r="CR165" s="25" t="str">
        <f>IF('1. Live'!CV183='check-Jul''26'!CR183,"",'1. Live'!CV183-'check-Jul''26'!CR183)</f>
        <v/>
      </c>
      <c r="CS165" s="25" t="str">
        <f>IF('1. Live'!CW183='check-Jul''26'!CS183,"",'1. Live'!CW183-'check-Jul''26'!CS183)</f>
        <v/>
      </c>
      <c r="CT165" s="25" t="str">
        <f>IF('1. Live'!CX183='check-Jul''26'!CT183,"",'1. Live'!CX183-'check-Jul''26'!CT183)</f>
        <v/>
      </c>
      <c r="CU165" s="25" t="str">
        <f>IF('1. Live'!CY183='check-Jul''26'!CU183,"",'1. Live'!CY183-'check-Jul''26'!CU183)</f>
        <v/>
      </c>
      <c r="CV165" s="25" t="str">
        <f>IF('1. Live'!CZ183='check-Jul''26'!CV183,"",'1. Live'!CZ183-'check-Jul''26'!CV183)</f>
        <v/>
      </c>
    </row>
    <row r="166" spans="17:100" x14ac:dyDescent="0.25">
      <c r="Q166" s="26" t="str">
        <f>IF('1. Live'!N184='check-Jul''26'!I184,"",'1. Live'!N184-'check-Jul''26'!I184)</f>
        <v/>
      </c>
      <c r="R166" s="26" t="str">
        <f>IF('1. Live'!O184='check-Jul''26'!J184,"",'1. Live'!O184-'check-Jul''26'!J184)</f>
        <v/>
      </c>
      <c r="S166" s="26" t="str">
        <f>IF('1. Live'!P184='check-Jul''26'!K184,"",'1. Live'!P184-'check-Jul''26'!K184)</f>
        <v/>
      </c>
      <c r="T166" s="26" t="str">
        <f>IF('1. Live'!Q184='check-Jul''26'!L184,"",'1. Live'!Q184-'check-Jul''26'!L184)</f>
        <v/>
      </c>
      <c r="U166" s="80" t="str">
        <f>IF('1. Live'!R184='check-Jul''26'!M184,"",'1. Live'!R184-'check-Jul''26'!M184)</f>
        <v/>
      </c>
      <c r="V166" s="26" t="str">
        <f>IF('1. Live'!S184='check-Jul''26'!N184,"",'1. Live'!S184-'check-Jul''26'!N184)</f>
        <v/>
      </c>
      <c r="W166" s="25" t="str">
        <f>IF('1. Live'!T184='check-Jul''26'!O184,"",'1. Live'!T184-'check-Jul''26'!O184)</f>
        <v/>
      </c>
      <c r="X166" s="25" t="str">
        <f>IF('1. Live'!U184='check-Jul''26'!Q184,"",'1. Live'!U184-'check-Jul''26'!Q184)</f>
        <v/>
      </c>
      <c r="Y166" s="25" t="str">
        <f>IF('1. Live'!V184='check-Jul''26'!R184,"",'1. Live'!V184-'check-Jul''26'!R184)</f>
        <v/>
      </c>
      <c r="Z166" s="25" t="str">
        <f>IF('1. Live'!W184='check-Jul''26'!S184,"",'1. Live'!W184-'check-Jul''26'!S184)</f>
        <v/>
      </c>
      <c r="AA166" s="25" t="str">
        <f>IF('1. Live'!X184='check-Jul''26'!T184,"",'1. Live'!X184-'check-Jul''26'!T184)</f>
        <v/>
      </c>
      <c r="AB166" s="25" t="str">
        <f>IF('1. Live'!AF184='check-Jul''26'!AB184,"",'1. Live'!AF184-'check-Jul''26'!AB184)</f>
        <v/>
      </c>
      <c r="AC166" s="25" t="str">
        <f>IF('1. Live'!AG184='check-Jul''26'!AC184,"",'1. Live'!AG184-'check-Jul''26'!AC184)</f>
        <v/>
      </c>
      <c r="AD166" s="25" t="str">
        <f>IF('1. Live'!AH184='check-Jul''26'!AD184,"",'1. Live'!AH184-'check-Jul''26'!AD184)</f>
        <v/>
      </c>
      <c r="AE166" s="25" t="str">
        <f>IF('1. Live'!AI184='check-Jul''26'!AE184,"",'1. Live'!AI184-'check-Jul''26'!AE184)</f>
        <v/>
      </c>
      <c r="AF166" s="25" t="str">
        <f>IF('1. Live'!AJ184='check-Jul''26'!AF184,"",'1. Live'!AJ184-'check-Jul''26'!AF184)</f>
        <v/>
      </c>
      <c r="AG166" s="25" t="str">
        <f>IF('1. Live'!AK184='check-Jul''26'!AG184,"",'1. Live'!AK184-'check-Jul''26'!AG184)</f>
        <v/>
      </c>
      <c r="AH166" s="25" t="str">
        <f>IF('1. Live'!AL184='check-Jul''26'!AH184,"",'1. Live'!AL184-'check-Jul''26'!AH184)</f>
        <v/>
      </c>
      <c r="AI166" s="25" t="str">
        <f>IF('1. Live'!AM184='check-Jul''26'!AI184,"",'1. Live'!AM184-'check-Jul''26'!AI184)</f>
        <v/>
      </c>
      <c r="AJ166" s="25" t="str">
        <f>IF('1. Live'!AN184='check-Jul''26'!AJ184,"",'1. Live'!AN184-'check-Jul''26'!AJ184)</f>
        <v/>
      </c>
      <c r="AK166" s="25" t="str">
        <f>IF('1. Live'!AO184='check-Jul''26'!AK184,"",'1. Live'!AO184-'check-Jul''26'!AK184)</f>
        <v/>
      </c>
      <c r="AL166" s="25" t="str">
        <f>IF('1. Live'!AP184='check-Jul''26'!AL184,"",'1. Live'!AP184-'check-Jul''26'!AL184)</f>
        <v/>
      </c>
      <c r="AM166" s="25" t="str">
        <f>IF('1. Live'!AQ184='check-Jul''26'!AM184,"",'1. Live'!AQ184-'check-Jul''26'!AM184)</f>
        <v/>
      </c>
      <c r="AN166" s="25" t="str">
        <f>IF('1. Live'!AR184='check-Jul''26'!AN184,"",'1. Live'!AR184-'check-Jul''26'!AN184)</f>
        <v/>
      </c>
      <c r="AO166" s="25" t="str">
        <f>IF('1. Live'!AS184='check-Jul''26'!AO184,"",'1. Live'!AS184-'check-Jul''26'!AO184)</f>
        <v/>
      </c>
      <c r="AP166" s="25" t="str">
        <f>IF('1. Live'!AT184='check-Jul''26'!AP184,"",'1. Live'!AT184-'check-Jul''26'!AP184)</f>
        <v/>
      </c>
      <c r="AQ166" s="25" t="str">
        <f>IF('1. Live'!AU184='check-Jul''26'!AQ184,"",'1. Live'!AU184-'check-Jul''26'!AQ184)</f>
        <v/>
      </c>
      <c r="AR166" s="25" t="str">
        <f>IF('1. Live'!AV184='check-Jul''26'!AR184,"",'1. Live'!AV184-'check-Jul''26'!AR184)</f>
        <v/>
      </c>
      <c r="AS166" s="25" t="str">
        <f>IF('1. Live'!AW184='check-Jul''26'!AS184,"",'1. Live'!AW184-'check-Jul''26'!AS184)</f>
        <v/>
      </c>
      <c r="AT166" s="25" t="str">
        <f>IF('1. Live'!AX184='check-Jul''26'!AT184,"",'1. Live'!AX184-'check-Jul''26'!AT184)</f>
        <v/>
      </c>
      <c r="AU166" s="25" t="str">
        <f>IF('1. Live'!AY184='check-Jul''26'!AU184,"",'1. Live'!AY184-'check-Jul''26'!AU184)</f>
        <v/>
      </c>
      <c r="AV166" s="25" t="str">
        <f>IF('1. Live'!AZ184='check-Jul''26'!AV184,"",'1. Live'!AZ184-'check-Jul''26'!AV184)</f>
        <v/>
      </c>
      <c r="AW166" s="25" t="str">
        <f>IF('1. Live'!BA184='check-Jul''26'!AW184,"",'1. Live'!BA184-'check-Jul''26'!AW184)</f>
        <v/>
      </c>
      <c r="AX166" s="25" t="str">
        <f>IF('1. Live'!BB184='check-Jul''26'!AX184,"",'1. Live'!BB184-'check-Jul''26'!AX184)</f>
        <v/>
      </c>
      <c r="AY166" s="25" t="str">
        <f>IF('1. Live'!BC184='check-Jul''26'!AY184,"",'1. Live'!BC184-'check-Jul''26'!AY184)</f>
        <v/>
      </c>
      <c r="AZ166" s="25" t="str">
        <f>IF('1. Live'!BD184='check-Jul''26'!AZ184,"",'1. Live'!BD184-'check-Jul''26'!AZ184)</f>
        <v/>
      </c>
      <c r="BA166" s="25" t="str">
        <f>IF('1. Live'!BE184='check-Jul''26'!BA184,"",'1. Live'!BE184-'check-Jul''26'!BA184)</f>
        <v/>
      </c>
      <c r="BB166" s="25" t="str">
        <f>IF('1. Live'!BF184='check-Jul''26'!BB184,"",'1. Live'!BF184-'check-Jul''26'!BB184)</f>
        <v/>
      </c>
      <c r="BC166" s="25" t="str">
        <f>IF('1. Live'!BG184='check-Jul''26'!BC184,"",'1. Live'!BG184-'check-Jul''26'!BC184)</f>
        <v/>
      </c>
      <c r="BD166" s="25" t="str">
        <f>IF('1. Live'!BH184='check-Jul''26'!BD184,"",'1. Live'!BH184-'check-Jul''26'!BD184)</f>
        <v/>
      </c>
      <c r="BE166" s="25" t="str">
        <f>IF('1. Live'!BI184='check-Jul''26'!BE184,"",'1. Live'!BI184-'check-Jul''26'!BE184)</f>
        <v/>
      </c>
      <c r="BF166" s="25" t="str">
        <f>IF('1. Live'!BJ184='check-Jul''26'!BF184,"",'1. Live'!BJ184-'check-Jul''26'!BF184)</f>
        <v/>
      </c>
      <c r="BG166" s="25" t="str">
        <f>IF('1. Live'!BK184='check-Jul''26'!BG184,"",'1. Live'!BK184-'check-Jul''26'!BG184)</f>
        <v/>
      </c>
      <c r="BH166" s="25" t="str">
        <f>IF('1. Live'!BL184='check-Jul''26'!BH184,"",'1. Live'!BL184-'check-Jul''26'!BH184)</f>
        <v/>
      </c>
      <c r="BI166" s="25" t="str">
        <f>IF('1. Live'!BM184='check-Jul''26'!BI184,"",'1. Live'!BM184-'check-Jul''26'!BI184)</f>
        <v/>
      </c>
      <c r="BJ166" s="25" t="str">
        <f>IF('1. Live'!BN184='check-Jul''26'!BJ184,"",'1. Live'!BN184-'check-Jul''26'!BJ184)</f>
        <v/>
      </c>
      <c r="BK166" s="25" t="str">
        <f>IF('1. Live'!BO184='check-Jul''26'!BK184,"",'1. Live'!BO184-'check-Jul''26'!BK184)</f>
        <v/>
      </c>
      <c r="BL166" s="25" t="str">
        <f>IF('1. Live'!BP184='check-Jul''26'!BL184,"",'1. Live'!BP184-'check-Jul''26'!BL184)</f>
        <v/>
      </c>
      <c r="BM166" s="25" t="str">
        <f>IF('1. Live'!BQ184='check-Jul''26'!BM184,"",'1. Live'!BQ184-'check-Jul''26'!BM184)</f>
        <v/>
      </c>
      <c r="BN166" s="25" t="str">
        <f>IF('1. Live'!BR184='check-Jul''26'!BN184,"",'1. Live'!BR184-'check-Jul''26'!BN184)</f>
        <v/>
      </c>
      <c r="BO166" s="25" t="str">
        <f>IF('1. Live'!BS184='check-Jul''26'!BO184,"",'1. Live'!BS184-'check-Jul''26'!BO184)</f>
        <v/>
      </c>
      <c r="BP166" s="25" t="str">
        <f>IF('1. Live'!BT184='check-Jul''26'!BP184,"",'1. Live'!BT184-'check-Jul''26'!BP184)</f>
        <v/>
      </c>
      <c r="BQ166" s="25" t="str">
        <f>IF('1. Live'!BU184='check-Jul''26'!BQ184,"",'1. Live'!BU184-'check-Jul''26'!BQ184)</f>
        <v/>
      </c>
      <c r="BR166" s="25" t="str">
        <f>IF('1. Live'!BV184='check-Jul''26'!BR184,"",'1. Live'!BV184-'check-Jul''26'!BR184)</f>
        <v/>
      </c>
      <c r="BS166" s="25" t="str">
        <f>IF('1. Live'!BW184='check-Jul''26'!BS184,"",'1. Live'!BW184-'check-Jul''26'!BS184)</f>
        <v/>
      </c>
      <c r="BT166" s="25" t="str">
        <f>IF('1. Live'!BX184='check-Jul''26'!BT184,"",'1. Live'!BX184-'check-Jul''26'!BT184)</f>
        <v/>
      </c>
      <c r="BU166" s="25" t="str">
        <f>IF('1. Live'!BY184='check-Jul''26'!BU184,"",'1. Live'!BY184-'check-Jul''26'!BU184)</f>
        <v/>
      </c>
      <c r="BV166" s="25" t="str">
        <f>IF('1. Live'!BZ184='check-Jul''26'!BV184,"",'1. Live'!BZ184-'check-Jul''26'!BV184)</f>
        <v/>
      </c>
      <c r="BW166" s="25" t="str">
        <f>IF('1. Live'!CA184='check-Jul''26'!BW184,"",'1. Live'!CA184-'check-Jul''26'!BW184)</f>
        <v/>
      </c>
      <c r="BX166" s="25" t="str">
        <f>IF('1. Live'!CB184='check-Jul''26'!BX184,"",'1. Live'!CB184-'check-Jul''26'!BX184)</f>
        <v/>
      </c>
      <c r="BY166" s="25" t="str">
        <f>IF('1. Live'!CC184='check-Jul''26'!BY184,"",'1. Live'!CC184-'check-Jul''26'!BY184)</f>
        <v/>
      </c>
      <c r="BZ166" s="25" t="str">
        <f>IF('1. Live'!CD184='check-Jul''26'!BZ184,"",'1. Live'!CD184-'check-Jul''26'!BZ184)</f>
        <v/>
      </c>
      <c r="CA166" s="25" t="str">
        <f>IF('1. Live'!CE184='check-Jul''26'!CA184,"",'1. Live'!CE184-'check-Jul''26'!CA184)</f>
        <v/>
      </c>
      <c r="CB166" s="25" t="str">
        <f>IF('1. Live'!CF184='check-Jul''26'!CB184,"",'1. Live'!CF184-'check-Jul''26'!CB184)</f>
        <v/>
      </c>
      <c r="CC166" s="25" t="str">
        <f>IF('1. Live'!CG184='check-Jul''26'!CC184,"",'1. Live'!CG184-'check-Jul''26'!CC184)</f>
        <v/>
      </c>
      <c r="CD166" s="25" t="str">
        <f>IF('1. Live'!CH184='check-Jul''26'!CD184,"",'1. Live'!CH184-'check-Jul''26'!CD184)</f>
        <v/>
      </c>
      <c r="CE166" s="25" t="str">
        <f>IF('1. Live'!CI184='check-Jul''26'!CE184,"",'1. Live'!CI184-'check-Jul''26'!CE184)</f>
        <v/>
      </c>
      <c r="CF166" s="25" t="str">
        <f>IF('1. Live'!CJ184='check-Jul''26'!CF184,"",'1. Live'!CJ184-'check-Jul''26'!CF184)</f>
        <v/>
      </c>
      <c r="CG166" s="25" t="str">
        <f>IF('1. Live'!CK184='check-Jul''26'!CG184,"",'1. Live'!CK184-'check-Jul''26'!CG184)</f>
        <v/>
      </c>
      <c r="CH166" s="25" t="str">
        <f>IF('1. Live'!CL184='check-Jul''26'!CH184,"",'1. Live'!CL184-'check-Jul''26'!CH184)</f>
        <v/>
      </c>
      <c r="CI166" s="25" t="str">
        <f>IF('1. Live'!CM184='check-Jul''26'!CI184,"",'1. Live'!CM184-'check-Jul''26'!CI184)</f>
        <v/>
      </c>
      <c r="CJ166" s="25" t="str">
        <f>IF('1. Live'!CN184='check-Jul''26'!CJ184,"",'1. Live'!CN184-'check-Jul''26'!CJ184)</f>
        <v/>
      </c>
      <c r="CK166" s="25" t="str">
        <f>IF('1. Live'!CO184='check-Jul''26'!CK184,"",'1. Live'!CO184-'check-Jul''26'!CK184)</f>
        <v/>
      </c>
      <c r="CL166" s="25" t="str">
        <f>IF('1. Live'!CP184='check-Jul''26'!CL184,"",'1. Live'!CP184-'check-Jul''26'!CL184)</f>
        <v/>
      </c>
      <c r="CM166" s="25" t="str">
        <f>IF('1. Live'!CQ184='check-Jul''26'!CM184,"",'1. Live'!CQ184-'check-Jul''26'!CM184)</f>
        <v/>
      </c>
      <c r="CN166" s="25" t="str">
        <f>IF('1. Live'!CR184='check-Jul''26'!CN184,"",'1. Live'!CR184-'check-Jul''26'!CN184)</f>
        <v/>
      </c>
      <c r="CO166" s="25" t="str">
        <f>IF('1. Live'!CS184='check-Jul''26'!CO184,"",'1. Live'!CS184-'check-Jul''26'!CO184)</f>
        <v/>
      </c>
      <c r="CP166" s="25" t="str">
        <f>IF('1. Live'!CT184='check-Jul''26'!CP184,"",'1. Live'!CT184-'check-Jul''26'!CP184)</f>
        <v/>
      </c>
      <c r="CQ166" s="25" t="str">
        <f>IF('1. Live'!CU184='check-Jul''26'!CQ184,"",'1. Live'!CU184-'check-Jul''26'!CQ184)</f>
        <v/>
      </c>
      <c r="CR166" s="25" t="str">
        <f>IF('1. Live'!CV184='check-Jul''26'!CR184,"",'1. Live'!CV184-'check-Jul''26'!CR184)</f>
        <v/>
      </c>
      <c r="CS166" s="25" t="str">
        <f>IF('1. Live'!CW184='check-Jul''26'!CS184,"",'1. Live'!CW184-'check-Jul''26'!CS184)</f>
        <v/>
      </c>
      <c r="CT166" s="25" t="str">
        <f>IF('1. Live'!CX184='check-Jul''26'!CT184,"",'1. Live'!CX184-'check-Jul''26'!CT184)</f>
        <v/>
      </c>
      <c r="CU166" s="25" t="str">
        <f>IF('1. Live'!CY184='check-Jul''26'!CU184,"",'1. Live'!CY184-'check-Jul''26'!CU184)</f>
        <v/>
      </c>
      <c r="CV166" s="25" t="str">
        <f>IF('1. Live'!CZ184='check-Jul''26'!CV184,"",'1. Live'!CZ184-'check-Jul''26'!CV184)</f>
        <v/>
      </c>
    </row>
    <row r="167" spans="17:100" x14ac:dyDescent="0.25">
      <c r="Q167" s="26" t="str">
        <f>IF('1. Live'!N185='check-Jul''26'!I185,"",'1. Live'!N185-'check-Jul''26'!I185)</f>
        <v/>
      </c>
      <c r="R167" s="26" t="str">
        <f>IF('1. Live'!O185='check-Jul''26'!J185,"",'1. Live'!O185-'check-Jul''26'!J185)</f>
        <v/>
      </c>
      <c r="S167" s="26" t="str">
        <f>IF('1. Live'!P185='check-Jul''26'!K185,"",'1. Live'!P185-'check-Jul''26'!K185)</f>
        <v/>
      </c>
      <c r="T167" s="26" t="str">
        <f>IF('1. Live'!Q185='check-Jul''26'!L185,"",'1. Live'!Q185-'check-Jul''26'!L185)</f>
        <v/>
      </c>
      <c r="U167" s="80" t="str">
        <f>IF('1. Live'!R185='check-Jul''26'!M185,"",'1. Live'!R185-'check-Jul''26'!M185)</f>
        <v/>
      </c>
      <c r="V167" s="26" t="str">
        <f>IF('1. Live'!S185='check-Jul''26'!N185,"",'1. Live'!S185-'check-Jul''26'!N185)</f>
        <v/>
      </c>
      <c r="W167" s="25" t="str">
        <f>IF('1. Live'!T185='check-Jul''26'!O185,"",'1. Live'!T185-'check-Jul''26'!O185)</f>
        <v/>
      </c>
      <c r="X167" s="25" t="str">
        <f>IF('1. Live'!U185='check-Jul''26'!Q185,"",'1. Live'!U185-'check-Jul''26'!Q185)</f>
        <v/>
      </c>
      <c r="Y167" s="25" t="str">
        <f>IF('1. Live'!V185='check-Jul''26'!R185,"",'1. Live'!V185-'check-Jul''26'!R185)</f>
        <v/>
      </c>
      <c r="Z167" s="25" t="str">
        <f>IF('1. Live'!W185='check-Jul''26'!S185,"",'1. Live'!W185-'check-Jul''26'!S185)</f>
        <v/>
      </c>
      <c r="AA167" s="25" t="str">
        <f>IF('1. Live'!X185='check-Jul''26'!T185,"",'1. Live'!X185-'check-Jul''26'!T185)</f>
        <v/>
      </c>
      <c r="AB167" s="25" t="str">
        <f>IF('1. Live'!AF185='check-Jul''26'!AB185,"",'1. Live'!AF185-'check-Jul''26'!AB185)</f>
        <v/>
      </c>
      <c r="AC167" s="25" t="str">
        <f>IF('1. Live'!AG185='check-Jul''26'!AC185,"",'1. Live'!AG185-'check-Jul''26'!AC185)</f>
        <v/>
      </c>
      <c r="AD167" s="25" t="str">
        <f>IF('1. Live'!AH185='check-Jul''26'!AD185,"",'1. Live'!AH185-'check-Jul''26'!AD185)</f>
        <v/>
      </c>
      <c r="AE167" s="25" t="str">
        <f>IF('1. Live'!AI185='check-Jul''26'!AE185,"",'1. Live'!AI185-'check-Jul''26'!AE185)</f>
        <v/>
      </c>
      <c r="AF167" s="25" t="str">
        <f>IF('1. Live'!AJ185='check-Jul''26'!AF185,"",'1. Live'!AJ185-'check-Jul''26'!AF185)</f>
        <v/>
      </c>
      <c r="AG167" s="25" t="str">
        <f>IF('1. Live'!AK185='check-Jul''26'!AG185,"",'1. Live'!AK185-'check-Jul''26'!AG185)</f>
        <v/>
      </c>
      <c r="AH167" s="25" t="str">
        <f>IF('1. Live'!AL185='check-Jul''26'!AH185,"",'1. Live'!AL185-'check-Jul''26'!AH185)</f>
        <v/>
      </c>
      <c r="AI167" s="25" t="str">
        <f>IF('1. Live'!AM185='check-Jul''26'!AI185,"",'1. Live'!AM185-'check-Jul''26'!AI185)</f>
        <v/>
      </c>
      <c r="AJ167" s="25" t="str">
        <f>IF('1. Live'!AN185='check-Jul''26'!AJ185,"",'1. Live'!AN185-'check-Jul''26'!AJ185)</f>
        <v/>
      </c>
      <c r="AK167" s="25" t="str">
        <f>IF('1. Live'!AO185='check-Jul''26'!AK185,"",'1. Live'!AO185-'check-Jul''26'!AK185)</f>
        <v/>
      </c>
      <c r="AL167" s="25" t="str">
        <f>IF('1. Live'!AP185='check-Jul''26'!AL185,"",'1. Live'!AP185-'check-Jul''26'!AL185)</f>
        <v/>
      </c>
      <c r="AM167" s="25" t="str">
        <f>IF('1. Live'!AQ185='check-Jul''26'!AM185,"",'1. Live'!AQ185-'check-Jul''26'!AM185)</f>
        <v/>
      </c>
      <c r="AN167" s="25" t="str">
        <f>IF('1. Live'!AR185='check-Jul''26'!AN185,"",'1. Live'!AR185-'check-Jul''26'!AN185)</f>
        <v/>
      </c>
      <c r="AO167" s="25" t="str">
        <f>IF('1. Live'!AS185='check-Jul''26'!AO185,"",'1. Live'!AS185-'check-Jul''26'!AO185)</f>
        <v/>
      </c>
      <c r="AP167" s="25" t="str">
        <f>IF('1. Live'!AT185='check-Jul''26'!AP185,"",'1. Live'!AT185-'check-Jul''26'!AP185)</f>
        <v/>
      </c>
      <c r="AQ167" s="25" t="str">
        <f>IF('1. Live'!AU185='check-Jul''26'!AQ185,"",'1. Live'!AU185-'check-Jul''26'!AQ185)</f>
        <v/>
      </c>
      <c r="AR167" s="25" t="str">
        <f>IF('1. Live'!AV185='check-Jul''26'!AR185,"",'1. Live'!AV185-'check-Jul''26'!AR185)</f>
        <v/>
      </c>
      <c r="AS167" s="25" t="str">
        <f>IF('1. Live'!AW185='check-Jul''26'!AS185,"",'1. Live'!AW185-'check-Jul''26'!AS185)</f>
        <v/>
      </c>
      <c r="AT167" s="25" t="str">
        <f>IF('1. Live'!AX185='check-Jul''26'!AT185,"",'1. Live'!AX185-'check-Jul''26'!AT185)</f>
        <v/>
      </c>
      <c r="AU167" s="25" t="str">
        <f>IF('1. Live'!AY185='check-Jul''26'!AU185,"",'1. Live'!AY185-'check-Jul''26'!AU185)</f>
        <v/>
      </c>
      <c r="AV167" s="25" t="str">
        <f>IF('1. Live'!AZ185='check-Jul''26'!AV185,"",'1. Live'!AZ185-'check-Jul''26'!AV185)</f>
        <v/>
      </c>
      <c r="AW167" s="25" t="str">
        <f>IF('1. Live'!BA185='check-Jul''26'!AW185,"",'1. Live'!BA185-'check-Jul''26'!AW185)</f>
        <v/>
      </c>
      <c r="AX167" s="25" t="str">
        <f>IF('1. Live'!BB185='check-Jul''26'!AX185,"",'1. Live'!BB185-'check-Jul''26'!AX185)</f>
        <v/>
      </c>
      <c r="AY167" s="25" t="str">
        <f>IF('1. Live'!BC185='check-Jul''26'!AY185,"",'1. Live'!BC185-'check-Jul''26'!AY185)</f>
        <v/>
      </c>
      <c r="AZ167" s="25" t="str">
        <f>IF('1. Live'!BD185='check-Jul''26'!AZ185,"",'1. Live'!BD185-'check-Jul''26'!AZ185)</f>
        <v/>
      </c>
      <c r="BA167" s="25" t="str">
        <f>IF('1. Live'!BE185='check-Jul''26'!BA185,"",'1. Live'!BE185-'check-Jul''26'!BA185)</f>
        <v/>
      </c>
      <c r="BB167" s="25" t="str">
        <f>IF('1. Live'!BF185='check-Jul''26'!BB185,"",'1. Live'!BF185-'check-Jul''26'!BB185)</f>
        <v/>
      </c>
      <c r="BC167" s="25" t="str">
        <f>IF('1. Live'!BG185='check-Jul''26'!BC185,"",'1. Live'!BG185-'check-Jul''26'!BC185)</f>
        <v/>
      </c>
      <c r="BD167" s="25" t="str">
        <f>IF('1. Live'!BH185='check-Jul''26'!BD185,"",'1. Live'!BH185-'check-Jul''26'!BD185)</f>
        <v/>
      </c>
      <c r="BE167" s="25" t="str">
        <f>IF('1. Live'!BI185='check-Jul''26'!BE185,"",'1. Live'!BI185-'check-Jul''26'!BE185)</f>
        <v/>
      </c>
      <c r="BF167" s="25" t="str">
        <f>IF('1. Live'!BJ185='check-Jul''26'!BF185,"",'1. Live'!BJ185-'check-Jul''26'!BF185)</f>
        <v/>
      </c>
      <c r="BG167" s="25" t="str">
        <f>IF('1. Live'!BK185='check-Jul''26'!BG185,"",'1. Live'!BK185-'check-Jul''26'!BG185)</f>
        <v/>
      </c>
      <c r="BH167" s="25" t="str">
        <f>IF('1. Live'!BL185='check-Jul''26'!BH185,"",'1. Live'!BL185-'check-Jul''26'!BH185)</f>
        <v/>
      </c>
      <c r="BI167" s="25" t="str">
        <f>IF('1. Live'!BM185='check-Jul''26'!BI185,"",'1. Live'!BM185-'check-Jul''26'!BI185)</f>
        <v/>
      </c>
      <c r="BJ167" s="25" t="str">
        <f>IF('1. Live'!BN185='check-Jul''26'!BJ185,"",'1. Live'!BN185-'check-Jul''26'!BJ185)</f>
        <v/>
      </c>
      <c r="BK167" s="25" t="str">
        <f>IF('1. Live'!BO185='check-Jul''26'!BK185,"",'1. Live'!BO185-'check-Jul''26'!BK185)</f>
        <v/>
      </c>
      <c r="BL167" s="25" t="str">
        <f>IF('1. Live'!BP185='check-Jul''26'!BL185,"",'1. Live'!BP185-'check-Jul''26'!BL185)</f>
        <v/>
      </c>
      <c r="BM167" s="25" t="str">
        <f>IF('1. Live'!BQ185='check-Jul''26'!BM185,"",'1. Live'!BQ185-'check-Jul''26'!BM185)</f>
        <v/>
      </c>
      <c r="BN167" s="25" t="str">
        <f>IF('1. Live'!BR185='check-Jul''26'!BN185,"",'1. Live'!BR185-'check-Jul''26'!BN185)</f>
        <v/>
      </c>
      <c r="BO167" s="25" t="str">
        <f>IF('1. Live'!BS185='check-Jul''26'!BO185,"",'1. Live'!BS185-'check-Jul''26'!BO185)</f>
        <v/>
      </c>
      <c r="BP167" s="25" t="str">
        <f>IF('1. Live'!BT185='check-Jul''26'!BP185,"",'1. Live'!BT185-'check-Jul''26'!BP185)</f>
        <v/>
      </c>
      <c r="BQ167" s="25" t="str">
        <f>IF('1. Live'!BU185='check-Jul''26'!BQ185,"",'1. Live'!BU185-'check-Jul''26'!BQ185)</f>
        <v/>
      </c>
      <c r="BR167" s="25" t="str">
        <f>IF('1. Live'!BV185='check-Jul''26'!BR185,"",'1. Live'!BV185-'check-Jul''26'!BR185)</f>
        <v/>
      </c>
      <c r="BS167" s="25" t="str">
        <f>IF('1. Live'!BW185='check-Jul''26'!BS185,"",'1. Live'!BW185-'check-Jul''26'!BS185)</f>
        <v/>
      </c>
      <c r="BT167" s="25" t="str">
        <f>IF('1. Live'!BX185='check-Jul''26'!BT185,"",'1. Live'!BX185-'check-Jul''26'!BT185)</f>
        <v/>
      </c>
      <c r="BU167" s="25" t="str">
        <f>IF('1. Live'!BY185='check-Jul''26'!BU185,"",'1. Live'!BY185-'check-Jul''26'!BU185)</f>
        <v/>
      </c>
      <c r="BV167" s="25" t="str">
        <f>IF('1. Live'!BZ185='check-Jul''26'!BV185,"",'1. Live'!BZ185-'check-Jul''26'!BV185)</f>
        <v/>
      </c>
      <c r="BW167" s="25" t="str">
        <f>IF('1. Live'!CA185='check-Jul''26'!BW185,"",'1. Live'!CA185-'check-Jul''26'!BW185)</f>
        <v/>
      </c>
      <c r="BX167" s="25" t="str">
        <f>IF('1. Live'!CB185='check-Jul''26'!BX185,"",'1. Live'!CB185-'check-Jul''26'!BX185)</f>
        <v/>
      </c>
      <c r="BY167" s="25" t="str">
        <f>IF('1. Live'!CC185='check-Jul''26'!BY185,"",'1. Live'!CC185-'check-Jul''26'!BY185)</f>
        <v/>
      </c>
      <c r="BZ167" s="25" t="str">
        <f>IF('1. Live'!CD185='check-Jul''26'!BZ185,"",'1. Live'!CD185-'check-Jul''26'!BZ185)</f>
        <v/>
      </c>
      <c r="CA167" s="25" t="str">
        <f>IF('1. Live'!CE185='check-Jul''26'!CA185,"",'1. Live'!CE185-'check-Jul''26'!CA185)</f>
        <v/>
      </c>
      <c r="CB167" s="25" t="str">
        <f>IF('1. Live'!CF185='check-Jul''26'!CB185,"",'1. Live'!CF185-'check-Jul''26'!CB185)</f>
        <v/>
      </c>
      <c r="CC167" s="25" t="str">
        <f>IF('1. Live'!CG185='check-Jul''26'!CC185,"",'1. Live'!CG185-'check-Jul''26'!CC185)</f>
        <v/>
      </c>
      <c r="CD167" s="25" t="str">
        <f>IF('1. Live'!CH185='check-Jul''26'!CD185,"",'1. Live'!CH185-'check-Jul''26'!CD185)</f>
        <v/>
      </c>
      <c r="CE167" s="25" t="str">
        <f>IF('1. Live'!CI185='check-Jul''26'!CE185,"",'1. Live'!CI185-'check-Jul''26'!CE185)</f>
        <v/>
      </c>
      <c r="CF167" s="25" t="str">
        <f>IF('1. Live'!CJ185='check-Jul''26'!CF185,"",'1. Live'!CJ185-'check-Jul''26'!CF185)</f>
        <v/>
      </c>
      <c r="CG167" s="25" t="str">
        <f>IF('1. Live'!CK185='check-Jul''26'!CG185,"",'1. Live'!CK185-'check-Jul''26'!CG185)</f>
        <v/>
      </c>
      <c r="CH167" s="25" t="str">
        <f>IF('1. Live'!CL185='check-Jul''26'!CH185,"",'1. Live'!CL185-'check-Jul''26'!CH185)</f>
        <v/>
      </c>
      <c r="CI167" s="25" t="str">
        <f>IF('1. Live'!CM185='check-Jul''26'!CI185,"",'1. Live'!CM185-'check-Jul''26'!CI185)</f>
        <v/>
      </c>
      <c r="CJ167" s="25" t="str">
        <f>IF('1. Live'!CN185='check-Jul''26'!CJ185,"",'1. Live'!CN185-'check-Jul''26'!CJ185)</f>
        <v/>
      </c>
      <c r="CK167" s="25" t="str">
        <f>IF('1. Live'!CO185='check-Jul''26'!CK185,"",'1. Live'!CO185-'check-Jul''26'!CK185)</f>
        <v/>
      </c>
      <c r="CL167" s="25" t="str">
        <f>IF('1. Live'!CP185='check-Jul''26'!CL185,"",'1. Live'!CP185-'check-Jul''26'!CL185)</f>
        <v/>
      </c>
      <c r="CM167" s="25" t="str">
        <f>IF('1. Live'!CQ185='check-Jul''26'!CM185,"",'1. Live'!CQ185-'check-Jul''26'!CM185)</f>
        <v/>
      </c>
      <c r="CN167" s="25" t="str">
        <f>IF('1. Live'!CR185='check-Jul''26'!CN185,"",'1. Live'!CR185-'check-Jul''26'!CN185)</f>
        <v/>
      </c>
      <c r="CO167" s="25" t="str">
        <f>IF('1. Live'!CS185='check-Jul''26'!CO185,"",'1. Live'!CS185-'check-Jul''26'!CO185)</f>
        <v/>
      </c>
      <c r="CP167" s="25" t="str">
        <f>IF('1. Live'!CT185='check-Jul''26'!CP185,"",'1. Live'!CT185-'check-Jul''26'!CP185)</f>
        <v/>
      </c>
      <c r="CQ167" s="25" t="str">
        <f>IF('1. Live'!CU185='check-Jul''26'!CQ185,"",'1. Live'!CU185-'check-Jul''26'!CQ185)</f>
        <v/>
      </c>
      <c r="CR167" s="25" t="str">
        <f>IF('1. Live'!CV185='check-Jul''26'!CR185,"",'1. Live'!CV185-'check-Jul''26'!CR185)</f>
        <v/>
      </c>
      <c r="CS167" s="25" t="str">
        <f>IF('1. Live'!CW185='check-Jul''26'!CS185,"",'1. Live'!CW185-'check-Jul''26'!CS185)</f>
        <v/>
      </c>
      <c r="CT167" s="25" t="str">
        <f>IF('1. Live'!CX185='check-Jul''26'!CT185,"",'1. Live'!CX185-'check-Jul''26'!CT185)</f>
        <v/>
      </c>
      <c r="CU167" s="25" t="str">
        <f>IF('1. Live'!CY185='check-Jul''26'!CU185,"",'1. Live'!CY185-'check-Jul''26'!CU185)</f>
        <v/>
      </c>
      <c r="CV167" s="25" t="str">
        <f>IF('1. Live'!CZ185='check-Jul''26'!CV185,"",'1. Live'!CZ185-'check-Jul''26'!CV185)</f>
        <v/>
      </c>
    </row>
    <row r="168" spans="17:100" x14ac:dyDescent="0.25">
      <c r="Q168" s="26" t="str">
        <f>IF('1. Live'!N186='check-Jul''26'!I186,"",'1. Live'!N186-'check-Jul''26'!I186)</f>
        <v/>
      </c>
      <c r="R168" s="26" t="str">
        <f>IF('1. Live'!O186='check-Jul''26'!J186,"",'1. Live'!O186-'check-Jul''26'!J186)</f>
        <v/>
      </c>
      <c r="S168" s="26" t="str">
        <f>IF('1. Live'!P186='check-Jul''26'!K186,"",'1. Live'!P186-'check-Jul''26'!K186)</f>
        <v/>
      </c>
      <c r="T168" s="26" t="str">
        <f>IF('1. Live'!Q186='check-Jul''26'!L186,"",'1. Live'!Q186-'check-Jul''26'!L186)</f>
        <v/>
      </c>
      <c r="U168" s="80" t="str">
        <f>IF('1. Live'!R186='check-Jul''26'!M186,"",'1. Live'!R186-'check-Jul''26'!M186)</f>
        <v/>
      </c>
      <c r="V168" s="26" t="str">
        <f>IF('1. Live'!S186='check-Jul''26'!N186,"",'1. Live'!S186-'check-Jul''26'!N186)</f>
        <v/>
      </c>
      <c r="W168" s="25" t="str">
        <f>IF('1. Live'!T186='check-Jul''26'!O186,"",'1. Live'!T186-'check-Jul''26'!O186)</f>
        <v/>
      </c>
      <c r="X168" s="25" t="str">
        <f>IF('1. Live'!U186='check-Jul''26'!Q186,"",'1. Live'!U186-'check-Jul''26'!Q186)</f>
        <v/>
      </c>
      <c r="Y168" s="25" t="str">
        <f>IF('1. Live'!V186='check-Jul''26'!R186,"",'1. Live'!V186-'check-Jul''26'!R186)</f>
        <v/>
      </c>
      <c r="Z168" s="25" t="str">
        <f>IF('1. Live'!W186='check-Jul''26'!S186,"",'1. Live'!W186-'check-Jul''26'!S186)</f>
        <v/>
      </c>
      <c r="AA168" s="25" t="str">
        <f>IF('1. Live'!X186='check-Jul''26'!T186,"",'1. Live'!X186-'check-Jul''26'!T186)</f>
        <v/>
      </c>
      <c r="AB168" s="25" t="str">
        <f>IF('1. Live'!AF186='check-Jul''26'!AB186,"",'1. Live'!AF186-'check-Jul''26'!AB186)</f>
        <v/>
      </c>
      <c r="AC168" s="25" t="str">
        <f>IF('1. Live'!AG186='check-Jul''26'!AC186,"",'1. Live'!AG186-'check-Jul''26'!AC186)</f>
        <v/>
      </c>
      <c r="AD168" s="25" t="str">
        <f>IF('1. Live'!AH186='check-Jul''26'!AD186,"",'1. Live'!AH186-'check-Jul''26'!AD186)</f>
        <v/>
      </c>
      <c r="AE168" s="25" t="str">
        <f>IF('1. Live'!AI186='check-Jul''26'!AE186,"",'1. Live'!AI186-'check-Jul''26'!AE186)</f>
        <v/>
      </c>
      <c r="AF168" s="25" t="str">
        <f>IF('1. Live'!AJ186='check-Jul''26'!AF186,"",'1. Live'!AJ186-'check-Jul''26'!AF186)</f>
        <v/>
      </c>
      <c r="AG168" s="25" t="str">
        <f>IF('1. Live'!AK186='check-Jul''26'!AG186,"",'1. Live'!AK186-'check-Jul''26'!AG186)</f>
        <v/>
      </c>
      <c r="AH168" s="25" t="str">
        <f>IF('1. Live'!AL186='check-Jul''26'!AH186,"",'1. Live'!AL186-'check-Jul''26'!AH186)</f>
        <v/>
      </c>
      <c r="AI168" s="25" t="str">
        <f>IF('1. Live'!AM186='check-Jul''26'!AI186,"",'1. Live'!AM186-'check-Jul''26'!AI186)</f>
        <v/>
      </c>
      <c r="AJ168" s="25" t="str">
        <f>IF('1. Live'!AN186='check-Jul''26'!AJ186,"",'1. Live'!AN186-'check-Jul''26'!AJ186)</f>
        <v/>
      </c>
      <c r="AK168" s="25" t="str">
        <f>IF('1. Live'!AO186='check-Jul''26'!AK186,"",'1. Live'!AO186-'check-Jul''26'!AK186)</f>
        <v/>
      </c>
      <c r="AL168" s="25" t="str">
        <f>IF('1. Live'!AP186='check-Jul''26'!AL186,"",'1. Live'!AP186-'check-Jul''26'!AL186)</f>
        <v/>
      </c>
      <c r="AM168" s="25" t="str">
        <f>IF('1. Live'!AQ186='check-Jul''26'!AM186,"",'1. Live'!AQ186-'check-Jul''26'!AM186)</f>
        <v/>
      </c>
      <c r="AN168" s="25" t="str">
        <f>IF('1. Live'!AR186='check-Jul''26'!AN186,"",'1. Live'!AR186-'check-Jul''26'!AN186)</f>
        <v/>
      </c>
      <c r="AO168" s="25" t="str">
        <f>IF('1. Live'!AS186='check-Jul''26'!AO186,"",'1. Live'!AS186-'check-Jul''26'!AO186)</f>
        <v/>
      </c>
      <c r="AP168" s="25" t="str">
        <f>IF('1. Live'!AT186='check-Jul''26'!AP186,"",'1. Live'!AT186-'check-Jul''26'!AP186)</f>
        <v/>
      </c>
      <c r="AQ168" s="25" t="str">
        <f>IF('1. Live'!AU186='check-Jul''26'!AQ186,"",'1. Live'!AU186-'check-Jul''26'!AQ186)</f>
        <v/>
      </c>
      <c r="AR168" s="25" t="str">
        <f>IF('1. Live'!AV186='check-Jul''26'!AR186,"",'1. Live'!AV186-'check-Jul''26'!AR186)</f>
        <v/>
      </c>
      <c r="AS168" s="25" t="str">
        <f>IF('1. Live'!AW186='check-Jul''26'!AS186,"",'1. Live'!AW186-'check-Jul''26'!AS186)</f>
        <v/>
      </c>
      <c r="AT168" s="25" t="str">
        <f>IF('1. Live'!AX186='check-Jul''26'!AT186,"",'1. Live'!AX186-'check-Jul''26'!AT186)</f>
        <v/>
      </c>
      <c r="AU168" s="25" t="str">
        <f>IF('1. Live'!AY186='check-Jul''26'!AU186,"",'1. Live'!AY186-'check-Jul''26'!AU186)</f>
        <v/>
      </c>
      <c r="AV168" s="25" t="str">
        <f>IF('1. Live'!AZ186='check-Jul''26'!AV186,"",'1. Live'!AZ186-'check-Jul''26'!AV186)</f>
        <v/>
      </c>
      <c r="AW168" s="25" t="str">
        <f>IF('1. Live'!BA186='check-Jul''26'!AW186,"",'1. Live'!BA186-'check-Jul''26'!AW186)</f>
        <v/>
      </c>
      <c r="AX168" s="25" t="str">
        <f>IF('1. Live'!BB186='check-Jul''26'!AX186,"",'1. Live'!BB186-'check-Jul''26'!AX186)</f>
        <v/>
      </c>
      <c r="AY168" s="25" t="str">
        <f>IF('1. Live'!BC186='check-Jul''26'!AY186,"",'1. Live'!BC186-'check-Jul''26'!AY186)</f>
        <v/>
      </c>
      <c r="AZ168" s="25" t="str">
        <f>IF('1. Live'!BD186='check-Jul''26'!AZ186,"",'1. Live'!BD186-'check-Jul''26'!AZ186)</f>
        <v/>
      </c>
      <c r="BA168" s="25" t="str">
        <f>IF('1. Live'!BE186='check-Jul''26'!BA186,"",'1. Live'!BE186-'check-Jul''26'!BA186)</f>
        <v/>
      </c>
      <c r="BB168" s="25" t="str">
        <f>IF('1. Live'!BF186='check-Jul''26'!BB186,"",'1. Live'!BF186-'check-Jul''26'!BB186)</f>
        <v/>
      </c>
      <c r="BC168" s="25" t="str">
        <f>IF('1. Live'!BG186='check-Jul''26'!BC186,"",'1. Live'!BG186-'check-Jul''26'!BC186)</f>
        <v/>
      </c>
      <c r="BD168" s="25" t="str">
        <f>IF('1. Live'!BH186='check-Jul''26'!BD186,"",'1. Live'!BH186-'check-Jul''26'!BD186)</f>
        <v/>
      </c>
      <c r="BE168" s="25" t="str">
        <f>IF('1. Live'!BI186='check-Jul''26'!BE186,"",'1. Live'!BI186-'check-Jul''26'!BE186)</f>
        <v/>
      </c>
      <c r="BF168" s="25" t="str">
        <f>IF('1. Live'!BJ186='check-Jul''26'!BF186,"",'1. Live'!BJ186-'check-Jul''26'!BF186)</f>
        <v/>
      </c>
      <c r="BG168" s="25" t="str">
        <f>IF('1. Live'!BK186='check-Jul''26'!BG186,"",'1. Live'!BK186-'check-Jul''26'!BG186)</f>
        <v/>
      </c>
      <c r="BH168" s="25" t="str">
        <f>IF('1. Live'!BL186='check-Jul''26'!BH186,"",'1. Live'!BL186-'check-Jul''26'!BH186)</f>
        <v/>
      </c>
      <c r="BI168" s="25" t="str">
        <f>IF('1. Live'!BM186='check-Jul''26'!BI186,"",'1. Live'!BM186-'check-Jul''26'!BI186)</f>
        <v/>
      </c>
      <c r="BJ168" s="25" t="str">
        <f>IF('1. Live'!BN186='check-Jul''26'!BJ186,"",'1. Live'!BN186-'check-Jul''26'!BJ186)</f>
        <v/>
      </c>
      <c r="BK168" s="25" t="str">
        <f>IF('1. Live'!BO186='check-Jul''26'!BK186,"",'1. Live'!BO186-'check-Jul''26'!BK186)</f>
        <v/>
      </c>
      <c r="BL168" s="25" t="str">
        <f>IF('1. Live'!BP186='check-Jul''26'!BL186,"",'1. Live'!BP186-'check-Jul''26'!BL186)</f>
        <v/>
      </c>
      <c r="BM168" s="25" t="str">
        <f>IF('1. Live'!BQ186='check-Jul''26'!BM186,"",'1. Live'!BQ186-'check-Jul''26'!BM186)</f>
        <v/>
      </c>
      <c r="BN168" s="25" t="str">
        <f>IF('1. Live'!BR186='check-Jul''26'!BN186,"",'1. Live'!BR186-'check-Jul''26'!BN186)</f>
        <v/>
      </c>
      <c r="BO168" s="25" t="str">
        <f>IF('1. Live'!BS186='check-Jul''26'!BO186,"",'1. Live'!BS186-'check-Jul''26'!BO186)</f>
        <v/>
      </c>
      <c r="BP168" s="25" t="str">
        <f>IF('1. Live'!BT186='check-Jul''26'!BP186,"",'1. Live'!BT186-'check-Jul''26'!BP186)</f>
        <v/>
      </c>
      <c r="BQ168" s="25" t="str">
        <f>IF('1. Live'!BU186='check-Jul''26'!BQ186,"",'1. Live'!BU186-'check-Jul''26'!BQ186)</f>
        <v/>
      </c>
      <c r="BR168" s="25" t="str">
        <f>IF('1. Live'!BV186='check-Jul''26'!BR186,"",'1. Live'!BV186-'check-Jul''26'!BR186)</f>
        <v/>
      </c>
      <c r="BS168" s="25" t="str">
        <f>IF('1. Live'!BW186='check-Jul''26'!BS186,"",'1. Live'!BW186-'check-Jul''26'!BS186)</f>
        <v/>
      </c>
      <c r="BT168" s="25" t="str">
        <f>IF('1. Live'!BX186='check-Jul''26'!BT186,"",'1. Live'!BX186-'check-Jul''26'!BT186)</f>
        <v/>
      </c>
      <c r="BU168" s="25" t="str">
        <f>IF('1. Live'!BY186='check-Jul''26'!BU186,"",'1. Live'!BY186-'check-Jul''26'!BU186)</f>
        <v/>
      </c>
      <c r="BV168" s="25" t="str">
        <f>IF('1. Live'!BZ186='check-Jul''26'!BV186,"",'1. Live'!BZ186-'check-Jul''26'!BV186)</f>
        <v/>
      </c>
      <c r="BW168" s="25" t="str">
        <f>IF('1. Live'!CA186='check-Jul''26'!BW186,"",'1. Live'!CA186-'check-Jul''26'!BW186)</f>
        <v/>
      </c>
      <c r="BX168" s="25" t="str">
        <f>IF('1. Live'!CB186='check-Jul''26'!BX186,"",'1. Live'!CB186-'check-Jul''26'!BX186)</f>
        <v/>
      </c>
      <c r="BY168" s="25" t="str">
        <f>IF('1. Live'!CC186='check-Jul''26'!BY186,"",'1. Live'!CC186-'check-Jul''26'!BY186)</f>
        <v/>
      </c>
      <c r="BZ168" s="25" t="str">
        <f>IF('1. Live'!CD186='check-Jul''26'!BZ186,"",'1. Live'!CD186-'check-Jul''26'!BZ186)</f>
        <v/>
      </c>
      <c r="CA168" s="25" t="str">
        <f>IF('1. Live'!CE186='check-Jul''26'!CA186,"",'1. Live'!CE186-'check-Jul''26'!CA186)</f>
        <v/>
      </c>
      <c r="CB168" s="25" t="str">
        <f>IF('1. Live'!CF186='check-Jul''26'!CB186,"",'1. Live'!CF186-'check-Jul''26'!CB186)</f>
        <v/>
      </c>
      <c r="CC168" s="25" t="str">
        <f>IF('1. Live'!CG186='check-Jul''26'!CC186,"",'1. Live'!CG186-'check-Jul''26'!CC186)</f>
        <v/>
      </c>
      <c r="CD168" s="25" t="str">
        <f>IF('1. Live'!CH186='check-Jul''26'!CD186,"",'1. Live'!CH186-'check-Jul''26'!CD186)</f>
        <v/>
      </c>
      <c r="CE168" s="25" t="str">
        <f>IF('1. Live'!CI186='check-Jul''26'!CE186,"",'1. Live'!CI186-'check-Jul''26'!CE186)</f>
        <v/>
      </c>
      <c r="CF168" s="25" t="str">
        <f>IF('1. Live'!CJ186='check-Jul''26'!CF186,"",'1. Live'!CJ186-'check-Jul''26'!CF186)</f>
        <v/>
      </c>
      <c r="CG168" s="25" t="str">
        <f>IF('1. Live'!CK186='check-Jul''26'!CG186,"",'1. Live'!CK186-'check-Jul''26'!CG186)</f>
        <v/>
      </c>
      <c r="CH168" s="25" t="str">
        <f>IF('1. Live'!CL186='check-Jul''26'!CH186,"",'1. Live'!CL186-'check-Jul''26'!CH186)</f>
        <v/>
      </c>
      <c r="CI168" s="25" t="str">
        <f>IF('1. Live'!CM186='check-Jul''26'!CI186,"",'1. Live'!CM186-'check-Jul''26'!CI186)</f>
        <v/>
      </c>
      <c r="CJ168" s="25" t="str">
        <f>IF('1. Live'!CN186='check-Jul''26'!CJ186,"",'1. Live'!CN186-'check-Jul''26'!CJ186)</f>
        <v/>
      </c>
      <c r="CK168" s="25" t="str">
        <f>IF('1. Live'!CO186='check-Jul''26'!CK186,"",'1. Live'!CO186-'check-Jul''26'!CK186)</f>
        <v/>
      </c>
      <c r="CL168" s="25" t="str">
        <f>IF('1. Live'!CP186='check-Jul''26'!CL186,"",'1. Live'!CP186-'check-Jul''26'!CL186)</f>
        <v/>
      </c>
      <c r="CM168" s="25" t="str">
        <f>IF('1. Live'!CQ186='check-Jul''26'!CM186,"",'1. Live'!CQ186-'check-Jul''26'!CM186)</f>
        <v/>
      </c>
      <c r="CN168" s="25" t="str">
        <f>IF('1. Live'!CR186='check-Jul''26'!CN186,"",'1. Live'!CR186-'check-Jul''26'!CN186)</f>
        <v/>
      </c>
      <c r="CO168" s="25" t="str">
        <f>IF('1. Live'!CS186='check-Jul''26'!CO186,"",'1. Live'!CS186-'check-Jul''26'!CO186)</f>
        <v/>
      </c>
      <c r="CP168" s="25" t="str">
        <f>IF('1. Live'!CT186='check-Jul''26'!CP186,"",'1. Live'!CT186-'check-Jul''26'!CP186)</f>
        <v/>
      </c>
      <c r="CQ168" s="25" t="str">
        <f>IF('1. Live'!CU186='check-Jul''26'!CQ186,"",'1. Live'!CU186-'check-Jul''26'!CQ186)</f>
        <v/>
      </c>
      <c r="CR168" s="25" t="str">
        <f>IF('1. Live'!CV186='check-Jul''26'!CR186,"",'1. Live'!CV186-'check-Jul''26'!CR186)</f>
        <v/>
      </c>
      <c r="CS168" s="25" t="str">
        <f>IF('1. Live'!CW186='check-Jul''26'!CS186,"",'1. Live'!CW186-'check-Jul''26'!CS186)</f>
        <v/>
      </c>
      <c r="CT168" s="25" t="str">
        <f>IF('1. Live'!CX186='check-Jul''26'!CT186,"",'1. Live'!CX186-'check-Jul''26'!CT186)</f>
        <v/>
      </c>
      <c r="CU168" s="25" t="str">
        <f>IF('1. Live'!CY186='check-Jul''26'!CU186,"",'1. Live'!CY186-'check-Jul''26'!CU186)</f>
        <v/>
      </c>
      <c r="CV168" s="25" t="str">
        <f>IF('1. Live'!CZ186='check-Jul''26'!CV186,"",'1. Live'!CZ186-'check-Jul''26'!CV186)</f>
        <v/>
      </c>
    </row>
    <row r="169" spans="17:100" x14ac:dyDescent="0.25">
      <c r="Q169" s="26" t="str">
        <f>IF('1. Live'!N187='check-Jul''26'!I187,"",'1. Live'!N187-'check-Jul''26'!I187)</f>
        <v/>
      </c>
      <c r="R169" s="26" t="str">
        <f>IF('1. Live'!O187='check-Jul''26'!J187,"",'1. Live'!O187-'check-Jul''26'!J187)</f>
        <v/>
      </c>
      <c r="S169" s="26" t="str">
        <f>IF('1. Live'!P187='check-Jul''26'!K187,"",'1. Live'!P187-'check-Jul''26'!K187)</f>
        <v/>
      </c>
      <c r="T169" s="26" t="str">
        <f>IF('1. Live'!Q187='check-Jul''26'!L187,"",'1. Live'!Q187-'check-Jul''26'!L187)</f>
        <v/>
      </c>
      <c r="U169" s="80" t="str">
        <f>IF('1. Live'!R187='check-Jul''26'!M187,"",'1. Live'!R187-'check-Jul''26'!M187)</f>
        <v/>
      </c>
      <c r="V169" s="26" t="str">
        <f>IF('1. Live'!S187='check-Jul''26'!N187,"",'1. Live'!S187-'check-Jul''26'!N187)</f>
        <v/>
      </c>
      <c r="W169" s="25" t="str">
        <f>IF('1. Live'!T187='check-Jul''26'!O187,"",'1. Live'!T187-'check-Jul''26'!O187)</f>
        <v/>
      </c>
      <c r="X169" s="25" t="str">
        <f>IF('1. Live'!U187='check-Jul''26'!Q187,"",'1. Live'!U187-'check-Jul''26'!Q187)</f>
        <v/>
      </c>
      <c r="Y169" s="25" t="str">
        <f>IF('1. Live'!V187='check-Jul''26'!R187,"",'1. Live'!V187-'check-Jul''26'!R187)</f>
        <v/>
      </c>
      <c r="Z169" s="25" t="str">
        <f>IF('1. Live'!W187='check-Jul''26'!S187,"",'1. Live'!W187-'check-Jul''26'!S187)</f>
        <v/>
      </c>
      <c r="AA169" s="25" t="str">
        <f>IF('1. Live'!X187='check-Jul''26'!T187,"",'1. Live'!X187-'check-Jul''26'!T187)</f>
        <v/>
      </c>
      <c r="AB169" s="25" t="str">
        <f>IF('1. Live'!AF187='check-Jul''26'!AB187,"",'1. Live'!AF187-'check-Jul''26'!AB187)</f>
        <v/>
      </c>
      <c r="AC169" s="25" t="str">
        <f>IF('1. Live'!AG187='check-Jul''26'!AC187,"",'1. Live'!AG187-'check-Jul''26'!AC187)</f>
        <v/>
      </c>
      <c r="AD169" s="25" t="str">
        <f>IF('1. Live'!AH187='check-Jul''26'!AD187,"",'1. Live'!AH187-'check-Jul''26'!AD187)</f>
        <v/>
      </c>
      <c r="AE169" s="25" t="str">
        <f>IF('1. Live'!AI187='check-Jul''26'!AE187,"",'1. Live'!AI187-'check-Jul''26'!AE187)</f>
        <v/>
      </c>
      <c r="AF169" s="25" t="str">
        <f>IF('1. Live'!AJ187='check-Jul''26'!AF187,"",'1. Live'!AJ187-'check-Jul''26'!AF187)</f>
        <v/>
      </c>
      <c r="AG169" s="25" t="str">
        <f>IF('1. Live'!AK187='check-Jul''26'!AG187,"",'1. Live'!AK187-'check-Jul''26'!AG187)</f>
        <v/>
      </c>
      <c r="AH169" s="25" t="str">
        <f>IF('1. Live'!AL187='check-Jul''26'!AH187,"",'1. Live'!AL187-'check-Jul''26'!AH187)</f>
        <v/>
      </c>
      <c r="AI169" s="25" t="str">
        <f>IF('1. Live'!AM187='check-Jul''26'!AI187,"",'1. Live'!AM187-'check-Jul''26'!AI187)</f>
        <v/>
      </c>
      <c r="AJ169" s="25" t="str">
        <f>IF('1. Live'!AN187='check-Jul''26'!AJ187,"",'1. Live'!AN187-'check-Jul''26'!AJ187)</f>
        <v/>
      </c>
      <c r="AK169" s="25" t="str">
        <f>IF('1. Live'!AO187='check-Jul''26'!AK187,"",'1. Live'!AO187-'check-Jul''26'!AK187)</f>
        <v/>
      </c>
      <c r="AL169" s="25" t="str">
        <f>IF('1. Live'!AP187='check-Jul''26'!AL187,"",'1. Live'!AP187-'check-Jul''26'!AL187)</f>
        <v/>
      </c>
      <c r="AM169" s="25" t="str">
        <f>IF('1. Live'!AQ187='check-Jul''26'!AM187,"",'1. Live'!AQ187-'check-Jul''26'!AM187)</f>
        <v/>
      </c>
      <c r="AN169" s="25" t="str">
        <f>IF('1. Live'!AR187='check-Jul''26'!AN187,"",'1. Live'!AR187-'check-Jul''26'!AN187)</f>
        <v/>
      </c>
      <c r="AO169" s="25" t="str">
        <f>IF('1. Live'!AS187='check-Jul''26'!AO187,"",'1. Live'!AS187-'check-Jul''26'!AO187)</f>
        <v/>
      </c>
      <c r="AP169" s="25" t="str">
        <f>IF('1. Live'!AT187='check-Jul''26'!AP187,"",'1. Live'!AT187-'check-Jul''26'!AP187)</f>
        <v/>
      </c>
      <c r="AQ169" s="25" t="str">
        <f>IF('1. Live'!AU187='check-Jul''26'!AQ187,"",'1. Live'!AU187-'check-Jul''26'!AQ187)</f>
        <v/>
      </c>
      <c r="AR169" s="25" t="str">
        <f>IF('1. Live'!AV187='check-Jul''26'!AR187,"",'1. Live'!AV187-'check-Jul''26'!AR187)</f>
        <v/>
      </c>
      <c r="AS169" s="25" t="str">
        <f>IF('1. Live'!AW187='check-Jul''26'!AS187,"",'1. Live'!AW187-'check-Jul''26'!AS187)</f>
        <v/>
      </c>
      <c r="AT169" s="25" t="str">
        <f>IF('1. Live'!AX187='check-Jul''26'!AT187,"",'1. Live'!AX187-'check-Jul''26'!AT187)</f>
        <v/>
      </c>
      <c r="AU169" s="25" t="str">
        <f>IF('1. Live'!AY187='check-Jul''26'!AU187,"",'1. Live'!AY187-'check-Jul''26'!AU187)</f>
        <v/>
      </c>
      <c r="AV169" s="25" t="str">
        <f>IF('1. Live'!AZ187='check-Jul''26'!AV187,"",'1. Live'!AZ187-'check-Jul''26'!AV187)</f>
        <v/>
      </c>
      <c r="AW169" s="25" t="str">
        <f>IF('1. Live'!BA187='check-Jul''26'!AW187,"",'1. Live'!BA187-'check-Jul''26'!AW187)</f>
        <v/>
      </c>
      <c r="AX169" s="25" t="str">
        <f>IF('1. Live'!BB187='check-Jul''26'!AX187,"",'1. Live'!BB187-'check-Jul''26'!AX187)</f>
        <v/>
      </c>
      <c r="AY169" s="25" t="str">
        <f>IF('1. Live'!BC187='check-Jul''26'!AY187,"",'1. Live'!BC187-'check-Jul''26'!AY187)</f>
        <v/>
      </c>
      <c r="AZ169" s="25" t="str">
        <f>IF('1. Live'!BD187='check-Jul''26'!AZ187,"",'1. Live'!BD187-'check-Jul''26'!AZ187)</f>
        <v/>
      </c>
      <c r="BA169" s="25" t="str">
        <f>IF('1. Live'!BE187='check-Jul''26'!BA187,"",'1. Live'!BE187-'check-Jul''26'!BA187)</f>
        <v/>
      </c>
      <c r="BB169" s="25" t="str">
        <f>IF('1. Live'!BF187='check-Jul''26'!BB187,"",'1. Live'!BF187-'check-Jul''26'!BB187)</f>
        <v/>
      </c>
      <c r="BC169" s="25" t="str">
        <f>IF('1. Live'!BG187='check-Jul''26'!BC187,"",'1. Live'!BG187-'check-Jul''26'!BC187)</f>
        <v/>
      </c>
      <c r="BD169" s="25" t="str">
        <f>IF('1. Live'!BH187='check-Jul''26'!BD187,"",'1. Live'!BH187-'check-Jul''26'!BD187)</f>
        <v/>
      </c>
      <c r="BE169" s="25" t="str">
        <f>IF('1. Live'!BI187='check-Jul''26'!BE187,"",'1. Live'!BI187-'check-Jul''26'!BE187)</f>
        <v/>
      </c>
      <c r="BF169" s="25" t="str">
        <f>IF('1. Live'!BJ187='check-Jul''26'!BF187,"",'1. Live'!BJ187-'check-Jul''26'!BF187)</f>
        <v/>
      </c>
      <c r="BG169" s="25" t="str">
        <f>IF('1. Live'!BK187='check-Jul''26'!BG187,"",'1. Live'!BK187-'check-Jul''26'!BG187)</f>
        <v/>
      </c>
      <c r="BH169" s="25" t="str">
        <f>IF('1. Live'!BL187='check-Jul''26'!BH187,"",'1. Live'!BL187-'check-Jul''26'!BH187)</f>
        <v/>
      </c>
      <c r="BI169" s="25" t="str">
        <f>IF('1. Live'!BM187='check-Jul''26'!BI187,"",'1. Live'!BM187-'check-Jul''26'!BI187)</f>
        <v/>
      </c>
      <c r="BJ169" s="25" t="str">
        <f>IF('1. Live'!BN187='check-Jul''26'!BJ187,"",'1. Live'!BN187-'check-Jul''26'!BJ187)</f>
        <v/>
      </c>
      <c r="BK169" s="25" t="str">
        <f>IF('1. Live'!BO187='check-Jul''26'!BK187,"",'1. Live'!BO187-'check-Jul''26'!BK187)</f>
        <v/>
      </c>
      <c r="BL169" s="25" t="str">
        <f>IF('1. Live'!BP187='check-Jul''26'!BL187,"",'1. Live'!BP187-'check-Jul''26'!BL187)</f>
        <v/>
      </c>
      <c r="BM169" s="25" t="str">
        <f>IF('1. Live'!BQ187='check-Jul''26'!BM187,"",'1. Live'!BQ187-'check-Jul''26'!BM187)</f>
        <v/>
      </c>
      <c r="BN169" s="25" t="str">
        <f>IF('1. Live'!BR187='check-Jul''26'!BN187,"",'1. Live'!BR187-'check-Jul''26'!BN187)</f>
        <v/>
      </c>
      <c r="BO169" s="25" t="str">
        <f>IF('1. Live'!BS187='check-Jul''26'!BO187,"",'1. Live'!BS187-'check-Jul''26'!BO187)</f>
        <v/>
      </c>
      <c r="BP169" s="25" t="str">
        <f>IF('1. Live'!BT187='check-Jul''26'!BP187,"",'1. Live'!BT187-'check-Jul''26'!BP187)</f>
        <v/>
      </c>
      <c r="BQ169" s="25" t="str">
        <f>IF('1. Live'!BU187='check-Jul''26'!BQ187,"",'1. Live'!BU187-'check-Jul''26'!BQ187)</f>
        <v/>
      </c>
      <c r="BR169" s="25" t="str">
        <f>IF('1. Live'!BV187='check-Jul''26'!BR187,"",'1. Live'!BV187-'check-Jul''26'!BR187)</f>
        <v/>
      </c>
      <c r="BS169" s="25" t="str">
        <f>IF('1. Live'!BW187='check-Jul''26'!BS187,"",'1. Live'!BW187-'check-Jul''26'!BS187)</f>
        <v/>
      </c>
      <c r="BT169" s="25" t="str">
        <f>IF('1. Live'!BX187='check-Jul''26'!BT187,"",'1. Live'!BX187-'check-Jul''26'!BT187)</f>
        <v/>
      </c>
      <c r="BU169" s="25" t="str">
        <f>IF('1. Live'!BY187='check-Jul''26'!BU187,"",'1. Live'!BY187-'check-Jul''26'!BU187)</f>
        <v/>
      </c>
      <c r="BV169" s="25" t="str">
        <f>IF('1. Live'!BZ187='check-Jul''26'!BV187,"",'1. Live'!BZ187-'check-Jul''26'!BV187)</f>
        <v/>
      </c>
      <c r="BW169" s="25" t="str">
        <f>IF('1. Live'!CA187='check-Jul''26'!BW187,"",'1. Live'!CA187-'check-Jul''26'!BW187)</f>
        <v/>
      </c>
      <c r="BX169" s="25" t="str">
        <f>IF('1. Live'!CB187='check-Jul''26'!BX187,"",'1. Live'!CB187-'check-Jul''26'!BX187)</f>
        <v/>
      </c>
      <c r="BY169" s="25" t="str">
        <f>IF('1. Live'!CC187='check-Jul''26'!BY187,"",'1. Live'!CC187-'check-Jul''26'!BY187)</f>
        <v/>
      </c>
      <c r="BZ169" s="25" t="str">
        <f>IF('1. Live'!CD187='check-Jul''26'!BZ187,"",'1. Live'!CD187-'check-Jul''26'!BZ187)</f>
        <v/>
      </c>
      <c r="CA169" s="25" t="str">
        <f>IF('1. Live'!CE187='check-Jul''26'!CA187,"",'1. Live'!CE187-'check-Jul''26'!CA187)</f>
        <v/>
      </c>
      <c r="CB169" s="25" t="str">
        <f>IF('1. Live'!CF187='check-Jul''26'!CB187,"",'1. Live'!CF187-'check-Jul''26'!CB187)</f>
        <v/>
      </c>
      <c r="CC169" s="25" t="str">
        <f>IF('1. Live'!CG187='check-Jul''26'!CC187,"",'1. Live'!CG187-'check-Jul''26'!CC187)</f>
        <v/>
      </c>
      <c r="CD169" s="25" t="str">
        <f>IF('1. Live'!CH187='check-Jul''26'!CD187,"",'1. Live'!CH187-'check-Jul''26'!CD187)</f>
        <v/>
      </c>
      <c r="CE169" s="25" t="str">
        <f>IF('1. Live'!CI187='check-Jul''26'!CE187,"",'1. Live'!CI187-'check-Jul''26'!CE187)</f>
        <v/>
      </c>
      <c r="CF169" s="25" t="str">
        <f>IF('1. Live'!CJ187='check-Jul''26'!CF187,"",'1. Live'!CJ187-'check-Jul''26'!CF187)</f>
        <v/>
      </c>
      <c r="CG169" s="25" t="str">
        <f>IF('1. Live'!CK187='check-Jul''26'!CG187,"",'1. Live'!CK187-'check-Jul''26'!CG187)</f>
        <v/>
      </c>
      <c r="CH169" s="25" t="str">
        <f>IF('1. Live'!CL187='check-Jul''26'!CH187,"",'1. Live'!CL187-'check-Jul''26'!CH187)</f>
        <v/>
      </c>
      <c r="CI169" s="25" t="str">
        <f>IF('1. Live'!CM187='check-Jul''26'!CI187,"",'1. Live'!CM187-'check-Jul''26'!CI187)</f>
        <v/>
      </c>
      <c r="CJ169" s="25" t="str">
        <f>IF('1. Live'!CN187='check-Jul''26'!CJ187,"",'1. Live'!CN187-'check-Jul''26'!CJ187)</f>
        <v/>
      </c>
      <c r="CK169" s="25" t="str">
        <f>IF('1. Live'!CO187='check-Jul''26'!CK187,"",'1. Live'!CO187-'check-Jul''26'!CK187)</f>
        <v/>
      </c>
      <c r="CL169" s="25" t="str">
        <f>IF('1. Live'!CP187='check-Jul''26'!CL187,"",'1. Live'!CP187-'check-Jul''26'!CL187)</f>
        <v/>
      </c>
      <c r="CM169" s="25" t="str">
        <f>IF('1. Live'!CQ187='check-Jul''26'!CM187,"",'1. Live'!CQ187-'check-Jul''26'!CM187)</f>
        <v/>
      </c>
      <c r="CN169" s="25" t="str">
        <f>IF('1. Live'!CR187='check-Jul''26'!CN187,"",'1. Live'!CR187-'check-Jul''26'!CN187)</f>
        <v/>
      </c>
      <c r="CO169" s="25" t="str">
        <f>IF('1. Live'!CS187='check-Jul''26'!CO187,"",'1. Live'!CS187-'check-Jul''26'!CO187)</f>
        <v/>
      </c>
      <c r="CP169" s="25" t="str">
        <f>IF('1. Live'!CT187='check-Jul''26'!CP187,"",'1. Live'!CT187-'check-Jul''26'!CP187)</f>
        <v/>
      </c>
      <c r="CQ169" s="25" t="str">
        <f>IF('1. Live'!CU187='check-Jul''26'!CQ187,"",'1. Live'!CU187-'check-Jul''26'!CQ187)</f>
        <v/>
      </c>
      <c r="CR169" s="25" t="str">
        <f>IF('1. Live'!CV187='check-Jul''26'!CR187,"",'1. Live'!CV187-'check-Jul''26'!CR187)</f>
        <v/>
      </c>
      <c r="CS169" s="25" t="str">
        <f>IF('1. Live'!CW187='check-Jul''26'!CS187,"",'1. Live'!CW187-'check-Jul''26'!CS187)</f>
        <v/>
      </c>
      <c r="CT169" s="25" t="str">
        <f>IF('1. Live'!CX187='check-Jul''26'!CT187,"",'1. Live'!CX187-'check-Jul''26'!CT187)</f>
        <v/>
      </c>
      <c r="CU169" s="25" t="str">
        <f>IF('1. Live'!CY187='check-Jul''26'!CU187,"",'1. Live'!CY187-'check-Jul''26'!CU187)</f>
        <v/>
      </c>
      <c r="CV169" s="25" t="str">
        <f>IF('1. Live'!CZ187='check-Jul''26'!CV187,"",'1. Live'!CZ187-'check-Jul''26'!CV187)</f>
        <v/>
      </c>
    </row>
    <row r="170" spans="17:100" x14ac:dyDescent="0.25">
      <c r="Q170" s="26" t="str">
        <f>IF('1. Live'!N188='check-Jul''26'!I188,"",'1. Live'!N188-'check-Jul''26'!I188)</f>
        <v/>
      </c>
      <c r="R170" s="26" t="str">
        <f>IF('1. Live'!O188='check-Jul''26'!J188,"",'1. Live'!O188-'check-Jul''26'!J188)</f>
        <v/>
      </c>
      <c r="S170" s="26" t="str">
        <f>IF('1. Live'!P188='check-Jul''26'!K188,"",'1. Live'!P188-'check-Jul''26'!K188)</f>
        <v/>
      </c>
      <c r="T170" s="26" t="str">
        <f>IF('1. Live'!Q188='check-Jul''26'!L188,"",'1. Live'!Q188-'check-Jul''26'!L188)</f>
        <v/>
      </c>
      <c r="U170" s="80" t="str">
        <f>IF('1. Live'!R188='check-Jul''26'!M188,"",'1. Live'!R188-'check-Jul''26'!M188)</f>
        <v/>
      </c>
      <c r="V170" s="26" t="str">
        <f>IF('1. Live'!S188='check-Jul''26'!N188,"",'1. Live'!S188-'check-Jul''26'!N188)</f>
        <v/>
      </c>
      <c r="W170" s="25" t="str">
        <f>IF('1. Live'!T188='check-Jul''26'!O188,"",'1. Live'!T188-'check-Jul''26'!O188)</f>
        <v/>
      </c>
      <c r="X170" s="25" t="str">
        <f>IF('1. Live'!U188='check-Jul''26'!Q188,"",'1. Live'!U188-'check-Jul''26'!Q188)</f>
        <v/>
      </c>
      <c r="Y170" s="25" t="str">
        <f>IF('1. Live'!V188='check-Jul''26'!R188,"",'1. Live'!V188-'check-Jul''26'!R188)</f>
        <v/>
      </c>
      <c r="Z170" s="25" t="str">
        <f>IF('1. Live'!W188='check-Jul''26'!S188,"",'1. Live'!W188-'check-Jul''26'!S188)</f>
        <v/>
      </c>
      <c r="AA170" s="25" t="str">
        <f>IF('1. Live'!X188='check-Jul''26'!T188,"",'1. Live'!X188-'check-Jul''26'!T188)</f>
        <v/>
      </c>
      <c r="AB170" s="25" t="str">
        <f>IF('1. Live'!AF188='check-Jul''26'!AB188,"",'1. Live'!AF188-'check-Jul''26'!AB188)</f>
        <v/>
      </c>
      <c r="AC170" s="25" t="str">
        <f>IF('1. Live'!AG188='check-Jul''26'!AC188,"",'1. Live'!AG188-'check-Jul''26'!AC188)</f>
        <v/>
      </c>
      <c r="AD170" s="25" t="str">
        <f>IF('1. Live'!AH188='check-Jul''26'!AD188,"",'1. Live'!AH188-'check-Jul''26'!AD188)</f>
        <v/>
      </c>
      <c r="AE170" s="25" t="str">
        <f>IF('1. Live'!AI188='check-Jul''26'!AE188,"",'1. Live'!AI188-'check-Jul''26'!AE188)</f>
        <v/>
      </c>
      <c r="AF170" s="25" t="str">
        <f>IF('1. Live'!AJ188='check-Jul''26'!AF188,"",'1. Live'!AJ188-'check-Jul''26'!AF188)</f>
        <v/>
      </c>
      <c r="AG170" s="25" t="str">
        <f>IF('1. Live'!AK188='check-Jul''26'!AG188,"",'1. Live'!AK188-'check-Jul''26'!AG188)</f>
        <v/>
      </c>
      <c r="AH170" s="25" t="str">
        <f>IF('1. Live'!AL188='check-Jul''26'!AH188,"",'1. Live'!AL188-'check-Jul''26'!AH188)</f>
        <v/>
      </c>
      <c r="AI170" s="25" t="str">
        <f>IF('1. Live'!AM188='check-Jul''26'!AI188,"",'1. Live'!AM188-'check-Jul''26'!AI188)</f>
        <v/>
      </c>
      <c r="AJ170" s="25" t="str">
        <f>IF('1. Live'!AN188='check-Jul''26'!AJ188,"",'1. Live'!AN188-'check-Jul''26'!AJ188)</f>
        <v/>
      </c>
      <c r="AK170" s="25" t="str">
        <f>IF('1. Live'!AO188='check-Jul''26'!AK188,"",'1. Live'!AO188-'check-Jul''26'!AK188)</f>
        <v/>
      </c>
      <c r="AL170" s="25" t="str">
        <f>IF('1. Live'!AP188='check-Jul''26'!AL188,"",'1. Live'!AP188-'check-Jul''26'!AL188)</f>
        <v/>
      </c>
      <c r="AM170" s="25" t="str">
        <f>IF('1. Live'!AQ188='check-Jul''26'!AM188,"",'1. Live'!AQ188-'check-Jul''26'!AM188)</f>
        <v/>
      </c>
      <c r="AN170" s="25" t="str">
        <f>IF('1. Live'!AR188='check-Jul''26'!AN188,"",'1. Live'!AR188-'check-Jul''26'!AN188)</f>
        <v/>
      </c>
      <c r="AO170" s="25" t="str">
        <f>IF('1. Live'!AS188='check-Jul''26'!AO188,"",'1. Live'!AS188-'check-Jul''26'!AO188)</f>
        <v/>
      </c>
      <c r="AP170" s="25" t="str">
        <f>IF('1. Live'!AT188='check-Jul''26'!AP188,"",'1. Live'!AT188-'check-Jul''26'!AP188)</f>
        <v/>
      </c>
      <c r="AQ170" s="25" t="str">
        <f>IF('1. Live'!AU188='check-Jul''26'!AQ188,"",'1. Live'!AU188-'check-Jul''26'!AQ188)</f>
        <v/>
      </c>
      <c r="AR170" s="25" t="str">
        <f>IF('1. Live'!AV188='check-Jul''26'!AR188,"",'1. Live'!AV188-'check-Jul''26'!AR188)</f>
        <v/>
      </c>
      <c r="AS170" s="25" t="str">
        <f>IF('1. Live'!AW188='check-Jul''26'!AS188,"",'1. Live'!AW188-'check-Jul''26'!AS188)</f>
        <v/>
      </c>
      <c r="AT170" s="25" t="str">
        <f>IF('1. Live'!AX188='check-Jul''26'!AT188,"",'1. Live'!AX188-'check-Jul''26'!AT188)</f>
        <v/>
      </c>
      <c r="AU170" s="25" t="str">
        <f>IF('1. Live'!AY188='check-Jul''26'!AU188,"",'1. Live'!AY188-'check-Jul''26'!AU188)</f>
        <v/>
      </c>
      <c r="AV170" s="25" t="str">
        <f>IF('1. Live'!AZ188='check-Jul''26'!AV188,"",'1. Live'!AZ188-'check-Jul''26'!AV188)</f>
        <v/>
      </c>
      <c r="AW170" s="25" t="str">
        <f>IF('1. Live'!BA188='check-Jul''26'!AW188,"",'1. Live'!BA188-'check-Jul''26'!AW188)</f>
        <v/>
      </c>
      <c r="AX170" s="25" t="str">
        <f>IF('1. Live'!BB188='check-Jul''26'!AX188,"",'1. Live'!BB188-'check-Jul''26'!AX188)</f>
        <v/>
      </c>
      <c r="AY170" s="25" t="str">
        <f>IF('1. Live'!BC188='check-Jul''26'!AY188,"",'1. Live'!BC188-'check-Jul''26'!AY188)</f>
        <v/>
      </c>
      <c r="AZ170" s="25" t="str">
        <f>IF('1. Live'!BD188='check-Jul''26'!AZ188,"",'1. Live'!BD188-'check-Jul''26'!AZ188)</f>
        <v/>
      </c>
      <c r="BA170" s="25" t="str">
        <f>IF('1. Live'!BE188='check-Jul''26'!BA188,"",'1. Live'!BE188-'check-Jul''26'!BA188)</f>
        <v/>
      </c>
      <c r="BB170" s="25" t="str">
        <f>IF('1. Live'!BF188='check-Jul''26'!BB188,"",'1. Live'!BF188-'check-Jul''26'!BB188)</f>
        <v/>
      </c>
      <c r="BC170" s="25" t="str">
        <f>IF('1. Live'!BG188='check-Jul''26'!BC188,"",'1. Live'!BG188-'check-Jul''26'!BC188)</f>
        <v/>
      </c>
      <c r="BD170" s="25" t="str">
        <f>IF('1. Live'!BH188='check-Jul''26'!BD188,"",'1. Live'!BH188-'check-Jul''26'!BD188)</f>
        <v/>
      </c>
      <c r="BE170" s="25" t="str">
        <f>IF('1. Live'!BI188='check-Jul''26'!BE188,"",'1. Live'!BI188-'check-Jul''26'!BE188)</f>
        <v/>
      </c>
      <c r="BF170" s="25" t="str">
        <f>IF('1. Live'!BJ188='check-Jul''26'!BF188,"",'1. Live'!BJ188-'check-Jul''26'!BF188)</f>
        <v/>
      </c>
      <c r="BG170" s="25" t="str">
        <f>IF('1. Live'!BK188='check-Jul''26'!BG188,"",'1. Live'!BK188-'check-Jul''26'!BG188)</f>
        <v/>
      </c>
      <c r="BH170" s="25" t="str">
        <f>IF('1. Live'!BL188='check-Jul''26'!BH188,"",'1. Live'!BL188-'check-Jul''26'!BH188)</f>
        <v/>
      </c>
      <c r="BI170" s="25" t="str">
        <f>IF('1. Live'!BM188='check-Jul''26'!BI188,"",'1. Live'!BM188-'check-Jul''26'!BI188)</f>
        <v/>
      </c>
      <c r="BJ170" s="25" t="str">
        <f>IF('1. Live'!BN188='check-Jul''26'!BJ188,"",'1. Live'!BN188-'check-Jul''26'!BJ188)</f>
        <v/>
      </c>
      <c r="BK170" s="25" t="str">
        <f>IF('1. Live'!BO188='check-Jul''26'!BK188,"",'1. Live'!BO188-'check-Jul''26'!BK188)</f>
        <v/>
      </c>
      <c r="BL170" s="25" t="str">
        <f>IF('1. Live'!BP188='check-Jul''26'!BL188,"",'1. Live'!BP188-'check-Jul''26'!BL188)</f>
        <v/>
      </c>
      <c r="BM170" s="25" t="str">
        <f>IF('1. Live'!BQ188='check-Jul''26'!BM188,"",'1. Live'!BQ188-'check-Jul''26'!BM188)</f>
        <v/>
      </c>
      <c r="BN170" s="25" t="str">
        <f>IF('1. Live'!BR188='check-Jul''26'!BN188,"",'1. Live'!BR188-'check-Jul''26'!BN188)</f>
        <v/>
      </c>
      <c r="BO170" s="25" t="str">
        <f>IF('1. Live'!BS188='check-Jul''26'!BO188,"",'1. Live'!BS188-'check-Jul''26'!BO188)</f>
        <v/>
      </c>
      <c r="BP170" s="25" t="str">
        <f>IF('1. Live'!BT188='check-Jul''26'!BP188,"",'1. Live'!BT188-'check-Jul''26'!BP188)</f>
        <v/>
      </c>
      <c r="BQ170" s="25" t="str">
        <f>IF('1. Live'!BU188='check-Jul''26'!BQ188,"",'1. Live'!BU188-'check-Jul''26'!BQ188)</f>
        <v/>
      </c>
      <c r="BR170" s="25" t="str">
        <f>IF('1. Live'!BV188='check-Jul''26'!BR188,"",'1. Live'!BV188-'check-Jul''26'!BR188)</f>
        <v/>
      </c>
      <c r="BS170" s="25" t="str">
        <f>IF('1. Live'!BW188='check-Jul''26'!BS188,"",'1. Live'!BW188-'check-Jul''26'!BS188)</f>
        <v/>
      </c>
      <c r="BT170" s="25" t="str">
        <f>IF('1. Live'!BX188='check-Jul''26'!BT188,"",'1. Live'!BX188-'check-Jul''26'!BT188)</f>
        <v/>
      </c>
      <c r="BU170" s="25" t="str">
        <f>IF('1. Live'!BY188='check-Jul''26'!BU188,"",'1. Live'!BY188-'check-Jul''26'!BU188)</f>
        <v/>
      </c>
      <c r="BV170" s="25" t="str">
        <f>IF('1. Live'!BZ188='check-Jul''26'!BV188,"",'1. Live'!BZ188-'check-Jul''26'!BV188)</f>
        <v/>
      </c>
      <c r="BW170" s="25" t="str">
        <f>IF('1. Live'!CA188='check-Jul''26'!BW188,"",'1. Live'!CA188-'check-Jul''26'!BW188)</f>
        <v/>
      </c>
      <c r="BX170" s="25" t="str">
        <f>IF('1. Live'!CB188='check-Jul''26'!BX188,"",'1. Live'!CB188-'check-Jul''26'!BX188)</f>
        <v/>
      </c>
      <c r="BY170" s="25" t="str">
        <f>IF('1. Live'!CC188='check-Jul''26'!BY188,"",'1. Live'!CC188-'check-Jul''26'!BY188)</f>
        <v/>
      </c>
      <c r="BZ170" s="25" t="str">
        <f>IF('1. Live'!CD188='check-Jul''26'!BZ188,"",'1. Live'!CD188-'check-Jul''26'!BZ188)</f>
        <v/>
      </c>
      <c r="CA170" s="25" t="str">
        <f>IF('1. Live'!CE188='check-Jul''26'!CA188,"",'1. Live'!CE188-'check-Jul''26'!CA188)</f>
        <v/>
      </c>
      <c r="CB170" s="25" t="str">
        <f>IF('1. Live'!CF188='check-Jul''26'!CB188,"",'1. Live'!CF188-'check-Jul''26'!CB188)</f>
        <v/>
      </c>
      <c r="CC170" s="25" t="str">
        <f>IF('1. Live'!CG188='check-Jul''26'!CC188,"",'1. Live'!CG188-'check-Jul''26'!CC188)</f>
        <v/>
      </c>
      <c r="CD170" s="25" t="str">
        <f>IF('1. Live'!CH188='check-Jul''26'!CD188,"",'1. Live'!CH188-'check-Jul''26'!CD188)</f>
        <v/>
      </c>
      <c r="CE170" s="25" t="str">
        <f>IF('1. Live'!CI188='check-Jul''26'!CE188,"",'1. Live'!CI188-'check-Jul''26'!CE188)</f>
        <v/>
      </c>
      <c r="CF170" s="25" t="str">
        <f>IF('1. Live'!CJ188='check-Jul''26'!CF188,"",'1. Live'!CJ188-'check-Jul''26'!CF188)</f>
        <v/>
      </c>
      <c r="CG170" s="25" t="str">
        <f>IF('1. Live'!CK188='check-Jul''26'!CG188,"",'1. Live'!CK188-'check-Jul''26'!CG188)</f>
        <v/>
      </c>
      <c r="CH170" s="25" t="str">
        <f>IF('1. Live'!CL188='check-Jul''26'!CH188,"",'1. Live'!CL188-'check-Jul''26'!CH188)</f>
        <v/>
      </c>
      <c r="CI170" s="25" t="str">
        <f>IF('1. Live'!CM188='check-Jul''26'!CI188,"",'1. Live'!CM188-'check-Jul''26'!CI188)</f>
        <v/>
      </c>
      <c r="CJ170" s="25" t="str">
        <f>IF('1. Live'!CN188='check-Jul''26'!CJ188,"",'1. Live'!CN188-'check-Jul''26'!CJ188)</f>
        <v/>
      </c>
      <c r="CK170" s="25" t="str">
        <f>IF('1. Live'!CO188='check-Jul''26'!CK188,"",'1. Live'!CO188-'check-Jul''26'!CK188)</f>
        <v/>
      </c>
      <c r="CL170" s="25" t="str">
        <f>IF('1. Live'!CP188='check-Jul''26'!CL188,"",'1. Live'!CP188-'check-Jul''26'!CL188)</f>
        <v/>
      </c>
      <c r="CM170" s="25" t="str">
        <f>IF('1. Live'!CQ188='check-Jul''26'!CM188,"",'1. Live'!CQ188-'check-Jul''26'!CM188)</f>
        <v/>
      </c>
      <c r="CN170" s="25" t="str">
        <f>IF('1. Live'!CR188='check-Jul''26'!CN188,"",'1. Live'!CR188-'check-Jul''26'!CN188)</f>
        <v/>
      </c>
      <c r="CO170" s="25" t="str">
        <f>IF('1. Live'!CS188='check-Jul''26'!CO188,"",'1. Live'!CS188-'check-Jul''26'!CO188)</f>
        <v/>
      </c>
      <c r="CP170" s="25" t="str">
        <f>IF('1. Live'!CT188='check-Jul''26'!CP188,"",'1. Live'!CT188-'check-Jul''26'!CP188)</f>
        <v/>
      </c>
      <c r="CQ170" s="25" t="str">
        <f>IF('1. Live'!CU188='check-Jul''26'!CQ188,"",'1. Live'!CU188-'check-Jul''26'!CQ188)</f>
        <v/>
      </c>
      <c r="CR170" s="25" t="str">
        <f>IF('1. Live'!CV188='check-Jul''26'!CR188,"",'1. Live'!CV188-'check-Jul''26'!CR188)</f>
        <v/>
      </c>
      <c r="CS170" s="25" t="str">
        <f>IF('1. Live'!CW188='check-Jul''26'!CS188,"",'1. Live'!CW188-'check-Jul''26'!CS188)</f>
        <v/>
      </c>
      <c r="CT170" s="25" t="str">
        <f>IF('1. Live'!CX188='check-Jul''26'!CT188,"",'1. Live'!CX188-'check-Jul''26'!CT188)</f>
        <v/>
      </c>
      <c r="CU170" s="25" t="str">
        <f>IF('1. Live'!CY188='check-Jul''26'!CU188,"",'1. Live'!CY188-'check-Jul''26'!CU188)</f>
        <v/>
      </c>
      <c r="CV170" s="25" t="str">
        <f>IF('1. Live'!CZ188='check-Jul''26'!CV188,"",'1. Live'!CZ188-'check-Jul''26'!CV188)</f>
        <v/>
      </c>
    </row>
    <row r="171" spans="17:100" x14ac:dyDescent="0.25">
      <c r="Q171" s="26" t="str">
        <f>IF('1. Live'!N189='check-Jul''26'!I189,"",'1. Live'!N189-'check-Jul''26'!I189)</f>
        <v/>
      </c>
      <c r="R171" s="26" t="str">
        <f>IF('1. Live'!O189='check-Jul''26'!J189,"",'1. Live'!O189-'check-Jul''26'!J189)</f>
        <v/>
      </c>
      <c r="S171" s="26" t="str">
        <f>IF('1. Live'!P189='check-Jul''26'!K189,"",'1. Live'!P189-'check-Jul''26'!K189)</f>
        <v/>
      </c>
      <c r="T171" s="26" t="str">
        <f>IF('1. Live'!Q189='check-Jul''26'!L189,"",'1. Live'!Q189-'check-Jul''26'!L189)</f>
        <v/>
      </c>
      <c r="U171" s="80" t="str">
        <f>IF('1. Live'!R189='check-Jul''26'!M189,"",'1. Live'!R189-'check-Jul''26'!M189)</f>
        <v/>
      </c>
      <c r="V171" s="26" t="str">
        <f>IF('1. Live'!S189='check-Jul''26'!N189,"",'1. Live'!S189-'check-Jul''26'!N189)</f>
        <v/>
      </c>
      <c r="W171" s="25" t="str">
        <f>IF('1. Live'!T189='check-Jul''26'!O189,"",'1. Live'!T189-'check-Jul''26'!O189)</f>
        <v/>
      </c>
      <c r="X171" s="25" t="str">
        <f>IF('1. Live'!U189='check-Jul''26'!Q189,"",'1. Live'!U189-'check-Jul''26'!Q189)</f>
        <v/>
      </c>
      <c r="Y171" s="25" t="str">
        <f>IF('1. Live'!V189='check-Jul''26'!R189,"",'1. Live'!V189-'check-Jul''26'!R189)</f>
        <v/>
      </c>
      <c r="Z171" s="25" t="str">
        <f>IF('1. Live'!W189='check-Jul''26'!S189,"",'1. Live'!W189-'check-Jul''26'!S189)</f>
        <v/>
      </c>
      <c r="AA171" s="25" t="str">
        <f>IF('1. Live'!X189='check-Jul''26'!T189,"",'1. Live'!X189-'check-Jul''26'!T189)</f>
        <v/>
      </c>
      <c r="AB171" s="25" t="str">
        <f>IF('1. Live'!AF189='check-Jul''26'!AB189,"",'1. Live'!AF189-'check-Jul''26'!AB189)</f>
        <v/>
      </c>
      <c r="AC171" s="25" t="str">
        <f>IF('1. Live'!AG189='check-Jul''26'!AC189,"",'1. Live'!AG189-'check-Jul''26'!AC189)</f>
        <v/>
      </c>
      <c r="AD171" s="25" t="str">
        <f>IF('1. Live'!AH189='check-Jul''26'!AD189,"",'1. Live'!AH189-'check-Jul''26'!AD189)</f>
        <v/>
      </c>
      <c r="AE171" s="25" t="str">
        <f>IF('1. Live'!AI189='check-Jul''26'!AE189,"",'1. Live'!AI189-'check-Jul''26'!AE189)</f>
        <v/>
      </c>
      <c r="AF171" s="25" t="str">
        <f>IF('1. Live'!AJ189='check-Jul''26'!AF189,"",'1. Live'!AJ189-'check-Jul''26'!AF189)</f>
        <v/>
      </c>
      <c r="AG171" s="25" t="str">
        <f>IF('1. Live'!AK189='check-Jul''26'!AG189,"",'1. Live'!AK189-'check-Jul''26'!AG189)</f>
        <v/>
      </c>
      <c r="AH171" s="25" t="str">
        <f>IF('1. Live'!AL189='check-Jul''26'!AH189,"",'1. Live'!AL189-'check-Jul''26'!AH189)</f>
        <v/>
      </c>
      <c r="AI171" s="25" t="str">
        <f>IF('1. Live'!AM189='check-Jul''26'!AI189,"",'1. Live'!AM189-'check-Jul''26'!AI189)</f>
        <v/>
      </c>
      <c r="AJ171" s="25" t="str">
        <f>IF('1. Live'!AN189='check-Jul''26'!AJ189,"",'1. Live'!AN189-'check-Jul''26'!AJ189)</f>
        <v/>
      </c>
      <c r="AK171" s="25" t="str">
        <f>IF('1. Live'!AO189='check-Jul''26'!AK189,"",'1. Live'!AO189-'check-Jul''26'!AK189)</f>
        <v/>
      </c>
      <c r="AL171" s="25" t="str">
        <f>IF('1. Live'!AP189='check-Jul''26'!AL189,"",'1. Live'!AP189-'check-Jul''26'!AL189)</f>
        <v/>
      </c>
      <c r="AM171" s="25" t="str">
        <f>IF('1. Live'!AQ189='check-Jul''26'!AM189,"",'1. Live'!AQ189-'check-Jul''26'!AM189)</f>
        <v/>
      </c>
      <c r="AN171" s="25" t="str">
        <f>IF('1. Live'!AR189='check-Jul''26'!AN189,"",'1. Live'!AR189-'check-Jul''26'!AN189)</f>
        <v/>
      </c>
      <c r="AO171" s="25" t="str">
        <f>IF('1. Live'!AS189='check-Jul''26'!AO189,"",'1. Live'!AS189-'check-Jul''26'!AO189)</f>
        <v/>
      </c>
      <c r="AP171" s="25" t="str">
        <f>IF('1. Live'!AT189='check-Jul''26'!AP189,"",'1. Live'!AT189-'check-Jul''26'!AP189)</f>
        <v/>
      </c>
      <c r="AQ171" s="25" t="str">
        <f>IF('1. Live'!AU189='check-Jul''26'!AQ189,"",'1. Live'!AU189-'check-Jul''26'!AQ189)</f>
        <v/>
      </c>
      <c r="AR171" s="25" t="str">
        <f>IF('1. Live'!AV189='check-Jul''26'!AR189,"",'1. Live'!AV189-'check-Jul''26'!AR189)</f>
        <v/>
      </c>
      <c r="AS171" s="25" t="str">
        <f>IF('1. Live'!AW189='check-Jul''26'!AS189,"",'1. Live'!AW189-'check-Jul''26'!AS189)</f>
        <v/>
      </c>
      <c r="AT171" s="25" t="str">
        <f>IF('1. Live'!AX189='check-Jul''26'!AT189,"",'1. Live'!AX189-'check-Jul''26'!AT189)</f>
        <v/>
      </c>
      <c r="AU171" s="25" t="str">
        <f>IF('1. Live'!AY189='check-Jul''26'!AU189,"",'1. Live'!AY189-'check-Jul''26'!AU189)</f>
        <v/>
      </c>
      <c r="AV171" s="25" t="str">
        <f>IF('1. Live'!AZ189='check-Jul''26'!AV189,"",'1. Live'!AZ189-'check-Jul''26'!AV189)</f>
        <v/>
      </c>
      <c r="AW171" s="25" t="str">
        <f>IF('1. Live'!BA189='check-Jul''26'!AW189,"",'1. Live'!BA189-'check-Jul''26'!AW189)</f>
        <v/>
      </c>
      <c r="AX171" s="25" t="str">
        <f>IF('1. Live'!BB189='check-Jul''26'!AX189,"",'1. Live'!BB189-'check-Jul''26'!AX189)</f>
        <v/>
      </c>
      <c r="AY171" s="25" t="str">
        <f>IF('1. Live'!BC189='check-Jul''26'!AY189,"",'1. Live'!BC189-'check-Jul''26'!AY189)</f>
        <v/>
      </c>
      <c r="AZ171" s="25" t="str">
        <f>IF('1. Live'!BD189='check-Jul''26'!AZ189,"",'1. Live'!BD189-'check-Jul''26'!AZ189)</f>
        <v/>
      </c>
      <c r="BA171" s="25" t="str">
        <f>IF('1. Live'!BE189='check-Jul''26'!BA189,"",'1. Live'!BE189-'check-Jul''26'!BA189)</f>
        <v/>
      </c>
      <c r="BB171" s="25" t="str">
        <f>IF('1. Live'!BF189='check-Jul''26'!BB189,"",'1. Live'!BF189-'check-Jul''26'!BB189)</f>
        <v/>
      </c>
      <c r="BC171" s="25" t="str">
        <f>IF('1. Live'!BG189='check-Jul''26'!BC189,"",'1. Live'!BG189-'check-Jul''26'!BC189)</f>
        <v/>
      </c>
      <c r="BD171" s="25" t="str">
        <f>IF('1. Live'!BH189='check-Jul''26'!BD189,"",'1. Live'!BH189-'check-Jul''26'!BD189)</f>
        <v/>
      </c>
      <c r="BE171" s="25" t="str">
        <f>IF('1. Live'!BI189='check-Jul''26'!BE189,"",'1. Live'!BI189-'check-Jul''26'!BE189)</f>
        <v/>
      </c>
      <c r="BF171" s="25" t="str">
        <f>IF('1. Live'!BJ189='check-Jul''26'!BF189,"",'1. Live'!BJ189-'check-Jul''26'!BF189)</f>
        <v/>
      </c>
      <c r="BG171" s="25" t="str">
        <f>IF('1. Live'!BK189='check-Jul''26'!BG189,"",'1. Live'!BK189-'check-Jul''26'!BG189)</f>
        <v/>
      </c>
      <c r="BH171" s="25" t="str">
        <f>IF('1. Live'!BL189='check-Jul''26'!BH189,"",'1. Live'!BL189-'check-Jul''26'!BH189)</f>
        <v/>
      </c>
      <c r="BI171" s="25" t="str">
        <f>IF('1. Live'!BM189='check-Jul''26'!BI189,"",'1. Live'!BM189-'check-Jul''26'!BI189)</f>
        <v/>
      </c>
      <c r="BJ171" s="25" t="str">
        <f>IF('1. Live'!BN189='check-Jul''26'!BJ189,"",'1. Live'!BN189-'check-Jul''26'!BJ189)</f>
        <v/>
      </c>
      <c r="BK171" s="25" t="str">
        <f>IF('1. Live'!BO189='check-Jul''26'!BK189,"",'1. Live'!BO189-'check-Jul''26'!BK189)</f>
        <v/>
      </c>
      <c r="BL171" s="25" t="str">
        <f>IF('1. Live'!BP189='check-Jul''26'!BL189,"",'1. Live'!BP189-'check-Jul''26'!BL189)</f>
        <v/>
      </c>
      <c r="BM171" s="25" t="str">
        <f>IF('1. Live'!BQ189='check-Jul''26'!BM189,"",'1. Live'!BQ189-'check-Jul''26'!BM189)</f>
        <v/>
      </c>
      <c r="BN171" s="25" t="str">
        <f>IF('1. Live'!BR189='check-Jul''26'!BN189,"",'1. Live'!BR189-'check-Jul''26'!BN189)</f>
        <v/>
      </c>
      <c r="BO171" s="25" t="str">
        <f>IF('1. Live'!BS189='check-Jul''26'!BO189,"",'1. Live'!BS189-'check-Jul''26'!BO189)</f>
        <v/>
      </c>
      <c r="BP171" s="25" t="str">
        <f>IF('1. Live'!BT189='check-Jul''26'!BP189,"",'1. Live'!BT189-'check-Jul''26'!BP189)</f>
        <v/>
      </c>
      <c r="BQ171" s="25" t="str">
        <f>IF('1. Live'!BU189='check-Jul''26'!BQ189,"",'1. Live'!BU189-'check-Jul''26'!BQ189)</f>
        <v/>
      </c>
      <c r="BR171" s="25" t="str">
        <f>IF('1. Live'!BV189='check-Jul''26'!BR189,"",'1. Live'!BV189-'check-Jul''26'!BR189)</f>
        <v/>
      </c>
      <c r="BS171" s="25" t="str">
        <f>IF('1. Live'!BW189='check-Jul''26'!BS189,"",'1. Live'!BW189-'check-Jul''26'!BS189)</f>
        <v/>
      </c>
      <c r="BT171" s="25" t="str">
        <f>IF('1. Live'!BX189='check-Jul''26'!BT189,"",'1. Live'!BX189-'check-Jul''26'!BT189)</f>
        <v/>
      </c>
      <c r="BU171" s="25" t="str">
        <f>IF('1. Live'!BY189='check-Jul''26'!BU189,"",'1. Live'!BY189-'check-Jul''26'!BU189)</f>
        <v/>
      </c>
      <c r="BV171" s="25" t="str">
        <f>IF('1. Live'!BZ189='check-Jul''26'!BV189,"",'1. Live'!BZ189-'check-Jul''26'!BV189)</f>
        <v/>
      </c>
      <c r="BW171" s="25" t="str">
        <f>IF('1. Live'!CA189='check-Jul''26'!BW189,"",'1. Live'!CA189-'check-Jul''26'!BW189)</f>
        <v/>
      </c>
      <c r="BX171" s="25" t="str">
        <f>IF('1. Live'!CB189='check-Jul''26'!BX189,"",'1. Live'!CB189-'check-Jul''26'!BX189)</f>
        <v/>
      </c>
      <c r="BY171" s="25" t="str">
        <f>IF('1. Live'!CC189='check-Jul''26'!BY189,"",'1. Live'!CC189-'check-Jul''26'!BY189)</f>
        <v/>
      </c>
      <c r="BZ171" s="25" t="str">
        <f>IF('1. Live'!CD189='check-Jul''26'!BZ189,"",'1. Live'!CD189-'check-Jul''26'!BZ189)</f>
        <v/>
      </c>
      <c r="CA171" s="25" t="str">
        <f>IF('1. Live'!CE189='check-Jul''26'!CA189,"",'1. Live'!CE189-'check-Jul''26'!CA189)</f>
        <v/>
      </c>
      <c r="CB171" s="25" t="str">
        <f>IF('1. Live'!CF189='check-Jul''26'!CB189,"",'1. Live'!CF189-'check-Jul''26'!CB189)</f>
        <v/>
      </c>
      <c r="CC171" s="25" t="str">
        <f>IF('1. Live'!CG189='check-Jul''26'!CC189,"",'1. Live'!CG189-'check-Jul''26'!CC189)</f>
        <v/>
      </c>
      <c r="CD171" s="25" t="str">
        <f>IF('1. Live'!CH189='check-Jul''26'!CD189,"",'1. Live'!CH189-'check-Jul''26'!CD189)</f>
        <v/>
      </c>
      <c r="CE171" s="25" t="str">
        <f>IF('1. Live'!CI189='check-Jul''26'!CE189,"",'1. Live'!CI189-'check-Jul''26'!CE189)</f>
        <v/>
      </c>
      <c r="CF171" s="25" t="str">
        <f>IF('1. Live'!CJ189='check-Jul''26'!CF189,"",'1. Live'!CJ189-'check-Jul''26'!CF189)</f>
        <v/>
      </c>
      <c r="CG171" s="25" t="str">
        <f>IF('1. Live'!CK189='check-Jul''26'!CG189,"",'1. Live'!CK189-'check-Jul''26'!CG189)</f>
        <v/>
      </c>
      <c r="CH171" s="25" t="str">
        <f>IF('1. Live'!CL189='check-Jul''26'!CH189,"",'1. Live'!CL189-'check-Jul''26'!CH189)</f>
        <v/>
      </c>
      <c r="CI171" s="25" t="str">
        <f>IF('1. Live'!CM189='check-Jul''26'!CI189,"",'1. Live'!CM189-'check-Jul''26'!CI189)</f>
        <v/>
      </c>
      <c r="CJ171" s="25" t="str">
        <f>IF('1. Live'!CN189='check-Jul''26'!CJ189,"",'1. Live'!CN189-'check-Jul''26'!CJ189)</f>
        <v/>
      </c>
      <c r="CK171" s="25" t="str">
        <f>IF('1. Live'!CO189='check-Jul''26'!CK189,"",'1. Live'!CO189-'check-Jul''26'!CK189)</f>
        <v/>
      </c>
      <c r="CL171" s="25" t="str">
        <f>IF('1. Live'!CP189='check-Jul''26'!CL189,"",'1. Live'!CP189-'check-Jul''26'!CL189)</f>
        <v/>
      </c>
      <c r="CM171" s="25" t="str">
        <f>IF('1. Live'!CQ189='check-Jul''26'!CM189,"",'1. Live'!CQ189-'check-Jul''26'!CM189)</f>
        <v/>
      </c>
      <c r="CN171" s="25" t="str">
        <f>IF('1. Live'!CR189='check-Jul''26'!CN189,"",'1. Live'!CR189-'check-Jul''26'!CN189)</f>
        <v/>
      </c>
      <c r="CO171" s="25" t="str">
        <f>IF('1. Live'!CS189='check-Jul''26'!CO189,"",'1. Live'!CS189-'check-Jul''26'!CO189)</f>
        <v/>
      </c>
      <c r="CP171" s="25" t="str">
        <f>IF('1. Live'!CT189='check-Jul''26'!CP189,"",'1. Live'!CT189-'check-Jul''26'!CP189)</f>
        <v/>
      </c>
      <c r="CQ171" s="25" t="str">
        <f>IF('1. Live'!CU189='check-Jul''26'!CQ189,"",'1. Live'!CU189-'check-Jul''26'!CQ189)</f>
        <v/>
      </c>
      <c r="CR171" s="25" t="str">
        <f>IF('1. Live'!CV189='check-Jul''26'!CR189,"",'1. Live'!CV189-'check-Jul''26'!CR189)</f>
        <v/>
      </c>
      <c r="CS171" s="25" t="str">
        <f>IF('1. Live'!CW189='check-Jul''26'!CS189,"",'1. Live'!CW189-'check-Jul''26'!CS189)</f>
        <v/>
      </c>
      <c r="CT171" s="25" t="str">
        <f>IF('1. Live'!CX189='check-Jul''26'!CT189,"",'1. Live'!CX189-'check-Jul''26'!CT189)</f>
        <v/>
      </c>
      <c r="CU171" s="25" t="str">
        <f>IF('1. Live'!CY189='check-Jul''26'!CU189,"",'1. Live'!CY189-'check-Jul''26'!CU189)</f>
        <v/>
      </c>
      <c r="CV171" s="25" t="str">
        <f>IF('1. Live'!CZ189='check-Jul''26'!CV189,"",'1. Live'!CZ189-'check-Jul''26'!CV189)</f>
        <v/>
      </c>
    </row>
    <row r="172" spans="17:100" x14ac:dyDescent="0.25">
      <c r="Q172" s="26" t="str">
        <f>IF('1. Live'!N190='check-Jul''26'!I190,"",'1. Live'!N190-'check-Jul''26'!I190)</f>
        <v/>
      </c>
      <c r="R172" s="26" t="str">
        <f>IF('1. Live'!O190='check-Jul''26'!J190,"",'1. Live'!O190-'check-Jul''26'!J190)</f>
        <v/>
      </c>
      <c r="S172" s="26" t="str">
        <f>IF('1. Live'!P190='check-Jul''26'!K190,"",'1. Live'!P190-'check-Jul''26'!K190)</f>
        <v/>
      </c>
      <c r="T172" s="26" t="str">
        <f>IF('1. Live'!Q190='check-Jul''26'!L190,"",'1. Live'!Q190-'check-Jul''26'!L190)</f>
        <v/>
      </c>
      <c r="U172" s="80" t="str">
        <f>IF('1. Live'!R190='check-Jul''26'!M190,"",'1. Live'!R190-'check-Jul''26'!M190)</f>
        <v/>
      </c>
      <c r="V172" s="26" t="str">
        <f>IF('1. Live'!S190='check-Jul''26'!N190,"",'1. Live'!S190-'check-Jul''26'!N190)</f>
        <v/>
      </c>
      <c r="W172" s="25" t="str">
        <f>IF('1. Live'!T190='check-Jul''26'!O190,"",'1. Live'!T190-'check-Jul''26'!O190)</f>
        <v/>
      </c>
      <c r="X172" s="25" t="str">
        <f>IF('1. Live'!U190='check-Jul''26'!Q190,"",'1. Live'!U190-'check-Jul''26'!Q190)</f>
        <v/>
      </c>
      <c r="Y172" s="25" t="str">
        <f>IF('1. Live'!V190='check-Jul''26'!R190,"",'1. Live'!V190-'check-Jul''26'!R190)</f>
        <v/>
      </c>
      <c r="Z172" s="25" t="str">
        <f>IF('1. Live'!W190='check-Jul''26'!S190,"",'1. Live'!W190-'check-Jul''26'!S190)</f>
        <v/>
      </c>
      <c r="AA172" s="25" t="str">
        <f>IF('1. Live'!X190='check-Jul''26'!T190,"",'1. Live'!X190-'check-Jul''26'!T190)</f>
        <v/>
      </c>
      <c r="AB172" s="25" t="str">
        <f>IF('1. Live'!AF190='check-Jul''26'!AB190,"",'1. Live'!AF190-'check-Jul''26'!AB190)</f>
        <v/>
      </c>
      <c r="AC172" s="25" t="str">
        <f>IF('1. Live'!AG190='check-Jul''26'!AC190,"",'1. Live'!AG190-'check-Jul''26'!AC190)</f>
        <v/>
      </c>
      <c r="AD172" s="25" t="str">
        <f>IF('1. Live'!AH190='check-Jul''26'!AD190,"",'1. Live'!AH190-'check-Jul''26'!AD190)</f>
        <v/>
      </c>
      <c r="AE172" s="25" t="str">
        <f>IF('1. Live'!AI190='check-Jul''26'!AE190,"",'1. Live'!AI190-'check-Jul''26'!AE190)</f>
        <v/>
      </c>
      <c r="AF172" s="25" t="str">
        <f>IF('1. Live'!AJ190='check-Jul''26'!AF190,"",'1. Live'!AJ190-'check-Jul''26'!AF190)</f>
        <v/>
      </c>
      <c r="AG172" s="25" t="str">
        <f>IF('1. Live'!AK190='check-Jul''26'!AG190,"",'1. Live'!AK190-'check-Jul''26'!AG190)</f>
        <v/>
      </c>
      <c r="AH172" s="25" t="str">
        <f>IF('1. Live'!AL190='check-Jul''26'!AH190,"",'1. Live'!AL190-'check-Jul''26'!AH190)</f>
        <v/>
      </c>
      <c r="AI172" s="25" t="str">
        <f>IF('1. Live'!AM190='check-Jul''26'!AI190,"",'1. Live'!AM190-'check-Jul''26'!AI190)</f>
        <v/>
      </c>
      <c r="AJ172" s="25" t="str">
        <f>IF('1. Live'!AN190='check-Jul''26'!AJ190,"",'1. Live'!AN190-'check-Jul''26'!AJ190)</f>
        <v/>
      </c>
      <c r="AK172" s="25" t="str">
        <f>IF('1. Live'!AO190='check-Jul''26'!AK190,"",'1. Live'!AO190-'check-Jul''26'!AK190)</f>
        <v/>
      </c>
      <c r="AL172" s="25" t="str">
        <f>IF('1. Live'!AP190='check-Jul''26'!AL190,"",'1. Live'!AP190-'check-Jul''26'!AL190)</f>
        <v/>
      </c>
      <c r="AM172" s="25" t="str">
        <f>IF('1. Live'!AQ190='check-Jul''26'!AM190,"",'1. Live'!AQ190-'check-Jul''26'!AM190)</f>
        <v/>
      </c>
      <c r="AN172" s="25" t="str">
        <f>IF('1. Live'!AR190='check-Jul''26'!AN190,"",'1. Live'!AR190-'check-Jul''26'!AN190)</f>
        <v/>
      </c>
      <c r="AO172" s="25" t="str">
        <f>IF('1. Live'!AS190='check-Jul''26'!AO190,"",'1. Live'!AS190-'check-Jul''26'!AO190)</f>
        <v/>
      </c>
      <c r="AP172" s="25" t="str">
        <f>IF('1. Live'!AT190='check-Jul''26'!AP190,"",'1. Live'!AT190-'check-Jul''26'!AP190)</f>
        <v/>
      </c>
      <c r="AQ172" s="25" t="str">
        <f>IF('1. Live'!AU190='check-Jul''26'!AQ190,"",'1. Live'!AU190-'check-Jul''26'!AQ190)</f>
        <v/>
      </c>
      <c r="AR172" s="25" t="str">
        <f>IF('1. Live'!AV190='check-Jul''26'!AR190,"",'1. Live'!AV190-'check-Jul''26'!AR190)</f>
        <v/>
      </c>
      <c r="AS172" s="25" t="str">
        <f>IF('1. Live'!AW190='check-Jul''26'!AS190,"",'1. Live'!AW190-'check-Jul''26'!AS190)</f>
        <v/>
      </c>
      <c r="AT172" s="25" t="str">
        <f>IF('1. Live'!AX190='check-Jul''26'!AT190,"",'1. Live'!AX190-'check-Jul''26'!AT190)</f>
        <v/>
      </c>
      <c r="AU172" s="25" t="str">
        <f>IF('1. Live'!AY190='check-Jul''26'!AU190,"",'1. Live'!AY190-'check-Jul''26'!AU190)</f>
        <v/>
      </c>
      <c r="AV172" s="25" t="str">
        <f>IF('1. Live'!AZ190='check-Jul''26'!AV190,"",'1. Live'!AZ190-'check-Jul''26'!AV190)</f>
        <v/>
      </c>
      <c r="AW172" s="25" t="str">
        <f>IF('1. Live'!BA190='check-Jul''26'!AW190,"",'1. Live'!BA190-'check-Jul''26'!AW190)</f>
        <v/>
      </c>
      <c r="AX172" s="25" t="str">
        <f>IF('1. Live'!BB190='check-Jul''26'!AX190,"",'1. Live'!BB190-'check-Jul''26'!AX190)</f>
        <v/>
      </c>
      <c r="AY172" s="25" t="str">
        <f>IF('1. Live'!BC190='check-Jul''26'!AY190,"",'1. Live'!BC190-'check-Jul''26'!AY190)</f>
        <v/>
      </c>
      <c r="AZ172" s="25" t="str">
        <f>IF('1. Live'!BD190='check-Jul''26'!AZ190,"",'1. Live'!BD190-'check-Jul''26'!AZ190)</f>
        <v/>
      </c>
      <c r="BA172" s="25" t="str">
        <f>IF('1. Live'!BE190='check-Jul''26'!BA190,"",'1. Live'!BE190-'check-Jul''26'!BA190)</f>
        <v/>
      </c>
      <c r="BB172" s="25" t="str">
        <f>IF('1. Live'!BF190='check-Jul''26'!BB190,"",'1. Live'!BF190-'check-Jul''26'!BB190)</f>
        <v/>
      </c>
      <c r="BC172" s="25" t="str">
        <f>IF('1. Live'!BG190='check-Jul''26'!BC190,"",'1. Live'!BG190-'check-Jul''26'!BC190)</f>
        <v/>
      </c>
      <c r="BD172" s="25" t="str">
        <f>IF('1. Live'!BH190='check-Jul''26'!BD190,"",'1. Live'!BH190-'check-Jul''26'!BD190)</f>
        <v/>
      </c>
      <c r="BE172" s="25" t="str">
        <f>IF('1. Live'!BI190='check-Jul''26'!BE190,"",'1. Live'!BI190-'check-Jul''26'!BE190)</f>
        <v/>
      </c>
      <c r="BF172" s="25" t="str">
        <f>IF('1. Live'!BJ190='check-Jul''26'!BF190,"",'1. Live'!BJ190-'check-Jul''26'!BF190)</f>
        <v/>
      </c>
      <c r="BG172" s="25" t="str">
        <f>IF('1. Live'!BK190='check-Jul''26'!BG190,"",'1. Live'!BK190-'check-Jul''26'!BG190)</f>
        <v/>
      </c>
      <c r="BH172" s="25" t="str">
        <f>IF('1. Live'!BL190='check-Jul''26'!BH190,"",'1. Live'!BL190-'check-Jul''26'!BH190)</f>
        <v/>
      </c>
      <c r="BI172" s="25" t="str">
        <f>IF('1. Live'!BM190='check-Jul''26'!BI190,"",'1. Live'!BM190-'check-Jul''26'!BI190)</f>
        <v/>
      </c>
      <c r="BJ172" s="25" t="str">
        <f>IF('1. Live'!BN190='check-Jul''26'!BJ190,"",'1. Live'!BN190-'check-Jul''26'!BJ190)</f>
        <v/>
      </c>
      <c r="BK172" s="25" t="str">
        <f>IF('1. Live'!BO190='check-Jul''26'!BK190,"",'1. Live'!BO190-'check-Jul''26'!BK190)</f>
        <v/>
      </c>
      <c r="BL172" s="25" t="str">
        <f>IF('1. Live'!BP190='check-Jul''26'!BL190,"",'1. Live'!BP190-'check-Jul''26'!BL190)</f>
        <v/>
      </c>
      <c r="BM172" s="25" t="str">
        <f>IF('1. Live'!BQ190='check-Jul''26'!BM190,"",'1. Live'!BQ190-'check-Jul''26'!BM190)</f>
        <v/>
      </c>
      <c r="BN172" s="25" t="str">
        <f>IF('1. Live'!BR190='check-Jul''26'!BN190,"",'1. Live'!BR190-'check-Jul''26'!BN190)</f>
        <v/>
      </c>
      <c r="BO172" s="25" t="str">
        <f>IF('1. Live'!BS190='check-Jul''26'!BO190,"",'1. Live'!BS190-'check-Jul''26'!BO190)</f>
        <v/>
      </c>
      <c r="BP172" s="25" t="str">
        <f>IF('1. Live'!BT190='check-Jul''26'!BP190,"",'1. Live'!BT190-'check-Jul''26'!BP190)</f>
        <v/>
      </c>
      <c r="BQ172" s="25" t="str">
        <f>IF('1. Live'!BU190='check-Jul''26'!BQ190,"",'1. Live'!BU190-'check-Jul''26'!BQ190)</f>
        <v/>
      </c>
      <c r="BR172" s="25" t="str">
        <f>IF('1. Live'!BV190='check-Jul''26'!BR190,"",'1. Live'!BV190-'check-Jul''26'!BR190)</f>
        <v/>
      </c>
      <c r="BS172" s="25" t="str">
        <f>IF('1. Live'!BW190='check-Jul''26'!BS190,"",'1. Live'!BW190-'check-Jul''26'!BS190)</f>
        <v/>
      </c>
      <c r="BT172" s="25" t="str">
        <f>IF('1. Live'!BX190='check-Jul''26'!BT190,"",'1. Live'!BX190-'check-Jul''26'!BT190)</f>
        <v/>
      </c>
      <c r="BU172" s="25" t="str">
        <f>IF('1. Live'!BY190='check-Jul''26'!BU190,"",'1. Live'!BY190-'check-Jul''26'!BU190)</f>
        <v/>
      </c>
      <c r="BV172" s="25" t="str">
        <f>IF('1. Live'!BZ190='check-Jul''26'!BV190,"",'1. Live'!BZ190-'check-Jul''26'!BV190)</f>
        <v/>
      </c>
      <c r="BW172" s="25" t="str">
        <f>IF('1. Live'!CA190='check-Jul''26'!BW190,"",'1. Live'!CA190-'check-Jul''26'!BW190)</f>
        <v/>
      </c>
      <c r="BX172" s="25" t="str">
        <f>IF('1. Live'!CB190='check-Jul''26'!BX190,"",'1. Live'!CB190-'check-Jul''26'!BX190)</f>
        <v/>
      </c>
      <c r="BY172" s="25" t="str">
        <f>IF('1. Live'!CC190='check-Jul''26'!BY190,"",'1. Live'!CC190-'check-Jul''26'!BY190)</f>
        <v/>
      </c>
      <c r="BZ172" s="25" t="str">
        <f>IF('1. Live'!CD190='check-Jul''26'!BZ190,"",'1. Live'!CD190-'check-Jul''26'!BZ190)</f>
        <v/>
      </c>
      <c r="CA172" s="25" t="str">
        <f>IF('1. Live'!CE190='check-Jul''26'!CA190,"",'1. Live'!CE190-'check-Jul''26'!CA190)</f>
        <v/>
      </c>
      <c r="CB172" s="25" t="str">
        <f>IF('1. Live'!CF190='check-Jul''26'!CB190,"",'1. Live'!CF190-'check-Jul''26'!CB190)</f>
        <v/>
      </c>
      <c r="CC172" s="25" t="str">
        <f>IF('1. Live'!CG190='check-Jul''26'!CC190,"",'1. Live'!CG190-'check-Jul''26'!CC190)</f>
        <v/>
      </c>
      <c r="CD172" s="25" t="str">
        <f>IF('1. Live'!CH190='check-Jul''26'!CD190,"",'1. Live'!CH190-'check-Jul''26'!CD190)</f>
        <v/>
      </c>
      <c r="CE172" s="25" t="str">
        <f>IF('1. Live'!CI190='check-Jul''26'!CE190,"",'1. Live'!CI190-'check-Jul''26'!CE190)</f>
        <v/>
      </c>
      <c r="CF172" s="25" t="str">
        <f>IF('1. Live'!CJ190='check-Jul''26'!CF190,"",'1. Live'!CJ190-'check-Jul''26'!CF190)</f>
        <v/>
      </c>
      <c r="CG172" s="25" t="str">
        <f>IF('1. Live'!CK190='check-Jul''26'!CG190,"",'1. Live'!CK190-'check-Jul''26'!CG190)</f>
        <v/>
      </c>
      <c r="CH172" s="25" t="str">
        <f>IF('1. Live'!CL190='check-Jul''26'!CH190,"",'1. Live'!CL190-'check-Jul''26'!CH190)</f>
        <v/>
      </c>
      <c r="CI172" s="25" t="str">
        <f>IF('1. Live'!CM190='check-Jul''26'!CI190,"",'1. Live'!CM190-'check-Jul''26'!CI190)</f>
        <v/>
      </c>
      <c r="CJ172" s="25" t="str">
        <f>IF('1. Live'!CN190='check-Jul''26'!CJ190,"",'1. Live'!CN190-'check-Jul''26'!CJ190)</f>
        <v/>
      </c>
      <c r="CK172" s="25" t="str">
        <f>IF('1. Live'!CO190='check-Jul''26'!CK190,"",'1. Live'!CO190-'check-Jul''26'!CK190)</f>
        <v/>
      </c>
      <c r="CL172" s="25" t="str">
        <f>IF('1. Live'!CP190='check-Jul''26'!CL190,"",'1. Live'!CP190-'check-Jul''26'!CL190)</f>
        <v/>
      </c>
      <c r="CM172" s="25" t="str">
        <f>IF('1. Live'!CQ190='check-Jul''26'!CM190,"",'1. Live'!CQ190-'check-Jul''26'!CM190)</f>
        <v/>
      </c>
      <c r="CN172" s="25" t="str">
        <f>IF('1. Live'!CR190='check-Jul''26'!CN190,"",'1. Live'!CR190-'check-Jul''26'!CN190)</f>
        <v/>
      </c>
      <c r="CO172" s="25" t="str">
        <f>IF('1. Live'!CS190='check-Jul''26'!CO190,"",'1. Live'!CS190-'check-Jul''26'!CO190)</f>
        <v/>
      </c>
      <c r="CP172" s="25" t="str">
        <f>IF('1. Live'!CT190='check-Jul''26'!CP190,"",'1. Live'!CT190-'check-Jul''26'!CP190)</f>
        <v/>
      </c>
      <c r="CQ172" s="25" t="str">
        <f>IF('1. Live'!CU190='check-Jul''26'!CQ190,"",'1. Live'!CU190-'check-Jul''26'!CQ190)</f>
        <v/>
      </c>
      <c r="CR172" s="25" t="str">
        <f>IF('1. Live'!CV190='check-Jul''26'!CR190,"",'1. Live'!CV190-'check-Jul''26'!CR190)</f>
        <v/>
      </c>
      <c r="CS172" s="25" t="str">
        <f>IF('1. Live'!CW190='check-Jul''26'!CS190,"",'1. Live'!CW190-'check-Jul''26'!CS190)</f>
        <v/>
      </c>
      <c r="CT172" s="25" t="str">
        <f>IF('1. Live'!CX190='check-Jul''26'!CT190,"",'1. Live'!CX190-'check-Jul''26'!CT190)</f>
        <v/>
      </c>
      <c r="CU172" s="25" t="str">
        <f>IF('1. Live'!CY190='check-Jul''26'!CU190,"",'1. Live'!CY190-'check-Jul''26'!CU190)</f>
        <v/>
      </c>
      <c r="CV172" s="25" t="str">
        <f>IF('1. Live'!CZ190='check-Jul''26'!CV190,"",'1. Live'!CZ190-'check-Jul''26'!CV190)</f>
        <v/>
      </c>
    </row>
    <row r="173" spans="17:100" x14ac:dyDescent="0.25">
      <c r="Q173" s="26" t="str">
        <f>IF('1. Live'!N191='check-Jul''26'!I191,"",'1. Live'!N191-'check-Jul''26'!I191)</f>
        <v/>
      </c>
      <c r="R173" s="26" t="str">
        <f>IF('1. Live'!O191='check-Jul''26'!J191,"",'1. Live'!O191-'check-Jul''26'!J191)</f>
        <v/>
      </c>
      <c r="S173" s="26" t="str">
        <f>IF('1. Live'!P191='check-Jul''26'!K191,"",'1. Live'!P191-'check-Jul''26'!K191)</f>
        <v/>
      </c>
      <c r="T173" s="26" t="str">
        <f>IF('1. Live'!Q191='check-Jul''26'!L191,"",'1. Live'!Q191-'check-Jul''26'!L191)</f>
        <v/>
      </c>
      <c r="U173" s="80" t="str">
        <f>IF('1. Live'!R191='check-Jul''26'!M191,"",'1. Live'!R191-'check-Jul''26'!M191)</f>
        <v/>
      </c>
      <c r="V173" s="26" t="str">
        <f>IF('1. Live'!S191='check-Jul''26'!N191,"",'1. Live'!S191-'check-Jul''26'!N191)</f>
        <v/>
      </c>
      <c r="W173" s="25" t="str">
        <f>IF('1. Live'!T191='check-Jul''26'!O191,"",'1. Live'!T191-'check-Jul''26'!O191)</f>
        <v/>
      </c>
      <c r="X173" s="25" t="str">
        <f>IF('1. Live'!U191='check-Jul''26'!Q191,"",'1. Live'!U191-'check-Jul''26'!Q191)</f>
        <v/>
      </c>
      <c r="Y173" s="25" t="str">
        <f>IF('1. Live'!V191='check-Jul''26'!R191,"",'1. Live'!V191-'check-Jul''26'!R191)</f>
        <v/>
      </c>
      <c r="Z173" s="25" t="str">
        <f>IF('1. Live'!W191='check-Jul''26'!S191,"",'1. Live'!W191-'check-Jul''26'!S191)</f>
        <v/>
      </c>
      <c r="AA173" s="25" t="str">
        <f>IF('1. Live'!X191='check-Jul''26'!T191,"",'1. Live'!X191-'check-Jul''26'!T191)</f>
        <v/>
      </c>
      <c r="AB173" s="25" t="str">
        <f>IF('1. Live'!AF191='check-Jul''26'!AB191,"",'1. Live'!AF191-'check-Jul''26'!AB191)</f>
        <v/>
      </c>
      <c r="AC173" s="25" t="str">
        <f>IF('1. Live'!AG191='check-Jul''26'!AC191,"",'1. Live'!AG191-'check-Jul''26'!AC191)</f>
        <v/>
      </c>
      <c r="AD173" s="25" t="str">
        <f>IF('1. Live'!AH191='check-Jul''26'!AD191,"",'1. Live'!AH191-'check-Jul''26'!AD191)</f>
        <v/>
      </c>
      <c r="AE173" s="25" t="str">
        <f>IF('1. Live'!AI191='check-Jul''26'!AE191,"",'1. Live'!AI191-'check-Jul''26'!AE191)</f>
        <v/>
      </c>
      <c r="AF173" s="25" t="str">
        <f>IF('1. Live'!AJ191='check-Jul''26'!AF191,"",'1. Live'!AJ191-'check-Jul''26'!AF191)</f>
        <v/>
      </c>
      <c r="AG173" s="25" t="str">
        <f>IF('1. Live'!AK191='check-Jul''26'!AG191,"",'1. Live'!AK191-'check-Jul''26'!AG191)</f>
        <v/>
      </c>
      <c r="AH173" s="25" t="str">
        <f>IF('1. Live'!AL191='check-Jul''26'!AH191,"",'1. Live'!AL191-'check-Jul''26'!AH191)</f>
        <v/>
      </c>
      <c r="AI173" s="25" t="str">
        <f>IF('1. Live'!AM191='check-Jul''26'!AI191,"",'1. Live'!AM191-'check-Jul''26'!AI191)</f>
        <v/>
      </c>
      <c r="AJ173" s="25" t="str">
        <f>IF('1. Live'!AN191='check-Jul''26'!AJ191,"",'1. Live'!AN191-'check-Jul''26'!AJ191)</f>
        <v/>
      </c>
      <c r="AK173" s="25" t="str">
        <f>IF('1. Live'!AO191='check-Jul''26'!AK191,"",'1. Live'!AO191-'check-Jul''26'!AK191)</f>
        <v/>
      </c>
      <c r="AL173" s="25" t="str">
        <f>IF('1. Live'!AP191='check-Jul''26'!AL191,"",'1. Live'!AP191-'check-Jul''26'!AL191)</f>
        <v/>
      </c>
      <c r="AM173" s="25" t="str">
        <f>IF('1. Live'!AQ191='check-Jul''26'!AM191,"",'1. Live'!AQ191-'check-Jul''26'!AM191)</f>
        <v/>
      </c>
      <c r="AN173" s="25" t="str">
        <f>IF('1. Live'!AR191='check-Jul''26'!AN191,"",'1. Live'!AR191-'check-Jul''26'!AN191)</f>
        <v/>
      </c>
      <c r="AO173" s="25" t="str">
        <f>IF('1. Live'!AS191='check-Jul''26'!AO191,"",'1. Live'!AS191-'check-Jul''26'!AO191)</f>
        <v/>
      </c>
      <c r="AP173" s="25" t="str">
        <f>IF('1. Live'!AT191='check-Jul''26'!AP191,"",'1. Live'!AT191-'check-Jul''26'!AP191)</f>
        <v/>
      </c>
      <c r="AQ173" s="25" t="str">
        <f>IF('1. Live'!AU191='check-Jul''26'!AQ191,"",'1. Live'!AU191-'check-Jul''26'!AQ191)</f>
        <v/>
      </c>
      <c r="AR173" s="25" t="str">
        <f>IF('1. Live'!AV191='check-Jul''26'!AR191,"",'1. Live'!AV191-'check-Jul''26'!AR191)</f>
        <v/>
      </c>
      <c r="AS173" s="25" t="str">
        <f>IF('1. Live'!AW191='check-Jul''26'!AS191,"",'1. Live'!AW191-'check-Jul''26'!AS191)</f>
        <v/>
      </c>
      <c r="AT173" s="25" t="str">
        <f>IF('1. Live'!AX191='check-Jul''26'!AT191,"",'1. Live'!AX191-'check-Jul''26'!AT191)</f>
        <v/>
      </c>
      <c r="AU173" s="25" t="str">
        <f>IF('1. Live'!AY191='check-Jul''26'!AU191,"",'1. Live'!AY191-'check-Jul''26'!AU191)</f>
        <v/>
      </c>
      <c r="AV173" s="25" t="str">
        <f>IF('1. Live'!AZ191='check-Jul''26'!AV191,"",'1. Live'!AZ191-'check-Jul''26'!AV191)</f>
        <v/>
      </c>
      <c r="AW173" s="25" t="str">
        <f>IF('1. Live'!BA191='check-Jul''26'!AW191,"",'1. Live'!BA191-'check-Jul''26'!AW191)</f>
        <v/>
      </c>
      <c r="AX173" s="25" t="str">
        <f>IF('1. Live'!BB191='check-Jul''26'!AX191,"",'1. Live'!BB191-'check-Jul''26'!AX191)</f>
        <v/>
      </c>
      <c r="AY173" s="25" t="str">
        <f>IF('1. Live'!BC191='check-Jul''26'!AY191,"",'1. Live'!BC191-'check-Jul''26'!AY191)</f>
        <v/>
      </c>
      <c r="AZ173" s="25" t="str">
        <f>IF('1. Live'!BD191='check-Jul''26'!AZ191,"",'1. Live'!BD191-'check-Jul''26'!AZ191)</f>
        <v/>
      </c>
      <c r="BA173" s="25" t="str">
        <f>IF('1. Live'!BE191='check-Jul''26'!BA191,"",'1. Live'!BE191-'check-Jul''26'!BA191)</f>
        <v/>
      </c>
      <c r="BB173" s="25" t="str">
        <f>IF('1. Live'!BF191='check-Jul''26'!BB191,"",'1. Live'!BF191-'check-Jul''26'!BB191)</f>
        <v/>
      </c>
      <c r="BC173" s="25" t="str">
        <f>IF('1. Live'!BG191='check-Jul''26'!BC191,"",'1. Live'!BG191-'check-Jul''26'!BC191)</f>
        <v/>
      </c>
      <c r="BD173" s="25" t="str">
        <f>IF('1. Live'!BH191='check-Jul''26'!BD191,"",'1. Live'!BH191-'check-Jul''26'!BD191)</f>
        <v/>
      </c>
      <c r="BE173" s="25" t="str">
        <f>IF('1. Live'!BI191='check-Jul''26'!BE191,"",'1. Live'!BI191-'check-Jul''26'!BE191)</f>
        <v/>
      </c>
      <c r="BF173" s="25" t="str">
        <f>IF('1. Live'!BJ191='check-Jul''26'!BF191,"",'1. Live'!BJ191-'check-Jul''26'!BF191)</f>
        <v/>
      </c>
      <c r="BG173" s="25" t="str">
        <f>IF('1. Live'!BK191='check-Jul''26'!BG191,"",'1. Live'!BK191-'check-Jul''26'!BG191)</f>
        <v/>
      </c>
      <c r="BH173" s="25" t="str">
        <f>IF('1. Live'!BL191='check-Jul''26'!BH191,"",'1. Live'!BL191-'check-Jul''26'!BH191)</f>
        <v/>
      </c>
      <c r="BI173" s="25" t="str">
        <f>IF('1. Live'!BM191='check-Jul''26'!BI191,"",'1. Live'!BM191-'check-Jul''26'!BI191)</f>
        <v/>
      </c>
      <c r="BJ173" s="25" t="str">
        <f>IF('1. Live'!BN191='check-Jul''26'!BJ191,"",'1. Live'!BN191-'check-Jul''26'!BJ191)</f>
        <v/>
      </c>
      <c r="BK173" s="25" t="str">
        <f>IF('1. Live'!BO191='check-Jul''26'!BK191,"",'1. Live'!BO191-'check-Jul''26'!BK191)</f>
        <v/>
      </c>
      <c r="BL173" s="25" t="str">
        <f>IF('1. Live'!BP191='check-Jul''26'!BL191,"",'1. Live'!BP191-'check-Jul''26'!BL191)</f>
        <v/>
      </c>
      <c r="BM173" s="25" t="str">
        <f>IF('1. Live'!BQ191='check-Jul''26'!BM191,"",'1. Live'!BQ191-'check-Jul''26'!BM191)</f>
        <v/>
      </c>
      <c r="BN173" s="25" t="str">
        <f>IF('1. Live'!BR191='check-Jul''26'!BN191,"",'1. Live'!BR191-'check-Jul''26'!BN191)</f>
        <v/>
      </c>
      <c r="BO173" s="25" t="str">
        <f>IF('1. Live'!BS191='check-Jul''26'!BO191,"",'1. Live'!BS191-'check-Jul''26'!BO191)</f>
        <v/>
      </c>
      <c r="BP173" s="25" t="str">
        <f>IF('1. Live'!BT191='check-Jul''26'!BP191,"",'1. Live'!BT191-'check-Jul''26'!BP191)</f>
        <v/>
      </c>
      <c r="BQ173" s="25" t="str">
        <f>IF('1. Live'!BU191='check-Jul''26'!BQ191,"",'1. Live'!BU191-'check-Jul''26'!BQ191)</f>
        <v/>
      </c>
      <c r="BR173" s="25" t="str">
        <f>IF('1. Live'!BV191='check-Jul''26'!BR191,"",'1. Live'!BV191-'check-Jul''26'!BR191)</f>
        <v/>
      </c>
      <c r="BS173" s="25" t="str">
        <f>IF('1. Live'!BW191='check-Jul''26'!BS191,"",'1. Live'!BW191-'check-Jul''26'!BS191)</f>
        <v/>
      </c>
      <c r="BT173" s="25" t="str">
        <f>IF('1. Live'!BX191='check-Jul''26'!BT191,"",'1. Live'!BX191-'check-Jul''26'!BT191)</f>
        <v/>
      </c>
      <c r="BU173" s="25" t="str">
        <f>IF('1. Live'!BY191='check-Jul''26'!BU191,"",'1. Live'!BY191-'check-Jul''26'!BU191)</f>
        <v/>
      </c>
      <c r="BV173" s="25" t="str">
        <f>IF('1. Live'!BZ191='check-Jul''26'!BV191,"",'1. Live'!BZ191-'check-Jul''26'!BV191)</f>
        <v/>
      </c>
      <c r="BW173" s="25" t="str">
        <f>IF('1. Live'!CA191='check-Jul''26'!BW191,"",'1. Live'!CA191-'check-Jul''26'!BW191)</f>
        <v/>
      </c>
      <c r="BX173" s="25" t="str">
        <f>IF('1. Live'!CB191='check-Jul''26'!BX191,"",'1. Live'!CB191-'check-Jul''26'!BX191)</f>
        <v/>
      </c>
      <c r="BY173" s="25" t="str">
        <f>IF('1. Live'!CC191='check-Jul''26'!BY191,"",'1. Live'!CC191-'check-Jul''26'!BY191)</f>
        <v/>
      </c>
      <c r="BZ173" s="25" t="str">
        <f>IF('1. Live'!CD191='check-Jul''26'!BZ191,"",'1. Live'!CD191-'check-Jul''26'!BZ191)</f>
        <v/>
      </c>
      <c r="CA173" s="25" t="str">
        <f>IF('1. Live'!CE191='check-Jul''26'!CA191,"",'1. Live'!CE191-'check-Jul''26'!CA191)</f>
        <v/>
      </c>
      <c r="CB173" s="25" t="str">
        <f>IF('1. Live'!CF191='check-Jul''26'!CB191,"",'1. Live'!CF191-'check-Jul''26'!CB191)</f>
        <v/>
      </c>
      <c r="CC173" s="25" t="str">
        <f>IF('1. Live'!CG191='check-Jul''26'!CC191,"",'1. Live'!CG191-'check-Jul''26'!CC191)</f>
        <v/>
      </c>
      <c r="CD173" s="25" t="str">
        <f>IF('1. Live'!CH191='check-Jul''26'!CD191,"",'1. Live'!CH191-'check-Jul''26'!CD191)</f>
        <v/>
      </c>
      <c r="CE173" s="25" t="str">
        <f>IF('1. Live'!CI191='check-Jul''26'!CE191,"",'1. Live'!CI191-'check-Jul''26'!CE191)</f>
        <v/>
      </c>
      <c r="CF173" s="25" t="str">
        <f>IF('1. Live'!CJ191='check-Jul''26'!CF191,"",'1. Live'!CJ191-'check-Jul''26'!CF191)</f>
        <v/>
      </c>
      <c r="CG173" s="25" t="str">
        <f>IF('1. Live'!CK191='check-Jul''26'!CG191,"",'1. Live'!CK191-'check-Jul''26'!CG191)</f>
        <v/>
      </c>
      <c r="CH173" s="25" t="str">
        <f>IF('1. Live'!CL191='check-Jul''26'!CH191,"",'1. Live'!CL191-'check-Jul''26'!CH191)</f>
        <v/>
      </c>
      <c r="CI173" s="25" t="str">
        <f>IF('1. Live'!CM191='check-Jul''26'!CI191,"",'1. Live'!CM191-'check-Jul''26'!CI191)</f>
        <v/>
      </c>
      <c r="CJ173" s="25" t="str">
        <f>IF('1. Live'!CN191='check-Jul''26'!CJ191,"",'1. Live'!CN191-'check-Jul''26'!CJ191)</f>
        <v/>
      </c>
      <c r="CK173" s="25" t="str">
        <f>IF('1. Live'!CO191='check-Jul''26'!CK191,"",'1. Live'!CO191-'check-Jul''26'!CK191)</f>
        <v/>
      </c>
      <c r="CL173" s="25" t="str">
        <f>IF('1. Live'!CP191='check-Jul''26'!CL191,"",'1. Live'!CP191-'check-Jul''26'!CL191)</f>
        <v/>
      </c>
      <c r="CM173" s="25" t="str">
        <f>IF('1. Live'!CQ191='check-Jul''26'!CM191,"",'1. Live'!CQ191-'check-Jul''26'!CM191)</f>
        <v/>
      </c>
      <c r="CN173" s="25" t="str">
        <f>IF('1. Live'!CR191='check-Jul''26'!CN191,"",'1. Live'!CR191-'check-Jul''26'!CN191)</f>
        <v/>
      </c>
      <c r="CO173" s="25" t="str">
        <f>IF('1. Live'!CS191='check-Jul''26'!CO191,"",'1. Live'!CS191-'check-Jul''26'!CO191)</f>
        <v/>
      </c>
      <c r="CP173" s="25" t="str">
        <f>IF('1. Live'!CT191='check-Jul''26'!CP191,"",'1. Live'!CT191-'check-Jul''26'!CP191)</f>
        <v/>
      </c>
      <c r="CQ173" s="25" t="str">
        <f>IF('1. Live'!CU191='check-Jul''26'!CQ191,"",'1. Live'!CU191-'check-Jul''26'!CQ191)</f>
        <v/>
      </c>
      <c r="CR173" s="25" t="str">
        <f>IF('1. Live'!CV191='check-Jul''26'!CR191,"",'1. Live'!CV191-'check-Jul''26'!CR191)</f>
        <v/>
      </c>
      <c r="CS173" s="25" t="str">
        <f>IF('1. Live'!CW191='check-Jul''26'!CS191,"",'1. Live'!CW191-'check-Jul''26'!CS191)</f>
        <v/>
      </c>
      <c r="CT173" s="25" t="str">
        <f>IF('1. Live'!CX191='check-Jul''26'!CT191,"",'1. Live'!CX191-'check-Jul''26'!CT191)</f>
        <v/>
      </c>
      <c r="CU173" s="25" t="str">
        <f>IF('1. Live'!CY191='check-Jul''26'!CU191,"",'1. Live'!CY191-'check-Jul''26'!CU191)</f>
        <v/>
      </c>
      <c r="CV173" s="25" t="str">
        <f>IF('1. Live'!CZ191='check-Jul''26'!CV191,"",'1. Live'!CZ191-'check-Jul''26'!CV191)</f>
        <v/>
      </c>
    </row>
    <row r="174" spans="17:100" x14ac:dyDescent="0.25">
      <c r="Q174" s="26" t="str">
        <f>IF('1. Live'!N192='check-Jul''26'!I192,"",'1. Live'!N192-'check-Jul''26'!I192)</f>
        <v/>
      </c>
      <c r="R174" s="26" t="str">
        <f>IF('1. Live'!O192='check-Jul''26'!J192,"",'1. Live'!O192-'check-Jul''26'!J192)</f>
        <v/>
      </c>
      <c r="S174" s="26" t="str">
        <f>IF('1. Live'!P192='check-Jul''26'!K192,"",'1. Live'!P192-'check-Jul''26'!K192)</f>
        <v/>
      </c>
      <c r="T174" s="26" t="str">
        <f>IF('1. Live'!Q192='check-Jul''26'!L192,"",'1. Live'!Q192-'check-Jul''26'!L192)</f>
        <v/>
      </c>
      <c r="U174" s="80" t="str">
        <f>IF('1. Live'!R192='check-Jul''26'!M192,"",'1. Live'!R192-'check-Jul''26'!M192)</f>
        <v/>
      </c>
      <c r="V174" s="26" t="str">
        <f>IF('1. Live'!S192='check-Jul''26'!N192,"",'1. Live'!S192-'check-Jul''26'!N192)</f>
        <v/>
      </c>
      <c r="W174" s="25" t="str">
        <f>IF('1. Live'!T192='check-Jul''26'!O192,"",'1. Live'!T192-'check-Jul''26'!O192)</f>
        <v/>
      </c>
      <c r="X174" s="25" t="str">
        <f>IF('1. Live'!U192='check-Jul''26'!Q192,"",'1. Live'!U192-'check-Jul''26'!Q192)</f>
        <v/>
      </c>
      <c r="Y174" s="25" t="str">
        <f>IF('1. Live'!V192='check-Jul''26'!R192,"",'1. Live'!V192-'check-Jul''26'!R192)</f>
        <v/>
      </c>
      <c r="Z174" s="25" t="str">
        <f>IF('1. Live'!W192='check-Jul''26'!S192,"",'1. Live'!W192-'check-Jul''26'!S192)</f>
        <v/>
      </c>
      <c r="AA174" s="25" t="str">
        <f>IF('1. Live'!X192='check-Jul''26'!T192,"",'1. Live'!X192-'check-Jul''26'!T192)</f>
        <v/>
      </c>
      <c r="AB174" s="25" t="str">
        <f>IF('1. Live'!AF192='check-Jul''26'!AB192,"",'1. Live'!AF192-'check-Jul''26'!AB192)</f>
        <v/>
      </c>
      <c r="AC174" s="25" t="str">
        <f>IF('1. Live'!AG192='check-Jul''26'!AC192,"",'1. Live'!AG192-'check-Jul''26'!AC192)</f>
        <v/>
      </c>
      <c r="AD174" s="25" t="str">
        <f>IF('1. Live'!AH192='check-Jul''26'!AD192,"",'1. Live'!AH192-'check-Jul''26'!AD192)</f>
        <v/>
      </c>
      <c r="AE174" s="25" t="str">
        <f>IF('1. Live'!AI192='check-Jul''26'!AE192,"",'1. Live'!AI192-'check-Jul''26'!AE192)</f>
        <v/>
      </c>
      <c r="AF174" s="25" t="str">
        <f>IF('1. Live'!AJ192='check-Jul''26'!AF192,"",'1. Live'!AJ192-'check-Jul''26'!AF192)</f>
        <v/>
      </c>
      <c r="AG174" s="25" t="str">
        <f>IF('1. Live'!AK192='check-Jul''26'!AG192,"",'1. Live'!AK192-'check-Jul''26'!AG192)</f>
        <v/>
      </c>
      <c r="AH174" s="25" t="str">
        <f>IF('1. Live'!AL192='check-Jul''26'!AH192,"",'1. Live'!AL192-'check-Jul''26'!AH192)</f>
        <v/>
      </c>
      <c r="AI174" s="25" t="str">
        <f>IF('1. Live'!AM192='check-Jul''26'!AI192,"",'1. Live'!AM192-'check-Jul''26'!AI192)</f>
        <v/>
      </c>
      <c r="AJ174" s="25" t="str">
        <f>IF('1. Live'!AN192='check-Jul''26'!AJ192,"",'1. Live'!AN192-'check-Jul''26'!AJ192)</f>
        <v/>
      </c>
      <c r="AK174" s="25" t="str">
        <f>IF('1. Live'!AO192='check-Jul''26'!AK192,"",'1. Live'!AO192-'check-Jul''26'!AK192)</f>
        <v/>
      </c>
      <c r="AL174" s="25" t="str">
        <f>IF('1. Live'!AP192='check-Jul''26'!AL192,"",'1. Live'!AP192-'check-Jul''26'!AL192)</f>
        <v/>
      </c>
      <c r="AM174" s="25" t="str">
        <f>IF('1. Live'!AQ192='check-Jul''26'!AM192,"",'1. Live'!AQ192-'check-Jul''26'!AM192)</f>
        <v/>
      </c>
      <c r="AN174" s="25" t="str">
        <f>IF('1. Live'!AR192='check-Jul''26'!AN192,"",'1. Live'!AR192-'check-Jul''26'!AN192)</f>
        <v/>
      </c>
      <c r="AO174" s="25" t="str">
        <f>IF('1. Live'!AS192='check-Jul''26'!AO192,"",'1. Live'!AS192-'check-Jul''26'!AO192)</f>
        <v/>
      </c>
      <c r="AP174" s="25" t="str">
        <f>IF('1. Live'!AT192='check-Jul''26'!AP192,"",'1. Live'!AT192-'check-Jul''26'!AP192)</f>
        <v/>
      </c>
      <c r="AQ174" s="25" t="str">
        <f>IF('1. Live'!AU192='check-Jul''26'!AQ192,"",'1. Live'!AU192-'check-Jul''26'!AQ192)</f>
        <v/>
      </c>
      <c r="AR174" s="25" t="str">
        <f>IF('1. Live'!AV192='check-Jul''26'!AR192,"",'1. Live'!AV192-'check-Jul''26'!AR192)</f>
        <v/>
      </c>
      <c r="AS174" s="25" t="str">
        <f>IF('1. Live'!AW192='check-Jul''26'!AS192,"",'1. Live'!AW192-'check-Jul''26'!AS192)</f>
        <v/>
      </c>
      <c r="AT174" s="25" t="str">
        <f>IF('1. Live'!AX192='check-Jul''26'!AT192,"",'1. Live'!AX192-'check-Jul''26'!AT192)</f>
        <v/>
      </c>
      <c r="AU174" s="25" t="str">
        <f>IF('1. Live'!AY192='check-Jul''26'!AU192,"",'1. Live'!AY192-'check-Jul''26'!AU192)</f>
        <v/>
      </c>
      <c r="AV174" s="25" t="str">
        <f>IF('1. Live'!AZ192='check-Jul''26'!AV192,"",'1. Live'!AZ192-'check-Jul''26'!AV192)</f>
        <v/>
      </c>
      <c r="AW174" s="25" t="str">
        <f>IF('1. Live'!BA192='check-Jul''26'!AW192,"",'1. Live'!BA192-'check-Jul''26'!AW192)</f>
        <v/>
      </c>
      <c r="AX174" s="25" t="str">
        <f>IF('1. Live'!BB192='check-Jul''26'!AX192,"",'1. Live'!BB192-'check-Jul''26'!AX192)</f>
        <v/>
      </c>
      <c r="AY174" s="25" t="str">
        <f>IF('1. Live'!BC192='check-Jul''26'!AY192,"",'1. Live'!BC192-'check-Jul''26'!AY192)</f>
        <v/>
      </c>
      <c r="AZ174" s="25" t="str">
        <f>IF('1. Live'!BD192='check-Jul''26'!AZ192,"",'1. Live'!BD192-'check-Jul''26'!AZ192)</f>
        <v/>
      </c>
      <c r="BA174" s="25" t="str">
        <f>IF('1. Live'!BE192='check-Jul''26'!BA192,"",'1. Live'!BE192-'check-Jul''26'!BA192)</f>
        <v/>
      </c>
      <c r="BB174" s="25" t="str">
        <f>IF('1. Live'!BF192='check-Jul''26'!BB192,"",'1. Live'!BF192-'check-Jul''26'!BB192)</f>
        <v/>
      </c>
      <c r="BC174" s="25" t="str">
        <f>IF('1. Live'!BG192='check-Jul''26'!BC192,"",'1. Live'!BG192-'check-Jul''26'!BC192)</f>
        <v/>
      </c>
      <c r="BD174" s="25" t="str">
        <f>IF('1. Live'!BH192='check-Jul''26'!BD192,"",'1. Live'!BH192-'check-Jul''26'!BD192)</f>
        <v/>
      </c>
      <c r="BE174" s="25" t="str">
        <f>IF('1. Live'!BI192='check-Jul''26'!BE192,"",'1. Live'!BI192-'check-Jul''26'!BE192)</f>
        <v/>
      </c>
      <c r="BF174" s="25" t="str">
        <f>IF('1. Live'!BJ192='check-Jul''26'!BF192,"",'1. Live'!BJ192-'check-Jul''26'!BF192)</f>
        <v/>
      </c>
      <c r="BG174" s="25" t="str">
        <f>IF('1. Live'!BK192='check-Jul''26'!BG192,"",'1. Live'!BK192-'check-Jul''26'!BG192)</f>
        <v/>
      </c>
      <c r="BH174" s="25" t="str">
        <f>IF('1. Live'!BL192='check-Jul''26'!BH192,"",'1. Live'!BL192-'check-Jul''26'!BH192)</f>
        <v/>
      </c>
      <c r="BI174" s="25" t="str">
        <f>IF('1. Live'!BM192='check-Jul''26'!BI192,"",'1. Live'!BM192-'check-Jul''26'!BI192)</f>
        <v/>
      </c>
      <c r="BJ174" s="25" t="str">
        <f>IF('1. Live'!BN192='check-Jul''26'!BJ192,"",'1. Live'!BN192-'check-Jul''26'!BJ192)</f>
        <v/>
      </c>
      <c r="BK174" s="25" t="str">
        <f>IF('1. Live'!BO192='check-Jul''26'!BK192,"",'1. Live'!BO192-'check-Jul''26'!BK192)</f>
        <v/>
      </c>
      <c r="BL174" s="25" t="str">
        <f>IF('1. Live'!BP192='check-Jul''26'!BL192,"",'1. Live'!BP192-'check-Jul''26'!BL192)</f>
        <v/>
      </c>
      <c r="BM174" s="25" t="str">
        <f>IF('1. Live'!BQ192='check-Jul''26'!BM192,"",'1. Live'!BQ192-'check-Jul''26'!BM192)</f>
        <v/>
      </c>
      <c r="BN174" s="25" t="str">
        <f>IF('1. Live'!BR192='check-Jul''26'!BN192,"",'1. Live'!BR192-'check-Jul''26'!BN192)</f>
        <v/>
      </c>
      <c r="BO174" s="25" t="str">
        <f>IF('1. Live'!BS192='check-Jul''26'!BO192,"",'1. Live'!BS192-'check-Jul''26'!BO192)</f>
        <v/>
      </c>
      <c r="BP174" s="25" t="str">
        <f>IF('1. Live'!BT192='check-Jul''26'!BP192,"",'1. Live'!BT192-'check-Jul''26'!BP192)</f>
        <v/>
      </c>
      <c r="BQ174" s="25" t="str">
        <f>IF('1. Live'!BU192='check-Jul''26'!BQ192,"",'1. Live'!BU192-'check-Jul''26'!BQ192)</f>
        <v/>
      </c>
      <c r="BR174" s="25" t="str">
        <f>IF('1. Live'!BV192='check-Jul''26'!BR192,"",'1. Live'!BV192-'check-Jul''26'!BR192)</f>
        <v/>
      </c>
      <c r="BS174" s="25" t="str">
        <f>IF('1. Live'!BW192='check-Jul''26'!BS192,"",'1. Live'!BW192-'check-Jul''26'!BS192)</f>
        <v/>
      </c>
      <c r="BT174" s="25" t="str">
        <f>IF('1. Live'!BX192='check-Jul''26'!BT192,"",'1. Live'!BX192-'check-Jul''26'!BT192)</f>
        <v/>
      </c>
      <c r="BU174" s="25" t="str">
        <f>IF('1. Live'!BY192='check-Jul''26'!BU192,"",'1. Live'!BY192-'check-Jul''26'!BU192)</f>
        <v/>
      </c>
      <c r="BV174" s="25" t="str">
        <f>IF('1. Live'!BZ192='check-Jul''26'!BV192,"",'1. Live'!BZ192-'check-Jul''26'!BV192)</f>
        <v/>
      </c>
      <c r="BW174" s="25" t="str">
        <f>IF('1. Live'!CA192='check-Jul''26'!BW192,"",'1. Live'!CA192-'check-Jul''26'!BW192)</f>
        <v/>
      </c>
      <c r="BX174" s="25" t="str">
        <f>IF('1. Live'!CB192='check-Jul''26'!BX192,"",'1. Live'!CB192-'check-Jul''26'!BX192)</f>
        <v/>
      </c>
      <c r="BY174" s="25" t="str">
        <f>IF('1. Live'!CC192='check-Jul''26'!BY192,"",'1. Live'!CC192-'check-Jul''26'!BY192)</f>
        <v/>
      </c>
      <c r="BZ174" s="25" t="str">
        <f>IF('1. Live'!CD192='check-Jul''26'!BZ192,"",'1. Live'!CD192-'check-Jul''26'!BZ192)</f>
        <v/>
      </c>
      <c r="CA174" s="25" t="str">
        <f>IF('1. Live'!CE192='check-Jul''26'!CA192,"",'1. Live'!CE192-'check-Jul''26'!CA192)</f>
        <v/>
      </c>
      <c r="CB174" s="25" t="str">
        <f>IF('1. Live'!CF192='check-Jul''26'!CB192,"",'1. Live'!CF192-'check-Jul''26'!CB192)</f>
        <v/>
      </c>
      <c r="CC174" s="25" t="str">
        <f>IF('1. Live'!CG192='check-Jul''26'!CC192,"",'1. Live'!CG192-'check-Jul''26'!CC192)</f>
        <v/>
      </c>
      <c r="CD174" s="25" t="str">
        <f>IF('1. Live'!CH192='check-Jul''26'!CD192,"",'1. Live'!CH192-'check-Jul''26'!CD192)</f>
        <v/>
      </c>
      <c r="CE174" s="25" t="str">
        <f>IF('1. Live'!CI192='check-Jul''26'!CE192,"",'1. Live'!CI192-'check-Jul''26'!CE192)</f>
        <v/>
      </c>
      <c r="CF174" s="25" t="str">
        <f>IF('1. Live'!CJ192='check-Jul''26'!CF192,"",'1. Live'!CJ192-'check-Jul''26'!CF192)</f>
        <v/>
      </c>
      <c r="CG174" s="25" t="str">
        <f>IF('1. Live'!CK192='check-Jul''26'!CG192,"",'1. Live'!CK192-'check-Jul''26'!CG192)</f>
        <v/>
      </c>
      <c r="CH174" s="25" t="str">
        <f>IF('1. Live'!CL192='check-Jul''26'!CH192,"",'1. Live'!CL192-'check-Jul''26'!CH192)</f>
        <v/>
      </c>
      <c r="CI174" s="25" t="str">
        <f>IF('1. Live'!CM192='check-Jul''26'!CI192,"",'1. Live'!CM192-'check-Jul''26'!CI192)</f>
        <v/>
      </c>
      <c r="CJ174" s="25" t="str">
        <f>IF('1. Live'!CN192='check-Jul''26'!CJ192,"",'1. Live'!CN192-'check-Jul''26'!CJ192)</f>
        <v/>
      </c>
      <c r="CK174" s="25" t="str">
        <f>IF('1. Live'!CO192='check-Jul''26'!CK192,"",'1. Live'!CO192-'check-Jul''26'!CK192)</f>
        <v/>
      </c>
      <c r="CL174" s="25" t="str">
        <f>IF('1. Live'!CP192='check-Jul''26'!CL192,"",'1. Live'!CP192-'check-Jul''26'!CL192)</f>
        <v/>
      </c>
      <c r="CM174" s="25" t="str">
        <f>IF('1. Live'!CQ192='check-Jul''26'!CM192,"",'1. Live'!CQ192-'check-Jul''26'!CM192)</f>
        <v/>
      </c>
      <c r="CN174" s="25" t="str">
        <f>IF('1. Live'!CR192='check-Jul''26'!CN192,"",'1. Live'!CR192-'check-Jul''26'!CN192)</f>
        <v/>
      </c>
      <c r="CO174" s="25" t="str">
        <f>IF('1. Live'!CS192='check-Jul''26'!CO192,"",'1. Live'!CS192-'check-Jul''26'!CO192)</f>
        <v/>
      </c>
      <c r="CP174" s="25" t="str">
        <f>IF('1. Live'!CT192='check-Jul''26'!CP192,"",'1. Live'!CT192-'check-Jul''26'!CP192)</f>
        <v/>
      </c>
      <c r="CQ174" s="25" t="str">
        <f>IF('1. Live'!CU192='check-Jul''26'!CQ192,"",'1. Live'!CU192-'check-Jul''26'!CQ192)</f>
        <v/>
      </c>
      <c r="CR174" s="25" t="str">
        <f>IF('1. Live'!CV192='check-Jul''26'!CR192,"",'1. Live'!CV192-'check-Jul''26'!CR192)</f>
        <v/>
      </c>
      <c r="CS174" s="25" t="str">
        <f>IF('1. Live'!CW192='check-Jul''26'!CS192,"",'1. Live'!CW192-'check-Jul''26'!CS192)</f>
        <v/>
      </c>
      <c r="CT174" s="25" t="str">
        <f>IF('1. Live'!CX192='check-Jul''26'!CT192,"",'1. Live'!CX192-'check-Jul''26'!CT192)</f>
        <v/>
      </c>
      <c r="CU174" s="25" t="str">
        <f>IF('1. Live'!CY192='check-Jul''26'!CU192,"",'1. Live'!CY192-'check-Jul''26'!CU192)</f>
        <v/>
      </c>
      <c r="CV174" s="25" t="str">
        <f>IF('1. Live'!CZ192='check-Jul''26'!CV192,"",'1. Live'!CZ192-'check-Jul''26'!CV192)</f>
        <v/>
      </c>
    </row>
    <row r="175" spans="17:100" x14ac:dyDescent="0.25">
      <c r="Q175" s="26" t="str">
        <f>IF('1. Live'!N193='check-Jul''26'!I193,"",'1. Live'!N193-'check-Jul''26'!I193)</f>
        <v/>
      </c>
      <c r="R175" s="26" t="str">
        <f>IF('1. Live'!O193='check-Jul''26'!J193,"",'1. Live'!O193-'check-Jul''26'!J193)</f>
        <v/>
      </c>
      <c r="S175" s="26" t="str">
        <f>IF('1. Live'!P193='check-Jul''26'!K193,"",'1. Live'!P193-'check-Jul''26'!K193)</f>
        <v/>
      </c>
      <c r="T175" s="26" t="str">
        <f>IF('1. Live'!Q193='check-Jul''26'!L193,"",'1. Live'!Q193-'check-Jul''26'!L193)</f>
        <v/>
      </c>
      <c r="U175" s="80" t="str">
        <f>IF('1. Live'!R193='check-Jul''26'!M193,"",'1. Live'!R193-'check-Jul''26'!M193)</f>
        <v/>
      </c>
      <c r="V175" s="26" t="str">
        <f>IF('1. Live'!S193='check-Jul''26'!N193,"",'1. Live'!S193-'check-Jul''26'!N193)</f>
        <v/>
      </c>
      <c r="W175" s="25" t="str">
        <f>IF('1. Live'!T193='check-Jul''26'!O193,"",'1. Live'!T193-'check-Jul''26'!O193)</f>
        <v/>
      </c>
      <c r="X175" s="25" t="str">
        <f>IF('1. Live'!U193='check-Jul''26'!Q193,"",'1. Live'!U193-'check-Jul''26'!Q193)</f>
        <v/>
      </c>
      <c r="Y175" s="25" t="str">
        <f>IF('1. Live'!V193='check-Jul''26'!R193,"",'1. Live'!V193-'check-Jul''26'!R193)</f>
        <v/>
      </c>
      <c r="Z175" s="25" t="str">
        <f>IF('1. Live'!W193='check-Jul''26'!S193,"",'1. Live'!W193-'check-Jul''26'!S193)</f>
        <v/>
      </c>
      <c r="AA175" s="25" t="str">
        <f>IF('1. Live'!X193='check-Jul''26'!T193,"",'1. Live'!X193-'check-Jul''26'!T193)</f>
        <v/>
      </c>
      <c r="AB175" s="25" t="str">
        <f>IF('1. Live'!AF193='check-Jul''26'!AB193,"",'1. Live'!AF193-'check-Jul''26'!AB193)</f>
        <v/>
      </c>
      <c r="AC175" s="25" t="str">
        <f>IF('1. Live'!AG193='check-Jul''26'!AC193,"",'1. Live'!AG193-'check-Jul''26'!AC193)</f>
        <v/>
      </c>
      <c r="AD175" s="25" t="str">
        <f>IF('1. Live'!AH193='check-Jul''26'!AD193,"",'1. Live'!AH193-'check-Jul''26'!AD193)</f>
        <v/>
      </c>
      <c r="AE175" s="25" t="str">
        <f>IF('1. Live'!AI193='check-Jul''26'!AE193,"",'1. Live'!AI193-'check-Jul''26'!AE193)</f>
        <v/>
      </c>
      <c r="AF175" s="25" t="str">
        <f>IF('1. Live'!AJ193='check-Jul''26'!AF193,"",'1. Live'!AJ193-'check-Jul''26'!AF193)</f>
        <v/>
      </c>
      <c r="AG175" s="25" t="str">
        <f>IF('1. Live'!AK193='check-Jul''26'!AG193,"",'1. Live'!AK193-'check-Jul''26'!AG193)</f>
        <v/>
      </c>
      <c r="AH175" s="25" t="str">
        <f>IF('1. Live'!AL193='check-Jul''26'!AH193,"",'1. Live'!AL193-'check-Jul''26'!AH193)</f>
        <v/>
      </c>
      <c r="AI175" s="25" t="str">
        <f>IF('1. Live'!AM193='check-Jul''26'!AI193,"",'1. Live'!AM193-'check-Jul''26'!AI193)</f>
        <v/>
      </c>
      <c r="AJ175" s="25" t="str">
        <f>IF('1. Live'!AN193='check-Jul''26'!AJ193,"",'1. Live'!AN193-'check-Jul''26'!AJ193)</f>
        <v/>
      </c>
      <c r="AK175" s="25" t="str">
        <f>IF('1. Live'!AO193='check-Jul''26'!AK193,"",'1. Live'!AO193-'check-Jul''26'!AK193)</f>
        <v/>
      </c>
      <c r="AL175" s="25" t="str">
        <f>IF('1. Live'!AP193='check-Jul''26'!AL193,"",'1. Live'!AP193-'check-Jul''26'!AL193)</f>
        <v/>
      </c>
      <c r="AM175" s="25" t="str">
        <f>IF('1. Live'!AQ193='check-Jul''26'!AM193,"",'1. Live'!AQ193-'check-Jul''26'!AM193)</f>
        <v/>
      </c>
      <c r="AN175" s="25" t="str">
        <f>IF('1. Live'!AR193='check-Jul''26'!AN193,"",'1. Live'!AR193-'check-Jul''26'!AN193)</f>
        <v/>
      </c>
      <c r="AO175" s="25" t="str">
        <f>IF('1. Live'!AS193='check-Jul''26'!AO193,"",'1. Live'!AS193-'check-Jul''26'!AO193)</f>
        <v/>
      </c>
      <c r="AP175" s="25" t="str">
        <f>IF('1. Live'!AT193='check-Jul''26'!AP193,"",'1. Live'!AT193-'check-Jul''26'!AP193)</f>
        <v/>
      </c>
      <c r="AQ175" s="25" t="str">
        <f>IF('1. Live'!AU193='check-Jul''26'!AQ193,"",'1. Live'!AU193-'check-Jul''26'!AQ193)</f>
        <v/>
      </c>
      <c r="AR175" s="25" t="str">
        <f>IF('1. Live'!AV193='check-Jul''26'!AR193,"",'1. Live'!AV193-'check-Jul''26'!AR193)</f>
        <v/>
      </c>
      <c r="AS175" s="25" t="str">
        <f>IF('1. Live'!AW193='check-Jul''26'!AS193,"",'1. Live'!AW193-'check-Jul''26'!AS193)</f>
        <v/>
      </c>
      <c r="AT175" s="25" t="str">
        <f>IF('1. Live'!AX193='check-Jul''26'!AT193,"",'1. Live'!AX193-'check-Jul''26'!AT193)</f>
        <v/>
      </c>
      <c r="AU175" s="25" t="str">
        <f>IF('1. Live'!AY193='check-Jul''26'!AU193,"",'1. Live'!AY193-'check-Jul''26'!AU193)</f>
        <v/>
      </c>
      <c r="AV175" s="25" t="str">
        <f>IF('1. Live'!AZ193='check-Jul''26'!AV193,"",'1. Live'!AZ193-'check-Jul''26'!AV193)</f>
        <v/>
      </c>
      <c r="AW175" s="25" t="str">
        <f>IF('1. Live'!BA193='check-Jul''26'!AW193,"",'1. Live'!BA193-'check-Jul''26'!AW193)</f>
        <v/>
      </c>
      <c r="AX175" s="25" t="str">
        <f>IF('1. Live'!BB193='check-Jul''26'!AX193,"",'1. Live'!BB193-'check-Jul''26'!AX193)</f>
        <v/>
      </c>
      <c r="AY175" s="25" t="str">
        <f>IF('1. Live'!BC193='check-Jul''26'!AY193,"",'1. Live'!BC193-'check-Jul''26'!AY193)</f>
        <v/>
      </c>
      <c r="AZ175" s="25" t="str">
        <f>IF('1. Live'!BD193='check-Jul''26'!AZ193,"",'1. Live'!BD193-'check-Jul''26'!AZ193)</f>
        <v/>
      </c>
      <c r="BA175" s="25" t="str">
        <f>IF('1. Live'!BE193='check-Jul''26'!BA193,"",'1. Live'!BE193-'check-Jul''26'!BA193)</f>
        <v/>
      </c>
      <c r="BB175" s="25" t="str">
        <f>IF('1. Live'!BF193='check-Jul''26'!BB193,"",'1. Live'!BF193-'check-Jul''26'!BB193)</f>
        <v/>
      </c>
      <c r="BC175" s="25" t="str">
        <f>IF('1. Live'!BG193='check-Jul''26'!BC193,"",'1. Live'!BG193-'check-Jul''26'!BC193)</f>
        <v/>
      </c>
      <c r="BD175" s="25" t="str">
        <f>IF('1. Live'!BH193='check-Jul''26'!BD193,"",'1. Live'!BH193-'check-Jul''26'!BD193)</f>
        <v/>
      </c>
      <c r="BE175" s="25" t="str">
        <f>IF('1. Live'!BI193='check-Jul''26'!BE193,"",'1. Live'!BI193-'check-Jul''26'!BE193)</f>
        <v/>
      </c>
      <c r="BF175" s="25" t="str">
        <f>IF('1. Live'!BJ193='check-Jul''26'!BF193,"",'1. Live'!BJ193-'check-Jul''26'!BF193)</f>
        <v/>
      </c>
      <c r="BG175" s="25" t="str">
        <f>IF('1. Live'!BK193='check-Jul''26'!BG193,"",'1. Live'!BK193-'check-Jul''26'!BG193)</f>
        <v/>
      </c>
      <c r="BH175" s="25" t="str">
        <f>IF('1. Live'!BL193='check-Jul''26'!BH193,"",'1. Live'!BL193-'check-Jul''26'!BH193)</f>
        <v/>
      </c>
      <c r="BI175" s="25" t="str">
        <f>IF('1. Live'!BM193='check-Jul''26'!BI193,"",'1. Live'!BM193-'check-Jul''26'!BI193)</f>
        <v/>
      </c>
      <c r="BJ175" s="25" t="str">
        <f>IF('1. Live'!BN193='check-Jul''26'!BJ193,"",'1. Live'!BN193-'check-Jul''26'!BJ193)</f>
        <v/>
      </c>
      <c r="BK175" s="25" t="str">
        <f>IF('1. Live'!BO193='check-Jul''26'!BK193,"",'1. Live'!BO193-'check-Jul''26'!BK193)</f>
        <v/>
      </c>
      <c r="BL175" s="25" t="str">
        <f>IF('1. Live'!BP193='check-Jul''26'!BL193,"",'1. Live'!BP193-'check-Jul''26'!BL193)</f>
        <v/>
      </c>
      <c r="BM175" s="25" t="str">
        <f>IF('1. Live'!BQ193='check-Jul''26'!BM193,"",'1. Live'!BQ193-'check-Jul''26'!BM193)</f>
        <v/>
      </c>
      <c r="BN175" s="25" t="str">
        <f>IF('1. Live'!BR193='check-Jul''26'!BN193,"",'1. Live'!BR193-'check-Jul''26'!BN193)</f>
        <v/>
      </c>
      <c r="BO175" s="25" t="str">
        <f>IF('1. Live'!BS193='check-Jul''26'!BO193,"",'1. Live'!BS193-'check-Jul''26'!BO193)</f>
        <v/>
      </c>
      <c r="BP175" s="25" t="str">
        <f>IF('1. Live'!BT193='check-Jul''26'!BP193,"",'1. Live'!BT193-'check-Jul''26'!BP193)</f>
        <v/>
      </c>
      <c r="BQ175" s="25" t="str">
        <f>IF('1. Live'!BU193='check-Jul''26'!BQ193,"",'1. Live'!BU193-'check-Jul''26'!BQ193)</f>
        <v/>
      </c>
      <c r="BR175" s="25" t="str">
        <f>IF('1. Live'!BV193='check-Jul''26'!BR193,"",'1. Live'!BV193-'check-Jul''26'!BR193)</f>
        <v/>
      </c>
      <c r="BS175" s="25" t="str">
        <f>IF('1. Live'!BW193='check-Jul''26'!BS193,"",'1. Live'!BW193-'check-Jul''26'!BS193)</f>
        <v/>
      </c>
      <c r="BT175" s="25" t="str">
        <f>IF('1. Live'!BX193='check-Jul''26'!BT193,"",'1. Live'!BX193-'check-Jul''26'!BT193)</f>
        <v/>
      </c>
      <c r="BU175" s="25" t="str">
        <f>IF('1. Live'!BY193='check-Jul''26'!BU193,"",'1. Live'!BY193-'check-Jul''26'!BU193)</f>
        <v/>
      </c>
      <c r="BV175" s="25" t="str">
        <f>IF('1. Live'!BZ193='check-Jul''26'!BV193,"",'1. Live'!BZ193-'check-Jul''26'!BV193)</f>
        <v/>
      </c>
      <c r="BW175" s="25" t="str">
        <f>IF('1. Live'!CA193='check-Jul''26'!BW193,"",'1. Live'!CA193-'check-Jul''26'!BW193)</f>
        <v/>
      </c>
      <c r="BX175" s="25" t="str">
        <f>IF('1. Live'!CB193='check-Jul''26'!BX193,"",'1. Live'!CB193-'check-Jul''26'!BX193)</f>
        <v/>
      </c>
      <c r="BY175" s="25" t="str">
        <f>IF('1. Live'!CC193='check-Jul''26'!BY193,"",'1. Live'!CC193-'check-Jul''26'!BY193)</f>
        <v/>
      </c>
      <c r="BZ175" s="25" t="str">
        <f>IF('1. Live'!CD193='check-Jul''26'!BZ193,"",'1. Live'!CD193-'check-Jul''26'!BZ193)</f>
        <v/>
      </c>
      <c r="CA175" s="25" t="str">
        <f>IF('1. Live'!CE193='check-Jul''26'!CA193,"",'1. Live'!CE193-'check-Jul''26'!CA193)</f>
        <v/>
      </c>
      <c r="CB175" s="25" t="str">
        <f>IF('1. Live'!CF193='check-Jul''26'!CB193,"",'1. Live'!CF193-'check-Jul''26'!CB193)</f>
        <v/>
      </c>
      <c r="CC175" s="25" t="str">
        <f>IF('1. Live'!CG193='check-Jul''26'!CC193,"",'1. Live'!CG193-'check-Jul''26'!CC193)</f>
        <v/>
      </c>
      <c r="CD175" s="25" t="str">
        <f>IF('1. Live'!CH193='check-Jul''26'!CD193,"",'1. Live'!CH193-'check-Jul''26'!CD193)</f>
        <v/>
      </c>
      <c r="CE175" s="25" t="str">
        <f>IF('1. Live'!CI193='check-Jul''26'!CE193,"",'1. Live'!CI193-'check-Jul''26'!CE193)</f>
        <v/>
      </c>
      <c r="CF175" s="25" t="str">
        <f>IF('1. Live'!CJ193='check-Jul''26'!CF193,"",'1. Live'!CJ193-'check-Jul''26'!CF193)</f>
        <v/>
      </c>
      <c r="CG175" s="25" t="str">
        <f>IF('1. Live'!CK193='check-Jul''26'!CG193,"",'1. Live'!CK193-'check-Jul''26'!CG193)</f>
        <v/>
      </c>
      <c r="CH175" s="25" t="str">
        <f>IF('1. Live'!CL193='check-Jul''26'!CH193,"",'1. Live'!CL193-'check-Jul''26'!CH193)</f>
        <v/>
      </c>
      <c r="CI175" s="25" t="str">
        <f>IF('1. Live'!CM193='check-Jul''26'!CI193,"",'1. Live'!CM193-'check-Jul''26'!CI193)</f>
        <v/>
      </c>
      <c r="CJ175" s="25" t="str">
        <f>IF('1. Live'!CN193='check-Jul''26'!CJ193,"",'1. Live'!CN193-'check-Jul''26'!CJ193)</f>
        <v/>
      </c>
      <c r="CK175" s="25" t="str">
        <f>IF('1. Live'!CO193='check-Jul''26'!CK193,"",'1. Live'!CO193-'check-Jul''26'!CK193)</f>
        <v/>
      </c>
      <c r="CL175" s="25" t="str">
        <f>IF('1. Live'!CP193='check-Jul''26'!CL193,"",'1. Live'!CP193-'check-Jul''26'!CL193)</f>
        <v/>
      </c>
      <c r="CM175" s="25" t="str">
        <f>IF('1. Live'!CQ193='check-Jul''26'!CM193,"",'1. Live'!CQ193-'check-Jul''26'!CM193)</f>
        <v/>
      </c>
      <c r="CN175" s="25" t="str">
        <f>IF('1. Live'!CR193='check-Jul''26'!CN193,"",'1. Live'!CR193-'check-Jul''26'!CN193)</f>
        <v/>
      </c>
      <c r="CO175" s="25" t="str">
        <f>IF('1. Live'!CS193='check-Jul''26'!CO193,"",'1. Live'!CS193-'check-Jul''26'!CO193)</f>
        <v/>
      </c>
      <c r="CP175" s="25" t="str">
        <f>IF('1. Live'!CT193='check-Jul''26'!CP193,"",'1. Live'!CT193-'check-Jul''26'!CP193)</f>
        <v/>
      </c>
      <c r="CQ175" s="25" t="str">
        <f>IF('1. Live'!CU193='check-Jul''26'!CQ193,"",'1. Live'!CU193-'check-Jul''26'!CQ193)</f>
        <v/>
      </c>
      <c r="CR175" s="25" t="str">
        <f>IF('1. Live'!CV193='check-Jul''26'!CR193,"",'1. Live'!CV193-'check-Jul''26'!CR193)</f>
        <v/>
      </c>
      <c r="CS175" s="25" t="str">
        <f>IF('1. Live'!CW193='check-Jul''26'!CS193,"",'1. Live'!CW193-'check-Jul''26'!CS193)</f>
        <v/>
      </c>
      <c r="CT175" s="25" t="str">
        <f>IF('1. Live'!CX193='check-Jul''26'!CT193,"",'1. Live'!CX193-'check-Jul''26'!CT193)</f>
        <v/>
      </c>
      <c r="CU175" s="25" t="str">
        <f>IF('1. Live'!CY193='check-Jul''26'!CU193,"",'1. Live'!CY193-'check-Jul''26'!CU193)</f>
        <v/>
      </c>
      <c r="CV175" s="25" t="str">
        <f>IF('1. Live'!CZ193='check-Jul''26'!CV193,"",'1. Live'!CZ193-'check-Jul''26'!CV193)</f>
        <v/>
      </c>
    </row>
    <row r="176" spans="17:100" x14ac:dyDescent="0.25">
      <c r="Q176" s="26" t="str">
        <f>IF('1. Live'!N194='check-Jul''26'!I194,"",'1. Live'!N194-'check-Jul''26'!I194)</f>
        <v/>
      </c>
      <c r="R176" s="26" t="str">
        <f>IF('1. Live'!O194='check-Jul''26'!J194,"",'1. Live'!O194-'check-Jul''26'!J194)</f>
        <v/>
      </c>
      <c r="S176" s="26" t="str">
        <f>IF('1. Live'!P194='check-Jul''26'!K194,"",'1. Live'!P194-'check-Jul''26'!K194)</f>
        <v/>
      </c>
      <c r="T176" s="26" t="str">
        <f>IF('1. Live'!Q194='check-Jul''26'!L194,"",'1. Live'!Q194-'check-Jul''26'!L194)</f>
        <v/>
      </c>
      <c r="U176" s="80" t="str">
        <f>IF('1. Live'!R194='check-Jul''26'!M194,"",'1. Live'!R194-'check-Jul''26'!M194)</f>
        <v/>
      </c>
      <c r="V176" s="26" t="str">
        <f>IF('1. Live'!S194='check-Jul''26'!N194,"",'1. Live'!S194-'check-Jul''26'!N194)</f>
        <v/>
      </c>
      <c r="W176" s="25" t="str">
        <f>IF('1. Live'!T194='check-Jul''26'!O194,"",'1. Live'!T194-'check-Jul''26'!O194)</f>
        <v/>
      </c>
      <c r="X176" s="25" t="str">
        <f>IF('1. Live'!U194='check-Jul''26'!Q194,"",'1. Live'!U194-'check-Jul''26'!Q194)</f>
        <v/>
      </c>
      <c r="Y176" s="25" t="str">
        <f>IF('1. Live'!V194='check-Jul''26'!R194,"",'1. Live'!V194-'check-Jul''26'!R194)</f>
        <v/>
      </c>
      <c r="Z176" s="25" t="str">
        <f>IF('1. Live'!W194='check-Jul''26'!S194,"",'1. Live'!W194-'check-Jul''26'!S194)</f>
        <v/>
      </c>
      <c r="AA176" s="25" t="str">
        <f>IF('1. Live'!X194='check-Jul''26'!T194,"",'1. Live'!X194-'check-Jul''26'!T194)</f>
        <v/>
      </c>
      <c r="AB176" s="25" t="str">
        <f>IF('1. Live'!AF194='check-Jul''26'!AB194,"",'1. Live'!AF194-'check-Jul''26'!AB194)</f>
        <v/>
      </c>
      <c r="AC176" s="25" t="str">
        <f>IF('1. Live'!AG194='check-Jul''26'!AC194,"",'1. Live'!AG194-'check-Jul''26'!AC194)</f>
        <v/>
      </c>
      <c r="AD176" s="25" t="str">
        <f>IF('1. Live'!AH194='check-Jul''26'!AD194,"",'1. Live'!AH194-'check-Jul''26'!AD194)</f>
        <v/>
      </c>
      <c r="AE176" s="25" t="str">
        <f>IF('1. Live'!AI194='check-Jul''26'!AE194,"",'1. Live'!AI194-'check-Jul''26'!AE194)</f>
        <v/>
      </c>
      <c r="AF176" s="25" t="str">
        <f>IF('1. Live'!AJ194='check-Jul''26'!AF194,"",'1. Live'!AJ194-'check-Jul''26'!AF194)</f>
        <v/>
      </c>
      <c r="AG176" s="25" t="str">
        <f>IF('1. Live'!AK194='check-Jul''26'!AG194,"",'1. Live'!AK194-'check-Jul''26'!AG194)</f>
        <v/>
      </c>
      <c r="AH176" s="25" t="str">
        <f>IF('1. Live'!AL194='check-Jul''26'!AH194,"",'1. Live'!AL194-'check-Jul''26'!AH194)</f>
        <v/>
      </c>
      <c r="AI176" s="25" t="str">
        <f>IF('1. Live'!AM194='check-Jul''26'!AI194,"",'1. Live'!AM194-'check-Jul''26'!AI194)</f>
        <v/>
      </c>
      <c r="AJ176" s="25" t="str">
        <f>IF('1. Live'!AN194='check-Jul''26'!AJ194,"",'1. Live'!AN194-'check-Jul''26'!AJ194)</f>
        <v/>
      </c>
      <c r="AK176" s="25" t="str">
        <f>IF('1. Live'!AO194='check-Jul''26'!AK194,"",'1. Live'!AO194-'check-Jul''26'!AK194)</f>
        <v/>
      </c>
      <c r="AL176" s="25" t="str">
        <f>IF('1. Live'!AP194='check-Jul''26'!AL194,"",'1. Live'!AP194-'check-Jul''26'!AL194)</f>
        <v/>
      </c>
      <c r="AM176" s="25" t="str">
        <f>IF('1. Live'!AQ194='check-Jul''26'!AM194,"",'1. Live'!AQ194-'check-Jul''26'!AM194)</f>
        <v/>
      </c>
      <c r="AN176" s="25" t="str">
        <f>IF('1. Live'!AR194='check-Jul''26'!AN194,"",'1. Live'!AR194-'check-Jul''26'!AN194)</f>
        <v/>
      </c>
      <c r="AO176" s="25" t="str">
        <f>IF('1. Live'!AS194='check-Jul''26'!AO194,"",'1. Live'!AS194-'check-Jul''26'!AO194)</f>
        <v/>
      </c>
      <c r="AP176" s="25" t="str">
        <f>IF('1. Live'!AT194='check-Jul''26'!AP194,"",'1. Live'!AT194-'check-Jul''26'!AP194)</f>
        <v/>
      </c>
      <c r="AQ176" s="25" t="str">
        <f>IF('1. Live'!AU194='check-Jul''26'!AQ194,"",'1. Live'!AU194-'check-Jul''26'!AQ194)</f>
        <v/>
      </c>
      <c r="AR176" s="25" t="str">
        <f>IF('1. Live'!AV194='check-Jul''26'!AR194,"",'1. Live'!AV194-'check-Jul''26'!AR194)</f>
        <v/>
      </c>
      <c r="AS176" s="25" t="str">
        <f>IF('1. Live'!AW194='check-Jul''26'!AS194,"",'1. Live'!AW194-'check-Jul''26'!AS194)</f>
        <v/>
      </c>
      <c r="AT176" s="25" t="str">
        <f>IF('1. Live'!AX194='check-Jul''26'!AT194,"",'1. Live'!AX194-'check-Jul''26'!AT194)</f>
        <v/>
      </c>
      <c r="AU176" s="25" t="str">
        <f>IF('1. Live'!AY194='check-Jul''26'!AU194,"",'1. Live'!AY194-'check-Jul''26'!AU194)</f>
        <v/>
      </c>
      <c r="AV176" s="25" t="str">
        <f>IF('1. Live'!AZ194='check-Jul''26'!AV194,"",'1. Live'!AZ194-'check-Jul''26'!AV194)</f>
        <v/>
      </c>
      <c r="AW176" s="25" t="str">
        <f>IF('1. Live'!BA194='check-Jul''26'!AW194,"",'1. Live'!BA194-'check-Jul''26'!AW194)</f>
        <v/>
      </c>
      <c r="AX176" s="25" t="str">
        <f>IF('1. Live'!BB194='check-Jul''26'!AX194,"",'1. Live'!BB194-'check-Jul''26'!AX194)</f>
        <v/>
      </c>
      <c r="AY176" s="25" t="str">
        <f>IF('1. Live'!BC194='check-Jul''26'!AY194,"",'1. Live'!BC194-'check-Jul''26'!AY194)</f>
        <v/>
      </c>
      <c r="AZ176" s="25" t="str">
        <f>IF('1. Live'!BD194='check-Jul''26'!AZ194,"",'1. Live'!BD194-'check-Jul''26'!AZ194)</f>
        <v/>
      </c>
      <c r="BA176" s="25" t="str">
        <f>IF('1. Live'!BE194='check-Jul''26'!BA194,"",'1. Live'!BE194-'check-Jul''26'!BA194)</f>
        <v/>
      </c>
      <c r="BB176" s="25" t="str">
        <f>IF('1. Live'!BF194='check-Jul''26'!BB194,"",'1. Live'!BF194-'check-Jul''26'!BB194)</f>
        <v/>
      </c>
      <c r="BC176" s="25" t="str">
        <f>IF('1. Live'!BG194='check-Jul''26'!BC194,"",'1. Live'!BG194-'check-Jul''26'!BC194)</f>
        <v/>
      </c>
      <c r="BD176" s="25" t="str">
        <f>IF('1. Live'!BH194='check-Jul''26'!BD194,"",'1. Live'!BH194-'check-Jul''26'!BD194)</f>
        <v/>
      </c>
      <c r="BE176" s="25" t="str">
        <f>IF('1. Live'!BI194='check-Jul''26'!BE194,"",'1. Live'!BI194-'check-Jul''26'!BE194)</f>
        <v/>
      </c>
      <c r="BF176" s="25" t="str">
        <f>IF('1. Live'!BJ194='check-Jul''26'!BF194,"",'1. Live'!BJ194-'check-Jul''26'!BF194)</f>
        <v/>
      </c>
      <c r="BG176" s="25" t="str">
        <f>IF('1. Live'!BK194='check-Jul''26'!BG194,"",'1. Live'!BK194-'check-Jul''26'!BG194)</f>
        <v/>
      </c>
      <c r="BH176" s="25" t="str">
        <f>IF('1. Live'!BL194='check-Jul''26'!BH194,"",'1. Live'!BL194-'check-Jul''26'!BH194)</f>
        <v/>
      </c>
      <c r="BI176" s="25" t="str">
        <f>IF('1. Live'!BM194='check-Jul''26'!BI194,"",'1. Live'!BM194-'check-Jul''26'!BI194)</f>
        <v/>
      </c>
      <c r="BJ176" s="25" t="str">
        <f>IF('1. Live'!BN194='check-Jul''26'!BJ194,"",'1. Live'!BN194-'check-Jul''26'!BJ194)</f>
        <v/>
      </c>
      <c r="BK176" s="25" t="str">
        <f>IF('1. Live'!BO194='check-Jul''26'!BK194,"",'1. Live'!BO194-'check-Jul''26'!BK194)</f>
        <v/>
      </c>
      <c r="BL176" s="25" t="str">
        <f>IF('1. Live'!BP194='check-Jul''26'!BL194,"",'1. Live'!BP194-'check-Jul''26'!BL194)</f>
        <v/>
      </c>
      <c r="BM176" s="25" t="str">
        <f>IF('1. Live'!BQ194='check-Jul''26'!BM194,"",'1. Live'!BQ194-'check-Jul''26'!BM194)</f>
        <v/>
      </c>
      <c r="BN176" s="25" t="str">
        <f>IF('1. Live'!BR194='check-Jul''26'!BN194,"",'1. Live'!BR194-'check-Jul''26'!BN194)</f>
        <v/>
      </c>
      <c r="BO176" s="25" t="str">
        <f>IF('1. Live'!BS194='check-Jul''26'!BO194,"",'1. Live'!BS194-'check-Jul''26'!BO194)</f>
        <v/>
      </c>
      <c r="BP176" s="25" t="str">
        <f>IF('1. Live'!BT194='check-Jul''26'!BP194,"",'1. Live'!BT194-'check-Jul''26'!BP194)</f>
        <v/>
      </c>
      <c r="BQ176" s="25" t="str">
        <f>IF('1. Live'!BU194='check-Jul''26'!BQ194,"",'1. Live'!BU194-'check-Jul''26'!BQ194)</f>
        <v/>
      </c>
      <c r="BR176" s="25" t="str">
        <f>IF('1. Live'!BV194='check-Jul''26'!BR194,"",'1. Live'!BV194-'check-Jul''26'!BR194)</f>
        <v/>
      </c>
      <c r="BS176" s="25" t="str">
        <f>IF('1. Live'!BW194='check-Jul''26'!BS194,"",'1. Live'!BW194-'check-Jul''26'!BS194)</f>
        <v/>
      </c>
      <c r="BT176" s="25" t="str">
        <f>IF('1. Live'!BX194='check-Jul''26'!BT194,"",'1. Live'!BX194-'check-Jul''26'!BT194)</f>
        <v/>
      </c>
      <c r="BU176" s="25" t="str">
        <f>IF('1. Live'!BY194='check-Jul''26'!BU194,"",'1. Live'!BY194-'check-Jul''26'!BU194)</f>
        <v/>
      </c>
      <c r="BV176" s="25" t="str">
        <f>IF('1. Live'!BZ194='check-Jul''26'!BV194,"",'1. Live'!BZ194-'check-Jul''26'!BV194)</f>
        <v/>
      </c>
      <c r="BW176" s="25" t="str">
        <f>IF('1. Live'!CA194='check-Jul''26'!BW194,"",'1. Live'!CA194-'check-Jul''26'!BW194)</f>
        <v/>
      </c>
      <c r="BX176" s="25" t="str">
        <f>IF('1. Live'!CB194='check-Jul''26'!BX194,"",'1. Live'!CB194-'check-Jul''26'!BX194)</f>
        <v/>
      </c>
      <c r="BY176" s="25" t="str">
        <f>IF('1. Live'!CC194='check-Jul''26'!BY194,"",'1. Live'!CC194-'check-Jul''26'!BY194)</f>
        <v/>
      </c>
      <c r="BZ176" s="25" t="str">
        <f>IF('1. Live'!CD194='check-Jul''26'!BZ194,"",'1. Live'!CD194-'check-Jul''26'!BZ194)</f>
        <v/>
      </c>
      <c r="CA176" s="25" t="str">
        <f>IF('1. Live'!CE194='check-Jul''26'!CA194,"",'1. Live'!CE194-'check-Jul''26'!CA194)</f>
        <v/>
      </c>
      <c r="CB176" s="25" t="str">
        <f>IF('1. Live'!CF194='check-Jul''26'!CB194,"",'1. Live'!CF194-'check-Jul''26'!CB194)</f>
        <v/>
      </c>
      <c r="CC176" s="25" t="str">
        <f>IF('1. Live'!CG194='check-Jul''26'!CC194,"",'1. Live'!CG194-'check-Jul''26'!CC194)</f>
        <v/>
      </c>
      <c r="CD176" s="25" t="str">
        <f>IF('1. Live'!CH194='check-Jul''26'!CD194,"",'1. Live'!CH194-'check-Jul''26'!CD194)</f>
        <v/>
      </c>
      <c r="CE176" s="25" t="str">
        <f>IF('1. Live'!CI194='check-Jul''26'!CE194,"",'1. Live'!CI194-'check-Jul''26'!CE194)</f>
        <v/>
      </c>
      <c r="CF176" s="25" t="str">
        <f>IF('1. Live'!CJ194='check-Jul''26'!CF194,"",'1. Live'!CJ194-'check-Jul''26'!CF194)</f>
        <v/>
      </c>
      <c r="CG176" s="25" t="str">
        <f>IF('1. Live'!CK194='check-Jul''26'!CG194,"",'1. Live'!CK194-'check-Jul''26'!CG194)</f>
        <v/>
      </c>
      <c r="CH176" s="25" t="str">
        <f>IF('1. Live'!CL194='check-Jul''26'!CH194,"",'1. Live'!CL194-'check-Jul''26'!CH194)</f>
        <v/>
      </c>
      <c r="CI176" s="25" t="str">
        <f>IF('1. Live'!CM194='check-Jul''26'!CI194,"",'1. Live'!CM194-'check-Jul''26'!CI194)</f>
        <v/>
      </c>
      <c r="CJ176" s="25" t="str">
        <f>IF('1. Live'!CN194='check-Jul''26'!CJ194,"",'1. Live'!CN194-'check-Jul''26'!CJ194)</f>
        <v/>
      </c>
      <c r="CK176" s="25" t="str">
        <f>IF('1. Live'!CO194='check-Jul''26'!CK194,"",'1. Live'!CO194-'check-Jul''26'!CK194)</f>
        <v/>
      </c>
      <c r="CL176" s="25" t="str">
        <f>IF('1. Live'!CP194='check-Jul''26'!CL194,"",'1. Live'!CP194-'check-Jul''26'!CL194)</f>
        <v/>
      </c>
      <c r="CM176" s="25" t="str">
        <f>IF('1. Live'!CQ194='check-Jul''26'!CM194,"",'1. Live'!CQ194-'check-Jul''26'!CM194)</f>
        <v/>
      </c>
      <c r="CN176" s="25" t="str">
        <f>IF('1. Live'!CR194='check-Jul''26'!CN194,"",'1. Live'!CR194-'check-Jul''26'!CN194)</f>
        <v/>
      </c>
      <c r="CO176" s="25" t="str">
        <f>IF('1. Live'!CS194='check-Jul''26'!CO194,"",'1. Live'!CS194-'check-Jul''26'!CO194)</f>
        <v/>
      </c>
      <c r="CP176" s="25" t="str">
        <f>IF('1. Live'!CT194='check-Jul''26'!CP194,"",'1. Live'!CT194-'check-Jul''26'!CP194)</f>
        <v/>
      </c>
      <c r="CQ176" s="25" t="str">
        <f>IF('1. Live'!CU194='check-Jul''26'!CQ194,"",'1. Live'!CU194-'check-Jul''26'!CQ194)</f>
        <v/>
      </c>
      <c r="CR176" s="25" t="str">
        <f>IF('1. Live'!CV194='check-Jul''26'!CR194,"",'1. Live'!CV194-'check-Jul''26'!CR194)</f>
        <v/>
      </c>
      <c r="CS176" s="25" t="str">
        <f>IF('1. Live'!CW194='check-Jul''26'!CS194,"",'1. Live'!CW194-'check-Jul''26'!CS194)</f>
        <v/>
      </c>
      <c r="CT176" s="25" t="str">
        <f>IF('1. Live'!CX194='check-Jul''26'!CT194,"",'1. Live'!CX194-'check-Jul''26'!CT194)</f>
        <v/>
      </c>
      <c r="CU176" s="25" t="str">
        <f>IF('1. Live'!CY194='check-Jul''26'!CU194,"",'1. Live'!CY194-'check-Jul''26'!CU194)</f>
        <v/>
      </c>
      <c r="CV176" s="25" t="str">
        <f>IF('1. Live'!CZ194='check-Jul''26'!CV194,"",'1. Live'!CZ194-'check-Jul''26'!CV194)</f>
        <v/>
      </c>
    </row>
    <row r="177" spans="17:100" x14ac:dyDescent="0.25">
      <c r="Q177" s="26" t="str">
        <f>IF('1. Live'!N195='check-Jul''26'!I195,"",'1. Live'!N195-'check-Jul''26'!I195)</f>
        <v/>
      </c>
      <c r="R177" s="26" t="str">
        <f>IF('1. Live'!O195='check-Jul''26'!J195,"",'1. Live'!O195-'check-Jul''26'!J195)</f>
        <v/>
      </c>
      <c r="S177" s="26" t="str">
        <f>IF('1. Live'!P195='check-Jul''26'!K195,"",'1. Live'!P195-'check-Jul''26'!K195)</f>
        <v/>
      </c>
      <c r="T177" s="26" t="str">
        <f>IF('1. Live'!Q195='check-Jul''26'!L195,"",'1. Live'!Q195-'check-Jul''26'!L195)</f>
        <v/>
      </c>
      <c r="U177" s="80" t="str">
        <f>IF('1. Live'!R195='check-Jul''26'!M195,"",'1. Live'!R195-'check-Jul''26'!M195)</f>
        <v/>
      </c>
      <c r="V177" s="26" t="str">
        <f>IF('1. Live'!S195='check-Jul''26'!N195,"",'1. Live'!S195-'check-Jul''26'!N195)</f>
        <v/>
      </c>
      <c r="W177" s="25" t="str">
        <f>IF('1. Live'!T195='check-Jul''26'!O195,"",'1. Live'!T195-'check-Jul''26'!O195)</f>
        <v/>
      </c>
      <c r="X177" s="25" t="str">
        <f>IF('1. Live'!U195='check-Jul''26'!Q195,"",'1. Live'!U195-'check-Jul''26'!Q195)</f>
        <v/>
      </c>
      <c r="Y177" s="25" t="str">
        <f>IF('1. Live'!V195='check-Jul''26'!R195,"",'1. Live'!V195-'check-Jul''26'!R195)</f>
        <v/>
      </c>
      <c r="Z177" s="25" t="str">
        <f>IF('1. Live'!W195='check-Jul''26'!S195,"",'1. Live'!W195-'check-Jul''26'!S195)</f>
        <v/>
      </c>
      <c r="AA177" s="25" t="str">
        <f>IF('1. Live'!X195='check-Jul''26'!T195,"",'1. Live'!X195-'check-Jul''26'!T195)</f>
        <v/>
      </c>
      <c r="AB177" s="25" t="str">
        <f>IF('1. Live'!AF195='check-Jul''26'!AB195,"",'1. Live'!AF195-'check-Jul''26'!AB195)</f>
        <v/>
      </c>
      <c r="AC177" s="25" t="str">
        <f>IF('1. Live'!AG195='check-Jul''26'!AC195,"",'1. Live'!AG195-'check-Jul''26'!AC195)</f>
        <v/>
      </c>
      <c r="AD177" s="25" t="str">
        <f>IF('1. Live'!AH195='check-Jul''26'!AD195,"",'1. Live'!AH195-'check-Jul''26'!AD195)</f>
        <v/>
      </c>
      <c r="AE177" s="25" t="str">
        <f>IF('1. Live'!AI195='check-Jul''26'!AE195,"",'1. Live'!AI195-'check-Jul''26'!AE195)</f>
        <v/>
      </c>
      <c r="AF177" s="25" t="str">
        <f>IF('1. Live'!AJ195='check-Jul''26'!AF195,"",'1. Live'!AJ195-'check-Jul''26'!AF195)</f>
        <v/>
      </c>
      <c r="AG177" s="25" t="str">
        <f>IF('1. Live'!AK195='check-Jul''26'!AG195,"",'1. Live'!AK195-'check-Jul''26'!AG195)</f>
        <v/>
      </c>
      <c r="AH177" s="25" t="str">
        <f>IF('1. Live'!AL195='check-Jul''26'!AH195,"",'1. Live'!AL195-'check-Jul''26'!AH195)</f>
        <v/>
      </c>
      <c r="AI177" s="25" t="str">
        <f>IF('1. Live'!AM195='check-Jul''26'!AI195,"",'1. Live'!AM195-'check-Jul''26'!AI195)</f>
        <v/>
      </c>
      <c r="AJ177" s="25" t="str">
        <f>IF('1. Live'!AN195='check-Jul''26'!AJ195,"",'1. Live'!AN195-'check-Jul''26'!AJ195)</f>
        <v/>
      </c>
      <c r="AK177" s="25" t="str">
        <f>IF('1. Live'!AO195='check-Jul''26'!AK195,"",'1. Live'!AO195-'check-Jul''26'!AK195)</f>
        <v/>
      </c>
      <c r="AL177" s="25" t="str">
        <f>IF('1. Live'!AP195='check-Jul''26'!AL195,"",'1. Live'!AP195-'check-Jul''26'!AL195)</f>
        <v/>
      </c>
      <c r="AM177" s="25" t="str">
        <f>IF('1. Live'!AQ195='check-Jul''26'!AM195,"",'1. Live'!AQ195-'check-Jul''26'!AM195)</f>
        <v/>
      </c>
      <c r="AN177" s="25" t="str">
        <f>IF('1. Live'!AR195='check-Jul''26'!AN195,"",'1. Live'!AR195-'check-Jul''26'!AN195)</f>
        <v/>
      </c>
      <c r="AO177" s="25" t="str">
        <f>IF('1. Live'!AS195='check-Jul''26'!AO195,"",'1. Live'!AS195-'check-Jul''26'!AO195)</f>
        <v/>
      </c>
      <c r="AP177" s="25" t="str">
        <f>IF('1. Live'!AT195='check-Jul''26'!AP195,"",'1. Live'!AT195-'check-Jul''26'!AP195)</f>
        <v/>
      </c>
      <c r="AQ177" s="25" t="str">
        <f>IF('1. Live'!AU195='check-Jul''26'!AQ195,"",'1. Live'!AU195-'check-Jul''26'!AQ195)</f>
        <v/>
      </c>
      <c r="AR177" s="25" t="str">
        <f>IF('1. Live'!AV195='check-Jul''26'!AR195,"",'1. Live'!AV195-'check-Jul''26'!AR195)</f>
        <v/>
      </c>
      <c r="AS177" s="25" t="str">
        <f>IF('1. Live'!AW195='check-Jul''26'!AS195,"",'1. Live'!AW195-'check-Jul''26'!AS195)</f>
        <v/>
      </c>
      <c r="AT177" s="25" t="str">
        <f>IF('1. Live'!AX195='check-Jul''26'!AT195,"",'1. Live'!AX195-'check-Jul''26'!AT195)</f>
        <v/>
      </c>
      <c r="AU177" s="25" t="str">
        <f>IF('1. Live'!AY195='check-Jul''26'!AU195,"",'1. Live'!AY195-'check-Jul''26'!AU195)</f>
        <v/>
      </c>
      <c r="AV177" s="25" t="str">
        <f>IF('1. Live'!AZ195='check-Jul''26'!AV195,"",'1. Live'!AZ195-'check-Jul''26'!AV195)</f>
        <v/>
      </c>
      <c r="AW177" s="25" t="str">
        <f>IF('1. Live'!BA195='check-Jul''26'!AW195,"",'1. Live'!BA195-'check-Jul''26'!AW195)</f>
        <v/>
      </c>
      <c r="AX177" s="25" t="str">
        <f>IF('1. Live'!BB195='check-Jul''26'!AX195,"",'1. Live'!BB195-'check-Jul''26'!AX195)</f>
        <v/>
      </c>
      <c r="AY177" s="25" t="str">
        <f>IF('1. Live'!BC195='check-Jul''26'!AY195,"",'1. Live'!BC195-'check-Jul''26'!AY195)</f>
        <v/>
      </c>
      <c r="AZ177" s="25" t="str">
        <f>IF('1. Live'!BD195='check-Jul''26'!AZ195,"",'1. Live'!BD195-'check-Jul''26'!AZ195)</f>
        <v/>
      </c>
      <c r="BA177" s="25" t="str">
        <f>IF('1. Live'!BE195='check-Jul''26'!BA195,"",'1. Live'!BE195-'check-Jul''26'!BA195)</f>
        <v/>
      </c>
      <c r="BB177" s="25" t="str">
        <f>IF('1. Live'!BF195='check-Jul''26'!BB195,"",'1. Live'!BF195-'check-Jul''26'!BB195)</f>
        <v/>
      </c>
      <c r="BC177" s="25" t="str">
        <f>IF('1. Live'!BG195='check-Jul''26'!BC195,"",'1. Live'!BG195-'check-Jul''26'!BC195)</f>
        <v/>
      </c>
      <c r="BD177" s="25" t="str">
        <f>IF('1. Live'!BH195='check-Jul''26'!BD195,"",'1. Live'!BH195-'check-Jul''26'!BD195)</f>
        <v/>
      </c>
      <c r="BE177" s="25" t="str">
        <f>IF('1. Live'!BI195='check-Jul''26'!BE195,"",'1. Live'!BI195-'check-Jul''26'!BE195)</f>
        <v/>
      </c>
      <c r="BF177" s="25" t="str">
        <f>IF('1. Live'!BJ195='check-Jul''26'!BF195,"",'1. Live'!BJ195-'check-Jul''26'!BF195)</f>
        <v/>
      </c>
      <c r="BG177" s="25" t="str">
        <f>IF('1. Live'!BK195='check-Jul''26'!BG195,"",'1. Live'!BK195-'check-Jul''26'!BG195)</f>
        <v/>
      </c>
      <c r="BH177" s="25" t="str">
        <f>IF('1. Live'!BL195='check-Jul''26'!BH195,"",'1. Live'!BL195-'check-Jul''26'!BH195)</f>
        <v/>
      </c>
      <c r="BI177" s="25" t="str">
        <f>IF('1. Live'!BM195='check-Jul''26'!BI195,"",'1. Live'!BM195-'check-Jul''26'!BI195)</f>
        <v/>
      </c>
      <c r="BJ177" s="25" t="str">
        <f>IF('1. Live'!BN195='check-Jul''26'!BJ195,"",'1. Live'!BN195-'check-Jul''26'!BJ195)</f>
        <v/>
      </c>
      <c r="BK177" s="25" t="str">
        <f>IF('1. Live'!BO195='check-Jul''26'!BK195,"",'1. Live'!BO195-'check-Jul''26'!BK195)</f>
        <v/>
      </c>
      <c r="BL177" s="25" t="str">
        <f>IF('1. Live'!BP195='check-Jul''26'!BL195,"",'1. Live'!BP195-'check-Jul''26'!BL195)</f>
        <v/>
      </c>
      <c r="BM177" s="25" t="str">
        <f>IF('1. Live'!BQ195='check-Jul''26'!BM195,"",'1. Live'!BQ195-'check-Jul''26'!BM195)</f>
        <v/>
      </c>
      <c r="BN177" s="25" t="str">
        <f>IF('1. Live'!BR195='check-Jul''26'!BN195,"",'1. Live'!BR195-'check-Jul''26'!BN195)</f>
        <v/>
      </c>
      <c r="BO177" s="25" t="str">
        <f>IF('1. Live'!BS195='check-Jul''26'!BO195,"",'1. Live'!BS195-'check-Jul''26'!BO195)</f>
        <v/>
      </c>
      <c r="BP177" s="25" t="str">
        <f>IF('1. Live'!BT195='check-Jul''26'!BP195,"",'1. Live'!BT195-'check-Jul''26'!BP195)</f>
        <v/>
      </c>
      <c r="BQ177" s="25" t="str">
        <f>IF('1. Live'!BU195='check-Jul''26'!BQ195,"",'1. Live'!BU195-'check-Jul''26'!BQ195)</f>
        <v/>
      </c>
      <c r="BR177" s="25" t="str">
        <f>IF('1. Live'!BV195='check-Jul''26'!BR195,"",'1. Live'!BV195-'check-Jul''26'!BR195)</f>
        <v/>
      </c>
      <c r="BS177" s="25" t="str">
        <f>IF('1. Live'!BW195='check-Jul''26'!BS195,"",'1. Live'!BW195-'check-Jul''26'!BS195)</f>
        <v/>
      </c>
      <c r="BT177" s="25" t="str">
        <f>IF('1. Live'!BX195='check-Jul''26'!BT195,"",'1. Live'!BX195-'check-Jul''26'!BT195)</f>
        <v/>
      </c>
      <c r="BU177" s="25" t="str">
        <f>IF('1. Live'!BY195='check-Jul''26'!BU195,"",'1. Live'!BY195-'check-Jul''26'!BU195)</f>
        <v/>
      </c>
      <c r="BV177" s="25" t="str">
        <f>IF('1. Live'!BZ195='check-Jul''26'!BV195,"",'1. Live'!BZ195-'check-Jul''26'!BV195)</f>
        <v/>
      </c>
      <c r="BW177" s="25" t="str">
        <f>IF('1. Live'!CA195='check-Jul''26'!BW195,"",'1. Live'!CA195-'check-Jul''26'!BW195)</f>
        <v/>
      </c>
      <c r="BX177" s="25" t="str">
        <f>IF('1. Live'!CB195='check-Jul''26'!BX195,"",'1. Live'!CB195-'check-Jul''26'!BX195)</f>
        <v/>
      </c>
      <c r="BY177" s="25" t="str">
        <f>IF('1. Live'!CC195='check-Jul''26'!BY195,"",'1. Live'!CC195-'check-Jul''26'!BY195)</f>
        <v/>
      </c>
      <c r="BZ177" s="25" t="str">
        <f>IF('1. Live'!CD195='check-Jul''26'!BZ195,"",'1. Live'!CD195-'check-Jul''26'!BZ195)</f>
        <v/>
      </c>
      <c r="CA177" s="25" t="str">
        <f>IF('1. Live'!CE195='check-Jul''26'!CA195,"",'1. Live'!CE195-'check-Jul''26'!CA195)</f>
        <v/>
      </c>
      <c r="CB177" s="25" t="str">
        <f>IF('1. Live'!CF195='check-Jul''26'!CB195,"",'1. Live'!CF195-'check-Jul''26'!CB195)</f>
        <v/>
      </c>
      <c r="CC177" s="25" t="str">
        <f>IF('1. Live'!CG195='check-Jul''26'!CC195,"",'1. Live'!CG195-'check-Jul''26'!CC195)</f>
        <v/>
      </c>
      <c r="CD177" s="25" t="str">
        <f>IF('1. Live'!CH195='check-Jul''26'!CD195,"",'1. Live'!CH195-'check-Jul''26'!CD195)</f>
        <v/>
      </c>
      <c r="CE177" s="25" t="str">
        <f>IF('1. Live'!CI195='check-Jul''26'!CE195,"",'1. Live'!CI195-'check-Jul''26'!CE195)</f>
        <v/>
      </c>
      <c r="CF177" s="25" t="str">
        <f>IF('1. Live'!CJ195='check-Jul''26'!CF195,"",'1. Live'!CJ195-'check-Jul''26'!CF195)</f>
        <v/>
      </c>
      <c r="CG177" s="25" t="str">
        <f>IF('1. Live'!CK195='check-Jul''26'!CG195,"",'1. Live'!CK195-'check-Jul''26'!CG195)</f>
        <v/>
      </c>
      <c r="CH177" s="25" t="str">
        <f>IF('1. Live'!CL195='check-Jul''26'!CH195,"",'1. Live'!CL195-'check-Jul''26'!CH195)</f>
        <v/>
      </c>
      <c r="CI177" s="25" t="str">
        <f>IF('1. Live'!CM195='check-Jul''26'!CI195,"",'1. Live'!CM195-'check-Jul''26'!CI195)</f>
        <v/>
      </c>
      <c r="CJ177" s="25" t="str">
        <f>IF('1. Live'!CN195='check-Jul''26'!CJ195,"",'1. Live'!CN195-'check-Jul''26'!CJ195)</f>
        <v/>
      </c>
      <c r="CK177" s="25" t="str">
        <f>IF('1. Live'!CO195='check-Jul''26'!CK195,"",'1. Live'!CO195-'check-Jul''26'!CK195)</f>
        <v/>
      </c>
      <c r="CL177" s="25" t="str">
        <f>IF('1. Live'!CP195='check-Jul''26'!CL195,"",'1. Live'!CP195-'check-Jul''26'!CL195)</f>
        <v/>
      </c>
      <c r="CM177" s="25" t="str">
        <f>IF('1. Live'!CQ195='check-Jul''26'!CM195,"",'1. Live'!CQ195-'check-Jul''26'!CM195)</f>
        <v/>
      </c>
      <c r="CN177" s="25" t="str">
        <f>IF('1. Live'!CR195='check-Jul''26'!CN195,"",'1. Live'!CR195-'check-Jul''26'!CN195)</f>
        <v/>
      </c>
      <c r="CO177" s="25" t="str">
        <f>IF('1. Live'!CS195='check-Jul''26'!CO195,"",'1. Live'!CS195-'check-Jul''26'!CO195)</f>
        <v/>
      </c>
      <c r="CP177" s="25" t="str">
        <f>IF('1. Live'!CT195='check-Jul''26'!CP195,"",'1. Live'!CT195-'check-Jul''26'!CP195)</f>
        <v/>
      </c>
      <c r="CQ177" s="25" t="str">
        <f>IF('1. Live'!CU195='check-Jul''26'!CQ195,"",'1. Live'!CU195-'check-Jul''26'!CQ195)</f>
        <v/>
      </c>
      <c r="CR177" s="25" t="str">
        <f>IF('1. Live'!CV195='check-Jul''26'!CR195,"",'1. Live'!CV195-'check-Jul''26'!CR195)</f>
        <v/>
      </c>
      <c r="CS177" s="25" t="str">
        <f>IF('1. Live'!CW195='check-Jul''26'!CS195,"",'1. Live'!CW195-'check-Jul''26'!CS195)</f>
        <v/>
      </c>
      <c r="CT177" s="25" t="str">
        <f>IF('1. Live'!CX195='check-Jul''26'!CT195,"",'1. Live'!CX195-'check-Jul''26'!CT195)</f>
        <v/>
      </c>
      <c r="CU177" s="25" t="str">
        <f>IF('1. Live'!CY195='check-Jul''26'!CU195,"",'1. Live'!CY195-'check-Jul''26'!CU195)</f>
        <v/>
      </c>
      <c r="CV177" s="25" t="str">
        <f>IF('1. Live'!CZ195='check-Jul''26'!CV195,"",'1. Live'!CZ195-'check-Jul''26'!CV195)</f>
        <v/>
      </c>
    </row>
    <row r="178" spans="17:100" x14ac:dyDescent="0.25">
      <c r="Q178" s="26" t="str">
        <f>IF('1. Live'!N196='check-Jul''26'!I196,"",'1. Live'!N196-'check-Jul''26'!I196)</f>
        <v/>
      </c>
      <c r="R178" s="26" t="str">
        <f>IF('1. Live'!O196='check-Jul''26'!J196,"",'1. Live'!O196-'check-Jul''26'!J196)</f>
        <v/>
      </c>
      <c r="S178" s="26" t="str">
        <f>IF('1. Live'!P196='check-Jul''26'!K196,"",'1. Live'!P196-'check-Jul''26'!K196)</f>
        <v/>
      </c>
      <c r="T178" s="26" t="str">
        <f>IF('1. Live'!Q196='check-Jul''26'!L196,"",'1. Live'!Q196-'check-Jul''26'!L196)</f>
        <v/>
      </c>
      <c r="U178" s="80" t="str">
        <f>IF('1. Live'!R196='check-Jul''26'!M196,"",'1. Live'!R196-'check-Jul''26'!M196)</f>
        <v/>
      </c>
      <c r="V178" s="26" t="str">
        <f>IF('1. Live'!S196='check-Jul''26'!N196,"",'1. Live'!S196-'check-Jul''26'!N196)</f>
        <v/>
      </c>
      <c r="W178" s="25" t="str">
        <f>IF('1. Live'!T196='check-Jul''26'!O196,"",'1. Live'!T196-'check-Jul''26'!O196)</f>
        <v/>
      </c>
      <c r="X178" s="25" t="str">
        <f>IF('1. Live'!U196='check-Jul''26'!Q196,"",'1. Live'!U196-'check-Jul''26'!Q196)</f>
        <v/>
      </c>
      <c r="Y178" s="25" t="str">
        <f>IF('1. Live'!V196='check-Jul''26'!R196,"",'1. Live'!V196-'check-Jul''26'!R196)</f>
        <v/>
      </c>
      <c r="Z178" s="25" t="str">
        <f>IF('1. Live'!W196='check-Jul''26'!S196,"",'1. Live'!W196-'check-Jul''26'!S196)</f>
        <v/>
      </c>
      <c r="AA178" s="25" t="str">
        <f>IF('1. Live'!X196='check-Jul''26'!T196,"",'1. Live'!X196-'check-Jul''26'!T196)</f>
        <v/>
      </c>
      <c r="AB178" s="25" t="str">
        <f>IF('1. Live'!AF196='check-Jul''26'!AB196,"",'1. Live'!AF196-'check-Jul''26'!AB196)</f>
        <v/>
      </c>
      <c r="AC178" s="25" t="str">
        <f>IF('1. Live'!AG196='check-Jul''26'!AC196,"",'1. Live'!AG196-'check-Jul''26'!AC196)</f>
        <v/>
      </c>
      <c r="AD178" s="25" t="str">
        <f>IF('1. Live'!AH196='check-Jul''26'!AD196,"",'1. Live'!AH196-'check-Jul''26'!AD196)</f>
        <v/>
      </c>
      <c r="AE178" s="25" t="str">
        <f>IF('1. Live'!AI196='check-Jul''26'!AE196,"",'1. Live'!AI196-'check-Jul''26'!AE196)</f>
        <v/>
      </c>
      <c r="AF178" s="25" t="str">
        <f>IF('1. Live'!AJ196='check-Jul''26'!AF196,"",'1. Live'!AJ196-'check-Jul''26'!AF196)</f>
        <v/>
      </c>
      <c r="AG178" s="25" t="str">
        <f>IF('1. Live'!AK196='check-Jul''26'!AG196,"",'1. Live'!AK196-'check-Jul''26'!AG196)</f>
        <v/>
      </c>
      <c r="AH178" s="25" t="str">
        <f>IF('1. Live'!AL196='check-Jul''26'!AH196,"",'1. Live'!AL196-'check-Jul''26'!AH196)</f>
        <v/>
      </c>
      <c r="AI178" s="25" t="str">
        <f>IF('1. Live'!AM196='check-Jul''26'!AI196,"",'1. Live'!AM196-'check-Jul''26'!AI196)</f>
        <v/>
      </c>
      <c r="AJ178" s="25" t="str">
        <f>IF('1. Live'!AN196='check-Jul''26'!AJ196,"",'1. Live'!AN196-'check-Jul''26'!AJ196)</f>
        <v/>
      </c>
      <c r="AK178" s="25" t="str">
        <f>IF('1. Live'!AO196='check-Jul''26'!AK196,"",'1. Live'!AO196-'check-Jul''26'!AK196)</f>
        <v/>
      </c>
      <c r="AL178" s="25" t="str">
        <f>IF('1. Live'!AP196='check-Jul''26'!AL196,"",'1. Live'!AP196-'check-Jul''26'!AL196)</f>
        <v/>
      </c>
      <c r="AM178" s="25" t="str">
        <f>IF('1. Live'!AQ196='check-Jul''26'!AM196,"",'1. Live'!AQ196-'check-Jul''26'!AM196)</f>
        <v/>
      </c>
      <c r="AN178" s="25" t="str">
        <f>IF('1. Live'!AR196='check-Jul''26'!AN196,"",'1. Live'!AR196-'check-Jul''26'!AN196)</f>
        <v/>
      </c>
      <c r="AO178" s="25" t="str">
        <f>IF('1. Live'!AS196='check-Jul''26'!AO196,"",'1. Live'!AS196-'check-Jul''26'!AO196)</f>
        <v/>
      </c>
      <c r="AP178" s="25" t="str">
        <f>IF('1. Live'!AT196='check-Jul''26'!AP196,"",'1. Live'!AT196-'check-Jul''26'!AP196)</f>
        <v/>
      </c>
      <c r="AQ178" s="25" t="str">
        <f>IF('1. Live'!AU196='check-Jul''26'!AQ196,"",'1. Live'!AU196-'check-Jul''26'!AQ196)</f>
        <v/>
      </c>
      <c r="AR178" s="25" t="str">
        <f>IF('1. Live'!AV196='check-Jul''26'!AR196,"",'1. Live'!AV196-'check-Jul''26'!AR196)</f>
        <v/>
      </c>
      <c r="AS178" s="25" t="str">
        <f>IF('1. Live'!AW196='check-Jul''26'!AS196,"",'1. Live'!AW196-'check-Jul''26'!AS196)</f>
        <v/>
      </c>
      <c r="AT178" s="25" t="str">
        <f>IF('1. Live'!AX196='check-Jul''26'!AT196,"",'1. Live'!AX196-'check-Jul''26'!AT196)</f>
        <v/>
      </c>
      <c r="AU178" s="25" t="str">
        <f>IF('1. Live'!AY196='check-Jul''26'!AU196,"",'1. Live'!AY196-'check-Jul''26'!AU196)</f>
        <v/>
      </c>
      <c r="AV178" s="25" t="str">
        <f>IF('1. Live'!AZ196='check-Jul''26'!AV196,"",'1. Live'!AZ196-'check-Jul''26'!AV196)</f>
        <v/>
      </c>
      <c r="AW178" s="25" t="str">
        <f>IF('1. Live'!BA196='check-Jul''26'!AW196,"",'1. Live'!BA196-'check-Jul''26'!AW196)</f>
        <v/>
      </c>
      <c r="AX178" s="25" t="str">
        <f>IF('1. Live'!BB196='check-Jul''26'!AX196,"",'1. Live'!BB196-'check-Jul''26'!AX196)</f>
        <v/>
      </c>
      <c r="AY178" s="25" t="str">
        <f>IF('1. Live'!BC196='check-Jul''26'!AY196,"",'1. Live'!BC196-'check-Jul''26'!AY196)</f>
        <v/>
      </c>
      <c r="AZ178" s="25" t="str">
        <f>IF('1. Live'!BD196='check-Jul''26'!AZ196,"",'1. Live'!BD196-'check-Jul''26'!AZ196)</f>
        <v/>
      </c>
      <c r="BA178" s="25" t="str">
        <f>IF('1. Live'!BE196='check-Jul''26'!BA196,"",'1. Live'!BE196-'check-Jul''26'!BA196)</f>
        <v/>
      </c>
      <c r="BB178" s="25" t="str">
        <f>IF('1. Live'!BF196='check-Jul''26'!BB196,"",'1. Live'!BF196-'check-Jul''26'!BB196)</f>
        <v/>
      </c>
      <c r="BC178" s="25" t="str">
        <f>IF('1. Live'!BG196='check-Jul''26'!BC196,"",'1. Live'!BG196-'check-Jul''26'!BC196)</f>
        <v/>
      </c>
      <c r="BD178" s="25" t="str">
        <f>IF('1. Live'!BH196='check-Jul''26'!BD196,"",'1. Live'!BH196-'check-Jul''26'!BD196)</f>
        <v/>
      </c>
      <c r="BE178" s="25" t="str">
        <f>IF('1. Live'!BI196='check-Jul''26'!BE196,"",'1. Live'!BI196-'check-Jul''26'!BE196)</f>
        <v/>
      </c>
      <c r="BF178" s="25" t="str">
        <f>IF('1. Live'!BJ196='check-Jul''26'!BF196,"",'1. Live'!BJ196-'check-Jul''26'!BF196)</f>
        <v/>
      </c>
      <c r="BG178" s="25" t="str">
        <f>IF('1. Live'!BK196='check-Jul''26'!BG196,"",'1. Live'!BK196-'check-Jul''26'!BG196)</f>
        <v/>
      </c>
      <c r="BH178" s="25" t="str">
        <f>IF('1. Live'!BL196='check-Jul''26'!BH196,"",'1. Live'!BL196-'check-Jul''26'!BH196)</f>
        <v/>
      </c>
      <c r="BI178" s="25" t="str">
        <f>IF('1. Live'!BM196='check-Jul''26'!BI196,"",'1. Live'!BM196-'check-Jul''26'!BI196)</f>
        <v/>
      </c>
      <c r="BJ178" s="25" t="str">
        <f>IF('1. Live'!BN196='check-Jul''26'!BJ196,"",'1. Live'!BN196-'check-Jul''26'!BJ196)</f>
        <v/>
      </c>
      <c r="BK178" s="25" t="str">
        <f>IF('1. Live'!BO196='check-Jul''26'!BK196,"",'1. Live'!BO196-'check-Jul''26'!BK196)</f>
        <v/>
      </c>
      <c r="BL178" s="25" t="str">
        <f>IF('1. Live'!BP196='check-Jul''26'!BL196,"",'1. Live'!BP196-'check-Jul''26'!BL196)</f>
        <v/>
      </c>
      <c r="BM178" s="25" t="str">
        <f>IF('1. Live'!BQ196='check-Jul''26'!BM196,"",'1. Live'!BQ196-'check-Jul''26'!BM196)</f>
        <v/>
      </c>
      <c r="BN178" s="25" t="str">
        <f>IF('1. Live'!BR196='check-Jul''26'!BN196,"",'1. Live'!BR196-'check-Jul''26'!BN196)</f>
        <v/>
      </c>
      <c r="BO178" s="25" t="str">
        <f>IF('1. Live'!BS196='check-Jul''26'!BO196,"",'1. Live'!BS196-'check-Jul''26'!BO196)</f>
        <v/>
      </c>
      <c r="BP178" s="25" t="str">
        <f>IF('1. Live'!BT196='check-Jul''26'!BP196,"",'1. Live'!BT196-'check-Jul''26'!BP196)</f>
        <v/>
      </c>
      <c r="BQ178" s="25" t="str">
        <f>IF('1. Live'!BU196='check-Jul''26'!BQ196,"",'1. Live'!BU196-'check-Jul''26'!BQ196)</f>
        <v/>
      </c>
      <c r="BR178" s="25" t="str">
        <f>IF('1. Live'!BV196='check-Jul''26'!BR196,"",'1. Live'!BV196-'check-Jul''26'!BR196)</f>
        <v/>
      </c>
      <c r="BS178" s="25" t="str">
        <f>IF('1. Live'!BW196='check-Jul''26'!BS196,"",'1. Live'!BW196-'check-Jul''26'!BS196)</f>
        <v/>
      </c>
      <c r="BT178" s="25" t="str">
        <f>IF('1. Live'!BX196='check-Jul''26'!BT196,"",'1. Live'!BX196-'check-Jul''26'!BT196)</f>
        <v/>
      </c>
      <c r="BU178" s="25" t="str">
        <f>IF('1. Live'!BY196='check-Jul''26'!BU196,"",'1. Live'!BY196-'check-Jul''26'!BU196)</f>
        <v/>
      </c>
      <c r="BV178" s="25" t="str">
        <f>IF('1. Live'!BZ196='check-Jul''26'!BV196,"",'1. Live'!BZ196-'check-Jul''26'!BV196)</f>
        <v/>
      </c>
      <c r="BW178" s="25" t="str">
        <f>IF('1. Live'!CA196='check-Jul''26'!BW196,"",'1. Live'!CA196-'check-Jul''26'!BW196)</f>
        <v/>
      </c>
      <c r="BX178" s="25" t="str">
        <f>IF('1. Live'!CB196='check-Jul''26'!BX196,"",'1. Live'!CB196-'check-Jul''26'!BX196)</f>
        <v/>
      </c>
      <c r="BY178" s="25" t="str">
        <f>IF('1. Live'!CC196='check-Jul''26'!BY196,"",'1. Live'!CC196-'check-Jul''26'!BY196)</f>
        <v/>
      </c>
      <c r="BZ178" s="25" t="str">
        <f>IF('1. Live'!CD196='check-Jul''26'!BZ196,"",'1. Live'!CD196-'check-Jul''26'!BZ196)</f>
        <v/>
      </c>
      <c r="CA178" s="25" t="str">
        <f>IF('1. Live'!CE196='check-Jul''26'!CA196,"",'1. Live'!CE196-'check-Jul''26'!CA196)</f>
        <v/>
      </c>
      <c r="CB178" s="25" t="str">
        <f>IF('1. Live'!CF196='check-Jul''26'!CB196,"",'1. Live'!CF196-'check-Jul''26'!CB196)</f>
        <v/>
      </c>
      <c r="CC178" s="25" t="str">
        <f>IF('1. Live'!CG196='check-Jul''26'!CC196,"",'1. Live'!CG196-'check-Jul''26'!CC196)</f>
        <v/>
      </c>
      <c r="CD178" s="25" t="str">
        <f>IF('1. Live'!CH196='check-Jul''26'!CD196,"",'1. Live'!CH196-'check-Jul''26'!CD196)</f>
        <v/>
      </c>
      <c r="CE178" s="25" t="str">
        <f>IF('1. Live'!CI196='check-Jul''26'!CE196,"",'1. Live'!CI196-'check-Jul''26'!CE196)</f>
        <v/>
      </c>
      <c r="CF178" s="25" t="str">
        <f>IF('1. Live'!CJ196='check-Jul''26'!CF196,"",'1. Live'!CJ196-'check-Jul''26'!CF196)</f>
        <v/>
      </c>
      <c r="CG178" s="25" t="str">
        <f>IF('1. Live'!CK196='check-Jul''26'!CG196,"",'1. Live'!CK196-'check-Jul''26'!CG196)</f>
        <v/>
      </c>
      <c r="CH178" s="25" t="str">
        <f>IF('1. Live'!CL196='check-Jul''26'!CH196,"",'1. Live'!CL196-'check-Jul''26'!CH196)</f>
        <v/>
      </c>
      <c r="CI178" s="25" t="str">
        <f>IF('1. Live'!CM196='check-Jul''26'!CI196,"",'1. Live'!CM196-'check-Jul''26'!CI196)</f>
        <v/>
      </c>
      <c r="CJ178" s="25" t="str">
        <f>IF('1. Live'!CN196='check-Jul''26'!CJ196,"",'1. Live'!CN196-'check-Jul''26'!CJ196)</f>
        <v/>
      </c>
      <c r="CK178" s="25" t="str">
        <f>IF('1. Live'!CO196='check-Jul''26'!CK196,"",'1. Live'!CO196-'check-Jul''26'!CK196)</f>
        <v/>
      </c>
      <c r="CL178" s="25" t="str">
        <f>IF('1. Live'!CP196='check-Jul''26'!CL196,"",'1. Live'!CP196-'check-Jul''26'!CL196)</f>
        <v/>
      </c>
      <c r="CM178" s="25" t="str">
        <f>IF('1. Live'!CQ196='check-Jul''26'!CM196,"",'1. Live'!CQ196-'check-Jul''26'!CM196)</f>
        <v/>
      </c>
      <c r="CN178" s="25" t="str">
        <f>IF('1. Live'!CR196='check-Jul''26'!CN196,"",'1. Live'!CR196-'check-Jul''26'!CN196)</f>
        <v/>
      </c>
      <c r="CO178" s="25" t="str">
        <f>IF('1. Live'!CS196='check-Jul''26'!CO196,"",'1. Live'!CS196-'check-Jul''26'!CO196)</f>
        <v/>
      </c>
      <c r="CP178" s="25" t="str">
        <f>IF('1. Live'!CT196='check-Jul''26'!CP196,"",'1. Live'!CT196-'check-Jul''26'!CP196)</f>
        <v/>
      </c>
      <c r="CQ178" s="25" t="str">
        <f>IF('1. Live'!CU196='check-Jul''26'!CQ196,"",'1. Live'!CU196-'check-Jul''26'!CQ196)</f>
        <v/>
      </c>
      <c r="CR178" s="25" t="str">
        <f>IF('1. Live'!CV196='check-Jul''26'!CR196,"",'1. Live'!CV196-'check-Jul''26'!CR196)</f>
        <v/>
      </c>
      <c r="CS178" s="25" t="str">
        <f>IF('1. Live'!CW196='check-Jul''26'!CS196,"",'1. Live'!CW196-'check-Jul''26'!CS196)</f>
        <v/>
      </c>
      <c r="CT178" s="25" t="str">
        <f>IF('1. Live'!CX196='check-Jul''26'!CT196,"",'1. Live'!CX196-'check-Jul''26'!CT196)</f>
        <v/>
      </c>
      <c r="CU178" s="25" t="str">
        <f>IF('1. Live'!CY196='check-Jul''26'!CU196,"",'1. Live'!CY196-'check-Jul''26'!CU196)</f>
        <v/>
      </c>
      <c r="CV178" s="25" t="str">
        <f>IF('1. Live'!CZ196='check-Jul''26'!CV196,"",'1. Live'!CZ196-'check-Jul''26'!CV196)</f>
        <v/>
      </c>
    </row>
    <row r="179" spans="17:100" x14ac:dyDescent="0.25">
      <c r="Q179" s="26" t="str">
        <f>IF('1. Live'!N197='check-Jul''26'!I197,"",'1. Live'!N197-'check-Jul''26'!I197)</f>
        <v/>
      </c>
      <c r="R179" s="26" t="str">
        <f>IF('1. Live'!O197='check-Jul''26'!J197,"",'1. Live'!O197-'check-Jul''26'!J197)</f>
        <v/>
      </c>
      <c r="S179" s="26" t="str">
        <f>IF('1. Live'!P197='check-Jul''26'!K197,"",'1. Live'!P197-'check-Jul''26'!K197)</f>
        <v/>
      </c>
      <c r="T179" s="26" t="str">
        <f>IF('1. Live'!Q197='check-Jul''26'!L197,"",'1. Live'!Q197-'check-Jul''26'!L197)</f>
        <v/>
      </c>
      <c r="U179" s="80" t="str">
        <f>IF('1. Live'!R197='check-Jul''26'!M197,"",'1. Live'!R197-'check-Jul''26'!M197)</f>
        <v/>
      </c>
      <c r="V179" s="26" t="str">
        <f>IF('1. Live'!S197='check-Jul''26'!N197,"",'1. Live'!S197-'check-Jul''26'!N197)</f>
        <v/>
      </c>
      <c r="W179" s="25" t="str">
        <f>IF('1. Live'!T197='check-Jul''26'!O197,"",'1. Live'!T197-'check-Jul''26'!O197)</f>
        <v/>
      </c>
      <c r="X179" s="25" t="str">
        <f>IF('1. Live'!U197='check-Jul''26'!Q197,"",'1. Live'!U197-'check-Jul''26'!Q197)</f>
        <v/>
      </c>
      <c r="Y179" s="25" t="str">
        <f>IF('1. Live'!V197='check-Jul''26'!R197,"",'1. Live'!V197-'check-Jul''26'!R197)</f>
        <v/>
      </c>
      <c r="Z179" s="25" t="str">
        <f>IF('1. Live'!W197='check-Jul''26'!S197,"",'1. Live'!W197-'check-Jul''26'!S197)</f>
        <v/>
      </c>
      <c r="AA179" s="25" t="str">
        <f>IF('1. Live'!X197='check-Jul''26'!T197,"",'1. Live'!X197-'check-Jul''26'!T197)</f>
        <v/>
      </c>
      <c r="AB179" s="25" t="str">
        <f>IF('1. Live'!AF197='check-Jul''26'!AB197,"",'1. Live'!AF197-'check-Jul''26'!AB197)</f>
        <v/>
      </c>
      <c r="AC179" s="25" t="str">
        <f>IF('1. Live'!AG197='check-Jul''26'!AC197,"",'1. Live'!AG197-'check-Jul''26'!AC197)</f>
        <v/>
      </c>
      <c r="AD179" s="25" t="str">
        <f>IF('1. Live'!AH197='check-Jul''26'!AD197,"",'1. Live'!AH197-'check-Jul''26'!AD197)</f>
        <v/>
      </c>
      <c r="AE179" s="25" t="str">
        <f>IF('1. Live'!AI197='check-Jul''26'!AE197,"",'1. Live'!AI197-'check-Jul''26'!AE197)</f>
        <v/>
      </c>
      <c r="AF179" s="25" t="str">
        <f>IF('1. Live'!AJ197='check-Jul''26'!AF197,"",'1. Live'!AJ197-'check-Jul''26'!AF197)</f>
        <v/>
      </c>
      <c r="AG179" s="25" t="str">
        <f>IF('1. Live'!AK197='check-Jul''26'!AG197,"",'1. Live'!AK197-'check-Jul''26'!AG197)</f>
        <v/>
      </c>
      <c r="AH179" s="25" t="str">
        <f>IF('1. Live'!AL197='check-Jul''26'!AH197,"",'1. Live'!AL197-'check-Jul''26'!AH197)</f>
        <v/>
      </c>
      <c r="AI179" s="25" t="str">
        <f>IF('1. Live'!AM197='check-Jul''26'!AI197,"",'1. Live'!AM197-'check-Jul''26'!AI197)</f>
        <v/>
      </c>
      <c r="AJ179" s="25" t="str">
        <f>IF('1. Live'!AN197='check-Jul''26'!AJ197,"",'1. Live'!AN197-'check-Jul''26'!AJ197)</f>
        <v/>
      </c>
      <c r="AK179" s="25" t="str">
        <f>IF('1. Live'!AO197='check-Jul''26'!AK197,"",'1. Live'!AO197-'check-Jul''26'!AK197)</f>
        <v/>
      </c>
      <c r="AL179" s="25" t="str">
        <f>IF('1. Live'!AP197='check-Jul''26'!AL197,"",'1. Live'!AP197-'check-Jul''26'!AL197)</f>
        <v/>
      </c>
      <c r="AM179" s="25" t="str">
        <f>IF('1. Live'!AQ197='check-Jul''26'!AM197,"",'1. Live'!AQ197-'check-Jul''26'!AM197)</f>
        <v/>
      </c>
      <c r="AN179" s="25" t="str">
        <f>IF('1. Live'!AR197='check-Jul''26'!AN197,"",'1. Live'!AR197-'check-Jul''26'!AN197)</f>
        <v/>
      </c>
      <c r="AO179" s="25" t="str">
        <f>IF('1. Live'!AS197='check-Jul''26'!AO197,"",'1. Live'!AS197-'check-Jul''26'!AO197)</f>
        <v/>
      </c>
      <c r="AP179" s="25" t="str">
        <f>IF('1. Live'!AT197='check-Jul''26'!AP197,"",'1. Live'!AT197-'check-Jul''26'!AP197)</f>
        <v/>
      </c>
      <c r="AQ179" s="25" t="str">
        <f>IF('1. Live'!AU197='check-Jul''26'!AQ197,"",'1. Live'!AU197-'check-Jul''26'!AQ197)</f>
        <v/>
      </c>
      <c r="AR179" s="25" t="str">
        <f>IF('1. Live'!AV197='check-Jul''26'!AR197,"",'1. Live'!AV197-'check-Jul''26'!AR197)</f>
        <v/>
      </c>
      <c r="AS179" s="25" t="str">
        <f>IF('1. Live'!AW197='check-Jul''26'!AS197,"",'1. Live'!AW197-'check-Jul''26'!AS197)</f>
        <v/>
      </c>
      <c r="AT179" s="25" t="str">
        <f>IF('1. Live'!AX197='check-Jul''26'!AT197,"",'1. Live'!AX197-'check-Jul''26'!AT197)</f>
        <v/>
      </c>
      <c r="AU179" s="25" t="str">
        <f>IF('1. Live'!AY197='check-Jul''26'!AU197,"",'1. Live'!AY197-'check-Jul''26'!AU197)</f>
        <v/>
      </c>
      <c r="AV179" s="25" t="str">
        <f>IF('1. Live'!AZ197='check-Jul''26'!AV197,"",'1. Live'!AZ197-'check-Jul''26'!AV197)</f>
        <v/>
      </c>
      <c r="AW179" s="25" t="str">
        <f>IF('1. Live'!BA197='check-Jul''26'!AW197,"",'1. Live'!BA197-'check-Jul''26'!AW197)</f>
        <v/>
      </c>
      <c r="AX179" s="25" t="str">
        <f>IF('1. Live'!BB197='check-Jul''26'!AX197,"",'1. Live'!BB197-'check-Jul''26'!AX197)</f>
        <v/>
      </c>
      <c r="AY179" s="25" t="str">
        <f>IF('1. Live'!BC197='check-Jul''26'!AY197,"",'1. Live'!BC197-'check-Jul''26'!AY197)</f>
        <v/>
      </c>
      <c r="AZ179" s="25" t="str">
        <f>IF('1. Live'!BD197='check-Jul''26'!AZ197,"",'1. Live'!BD197-'check-Jul''26'!AZ197)</f>
        <v/>
      </c>
      <c r="BA179" s="25" t="str">
        <f>IF('1. Live'!BE197='check-Jul''26'!BA197,"",'1. Live'!BE197-'check-Jul''26'!BA197)</f>
        <v/>
      </c>
      <c r="BB179" s="25" t="str">
        <f>IF('1. Live'!BF197='check-Jul''26'!BB197,"",'1. Live'!BF197-'check-Jul''26'!BB197)</f>
        <v/>
      </c>
      <c r="BC179" s="25" t="str">
        <f>IF('1. Live'!BG197='check-Jul''26'!BC197,"",'1. Live'!BG197-'check-Jul''26'!BC197)</f>
        <v/>
      </c>
      <c r="BD179" s="25" t="str">
        <f>IF('1. Live'!BH197='check-Jul''26'!BD197,"",'1. Live'!BH197-'check-Jul''26'!BD197)</f>
        <v/>
      </c>
      <c r="BE179" s="25" t="str">
        <f>IF('1. Live'!BI197='check-Jul''26'!BE197,"",'1. Live'!BI197-'check-Jul''26'!BE197)</f>
        <v/>
      </c>
      <c r="BF179" s="25" t="str">
        <f>IF('1. Live'!BJ197='check-Jul''26'!BF197,"",'1. Live'!BJ197-'check-Jul''26'!BF197)</f>
        <v/>
      </c>
      <c r="BG179" s="25" t="str">
        <f>IF('1. Live'!BK197='check-Jul''26'!BG197,"",'1. Live'!BK197-'check-Jul''26'!BG197)</f>
        <v/>
      </c>
      <c r="BH179" s="25" t="str">
        <f>IF('1. Live'!BL197='check-Jul''26'!BH197,"",'1. Live'!BL197-'check-Jul''26'!BH197)</f>
        <v/>
      </c>
      <c r="BI179" s="25" t="str">
        <f>IF('1. Live'!BM197='check-Jul''26'!BI197,"",'1. Live'!BM197-'check-Jul''26'!BI197)</f>
        <v/>
      </c>
      <c r="BJ179" s="25" t="str">
        <f>IF('1. Live'!BN197='check-Jul''26'!BJ197,"",'1. Live'!BN197-'check-Jul''26'!BJ197)</f>
        <v/>
      </c>
      <c r="BK179" s="25" t="str">
        <f>IF('1. Live'!BO197='check-Jul''26'!BK197,"",'1. Live'!BO197-'check-Jul''26'!BK197)</f>
        <v/>
      </c>
      <c r="BL179" s="25" t="str">
        <f>IF('1. Live'!BP197='check-Jul''26'!BL197,"",'1. Live'!BP197-'check-Jul''26'!BL197)</f>
        <v/>
      </c>
      <c r="BM179" s="25" t="str">
        <f>IF('1. Live'!BQ197='check-Jul''26'!BM197,"",'1. Live'!BQ197-'check-Jul''26'!BM197)</f>
        <v/>
      </c>
      <c r="BN179" s="25" t="str">
        <f>IF('1. Live'!BR197='check-Jul''26'!BN197,"",'1. Live'!BR197-'check-Jul''26'!BN197)</f>
        <v/>
      </c>
      <c r="BO179" s="25" t="str">
        <f>IF('1. Live'!BS197='check-Jul''26'!BO197,"",'1. Live'!BS197-'check-Jul''26'!BO197)</f>
        <v/>
      </c>
      <c r="BP179" s="25" t="str">
        <f>IF('1. Live'!BT197='check-Jul''26'!BP197,"",'1. Live'!BT197-'check-Jul''26'!BP197)</f>
        <v/>
      </c>
      <c r="BQ179" s="25" t="str">
        <f>IF('1. Live'!BU197='check-Jul''26'!BQ197,"",'1. Live'!BU197-'check-Jul''26'!BQ197)</f>
        <v/>
      </c>
      <c r="BR179" s="25" t="str">
        <f>IF('1. Live'!BV197='check-Jul''26'!BR197,"",'1. Live'!BV197-'check-Jul''26'!BR197)</f>
        <v/>
      </c>
      <c r="BS179" s="25" t="str">
        <f>IF('1. Live'!BW197='check-Jul''26'!BS197,"",'1. Live'!BW197-'check-Jul''26'!BS197)</f>
        <v/>
      </c>
      <c r="BT179" s="25" t="str">
        <f>IF('1. Live'!BX197='check-Jul''26'!BT197,"",'1. Live'!BX197-'check-Jul''26'!BT197)</f>
        <v/>
      </c>
      <c r="BU179" s="25" t="str">
        <f>IF('1. Live'!BY197='check-Jul''26'!BU197,"",'1. Live'!BY197-'check-Jul''26'!BU197)</f>
        <v/>
      </c>
      <c r="BV179" s="25" t="str">
        <f>IF('1. Live'!BZ197='check-Jul''26'!BV197,"",'1. Live'!BZ197-'check-Jul''26'!BV197)</f>
        <v/>
      </c>
      <c r="BW179" s="25" t="str">
        <f>IF('1. Live'!CA197='check-Jul''26'!BW197,"",'1. Live'!CA197-'check-Jul''26'!BW197)</f>
        <v/>
      </c>
      <c r="BX179" s="25" t="str">
        <f>IF('1. Live'!CB197='check-Jul''26'!BX197,"",'1. Live'!CB197-'check-Jul''26'!BX197)</f>
        <v/>
      </c>
      <c r="BY179" s="25" t="str">
        <f>IF('1. Live'!CC197='check-Jul''26'!BY197,"",'1. Live'!CC197-'check-Jul''26'!BY197)</f>
        <v/>
      </c>
      <c r="BZ179" s="25" t="str">
        <f>IF('1. Live'!CD197='check-Jul''26'!BZ197,"",'1. Live'!CD197-'check-Jul''26'!BZ197)</f>
        <v/>
      </c>
      <c r="CA179" s="25" t="str">
        <f>IF('1. Live'!CE197='check-Jul''26'!CA197,"",'1. Live'!CE197-'check-Jul''26'!CA197)</f>
        <v/>
      </c>
      <c r="CB179" s="25" t="str">
        <f>IF('1. Live'!CF197='check-Jul''26'!CB197,"",'1. Live'!CF197-'check-Jul''26'!CB197)</f>
        <v/>
      </c>
      <c r="CC179" s="25" t="str">
        <f>IF('1. Live'!CG197='check-Jul''26'!CC197,"",'1. Live'!CG197-'check-Jul''26'!CC197)</f>
        <v/>
      </c>
      <c r="CD179" s="25" t="str">
        <f>IF('1. Live'!CH197='check-Jul''26'!CD197,"",'1. Live'!CH197-'check-Jul''26'!CD197)</f>
        <v/>
      </c>
      <c r="CE179" s="25" t="str">
        <f>IF('1. Live'!CI197='check-Jul''26'!CE197,"",'1. Live'!CI197-'check-Jul''26'!CE197)</f>
        <v/>
      </c>
      <c r="CF179" s="25" t="str">
        <f>IF('1. Live'!CJ197='check-Jul''26'!CF197,"",'1. Live'!CJ197-'check-Jul''26'!CF197)</f>
        <v/>
      </c>
      <c r="CG179" s="25" t="str">
        <f>IF('1. Live'!CK197='check-Jul''26'!CG197,"",'1. Live'!CK197-'check-Jul''26'!CG197)</f>
        <v/>
      </c>
      <c r="CH179" s="25" t="str">
        <f>IF('1. Live'!CL197='check-Jul''26'!CH197,"",'1. Live'!CL197-'check-Jul''26'!CH197)</f>
        <v/>
      </c>
      <c r="CI179" s="25" t="str">
        <f>IF('1. Live'!CM197='check-Jul''26'!CI197,"",'1. Live'!CM197-'check-Jul''26'!CI197)</f>
        <v/>
      </c>
      <c r="CJ179" s="25" t="str">
        <f>IF('1. Live'!CN197='check-Jul''26'!CJ197,"",'1. Live'!CN197-'check-Jul''26'!CJ197)</f>
        <v/>
      </c>
      <c r="CK179" s="25" t="str">
        <f>IF('1. Live'!CO197='check-Jul''26'!CK197,"",'1. Live'!CO197-'check-Jul''26'!CK197)</f>
        <v/>
      </c>
      <c r="CL179" s="25" t="str">
        <f>IF('1. Live'!CP197='check-Jul''26'!CL197,"",'1. Live'!CP197-'check-Jul''26'!CL197)</f>
        <v/>
      </c>
      <c r="CM179" s="25" t="str">
        <f>IF('1. Live'!CQ197='check-Jul''26'!CM197,"",'1. Live'!CQ197-'check-Jul''26'!CM197)</f>
        <v/>
      </c>
      <c r="CN179" s="25" t="str">
        <f>IF('1. Live'!CR197='check-Jul''26'!CN197,"",'1. Live'!CR197-'check-Jul''26'!CN197)</f>
        <v/>
      </c>
      <c r="CO179" s="25" t="str">
        <f>IF('1. Live'!CS197='check-Jul''26'!CO197,"",'1. Live'!CS197-'check-Jul''26'!CO197)</f>
        <v/>
      </c>
      <c r="CP179" s="25" t="str">
        <f>IF('1. Live'!CT197='check-Jul''26'!CP197,"",'1. Live'!CT197-'check-Jul''26'!CP197)</f>
        <v/>
      </c>
      <c r="CQ179" s="25" t="str">
        <f>IF('1. Live'!CU197='check-Jul''26'!CQ197,"",'1. Live'!CU197-'check-Jul''26'!CQ197)</f>
        <v/>
      </c>
      <c r="CR179" s="25" t="str">
        <f>IF('1. Live'!CV197='check-Jul''26'!CR197,"",'1. Live'!CV197-'check-Jul''26'!CR197)</f>
        <v/>
      </c>
      <c r="CS179" s="25" t="str">
        <f>IF('1. Live'!CW197='check-Jul''26'!CS197,"",'1. Live'!CW197-'check-Jul''26'!CS197)</f>
        <v/>
      </c>
      <c r="CT179" s="25" t="str">
        <f>IF('1. Live'!CX197='check-Jul''26'!CT197,"",'1. Live'!CX197-'check-Jul''26'!CT197)</f>
        <v/>
      </c>
      <c r="CU179" s="25" t="str">
        <f>IF('1. Live'!CY197='check-Jul''26'!CU197,"",'1. Live'!CY197-'check-Jul''26'!CU197)</f>
        <v/>
      </c>
      <c r="CV179" s="25" t="str">
        <f>IF('1. Live'!CZ197='check-Jul''26'!CV197,"",'1. Live'!CZ197-'check-Jul''26'!CV197)</f>
        <v/>
      </c>
    </row>
    <row r="180" spans="17:100" x14ac:dyDescent="0.25">
      <c r="Q180" s="26" t="str">
        <f>IF('1. Live'!N198='check-Jul''26'!I198,"",'1. Live'!N198-'check-Jul''26'!I198)</f>
        <v/>
      </c>
      <c r="R180" s="26" t="str">
        <f>IF('1. Live'!O198='check-Jul''26'!J198,"",'1. Live'!O198-'check-Jul''26'!J198)</f>
        <v/>
      </c>
      <c r="S180" s="26" t="str">
        <f>IF('1. Live'!P198='check-Jul''26'!K198,"",'1. Live'!P198-'check-Jul''26'!K198)</f>
        <v/>
      </c>
      <c r="T180" s="26" t="str">
        <f>IF('1. Live'!Q198='check-Jul''26'!L198,"",'1. Live'!Q198-'check-Jul''26'!L198)</f>
        <v/>
      </c>
      <c r="U180" s="80" t="str">
        <f>IF('1. Live'!R198='check-Jul''26'!M198,"",'1. Live'!R198-'check-Jul''26'!M198)</f>
        <v/>
      </c>
      <c r="V180" s="26" t="str">
        <f>IF('1. Live'!S198='check-Jul''26'!N198,"",'1. Live'!S198-'check-Jul''26'!N198)</f>
        <v/>
      </c>
      <c r="W180" s="25" t="str">
        <f>IF('1. Live'!T198='check-Jul''26'!O198,"",'1. Live'!T198-'check-Jul''26'!O198)</f>
        <v/>
      </c>
      <c r="X180" s="25" t="str">
        <f>IF('1. Live'!U198='check-Jul''26'!Q198,"",'1. Live'!U198-'check-Jul''26'!Q198)</f>
        <v/>
      </c>
      <c r="Y180" s="25" t="str">
        <f>IF('1. Live'!V198='check-Jul''26'!R198,"",'1. Live'!V198-'check-Jul''26'!R198)</f>
        <v/>
      </c>
      <c r="Z180" s="25" t="str">
        <f>IF('1. Live'!W198='check-Jul''26'!S198,"",'1. Live'!W198-'check-Jul''26'!S198)</f>
        <v/>
      </c>
      <c r="AA180" s="25" t="str">
        <f>IF('1. Live'!X198='check-Jul''26'!T198,"",'1. Live'!X198-'check-Jul''26'!T198)</f>
        <v/>
      </c>
      <c r="AB180" s="25" t="str">
        <f>IF('1. Live'!AF198='check-Jul''26'!AB198,"",'1. Live'!AF198-'check-Jul''26'!AB198)</f>
        <v/>
      </c>
      <c r="AC180" s="25" t="str">
        <f>IF('1. Live'!AG198='check-Jul''26'!AC198,"",'1. Live'!AG198-'check-Jul''26'!AC198)</f>
        <v/>
      </c>
      <c r="AD180" s="25" t="str">
        <f>IF('1. Live'!AH198='check-Jul''26'!AD198,"",'1. Live'!AH198-'check-Jul''26'!AD198)</f>
        <v/>
      </c>
      <c r="AE180" s="25" t="str">
        <f>IF('1. Live'!AI198='check-Jul''26'!AE198,"",'1. Live'!AI198-'check-Jul''26'!AE198)</f>
        <v/>
      </c>
      <c r="AF180" s="25" t="str">
        <f>IF('1. Live'!AJ198='check-Jul''26'!AF198,"",'1. Live'!AJ198-'check-Jul''26'!AF198)</f>
        <v/>
      </c>
      <c r="AG180" s="25" t="str">
        <f>IF('1. Live'!AK198='check-Jul''26'!AG198,"",'1. Live'!AK198-'check-Jul''26'!AG198)</f>
        <v/>
      </c>
      <c r="AH180" s="25" t="str">
        <f>IF('1. Live'!AL198='check-Jul''26'!AH198,"",'1. Live'!AL198-'check-Jul''26'!AH198)</f>
        <v/>
      </c>
      <c r="AI180" s="25" t="str">
        <f>IF('1. Live'!AM198='check-Jul''26'!AI198,"",'1. Live'!AM198-'check-Jul''26'!AI198)</f>
        <v/>
      </c>
      <c r="AJ180" s="25" t="str">
        <f>IF('1. Live'!AN198='check-Jul''26'!AJ198,"",'1. Live'!AN198-'check-Jul''26'!AJ198)</f>
        <v/>
      </c>
      <c r="AK180" s="25" t="str">
        <f>IF('1. Live'!AO198='check-Jul''26'!AK198,"",'1. Live'!AO198-'check-Jul''26'!AK198)</f>
        <v/>
      </c>
      <c r="AL180" s="25" t="str">
        <f>IF('1. Live'!AP198='check-Jul''26'!AL198,"",'1. Live'!AP198-'check-Jul''26'!AL198)</f>
        <v/>
      </c>
      <c r="AM180" s="25" t="str">
        <f>IF('1. Live'!AQ198='check-Jul''26'!AM198,"",'1. Live'!AQ198-'check-Jul''26'!AM198)</f>
        <v/>
      </c>
      <c r="AN180" s="25" t="str">
        <f>IF('1. Live'!AR198='check-Jul''26'!AN198,"",'1. Live'!AR198-'check-Jul''26'!AN198)</f>
        <v/>
      </c>
      <c r="AO180" s="25" t="str">
        <f>IF('1. Live'!AS198='check-Jul''26'!AO198,"",'1. Live'!AS198-'check-Jul''26'!AO198)</f>
        <v/>
      </c>
      <c r="AP180" s="25" t="str">
        <f>IF('1. Live'!AT198='check-Jul''26'!AP198,"",'1. Live'!AT198-'check-Jul''26'!AP198)</f>
        <v/>
      </c>
      <c r="AQ180" s="25" t="str">
        <f>IF('1. Live'!AU198='check-Jul''26'!AQ198,"",'1. Live'!AU198-'check-Jul''26'!AQ198)</f>
        <v/>
      </c>
      <c r="AR180" s="25" t="str">
        <f>IF('1. Live'!AV198='check-Jul''26'!AR198,"",'1. Live'!AV198-'check-Jul''26'!AR198)</f>
        <v/>
      </c>
      <c r="AS180" s="25" t="str">
        <f>IF('1. Live'!AW198='check-Jul''26'!AS198,"",'1. Live'!AW198-'check-Jul''26'!AS198)</f>
        <v/>
      </c>
      <c r="AT180" s="25" t="str">
        <f>IF('1. Live'!AX198='check-Jul''26'!AT198,"",'1. Live'!AX198-'check-Jul''26'!AT198)</f>
        <v/>
      </c>
      <c r="AU180" s="25" t="str">
        <f>IF('1. Live'!AY198='check-Jul''26'!AU198,"",'1. Live'!AY198-'check-Jul''26'!AU198)</f>
        <v/>
      </c>
      <c r="AV180" s="25" t="str">
        <f>IF('1. Live'!AZ198='check-Jul''26'!AV198,"",'1. Live'!AZ198-'check-Jul''26'!AV198)</f>
        <v/>
      </c>
      <c r="AW180" s="25" t="str">
        <f>IF('1. Live'!BA198='check-Jul''26'!AW198,"",'1. Live'!BA198-'check-Jul''26'!AW198)</f>
        <v/>
      </c>
      <c r="AX180" s="25" t="str">
        <f>IF('1. Live'!BB198='check-Jul''26'!AX198,"",'1. Live'!BB198-'check-Jul''26'!AX198)</f>
        <v/>
      </c>
      <c r="AY180" s="25" t="str">
        <f>IF('1. Live'!BC198='check-Jul''26'!AY198,"",'1. Live'!BC198-'check-Jul''26'!AY198)</f>
        <v/>
      </c>
      <c r="AZ180" s="25" t="str">
        <f>IF('1. Live'!BD198='check-Jul''26'!AZ198,"",'1. Live'!BD198-'check-Jul''26'!AZ198)</f>
        <v/>
      </c>
      <c r="BA180" s="25" t="str">
        <f>IF('1. Live'!BE198='check-Jul''26'!BA198,"",'1. Live'!BE198-'check-Jul''26'!BA198)</f>
        <v/>
      </c>
      <c r="BB180" s="25" t="str">
        <f>IF('1. Live'!BF198='check-Jul''26'!BB198,"",'1. Live'!BF198-'check-Jul''26'!BB198)</f>
        <v/>
      </c>
      <c r="BC180" s="25" t="str">
        <f>IF('1. Live'!BG198='check-Jul''26'!BC198,"",'1. Live'!BG198-'check-Jul''26'!BC198)</f>
        <v/>
      </c>
      <c r="BD180" s="25" t="str">
        <f>IF('1. Live'!BH198='check-Jul''26'!BD198,"",'1. Live'!BH198-'check-Jul''26'!BD198)</f>
        <v/>
      </c>
      <c r="BE180" s="25" t="str">
        <f>IF('1. Live'!BI198='check-Jul''26'!BE198,"",'1. Live'!BI198-'check-Jul''26'!BE198)</f>
        <v/>
      </c>
      <c r="BF180" s="25" t="str">
        <f>IF('1. Live'!BJ198='check-Jul''26'!BF198,"",'1. Live'!BJ198-'check-Jul''26'!BF198)</f>
        <v/>
      </c>
      <c r="BG180" s="25" t="str">
        <f>IF('1. Live'!BK198='check-Jul''26'!BG198,"",'1. Live'!BK198-'check-Jul''26'!BG198)</f>
        <v/>
      </c>
      <c r="BH180" s="25" t="str">
        <f>IF('1. Live'!BL198='check-Jul''26'!BH198,"",'1. Live'!BL198-'check-Jul''26'!BH198)</f>
        <v/>
      </c>
      <c r="BI180" s="25" t="str">
        <f>IF('1. Live'!BM198='check-Jul''26'!BI198,"",'1. Live'!BM198-'check-Jul''26'!BI198)</f>
        <v/>
      </c>
      <c r="BJ180" s="25" t="str">
        <f>IF('1. Live'!BN198='check-Jul''26'!BJ198,"",'1. Live'!BN198-'check-Jul''26'!BJ198)</f>
        <v/>
      </c>
      <c r="BK180" s="25" t="str">
        <f>IF('1. Live'!BO198='check-Jul''26'!BK198,"",'1. Live'!BO198-'check-Jul''26'!BK198)</f>
        <v/>
      </c>
      <c r="BL180" s="25" t="str">
        <f>IF('1. Live'!BP198='check-Jul''26'!BL198,"",'1. Live'!BP198-'check-Jul''26'!BL198)</f>
        <v/>
      </c>
      <c r="BM180" s="25" t="str">
        <f>IF('1. Live'!BQ198='check-Jul''26'!BM198,"",'1. Live'!BQ198-'check-Jul''26'!BM198)</f>
        <v/>
      </c>
      <c r="BN180" s="25" t="str">
        <f>IF('1. Live'!BR198='check-Jul''26'!BN198,"",'1. Live'!BR198-'check-Jul''26'!BN198)</f>
        <v/>
      </c>
      <c r="BO180" s="25" t="str">
        <f>IF('1. Live'!BS198='check-Jul''26'!BO198,"",'1. Live'!BS198-'check-Jul''26'!BO198)</f>
        <v/>
      </c>
      <c r="BP180" s="25" t="str">
        <f>IF('1. Live'!BT198='check-Jul''26'!BP198,"",'1. Live'!BT198-'check-Jul''26'!BP198)</f>
        <v/>
      </c>
      <c r="BQ180" s="25" t="str">
        <f>IF('1. Live'!BU198='check-Jul''26'!BQ198,"",'1. Live'!BU198-'check-Jul''26'!BQ198)</f>
        <v/>
      </c>
      <c r="BR180" s="25" t="str">
        <f>IF('1. Live'!BV198='check-Jul''26'!BR198,"",'1. Live'!BV198-'check-Jul''26'!BR198)</f>
        <v/>
      </c>
      <c r="BS180" s="25" t="str">
        <f>IF('1. Live'!BW198='check-Jul''26'!BS198,"",'1. Live'!BW198-'check-Jul''26'!BS198)</f>
        <v/>
      </c>
      <c r="BT180" s="25" t="str">
        <f>IF('1. Live'!BX198='check-Jul''26'!BT198,"",'1. Live'!BX198-'check-Jul''26'!BT198)</f>
        <v/>
      </c>
      <c r="BU180" s="25" t="str">
        <f>IF('1. Live'!BY198='check-Jul''26'!BU198,"",'1. Live'!BY198-'check-Jul''26'!BU198)</f>
        <v/>
      </c>
      <c r="BV180" s="25" t="str">
        <f>IF('1. Live'!BZ198='check-Jul''26'!BV198,"",'1. Live'!BZ198-'check-Jul''26'!BV198)</f>
        <v/>
      </c>
      <c r="BW180" s="25" t="str">
        <f>IF('1. Live'!CA198='check-Jul''26'!BW198,"",'1. Live'!CA198-'check-Jul''26'!BW198)</f>
        <v/>
      </c>
      <c r="BX180" s="25" t="str">
        <f>IF('1. Live'!CB198='check-Jul''26'!BX198,"",'1. Live'!CB198-'check-Jul''26'!BX198)</f>
        <v/>
      </c>
      <c r="BY180" s="25" t="str">
        <f>IF('1. Live'!CC198='check-Jul''26'!BY198,"",'1. Live'!CC198-'check-Jul''26'!BY198)</f>
        <v/>
      </c>
      <c r="BZ180" s="25" t="str">
        <f>IF('1. Live'!CD198='check-Jul''26'!BZ198,"",'1. Live'!CD198-'check-Jul''26'!BZ198)</f>
        <v/>
      </c>
      <c r="CA180" s="25" t="str">
        <f>IF('1. Live'!CE198='check-Jul''26'!CA198,"",'1. Live'!CE198-'check-Jul''26'!CA198)</f>
        <v/>
      </c>
      <c r="CB180" s="25" t="str">
        <f>IF('1. Live'!CF198='check-Jul''26'!CB198,"",'1. Live'!CF198-'check-Jul''26'!CB198)</f>
        <v/>
      </c>
      <c r="CC180" s="25" t="str">
        <f>IF('1. Live'!CG198='check-Jul''26'!CC198,"",'1. Live'!CG198-'check-Jul''26'!CC198)</f>
        <v/>
      </c>
      <c r="CD180" s="25" t="str">
        <f>IF('1. Live'!CH198='check-Jul''26'!CD198,"",'1. Live'!CH198-'check-Jul''26'!CD198)</f>
        <v/>
      </c>
      <c r="CE180" s="25" t="str">
        <f>IF('1. Live'!CI198='check-Jul''26'!CE198,"",'1. Live'!CI198-'check-Jul''26'!CE198)</f>
        <v/>
      </c>
      <c r="CF180" s="25" t="str">
        <f>IF('1. Live'!CJ198='check-Jul''26'!CF198,"",'1. Live'!CJ198-'check-Jul''26'!CF198)</f>
        <v/>
      </c>
      <c r="CG180" s="25" t="str">
        <f>IF('1. Live'!CK198='check-Jul''26'!CG198,"",'1. Live'!CK198-'check-Jul''26'!CG198)</f>
        <v/>
      </c>
      <c r="CH180" s="25" t="str">
        <f>IF('1. Live'!CL198='check-Jul''26'!CH198,"",'1. Live'!CL198-'check-Jul''26'!CH198)</f>
        <v/>
      </c>
      <c r="CI180" s="25" t="str">
        <f>IF('1. Live'!CM198='check-Jul''26'!CI198,"",'1. Live'!CM198-'check-Jul''26'!CI198)</f>
        <v/>
      </c>
      <c r="CJ180" s="25" t="str">
        <f>IF('1. Live'!CN198='check-Jul''26'!CJ198,"",'1. Live'!CN198-'check-Jul''26'!CJ198)</f>
        <v/>
      </c>
      <c r="CK180" s="25" t="str">
        <f>IF('1. Live'!CO198='check-Jul''26'!CK198,"",'1. Live'!CO198-'check-Jul''26'!CK198)</f>
        <v/>
      </c>
      <c r="CL180" s="25" t="str">
        <f>IF('1. Live'!CP198='check-Jul''26'!CL198,"",'1. Live'!CP198-'check-Jul''26'!CL198)</f>
        <v/>
      </c>
      <c r="CM180" s="25" t="str">
        <f>IF('1. Live'!CQ198='check-Jul''26'!CM198,"",'1. Live'!CQ198-'check-Jul''26'!CM198)</f>
        <v/>
      </c>
      <c r="CN180" s="25" t="str">
        <f>IF('1. Live'!CR198='check-Jul''26'!CN198,"",'1. Live'!CR198-'check-Jul''26'!CN198)</f>
        <v/>
      </c>
      <c r="CO180" s="25" t="str">
        <f>IF('1. Live'!CS198='check-Jul''26'!CO198,"",'1. Live'!CS198-'check-Jul''26'!CO198)</f>
        <v/>
      </c>
      <c r="CP180" s="25" t="str">
        <f>IF('1. Live'!CT198='check-Jul''26'!CP198,"",'1. Live'!CT198-'check-Jul''26'!CP198)</f>
        <v/>
      </c>
      <c r="CQ180" s="25" t="str">
        <f>IF('1. Live'!CU198='check-Jul''26'!CQ198,"",'1. Live'!CU198-'check-Jul''26'!CQ198)</f>
        <v/>
      </c>
      <c r="CR180" s="25" t="str">
        <f>IF('1. Live'!CV198='check-Jul''26'!CR198,"",'1. Live'!CV198-'check-Jul''26'!CR198)</f>
        <v/>
      </c>
      <c r="CS180" s="25" t="str">
        <f>IF('1. Live'!CW198='check-Jul''26'!CS198,"",'1. Live'!CW198-'check-Jul''26'!CS198)</f>
        <v/>
      </c>
      <c r="CT180" s="25" t="str">
        <f>IF('1. Live'!CX198='check-Jul''26'!CT198,"",'1. Live'!CX198-'check-Jul''26'!CT198)</f>
        <v/>
      </c>
      <c r="CU180" s="25" t="str">
        <f>IF('1. Live'!CY198='check-Jul''26'!CU198,"",'1. Live'!CY198-'check-Jul''26'!CU198)</f>
        <v/>
      </c>
      <c r="CV180" s="25" t="str">
        <f>IF('1. Live'!CZ198='check-Jul''26'!CV198,"",'1. Live'!CZ198-'check-Jul''26'!CV198)</f>
        <v/>
      </c>
    </row>
    <row r="181" spans="17:100" x14ac:dyDescent="0.25">
      <c r="Q181" s="26" t="str">
        <f>IF('1. Live'!N199='check-Jul''26'!I199,"",'1. Live'!N199-'check-Jul''26'!I199)</f>
        <v/>
      </c>
      <c r="R181" s="26" t="str">
        <f>IF('1. Live'!O199='check-Jul''26'!J199,"",'1. Live'!O199-'check-Jul''26'!J199)</f>
        <v/>
      </c>
      <c r="S181" s="26" t="str">
        <f>IF('1. Live'!P199='check-Jul''26'!K199,"",'1. Live'!P199-'check-Jul''26'!K199)</f>
        <v/>
      </c>
      <c r="T181" s="26" t="str">
        <f>IF('1. Live'!Q199='check-Jul''26'!L199,"",'1. Live'!Q199-'check-Jul''26'!L199)</f>
        <v/>
      </c>
      <c r="U181" s="80" t="str">
        <f>IF('1. Live'!R199='check-Jul''26'!M199,"",'1. Live'!R199-'check-Jul''26'!M199)</f>
        <v/>
      </c>
      <c r="V181" s="26" t="str">
        <f>IF('1. Live'!S199='check-Jul''26'!N199,"",'1. Live'!S199-'check-Jul''26'!N199)</f>
        <v/>
      </c>
      <c r="W181" s="25" t="str">
        <f>IF('1. Live'!T199='check-Jul''26'!O199,"",'1. Live'!T199-'check-Jul''26'!O199)</f>
        <v/>
      </c>
      <c r="X181" s="25" t="str">
        <f>IF('1. Live'!U199='check-Jul''26'!Q199,"",'1. Live'!U199-'check-Jul''26'!Q199)</f>
        <v/>
      </c>
      <c r="Y181" s="25" t="str">
        <f>IF('1. Live'!V199='check-Jul''26'!R199,"",'1. Live'!V199-'check-Jul''26'!R199)</f>
        <v/>
      </c>
      <c r="Z181" s="25" t="str">
        <f>IF('1. Live'!W199='check-Jul''26'!S199,"",'1. Live'!W199-'check-Jul''26'!S199)</f>
        <v/>
      </c>
      <c r="AA181" s="25" t="str">
        <f>IF('1. Live'!X199='check-Jul''26'!T199,"",'1. Live'!X199-'check-Jul''26'!T199)</f>
        <v/>
      </c>
      <c r="AB181" s="25" t="str">
        <f>IF('1. Live'!AF199='check-Jul''26'!AB199,"",'1. Live'!AF199-'check-Jul''26'!AB199)</f>
        <v/>
      </c>
      <c r="AC181" s="25" t="str">
        <f>IF('1. Live'!AG199='check-Jul''26'!AC199,"",'1. Live'!AG199-'check-Jul''26'!AC199)</f>
        <v/>
      </c>
      <c r="AD181" s="25" t="str">
        <f>IF('1. Live'!AH199='check-Jul''26'!AD199,"",'1. Live'!AH199-'check-Jul''26'!AD199)</f>
        <v/>
      </c>
      <c r="AE181" s="25" t="str">
        <f>IF('1. Live'!AI199='check-Jul''26'!AE199,"",'1. Live'!AI199-'check-Jul''26'!AE199)</f>
        <v/>
      </c>
      <c r="AF181" s="25" t="str">
        <f>IF('1. Live'!AJ199='check-Jul''26'!AF199,"",'1. Live'!AJ199-'check-Jul''26'!AF199)</f>
        <v/>
      </c>
      <c r="AG181" s="25" t="str">
        <f>IF('1. Live'!AK199='check-Jul''26'!AG199,"",'1. Live'!AK199-'check-Jul''26'!AG199)</f>
        <v/>
      </c>
      <c r="AH181" s="25" t="str">
        <f>IF('1. Live'!AL199='check-Jul''26'!AH199,"",'1. Live'!AL199-'check-Jul''26'!AH199)</f>
        <v/>
      </c>
      <c r="AI181" s="25" t="str">
        <f>IF('1. Live'!AM199='check-Jul''26'!AI199,"",'1. Live'!AM199-'check-Jul''26'!AI199)</f>
        <v/>
      </c>
      <c r="AJ181" s="25" t="str">
        <f>IF('1. Live'!AN199='check-Jul''26'!AJ199,"",'1. Live'!AN199-'check-Jul''26'!AJ199)</f>
        <v/>
      </c>
      <c r="AK181" s="25" t="str">
        <f>IF('1. Live'!AO199='check-Jul''26'!AK199,"",'1. Live'!AO199-'check-Jul''26'!AK199)</f>
        <v/>
      </c>
      <c r="AL181" s="25" t="str">
        <f>IF('1. Live'!AP199='check-Jul''26'!AL199,"",'1. Live'!AP199-'check-Jul''26'!AL199)</f>
        <v/>
      </c>
      <c r="AM181" s="25" t="str">
        <f>IF('1. Live'!AQ199='check-Jul''26'!AM199,"",'1. Live'!AQ199-'check-Jul''26'!AM199)</f>
        <v/>
      </c>
      <c r="AN181" s="25" t="str">
        <f>IF('1. Live'!AR199='check-Jul''26'!AN199,"",'1. Live'!AR199-'check-Jul''26'!AN199)</f>
        <v/>
      </c>
      <c r="AO181" s="25" t="str">
        <f>IF('1. Live'!AS199='check-Jul''26'!AO199,"",'1. Live'!AS199-'check-Jul''26'!AO199)</f>
        <v/>
      </c>
      <c r="AP181" s="25" t="str">
        <f>IF('1. Live'!AT199='check-Jul''26'!AP199,"",'1. Live'!AT199-'check-Jul''26'!AP199)</f>
        <v/>
      </c>
      <c r="AQ181" s="25" t="str">
        <f>IF('1. Live'!AU199='check-Jul''26'!AQ199,"",'1. Live'!AU199-'check-Jul''26'!AQ199)</f>
        <v/>
      </c>
      <c r="AR181" s="25" t="str">
        <f>IF('1. Live'!AV199='check-Jul''26'!AR199,"",'1. Live'!AV199-'check-Jul''26'!AR199)</f>
        <v/>
      </c>
      <c r="AS181" s="25" t="str">
        <f>IF('1. Live'!AW199='check-Jul''26'!AS199,"",'1. Live'!AW199-'check-Jul''26'!AS199)</f>
        <v/>
      </c>
      <c r="AT181" s="25" t="str">
        <f>IF('1. Live'!AX199='check-Jul''26'!AT199,"",'1. Live'!AX199-'check-Jul''26'!AT199)</f>
        <v/>
      </c>
      <c r="AU181" s="25" t="str">
        <f>IF('1. Live'!AY199='check-Jul''26'!AU199,"",'1. Live'!AY199-'check-Jul''26'!AU199)</f>
        <v/>
      </c>
      <c r="AV181" s="25" t="str">
        <f>IF('1. Live'!AZ199='check-Jul''26'!AV199,"",'1. Live'!AZ199-'check-Jul''26'!AV199)</f>
        <v/>
      </c>
      <c r="AW181" s="25" t="str">
        <f>IF('1. Live'!BA199='check-Jul''26'!AW199,"",'1. Live'!BA199-'check-Jul''26'!AW199)</f>
        <v/>
      </c>
      <c r="AX181" s="25" t="str">
        <f>IF('1. Live'!BB199='check-Jul''26'!AX199,"",'1. Live'!BB199-'check-Jul''26'!AX199)</f>
        <v/>
      </c>
      <c r="AY181" s="25" t="str">
        <f>IF('1. Live'!BC199='check-Jul''26'!AY199,"",'1. Live'!BC199-'check-Jul''26'!AY199)</f>
        <v/>
      </c>
      <c r="AZ181" s="25" t="str">
        <f>IF('1. Live'!BD199='check-Jul''26'!AZ199,"",'1. Live'!BD199-'check-Jul''26'!AZ199)</f>
        <v/>
      </c>
      <c r="BA181" s="25" t="str">
        <f>IF('1. Live'!BE199='check-Jul''26'!BA199,"",'1. Live'!BE199-'check-Jul''26'!BA199)</f>
        <v/>
      </c>
      <c r="BB181" s="25" t="str">
        <f>IF('1. Live'!BF199='check-Jul''26'!BB199,"",'1. Live'!BF199-'check-Jul''26'!BB199)</f>
        <v/>
      </c>
      <c r="BC181" s="25" t="str">
        <f>IF('1. Live'!BG199='check-Jul''26'!BC199,"",'1. Live'!BG199-'check-Jul''26'!BC199)</f>
        <v/>
      </c>
      <c r="BD181" s="25" t="str">
        <f>IF('1. Live'!BH199='check-Jul''26'!BD199,"",'1. Live'!BH199-'check-Jul''26'!BD199)</f>
        <v/>
      </c>
      <c r="BE181" s="25" t="str">
        <f>IF('1. Live'!BI199='check-Jul''26'!BE199,"",'1. Live'!BI199-'check-Jul''26'!BE199)</f>
        <v/>
      </c>
      <c r="BF181" s="25" t="str">
        <f>IF('1. Live'!BJ199='check-Jul''26'!BF199,"",'1. Live'!BJ199-'check-Jul''26'!BF199)</f>
        <v/>
      </c>
      <c r="BG181" s="25" t="str">
        <f>IF('1. Live'!BK199='check-Jul''26'!BG199,"",'1. Live'!BK199-'check-Jul''26'!BG199)</f>
        <v/>
      </c>
      <c r="BH181" s="25" t="str">
        <f>IF('1. Live'!BL199='check-Jul''26'!BH199,"",'1. Live'!BL199-'check-Jul''26'!BH199)</f>
        <v/>
      </c>
      <c r="BI181" s="25" t="str">
        <f>IF('1. Live'!BM199='check-Jul''26'!BI199,"",'1. Live'!BM199-'check-Jul''26'!BI199)</f>
        <v/>
      </c>
      <c r="BJ181" s="25" t="str">
        <f>IF('1. Live'!BN199='check-Jul''26'!BJ199,"",'1. Live'!BN199-'check-Jul''26'!BJ199)</f>
        <v/>
      </c>
      <c r="BK181" s="25" t="str">
        <f>IF('1. Live'!BO199='check-Jul''26'!BK199,"",'1. Live'!BO199-'check-Jul''26'!BK199)</f>
        <v/>
      </c>
      <c r="BL181" s="25" t="str">
        <f>IF('1. Live'!BP199='check-Jul''26'!BL199,"",'1. Live'!BP199-'check-Jul''26'!BL199)</f>
        <v/>
      </c>
      <c r="BM181" s="25" t="str">
        <f>IF('1. Live'!BQ199='check-Jul''26'!BM199,"",'1. Live'!BQ199-'check-Jul''26'!BM199)</f>
        <v/>
      </c>
      <c r="BN181" s="25" t="str">
        <f>IF('1. Live'!BR199='check-Jul''26'!BN199,"",'1. Live'!BR199-'check-Jul''26'!BN199)</f>
        <v/>
      </c>
      <c r="BO181" s="25" t="str">
        <f>IF('1. Live'!BS199='check-Jul''26'!BO199,"",'1. Live'!BS199-'check-Jul''26'!BO199)</f>
        <v/>
      </c>
      <c r="BP181" s="25" t="str">
        <f>IF('1. Live'!BT199='check-Jul''26'!BP199,"",'1. Live'!BT199-'check-Jul''26'!BP199)</f>
        <v/>
      </c>
      <c r="BQ181" s="25" t="str">
        <f>IF('1. Live'!BU199='check-Jul''26'!BQ199,"",'1. Live'!BU199-'check-Jul''26'!BQ199)</f>
        <v/>
      </c>
      <c r="BR181" s="25" t="str">
        <f>IF('1. Live'!BV199='check-Jul''26'!BR199,"",'1. Live'!BV199-'check-Jul''26'!BR199)</f>
        <v/>
      </c>
      <c r="BS181" s="25" t="str">
        <f>IF('1. Live'!BW199='check-Jul''26'!BS199,"",'1. Live'!BW199-'check-Jul''26'!BS199)</f>
        <v/>
      </c>
      <c r="BT181" s="25" t="str">
        <f>IF('1. Live'!BX199='check-Jul''26'!BT199,"",'1. Live'!BX199-'check-Jul''26'!BT199)</f>
        <v/>
      </c>
      <c r="BU181" s="25" t="str">
        <f>IF('1. Live'!BY199='check-Jul''26'!BU199,"",'1. Live'!BY199-'check-Jul''26'!BU199)</f>
        <v/>
      </c>
      <c r="BV181" s="25" t="str">
        <f>IF('1. Live'!BZ199='check-Jul''26'!BV199,"",'1. Live'!BZ199-'check-Jul''26'!BV199)</f>
        <v/>
      </c>
      <c r="BW181" s="25" t="str">
        <f>IF('1. Live'!CA199='check-Jul''26'!BW199,"",'1. Live'!CA199-'check-Jul''26'!BW199)</f>
        <v/>
      </c>
      <c r="BX181" s="25" t="str">
        <f>IF('1. Live'!CB199='check-Jul''26'!BX199,"",'1. Live'!CB199-'check-Jul''26'!BX199)</f>
        <v/>
      </c>
      <c r="BY181" s="25" t="str">
        <f>IF('1. Live'!CC199='check-Jul''26'!BY199,"",'1. Live'!CC199-'check-Jul''26'!BY199)</f>
        <v/>
      </c>
      <c r="BZ181" s="25" t="str">
        <f>IF('1. Live'!CD199='check-Jul''26'!BZ199,"",'1. Live'!CD199-'check-Jul''26'!BZ199)</f>
        <v/>
      </c>
      <c r="CA181" s="25" t="str">
        <f>IF('1. Live'!CE199='check-Jul''26'!CA199,"",'1. Live'!CE199-'check-Jul''26'!CA199)</f>
        <v/>
      </c>
      <c r="CB181" s="25" t="str">
        <f>IF('1. Live'!CF199='check-Jul''26'!CB199,"",'1. Live'!CF199-'check-Jul''26'!CB199)</f>
        <v/>
      </c>
      <c r="CC181" s="25" t="str">
        <f>IF('1. Live'!CG199='check-Jul''26'!CC199,"",'1. Live'!CG199-'check-Jul''26'!CC199)</f>
        <v/>
      </c>
      <c r="CD181" s="25" t="str">
        <f>IF('1. Live'!CH199='check-Jul''26'!CD199,"",'1. Live'!CH199-'check-Jul''26'!CD199)</f>
        <v/>
      </c>
      <c r="CE181" s="25" t="str">
        <f>IF('1. Live'!CI199='check-Jul''26'!CE199,"",'1. Live'!CI199-'check-Jul''26'!CE199)</f>
        <v/>
      </c>
      <c r="CF181" s="25" t="str">
        <f>IF('1. Live'!CJ199='check-Jul''26'!CF199,"",'1. Live'!CJ199-'check-Jul''26'!CF199)</f>
        <v/>
      </c>
      <c r="CG181" s="25" t="str">
        <f>IF('1. Live'!CK199='check-Jul''26'!CG199,"",'1. Live'!CK199-'check-Jul''26'!CG199)</f>
        <v/>
      </c>
      <c r="CH181" s="25" t="str">
        <f>IF('1. Live'!CL199='check-Jul''26'!CH199,"",'1. Live'!CL199-'check-Jul''26'!CH199)</f>
        <v/>
      </c>
      <c r="CI181" s="25" t="str">
        <f>IF('1. Live'!CM199='check-Jul''26'!CI199,"",'1. Live'!CM199-'check-Jul''26'!CI199)</f>
        <v/>
      </c>
      <c r="CJ181" s="25" t="str">
        <f>IF('1. Live'!CN199='check-Jul''26'!CJ199,"",'1. Live'!CN199-'check-Jul''26'!CJ199)</f>
        <v/>
      </c>
      <c r="CK181" s="25" t="str">
        <f>IF('1. Live'!CO199='check-Jul''26'!CK199,"",'1. Live'!CO199-'check-Jul''26'!CK199)</f>
        <v/>
      </c>
      <c r="CL181" s="25" t="str">
        <f>IF('1. Live'!CP199='check-Jul''26'!CL199,"",'1. Live'!CP199-'check-Jul''26'!CL199)</f>
        <v/>
      </c>
      <c r="CM181" s="25" t="str">
        <f>IF('1. Live'!CQ199='check-Jul''26'!CM199,"",'1. Live'!CQ199-'check-Jul''26'!CM199)</f>
        <v/>
      </c>
      <c r="CN181" s="25" t="str">
        <f>IF('1. Live'!CR199='check-Jul''26'!CN199,"",'1. Live'!CR199-'check-Jul''26'!CN199)</f>
        <v/>
      </c>
      <c r="CO181" s="25" t="str">
        <f>IF('1. Live'!CS199='check-Jul''26'!CO199,"",'1. Live'!CS199-'check-Jul''26'!CO199)</f>
        <v/>
      </c>
      <c r="CP181" s="25" t="str">
        <f>IF('1. Live'!CT199='check-Jul''26'!CP199,"",'1. Live'!CT199-'check-Jul''26'!CP199)</f>
        <v/>
      </c>
      <c r="CQ181" s="25" t="str">
        <f>IF('1. Live'!CU199='check-Jul''26'!CQ199,"",'1. Live'!CU199-'check-Jul''26'!CQ199)</f>
        <v/>
      </c>
      <c r="CR181" s="25" t="str">
        <f>IF('1. Live'!CV199='check-Jul''26'!CR199,"",'1. Live'!CV199-'check-Jul''26'!CR199)</f>
        <v/>
      </c>
      <c r="CS181" s="25" t="str">
        <f>IF('1. Live'!CW199='check-Jul''26'!CS199,"",'1. Live'!CW199-'check-Jul''26'!CS199)</f>
        <v/>
      </c>
      <c r="CT181" s="25" t="str">
        <f>IF('1. Live'!CX199='check-Jul''26'!CT199,"",'1. Live'!CX199-'check-Jul''26'!CT199)</f>
        <v/>
      </c>
      <c r="CU181" s="25" t="str">
        <f>IF('1. Live'!CY199='check-Jul''26'!CU199,"",'1. Live'!CY199-'check-Jul''26'!CU199)</f>
        <v/>
      </c>
      <c r="CV181" s="25" t="str">
        <f>IF('1. Live'!CZ199='check-Jul''26'!CV199,"",'1. Live'!CZ199-'check-Jul''26'!CV199)</f>
        <v/>
      </c>
    </row>
    <row r="182" spans="17:100" x14ac:dyDescent="0.25">
      <c r="Q182" s="26" t="str">
        <f>IF('1. Live'!N200='check-Jul''26'!I200,"",'1. Live'!N200-'check-Jul''26'!I200)</f>
        <v/>
      </c>
      <c r="R182" s="26" t="str">
        <f>IF('1. Live'!O200='check-Jul''26'!J200,"",'1. Live'!O200-'check-Jul''26'!J200)</f>
        <v/>
      </c>
      <c r="S182" s="26" t="str">
        <f>IF('1. Live'!P200='check-Jul''26'!K200,"",'1. Live'!P200-'check-Jul''26'!K200)</f>
        <v/>
      </c>
      <c r="T182" s="26" t="str">
        <f>IF('1. Live'!Q200='check-Jul''26'!L200,"",'1. Live'!Q200-'check-Jul''26'!L200)</f>
        <v/>
      </c>
      <c r="U182" s="80" t="str">
        <f>IF('1. Live'!R200='check-Jul''26'!M200,"",'1. Live'!R200-'check-Jul''26'!M200)</f>
        <v/>
      </c>
      <c r="V182" s="26" t="str">
        <f>IF('1. Live'!S200='check-Jul''26'!N200,"",'1. Live'!S200-'check-Jul''26'!N200)</f>
        <v/>
      </c>
      <c r="W182" s="25" t="str">
        <f>IF('1. Live'!T200='check-Jul''26'!O200,"",'1. Live'!T200-'check-Jul''26'!O200)</f>
        <v/>
      </c>
      <c r="X182" s="25" t="str">
        <f>IF('1. Live'!U200='check-Jul''26'!Q200,"",'1. Live'!U200-'check-Jul''26'!Q200)</f>
        <v/>
      </c>
      <c r="Y182" s="25" t="str">
        <f>IF('1. Live'!V200='check-Jul''26'!R200,"",'1. Live'!V200-'check-Jul''26'!R200)</f>
        <v/>
      </c>
      <c r="Z182" s="25" t="str">
        <f>IF('1. Live'!W200='check-Jul''26'!S200,"",'1. Live'!W200-'check-Jul''26'!S200)</f>
        <v/>
      </c>
      <c r="AA182" s="25" t="str">
        <f>IF('1. Live'!X200='check-Jul''26'!T200,"",'1. Live'!X200-'check-Jul''26'!T200)</f>
        <v/>
      </c>
      <c r="AB182" s="25" t="str">
        <f>IF('1. Live'!AF200='check-Jul''26'!AB200,"",'1. Live'!AF200-'check-Jul''26'!AB200)</f>
        <v/>
      </c>
      <c r="AC182" s="25" t="str">
        <f>IF('1. Live'!AG200='check-Jul''26'!AC200,"",'1. Live'!AG200-'check-Jul''26'!AC200)</f>
        <v/>
      </c>
      <c r="AD182" s="25" t="str">
        <f>IF('1. Live'!AH200='check-Jul''26'!AD200,"",'1. Live'!AH200-'check-Jul''26'!AD200)</f>
        <v/>
      </c>
      <c r="AE182" s="25" t="str">
        <f>IF('1. Live'!AI200='check-Jul''26'!AE200,"",'1. Live'!AI200-'check-Jul''26'!AE200)</f>
        <v/>
      </c>
      <c r="AF182" s="25" t="str">
        <f>IF('1. Live'!AJ200='check-Jul''26'!AF200,"",'1. Live'!AJ200-'check-Jul''26'!AF200)</f>
        <v/>
      </c>
      <c r="AG182" s="25" t="str">
        <f>IF('1. Live'!AK200='check-Jul''26'!AG200,"",'1. Live'!AK200-'check-Jul''26'!AG200)</f>
        <v/>
      </c>
      <c r="AH182" s="25" t="str">
        <f>IF('1. Live'!AL200='check-Jul''26'!AH200,"",'1. Live'!AL200-'check-Jul''26'!AH200)</f>
        <v/>
      </c>
      <c r="AI182" s="25" t="str">
        <f>IF('1. Live'!AM200='check-Jul''26'!AI200,"",'1. Live'!AM200-'check-Jul''26'!AI200)</f>
        <v/>
      </c>
      <c r="AJ182" s="25" t="str">
        <f>IF('1. Live'!AN200='check-Jul''26'!AJ200,"",'1. Live'!AN200-'check-Jul''26'!AJ200)</f>
        <v/>
      </c>
      <c r="AK182" s="25" t="str">
        <f>IF('1. Live'!AO200='check-Jul''26'!AK200,"",'1. Live'!AO200-'check-Jul''26'!AK200)</f>
        <v/>
      </c>
      <c r="AL182" s="25" t="str">
        <f>IF('1. Live'!AP200='check-Jul''26'!AL200,"",'1. Live'!AP200-'check-Jul''26'!AL200)</f>
        <v/>
      </c>
      <c r="AM182" s="25" t="str">
        <f>IF('1. Live'!AQ200='check-Jul''26'!AM200,"",'1. Live'!AQ200-'check-Jul''26'!AM200)</f>
        <v/>
      </c>
      <c r="AN182" s="25" t="str">
        <f>IF('1. Live'!AR200='check-Jul''26'!AN200,"",'1. Live'!AR200-'check-Jul''26'!AN200)</f>
        <v/>
      </c>
      <c r="AO182" s="25" t="str">
        <f>IF('1. Live'!AS200='check-Jul''26'!AO200,"",'1. Live'!AS200-'check-Jul''26'!AO200)</f>
        <v/>
      </c>
      <c r="AP182" s="25" t="str">
        <f>IF('1. Live'!AT200='check-Jul''26'!AP200,"",'1. Live'!AT200-'check-Jul''26'!AP200)</f>
        <v/>
      </c>
      <c r="AQ182" s="25" t="str">
        <f>IF('1. Live'!AU200='check-Jul''26'!AQ200,"",'1. Live'!AU200-'check-Jul''26'!AQ200)</f>
        <v/>
      </c>
      <c r="AR182" s="25" t="str">
        <f>IF('1. Live'!AV200='check-Jul''26'!AR200,"",'1. Live'!AV200-'check-Jul''26'!AR200)</f>
        <v/>
      </c>
      <c r="AS182" s="25" t="str">
        <f>IF('1. Live'!AW200='check-Jul''26'!AS200,"",'1. Live'!AW200-'check-Jul''26'!AS200)</f>
        <v/>
      </c>
      <c r="AT182" s="25" t="str">
        <f>IF('1. Live'!AX200='check-Jul''26'!AT200,"",'1. Live'!AX200-'check-Jul''26'!AT200)</f>
        <v/>
      </c>
      <c r="AU182" s="25" t="str">
        <f>IF('1. Live'!AY200='check-Jul''26'!AU200,"",'1. Live'!AY200-'check-Jul''26'!AU200)</f>
        <v/>
      </c>
      <c r="AV182" s="25" t="str">
        <f>IF('1. Live'!AZ200='check-Jul''26'!AV200,"",'1. Live'!AZ200-'check-Jul''26'!AV200)</f>
        <v/>
      </c>
      <c r="AW182" s="25" t="str">
        <f>IF('1. Live'!BA200='check-Jul''26'!AW200,"",'1. Live'!BA200-'check-Jul''26'!AW200)</f>
        <v/>
      </c>
      <c r="AX182" s="25" t="str">
        <f>IF('1. Live'!BB200='check-Jul''26'!AX200,"",'1. Live'!BB200-'check-Jul''26'!AX200)</f>
        <v/>
      </c>
      <c r="AY182" s="25" t="str">
        <f>IF('1. Live'!BC200='check-Jul''26'!AY200,"",'1. Live'!BC200-'check-Jul''26'!AY200)</f>
        <v/>
      </c>
      <c r="AZ182" s="25" t="str">
        <f>IF('1. Live'!BD200='check-Jul''26'!AZ200,"",'1. Live'!BD200-'check-Jul''26'!AZ200)</f>
        <v/>
      </c>
      <c r="BA182" s="25" t="str">
        <f>IF('1. Live'!BE200='check-Jul''26'!BA200,"",'1. Live'!BE200-'check-Jul''26'!BA200)</f>
        <v/>
      </c>
      <c r="BB182" s="25" t="str">
        <f>IF('1. Live'!BF200='check-Jul''26'!BB200,"",'1. Live'!BF200-'check-Jul''26'!BB200)</f>
        <v/>
      </c>
      <c r="BC182" s="25" t="str">
        <f>IF('1. Live'!BG200='check-Jul''26'!BC200,"",'1. Live'!BG200-'check-Jul''26'!BC200)</f>
        <v/>
      </c>
      <c r="BD182" s="25" t="str">
        <f>IF('1. Live'!BH200='check-Jul''26'!BD200,"",'1. Live'!BH200-'check-Jul''26'!BD200)</f>
        <v/>
      </c>
      <c r="BE182" s="25" t="str">
        <f>IF('1. Live'!BI200='check-Jul''26'!BE200,"",'1. Live'!BI200-'check-Jul''26'!BE200)</f>
        <v/>
      </c>
      <c r="BF182" s="25" t="str">
        <f>IF('1. Live'!BJ200='check-Jul''26'!BF200,"",'1. Live'!BJ200-'check-Jul''26'!BF200)</f>
        <v/>
      </c>
      <c r="BG182" s="25" t="str">
        <f>IF('1. Live'!BK200='check-Jul''26'!BG200,"",'1. Live'!BK200-'check-Jul''26'!BG200)</f>
        <v/>
      </c>
      <c r="BH182" s="25" t="str">
        <f>IF('1. Live'!BL200='check-Jul''26'!BH200,"",'1. Live'!BL200-'check-Jul''26'!BH200)</f>
        <v/>
      </c>
      <c r="BI182" s="25" t="str">
        <f>IF('1. Live'!BM200='check-Jul''26'!BI200,"",'1. Live'!BM200-'check-Jul''26'!BI200)</f>
        <v/>
      </c>
      <c r="BJ182" s="25" t="str">
        <f>IF('1. Live'!BN200='check-Jul''26'!BJ200,"",'1. Live'!BN200-'check-Jul''26'!BJ200)</f>
        <v/>
      </c>
      <c r="BK182" s="25" t="str">
        <f>IF('1. Live'!BO200='check-Jul''26'!BK200,"",'1. Live'!BO200-'check-Jul''26'!BK200)</f>
        <v/>
      </c>
      <c r="BL182" s="25" t="str">
        <f>IF('1. Live'!BP200='check-Jul''26'!BL200,"",'1. Live'!BP200-'check-Jul''26'!BL200)</f>
        <v/>
      </c>
      <c r="BM182" s="25" t="str">
        <f>IF('1. Live'!BQ200='check-Jul''26'!BM200,"",'1. Live'!BQ200-'check-Jul''26'!BM200)</f>
        <v/>
      </c>
      <c r="BN182" s="25" t="str">
        <f>IF('1. Live'!BR200='check-Jul''26'!BN200,"",'1. Live'!BR200-'check-Jul''26'!BN200)</f>
        <v/>
      </c>
      <c r="BO182" s="25" t="str">
        <f>IF('1. Live'!BS200='check-Jul''26'!BO200,"",'1. Live'!BS200-'check-Jul''26'!BO200)</f>
        <v/>
      </c>
      <c r="BP182" s="25" t="str">
        <f>IF('1. Live'!BT200='check-Jul''26'!BP200,"",'1. Live'!BT200-'check-Jul''26'!BP200)</f>
        <v/>
      </c>
      <c r="BQ182" s="25" t="str">
        <f>IF('1. Live'!BU200='check-Jul''26'!BQ200,"",'1. Live'!BU200-'check-Jul''26'!BQ200)</f>
        <v/>
      </c>
      <c r="BR182" s="25" t="str">
        <f>IF('1. Live'!BV200='check-Jul''26'!BR200,"",'1. Live'!BV200-'check-Jul''26'!BR200)</f>
        <v/>
      </c>
      <c r="BS182" s="25" t="str">
        <f>IF('1. Live'!BW200='check-Jul''26'!BS200,"",'1. Live'!BW200-'check-Jul''26'!BS200)</f>
        <v/>
      </c>
      <c r="BT182" s="25" t="str">
        <f>IF('1. Live'!BX200='check-Jul''26'!BT200,"",'1. Live'!BX200-'check-Jul''26'!BT200)</f>
        <v/>
      </c>
      <c r="BU182" s="25" t="str">
        <f>IF('1. Live'!BY200='check-Jul''26'!BU200,"",'1. Live'!BY200-'check-Jul''26'!BU200)</f>
        <v/>
      </c>
      <c r="BV182" s="25" t="str">
        <f>IF('1. Live'!BZ200='check-Jul''26'!BV200,"",'1. Live'!BZ200-'check-Jul''26'!BV200)</f>
        <v/>
      </c>
      <c r="BW182" s="25" t="str">
        <f>IF('1. Live'!CA200='check-Jul''26'!BW200,"",'1. Live'!CA200-'check-Jul''26'!BW200)</f>
        <v/>
      </c>
      <c r="BX182" s="25" t="str">
        <f>IF('1. Live'!CB200='check-Jul''26'!BX200,"",'1. Live'!CB200-'check-Jul''26'!BX200)</f>
        <v/>
      </c>
      <c r="BY182" s="25" t="str">
        <f>IF('1. Live'!CC200='check-Jul''26'!BY200,"",'1. Live'!CC200-'check-Jul''26'!BY200)</f>
        <v/>
      </c>
      <c r="BZ182" s="25" t="str">
        <f>IF('1. Live'!CD200='check-Jul''26'!BZ200,"",'1. Live'!CD200-'check-Jul''26'!BZ200)</f>
        <v/>
      </c>
      <c r="CA182" s="25" t="str">
        <f>IF('1. Live'!CE200='check-Jul''26'!CA200,"",'1. Live'!CE200-'check-Jul''26'!CA200)</f>
        <v/>
      </c>
      <c r="CB182" s="25" t="str">
        <f>IF('1. Live'!CF200='check-Jul''26'!CB200,"",'1. Live'!CF200-'check-Jul''26'!CB200)</f>
        <v/>
      </c>
      <c r="CC182" s="25" t="str">
        <f>IF('1. Live'!CG200='check-Jul''26'!CC200,"",'1. Live'!CG200-'check-Jul''26'!CC200)</f>
        <v/>
      </c>
      <c r="CD182" s="25" t="str">
        <f>IF('1. Live'!CH200='check-Jul''26'!CD200,"",'1. Live'!CH200-'check-Jul''26'!CD200)</f>
        <v/>
      </c>
      <c r="CE182" s="25" t="str">
        <f>IF('1. Live'!CI200='check-Jul''26'!CE200,"",'1. Live'!CI200-'check-Jul''26'!CE200)</f>
        <v/>
      </c>
      <c r="CF182" s="25" t="str">
        <f>IF('1. Live'!CJ200='check-Jul''26'!CF200,"",'1. Live'!CJ200-'check-Jul''26'!CF200)</f>
        <v/>
      </c>
      <c r="CG182" s="25" t="str">
        <f>IF('1. Live'!CK200='check-Jul''26'!CG200,"",'1. Live'!CK200-'check-Jul''26'!CG200)</f>
        <v/>
      </c>
      <c r="CH182" s="25" t="str">
        <f>IF('1. Live'!CL200='check-Jul''26'!CH200,"",'1. Live'!CL200-'check-Jul''26'!CH200)</f>
        <v/>
      </c>
      <c r="CI182" s="25" t="str">
        <f>IF('1. Live'!CM200='check-Jul''26'!CI200,"",'1. Live'!CM200-'check-Jul''26'!CI200)</f>
        <v/>
      </c>
      <c r="CJ182" s="25" t="str">
        <f>IF('1. Live'!CN200='check-Jul''26'!CJ200,"",'1. Live'!CN200-'check-Jul''26'!CJ200)</f>
        <v/>
      </c>
      <c r="CK182" s="25" t="str">
        <f>IF('1. Live'!CO200='check-Jul''26'!CK200,"",'1. Live'!CO200-'check-Jul''26'!CK200)</f>
        <v/>
      </c>
      <c r="CL182" s="25" t="str">
        <f>IF('1. Live'!CP200='check-Jul''26'!CL200,"",'1. Live'!CP200-'check-Jul''26'!CL200)</f>
        <v/>
      </c>
      <c r="CM182" s="25" t="str">
        <f>IF('1. Live'!CQ200='check-Jul''26'!CM200,"",'1. Live'!CQ200-'check-Jul''26'!CM200)</f>
        <v/>
      </c>
      <c r="CN182" s="25" t="str">
        <f>IF('1. Live'!CR200='check-Jul''26'!CN200,"",'1. Live'!CR200-'check-Jul''26'!CN200)</f>
        <v/>
      </c>
      <c r="CO182" s="25" t="str">
        <f>IF('1. Live'!CS200='check-Jul''26'!CO200,"",'1. Live'!CS200-'check-Jul''26'!CO200)</f>
        <v/>
      </c>
      <c r="CP182" s="25" t="str">
        <f>IF('1. Live'!CT200='check-Jul''26'!CP200,"",'1. Live'!CT200-'check-Jul''26'!CP200)</f>
        <v/>
      </c>
      <c r="CQ182" s="25" t="str">
        <f>IF('1. Live'!CU200='check-Jul''26'!CQ200,"",'1. Live'!CU200-'check-Jul''26'!CQ200)</f>
        <v/>
      </c>
      <c r="CR182" s="25" t="str">
        <f>IF('1. Live'!CV200='check-Jul''26'!CR200,"",'1. Live'!CV200-'check-Jul''26'!CR200)</f>
        <v/>
      </c>
      <c r="CS182" s="25" t="str">
        <f>IF('1. Live'!CW200='check-Jul''26'!CS200,"",'1. Live'!CW200-'check-Jul''26'!CS200)</f>
        <v/>
      </c>
      <c r="CT182" s="25" t="str">
        <f>IF('1. Live'!CX200='check-Jul''26'!CT200,"",'1. Live'!CX200-'check-Jul''26'!CT200)</f>
        <v/>
      </c>
      <c r="CU182" s="25" t="str">
        <f>IF('1. Live'!CY200='check-Jul''26'!CU200,"",'1. Live'!CY200-'check-Jul''26'!CU200)</f>
        <v/>
      </c>
      <c r="CV182" s="25" t="str">
        <f>IF('1. Live'!CZ200='check-Jul''26'!CV200,"",'1. Live'!CZ200-'check-Jul''26'!CV200)</f>
        <v/>
      </c>
    </row>
    <row r="183" spans="17:100" x14ac:dyDescent="0.25">
      <c r="Q183" s="26" t="str">
        <f>IF('1. Live'!N201='check-Jul''26'!I201,"",'1. Live'!N201-'check-Jul''26'!I201)</f>
        <v/>
      </c>
      <c r="R183" s="26" t="str">
        <f>IF('1. Live'!O201='check-Jul''26'!J201,"",'1. Live'!O201-'check-Jul''26'!J201)</f>
        <v/>
      </c>
      <c r="S183" s="26" t="str">
        <f>IF('1. Live'!P201='check-Jul''26'!K201,"",'1. Live'!P201-'check-Jul''26'!K201)</f>
        <v/>
      </c>
      <c r="T183" s="26" t="str">
        <f>IF('1. Live'!Q201='check-Jul''26'!L201,"",'1. Live'!Q201-'check-Jul''26'!L201)</f>
        <v/>
      </c>
      <c r="U183" s="80" t="str">
        <f>IF('1. Live'!R201='check-Jul''26'!M201,"",'1. Live'!R201-'check-Jul''26'!M201)</f>
        <v/>
      </c>
      <c r="V183" s="26" t="str">
        <f>IF('1. Live'!S201='check-Jul''26'!N201,"",'1. Live'!S201-'check-Jul''26'!N201)</f>
        <v/>
      </c>
      <c r="W183" s="25" t="str">
        <f>IF('1. Live'!T201='check-Jul''26'!O201,"",'1. Live'!T201-'check-Jul''26'!O201)</f>
        <v/>
      </c>
      <c r="X183" s="25" t="str">
        <f>IF('1. Live'!U201='check-Jul''26'!Q201,"",'1. Live'!U201-'check-Jul''26'!Q201)</f>
        <v/>
      </c>
      <c r="Y183" s="25" t="str">
        <f>IF('1. Live'!V201='check-Jul''26'!R201,"",'1. Live'!V201-'check-Jul''26'!R201)</f>
        <v/>
      </c>
      <c r="Z183" s="25" t="str">
        <f>IF('1. Live'!W201='check-Jul''26'!S201,"",'1. Live'!W201-'check-Jul''26'!S201)</f>
        <v/>
      </c>
      <c r="AA183" s="25" t="str">
        <f>IF('1. Live'!X201='check-Jul''26'!T201,"",'1. Live'!X201-'check-Jul''26'!T201)</f>
        <v/>
      </c>
      <c r="AB183" s="25" t="str">
        <f>IF('1. Live'!AF201='check-Jul''26'!AB201,"",'1. Live'!AF201-'check-Jul''26'!AB201)</f>
        <v/>
      </c>
      <c r="AC183" s="25" t="str">
        <f>IF('1. Live'!AG201='check-Jul''26'!AC201,"",'1. Live'!AG201-'check-Jul''26'!AC201)</f>
        <v/>
      </c>
      <c r="AD183" s="25" t="str">
        <f>IF('1. Live'!AH201='check-Jul''26'!AD201,"",'1. Live'!AH201-'check-Jul''26'!AD201)</f>
        <v/>
      </c>
      <c r="AE183" s="25" t="str">
        <f>IF('1. Live'!AI201='check-Jul''26'!AE201,"",'1. Live'!AI201-'check-Jul''26'!AE201)</f>
        <v/>
      </c>
      <c r="AF183" s="25" t="str">
        <f>IF('1. Live'!AJ201='check-Jul''26'!AF201,"",'1. Live'!AJ201-'check-Jul''26'!AF201)</f>
        <v/>
      </c>
      <c r="AG183" s="25" t="str">
        <f>IF('1. Live'!AK201='check-Jul''26'!AG201,"",'1. Live'!AK201-'check-Jul''26'!AG201)</f>
        <v/>
      </c>
      <c r="AH183" s="25" t="str">
        <f>IF('1. Live'!AL201='check-Jul''26'!AH201,"",'1. Live'!AL201-'check-Jul''26'!AH201)</f>
        <v/>
      </c>
      <c r="AI183" s="25" t="str">
        <f>IF('1. Live'!AM201='check-Jul''26'!AI201,"",'1. Live'!AM201-'check-Jul''26'!AI201)</f>
        <v/>
      </c>
      <c r="AJ183" s="25" t="str">
        <f>IF('1. Live'!AN201='check-Jul''26'!AJ201,"",'1. Live'!AN201-'check-Jul''26'!AJ201)</f>
        <v/>
      </c>
      <c r="AK183" s="25" t="str">
        <f>IF('1. Live'!AO201='check-Jul''26'!AK201,"",'1. Live'!AO201-'check-Jul''26'!AK201)</f>
        <v/>
      </c>
      <c r="AL183" s="25" t="str">
        <f>IF('1. Live'!AP201='check-Jul''26'!AL201,"",'1. Live'!AP201-'check-Jul''26'!AL201)</f>
        <v/>
      </c>
      <c r="AM183" s="25" t="str">
        <f>IF('1. Live'!AQ201='check-Jul''26'!AM201,"",'1. Live'!AQ201-'check-Jul''26'!AM201)</f>
        <v/>
      </c>
      <c r="AN183" s="25" t="str">
        <f>IF('1. Live'!AR201='check-Jul''26'!AN201,"",'1. Live'!AR201-'check-Jul''26'!AN201)</f>
        <v/>
      </c>
      <c r="AO183" s="25" t="str">
        <f>IF('1. Live'!AS201='check-Jul''26'!AO201,"",'1. Live'!AS201-'check-Jul''26'!AO201)</f>
        <v/>
      </c>
      <c r="AP183" s="25" t="str">
        <f>IF('1. Live'!AT201='check-Jul''26'!AP201,"",'1. Live'!AT201-'check-Jul''26'!AP201)</f>
        <v/>
      </c>
      <c r="AQ183" s="25" t="str">
        <f>IF('1. Live'!AU201='check-Jul''26'!AQ201,"",'1. Live'!AU201-'check-Jul''26'!AQ201)</f>
        <v/>
      </c>
      <c r="AR183" s="25" t="str">
        <f>IF('1. Live'!AV201='check-Jul''26'!AR201,"",'1. Live'!AV201-'check-Jul''26'!AR201)</f>
        <v/>
      </c>
      <c r="AS183" s="25" t="str">
        <f>IF('1. Live'!AW201='check-Jul''26'!AS201,"",'1. Live'!AW201-'check-Jul''26'!AS201)</f>
        <v/>
      </c>
      <c r="AT183" s="25" t="str">
        <f>IF('1. Live'!AX201='check-Jul''26'!AT201,"",'1. Live'!AX201-'check-Jul''26'!AT201)</f>
        <v/>
      </c>
      <c r="AU183" s="25" t="str">
        <f>IF('1. Live'!AY201='check-Jul''26'!AU201,"",'1. Live'!AY201-'check-Jul''26'!AU201)</f>
        <v/>
      </c>
      <c r="AV183" s="25" t="str">
        <f>IF('1. Live'!AZ201='check-Jul''26'!AV201,"",'1. Live'!AZ201-'check-Jul''26'!AV201)</f>
        <v/>
      </c>
      <c r="AW183" s="25" t="str">
        <f>IF('1. Live'!BA201='check-Jul''26'!AW201,"",'1. Live'!BA201-'check-Jul''26'!AW201)</f>
        <v/>
      </c>
      <c r="AX183" s="25" t="str">
        <f>IF('1. Live'!BB201='check-Jul''26'!AX201,"",'1. Live'!BB201-'check-Jul''26'!AX201)</f>
        <v/>
      </c>
      <c r="AY183" s="25" t="str">
        <f>IF('1. Live'!BC201='check-Jul''26'!AY201,"",'1. Live'!BC201-'check-Jul''26'!AY201)</f>
        <v/>
      </c>
      <c r="AZ183" s="25" t="str">
        <f>IF('1. Live'!BD201='check-Jul''26'!AZ201,"",'1. Live'!BD201-'check-Jul''26'!AZ201)</f>
        <v/>
      </c>
      <c r="BA183" s="25" t="str">
        <f>IF('1. Live'!BE201='check-Jul''26'!BA201,"",'1. Live'!BE201-'check-Jul''26'!BA201)</f>
        <v/>
      </c>
      <c r="BB183" s="25" t="str">
        <f>IF('1. Live'!BF201='check-Jul''26'!BB201,"",'1. Live'!BF201-'check-Jul''26'!BB201)</f>
        <v/>
      </c>
      <c r="BC183" s="25" t="str">
        <f>IF('1. Live'!BG201='check-Jul''26'!BC201,"",'1. Live'!BG201-'check-Jul''26'!BC201)</f>
        <v/>
      </c>
      <c r="BD183" s="25" t="str">
        <f>IF('1. Live'!BH201='check-Jul''26'!BD201,"",'1. Live'!BH201-'check-Jul''26'!BD201)</f>
        <v/>
      </c>
      <c r="BE183" s="25" t="str">
        <f>IF('1. Live'!BI201='check-Jul''26'!BE201,"",'1. Live'!BI201-'check-Jul''26'!BE201)</f>
        <v/>
      </c>
      <c r="BF183" s="25" t="str">
        <f>IF('1. Live'!BJ201='check-Jul''26'!BF201,"",'1. Live'!BJ201-'check-Jul''26'!BF201)</f>
        <v/>
      </c>
      <c r="BG183" s="25" t="str">
        <f>IF('1. Live'!BK201='check-Jul''26'!BG201,"",'1. Live'!BK201-'check-Jul''26'!BG201)</f>
        <v/>
      </c>
      <c r="BH183" s="25" t="str">
        <f>IF('1. Live'!BL201='check-Jul''26'!BH201,"",'1. Live'!BL201-'check-Jul''26'!BH201)</f>
        <v/>
      </c>
      <c r="BI183" s="25" t="str">
        <f>IF('1. Live'!BM201='check-Jul''26'!BI201,"",'1. Live'!BM201-'check-Jul''26'!BI201)</f>
        <v/>
      </c>
      <c r="BJ183" s="25" t="str">
        <f>IF('1. Live'!BN201='check-Jul''26'!BJ201,"",'1. Live'!BN201-'check-Jul''26'!BJ201)</f>
        <v/>
      </c>
      <c r="BK183" s="25" t="str">
        <f>IF('1. Live'!BO201='check-Jul''26'!BK201,"",'1. Live'!BO201-'check-Jul''26'!BK201)</f>
        <v/>
      </c>
      <c r="BL183" s="25" t="str">
        <f>IF('1. Live'!BP201='check-Jul''26'!BL201,"",'1. Live'!BP201-'check-Jul''26'!BL201)</f>
        <v/>
      </c>
      <c r="BM183" s="25" t="str">
        <f>IF('1. Live'!BQ201='check-Jul''26'!BM201,"",'1. Live'!BQ201-'check-Jul''26'!BM201)</f>
        <v/>
      </c>
      <c r="BN183" s="25" t="str">
        <f>IF('1. Live'!BR201='check-Jul''26'!BN201,"",'1. Live'!BR201-'check-Jul''26'!BN201)</f>
        <v/>
      </c>
      <c r="BO183" s="25" t="str">
        <f>IF('1. Live'!BS201='check-Jul''26'!BO201,"",'1. Live'!BS201-'check-Jul''26'!BO201)</f>
        <v/>
      </c>
      <c r="BP183" s="25" t="str">
        <f>IF('1. Live'!BT201='check-Jul''26'!BP201,"",'1. Live'!BT201-'check-Jul''26'!BP201)</f>
        <v/>
      </c>
      <c r="BQ183" s="25" t="str">
        <f>IF('1. Live'!BU201='check-Jul''26'!BQ201,"",'1. Live'!BU201-'check-Jul''26'!BQ201)</f>
        <v/>
      </c>
      <c r="BR183" s="25" t="str">
        <f>IF('1. Live'!BV201='check-Jul''26'!BR201,"",'1. Live'!BV201-'check-Jul''26'!BR201)</f>
        <v/>
      </c>
      <c r="BS183" s="25" t="str">
        <f>IF('1. Live'!BW201='check-Jul''26'!BS201,"",'1. Live'!BW201-'check-Jul''26'!BS201)</f>
        <v/>
      </c>
      <c r="BT183" s="25" t="str">
        <f>IF('1. Live'!BX201='check-Jul''26'!BT201,"",'1. Live'!BX201-'check-Jul''26'!BT201)</f>
        <v/>
      </c>
      <c r="BU183" s="25" t="str">
        <f>IF('1. Live'!BY201='check-Jul''26'!BU201,"",'1. Live'!BY201-'check-Jul''26'!BU201)</f>
        <v/>
      </c>
      <c r="BV183" s="25" t="str">
        <f>IF('1. Live'!BZ201='check-Jul''26'!BV201,"",'1. Live'!BZ201-'check-Jul''26'!BV201)</f>
        <v/>
      </c>
      <c r="BW183" s="25" t="str">
        <f>IF('1. Live'!CA201='check-Jul''26'!BW201,"",'1. Live'!CA201-'check-Jul''26'!BW201)</f>
        <v/>
      </c>
      <c r="BX183" s="25" t="str">
        <f>IF('1. Live'!CB201='check-Jul''26'!BX201,"",'1. Live'!CB201-'check-Jul''26'!BX201)</f>
        <v/>
      </c>
      <c r="BY183" s="25" t="str">
        <f>IF('1. Live'!CC201='check-Jul''26'!BY201,"",'1. Live'!CC201-'check-Jul''26'!BY201)</f>
        <v/>
      </c>
      <c r="BZ183" s="25" t="str">
        <f>IF('1. Live'!CD201='check-Jul''26'!BZ201,"",'1. Live'!CD201-'check-Jul''26'!BZ201)</f>
        <v/>
      </c>
      <c r="CA183" s="25" t="str">
        <f>IF('1. Live'!CE201='check-Jul''26'!CA201,"",'1. Live'!CE201-'check-Jul''26'!CA201)</f>
        <v/>
      </c>
      <c r="CB183" s="25" t="str">
        <f>IF('1. Live'!CF201='check-Jul''26'!CB201,"",'1. Live'!CF201-'check-Jul''26'!CB201)</f>
        <v/>
      </c>
      <c r="CC183" s="25" t="str">
        <f>IF('1. Live'!CG201='check-Jul''26'!CC201,"",'1. Live'!CG201-'check-Jul''26'!CC201)</f>
        <v/>
      </c>
      <c r="CD183" s="25" t="str">
        <f>IF('1. Live'!CH201='check-Jul''26'!CD201,"",'1. Live'!CH201-'check-Jul''26'!CD201)</f>
        <v/>
      </c>
      <c r="CE183" s="25" t="str">
        <f>IF('1. Live'!CI201='check-Jul''26'!CE201,"",'1. Live'!CI201-'check-Jul''26'!CE201)</f>
        <v/>
      </c>
      <c r="CF183" s="25" t="str">
        <f>IF('1. Live'!CJ201='check-Jul''26'!CF201,"",'1. Live'!CJ201-'check-Jul''26'!CF201)</f>
        <v/>
      </c>
      <c r="CG183" s="25" t="str">
        <f>IF('1. Live'!CK201='check-Jul''26'!CG201,"",'1. Live'!CK201-'check-Jul''26'!CG201)</f>
        <v/>
      </c>
      <c r="CH183" s="25" t="str">
        <f>IF('1. Live'!CL201='check-Jul''26'!CH201,"",'1. Live'!CL201-'check-Jul''26'!CH201)</f>
        <v/>
      </c>
      <c r="CI183" s="25" t="str">
        <f>IF('1. Live'!CM201='check-Jul''26'!CI201,"",'1. Live'!CM201-'check-Jul''26'!CI201)</f>
        <v/>
      </c>
      <c r="CJ183" s="25" t="str">
        <f>IF('1. Live'!CN201='check-Jul''26'!CJ201,"",'1. Live'!CN201-'check-Jul''26'!CJ201)</f>
        <v/>
      </c>
      <c r="CK183" s="25" t="str">
        <f>IF('1. Live'!CO201='check-Jul''26'!CK201,"",'1. Live'!CO201-'check-Jul''26'!CK201)</f>
        <v/>
      </c>
      <c r="CL183" s="25" t="str">
        <f>IF('1. Live'!CP201='check-Jul''26'!CL201,"",'1. Live'!CP201-'check-Jul''26'!CL201)</f>
        <v/>
      </c>
      <c r="CM183" s="25" t="str">
        <f>IF('1. Live'!CQ201='check-Jul''26'!CM201,"",'1. Live'!CQ201-'check-Jul''26'!CM201)</f>
        <v/>
      </c>
      <c r="CN183" s="25" t="str">
        <f>IF('1. Live'!CR201='check-Jul''26'!CN201,"",'1. Live'!CR201-'check-Jul''26'!CN201)</f>
        <v/>
      </c>
      <c r="CO183" s="25" t="str">
        <f>IF('1. Live'!CS201='check-Jul''26'!CO201,"",'1. Live'!CS201-'check-Jul''26'!CO201)</f>
        <v/>
      </c>
      <c r="CP183" s="25" t="str">
        <f>IF('1. Live'!CT201='check-Jul''26'!CP201,"",'1. Live'!CT201-'check-Jul''26'!CP201)</f>
        <v/>
      </c>
      <c r="CQ183" s="25" t="str">
        <f>IF('1. Live'!CU201='check-Jul''26'!CQ201,"",'1. Live'!CU201-'check-Jul''26'!CQ201)</f>
        <v/>
      </c>
      <c r="CR183" s="25" t="str">
        <f>IF('1. Live'!CV201='check-Jul''26'!CR201,"",'1. Live'!CV201-'check-Jul''26'!CR201)</f>
        <v/>
      </c>
      <c r="CS183" s="25" t="str">
        <f>IF('1. Live'!CW201='check-Jul''26'!CS201,"",'1. Live'!CW201-'check-Jul''26'!CS201)</f>
        <v/>
      </c>
      <c r="CT183" s="25" t="str">
        <f>IF('1. Live'!CX201='check-Jul''26'!CT201,"",'1. Live'!CX201-'check-Jul''26'!CT201)</f>
        <v/>
      </c>
      <c r="CU183" s="25" t="str">
        <f>IF('1. Live'!CY201='check-Jul''26'!CU201,"",'1. Live'!CY201-'check-Jul''26'!CU201)</f>
        <v/>
      </c>
      <c r="CV183" s="25" t="str">
        <f>IF('1. Live'!CZ201='check-Jul''26'!CV201,"",'1. Live'!CZ201-'check-Jul''26'!CV201)</f>
        <v/>
      </c>
    </row>
    <row r="184" spans="17:100" x14ac:dyDescent="0.25">
      <c r="Q184" s="26" t="str">
        <f>IF('1. Live'!N202='check-Jul''26'!I202,"",'1. Live'!N202-'check-Jul''26'!I202)</f>
        <v/>
      </c>
      <c r="R184" s="26" t="str">
        <f>IF('1. Live'!O202='check-Jul''26'!J202,"",'1. Live'!O202-'check-Jul''26'!J202)</f>
        <v/>
      </c>
      <c r="S184" s="26" t="str">
        <f>IF('1. Live'!P202='check-Jul''26'!K202,"",'1. Live'!P202-'check-Jul''26'!K202)</f>
        <v/>
      </c>
      <c r="T184" s="26" t="str">
        <f>IF('1. Live'!Q202='check-Jul''26'!L202,"",'1. Live'!Q202-'check-Jul''26'!L202)</f>
        <v/>
      </c>
      <c r="U184" s="80" t="str">
        <f>IF('1. Live'!R202='check-Jul''26'!M202,"",'1. Live'!R202-'check-Jul''26'!M202)</f>
        <v/>
      </c>
      <c r="V184" s="26" t="str">
        <f>IF('1. Live'!S202='check-Jul''26'!N202,"",'1. Live'!S202-'check-Jul''26'!N202)</f>
        <v/>
      </c>
      <c r="W184" s="25" t="str">
        <f>IF('1. Live'!T202='check-Jul''26'!O202,"",'1. Live'!T202-'check-Jul''26'!O202)</f>
        <v/>
      </c>
      <c r="X184" s="25" t="str">
        <f>IF('1. Live'!U202='check-Jul''26'!Q202,"",'1. Live'!U202-'check-Jul''26'!Q202)</f>
        <v/>
      </c>
      <c r="Y184" s="25" t="str">
        <f>IF('1. Live'!V202='check-Jul''26'!R202,"",'1. Live'!V202-'check-Jul''26'!R202)</f>
        <v/>
      </c>
      <c r="Z184" s="25" t="str">
        <f>IF('1. Live'!W202='check-Jul''26'!S202,"",'1. Live'!W202-'check-Jul''26'!S202)</f>
        <v/>
      </c>
      <c r="AA184" s="25" t="str">
        <f>IF('1. Live'!X202='check-Jul''26'!T202,"",'1. Live'!X202-'check-Jul''26'!T202)</f>
        <v/>
      </c>
      <c r="AB184" s="25" t="str">
        <f>IF('1. Live'!AF202='check-Jul''26'!AB202,"",'1. Live'!AF202-'check-Jul''26'!AB202)</f>
        <v/>
      </c>
      <c r="AC184" s="25" t="str">
        <f>IF('1. Live'!AG202='check-Jul''26'!AC202,"",'1. Live'!AG202-'check-Jul''26'!AC202)</f>
        <v/>
      </c>
      <c r="AD184" s="25" t="str">
        <f>IF('1. Live'!AH202='check-Jul''26'!AD202,"",'1. Live'!AH202-'check-Jul''26'!AD202)</f>
        <v/>
      </c>
      <c r="AE184" s="25" t="str">
        <f>IF('1. Live'!AI202='check-Jul''26'!AE202,"",'1. Live'!AI202-'check-Jul''26'!AE202)</f>
        <v/>
      </c>
      <c r="AF184" s="25" t="str">
        <f>IF('1. Live'!AJ202='check-Jul''26'!AF202,"",'1. Live'!AJ202-'check-Jul''26'!AF202)</f>
        <v/>
      </c>
      <c r="AG184" s="25" t="str">
        <f>IF('1. Live'!AK202='check-Jul''26'!AG202,"",'1. Live'!AK202-'check-Jul''26'!AG202)</f>
        <v/>
      </c>
      <c r="AH184" s="25" t="str">
        <f>IF('1. Live'!AL202='check-Jul''26'!AH202,"",'1. Live'!AL202-'check-Jul''26'!AH202)</f>
        <v/>
      </c>
      <c r="AI184" s="25" t="str">
        <f>IF('1. Live'!AM202='check-Jul''26'!AI202,"",'1. Live'!AM202-'check-Jul''26'!AI202)</f>
        <v/>
      </c>
      <c r="AJ184" s="25" t="str">
        <f>IF('1. Live'!AN202='check-Jul''26'!AJ202,"",'1. Live'!AN202-'check-Jul''26'!AJ202)</f>
        <v/>
      </c>
      <c r="AK184" s="25" t="str">
        <f>IF('1. Live'!AO202='check-Jul''26'!AK202,"",'1. Live'!AO202-'check-Jul''26'!AK202)</f>
        <v/>
      </c>
      <c r="AL184" s="25" t="str">
        <f>IF('1. Live'!AP202='check-Jul''26'!AL202,"",'1. Live'!AP202-'check-Jul''26'!AL202)</f>
        <v/>
      </c>
      <c r="AM184" s="25" t="str">
        <f>IF('1. Live'!AQ202='check-Jul''26'!AM202,"",'1. Live'!AQ202-'check-Jul''26'!AM202)</f>
        <v/>
      </c>
      <c r="AN184" s="25" t="str">
        <f>IF('1. Live'!AR202='check-Jul''26'!AN202,"",'1. Live'!AR202-'check-Jul''26'!AN202)</f>
        <v/>
      </c>
      <c r="AO184" s="25" t="str">
        <f>IF('1. Live'!AS202='check-Jul''26'!AO202,"",'1. Live'!AS202-'check-Jul''26'!AO202)</f>
        <v/>
      </c>
      <c r="AP184" s="25" t="str">
        <f>IF('1. Live'!AT202='check-Jul''26'!AP202,"",'1. Live'!AT202-'check-Jul''26'!AP202)</f>
        <v/>
      </c>
      <c r="AQ184" s="25" t="str">
        <f>IF('1. Live'!AU202='check-Jul''26'!AQ202,"",'1. Live'!AU202-'check-Jul''26'!AQ202)</f>
        <v/>
      </c>
      <c r="AR184" s="25" t="str">
        <f>IF('1. Live'!AV202='check-Jul''26'!AR202,"",'1. Live'!AV202-'check-Jul''26'!AR202)</f>
        <v/>
      </c>
      <c r="AS184" s="25" t="str">
        <f>IF('1. Live'!AW202='check-Jul''26'!AS202,"",'1. Live'!AW202-'check-Jul''26'!AS202)</f>
        <v/>
      </c>
      <c r="AT184" s="25" t="str">
        <f>IF('1. Live'!AX202='check-Jul''26'!AT202,"",'1. Live'!AX202-'check-Jul''26'!AT202)</f>
        <v/>
      </c>
      <c r="AU184" s="25" t="str">
        <f>IF('1. Live'!AY202='check-Jul''26'!AU202,"",'1. Live'!AY202-'check-Jul''26'!AU202)</f>
        <v/>
      </c>
      <c r="AV184" s="25" t="str">
        <f>IF('1. Live'!AZ202='check-Jul''26'!AV202,"",'1. Live'!AZ202-'check-Jul''26'!AV202)</f>
        <v/>
      </c>
      <c r="AW184" s="25" t="str">
        <f>IF('1. Live'!BA202='check-Jul''26'!AW202,"",'1. Live'!BA202-'check-Jul''26'!AW202)</f>
        <v/>
      </c>
      <c r="AX184" s="25" t="str">
        <f>IF('1. Live'!BB202='check-Jul''26'!AX202,"",'1. Live'!BB202-'check-Jul''26'!AX202)</f>
        <v/>
      </c>
      <c r="AY184" s="25" t="str">
        <f>IF('1. Live'!BC202='check-Jul''26'!AY202,"",'1. Live'!BC202-'check-Jul''26'!AY202)</f>
        <v/>
      </c>
      <c r="AZ184" s="25" t="str">
        <f>IF('1. Live'!BD202='check-Jul''26'!AZ202,"",'1. Live'!BD202-'check-Jul''26'!AZ202)</f>
        <v/>
      </c>
      <c r="BA184" s="25" t="str">
        <f>IF('1. Live'!BE202='check-Jul''26'!BA202,"",'1. Live'!BE202-'check-Jul''26'!BA202)</f>
        <v/>
      </c>
      <c r="BB184" s="25" t="str">
        <f>IF('1. Live'!BF202='check-Jul''26'!BB202,"",'1. Live'!BF202-'check-Jul''26'!BB202)</f>
        <v/>
      </c>
      <c r="BC184" s="25" t="str">
        <f>IF('1. Live'!BG202='check-Jul''26'!BC202,"",'1. Live'!BG202-'check-Jul''26'!BC202)</f>
        <v/>
      </c>
      <c r="BD184" s="25" t="str">
        <f>IF('1. Live'!BH202='check-Jul''26'!BD202,"",'1. Live'!BH202-'check-Jul''26'!BD202)</f>
        <v/>
      </c>
      <c r="BE184" s="25" t="str">
        <f>IF('1. Live'!BI202='check-Jul''26'!BE202,"",'1. Live'!BI202-'check-Jul''26'!BE202)</f>
        <v/>
      </c>
      <c r="BF184" s="25" t="str">
        <f>IF('1. Live'!BJ202='check-Jul''26'!BF202,"",'1. Live'!BJ202-'check-Jul''26'!BF202)</f>
        <v/>
      </c>
      <c r="BG184" s="25" t="str">
        <f>IF('1. Live'!BK202='check-Jul''26'!BG202,"",'1. Live'!BK202-'check-Jul''26'!BG202)</f>
        <v/>
      </c>
      <c r="BH184" s="25" t="str">
        <f>IF('1. Live'!BL202='check-Jul''26'!BH202,"",'1. Live'!BL202-'check-Jul''26'!BH202)</f>
        <v/>
      </c>
      <c r="BI184" s="25" t="str">
        <f>IF('1. Live'!BM202='check-Jul''26'!BI202,"",'1. Live'!BM202-'check-Jul''26'!BI202)</f>
        <v/>
      </c>
      <c r="BJ184" s="25" t="str">
        <f>IF('1. Live'!BN202='check-Jul''26'!BJ202,"",'1. Live'!BN202-'check-Jul''26'!BJ202)</f>
        <v/>
      </c>
      <c r="BK184" s="25" t="str">
        <f>IF('1. Live'!BO202='check-Jul''26'!BK202,"",'1. Live'!BO202-'check-Jul''26'!BK202)</f>
        <v/>
      </c>
      <c r="BL184" s="25" t="str">
        <f>IF('1. Live'!BP202='check-Jul''26'!BL202,"",'1. Live'!BP202-'check-Jul''26'!BL202)</f>
        <v/>
      </c>
      <c r="BM184" s="25" t="str">
        <f>IF('1. Live'!BQ202='check-Jul''26'!BM202,"",'1. Live'!BQ202-'check-Jul''26'!BM202)</f>
        <v/>
      </c>
      <c r="BN184" s="25" t="str">
        <f>IF('1. Live'!BR202='check-Jul''26'!BN202,"",'1. Live'!BR202-'check-Jul''26'!BN202)</f>
        <v/>
      </c>
      <c r="BO184" s="25" t="str">
        <f>IF('1. Live'!BS202='check-Jul''26'!BO202,"",'1. Live'!BS202-'check-Jul''26'!BO202)</f>
        <v/>
      </c>
      <c r="BP184" s="25" t="str">
        <f>IF('1. Live'!BT202='check-Jul''26'!BP202,"",'1. Live'!BT202-'check-Jul''26'!BP202)</f>
        <v/>
      </c>
      <c r="BQ184" s="25" t="str">
        <f>IF('1. Live'!BU202='check-Jul''26'!BQ202,"",'1. Live'!BU202-'check-Jul''26'!BQ202)</f>
        <v/>
      </c>
      <c r="BR184" s="25" t="str">
        <f>IF('1. Live'!BV202='check-Jul''26'!BR202,"",'1. Live'!BV202-'check-Jul''26'!BR202)</f>
        <v/>
      </c>
      <c r="BS184" s="25" t="str">
        <f>IF('1. Live'!BW202='check-Jul''26'!BS202,"",'1. Live'!BW202-'check-Jul''26'!BS202)</f>
        <v/>
      </c>
      <c r="BT184" s="25" t="str">
        <f>IF('1. Live'!BX202='check-Jul''26'!BT202,"",'1. Live'!BX202-'check-Jul''26'!BT202)</f>
        <v/>
      </c>
      <c r="BU184" s="25" t="str">
        <f>IF('1. Live'!BY202='check-Jul''26'!BU202,"",'1. Live'!BY202-'check-Jul''26'!BU202)</f>
        <v/>
      </c>
      <c r="BV184" s="25" t="str">
        <f>IF('1. Live'!BZ202='check-Jul''26'!BV202,"",'1. Live'!BZ202-'check-Jul''26'!BV202)</f>
        <v/>
      </c>
      <c r="BW184" s="25" t="str">
        <f>IF('1. Live'!CA202='check-Jul''26'!BW202,"",'1. Live'!CA202-'check-Jul''26'!BW202)</f>
        <v/>
      </c>
      <c r="BX184" s="25" t="str">
        <f>IF('1. Live'!CB202='check-Jul''26'!BX202,"",'1. Live'!CB202-'check-Jul''26'!BX202)</f>
        <v/>
      </c>
      <c r="BY184" s="25" t="str">
        <f>IF('1. Live'!CC202='check-Jul''26'!BY202,"",'1. Live'!CC202-'check-Jul''26'!BY202)</f>
        <v/>
      </c>
      <c r="BZ184" s="25" t="str">
        <f>IF('1. Live'!CD202='check-Jul''26'!BZ202,"",'1. Live'!CD202-'check-Jul''26'!BZ202)</f>
        <v/>
      </c>
      <c r="CA184" s="25" t="str">
        <f>IF('1. Live'!CE202='check-Jul''26'!CA202,"",'1. Live'!CE202-'check-Jul''26'!CA202)</f>
        <v/>
      </c>
      <c r="CB184" s="25" t="str">
        <f>IF('1. Live'!CF202='check-Jul''26'!CB202,"",'1. Live'!CF202-'check-Jul''26'!CB202)</f>
        <v/>
      </c>
      <c r="CC184" s="25" t="str">
        <f>IF('1. Live'!CG202='check-Jul''26'!CC202,"",'1. Live'!CG202-'check-Jul''26'!CC202)</f>
        <v/>
      </c>
      <c r="CD184" s="25" t="str">
        <f>IF('1. Live'!CH202='check-Jul''26'!CD202,"",'1. Live'!CH202-'check-Jul''26'!CD202)</f>
        <v/>
      </c>
      <c r="CE184" s="25" t="str">
        <f>IF('1. Live'!CI202='check-Jul''26'!CE202,"",'1. Live'!CI202-'check-Jul''26'!CE202)</f>
        <v/>
      </c>
      <c r="CF184" s="25" t="str">
        <f>IF('1. Live'!CJ202='check-Jul''26'!CF202,"",'1. Live'!CJ202-'check-Jul''26'!CF202)</f>
        <v/>
      </c>
      <c r="CG184" s="25" t="str">
        <f>IF('1. Live'!CK202='check-Jul''26'!CG202,"",'1. Live'!CK202-'check-Jul''26'!CG202)</f>
        <v/>
      </c>
      <c r="CH184" s="25" t="str">
        <f>IF('1. Live'!CL202='check-Jul''26'!CH202,"",'1. Live'!CL202-'check-Jul''26'!CH202)</f>
        <v/>
      </c>
      <c r="CI184" s="25" t="str">
        <f>IF('1. Live'!CM202='check-Jul''26'!CI202,"",'1. Live'!CM202-'check-Jul''26'!CI202)</f>
        <v/>
      </c>
      <c r="CJ184" s="25" t="str">
        <f>IF('1. Live'!CN202='check-Jul''26'!CJ202,"",'1. Live'!CN202-'check-Jul''26'!CJ202)</f>
        <v/>
      </c>
      <c r="CK184" s="25" t="str">
        <f>IF('1. Live'!CO202='check-Jul''26'!CK202,"",'1. Live'!CO202-'check-Jul''26'!CK202)</f>
        <v/>
      </c>
      <c r="CL184" s="25" t="str">
        <f>IF('1. Live'!CP202='check-Jul''26'!CL202,"",'1. Live'!CP202-'check-Jul''26'!CL202)</f>
        <v/>
      </c>
      <c r="CM184" s="25" t="str">
        <f>IF('1. Live'!CQ202='check-Jul''26'!CM202,"",'1. Live'!CQ202-'check-Jul''26'!CM202)</f>
        <v/>
      </c>
      <c r="CN184" s="25" t="str">
        <f>IF('1. Live'!CR202='check-Jul''26'!CN202,"",'1. Live'!CR202-'check-Jul''26'!CN202)</f>
        <v/>
      </c>
      <c r="CO184" s="25" t="str">
        <f>IF('1. Live'!CS202='check-Jul''26'!CO202,"",'1. Live'!CS202-'check-Jul''26'!CO202)</f>
        <v/>
      </c>
      <c r="CP184" s="25" t="str">
        <f>IF('1. Live'!CT202='check-Jul''26'!CP202,"",'1. Live'!CT202-'check-Jul''26'!CP202)</f>
        <v/>
      </c>
      <c r="CQ184" s="25" t="str">
        <f>IF('1. Live'!CU202='check-Jul''26'!CQ202,"",'1. Live'!CU202-'check-Jul''26'!CQ202)</f>
        <v/>
      </c>
      <c r="CR184" s="25" t="str">
        <f>IF('1. Live'!CV202='check-Jul''26'!CR202,"",'1. Live'!CV202-'check-Jul''26'!CR202)</f>
        <v/>
      </c>
      <c r="CS184" s="25" t="str">
        <f>IF('1. Live'!CW202='check-Jul''26'!CS202,"",'1. Live'!CW202-'check-Jul''26'!CS202)</f>
        <v/>
      </c>
      <c r="CT184" s="25" t="str">
        <f>IF('1. Live'!CX202='check-Jul''26'!CT202,"",'1. Live'!CX202-'check-Jul''26'!CT202)</f>
        <v/>
      </c>
      <c r="CU184" s="25" t="str">
        <f>IF('1. Live'!CY202='check-Jul''26'!CU202,"",'1. Live'!CY202-'check-Jul''26'!CU202)</f>
        <v/>
      </c>
      <c r="CV184" s="25" t="str">
        <f>IF('1. Live'!CZ202='check-Jul''26'!CV202,"",'1. Live'!CZ202-'check-Jul''26'!CV202)</f>
        <v/>
      </c>
    </row>
    <row r="185" spans="17:100" x14ac:dyDescent="0.25">
      <c r="Q185" s="26" t="str">
        <f>IF('1. Live'!N203='check-Jul''26'!I203,"",'1. Live'!N203-'check-Jul''26'!I203)</f>
        <v/>
      </c>
      <c r="R185" s="26" t="str">
        <f>IF('1. Live'!O203='check-Jul''26'!J203,"",'1. Live'!O203-'check-Jul''26'!J203)</f>
        <v/>
      </c>
      <c r="S185" s="26" t="str">
        <f>IF('1. Live'!P203='check-Jul''26'!K203,"",'1. Live'!P203-'check-Jul''26'!K203)</f>
        <v/>
      </c>
      <c r="T185" s="26" t="str">
        <f>IF('1. Live'!Q203='check-Jul''26'!L203,"",'1. Live'!Q203-'check-Jul''26'!L203)</f>
        <v/>
      </c>
      <c r="U185" s="80" t="str">
        <f>IF('1. Live'!R203='check-Jul''26'!M203,"",'1. Live'!R203-'check-Jul''26'!M203)</f>
        <v/>
      </c>
      <c r="V185" s="26" t="str">
        <f>IF('1. Live'!S203='check-Jul''26'!N203,"",'1. Live'!S203-'check-Jul''26'!N203)</f>
        <v/>
      </c>
      <c r="W185" s="25" t="str">
        <f>IF('1. Live'!T203='check-Jul''26'!O203,"",'1. Live'!T203-'check-Jul''26'!O203)</f>
        <v/>
      </c>
      <c r="X185" s="25" t="str">
        <f>IF('1. Live'!U203='check-Jul''26'!Q203,"",'1. Live'!U203-'check-Jul''26'!Q203)</f>
        <v/>
      </c>
      <c r="Y185" s="25" t="str">
        <f>IF('1. Live'!V203='check-Jul''26'!R203,"",'1. Live'!V203-'check-Jul''26'!R203)</f>
        <v/>
      </c>
      <c r="Z185" s="25" t="str">
        <f>IF('1. Live'!W203='check-Jul''26'!S203,"",'1. Live'!W203-'check-Jul''26'!S203)</f>
        <v/>
      </c>
      <c r="AA185" s="25" t="str">
        <f>IF('1. Live'!X203='check-Jul''26'!T203,"",'1. Live'!X203-'check-Jul''26'!T203)</f>
        <v/>
      </c>
      <c r="AB185" s="25" t="str">
        <f>IF('1. Live'!AF203='check-Jul''26'!AB203,"",'1. Live'!AF203-'check-Jul''26'!AB203)</f>
        <v/>
      </c>
      <c r="AC185" s="25" t="str">
        <f>IF('1. Live'!AG203='check-Jul''26'!AC203,"",'1. Live'!AG203-'check-Jul''26'!AC203)</f>
        <v/>
      </c>
      <c r="AD185" s="25" t="str">
        <f>IF('1. Live'!AH203='check-Jul''26'!AD203,"",'1. Live'!AH203-'check-Jul''26'!AD203)</f>
        <v/>
      </c>
      <c r="AE185" s="25" t="str">
        <f>IF('1. Live'!AI203='check-Jul''26'!AE203,"",'1. Live'!AI203-'check-Jul''26'!AE203)</f>
        <v/>
      </c>
      <c r="AF185" s="25" t="str">
        <f>IF('1. Live'!AJ203='check-Jul''26'!AF203,"",'1. Live'!AJ203-'check-Jul''26'!AF203)</f>
        <v/>
      </c>
      <c r="AG185" s="25" t="str">
        <f>IF('1. Live'!AK203='check-Jul''26'!AG203,"",'1. Live'!AK203-'check-Jul''26'!AG203)</f>
        <v/>
      </c>
      <c r="AH185" s="25" t="str">
        <f>IF('1. Live'!AL203='check-Jul''26'!AH203,"",'1. Live'!AL203-'check-Jul''26'!AH203)</f>
        <v/>
      </c>
      <c r="AI185" s="25" t="str">
        <f>IF('1. Live'!AM203='check-Jul''26'!AI203,"",'1. Live'!AM203-'check-Jul''26'!AI203)</f>
        <v/>
      </c>
      <c r="AJ185" s="25" t="str">
        <f>IF('1. Live'!AN203='check-Jul''26'!AJ203,"",'1. Live'!AN203-'check-Jul''26'!AJ203)</f>
        <v/>
      </c>
      <c r="AK185" s="25" t="str">
        <f>IF('1. Live'!AO203='check-Jul''26'!AK203,"",'1. Live'!AO203-'check-Jul''26'!AK203)</f>
        <v/>
      </c>
      <c r="AL185" s="25" t="str">
        <f>IF('1. Live'!AP203='check-Jul''26'!AL203,"",'1. Live'!AP203-'check-Jul''26'!AL203)</f>
        <v/>
      </c>
      <c r="AM185" s="25" t="str">
        <f>IF('1. Live'!AQ203='check-Jul''26'!AM203,"",'1. Live'!AQ203-'check-Jul''26'!AM203)</f>
        <v/>
      </c>
      <c r="AN185" s="25" t="str">
        <f>IF('1. Live'!AR203='check-Jul''26'!AN203,"",'1. Live'!AR203-'check-Jul''26'!AN203)</f>
        <v/>
      </c>
      <c r="AO185" s="25" t="str">
        <f>IF('1. Live'!AS203='check-Jul''26'!AO203,"",'1. Live'!AS203-'check-Jul''26'!AO203)</f>
        <v/>
      </c>
      <c r="AP185" s="25" t="str">
        <f>IF('1. Live'!AT203='check-Jul''26'!AP203,"",'1. Live'!AT203-'check-Jul''26'!AP203)</f>
        <v/>
      </c>
      <c r="AQ185" s="25" t="str">
        <f>IF('1. Live'!AU203='check-Jul''26'!AQ203,"",'1. Live'!AU203-'check-Jul''26'!AQ203)</f>
        <v/>
      </c>
      <c r="AR185" s="25" t="str">
        <f>IF('1. Live'!AV203='check-Jul''26'!AR203,"",'1. Live'!AV203-'check-Jul''26'!AR203)</f>
        <v/>
      </c>
      <c r="AS185" s="25" t="str">
        <f>IF('1. Live'!AW203='check-Jul''26'!AS203,"",'1. Live'!AW203-'check-Jul''26'!AS203)</f>
        <v/>
      </c>
      <c r="AT185" s="25" t="str">
        <f>IF('1. Live'!AX203='check-Jul''26'!AT203,"",'1. Live'!AX203-'check-Jul''26'!AT203)</f>
        <v/>
      </c>
      <c r="AU185" s="25" t="str">
        <f>IF('1. Live'!AY203='check-Jul''26'!AU203,"",'1. Live'!AY203-'check-Jul''26'!AU203)</f>
        <v/>
      </c>
      <c r="AV185" s="25" t="str">
        <f>IF('1. Live'!AZ203='check-Jul''26'!AV203,"",'1. Live'!AZ203-'check-Jul''26'!AV203)</f>
        <v/>
      </c>
      <c r="AW185" s="25" t="str">
        <f>IF('1. Live'!BA203='check-Jul''26'!AW203,"",'1. Live'!BA203-'check-Jul''26'!AW203)</f>
        <v/>
      </c>
      <c r="AX185" s="25" t="str">
        <f>IF('1. Live'!BB203='check-Jul''26'!AX203,"",'1. Live'!BB203-'check-Jul''26'!AX203)</f>
        <v/>
      </c>
      <c r="AY185" s="25" t="str">
        <f>IF('1. Live'!BC203='check-Jul''26'!AY203,"",'1. Live'!BC203-'check-Jul''26'!AY203)</f>
        <v/>
      </c>
      <c r="AZ185" s="25" t="str">
        <f>IF('1. Live'!BD203='check-Jul''26'!AZ203,"",'1. Live'!BD203-'check-Jul''26'!AZ203)</f>
        <v/>
      </c>
      <c r="BA185" s="25" t="str">
        <f>IF('1. Live'!BE203='check-Jul''26'!BA203,"",'1. Live'!BE203-'check-Jul''26'!BA203)</f>
        <v/>
      </c>
      <c r="BB185" s="25" t="str">
        <f>IF('1. Live'!BF203='check-Jul''26'!BB203,"",'1. Live'!BF203-'check-Jul''26'!BB203)</f>
        <v/>
      </c>
      <c r="BC185" s="25" t="str">
        <f>IF('1. Live'!BG203='check-Jul''26'!BC203,"",'1. Live'!BG203-'check-Jul''26'!BC203)</f>
        <v/>
      </c>
      <c r="BD185" s="25" t="str">
        <f>IF('1. Live'!BH203='check-Jul''26'!BD203,"",'1. Live'!BH203-'check-Jul''26'!BD203)</f>
        <v/>
      </c>
      <c r="BE185" s="25" t="str">
        <f>IF('1. Live'!BI203='check-Jul''26'!BE203,"",'1. Live'!BI203-'check-Jul''26'!BE203)</f>
        <v/>
      </c>
      <c r="BF185" s="25" t="str">
        <f>IF('1. Live'!BJ203='check-Jul''26'!BF203,"",'1. Live'!BJ203-'check-Jul''26'!BF203)</f>
        <v/>
      </c>
      <c r="BG185" s="25" t="str">
        <f>IF('1. Live'!BK203='check-Jul''26'!BG203,"",'1. Live'!BK203-'check-Jul''26'!BG203)</f>
        <v/>
      </c>
      <c r="BH185" s="25" t="str">
        <f>IF('1. Live'!BL203='check-Jul''26'!BH203,"",'1. Live'!BL203-'check-Jul''26'!BH203)</f>
        <v/>
      </c>
      <c r="BI185" s="25" t="str">
        <f>IF('1. Live'!BM203='check-Jul''26'!BI203,"",'1. Live'!BM203-'check-Jul''26'!BI203)</f>
        <v/>
      </c>
      <c r="BJ185" s="25" t="str">
        <f>IF('1. Live'!BN203='check-Jul''26'!BJ203,"",'1. Live'!BN203-'check-Jul''26'!BJ203)</f>
        <v/>
      </c>
      <c r="BK185" s="25" t="str">
        <f>IF('1. Live'!BO203='check-Jul''26'!BK203,"",'1. Live'!BO203-'check-Jul''26'!BK203)</f>
        <v/>
      </c>
      <c r="BL185" s="25" t="str">
        <f>IF('1. Live'!BP203='check-Jul''26'!BL203,"",'1. Live'!BP203-'check-Jul''26'!BL203)</f>
        <v/>
      </c>
      <c r="BM185" s="25" t="str">
        <f>IF('1. Live'!BQ203='check-Jul''26'!BM203,"",'1. Live'!BQ203-'check-Jul''26'!BM203)</f>
        <v/>
      </c>
      <c r="BN185" s="25" t="str">
        <f>IF('1. Live'!BR203='check-Jul''26'!BN203,"",'1. Live'!BR203-'check-Jul''26'!BN203)</f>
        <v/>
      </c>
      <c r="BO185" s="25" t="str">
        <f>IF('1. Live'!BS203='check-Jul''26'!BO203,"",'1. Live'!BS203-'check-Jul''26'!BO203)</f>
        <v/>
      </c>
      <c r="BP185" s="25" t="str">
        <f>IF('1. Live'!BT203='check-Jul''26'!BP203,"",'1. Live'!BT203-'check-Jul''26'!BP203)</f>
        <v/>
      </c>
      <c r="BQ185" s="25" t="str">
        <f>IF('1. Live'!BU203='check-Jul''26'!BQ203,"",'1. Live'!BU203-'check-Jul''26'!BQ203)</f>
        <v/>
      </c>
      <c r="BR185" s="25" t="str">
        <f>IF('1. Live'!BV203='check-Jul''26'!BR203,"",'1. Live'!BV203-'check-Jul''26'!BR203)</f>
        <v/>
      </c>
      <c r="BS185" s="25" t="str">
        <f>IF('1. Live'!BW203='check-Jul''26'!BS203,"",'1. Live'!BW203-'check-Jul''26'!BS203)</f>
        <v/>
      </c>
      <c r="BT185" s="25" t="str">
        <f>IF('1. Live'!BX203='check-Jul''26'!BT203,"",'1. Live'!BX203-'check-Jul''26'!BT203)</f>
        <v/>
      </c>
      <c r="BU185" s="25" t="str">
        <f>IF('1. Live'!BY203='check-Jul''26'!BU203,"",'1. Live'!BY203-'check-Jul''26'!BU203)</f>
        <v/>
      </c>
      <c r="BV185" s="25" t="str">
        <f>IF('1. Live'!BZ203='check-Jul''26'!BV203,"",'1. Live'!BZ203-'check-Jul''26'!BV203)</f>
        <v/>
      </c>
      <c r="BW185" s="25" t="str">
        <f>IF('1. Live'!CA203='check-Jul''26'!BW203,"",'1. Live'!CA203-'check-Jul''26'!BW203)</f>
        <v/>
      </c>
      <c r="BX185" s="25" t="str">
        <f>IF('1. Live'!CB203='check-Jul''26'!BX203,"",'1. Live'!CB203-'check-Jul''26'!BX203)</f>
        <v/>
      </c>
      <c r="BY185" s="25" t="str">
        <f>IF('1. Live'!CC203='check-Jul''26'!BY203,"",'1. Live'!CC203-'check-Jul''26'!BY203)</f>
        <v/>
      </c>
      <c r="BZ185" s="25" t="str">
        <f>IF('1. Live'!CD203='check-Jul''26'!BZ203,"",'1. Live'!CD203-'check-Jul''26'!BZ203)</f>
        <v/>
      </c>
      <c r="CA185" s="25" t="str">
        <f>IF('1. Live'!CE203='check-Jul''26'!CA203,"",'1. Live'!CE203-'check-Jul''26'!CA203)</f>
        <v/>
      </c>
      <c r="CB185" s="25" t="str">
        <f>IF('1. Live'!CF203='check-Jul''26'!CB203,"",'1. Live'!CF203-'check-Jul''26'!CB203)</f>
        <v/>
      </c>
      <c r="CC185" s="25" t="str">
        <f>IF('1. Live'!CG203='check-Jul''26'!CC203,"",'1. Live'!CG203-'check-Jul''26'!CC203)</f>
        <v/>
      </c>
      <c r="CD185" s="25" t="str">
        <f>IF('1. Live'!CH203='check-Jul''26'!CD203,"",'1. Live'!CH203-'check-Jul''26'!CD203)</f>
        <v/>
      </c>
      <c r="CE185" s="25" t="str">
        <f>IF('1. Live'!CI203='check-Jul''26'!CE203,"",'1. Live'!CI203-'check-Jul''26'!CE203)</f>
        <v/>
      </c>
      <c r="CF185" s="25" t="str">
        <f>IF('1. Live'!CJ203='check-Jul''26'!CF203,"",'1. Live'!CJ203-'check-Jul''26'!CF203)</f>
        <v/>
      </c>
      <c r="CG185" s="25" t="str">
        <f>IF('1. Live'!CK203='check-Jul''26'!CG203,"",'1. Live'!CK203-'check-Jul''26'!CG203)</f>
        <v/>
      </c>
      <c r="CH185" s="25" t="str">
        <f>IF('1. Live'!CL203='check-Jul''26'!CH203,"",'1. Live'!CL203-'check-Jul''26'!CH203)</f>
        <v/>
      </c>
      <c r="CI185" s="25" t="str">
        <f>IF('1. Live'!CM203='check-Jul''26'!CI203,"",'1. Live'!CM203-'check-Jul''26'!CI203)</f>
        <v/>
      </c>
      <c r="CJ185" s="25" t="str">
        <f>IF('1. Live'!CN203='check-Jul''26'!CJ203,"",'1. Live'!CN203-'check-Jul''26'!CJ203)</f>
        <v/>
      </c>
      <c r="CK185" s="25" t="str">
        <f>IF('1. Live'!CO203='check-Jul''26'!CK203,"",'1. Live'!CO203-'check-Jul''26'!CK203)</f>
        <v/>
      </c>
      <c r="CL185" s="25" t="str">
        <f>IF('1. Live'!CP203='check-Jul''26'!CL203,"",'1. Live'!CP203-'check-Jul''26'!CL203)</f>
        <v/>
      </c>
      <c r="CM185" s="25" t="str">
        <f>IF('1. Live'!CQ203='check-Jul''26'!CM203,"",'1. Live'!CQ203-'check-Jul''26'!CM203)</f>
        <v/>
      </c>
      <c r="CN185" s="25" t="str">
        <f>IF('1. Live'!CR203='check-Jul''26'!CN203,"",'1. Live'!CR203-'check-Jul''26'!CN203)</f>
        <v/>
      </c>
      <c r="CO185" s="25" t="str">
        <f>IF('1. Live'!CS203='check-Jul''26'!CO203,"",'1. Live'!CS203-'check-Jul''26'!CO203)</f>
        <v/>
      </c>
      <c r="CP185" s="25" t="str">
        <f>IF('1. Live'!CT203='check-Jul''26'!CP203,"",'1. Live'!CT203-'check-Jul''26'!CP203)</f>
        <v/>
      </c>
      <c r="CQ185" s="25" t="str">
        <f>IF('1. Live'!CU203='check-Jul''26'!CQ203,"",'1. Live'!CU203-'check-Jul''26'!CQ203)</f>
        <v/>
      </c>
      <c r="CR185" s="25" t="str">
        <f>IF('1. Live'!CV203='check-Jul''26'!CR203,"",'1. Live'!CV203-'check-Jul''26'!CR203)</f>
        <v/>
      </c>
      <c r="CS185" s="25" t="str">
        <f>IF('1. Live'!CW203='check-Jul''26'!CS203,"",'1. Live'!CW203-'check-Jul''26'!CS203)</f>
        <v/>
      </c>
      <c r="CT185" s="25" t="str">
        <f>IF('1. Live'!CX203='check-Jul''26'!CT203,"",'1. Live'!CX203-'check-Jul''26'!CT203)</f>
        <v/>
      </c>
      <c r="CU185" s="25" t="str">
        <f>IF('1. Live'!CY203='check-Jul''26'!CU203,"",'1. Live'!CY203-'check-Jul''26'!CU203)</f>
        <v/>
      </c>
      <c r="CV185" s="25" t="str">
        <f>IF('1. Live'!CZ203='check-Jul''26'!CV203,"",'1. Live'!CZ203-'check-Jul''26'!CV203)</f>
        <v/>
      </c>
    </row>
    <row r="186" spans="17:100" x14ac:dyDescent="0.25">
      <c r="Q186" s="26" t="str">
        <f>IF('1. Live'!N204='check-Jul''26'!I204,"",'1. Live'!N204-'check-Jul''26'!I204)</f>
        <v/>
      </c>
      <c r="R186" s="26" t="str">
        <f>IF('1. Live'!O204='check-Jul''26'!J204,"",'1. Live'!O204-'check-Jul''26'!J204)</f>
        <v/>
      </c>
      <c r="S186" s="26" t="str">
        <f>IF('1. Live'!P204='check-Jul''26'!K204,"",'1. Live'!P204-'check-Jul''26'!K204)</f>
        <v/>
      </c>
      <c r="T186" s="26" t="str">
        <f>IF('1. Live'!Q204='check-Jul''26'!L204,"",'1. Live'!Q204-'check-Jul''26'!L204)</f>
        <v/>
      </c>
      <c r="U186" s="80" t="str">
        <f>IF('1. Live'!R204='check-Jul''26'!M204,"",'1. Live'!R204-'check-Jul''26'!M204)</f>
        <v/>
      </c>
      <c r="V186" s="26" t="str">
        <f>IF('1. Live'!S204='check-Jul''26'!N204,"",'1. Live'!S204-'check-Jul''26'!N204)</f>
        <v/>
      </c>
      <c r="W186" s="25" t="str">
        <f>IF('1. Live'!T204='check-Jul''26'!O204,"",'1. Live'!T204-'check-Jul''26'!O204)</f>
        <v/>
      </c>
      <c r="X186" s="25" t="str">
        <f>IF('1. Live'!U204='check-Jul''26'!Q204,"",'1. Live'!U204-'check-Jul''26'!Q204)</f>
        <v/>
      </c>
      <c r="Y186" s="25" t="str">
        <f>IF('1. Live'!V204='check-Jul''26'!R204,"",'1. Live'!V204-'check-Jul''26'!R204)</f>
        <v/>
      </c>
      <c r="Z186" s="25" t="str">
        <f>IF('1. Live'!W204='check-Jul''26'!S204,"",'1. Live'!W204-'check-Jul''26'!S204)</f>
        <v/>
      </c>
      <c r="AA186" s="25" t="str">
        <f>IF('1. Live'!X204='check-Jul''26'!T204,"",'1. Live'!X204-'check-Jul''26'!T204)</f>
        <v/>
      </c>
      <c r="AB186" s="25" t="str">
        <f>IF('1. Live'!AF204='check-Jul''26'!AB204,"",'1. Live'!AF204-'check-Jul''26'!AB204)</f>
        <v/>
      </c>
      <c r="AC186" s="25" t="str">
        <f>IF('1. Live'!AG204='check-Jul''26'!AC204,"",'1. Live'!AG204-'check-Jul''26'!AC204)</f>
        <v/>
      </c>
      <c r="AD186" s="25" t="str">
        <f>IF('1. Live'!AH204='check-Jul''26'!AD204,"",'1. Live'!AH204-'check-Jul''26'!AD204)</f>
        <v/>
      </c>
      <c r="AE186" s="25" t="str">
        <f>IF('1. Live'!AI204='check-Jul''26'!AE204,"",'1. Live'!AI204-'check-Jul''26'!AE204)</f>
        <v/>
      </c>
      <c r="AF186" s="25" t="str">
        <f>IF('1. Live'!AJ204='check-Jul''26'!AF204,"",'1. Live'!AJ204-'check-Jul''26'!AF204)</f>
        <v/>
      </c>
      <c r="AG186" s="25" t="str">
        <f>IF('1. Live'!AK204='check-Jul''26'!AG204,"",'1. Live'!AK204-'check-Jul''26'!AG204)</f>
        <v/>
      </c>
      <c r="AH186" s="25" t="str">
        <f>IF('1. Live'!AL204='check-Jul''26'!AH204,"",'1. Live'!AL204-'check-Jul''26'!AH204)</f>
        <v/>
      </c>
      <c r="AI186" s="25" t="str">
        <f>IF('1. Live'!AM204='check-Jul''26'!AI204,"",'1. Live'!AM204-'check-Jul''26'!AI204)</f>
        <v/>
      </c>
      <c r="AJ186" s="25" t="str">
        <f>IF('1. Live'!AN204='check-Jul''26'!AJ204,"",'1. Live'!AN204-'check-Jul''26'!AJ204)</f>
        <v/>
      </c>
      <c r="AK186" s="25" t="str">
        <f>IF('1. Live'!AO204='check-Jul''26'!AK204,"",'1. Live'!AO204-'check-Jul''26'!AK204)</f>
        <v/>
      </c>
      <c r="AL186" s="25" t="str">
        <f>IF('1. Live'!AP204='check-Jul''26'!AL204,"",'1. Live'!AP204-'check-Jul''26'!AL204)</f>
        <v/>
      </c>
      <c r="AM186" s="25" t="str">
        <f>IF('1. Live'!AQ204='check-Jul''26'!AM204,"",'1. Live'!AQ204-'check-Jul''26'!AM204)</f>
        <v/>
      </c>
      <c r="AN186" s="25" t="str">
        <f>IF('1. Live'!AR204='check-Jul''26'!AN204,"",'1. Live'!AR204-'check-Jul''26'!AN204)</f>
        <v/>
      </c>
      <c r="AO186" s="25" t="str">
        <f>IF('1. Live'!AS204='check-Jul''26'!AO204,"",'1. Live'!AS204-'check-Jul''26'!AO204)</f>
        <v/>
      </c>
      <c r="AP186" s="25" t="str">
        <f>IF('1. Live'!AT204='check-Jul''26'!AP204,"",'1. Live'!AT204-'check-Jul''26'!AP204)</f>
        <v/>
      </c>
      <c r="AQ186" s="25" t="str">
        <f>IF('1. Live'!AU204='check-Jul''26'!AQ204,"",'1. Live'!AU204-'check-Jul''26'!AQ204)</f>
        <v/>
      </c>
      <c r="AR186" s="25" t="str">
        <f>IF('1. Live'!AV204='check-Jul''26'!AR204,"",'1. Live'!AV204-'check-Jul''26'!AR204)</f>
        <v/>
      </c>
      <c r="AS186" s="25" t="str">
        <f>IF('1. Live'!AW204='check-Jul''26'!AS204,"",'1. Live'!AW204-'check-Jul''26'!AS204)</f>
        <v/>
      </c>
      <c r="AT186" s="25" t="str">
        <f>IF('1. Live'!AX204='check-Jul''26'!AT204,"",'1. Live'!AX204-'check-Jul''26'!AT204)</f>
        <v/>
      </c>
      <c r="AU186" s="25" t="str">
        <f>IF('1. Live'!AY204='check-Jul''26'!AU204,"",'1. Live'!AY204-'check-Jul''26'!AU204)</f>
        <v/>
      </c>
      <c r="AV186" s="25" t="str">
        <f>IF('1. Live'!AZ204='check-Jul''26'!AV204,"",'1. Live'!AZ204-'check-Jul''26'!AV204)</f>
        <v/>
      </c>
      <c r="AW186" s="25" t="str">
        <f>IF('1. Live'!BA204='check-Jul''26'!AW204,"",'1. Live'!BA204-'check-Jul''26'!AW204)</f>
        <v/>
      </c>
      <c r="AX186" s="25" t="str">
        <f>IF('1. Live'!BB204='check-Jul''26'!AX204,"",'1. Live'!BB204-'check-Jul''26'!AX204)</f>
        <v/>
      </c>
      <c r="AY186" s="25" t="str">
        <f>IF('1. Live'!BC204='check-Jul''26'!AY204,"",'1. Live'!BC204-'check-Jul''26'!AY204)</f>
        <v/>
      </c>
      <c r="AZ186" s="25" t="str">
        <f>IF('1. Live'!BD204='check-Jul''26'!AZ204,"",'1. Live'!BD204-'check-Jul''26'!AZ204)</f>
        <v/>
      </c>
      <c r="BA186" s="25" t="str">
        <f>IF('1. Live'!BE204='check-Jul''26'!BA204,"",'1. Live'!BE204-'check-Jul''26'!BA204)</f>
        <v/>
      </c>
      <c r="BB186" s="25" t="str">
        <f>IF('1. Live'!BF204='check-Jul''26'!BB204,"",'1. Live'!BF204-'check-Jul''26'!BB204)</f>
        <v/>
      </c>
      <c r="BC186" s="25" t="str">
        <f>IF('1. Live'!BG204='check-Jul''26'!BC204,"",'1. Live'!BG204-'check-Jul''26'!BC204)</f>
        <v/>
      </c>
      <c r="BD186" s="25" t="str">
        <f>IF('1. Live'!BH204='check-Jul''26'!BD204,"",'1. Live'!BH204-'check-Jul''26'!BD204)</f>
        <v/>
      </c>
      <c r="BE186" s="25" t="str">
        <f>IF('1. Live'!BI204='check-Jul''26'!BE204,"",'1. Live'!BI204-'check-Jul''26'!BE204)</f>
        <v/>
      </c>
      <c r="BF186" s="25" t="str">
        <f>IF('1. Live'!BJ204='check-Jul''26'!BF204,"",'1. Live'!BJ204-'check-Jul''26'!BF204)</f>
        <v/>
      </c>
      <c r="BG186" s="25" t="str">
        <f>IF('1. Live'!BK204='check-Jul''26'!BG204,"",'1. Live'!BK204-'check-Jul''26'!BG204)</f>
        <v/>
      </c>
      <c r="BH186" s="25" t="str">
        <f>IF('1. Live'!BL204='check-Jul''26'!BH204,"",'1. Live'!BL204-'check-Jul''26'!BH204)</f>
        <v/>
      </c>
      <c r="BI186" s="25" t="str">
        <f>IF('1. Live'!BM204='check-Jul''26'!BI204,"",'1. Live'!BM204-'check-Jul''26'!BI204)</f>
        <v/>
      </c>
      <c r="BJ186" s="25" t="str">
        <f>IF('1. Live'!BN204='check-Jul''26'!BJ204,"",'1. Live'!BN204-'check-Jul''26'!BJ204)</f>
        <v/>
      </c>
      <c r="BK186" s="25" t="str">
        <f>IF('1. Live'!BO204='check-Jul''26'!BK204,"",'1. Live'!BO204-'check-Jul''26'!BK204)</f>
        <v/>
      </c>
      <c r="BL186" s="25" t="str">
        <f>IF('1. Live'!BP204='check-Jul''26'!BL204,"",'1. Live'!BP204-'check-Jul''26'!BL204)</f>
        <v/>
      </c>
      <c r="BM186" s="25" t="str">
        <f>IF('1. Live'!BQ204='check-Jul''26'!BM204,"",'1. Live'!BQ204-'check-Jul''26'!BM204)</f>
        <v/>
      </c>
      <c r="BN186" s="25" t="str">
        <f>IF('1. Live'!BR204='check-Jul''26'!BN204,"",'1. Live'!BR204-'check-Jul''26'!BN204)</f>
        <v/>
      </c>
      <c r="BO186" s="25" t="str">
        <f>IF('1. Live'!BS204='check-Jul''26'!BO204,"",'1. Live'!BS204-'check-Jul''26'!BO204)</f>
        <v/>
      </c>
      <c r="BP186" s="25" t="str">
        <f>IF('1. Live'!BT204='check-Jul''26'!BP204,"",'1. Live'!BT204-'check-Jul''26'!BP204)</f>
        <v/>
      </c>
      <c r="BQ186" s="25" t="str">
        <f>IF('1. Live'!BU204='check-Jul''26'!BQ204,"",'1. Live'!BU204-'check-Jul''26'!BQ204)</f>
        <v/>
      </c>
      <c r="BR186" s="25" t="str">
        <f>IF('1. Live'!BV204='check-Jul''26'!BR204,"",'1. Live'!BV204-'check-Jul''26'!BR204)</f>
        <v/>
      </c>
      <c r="BS186" s="25" t="str">
        <f>IF('1. Live'!BW204='check-Jul''26'!BS204,"",'1. Live'!BW204-'check-Jul''26'!BS204)</f>
        <v/>
      </c>
      <c r="BT186" s="25" t="str">
        <f>IF('1. Live'!BX204='check-Jul''26'!BT204,"",'1. Live'!BX204-'check-Jul''26'!BT204)</f>
        <v/>
      </c>
      <c r="BU186" s="25" t="str">
        <f>IF('1. Live'!BY204='check-Jul''26'!BU204,"",'1. Live'!BY204-'check-Jul''26'!BU204)</f>
        <v/>
      </c>
      <c r="BV186" s="25" t="str">
        <f>IF('1. Live'!BZ204='check-Jul''26'!BV204,"",'1. Live'!BZ204-'check-Jul''26'!BV204)</f>
        <v/>
      </c>
      <c r="BW186" s="25" t="str">
        <f>IF('1. Live'!CA204='check-Jul''26'!BW204,"",'1. Live'!CA204-'check-Jul''26'!BW204)</f>
        <v/>
      </c>
      <c r="BX186" s="25" t="str">
        <f>IF('1. Live'!CB204='check-Jul''26'!BX204,"",'1. Live'!CB204-'check-Jul''26'!BX204)</f>
        <v/>
      </c>
      <c r="BY186" s="25" t="str">
        <f>IF('1. Live'!CC204='check-Jul''26'!BY204,"",'1. Live'!CC204-'check-Jul''26'!BY204)</f>
        <v/>
      </c>
      <c r="BZ186" s="25" t="str">
        <f>IF('1. Live'!CD204='check-Jul''26'!BZ204,"",'1. Live'!CD204-'check-Jul''26'!BZ204)</f>
        <v/>
      </c>
      <c r="CA186" s="25" t="str">
        <f>IF('1. Live'!CE204='check-Jul''26'!CA204,"",'1. Live'!CE204-'check-Jul''26'!CA204)</f>
        <v/>
      </c>
      <c r="CB186" s="25" t="str">
        <f>IF('1. Live'!CF204='check-Jul''26'!CB204,"",'1. Live'!CF204-'check-Jul''26'!CB204)</f>
        <v/>
      </c>
      <c r="CC186" s="25" t="str">
        <f>IF('1. Live'!CG204='check-Jul''26'!CC204,"",'1. Live'!CG204-'check-Jul''26'!CC204)</f>
        <v/>
      </c>
      <c r="CD186" s="25" t="str">
        <f>IF('1. Live'!CH204='check-Jul''26'!CD204,"",'1. Live'!CH204-'check-Jul''26'!CD204)</f>
        <v/>
      </c>
      <c r="CE186" s="25" t="str">
        <f>IF('1. Live'!CI204='check-Jul''26'!CE204,"",'1. Live'!CI204-'check-Jul''26'!CE204)</f>
        <v/>
      </c>
      <c r="CF186" s="25" t="str">
        <f>IF('1. Live'!CJ204='check-Jul''26'!CF204,"",'1. Live'!CJ204-'check-Jul''26'!CF204)</f>
        <v/>
      </c>
      <c r="CG186" s="25" t="str">
        <f>IF('1. Live'!CK204='check-Jul''26'!CG204,"",'1. Live'!CK204-'check-Jul''26'!CG204)</f>
        <v/>
      </c>
      <c r="CH186" s="25" t="str">
        <f>IF('1. Live'!CL204='check-Jul''26'!CH204,"",'1. Live'!CL204-'check-Jul''26'!CH204)</f>
        <v/>
      </c>
      <c r="CI186" s="25" t="str">
        <f>IF('1. Live'!CM204='check-Jul''26'!CI204,"",'1. Live'!CM204-'check-Jul''26'!CI204)</f>
        <v/>
      </c>
      <c r="CJ186" s="25" t="str">
        <f>IF('1. Live'!CN204='check-Jul''26'!CJ204,"",'1. Live'!CN204-'check-Jul''26'!CJ204)</f>
        <v/>
      </c>
      <c r="CK186" s="25" t="str">
        <f>IF('1. Live'!CO204='check-Jul''26'!CK204,"",'1. Live'!CO204-'check-Jul''26'!CK204)</f>
        <v/>
      </c>
      <c r="CL186" s="25" t="str">
        <f>IF('1. Live'!CP204='check-Jul''26'!CL204,"",'1. Live'!CP204-'check-Jul''26'!CL204)</f>
        <v/>
      </c>
      <c r="CM186" s="25" t="str">
        <f>IF('1. Live'!CQ204='check-Jul''26'!CM204,"",'1. Live'!CQ204-'check-Jul''26'!CM204)</f>
        <v/>
      </c>
      <c r="CN186" s="25" t="str">
        <f>IF('1. Live'!CR204='check-Jul''26'!CN204,"",'1. Live'!CR204-'check-Jul''26'!CN204)</f>
        <v/>
      </c>
      <c r="CO186" s="25" t="str">
        <f>IF('1. Live'!CS204='check-Jul''26'!CO204,"",'1. Live'!CS204-'check-Jul''26'!CO204)</f>
        <v/>
      </c>
      <c r="CP186" s="25" t="str">
        <f>IF('1. Live'!CT204='check-Jul''26'!CP204,"",'1. Live'!CT204-'check-Jul''26'!CP204)</f>
        <v/>
      </c>
      <c r="CQ186" s="25" t="str">
        <f>IF('1. Live'!CU204='check-Jul''26'!CQ204,"",'1. Live'!CU204-'check-Jul''26'!CQ204)</f>
        <v/>
      </c>
      <c r="CR186" s="25" t="str">
        <f>IF('1. Live'!CV204='check-Jul''26'!CR204,"",'1. Live'!CV204-'check-Jul''26'!CR204)</f>
        <v/>
      </c>
      <c r="CS186" s="25" t="str">
        <f>IF('1. Live'!CW204='check-Jul''26'!CS204,"",'1. Live'!CW204-'check-Jul''26'!CS204)</f>
        <v/>
      </c>
      <c r="CT186" s="25" t="str">
        <f>IF('1. Live'!CX204='check-Jul''26'!CT204,"",'1. Live'!CX204-'check-Jul''26'!CT204)</f>
        <v/>
      </c>
      <c r="CU186" s="25" t="str">
        <f>IF('1. Live'!CY204='check-Jul''26'!CU204,"",'1. Live'!CY204-'check-Jul''26'!CU204)</f>
        <v/>
      </c>
      <c r="CV186" s="25" t="str">
        <f>IF('1. Live'!CZ204='check-Jul''26'!CV204,"",'1. Live'!CZ204-'check-Jul''26'!CV204)</f>
        <v/>
      </c>
    </row>
    <row r="187" spans="17:100" x14ac:dyDescent="0.25">
      <c r="Q187" s="26" t="str">
        <f>IF('1. Live'!N205='check-Jul''26'!I205,"",'1. Live'!N205-'check-Jul''26'!I205)</f>
        <v/>
      </c>
      <c r="R187" s="26" t="str">
        <f>IF('1. Live'!O205='check-Jul''26'!J205,"",'1. Live'!O205-'check-Jul''26'!J205)</f>
        <v/>
      </c>
      <c r="S187" s="26" t="str">
        <f>IF('1. Live'!P205='check-Jul''26'!K205,"",'1. Live'!P205-'check-Jul''26'!K205)</f>
        <v/>
      </c>
      <c r="T187" s="26" t="str">
        <f>IF('1. Live'!Q205='check-Jul''26'!L205,"",'1. Live'!Q205-'check-Jul''26'!L205)</f>
        <v/>
      </c>
      <c r="U187" s="80" t="str">
        <f>IF('1. Live'!R205='check-Jul''26'!M205,"",'1. Live'!R205-'check-Jul''26'!M205)</f>
        <v/>
      </c>
      <c r="V187" s="26" t="str">
        <f>IF('1. Live'!S205='check-Jul''26'!N205,"",'1. Live'!S205-'check-Jul''26'!N205)</f>
        <v/>
      </c>
      <c r="W187" s="25" t="str">
        <f>IF('1. Live'!T205='check-Jul''26'!O205,"",'1. Live'!T205-'check-Jul''26'!O205)</f>
        <v/>
      </c>
      <c r="X187" s="25" t="str">
        <f>IF('1. Live'!U205='check-Jul''26'!Q205,"",'1. Live'!U205-'check-Jul''26'!Q205)</f>
        <v/>
      </c>
      <c r="Y187" s="25" t="str">
        <f>IF('1. Live'!V205='check-Jul''26'!R205,"",'1. Live'!V205-'check-Jul''26'!R205)</f>
        <v/>
      </c>
      <c r="Z187" s="25" t="str">
        <f>IF('1. Live'!W205='check-Jul''26'!S205,"",'1. Live'!W205-'check-Jul''26'!S205)</f>
        <v/>
      </c>
      <c r="AA187" s="25" t="str">
        <f>IF('1. Live'!X205='check-Jul''26'!T205,"",'1. Live'!X205-'check-Jul''26'!T205)</f>
        <v/>
      </c>
      <c r="AB187" s="25" t="str">
        <f>IF('1. Live'!AF205='check-Jul''26'!AB205,"",'1. Live'!AF205-'check-Jul''26'!AB205)</f>
        <v/>
      </c>
      <c r="AC187" s="25" t="str">
        <f>IF('1. Live'!AG205='check-Jul''26'!AC205,"",'1. Live'!AG205-'check-Jul''26'!AC205)</f>
        <v/>
      </c>
      <c r="AD187" s="25" t="str">
        <f>IF('1. Live'!AH205='check-Jul''26'!AD205,"",'1. Live'!AH205-'check-Jul''26'!AD205)</f>
        <v/>
      </c>
      <c r="AE187" s="25" t="str">
        <f>IF('1. Live'!AI205='check-Jul''26'!AE205,"",'1. Live'!AI205-'check-Jul''26'!AE205)</f>
        <v/>
      </c>
      <c r="AF187" s="25" t="str">
        <f>IF('1. Live'!AJ205='check-Jul''26'!AF205,"",'1. Live'!AJ205-'check-Jul''26'!AF205)</f>
        <v/>
      </c>
      <c r="AG187" s="25" t="str">
        <f>IF('1. Live'!AK205='check-Jul''26'!AG205,"",'1. Live'!AK205-'check-Jul''26'!AG205)</f>
        <v/>
      </c>
      <c r="AH187" s="25" t="str">
        <f>IF('1. Live'!AL205='check-Jul''26'!AH205,"",'1. Live'!AL205-'check-Jul''26'!AH205)</f>
        <v/>
      </c>
      <c r="AI187" s="25" t="str">
        <f>IF('1. Live'!AM205='check-Jul''26'!AI205,"",'1. Live'!AM205-'check-Jul''26'!AI205)</f>
        <v/>
      </c>
      <c r="AJ187" s="25" t="str">
        <f>IF('1. Live'!AN205='check-Jul''26'!AJ205,"",'1. Live'!AN205-'check-Jul''26'!AJ205)</f>
        <v/>
      </c>
      <c r="AK187" s="25" t="str">
        <f>IF('1. Live'!AO205='check-Jul''26'!AK205,"",'1. Live'!AO205-'check-Jul''26'!AK205)</f>
        <v/>
      </c>
      <c r="AL187" s="25" t="str">
        <f>IF('1. Live'!AP205='check-Jul''26'!AL205,"",'1. Live'!AP205-'check-Jul''26'!AL205)</f>
        <v/>
      </c>
      <c r="AM187" s="25" t="str">
        <f>IF('1. Live'!AQ205='check-Jul''26'!AM205,"",'1. Live'!AQ205-'check-Jul''26'!AM205)</f>
        <v/>
      </c>
      <c r="AN187" s="25" t="str">
        <f>IF('1. Live'!AR205='check-Jul''26'!AN205,"",'1. Live'!AR205-'check-Jul''26'!AN205)</f>
        <v/>
      </c>
      <c r="AO187" s="25" t="str">
        <f>IF('1. Live'!AS205='check-Jul''26'!AO205,"",'1. Live'!AS205-'check-Jul''26'!AO205)</f>
        <v/>
      </c>
      <c r="AP187" s="25" t="str">
        <f>IF('1. Live'!AT205='check-Jul''26'!AP205,"",'1. Live'!AT205-'check-Jul''26'!AP205)</f>
        <v/>
      </c>
      <c r="AQ187" s="25" t="str">
        <f>IF('1. Live'!AU205='check-Jul''26'!AQ205,"",'1. Live'!AU205-'check-Jul''26'!AQ205)</f>
        <v/>
      </c>
      <c r="AR187" s="25" t="str">
        <f>IF('1. Live'!AV205='check-Jul''26'!AR205,"",'1. Live'!AV205-'check-Jul''26'!AR205)</f>
        <v/>
      </c>
      <c r="AS187" s="25" t="str">
        <f>IF('1. Live'!AW205='check-Jul''26'!AS205,"",'1. Live'!AW205-'check-Jul''26'!AS205)</f>
        <v/>
      </c>
      <c r="AT187" s="25" t="str">
        <f>IF('1. Live'!AX205='check-Jul''26'!AT205,"",'1. Live'!AX205-'check-Jul''26'!AT205)</f>
        <v/>
      </c>
      <c r="AU187" s="25" t="str">
        <f>IF('1. Live'!AY205='check-Jul''26'!AU205,"",'1. Live'!AY205-'check-Jul''26'!AU205)</f>
        <v/>
      </c>
      <c r="AV187" s="25" t="str">
        <f>IF('1. Live'!AZ205='check-Jul''26'!AV205,"",'1. Live'!AZ205-'check-Jul''26'!AV205)</f>
        <v/>
      </c>
      <c r="AW187" s="25" t="str">
        <f>IF('1. Live'!BA205='check-Jul''26'!AW205,"",'1. Live'!BA205-'check-Jul''26'!AW205)</f>
        <v/>
      </c>
      <c r="AX187" s="25" t="str">
        <f>IF('1. Live'!BB205='check-Jul''26'!AX205,"",'1. Live'!BB205-'check-Jul''26'!AX205)</f>
        <v/>
      </c>
      <c r="AY187" s="25" t="str">
        <f>IF('1. Live'!BC205='check-Jul''26'!AY205,"",'1. Live'!BC205-'check-Jul''26'!AY205)</f>
        <v/>
      </c>
      <c r="AZ187" s="25" t="str">
        <f>IF('1. Live'!BD205='check-Jul''26'!AZ205,"",'1. Live'!BD205-'check-Jul''26'!AZ205)</f>
        <v/>
      </c>
      <c r="BA187" s="25" t="str">
        <f>IF('1. Live'!BE205='check-Jul''26'!BA205,"",'1. Live'!BE205-'check-Jul''26'!BA205)</f>
        <v/>
      </c>
      <c r="BB187" s="25" t="str">
        <f>IF('1. Live'!BF205='check-Jul''26'!BB205,"",'1. Live'!BF205-'check-Jul''26'!BB205)</f>
        <v/>
      </c>
      <c r="BC187" s="25" t="str">
        <f>IF('1. Live'!BG205='check-Jul''26'!BC205,"",'1. Live'!BG205-'check-Jul''26'!BC205)</f>
        <v/>
      </c>
      <c r="BD187" s="25" t="str">
        <f>IF('1. Live'!BH205='check-Jul''26'!BD205,"",'1. Live'!BH205-'check-Jul''26'!BD205)</f>
        <v/>
      </c>
      <c r="BE187" s="25" t="str">
        <f>IF('1. Live'!BI205='check-Jul''26'!BE205,"",'1. Live'!BI205-'check-Jul''26'!BE205)</f>
        <v/>
      </c>
      <c r="BF187" s="25" t="str">
        <f>IF('1. Live'!BJ205='check-Jul''26'!BF205,"",'1. Live'!BJ205-'check-Jul''26'!BF205)</f>
        <v/>
      </c>
      <c r="BG187" s="25" t="str">
        <f>IF('1. Live'!BK205='check-Jul''26'!BG205,"",'1. Live'!BK205-'check-Jul''26'!BG205)</f>
        <v/>
      </c>
      <c r="BH187" s="25" t="str">
        <f>IF('1. Live'!BL205='check-Jul''26'!BH205,"",'1. Live'!BL205-'check-Jul''26'!BH205)</f>
        <v/>
      </c>
      <c r="BI187" s="25" t="str">
        <f>IF('1. Live'!BM205='check-Jul''26'!BI205,"",'1. Live'!BM205-'check-Jul''26'!BI205)</f>
        <v/>
      </c>
      <c r="BJ187" s="25" t="str">
        <f>IF('1. Live'!BN205='check-Jul''26'!BJ205,"",'1. Live'!BN205-'check-Jul''26'!BJ205)</f>
        <v/>
      </c>
      <c r="BK187" s="25" t="str">
        <f>IF('1. Live'!BO205='check-Jul''26'!BK205,"",'1. Live'!BO205-'check-Jul''26'!BK205)</f>
        <v/>
      </c>
      <c r="BL187" s="25" t="str">
        <f>IF('1. Live'!BP205='check-Jul''26'!BL205,"",'1. Live'!BP205-'check-Jul''26'!BL205)</f>
        <v/>
      </c>
      <c r="BM187" s="25" t="str">
        <f>IF('1. Live'!BQ205='check-Jul''26'!BM205,"",'1. Live'!BQ205-'check-Jul''26'!BM205)</f>
        <v/>
      </c>
      <c r="BN187" s="25" t="str">
        <f>IF('1. Live'!BR205='check-Jul''26'!BN205,"",'1. Live'!BR205-'check-Jul''26'!BN205)</f>
        <v/>
      </c>
      <c r="BO187" s="25" t="str">
        <f>IF('1. Live'!BS205='check-Jul''26'!BO205,"",'1. Live'!BS205-'check-Jul''26'!BO205)</f>
        <v/>
      </c>
      <c r="BP187" s="25" t="str">
        <f>IF('1. Live'!BT205='check-Jul''26'!BP205,"",'1. Live'!BT205-'check-Jul''26'!BP205)</f>
        <v/>
      </c>
      <c r="BQ187" s="25" t="str">
        <f>IF('1. Live'!BU205='check-Jul''26'!BQ205,"",'1. Live'!BU205-'check-Jul''26'!BQ205)</f>
        <v/>
      </c>
      <c r="BR187" s="25" t="str">
        <f>IF('1. Live'!BV205='check-Jul''26'!BR205,"",'1. Live'!BV205-'check-Jul''26'!BR205)</f>
        <v/>
      </c>
      <c r="BS187" s="25" t="str">
        <f>IF('1. Live'!BW205='check-Jul''26'!BS205,"",'1. Live'!BW205-'check-Jul''26'!BS205)</f>
        <v/>
      </c>
      <c r="BT187" s="25" t="str">
        <f>IF('1. Live'!BX205='check-Jul''26'!BT205,"",'1. Live'!BX205-'check-Jul''26'!BT205)</f>
        <v/>
      </c>
      <c r="BU187" s="25" t="str">
        <f>IF('1. Live'!BY205='check-Jul''26'!BU205,"",'1. Live'!BY205-'check-Jul''26'!BU205)</f>
        <v/>
      </c>
      <c r="BV187" s="25" t="str">
        <f>IF('1. Live'!BZ205='check-Jul''26'!BV205,"",'1. Live'!BZ205-'check-Jul''26'!BV205)</f>
        <v/>
      </c>
      <c r="BW187" s="25" t="str">
        <f>IF('1. Live'!CA205='check-Jul''26'!BW205,"",'1. Live'!CA205-'check-Jul''26'!BW205)</f>
        <v/>
      </c>
      <c r="BX187" s="25" t="str">
        <f>IF('1. Live'!CB205='check-Jul''26'!BX205,"",'1. Live'!CB205-'check-Jul''26'!BX205)</f>
        <v/>
      </c>
      <c r="BY187" s="25" t="str">
        <f>IF('1. Live'!CC205='check-Jul''26'!BY205,"",'1. Live'!CC205-'check-Jul''26'!BY205)</f>
        <v/>
      </c>
      <c r="BZ187" s="25" t="str">
        <f>IF('1. Live'!CD205='check-Jul''26'!BZ205,"",'1. Live'!CD205-'check-Jul''26'!BZ205)</f>
        <v/>
      </c>
      <c r="CA187" s="25" t="str">
        <f>IF('1. Live'!CE205='check-Jul''26'!CA205,"",'1. Live'!CE205-'check-Jul''26'!CA205)</f>
        <v/>
      </c>
      <c r="CB187" s="25" t="str">
        <f>IF('1. Live'!CF205='check-Jul''26'!CB205,"",'1. Live'!CF205-'check-Jul''26'!CB205)</f>
        <v/>
      </c>
      <c r="CC187" s="25" t="str">
        <f>IF('1. Live'!CG205='check-Jul''26'!CC205,"",'1. Live'!CG205-'check-Jul''26'!CC205)</f>
        <v/>
      </c>
      <c r="CD187" s="25" t="str">
        <f>IF('1. Live'!CH205='check-Jul''26'!CD205,"",'1. Live'!CH205-'check-Jul''26'!CD205)</f>
        <v/>
      </c>
      <c r="CE187" s="25" t="str">
        <f>IF('1. Live'!CI205='check-Jul''26'!CE205,"",'1. Live'!CI205-'check-Jul''26'!CE205)</f>
        <v/>
      </c>
      <c r="CF187" s="25" t="str">
        <f>IF('1. Live'!CJ205='check-Jul''26'!CF205,"",'1. Live'!CJ205-'check-Jul''26'!CF205)</f>
        <v/>
      </c>
      <c r="CG187" s="25" t="str">
        <f>IF('1. Live'!CK205='check-Jul''26'!CG205,"",'1. Live'!CK205-'check-Jul''26'!CG205)</f>
        <v/>
      </c>
      <c r="CH187" s="25" t="str">
        <f>IF('1. Live'!CL205='check-Jul''26'!CH205,"",'1. Live'!CL205-'check-Jul''26'!CH205)</f>
        <v/>
      </c>
      <c r="CI187" s="25" t="str">
        <f>IF('1. Live'!CM205='check-Jul''26'!CI205,"",'1. Live'!CM205-'check-Jul''26'!CI205)</f>
        <v/>
      </c>
      <c r="CJ187" s="25" t="str">
        <f>IF('1. Live'!CN205='check-Jul''26'!CJ205,"",'1. Live'!CN205-'check-Jul''26'!CJ205)</f>
        <v/>
      </c>
      <c r="CK187" s="25" t="str">
        <f>IF('1. Live'!CO205='check-Jul''26'!CK205,"",'1. Live'!CO205-'check-Jul''26'!CK205)</f>
        <v/>
      </c>
      <c r="CL187" s="25" t="str">
        <f>IF('1. Live'!CP205='check-Jul''26'!CL205,"",'1. Live'!CP205-'check-Jul''26'!CL205)</f>
        <v/>
      </c>
      <c r="CM187" s="25" t="str">
        <f>IF('1. Live'!CQ205='check-Jul''26'!CM205,"",'1. Live'!CQ205-'check-Jul''26'!CM205)</f>
        <v/>
      </c>
      <c r="CN187" s="25" t="str">
        <f>IF('1. Live'!CR205='check-Jul''26'!CN205,"",'1. Live'!CR205-'check-Jul''26'!CN205)</f>
        <v/>
      </c>
      <c r="CO187" s="25" t="str">
        <f>IF('1. Live'!CS205='check-Jul''26'!CO205,"",'1. Live'!CS205-'check-Jul''26'!CO205)</f>
        <v/>
      </c>
      <c r="CP187" s="25" t="str">
        <f>IF('1. Live'!CT205='check-Jul''26'!CP205,"",'1. Live'!CT205-'check-Jul''26'!CP205)</f>
        <v/>
      </c>
      <c r="CQ187" s="25" t="str">
        <f>IF('1. Live'!CU205='check-Jul''26'!CQ205,"",'1. Live'!CU205-'check-Jul''26'!CQ205)</f>
        <v/>
      </c>
      <c r="CR187" s="25" t="str">
        <f>IF('1. Live'!CV205='check-Jul''26'!CR205,"",'1. Live'!CV205-'check-Jul''26'!CR205)</f>
        <v/>
      </c>
      <c r="CS187" s="25" t="str">
        <f>IF('1. Live'!CW205='check-Jul''26'!CS205,"",'1. Live'!CW205-'check-Jul''26'!CS205)</f>
        <v/>
      </c>
      <c r="CT187" s="25" t="str">
        <f>IF('1. Live'!CX205='check-Jul''26'!CT205,"",'1. Live'!CX205-'check-Jul''26'!CT205)</f>
        <v/>
      </c>
      <c r="CU187" s="25" t="str">
        <f>IF('1. Live'!CY205='check-Jul''26'!CU205,"",'1. Live'!CY205-'check-Jul''26'!CU205)</f>
        <v/>
      </c>
      <c r="CV187" s="25" t="str">
        <f>IF('1. Live'!CZ205='check-Jul''26'!CV205,"",'1. Live'!CZ205-'check-Jul''26'!CV205)</f>
        <v/>
      </c>
    </row>
    <row r="188" spans="17:100" x14ac:dyDescent="0.25">
      <c r="Q188" s="26" t="str">
        <f>IF('1. Live'!N206='check-Jul''26'!I206,"",'1. Live'!N206-'check-Jul''26'!I206)</f>
        <v/>
      </c>
      <c r="R188" s="26" t="str">
        <f>IF('1. Live'!O206='check-Jul''26'!J206,"",'1. Live'!O206-'check-Jul''26'!J206)</f>
        <v/>
      </c>
      <c r="S188" s="26" t="str">
        <f>IF('1. Live'!P206='check-Jul''26'!K206,"",'1. Live'!P206-'check-Jul''26'!K206)</f>
        <v/>
      </c>
      <c r="T188" s="26" t="str">
        <f>IF('1. Live'!Q206='check-Jul''26'!L206,"",'1. Live'!Q206-'check-Jul''26'!L206)</f>
        <v/>
      </c>
      <c r="U188" s="80" t="str">
        <f>IF('1. Live'!R206='check-Jul''26'!M206,"",'1. Live'!R206-'check-Jul''26'!M206)</f>
        <v/>
      </c>
      <c r="V188" s="26" t="str">
        <f>IF('1. Live'!S206='check-Jul''26'!N206,"",'1. Live'!S206-'check-Jul''26'!N206)</f>
        <v/>
      </c>
      <c r="W188" s="25" t="str">
        <f>IF('1. Live'!T206='check-Jul''26'!O206,"",'1. Live'!T206-'check-Jul''26'!O206)</f>
        <v/>
      </c>
      <c r="X188" s="25" t="str">
        <f>IF('1. Live'!U206='check-Jul''26'!Q206,"",'1. Live'!U206-'check-Jul''26'!Q206)</f>
        <v/>
      </c>
      <c r="Y188" s="25" t="str">
        <f>IF('1. Live'!V206='check-Jul''26'!R206,"",'1. Live'!V206-'check-Jul''26'!R206)</f>
        <v/>
      </c>
      <c r="Z188" s="25" t="str">
        <f>IF('1. Live'!W206='check-Jul''26'!S206,"",'1. Live'!W206-'check-Jul''26'!S206)</f>
        <v/>
      </c>
      <c r="AA188" s="25" t="str">
        <f>IF('1. Live'!X206='check-Jul''26'!T206,"",'1. Live'!X206-'check-Jul''26'!T206)</f>
        <v/>
      </c>
      <c r="AB188" s="25" t="str">
        <f>IF('1. Live'!AF206='check-Jul''26'!AB206,"",'1. Live'!AF206-'check-Jul''26'!AB206)</f>
        <v/>
      </c>
      <c r="AC188" s="25" t="str">
        <f>IF('1. Live'!AG206='check-Jul''26'!AC206,"",'1. Live'!AG206-'check-Jul''26'!AC206)</f>
        <v/>
      </c>
      <c r="AD188" s="25" t="str">
        <f>IF('1. Live'!AH206='check-Jul''26'!AD206,"",'1. Live'!AH206-'check-Jul''26'!AD206)</f>
        <v/>
      </c>
      <c r="AE188" s="25" t="str">
        <f>IF('1. Live'!AI206='check-Jul''26'!AE206,"",'1. Live'!AI206-'check-Jul''26'!AE206)</f>
        <v/>
      </c>
      <c r="AF188" s="25" t="str">
        <f>IF('1. Live'!AJ206='check-Jul''26'!AF206,"",'1. Live'!AJ206-'check-Jul''26'!AF206)</f>
        <v/>
      </c>
      <c r="AG188" s="25" t="str">
        <f>IF('1. Live'!AK206='check-Jul''26'!AG206,"",'1. Live'!AK206-'check-Jul''26'!AG206)</f>
        <v/>
      </c>
      <c r="AH188" s="25" t="str">
        <f>IF('1. Live'!AL206='check-Jul''26'!AH206,"",'1. Live'!AL206-'check-Jul''26'!AH206)</f>
        <v/>
      </c>
      <c r="AI188" s="25" t="str">
        <f>IF('1. Live'!AM206='check-Jul''26'!AI206,"",'1. Live'!AM206-'check-Jul''26'!AI206)</f>
        <v/>
      </c>
      <c r="AJ188" s="25" t="str">
        <f>IF('1. Live'!AN206='check-Jul''26'!AJ206,"",'1. Live'!AN206-'check-Jul''26'!AJ206)</f>
        <v/>
      </c>
      <c r="AK188" s="25" t="str">
        <f>IF('1. Live'!AO206='check-Jul''26'!AK206,"",'1. Live'!AO206-'check-Jul''26'!AK206)</f>
        <v/>
      </c>
      <c r="AL188" s="25" t="str">
        <f>IF('1. Live'!AP206='check-Jul''26'!AL206,"",'1. Live'!AP206-'check-Jul''26'!AL206)</f>
        <v/>
      </c>
      <c r="AM188" s="25" t="str">
        <f>IF('1. Live'!AQ206='check-Jul''26'!AM206,"",'1. Live'!AQ206-'check-Jul''26'!AM206)</f>
        <v/>
      </c>
      <c r="AN188" s="25" t="str">
        <f>IF('1. Live'!AR206='check-Jul''26'!AN206,"",'1. Live'!AR206-'check-Jul''26'!AN206)</f>
        <v/>
      </c>
      <c r="AO188" s="25" t="str">
        <f>IF('1. Live'!AS206='check-Jul''26'!AO206,"",'1. Live'!AS206-'check-Jul''26'!AO206)</f>
        <v/>
      </c>
      <c r="AP188" s="25" t="str">
        <f>IF('1. Live'!AT206='check-Jul''26'!AP206,"",'1. Live'!AT206-'check-Jul''26'!AP206)</f>
        <v/>
      </c>
      <c r="AQ188" s="25" t="str">
        <f>IF('1. Live'!AU206='check-Jul''26'!AQ206,"",'1. Live'!AU206-'check-Jul''26'!AQ206)</f>
        <v/>
      </c>
      <c r="AR188" s="25" t="str">
        <f>IF('1. Live'!AV206='check-Jul''26'!AR206,"",'1. Live'!AV206-'check-Jul''26'!AR206)</f>
        <v/>
      </c>
      <c r="AS188" s="25" t="str">
        <f>IF('1. Live'!AW206='check-Jul''26'!AS206,"",'1. Live'!AW206-'check-Jul''26'!AS206)</f>
        <v/>
      </c>
      <c r="AT188" s="25" t="str">
        <f>IF('1. Live'!AX206='check-Jul''26'!AT206,"",'1. Live'!AX206-'check-Jul''26'!AT206)</f>
        <v/>
      </c>
      <c r="AU188" s="25" t="str">
        <f>IF('1. Live'!AY206='check-Jul''26'!AU206,"",'1. Live'!AY206-'check-Jul''26'!AU206)</f>
        <v/>
      </c>
      <c r="AV188" s="25" t="str">
        <f>IF('1. Live'!AZ206='check-Jul''26'!AV206,"",'1. Live'!AZ206-'check-Jul''26'!AV206)</f>
        <v/>
      </c>
      <c r="AW188" s="25" t="str">
        <f>IF('1. Live'!BA206='check-Jul''26'!AW206,"",'1. Live'!BA206-'check-Jul''26'!AW206)</f>
        <v/>
      </c>
      <c r="AX188" s="25" t="str">
        <f>IF('1. Live'!BB206='check-Jul''26'!AX206,"",'1. Live'!BB206-'check-Jul''26'!AX206)</f>
        <v/>
      </c>
      <c r="AY188" s="25" t="str">
        <f>IF('1. Live'!BC206='check-Jul''26'!AY206,"",'1. Live'!BC206-'check-Jul''26'!AY206)</f>
        <v/>
      </c>
      <c r="AZ188" s="25" t="str">
        <f>IF('1. Live'!BD206='check-Jul''26'!AZ206,"",'1. Live'!BD206-'check-Jul''26'!AZ206)</f>
        <v/>
      </c>
      <c r="BA188" s="25" t="str">
        <f>IF('1. Live'!BE206='check-Jul''26'!BA206,"",'1. Live'!BE206-'check-Jul''26'!BA206)</f>
        <v/>
      </c>
      <c r="BB188" s="25" t="str">
        <f>IF('1. Live'!BF206='check-Jul''26'!BB206,"",'1. Live'!BF206-'check-Jul''26'!BB206)</f>
        <v/>
      </c>
      <c r="BC188" s="25" t="str">
        <f>IF('1. Live'!BG206='check-Jul''26'!BC206,"",'1. Live'!BG206-'check-Jul''26'!BC206)</f>
        <v/>
      </c>
      <c r="BD188" s="25" t="str">
        <f>IF('1. Live'!BH206='check-Jul''26'!BD206,"",'1. Live'!BH206-'check-Jul''26'!BD206)</f>
        <v/>
      </c>
      <c r="BE188" s="25" t="str">
        <f>IF('1. Live'!BI206='check-Jul''26'!BE206,"",'1. Live'!BI206-'check-Jul''26'!BE206)</f>
        <v/>
      </c>
      <c r="BF188" s="25" t="str">
        <f>IF('1. Live'!BJ206='check-Jul''26'!BF206,"",'1. Live'!BJ206-'check-Jul''26'!BF206)</f>
        <v/>
      </c>
      <c r="BG188" s="25" t="str">
        <f>IF('1. Live'!BK206='check-Jul''26'!BG206,"",'1. Live'!BK206-'check-Jul''26'!BG206)</f>
        <v/>
      </c>
      <c r="BH188" s="25" t="str">
        <f>IF('1. Live'!BL206='check-Jul''26'!BH206,"",'1. Live'!BL206-'check-Jul''26'!BH206)</f>
        <v/>
      </c>
      <c r="BI188" s="25" t="str">
        <f>IF('1. Live'!BM206='check-Jul''26'!BI206,"",'1. Live'!BM206-'check-Jul''26'!BI206)</f>
        <v/>
      </c>
      <c r="BJ188" s="25" t="str">
        <f>IF('1. Live'!BN206='check-Jul''26'!BJ206,"",'1. Live'!BN206-'check-Jul''26'!BJ206)</f>
        <v/>
      </c>
      <c r="BK188" s="25" t="str">
        <f>IF('1. Live'!BO206='check-Jul''26'!BK206,"",'1. Live'!BO206-'check-Jul''26'!BK206)</f>
        <v/>
      </c>
      <c r="BL188" s="25" t="str">
        <f>IF('1. Live'!BP206='check-Jul''26'!BL206,"",'1. Live'!BP206-'check-Jul''26'!BL206)</f>
        <v/>
      </c>
      <c r="BM188" s="25" t="str">
        <f>IF('1. Live'!BQ206='check-Jul''26'!BM206,"",'1. Live'!BQ206-'check-Jul''26'!BM206)</f>
        <v/>
      </c>
      <c r="BN188" s="25" t="str">
        <f>IF('1. Live'!BR206='check-Jul''26'!BN206,"",'1. Live'!BR206-'check-Jul''26'!BN206)</f>
        <v/>
      </c>
      <c r="BO188" s="25" t="str">
        <f>IF('1. Live'!BS206='check-Jul''26'!BO206,"",'1. Live'!BS206-'check-Jul''26'!BO206)</f>
        <v/>
      </c>
      <c r="BP188" s="25" t="str">
        <f>IF('1. Live'!BT206='check-Jul''26'!BP206,"",'1. Live'!BT206-'check-Jul''26'!BP206)</f>
        <v/>
      </c>
      <c r="BQ188" s="25" t="str">
        <f>IF('1. Live'!BU206='check-Jul''26'!BQ206,"",'1. Live'!BU206-'check-Jul''26'!BQ206)</f>
        <v/>
      </c>
      <c r="BR188" s="25" t="str">
        <f>IF('1. Live'!BV206='check-Jul''26'!BR206,"",'1. Live'!BV206-'check-Jul''26'!BR206)</f>
        <v/>
      </c>
      <c r="BS188" s="25" t="str">
        <f>IF('1. Live'!BW206='check-Jul''26'!BS206,"",'1. Live'!BW206-'check-Jul''26'!BS206)</f>
        <v/>
      </c>
      <c r="BT188" s="25" t="str">
        <f>IF('1. Live'!BX206='check-Jul''26'!BT206,"",'1. Live'!BX206-'check-Jul''26'!BT206)</f>
        <v/>
      </c>
      <c r="BU188" s="25" t="str">
        <f>IF('1. Live'!BY206='check-Jul''26'!BU206,"",'1. Live'!BY206-'check-Jul''26'!BU206)</f>
        <v/>
      </c>
      <c r="BV188" s="25" t="str">
        <f>IF('1. Live'!BZ206='check-Jul''26'!BV206,"",'1. Live'!BZ206-'check-Jul''26'!BV206)</f>
        <v/>
      </c>
      <c r="BW188" s="25" t="str">
        <f>IF('1. Live'!CA206='check-Jul''26'!BW206,"",'1. Live'!CA206-'check-Jul''26'!BW206)</f>
        <v/>
      </c>
      <c r="BX188" s="25" t="str">
        <f>IF('1. Live'!CB206='check-Jul''26'!BX206,"",'1. Live'!CB206-'check-Jul''26'!BX206)</f>
        <v/>
      </c>
      <c r="BY188" s="25" t="str">
        <f>IF('1. Live'!CC206='check-Jul''26'!BY206,"",'1. Live'!CC206-'check-Jul''26'!BY206)</f>
        <v/>
      </c>
      <c r="BZ188" s="25" t="str">
        <f>IF('1. Live'!CD206='check-Jul''26'!BZ206,"",'1. Live'!CD206-'check-Jul''26'!BZ206)</f>
        <v/>
      </c>
      <c r="CA188" s="25" t="str">
        <f>IF('1. Live'!CE206='check-Jul''26'!CA206,"",'1. Live'!CE206-'check-Jul''26'!CA206)</f>
        <v/>
      </c>
      <c r="CB188" s="25" t="str">
        <f>IF('1. Live'!CF206='check-Jul''26'!CB206,"",'1. Live'!CF206-'check-Jul''26'!CB206)</f>
        <v/>
      </c>
      <c r="CC188" s="25" t="str">
        <f>IF('1. Live'!CG206='check-Jul''26'!CC206,"",'1. Live'!CG206-'check-Jul''26'!CC206)</f>
        <v/>
      </c>
      <c r="CD188" s="25" t="str">
        <f>IF('1. Live'!CH206='check-Jul''26'!CD206,"",'1. Live'!CH206-'check-Jul''26'!CD206)</f>
        <v/>
      </c>
      <c r="CE188" s="25" t="str">
        <f>IF('1. Live'!CI206='check-Jul''26'!CE206,"",'1. Live'!CI206-'check-Jul''26'!CE206)</f>
        <v/>
      </c>
      <c r="CF188" s="25" t="str">
        <f>IF('1. Live'!CJ206='check-Jul''26'!CF206,"",'1. Live'!CJ206-'check-Jul''26'!CF206)</f>
        <v/>
      </c>
      <c r="CG188" s="25" t="str">
        <f>IF('1. Live'!CK206='check-Jul''26'!CG206,"",'1. Live'!CK206-'check-Jul''26'!CG206)</f>
        <v/>
      </c>
      <c r="CH188" s="25" t="str">
        <f>IF('1. Live'!CL206='check-Jul''26'!CH206,"",'1. Live'!CL206-'check-Jul''26'!CH206)</f>
        <v/>
      </c>
      <c r="CI188" s="25" t="str">
        <f>IF('1. Live'!CM206='check-Jul''26'!CI206,"",'1. Live'!CM206-'check-Jul''26'!CI206)</f>
        <v/>
      </c>
      <c r="CJ188" s="25" t="str">
        <f>IF('1. Live'!CN206='check-Jul''26'!CJ206,"",'1. Live'!CN206-'check-Jul''26'!CJ206)</f>
        <v/>
      </c>
      <c r="CK188" s="25" t="str">
        <f>IF('1. Live'!CO206='check-Jul''26'!CK206,"",'1. Live'!CO206-'check-Jul''26'!CK206)</f>
        <v/>
      </c>
      <c r="CL188" s="25" t="str">
        <f>IF('1. Live'!CP206='check-Jul''26'!CL206,"",'1. Live'!CP206-'check-Jul''26'!CL206)</f>
        <v/>
      </c>
      <c r="CM188" s="25" t="str">
        <f>IF('1. Live'!CQ206='check-Jul''26'!CM206,"",'1. Live'!CQ206-'check-Jul''26'!CM206)</f>
        <v/>
      </c>
      <c r="CN188" s="25" t="str">
        <f>IF('1. Live'!CR206='check-Jul''26'!CN206,"",'1. Live'!CR206-'check-Jul''26'!CN206)</f>
        <v/>
      </c>
      <c r="CO188" s="25" t="str">
        <f>IF('1. Live'!CS206='check-Jul''26'!CO206,"",'1. Live'!CS206-'check-Jul''26'!CO206)</f>
        <v/>
      </c>
      <c r="CP188" s="25" t="str">
        <f>IF('1. Live'!CT206='check-Jul''26'!CP206,"",'1. Live'!CT206-'check-Jul''26'!CP206)</f>
        <v/>
      </c>
      <c r="CQ188" s="25" t="str">
        <f>IF('1. Live'!CU206='check-Jul''26'!CQ206,"",'1. Live'!CU206-'check-Jul''26'!CQ206)</f>
        <v/>
      </c>
      <c r="CR188" s="25" t="str">
        <f>IF('1. Live'!CV206='check-Jul''26'!CR206,"",'1. Live'!CV206-'check-Jul''26'!CR206)</f>
        <v/>
      </c>
      <c r="CS188" s="25" t="str">
        <f>IF('1. Live'!CW206='check-Jul''26'!CS206,"",'1. Live'!CW206-'check-Jul''26'!CS206)</f>
        <v/>
      </c>
      <c r="CT188" s="25" t="str">
        <f>IF('1. Live'!CX206='check-Jul''26'!CT206,"",'1. Live'!CX206-'check-Jul''26'!CT206)</f>
        <v/>
      </c>
      <c r="CU188" s="25" t="str">
        <f>IF('1. Live'!CY206='check-Jul''26'!CU206,"",'1. Live'!CY206-'check-Jul''26'!CU206)</f>
        <v/>
      </c>
      <c r="CV188" s="25" t="str">
        <f>IF('1. Live'!CZ206='check-Jul''26'!CV206,"",'1. Live'!CZ206-'check-Jul''26'!CV206)</f>
        <v/>
      </c>
    </row>
    <row r="189" spans="17:100" x14ac:dyDescent="0.25">
      <c r="Q189" s="26" t="str">
        <f>IF('1. Live'!N207='check-Jul''26'!I207,"",'1. Live'!N207-'check-Jul''26'!I207)</f>
        <v/>
      </c>
      <c r="R189" s="26" t="str">
        <f>IF('1. Live'!O207='check-Jul''26'!J207,"",'1. Live'!O207-'check-Jul''26'!J207)</f>
        <v/>
      </c>
      <c r="S189" s="26" t="str">
        <f>IF('1. Live'!P207='check-Jul''26'!K207,"",'1. Live'!P207-'check-Jul''26'!K207)</f>
        <v/>
      </c>
      <c r="T189" s="26" t="str">
        <f>IF('1. Live'!Q207='check-Jul''26'!L207,"",'1. Live'!Q207-'check-Jul''26'!L207)</f>
        <v/>
      </c>
      <c r="U189" s="80" t="str">
        <f>IF('1. Live'!R207='check-Jul''26'!M207,"",'1. Live'!R207-'check-Jul''26'!M207)</f>
        <v/>
      </c>
      <c r="V189" s="26" t="str">
        <f>IF('1. Live'!S207='check-Jul''26'!N207,"",'1. Live'!S207-'check-Jul''26'!N207)</f>
        <v/>
      </c>
      <c r="W189" s="25" t="str">
        <f>IF('1. Live'!T207='check-Jul''26'!O207,"",'1. Live'!T207-'check-Jul''26'!O207)</f>
        <v/>
      </c>
      <c r="X189" s="25" t="str">
        <f>IF('1. Live'!U207='check-Jul''26'!Q207,"",'1. Live'!U207-'check-Jul''26'!Q207)</f>
        <v/>
      </c>
      <c r="Y189" s="25" t="str">
        <f>IF('1. Live'!V207='check-Jul''26'!R207,"",'1. Live'!V207-'check-Jul''26'!R207)</f>
        <v/>
      </c>
      <c r="Z189" s="25" t="str">
        <f>IF('1. Live'!W207='check-Jul''26'!S207,"",'1. Live'!W207-'check-Jul''26'!S207)</f>
        <v/>
      </c>
      <c r="AA189" s="25" t="str">
        <f>IF('1. Live'!X207='check-Jul''26'!T207,"",'1. Live'!X207-'check-Jul''26'!T207)</f>
        <v/>
      </c>
      <c r="AB189" s="25" t="str">
        <f>IF('1. Live'!AF207='check-Jul''26'!AB207,"",'1. Live'!AF207-'check-Jul''26'!AB207)</f>
        <v/>
      </c>
      <c r="AC189" s="25" t="str">
        <f>IF('1. Live'!AG207='check-Jul''26'!AC207,"",'1. Live'!AG207-'check-Jul''26'!AC207)</f>
        <v/>
      </c>
      <c r="AD189" s="25" t="str">
        <f>IF('1. Live'!AH207='check-Jul''26'!AD207,"",'1. Live'!AH207-'check-Jul''26'!AD207)</f>
        <v/>
      </c>
      <c r="AE189" s="25" t="str">
        <f>IF('1. Live'!AI207='check-Jul''26'!AE207,"",'1. Live'!AI207-'check-Jul''26'!AE207)</f>
        <v/>
      </c>
      <c r="AF189" s="25" t="str">
        <f>IF('1. Live'!AJ207='check-Jul''26'!AF207,"",'1. Live'!AJ207-'check-Jul''26'!AF207)</f>
        <v/>
      </c>
      <c r="AG189" s="25" t="str">
        <f>IF('1. Live'!AK207='check-Jul''26'!AG207,"",'1. Live'!AK207-'check-Jul''26'!AG207)</f>
        <v/>
      </c>
      <c r="AH189" s="25" t="str">
        <f>IF('1. Live'!AL207='check-Jul''26'!AH207,"",'1. Live'!AL207-'check-Jul''26'!AH207)</f>
        <v/>
      </c>
      <c r="AI189" s="25" t="str">
        <f>IF('1. Live'!AM207='check-Jul''26'!AI207,"",'1. Live'!AM207-'check-Jul''26'!AI207)</f>
        <v/>
      </c>
      <c r="AJ189" s="25" t="str">
        <f>IF('1. Live'!AN207='check-Jul''26'!AJ207,"",'1. Live'!AN207-'check-Jul''26'!AJ207)</f>
        <v/>
      </c>
      <c r="AK189" s="25" t="str">
        <f>IF('1. Live'!AO207='check-Jul''26'!AK207,"",'1. Live'!AO207-'check-Jul''26'!AK207)</f>
        <v/>
      </c>
      <c r="AL189" s="25" t="str">
        <f>IF('1. Live'!AP207='check-Jul''26'!AL207,"",'1. Live'!AP207-'check-Jul''26'!AL207)</f>
        <v/>
      </c>
      <c r="AM189" s="25" t="str">
        <f>IF('1. Live'!AQ207='check-Jul''26'!AM207,"",'1. Live'!AQ207-'check-Jul''26'!AM207)</f>
        <v/>
      </c>
      <c r="AN189" s="25" t="str">
        <f>IF('1. Live'!AR207='check-Jul''26'!AN207,"",'1. Live'!AR207-'check-Jul''26'!AN207)</f>
        <v/>
      </c>
      <c r="AO189" s="25" t="str">
        <f>IF('1. Live'!AS207='check-Jul''26'!AO207,"",'1. Live'!AS207-'check-Jul''26'!AO207)</f>
        <v/>
      </c>
      <c r="AP189" s="25" t="str">
        <f>IF('1. Live'!AT207='check-Jul''26'!AP207,"",'1. Live'!AT207-'check-Jul''26'!AP207)</f>
        <v/>
      </c>
      <c r="AQ189" s="25" t="str">
        <f>IF('1. Live'!AU207='check-Jul''26'!AQ207,"",'1. Live'!AU207-'check-Jul''26'!AQ207)</f>
        <v/>
      </c>
      <c r="AR189" s="25" t="str">
        <f>IF('1. Live'!AV207='check-Jul''26'!AR207,"",'1. Live'!AV207-'check-Jul''26'!AR207)</f>
        <v/>
      </c>
      <c r="AS189" s="25" t="str">
        <f>IF('1. Live'!AW207='check-Jul''26'!AS207,"",'1. Live'!AW207-'check-Jul''26'!AS207)</f>
        <v/>
      </c>
      <c r="AT189" s="25" t="str">
        <f>IF('1. Live'!AX207='check-Jul''26'!AT207,"",'1. Live'!AX207-'check-Jul''26'!AT207)</f>
        <v/>
      </c>
      <c r="AU189" s="25" t="str">
        <f>IF('1. Live'!AY207='check-Jul''26'!AU207,"",'1. Live'!AY207-'check-Jul''26'!AU207)</f>
        <v/>
      </c>
      <c r="AV189" s="25" t="str">
        <f>IF('1. Live'!AZ207='check-Jul''26'!AV207,"",'1. Live'!AZ207-'check-Jul''26'!AV207)</f>
        <v/>
      </c>
      <c r="AW189" s="25" t="str">
        <f>IF('1. Live'!BA207='check-Jul''26'!AW207,"",'1. Live'!BA207-'check-Jul''26'!AW207)</f>
        <v/>
      </c>
      <c r="AX189" s="25" t="str">
        <f>IF('1. Live'!BB207='check-Jul''26'!AX207,"",'1. Live'!BB207-'check-Jul''26'!AX207)</f>
        <v/>
      </c>
      <c r="AY189" s="25" t="str">
        <f>IF('1. Live'!BC207='check-Jul''26'!AY207,"",'1. Live'!BC207-'check-Jul''26'!AY207)</f>
        <v/>
      </c>
      <c r="AZ189" s="25" t="str">
        <f>IF('1. Live'!BD207='check-Jul''26'!AZ207,"",'1. Live'!BD207-'check-Jul''26'!AZ207)</f>
        <v/>
      </c>
      <c r="BA189" s="25" t="str">
        <f>IF('1. Live'!BE207='check-Jul''26'!BA207,"",'1. Live'!BE207-'check-Jul''26'!BA207)</f>
        <v/>
      </c>
      <c r="BB189" s="25" t="str">
        <f>IF('1. Live'!BF207='check-Jul''26'!BB207,"",'1. Live'!BF207-'check-Jul''26'!BB207)</f>
        <v/>
      </c>
      <c r="BC189" s="25" t="str">
        <f>IF('1. Live'!BG207='check-Jul''26'!BC207,"",'1. Live'!BG207-'check-Jul''26'!BC207)</f>
        <v/>
      </c>
      <c r="BD189" s="25" t="str">
        <f>IF('1. Live'!BH207='check-Jul''26'!BD207,"",'1. Live'!BH207-'check-Jul''26'!BD207)</f>
        <v/>
      </c>
      <c r="BE189" s="25" t="str">
        <f>IF('1. Live'!BI207='check-Jul''26'!BE207,"",'1. Live'!BI207-'check-Jul''26'!BE207)</f>
        <v/>
      </c>
      <c r="BF189" s="25" t="str">
        <f>IF('1. Live'!BJ207='check-Jul''26'!BF207,"",'1. Live'!BJ207-'check-Jul''26'!BF207)</f>
        <v/>
      </c>
      <c r="BG189" s="25" t="str">
        <f>IF('1. Live'!BK207='check-Jul''26'!BG207,"",'1. Live'!BK207-'check-Jul''26'!BG207)</f>
        <v/>
      </c>
      <c r="BH189" s="25" t="str">
        <f>IF('1. Live'!BL207='check-Jul''26'!BH207,"",'1. Live'!BL207-'check-Jul''26'!BH207)</f>
        <v/>
      </c>
      <c r="BI189" s="25" t="str">
        <f>IF('1. Live'!BM207='check-Jul''26'!BI207,"",'1. Live'!BM207-'check-Jul''26'!BI207)</f>
        <v/>
      </c>
      <c r="BJ189" s="25" t="str">
        <f>IF('1. Live'!BN207='check-Jul''26'!BJ207,"",'1. Live'!BN207-'check-Jul''26'!BJ207)</f>
        <v/>
      </c>
      <c r="BK189" s="25" t="str">
        <f>IF('1. Live'!BO207='check-Jul''26'!BK207,"",'1. Live'!BO207-'check-Jul''26'!BK207)</f>
        <v/>
      </c>
      <c r="BL189" s="25" t="str">
        <f>IF('1. Live'!BP207='check-Jul''26'!BL207,"",'1. Live'!BP207-'check-Jul''26'!BL207)</f>
        <v/>
      </c>
      <c r="BM189" s="25" t="str">
        <f>IF('1. Live'!BQ207='check-Jul''26'!BM207,"",'1. Live'!BQ207-'check-Jul''26'!BM207)</f>
        <v/>
      </c>
      <c r="BN189" s="25" t="str">
        <f>IF('1. Live'!BR207='check-Jul''26'!BN207,"",'1. Live'!BR207-'check-Jul''26'!BN207)</f>
        <v/>
      </c>
      <c r="BO189" s="25" t="str">
        <f>IF('1. Live'!BS207='check-Jul''26'!BO207,"",'1. Live'!BS207-'check-Jul''26'!BO207)</f>
        <v/>
      </c>
      <c r="BP189" s="25" t="str">
        <f>IF('1. Live'!BT207='check-Jul''26'!BP207,"",'1. Live'!BT207-'check-Jul''26'!BP207)</f>
        <v/>
      </c>
      <c r="BQ189" s="25" t="str">
        <f>IF('1. Live'!BU207='check-Jul''26'!BQ207,"",'1. Live'!BU207-'check-Jul''26'!BQ207)</f>
        <v/>
      </c>
      <c r="BR189" s="25" t="str">
        <f>IF('1. Live'!BV207='check-Jul''26'!BR207,"",'1. Live'!BV207-'check-Jul''26'!BR207)</f>
        <v/>
      </c>
      <c r="BS189" s="25" t="str">
        <f>IF('1. Live'!BW207='check-Jul''26'!BS207,"",'1. Live'!BW207-'check-Jul''26'!BS207)</f>
        <v/>
      </c>
      <c r="BT189" s="25" t="str">
        <f>IF('1. Live'!BX207='check-Jul''26'!BT207,"",'1. Live'!BX207-'check-Jul''26'!BT207)</f>
        <v/>
      </c>
      <c r="BU189" s="25" t="str">
        <f>IF('1. Live'!BY207='check-Jul''26'!BU207,"",'1. Live'!BY207-'check-Jul''26'!BU207)</f>
        <v/>
      </c>
      <c r="BV189" s="25" t="str">
        <f>IF('1. Live'!BZ207='check-Jul''26'!BV207,"",'1. Live'!BZ207-'check-Jul''26'!BV207)</f>
        <v/>
      </c>
      <c r="BW189" s="25" t="str">
        <f>IF('1. Live'!CA207='check-Jul''26'!BW207,"",'1. Live'!CA207-'check-Jul''26'!BW207)</f>
        <v/>
      </c>
      <c r="BX189" s="25" t="str">
        <f>IF('1. Live'!CB207='check-Jul''26'!BX207,"",'1. Live'!CB207-'check-Jul''26'!BX207)</f>
        <v/>
      </c>
      <c r="BY189" s="25" t="str">
        <f>IF('1. Live'!CC207='check-Jul''26'!BY207,"",'1. Live'!CC207-'check-Jul''26'!BY207)</f>
        <v/>
      </c>
      <c r="BZ189" s="25" t="str">
        <f>IF('1. Live'!CD207='check-Jul''26'!BZ207,"",'1. Live'!CD207-'check-Jul''26'!BZ207)</f>
        <v/>
      </c>
      <c r="CA189" s="25" t="str">
        <f>IF('1. Live'!CE207='check-Jul''26'!CA207,"",'1. Live'!CE207-'check-Jul''26'!CA207)</f>
        <v/>
      </c>
      <c r="CB189" s="25" t="str">
        <f>IF('1. Live'!CF207='check-Jul''26'!CB207,"",'1. Live'!CF207-'check-Jul''26'!CB207)</f>
        <v/>
      </c>
      <c r="CC189" s="25" t="str">
        <f>IF('1. Live'!CG207='check-Jul''26'!CC207,"",'1. Live'!CG207-'check-Jul''26'!CC207)</f>
        <v/>
      </c>
      <c r="CD189" s="25" t="str">
        <f>IF('1. Live'!CH207='check-Jul''26'!CD207,"",'1. Live'!CH207-'check-Jul''26'!CD207)</f>
        <v/>
      </c>
      <c r="CE189" s="25" t="str">
        <f>IF('1. Live'!CI207='check-Jul''26'!CE207,"",'1. Live'!CI207-'check-Jul''26'!CE207)</f>
        <v/>
      </c>
      <c r="CF189" s="25" t="str">
        <f>IF('1. Live'!CJ207='check-Jul''26'!CF207,"",'1. Live'!CJ207-'check-Jul''26'!CF207)</f>
        <v/>
      </c>
      <c r="CG189" s="25" t="str">
        <f>IF('1. Live'!CK207='check-Jul''26'!CG207,"",'1. Live'!CK207-'check-Jul''26'!CG207)</f>
        <v/>
      </c>
      <c r="CH189" s="25" t="str">
        <f>IF('1. Live'!CL207='check-Jul''26'!CH207,"",'1. Live'!CL207-'check-Jul''26'!CH207)</f>
        <v/>
      </c>
      <c r="CI189" s="25" t="str">
        <f>IF('1. Live'!CM207='check-Jul''26'!CI207,"",'1. Live'!CM207-'check-Jul''26'!CI207)</f>
        <v/>
      </c>
      <c r="CJ189" s="25" t="str">
        <f>IF('1. Live'!CN207='check-Jul''26'!CJ207,"",'1. Live'!CN207-'check-Jul''26'!CJ207)</f>
        <v/>
      </c>
      <c r="CK189" s="25" t="str">
        <f>IF('1. Live'!CO207='check-Jul''26'!CK207,"",'1. Live'!CO207-'check-Jul''26'!CK207)</f>
        <v/>
      </c>
      <c r="CL189" s="25" t="str">
        <f>IF('1. Live'!CP207='check-Jul''26'!CL207,"",'1. Live'!CP207-'check-Jul''26'!CL207)</f>
        <v/>
      </c>
      <c r="CM189" s="25" t="str">
        <f>IF('1. Live'!CQ207='check-Jul''26'!CM207,"",'1. Live'!CQ207-'check-Jul''26'!CM207)</f>
        <v/>
      </c>
      <c r="CN189" s="25" t="str">
        <f>IF('1. Live'!CR207='check-Jul''26'!CN207,"",'1. Live'!CR207-'check-Jul''26'!CN207)</f>
        <v/>
      </c>
      <c r="CO189" s="25" t="str">
        <f>IF('1. Live'!CS207='check-Jul''26'!CO207,"",'1. Live'!CS207-'check-Jul''26'!CO207)</f>
        <v/>
      </c>
      <c r="CP189" s="25" t="str">
        <f>IF('1. Live'!CT207='check-Jul''26'!CP207,"",'1. Live'!CT207-'check-Jul''26'!CP207)</f>
        <v/>
      </c>
      <c r="CQ189" s="25" t="str">
        <f>IF('1. Live'!CU207='check-Jul''26'!CQ207,"",'1. Live'!CU207-'check-Jul''26'!CQ207)</f>
        <v/>
      </c>
      <c r="CR189" s="25" t="str">
        <f>IF('1. Live'!CV207='check-Jul''26'!CR207,"",'1. Live'!CV207-'check-Jul''26'!CR207)</f>
        <v/>
      </c>
      <c r="CS189" s="25" t="str">
        <f>IF('1. Live'!CW207='check-Jul''26'!CS207,"",'1. Live'!CW207-'check-Jul''26'!CS207)</f>
        <v/>
      </c>
      <c r="CT189" s="25" t="str">
        <f>IF('1. Live'!CX207='check-Jul''26'!CT207,"",'1. Live'!CX207-'check-Jul''26'!CT207)</f>
        <v/>
      </c>
      <c r="CU189" s="25" t="str">
        <f>IF('1. Live'!CY207='check-Jul''26'!CU207,"",'1. Live'!CY207-'check-Jul''26'!CU207)</f>
        <v/>
      </c>
      <c r="CV189" s="25" t="str">
        <f>IF('1. Live'!CZ207='check-Jul''26'!CV207,"",'1. Live'!CZ207-'check-Jul''26'!CV207)</f>
        <v/>
      </c>
    </row>
    <row r="190" spans="17:100" x14ac:dyDescent="0.25">
      <c r="Q190" s="26" t="str">
        <f>IF('1. Live'!N208='check-Jul''26'!I208,"",'1. Live'!N208-'check-Jul''26'!I208)</f>
        <v/>
      </c>
      <c r="R190" s="26" t="str">
        <f>IF('1. Live'!O208='check-Jul''26'!J208,"",'1. Live'!O208-'check-Jul''26'!J208)</f>
        <v/>
      </c>
      <c r="S190" s="26" t="str">
        <f>IF('1. Live'!P208='check-Jul''26'!K208,"",'1. Live'!P208-'check-Jul''26'!K208)</f>
        <v/>
      </c>
      <c r="T190" s="26" t="str">
        <f>IF('1. Live'!Q208='check-Jul''26'!L208,"",'1. Live'!Q208-'check-Jul''26'!L208)</f>
        <v/>
      </c>
      <c r="U190" s="80" t="str">
        <f>IF('1. Live'!R208='check-Jul''26'!M208,"",'1. Live'!R208-'check-Jul''26'!M208)</f>
        <v/>
      </c>
      <c r="V190" s="26" t="str">
        <f>IF('1. Live'!S208='check-Jul''26'!N208,"",'1. Live'!S208-'check-Jul''26'!N208)</f>
        <v/>
      </c>
      <c r="W190" s="25" t="str">
        <f>IF('1. Live'!T208='check-Jul''26'!O208,"",'1. Live'!T208-'check-Jul''26'!O208)</f>
        <v/>
      </c>
      <c r="X190" s="25" t="str">
        <f>IF('1. Live'!U208='check-Jul''26'!Q208,"",'1. Live'!U208-'check-Jul''26'!Q208)</f>
        <v/>
      </c>
      <c r="Y190" s="25" t="str">
        <f>IF('1. Live'!V208='check-Jul''26'!R208,"",'1. Live'!V208-'check-Jul''26'!R208)</f>
        <v/>
      </c>
      <c r="Z190" s="25" t="str">
        <f>IF('1. Live'!W208='check-Jul''26'!S208,"",'1. Live'!W208-'check-Jul''26'!S208)</f>
        <v/>
      </c>
      <c r="AA190" s="25" t="str">
        <f>IF('1. Live'!X208='check-Jul''26'!T208,"",'1. Live'!X208-'check-Jul''26'!T208)</f>
        <v/>
      </c>
      <c r="AB190" s="25" t="str">
        <f>IF('1. Live'!AF208='check-Jul''26'!AB208,"",'1. Live'!AF208-'check-Jul''26'!AB208)</f>
        <v/>
      </c>
      <c r="AC190" s="25" t="str">
        <f>IF('1. Live'!AG208='check-Jul''26'!AC208,"",'1. Live'!AG208-'check-Jul''26'!AC208)</f>
        <v/>
      </c>
      <c r="AD190" s="25" t="str">
        <f>IF('1. Live'!AH208='check-Jul''26'!AD208,"",'1. Live'!AH208-'check-Jul''26'!AD208)</f>
        <v/>
      </c>
      <c r="AE190" s="25" t="str">
        <f>IF('1. Live'!AI208='check-Jul''26'!AE208,"",'1. Live'!AI208-'check-Jul''26'!AE208)</f>
        <v/>
      </c>
      <c r="AF190" s="25" t="str">
        <f>IF('1. Live'!AJ208='check-Jul''26'!AF208,"",'1. Live'!AJ208-'check-Jul''26'!AF208)</f>
        <v/>
      </c>
      <c r="AG190" s="25" t="str">
        <f>IF('1. Live'!AK208='check-Jul''26'!AG208,"",'1. Live'!AK208-'check-Jul''26'!AG208)</f>
        <v/>
      </c>
      <c r="AH190" s="25" t="str">
        <f>IF('1. Live'!AL208='check-Jul''26'!AH208,"",'1. Live'!AL208-'check-Jul''26'!AH208)</f>
        <v/>
      </c>
      <c r="AI190" s="25" t="str">
        <f>IF('1. Live'!AM208='check-Jul''26'!AI208,"",'1. Live'!AM208-'check-Jul''26'!AI208)</f>
        <v/>
      </c>
      <c r="AJ190" s="25" t="str">
        <f>IF('1. Live'!AN208='check-Jul''26'!AJ208,"",'1. Live'!AN208-'check-Jul''26'!AJ208)</f>
        <v/>
      </c>
      <c r="AK190" s="25" t="str">
        <f>IF('1. Live'!AO208='check-Jul''26'!AK208,"",'1. Live'!AO208-'check-Jul''26'!AK208)</f>
        <v/>
      </c>
      <c r="AL190" s="25" t="str">
        <f>IF('1. Live'!AP208='check-Jul''26'!AL208,"",'1. Live'!AP208-'check-Jul''26'!AL208)</f>
        <v/>
      </c>
      <c r="AM190" s="25" t="str">
        <f>IF('1. Live'!AQ208='check-Jul''26'!AM208,"",'1. Live'!AQ208-'check-Jul''26'!AM208)</f>
        <v/>
      </c>
      <c r="AN190" s="25" t="str">
        <f>IF('1. Live'!AR208='check-Jul''26'!AN208,"",'1. Live'!AR208-'check-Jul''26'!AN208)</f>
        <v/>
      </c>
      <c r="AO190" s="25" t="str">
        <f>IF('1. Live'!AS208='check-Jul''26'!AO208,"",'1. Live'!AS208-'check-Jul''26'!AO208)</f>
        <v/>
      </c>
      <c r="AP190" s="25" t="str">
        <f>IF('1. Live'!AT208='check-Jul''26'!AP208,"",'1. Live'!AT208-'check-Jul''26'!AP208)</f>
        <v/>
      </c>
      <c r="AQ190" s="25" t="str">
        <f>IF('1. Live'!AU208='check-Jul''26'!AQ208,"",'1. Live'!AU208-'check-Jul''26'!AQ208)</f>
        <v/>
      </c>
      <c r="AR190" s="25" t="str">
        <f>IF('1. Live'!AV208='check-Jul''26'!AR208,"",'1. Live'!AV208-'check-Jul''26'!AR208)</f>
        <v/>
      </c>
      <c r="AS190" s="25" t="str">
        <f>IF('1. Live'!AW208='check-Jul''26'!AS208,"",'1. Live'!AW208-'check-Jul''26'!AS208)</f>
        <v/>
      </c>
      <c r="AT190" s="25" t="str">
        <f>IF('1. Live'!AX208='check-Jul''26'!AT208,"",'1. Live'!AX208-'check-Jul''26'!AT208)</f>
        <v/>
      </c>
      <c r="AU190" s="25" t="str">
        <f>IF('1. Live'!AY208='check-Jul''26'!AU208,"",'1. Live'!AY208-'check-Jul''26'!AU208)</f>
        <v/>
      </c>
      <c r="AV190" s="25" t="str">
        <f>IF('1. Live'!AZ208='check-Jul''26'!AV208,"",'1. Live'!AZ208-'check-Jul''26'!AV208)</f>
        <v/>
      </c>
      <c r="AW190" s="25" t="str">
        <f>IF('1. Live'!BA208='check-Jul''26'!AW208,"",'1. Live'!BA208-'check-Jul''26'!AW208)</f>
        <v/>
      </c>
      <c r="AX190" s="25" t="str">
        <f>IF('1. Live'!BB208='check-Jul''26'!AX208,"",'1. Live'!BB208-'check-Jul''26'!AX208)</f>
        <v/>
      </c>
      <c r="AY190" s="25" t="str">
        <f>IF('1. Live'!BC208='check-Jul''26'!AY208,"",'1. Live'!BC208-'check-Jul''26'!AY208)</f>
        <v/>
      </c>
      <c r="AZ190" s="25" t="str">
        <f>IF('1. Live'!BD208='check-Jul''26'!AZ208,"",'1. Live'!BD208-'check-Jul''26'!AZ208)</f>
        <v/>
      </c>
      <c r="BA190" s="25" t="str">
        <f>IF('1. Live'!BE208='check-Jul''26'!BA208,"",'1. Live'!BE208-'check-Jul''26'!BA208)</f>
        <v/>
      </c>
      <c r="BB190" s="25" t="str">
        <f>IF('1. Live'!BF208='check-Jul''26'!BB208,"",'1. Live'!BF208-'check-Jul''26'!BB208)</f>
        <v/>
      </c>
      <c r="BC190" s="25" t="str">
        <f>IF('1. Live'!BG208='check-Jul''26'!BC208,"",'1. Live'!BG208-'check-Jul''26'!BC208)</f>
        <v/>
      </c>
      <c r="BD190" s="25" t="str">
        <f>IF('1. Live'!BH208='check-Jul''26'!BD208,"",'1. Live'!BH208-'check-Jul''26'!BD208)</f>
        <v/>
      </c>
      <c r="BE190" s="25" t="str">
        <f>IF('1. Live'!BI208='check-Jul''26'!BE208,"",'1. Live'!BI208-'check-Jul''26'!BE208)</f>
        <v/>
      </c>
      <c r="BF190" s="25" t="str">
        <f>IF('1. Live'!BJ208='check-Jul''26'!BF208,"",'1. Live'!BJ208-'check-Jul''26'!BF208)</f>
        <v/>
      </c>
      <c r="BG190" s="25" t="str">
        <f>IF('1. Live'!BK208='check-Jul''26'!BG208,"",'1. Live'!BK208-'check-Jul''26'!BG208)</f>
        <v/>
      </c>
      <c r="BH190" s="25" t="str">
        <f>IF('1. Live'!BL208='check-Jul''26'!BH208,"",'1. Live'!BL208-'check-Jul''26'!BH208)</f>
        <v/>
      </c>
      <c r="BI190" s="25" t="str">
        <f>IF('1. Live'!BM208='check-Jul''26'!BI208,"",'1. Live'!BM208-'check-Jul''26'!BI208)</f>
        <v/>
      </c>
      <c r="BJ190" s="25" t="str">
        <f>IF('1. Live'!BN208='check-Jul''26'!BJ208,"",'1. Live'!BN208-'check-Jul''26'!BJ208)</f>
        <v/>
      </c>
      <c r="BK190" s="25" t="str">
        <f>IF('1. Live'!BO208='check-Jul''26'!BK208,"",'1. Live'!BO208-'check-Jul''26'!BK208)</f>
        <v/>
      </c>
      <c r="BL190" s="25" t="str">
        <f>IF('1. Live'!BP208='check-Jul''26'!BL208,"",'1. Live'!BP208-'check-Jul''26'!BL208)</f>
        <v/>
      </c>
      <c r="BM190" s="25" t="str">
        <f>IF('1. Live'!BQ208='check-Jul''26'!BM208,"",'1. Live'!BQ208-'check-Jul''26'!BM208)</f>
        <v/>
      </c>
      <c r="BN190" s="25" t="str">
        <f>IF('1. Live'!BR208='check-Jul''26'!BN208,"",'1. Live'!BR208-'check-Jul''26'!BN208)</f>
        <v/>
      </c>
      <c r="BO190" s="25" t="str">
        <f>IF('1. Live'!BS208='check-Jul''26'!BO208,"",'1. Live'!BS208-'check-Jul''26'!BO208)</f>
        <v/>
      </c>
      <c r="BP190" s="25" t="str">
        <f>IF('1. Live'!BT208='check-Jul''26'!BP208,"",'1. Live'!BT208-'check-Jul''26'!BP208)</f>
        <v/>
      </c>
      <c r="BQ190" s="25" t="str">
        <f>IF('1. Live'!BU208='check-Jul''26'!BQ208,"",'1. Live'!BU208-'check-Jul''26'!BQ208)</f>
        <v/>
      </c>
      <c r="BR190" s="25" t="str">
        <f>IF('1. Live'!BV208='check-Jul''26'!BR208,"",'1. Live'!BV208-'check-Jul''26'!BR208)</f>
        <v/>
      </c>
      <c r="BS190" s="25" t="str">
        <f>IF('1. Live'!BW208='check-Jul''26'!BS208,"",'1. Live'!BW208-'check-Jul''26'!BS208)</f>
        <v/>
      </c>
      <c r="BT190" s="25" t="str">
        <f>IF('1. Live'!BX208='check-Jul''26'!BT208,"",'1. Live'!BX208-'check-Jul''26'!BT208)</f>
        <v/>
      </c>
      <c r="BU190" s="25" t="str">
        <f>IF('1. Live'!BY208='check-Jul''26'!BU208,"",'1. Live'!BY208-'check-Jul''26'!BU208)</f>
        <v/>
      </c>
      <c r="BV190" s="25" t="str">
        <f>IF('1. Live'!BZ208='check-Jul''26'!BV208,"",'1. Live'!BZ208-'check-Jul''26'!BV208)</f>
        <v/>
      </c>
      <c r="BW190" s="25" t="str">
        <f>IF('1. Live'!CA208='check-Jul''26'!BW208,"",'1. Live'!CA208-'check-Jul''26'!BW208)</f>
        <v/>
      </c>
      <c r="BX190" s="25" t="str">
        <f>IF('1. Live'!CB208='check-Jul''26'!BX208,"",'1. Live'!CB208-'check-Jul''26'!BX208)</f>
        <v/>
      </c>
      <c r="BY190" s="25" t="str">
        <f>IF('1. Live'!CC208='check-Jul''26'!BY208,"",'1. Live'!CC208-'check-Jul''26'!BY208)</f>
        <v/>
      </c>
      <c r="BZ190" s="25" t="str">
        <f>IF('1. Live'!CD208='check-Jul''26'!BZ208,"",'1. Live'!CD208-'check-Jul''26'!BZ208)</f>
        <v/>
      </c>
      <c r="CA190" s="25" t="str">
        <f>IF('1. Live'!CE208='check-Jul''26'!CA208,"",'1. Live'!CE208-'check-Jul''26'!CA208)</f>
        <v/>
      </c>
      <c r="CB190" s="25" t="str">
        <f>IF('1. Live'!CF208='check-Jul''26'!CB208,"",'1. Live'!CF208-'check-Jul''26'!CB208)</f>
        <v/>
      </c>
      <c r="CC190" s="25" t="str">
        <f>IF('1. Live'!CG208='check-Jul''26'!CC208,"",'1. Live'!CG208-'check-Jul''26'!CC208)</f>
        <v/>
      </c>
      <c r="CD190" s="25" t="str">
        <f>IF('1. Live'!CH208='check-Jul''26'!CD208,"",'1. Live'!CH208-'check-Jul''26'!CD208)</f>
        <v/>
      </c>
      <c r="CE190" s="25" t="str">
        <f>IF('1. Live'!CI208='check-Jul''26'!CE208,"",'1. Live'!CI208-'check-Jul''26'!CE208)</f>
        <v/>
      </c>
      <c r="CF190" s="25" t="str">
        <f>IF('1. Live'!CJ208='check-Jul''26'!CF208,"",'1. Live'!CJ208-'check-Jul''26'!CF208)</f>
        <v/>
      </c>
      <c r="CG190" s="25" t="str">
        <f>IF('1. Live'!CK208='check-Jul''26'!CG208,"",'1. Live'!CK208-'check-Jul''26'!CG208)</f>
        <v/>
      </c>
      <c r="CH190" s="25" t="str">
        <f>IF('1. Live'!CL208='check-Jul''26'!CH208,"",'1. Live'!CL208-'check-Jul''26'!CH208)</f>
        <v/>
      </c>
      <c r="CI190" s="25" t="str">
        <f>IF('1. Live'!CM208='check-Jul''26'!CI208,"",'1. Live'!CM208-'check-Jul''26'!CI208)</f>
        <v/>
      </c>
      <c r="CJ190" s="25" t="str">
        <f>IF('1. Live'!CN208='check-Jul''26'!CJ208,"",'1. Live'!CN208-'check-Jul''26'!CJ208)</f>
        <v/>
      </c>
      <c r="CK190" s="25" t="str">
        <f>IF('1. Live'!CO208='check-Jul''26'!CK208,"",'1. Live'!CO208-'check-Jul''26'!CK208)</f>
        <v/>
      </c>
      <c r="CL190" s="25" t="str">
        <f>IF('1. Live'!CP208='check-Jul''26'!CL208,"",'1. Live'!CP208-'check-Jul''26'!CL208)</f>
        <v/>
      </c>
      <c r="CM190" s="25" t="str">
        <f>IF('1. Live'!CQ208='check-Jul''26'!CM208,"",'1. Live'!CQ208-'check-Jul''26'!CM208)</f>
        <v/>
      </c>
      <c r="CN190" s="25" t="str">
        <f>IF('1. Live'!CR208='check-Jul''26'!CN208,"",'1. Live'!CR208-'check-Jul''26'!CN208)</f>
        <v/>
      </c>
      <c r="CO190" s="25" t="str">
        <f>IF('1. Live'!CS208='check-Jul''26'!CO208,"",'1. Live'!CS208-'check-Jul''26'!CO208)</f>
        <v/>
      </c>
      <c r="CP190" s="25" t="str">
        <f>IF('1. Live'!CT208='check-Jul''26'!CP208,"",'1. Live'!CT208-'check-Jul''26'!CP208)</f>
        <v/>
      </c>
      <c r="CQ190" s="25" t="str">
        <f>IF('1. Live'!CU208='check-Jul''26'!CQ208,"",'1. Live'!CU208-'check-Jul''26'!CQ208)</f>
        <v/>
      </c>
      <c r="CR190" s="25" t="str">
        <f>IF('1. Live'!CV208='check-Jul''26'!CR208,"",'1. Live'!CV208-'check-Jul''26'!CR208)</f>
        <v/>
      </c>
      <c r="CS190" s="25" t="str">
        <f>IF('1. Live'!CW208='check-Jul''26'!CS208,"",'1. Live'!CW208-'check-Jul''26'!CS208)</f>
        <v/>
      </c>
      <c r="CT190" s="25" t="str">
        <f>IF('1. Live'!CX208='check-Jul''26'!CT208,"",'1. Live'!CX208-'check-Jul''26'!CT208)</f>
        <v/>
      </c>
      <c r="CU190" s="25" t="str">
        <f>IF('1. Live'!CY208='check-Jul''26'!CU208,"",'1. Live'!CY208-'check-Jul''26'!CU208)</f>
        <v/>
      </c>
      <c r="CV190" s="25" t="str">
        <f>IF('1. Live'!CZ208='check-Jul''26'!CV208,"",'1. Live'!CZ208-'check-Jul''26'!CV208)</f>
        <v/>
      </c>
    </row>
    <row r="191" spans="17:100" x14ac:dyDescent="0.25">
      <c r="Q191" s="26" t="str">
        <f>IF('1. Live'!N209='check-Jul''26'!I209,"",'1. Live'!N209-'check-Jul''26'!I209)</f>
        <v/>
      </c>
      <c r="R191" s="26" t="str">
        <f>IF('1. Live'!O209='check-Jul''26'!J209,"",'1. Live'!O209-'check-Jul''26'!J209)</f>
        <v/>
      </c>
      <c r="S191" s="26" t="str">
        <f>IF('1. Live'!P209='check-Jul''26'!K209,"",'1. Live'!P209-'check-Jul''26'!K209)</f>
        <v/>
      </c>
      <c r="T191" s="26" t="str">
        <f>IF('1. Live'!Q209='check-Jul''26'!L209,"",'1. Live'!Q209-'check-Jul''26'!L209)</f>
        <v/>
      </c>
      <c r="U191" s="80" t="str">
        <f>IF('1. Live'!R209='check-Jul''26'!M209,"",'1. Live'!R209-'check-Jul''26'!M209)</f>
        <v/>
      </c>
      <c r="V191" s="26" t="str">
        <f>IF('1. Live'!S209='check-Jul''26'!N209,"",'1. Live'!S209-'check-Jul''26'!N209)</f>
        <v/>
      </c>
      <c r="W191" s="25" t="str">
        <f>IF('1. Live'!T209='check-Jul''26'!O209,"",'1. Live'!T209-'check-Jul''26'!O209)</f>
        <v/>
      </c>
      <c r="X191" s="25" t="str">
        <f>IF('1. Live'!U209='check-Jul''26'!Q209,"",'1. Live'!U209-'check-Jul''26'!Q209)</f>
        <v/>
      </c>
      <c r="Y191" s="25" t="str">
        <f>IF('1. Live'!V209='check-Jul''26'!R209,"",'1. Live'!V209-'check-Jul''26'!R209)</f>
        <v/>
      </c>
      <c r="Z191" s="25" t="str">
        <f>IF('1. Live'!W209='check-Jul''26'!S209,"",'1. Live'!W209-'check-Jul''26'!S209)</f>
        <v/>
      </c>
      <c r="AA191" s="25" t="str">
        <f>IF('1. Live'!X209='check-Jul''26'!T209,"",'1. Live'!X209-'check-Jul''26'!T209)</f>
        <v/>
      </c>
      <c r="AB191" s="25" t="str">
        <f>IF('1. Live'!AF209='check-Jul''26'!AB209,"",'1. Live'!AF209-'check-Jul''26'!AB209)</f>
        <v/>
      </c>
      <c r="AC191" s="25" t="str">
        <f>IF('1. Live'!AG209='check-Jul''26'!AC209,"",'1. Live'!AG209-'check-Jul''26'!AC209)</f>
        <v/>
      </c>
      <c r="AD191" s="25" t="str">
        <f>IF('1. Live'!AH209='check-Jul''26'!AD209,"",'1. Live'!AH209-'check-Jul''26'!AD209)</f>
        <v/>
      </c>
      <c r="AE191" s="25" t="str">
        <f>IF('1. Live'!AI209='check-Jul''26'!AE209,"",'1. Live'!AI209-'check-Jul''26'!AE209)</f>
        <v/>
      </c>
      <c r="AF191" s="25" t="str">
        <f>IF('1. Live'!AJ209='check-Jul''26'!AF209,"",'1. Live'!AJ209-'check-Jul''26'!AF209)</f>
        <v/>
      </c>
      <c r="AG191" s="25" t="str">
        <f>IF('1. Live'!AK209='check-Jul''26'!AG209,"",'1. Live'!AK209-'check-Jul''26'!AG209)</f>
        <v/>
      </c>
      <c r="AH191" s="25" t="str">
        <f>IF('1. Live'!AL209='check-Jul''26'!AH209,"",'1. Live'!AL209-'check-Jul''26'!AH209)</f>
        <v/>
      </c>
      <c r="AI191" s="25" t="str">
        <f>IF('1. Live'!AM209='check-Jul''26'!AI209,"",'1. Live'!AM209-'check-Jul''26'!AI209)</f>
        <v/>
      </c>
      <c r="AJ191" s="25" t="str">
        <f>IF('1. Live'!AN209='check-Jul''26'!AJ209,"",'1. Live'!AN209-'check-Jul''26'!AJ209)</f>
        <v/>
      </c>
      <c r="AK191" s="25" t="str">
        <f>IF('1. Live'!AO209='check-Jul''26'!AK209,"",'1. Live'!AO209-'check-Jul''26'!AK209)</f>
        <v/>
      </c>
      <c r="AL191" s="25" t="str">
        <f>IF('1. Live'!AP209='check-Jul''26'!AL209,"",'1. Live'!AP209-'check-Jul''26'!AL209)</f>
        <v/>
      </c>
      <c r="AM191" s="25" t="str">
        <f>IF('1. Live'!AQ209='check-Jul''26'!AM209,"",'1. Live'!AQ209-'check-Jul''26'!AM209)</f>
        <v/>
      </c>
      <c r="AN191" s="25" t="str">
        <f>IF('1. Live'!AR209='check-Jul''26'!AN209,"",'1. Live'!AR209-'check-Jul''26'!AN209)</f>
        <v/>
      </c>
      <c r="AO191" s="25" t="str">
        <f>IF('1. Live'!AS209='check-Jul''26'!AO209,"",'1. Live'!AS209-'check-Jul''26'!AO209)</f>
        <v/>
      </c>
      <c r="AP191" s="25" t="str">
        <f>IF('1. Live'!AT209='check-Jul''26'!AP209,"",'1. Live'!AT209-'check-Jul''26'!AP209)</f>
        <v/>
      </c>
      <c r="AQ191" s="25" t="str">
        <f>IF('1. Live'!AU209='check-Jul''26'!AQ209,"",'1. Live'!AU209-'check-Jul''26'!AQ209)</f>
        <v/>
      </c>
      <c r="AR191" s="25" t="str">
        <f>IF('1. Live'!AV209='check-Jul''26'!AR209,"",'1. Live'!AV209-'check-Jul''26'!AR209)</f>
        <v/>
      </c>
      <c r="AS191" s="25" t="str">
        <f>IF('1. Live'!AW209='check-Jul''26'!AS209,"",'1. Live'!AW209-'check-Jul''26'!AS209)</f>
        <v/>
      </c>
      <c r="AT191" s="25" t="str">
        <f>IF('1. Live'!AX209='check-Jul''26'!AT209,"",'1. Live'!AX209-'check-Jul''26'!AT209)</f>
        <v/>
      </c>
      <c r="AU191" s="25" t="str">
        <f>IF('1. Live'!AY209='check-Jul''26'!AU209,"",'1. Live'!AY209-'check-Jul''26'!AU209)</f>
        <v/>
      </c>
      <c r="AV191" s="25" t="str">
        <f>IF('1. Live'!AZ209='check-Jul''26'!AV209,"",'1. Live'!AZ209-'check-Jul''26'!AV209)</f>
        <v/>
      </c>
      <c r="AW191" s="25" t="str">
        <f>IF('1. Live'!BA209='check-Jul''26'!AW209,"",'1. Live'!BA209-'check-Jul''26'!AW209)</f>
        <v/>
      </c>
      <c r="AX191" s="25" t="str">
        <f>IF('1. Live'!BB209='check-Jul''26'!AX209,"",'1. Live'!BB209-'check-Jul''26'!AX209)</f>
        <v/>
      </c>
      <c r="AY191" s="25" t="str">
        <f>IF('1. Live'!BC209='check-Jul''26'!AY209,"",'1. Live'!BC209-'check-Jul''26'!AY209)</f>
        <v/>
      </c>
      <c r="AZ191" s="25" t="str">
        <f>IF('1. Live'!BD209='check-Jul''26'!AZ209,"",'1. Live'!BD209-'check-Jul''26'!AZ209)</f>
        <v/>
      </c>
      <c r="BA191" s="25" t="str">
        <f>IF('1. Live'!BE209='check-Jul''26'!BA209,"",'1. Live'!BE209-'check-Jul''26'!BA209)</f>
        <v/>
      </c>
      <c r="BB191" s="25" t="str">
        <f>IF('1. Live'!BF209='check-Jul''26'!BB209,"",'1. Live'!BF209-'check-Jul''26'!BB209)</f>
        <v/>
      </c>
      <c r="BC191" s="25" t="str">
        <f>IF('1. Live'!BG209='check-Jul''26'!BC209,"",'1. Live'!BG209-'check-Jul''26'!BC209)</f>
        <v/>
      </c>
      <c r="BD191" s="25" t="str">
        <f>IF('1. Live'!BH209='check-Jul''26'!BD209,"",'1. Live'!BH209-'check-Jul''26'!BD209)</f>
        <v/>
      </c>
      <c r="BE191" s="25" t="str">
        <f>IF('1. Live'!BI209='check-Jul''26'!BE209,"",'1. Live'!BI209-'check-Jul''26'!BE209)</f>
        <v/>
      </c>
      <c r="BF191" s="25" t="str">
        <f>IF('1. Live'!BJ209='check-Jul''26'!BF209,"",'1. Live'!BJ209-'check-Jul''26'!BF209)</f>
        <v/>
      </c>
      <c r="BG191" s="25" t="str">
        <f>IF('1. Live'!BK209='check-Jul''26'!BG209,"",'1. Live'!BK209-'check-Jul''26'!BG209)</f>
        <v/>
      </c>
      <c r="BH191" s="25" t="str">
        <f>IF('1. Live'!BL209='check-Jul''26'!BH209,"",'1. Live'!BL209-'check-Jul''26'!BH209)</f>
        <v/>
      </c>
      <c r="BI191" s="25" t="str">
        <f>IF('1. Live'!BM209='check-Jul''26'!BI209,"",'1. Live'!BM209-'check-Jul''26'!BI209)</f>
        <v/>
      </c>
      <c r="BJ191" s="25" t="str">
        <f>IF('1. Live'!BN209='check-Jul''26'!BJ209,"",'1. Live'!BN209-'check-Jul''26'!BJ209)</f>
        <v/>
      </c>
      <c r="BK191" s="25" t="str">
        <f>IF('1. Live'!BO209='check-Jul''26'!BK209,"",'1. Live'!BO209-'check-Jul''26'!BK209)</f>
        <v/>
      </c>
      <c r="BL191" s="25" t="str">
        <f>IF('1. Live'!BP209='check-Jul''26'!BL209,"",'1. Live'!BP209-'check-Jul''26'!BL209)</f>
        <v/>
      </c>
      <c r="BM191" s="25" t="str">
        <f>IF('1. Live'!BQ209='check-Jul''26'!BM209,"",'1. Live'!BQ209-'check-Jul''26'!BM209)</f>
        <v/>
      </c>
      <c r="BN191" s="25" t="str">
        <f>IF('1. Live'!BR209='check-Jul''26'!BN209,"",'1. Live'!BR209-'check-Jul''26'!BN209)</f>
        <v/>
      </c>
      <c r="BO191" s="25" t="str">
        <f>IF('1. Live'!BS209='check-Jul''26'!BO209,"",'1. Live'!BS209-'check-Jul''26'!BO209)</f>
        <v/>
      </c>
      <c r="BP191" s="25" t="str">
        <f>IF('1. Live'!BT209='check-Jul''26'!BP209,"",'1. Live'!BT209-'check-Jul''26'!BP209)</f>
        <v/>
      </c>
      <c r="BQ191" s="25" t="str">
        <f>IF('1. Live'!BU209='check-Jul''26'!BQ209,"",'1. Live'!BU209-'check-Jul''26'!BQ209)</f>
        <v/>
      </c>
      <c r="BR191" s="25" t="str">
        <f>IF('1. Live'!BV209='check-Jul''26'!BR209,"",'1. Live'!BV209-'check-Jul''26'!BR209)</f>
        <v/>
      </c>
      <c r="BS191" s="25" t="str">
        <f>IF('1. Live'!BW209='check-Jul''26'!BS209,"",'1. Live'!BW209-'check-Jul''26'!BS209)</f>
        <v/>
      </c>
      <c r="BT191" s="25" t="str">
        <f>IF('1. Live'!BX209='check-Jul''26'!BT209,"",'1. Live'!BX209-'check-Jul''26'!BT209)</f>
        <v/>
      </c>
      <c r="BU191" s="25" t="str">
        <f>IF('1. Live'!BY209='check-Jul''26'!BU209,"",'1. Live'!BY209-'check-Jul''26'!BU209)</f>
        <v/>
      </c>
      <c r="BV191" s="25" t="str">
        <f>IF('1. Live'!BZ209='check-Jul''26'!BV209,"",'1. Live'!BZ209-'check-Jul''26'!BV209)</f>
        <v/>
      </c>
      <c r="BW191" s="25" t="str">
        <f>IF('1. Live'!CA209='check-Jul''26'!BW209,"",'1. Live'!CA209-'check-Jul''26'!BW209)</f>
        <v/>
      </c>
      <c r="BX191" s="25" t="str">
        <f>IF('1. Live'!CB209='check-Jul''26'!BX209,"",'1. Live'!CB209-'check-Jul''26'!BX209)</f>
        <v/>
      </c>
      <c r="BY191" s="25" t="str">
        <f>IF('1. Live'!CC209='check-Jul''26'!BY209,"",'1. Live'!CC209-'check-Jul''26'!BY209)</f>
        <v/>
      </c>
      <c r="BZ191" s="25" t="str">
        <f>IF('1. Live'!CD209='check-Jul''26'!BZ209,"",'1. Live'!CD209-'check-Jul''26'!BZ209)</f>
        <v/>
      </c>
      <c r="CA191" s="25" t="str">
        <f>IF('1. Live'!CE209='check-Jul''26'!CA209,"",'1. Live'!CE209-'check-Jul''26'!CA209)</f>
        <v/>
      </c>
      <c r="CB191" s="25" t="str">
        <f>IF('1. Live'!CF209='check-Jul''26'!CB209,"",'1. Live'!CF209-'check-Jul''26'!CB209)</f>
        <v/>
      </c>
      <c r="CC191" s="25" t="str">
        <f>IF('1. Live'!CG209='check-Jul''26'!CC209,"",'1. Live'!CG209-'check-Jul''26'!CC209)</f>
        <v/>
      </c>
      <c r="CD191" s="25" t="str">
        <f>IF('1. Live'!CH209='check-Jul''26'!CD209,"",'1. Live'!CH209-'check-Jul''26'!CD209)</f>
        <v/>
      </c>
      <c r="CE191" s="25" t="str">
        <f>IF('1. Live'!CI209='check-Jul''26'!CE209,"",'1. Live'!CI209-'check-Jul''26'!CE209)</f>
        <v/>
      </c>
      <c r="CF191" s="25" t="str">
        <f>IF('1. Live'!CJ209='check-Jul''26'!CF209,"",'1. Live'!CJ209-'check-Jul''26'!CF209)</f>
        <v/>
      </c>
      <c r="CG191" s="25" t="str">
        <f>IF('1. Live'!CK209='check-Jul''26'!CG209,"",'1. Live'!CK209-'check-Jul''26'!CG209)</f>
        <v/>
      </c>
      <c r="CH191" s="25" t="str">
        <f>IF('1. Live'!CL209='check-Jul''26'!CH209,"",'1. Live'!CL209-'check-Jul''26'!CH209)</f>
        <v/>
      </c>
      <c r="CI191" s="25" t="str">
        <f>IF('1. Live'!CM209='check-Jul''26'!CI209,"",'1. Live'!CM209-'check-Jul''26'!CI209)</f>
        <v/>
      </c>
      <c r="CJ191" s="25" t="str">
        <f>IF('1. Live'!CN209='check-Jul''26'!CJ209,"",'1. Live'!CN209-'check-Jul''26'!CJ209)</f>
        <v/>
      </c>
      <c r="CK191" s="25" t="str">
        <f>IF('1. Live'!CO209='check-Jul''26'!CK209,"",'1. Live'!CO209-'check-Jul''26'!CK209)</f>
        <v/>
      </c>
      <c r="CL191" s="25" t="str">
        <f>IF('1. Live'!CP209='check-Jul''26'!CL209,"",'1. Live'!CP209-'check-Jul''26'!CL209)</f>
        <v/>
      </c>
      <c r="CM191" s="25" t="str">
        <f>IF('1. Live'!CQ209='check-Jul''26'!CM209,"",'1. Live'!CQ209-'check-Jul''26'!CM209)</f>
        <v/>
      </c>
      <c r="CN191" s="25" t="str">
        <f>IF('1. Live'!CR209='check-Jul''26'!CN209,"",'1. Live'!CR209-'check-Jul''26'!CN209)</f>
        <v/>
      </c>
      <c r="CO191" s="25" t="str">
        <f>IF('1. Live'!CS209='check-Jul''26'!CO209,"",'1. Live'!CS209-'check-Jul''26'!CO209)</f>
        <v/>
      </c>
      <c r="CP191" s="25" t="str">
        <f>IF('1. Live'!CT209='check-Jul''26'!CP209,"",'1. Live'!CT209-'check-Jul''26'!CP209)</f>
        <v/>
      </c>
      <c r="CQ191" s="25" t="str">
        <f>IF('1. Live'!CU209='check-Jul''26'!CQ209,"",'1. Live'!CU209-'check-Jul''26'!CQ209)</f>
        <v/>
      </c>
      <c r="CR191" s="25" t="str">
        <f>IF('1. Live'!CV209='check-Jul''26'!CR209,"",'1. Live'!CV209-'check-Jul''26'!CR209)</f>
        <v/>
      </c>
      <c r="CS191" s="25" t="str">
        <f>IF('1. Live'!CW209='check-Jul''26'!CS209,"",'1. Live'!CW209-'check-Jul''26'!CS209)</f>
        <v/>
      </c>
      <c r="CT191" s="25" t="str">
        <f>IF('1. Live'!CX209='check-Jul''26'!CT209,"",'1. Live'!CX209-'check-Jul''26'!CT209)</f>
        <v/>
      </c>
      <c r="CU191" s="25" t="str">
        <f>IF('1. Live'!CY209='check-Jul''26'!CU209,"",'1. Live'!CY209-'check-Jul''26'!CU209)</f>
        <v/>
      </c>
      <c r="CV191" s="25" t="str">
        <f>IF('1. Live'!CZ209='check-Jul''26'!CV209,"",'1. Live'!CZ209-'check-Jul''26'!CV209)</f>
        <v/>
      </c>
    </row>
    <row r="192" spans="17:100" x14ac:dyDescent="0.25">
      <c r="Q192" s="26" t="str">
        <f>IF('1. Live'!N210='check-Jul''26'!I210,"",'1. Live'!N210-'check-Jul''26'!I210)</f>
        <v/>
      </c>
      <c r="R192" s="26" t="str">
        <f>IF('1. Live'!O210='check-Jul''26'!J210,"",'1. Live'!O210-'check-Jul''26'!J210)</f>
        <v/>
      </c>
      <c r="S192" s="26" t="str">
        <f>IF('1. Live'!P210='check-Jul''26'!K210,"",'1. Live'!P210-'check-Jul''26'!K210)</f>
        <v/>
      </c>
      <c r="T192" s="26" t="str">
        <f>IF('1. Live'!Q210='check-Jul''26'!L210,"",'1. Live'!Q210-'check-Jul''26'!L210)</f>
        <v/>
      </c>
      <c r="U192" s="80" t="str">
        <f>IF('1. Live'!R210='check-Jul''26'!M210,"",'1. Live'!R210-'check-Jul''26'!M210)</f>
        <v/>
      </c>
      <c r="V192" s="26" t="str">
        <f>IF('1. Live'!S210='check-Jul''26'!N210,"",'1. Live'!S210-'check-Jul''26'!N210)</f>
        <v/>
      </c>
      <c r="W192" s="25" t="str">
        <f>IF('1. Live'!T210='check-Jul''26'!O210,"",'1. Live'!T210-'check-Jul''26'!O210)</f>
        <v/>
      </c>
      <c r="X192" s="25" t="str">
        <f>IF('1. Live'!U210='check-Jul''26'!Q210,"",'1. Live'!U210-'check-Jul''26'!Q210)</f>
        <v/>
      </c>
      <c r="Y192" s="25" t="str">
        <f>IF('1. Live'!V210='check-Jul''26'!R210,"",'1. Live'!V210-'check-Jul''26'!R210)</f>
        <v/>
      </c>
      <c r="Z192" s="25" t="str">
        <f>IF('1. Live'!W210='check-Jul''26'!S210,"",'1. Live'!W210-'check-Jul''26'!S210)</f>
        <v/>
      </c>
      <c r="AA192" s="25" t="str">
        <f>IF('1. Live'!X210='check-Jul''26'!T210,"",'1. Live'!X210-'check-Jul''26'!T210)</f>
        <v/>
      </c>
      <c r="AB192" s="25" t="str">
        <f>IF('1. Live'!AF210='check-Jul''26'!AB210,"",'1. Live'!AF210-'check-Jul''26'!AB210)</f>
        <v/>
      </c>
      <c r="AC192" s="25" t="str">
        <f>IF('1. Live'!AG210='check-Jul''26'!AC210,"",'1. Live'!AG210-'check-Jul''26'!AC210)</f>
        <v/>
      </c>
      <c r="AD192" s="25" t="str">
        <f>IF('1. Live'!AH210='check-Jul''26'!AD210,"",'1. Live'!AH210-'check-Jul''26'!AD210)</f>
        <v/>
      </c>
      <c r="AE192" s="25" t="str">
        <f>IF('1. Live'!AI210='check-Jul''26'!AE210,"",'1. Live'!AI210-'check-Jul''26'!AE210)</f>
        <v/>
      </c>
      <c r="AF192" s="25" t="str">
        <f>IF('1. Live'!AJ210='check-Jul''26'!AF210,"",'1. Live'!AJ210-'check-Jul''26'!AF210)</f>
        <v/>
      </c>
      <c r="AG192" s="25" t="str">
        <f>IF('1. Live'!AK210='check-Jul''26'!AG210,"",'1. Live'!AK210-'check-Jul''26'!AG210)</f>
        <v/>
      </c>
      <c r="AH192" s="25" t="str">
        <f>IF('1. Live'!AL210='check-Jul''26'!AH210,"",'1. Live'!AL210-'check-Jul''26'!AH210)</f>
        <v/>
      </c>
      <c r="AI192" s="25" t="str">
        <f>IF('1. Live'!AM210='check-Jul''26'!AI210,"",'1. Live'!AM210-'check-Jul''26'!AI210)</f>
        <v/>
      </c>
      <c r="AJ192" s="25" t="str">
        <f>IF('1. Live'!AN210='check-Jul''26'!AJ210,"",'1. Live'!AN210-'check-Jul''26'!AJ210)</f>
        <v/>
      </c>
      <c r="AK192" s="25" t="str">
        <f>IF('1. Live'!AO210='check-Jul''26'!AK210,"",'1. Live'!AO210-'check-Jul''26'!AK210)</f>
        <v/>
      </c>
      <c r="AL192" s="25" t="str">
        <f>IF('1. Live'!AP210='check-Jul''26'!AL210,"",'1. Live'!AP210-'check-Jul''26'!AL210)</f>
        <v/>
      </c>
      <c r="AM192" s="25" t="str">
        <f>IF('1. Live'!AQ210='check-Jul''26'!AM210,"",'1. Live'!AQ210-'check-Jul''26'!AM210)</f>
        <v/>
      </c>
      <c r="AN192" s="25" t="str">
        <f>IF('1. Live'!AR210='check-Jul''26'!AN210,"",'1. Live'!AR210-'check-Jul''26'!AN210)</f>
        <v/>
      </c>
      <c r="AO192" s="25" t="str">
        <f>IF('1. Live'!AS210='check-Jul''26'!AO210,"",'1. Live'!AS210-'check-Jul''26'!AO210)</f>
        <v/>
      </c>
      <c r="AP192" s="25" t="str">
        <f>IF('1. Live'!AT210='check-Jul''26'!AP210,"",'1. Live'!AT210-'check-Jul''26'!AP210)</f>
        <v/>
      </c>
      <c r="AQ192" s="25" t="str">
        <f>IF('1. Live'!AU210='check-Jul''26'!AQ210,"",'1. Live'!AU210-'check-Jul''26'!AQ210)</f>
        <v/>
      </c>
      <c r="AR192" s="25" t="str">
        <f>IF('1. Live'!AV210='check-Jul''26'!AR210,"",'1. Live'!AV210-'check-Jul''26'!AR210)</f>
        <v/>
      </c>
      <c r="AS192" s="25" t="str">
        <f>IF('1. Live'!AW210='check-Jul''26'!AS210,"",'1. Live'!AW210-'check-Jul''26'!AS210)</f>
        <v/>
      </c>
      <c r="AT192" s="25" t="str">
        <f>IF('1. Live'!AX210='check-Jul''26'!AT210,"",'1. Live'!AX210-'check-Jul''26'!AT210)</f>
        <v/>
      </c>
      <c r="AU192" s="25" t="str">
        <f>IF('1. Live'!AY210='check-Jul''26'!AU210,"",'1. Live'!AY210-'check-Jul''26'!AU210)</f>
        <v/>
      </c>
      <c r="AV192" s="25" t="str">
        <f>IF('1. Live'!AZ210='check-Jul''26'!AV210,"",'1. Live'!AZ210-'check-Jul''26'!AV210)</f>
        <v/>
      </c>
      <c r="AW192" s="25" t="str">
        <f>IF('1. Live'!BA210='check-Jul''26'!AW210,"",'1. Live'!BA210-'check-Jul''26'!AW210)</f>
        <v/>
      </c>
      <c r="AX192" s="25" t="str">
        <f>IF('1. Live'!BB210='check-Jul''26'!AX210,"",'1. Live'!BB210-'check-Jul''26'!AX210)</f>
        <v/>
      </c>
      <c r="AY192" s="25" t="str">
        <f>IF('1. Live'!BC210='check-Jul''26'!AY210,"",'1. Live'!BC210-'check-Jul''26'!AY210)</f>
        <v/>
      </c>
      <c r="AZ192" s="25" t="str">
        <f>IF('1. Live'!BD210='check-Jul''26'!AZ210,"",'1. Live'!BD210-'check-Jul''26'!AZ210)</f>
        <v/>
      </c>
      <c r="BA192" s="25" t="str">
        <f>IF('1. Live'!BE210='check-Jul''26'!BA210,"",'1. Live'!BE210-'check-Jul''26'!BA210)</f>
        <v/>
      </c>
      <c r="BB192" s="25" t="str">
        <f>IF('1. Live'!BF210='check-Jul''26'!BB210,"",'1. Live'!BF210-'check-Jul''26'!BB210)</f>
        <v/>
      </c>
      <c r="BC192" s="25" t="str">
        <f>IF('1. Live'!BG210='check-Jul''26'!BC210,"",'1. Live'!BG210-'check-Jul''26'!BC210)</f>
        <v/>
      </c>
      <c r="BD192" s="25" t="str">
        <f>IF('1. Live'!BH210='check-Jul''26'!BD210,"",'1. Live'!BH210-'check-Jul''26'!BD210)</f>
        <v/>
      </c>
      <c r="BE192" s="25" t="str">
        <f>IF('1. Live'!BI210='check-Jul''26'!BE210,"",'1. Live'!BI210-'check-Jul''26'!BE210)</f>
        <v/>
      </c>
      <c r="BF192" s="25" t="str">
        <f>IF('1. Live'!BJ210='check-Jul''26'!BF210,"",'1. Live'!BJ210-'check-Jul''26'!BF210)</f>
        <v/>
      </c>
      <c r="BG192" s="25" t="str">
        <f>IF('1. Live'!BK210='check-Jul''26'!BG210,"",'1. Live'!BK210-'check-Jul''26'!BG210)</f>
        <v/>
      </c>
      <c r="BH192" s="25" t="str">
        <f>IF('1. Live'!BL210='check-Jul''26'!BH210,"",'1. Live'!BL210-'check-Jul''26'!BH210)</f>
        <v/>
      </c>
      <c r="BI192" s="25" t="str">
        <f>IF('1. Live'!BM210='check-Jul''26'!BI210,"",'1. Live'!BM210-'check-Jul''26'!BI210)</f>
        <v/>
      </c>
      <c r="BJ192" s="25" t="str">
        <f>IF('1. Live'!BN210='check-Jul''26'!BJ210,"",'1. Live'!BN210-'check-Jul''26'!BJ210)</f>
        <v/>
      </c>
      <c r="BK192" s="25" t="str">
        <f>IF('1. Live'!BO210='check-Jul''26'!BK210,"",'1. Live'!BO210-'check-Jul''26'!BK210)</f>
        <v/>
      </c>
      <c r="BL192" s="25" t="str">
        <f>IF('1. Live'!BP210='check-Jul''26'!BL210,"",'1. Live'!BP210-'check-Jul''26'!BL210)</f>
        <v/>
      </c>
      <c r="BM192" s="25" t="str">
        <f>IF('1. Live'!BQ210='check-Jul''26'!BM210,"",'1. Live'!BQ210-'check-Jul''26'!BM210)</f>
        <v/>
      </c>
      <c r="BN192" s="25" t="str">
        <f>IF('1. Live'!BR210='check-Jul''26'!BN210,"",'1. Live'!BR210-'check-Jul''26'!BN210)</f>
        <v/>
      </c>
      <c r="BO192" s="25" t="str">
        <f>IF('1. Live'!BS210='check-Jul''26'!BO210,"",'1. Live'!BS210-'check-Jul''26'!BO210)</f>
        <v/>
      </c>
      <c r="BP192" s="25" t="str">
        <f>IF('1. Live'!BT210='check-Jul''26'!BP210,"",'1. Live'!BT210-'check-Jul''26'!BP210)</f>
        <v/>
      </c>
      <c r="BQ192" s="25" t="str">
        <f>IF('1. Live'!BU210='check-Jul''26'!BQ210,"",'1. Live'!BU210-'check-Jul''26'!BQ210)</f>
        <v/>
      </c>
      <c r="BR192" s="25" t="str">
        <f>IF('1. Live'!BV210='check-Jul''26'!BR210,"",'1. Live'!BV210-'check-Jul''26'!BR210)</f>
        <v/>
      </c>
      <c r="BS192" s="25" t="str">
        <f>IF('1. Live'!BW210='check-Jul''26'!BS210,"",'1. Live'!BW210-'check-Jul''26'!BS210)</f>
        <v/>
      </c>
      <c r="BT192" s="25" t="str">
        <f>IF('1. Live'!BX210='check-Jul''26'!BT210,"",'1. Live'!BX210-'check-Jul''26'!BT210)</f>
        <v/>
      </c>
      <c r="BU192" s="25" t="str">
        <f>IF('1. Live'!BY210='check-Jul''26'!BU210,"",'1. Live'!BY210-'check-Jul''26'!BU210)</f>
        <v/>
      </c>
      <c r="BV192" s="25" t="str">
        <f>IF('1. Live'!BZ210='check-Jul''26'!BV210,"",'1. Live'!BZ210-'check-Jul''26'!BV210)</f>
        <v/>
      </c>
      <c r="BW192" s="25" t="str">
        <f>IF('1. Live'!CA210='check-Jul''26'!BW210,"",'1. Live'!CA210-'check-Jul''26'!BW210)</f>
        <v/>
      </c>
      <c r="BX192" s="25" t="str">
        <f>IF('1. Live'!CB210='check-Jul''26'!BX210,"",'1. Live'!CB210-'check-Jul''26'!BX210)</f>
        <v/>
      </c>
      <c r="BY192" s="25" t="str">
        <f>IF('1. Live'!CC210='check-Jul''26'!BY210,"",'1. Live'!CC210-'check-Jul''26'!BY210)</f>
        <v/>
      </c>
      <c r="BZ192" s="25" t="str">
        <f>IF('1. Live'!CD210='check-Jul''26'!BZ210,"",'1. Live'!CD210-'check-Jul''26'!BZ210)</f>
        <v/>
      </c>
      <c r="CA192" s="25" t="str">
        <f>IF('1. Live'!CE210='check-Jul''26'!CA210,"",'1. Live'!CE210-'check-Jul''26'!CA210)</f>
        <v/>
      </c>
      <c r="CB192" s="25" t="str">
        <f>IF('1. Live'!CF210='check-Jul''26'!CB210,"",'1. Live'!CF210-'check-Jul''26'!CB210)</f>
        <v/>
      </c>
      <c r="CC192" s="25" t="str">
        <f>IF('1. Live'!CG210='check-Jul''26'!CC210,"",'1. Live'!CG210-'check-Jul''26'!CC210)</f>
        <v/>
      </c>
      <c r="CD192" s="25" t="str">
        <f>IF('1. Live'!CH210='check-Jul''26'!CD210,"",'1. Live'!CH210-'check-Jul''26'!CD210)</f>
        <v/>
      </c>
      <c r="CE192" s="25" t="str">
        <f>IF('1. Live'!CI210='check-Jul''26'!CE210,"",'1. Live'!CI210-'check-Jul''26'!CE210)</f>
        <v/>
      </c>
      <c r="CF192" s="25" t="str">
        <f>IF('1. Live'!CJ210='check-Jul''26'!CF210,"",'1. Live'!CJ210-'check-Jul''26'!CF210)</f>
        <v/>
      </c>
      <c r="CG192" s="25" t="str">
        <f>IF('1. Live'!CK210='check-Jul''26'!CG210,"",'1. Live'!CK210-'check-Jul''26'!CG210)</f>
        <v/>
      </c>
      <c r="CH192" s="25" t="str">
        <f>IF('1. Live'!CL210='check-Jul''26'!CH210,"",'1. Live'!CL210-'check-Jul''26'!CH210)</f>
        <v/>
      </c>
      <c r="CI192" s="25" t="str">
        <f>IF('1. Live'!CM210='check-Jul''26'!CI210,"",'1. Live'!CM210-'check-Jul''26'!CI210)</f>
        <v/>
      </c>
      <c r="CJ192" s="25" t="str">
        <f>IF('1. Live'!CN210='check-Jul''26'!CJ210,"",'1. Live'!CN210-'check-Jul''26'!CJ210)</f>
        <v/>
      </c>
      <c r="CK192" s="25" t="str">
        <f>IF('1. Live'!CO210='check-Jul''26'!CK210,"",'1. Live'!CO210-'check-Jul''26'!CK210)</f>
        <v/>
      </c>
      <c r="CL192" s="25" t="str">
        <f>IF('1. Live'!CP210='check-Jul''26'!CL210,"",'1. Live'!CP210-'check-Jul''26'!CL210)</f>
        <v/>
      </c>
      <c r="CM192" s="25" t="str">
        <f>IF('1. Live'!CQ210='check-Jul''26'!CM210,"",'1. Live'!CQ210-'check-Jul''26'!CM210)</f>
        <v/>
      </c>
      <c r="CN192" s="25" t="str">
        <f>IF('1. Live'!CR210='check-Jul''26'!CN210,"",'1. Live'!CR210-'check-Jul''26'!CN210)</f>
        <v/>
      </c>
      <c r="CO192" s="25" t="str">
        <f>IF('1. Live'!CS210='check-Jul''26'!CO210,"",'1. Live'!CS210-'check-Jul''26'!CO210)</f>
        <v/>
      </c>
      <c r="CP192" s="25" t="str">
        <f>IF('1. Live'!CT210='check-Jul''26'!CP210,"",'1. Live'!CT210-'check-Jul''26'!CP210)</f>
        <v/>
      </c>
      <c r="CQ192" s="25" t="str">
        <f>IF('1. Live'!CU210='check-Jul''26'!CQ210,"",'1. Live'!CU210-'check-Jul''26'!CQ210)</f>
        <v/>
      </c>
      <c r="CR192" s="25" t="str">
        <f>IF('1. Live'!CV210='check-Jul''26'!CR210,"",'1. Live'!CV210-'check-Jul''26'!CR210)</f>
        <v/>
      </c>
      <c r="CS192" s="25" t="str">
        <f>IF('1. Live'!CW210='check-Jul''26'!CS210,"",'1. Live'!CW210-'check-Jul''26'!CS210)</f>
        <v/>
      </c>
      <c r="CT192" s="25" t="str">
        <f>IF('1. Live'!CX210='check-Jul''26'!CT210,"",'1. Live'!CX210-'check-Jul''26'!CT210)</f>
        <v/>
      </c>
      <c r="CU192" s="25" t="str">
        <f>IF('1. Live'!CY210='check-Jul''26'!CU210,"",'1. Live'!CY210-'check-Jul''26'!CU210)</f>
        <v/>
      </c>
      <c r="CV192" s="25" t="str">
        <f>IF('1. Live'!CZ210='check-Jul''26'!CV210,"",'1. Live'!CZ210-'check-Jul''26'!CV210)</f>
        <v/>
      </c>
    </row>
    <row r="193" spans="17:100" x14ac:dyDescent="0.25">
      <c r="Q193" s="26" t="str">
        <f>IF('1. Live'!N211='check-Jul''26'!I211,"",'1. Live'!N211-'check-Jul''26'!I211)</f>
        <v/>
      </c>
      <c r="R193" s="26" t="str">
        <f>IF('1. Live'!O211='check-Jul''26'!J211,"",'1. Live'!O211-'check-Jul''26'!J211)</f>
        <v/>
      </c>
      <c r="S193" s="26" t="str">
        <f>IF('1. Live'!P211='check-Jul''26'!K211,"",'1. Live'!P211-'check-Jul''26'!K211)</f>
        <v/>
      </c>
      <c r="T193" s="26" t="str">
        <f>IF('1. Live'!Q211='check-Jul''26'!L211,"",'1. Live'!Q211-'check-Jul''26'!L211)</f>
        <v/>
      </c>
      <c r="U193" s="80" t="str">
        <f>IF('1. Live'!R211='check-Jul''26'!M211,"",'1. Live'!R211-'check-Jul''26'!M211)</f>
        <v/>
      </c>
      <c r="V193" s="26" t="str">
        <f>IF('1. Live'!S211='check-Jul''26'!N211,"",'1. Live'!S211-'check-Jul''26'!N211)</f>
        <v/>
      </c>
      <c r="W193" s="25" t="str">
        <f>IF('1. Live'!T211='check-Jul''26'!O211,"",'1. Live'!T211-'check-Jul''26'!O211)</f>
        <v/>
      </c>
      <c r="X193" s="25" t="str">
        <f>IF('1. Live'!U211='check-Jul''26'!Q211,"",'1. Live'!U211-'check-Jul''26'!Q211)</f>
        <v/>
      </c>
      <c r="Y193" s="25" t="str">
        <f>IF('1. Live'!V211='check-Jul''26'!R211,"",'1. Live'!V211-'check-Jul''26'!R211)</f>
        <v/>
      </c>
      <c r="Z193" s="25" t="str">
        <f>IF('1. Live'!W211='check-Jul''26'!S211,"",'1. Live'!W211-'check-Jul''26'!S211)</f>
        <v/>
      </c>
      <c r="AA193" s="25" t="str">
        <f>IF('1. Live'!X211='check-Jul''26'!T211,"",'1. Live'!X211-'check-Jul''26'!T211)</f>
        <v/>
      </c>
      <c r="AB193" s="25" t="str">
        <f>IF('1. Live'!AF211='check-Jul''26'!AB211,"",'1. Live'!AF211-'check-Jul''26'!AB211)</f>
        <v/>
      </c>
      <c r="AC193" s="25" t="str">
        <f>IF('1. Live'!AG211='check-Jul''26'!AC211,"",'1. Live'!AG211-'check-Jul''26'!AC211)</f>
        <v/>
      </c>
      <c r="AD193" s="25" t="str">
        <f>IF('1. Live'!AH211='check-Jul''26'!AD211,"",'1. Live'!AH211-'check-Jul''26'!AD211)</f>
        <v/>
      </c>
      <c r="AE193" s="25" t="str">
        <f>IF('1. Live'!AI211='check-Jul''26'!AE211,"",'1. Live'!AI211-'check-Jul''26'!AE211)</f>
        <v/>
      </c>
      <c r="AF193" s="25" t="str">
        <f>IF('1. Live'!AJ211='check-Jul''26'!AF211,"",'1. Live'!AJ211-'check-Jul''26'!AF211)</f>
        <v/>
      </c>
      <c r="AG193" s="25" t="str">
        <f>IF('1. Live'!AK211='check-Jul''26'!AG211,"",'1. Live'!AK211-'check-Jul''26'!AG211)</f>
        <v/>
      </c>
      <c r="AH193" s="25" t="str">
        <f>IF('1. Live'!AL211='check-Jul''26'!AH211,"",'1. Live'!AL211-'check-Jul''26'!AH211)</f>
        <v/>
      </c>
      <c r="AI193" s="25" t="str">
        <f>IF('1. Live'!AM211='check-Jul''26'!AI211,"",'1. Live'!AM211-'check-Jul''26'!AI211)</f>
        <v/>
      </c>
      <c r="AJ193" s="25" t="str">
        <f>IF('1. Live'!AN211='check-Jul''26'!AJ211,"",'1. Live'!AN211-'check-Jul''26'!AJ211)</f>
        <v/>
      </c>
      <c r="AK193" s="25" t="str">
        <f>IF('1. Live'!AO211='check-Jul''26'!AK211,"",'1. Live'!AO211-'check-Jul''26'!AK211)</f>
        <v/>
      </c>
      <c r="AL193" s="25" t="str">
        <f>IF('1. Live'!AP211='check-Jul''26'!AL211,"",'1. Live'!AP211-'check-Jul''26'!AL211)</f>
        <v/>
      </c>
      <c r="AM193" s="25" t="str">
        <f>IF('1. Live'!AQ211='check-Jul''26'!AM211,"",'1. Live'!AQ211-'check-Jul''26'!AM211)</f>
        <v/>
      </c>
      <c r="AN193" s="25" t="str">
        <f>IF('1. Live'!AR211='check-Jul''26'!AN211,"",'1. Live'!AR211-'check-Jul''26'!AN211)</f>
        <v/>
      </c>
      <c r="AO193" s="25" t="str">
        <f>IF('1. Live'!AS211='check-Jul''26'!AO211,"",'1. Live'!AS211-'check-Jul''26'!AO211)</f>
        <v/>
      </c>
      <c r="AP193" s="25" t="str">
        <f>IF('1. Live'!AT211='check-Jul''26'!AP211,"",'1. Live'!AT211-'check-Jul''26'!AP211)</f>
        <v/>
      </c>
      <c r="AQ193" s="25" t="str">
        <f>IF('1. Live'!AU211='check-Jul''26'!AQ211,"",'1. Live'!AU211-'check-Jul''26'!AQ211)</f>
        <v/>
      </c>
      <c r="AR193" s="25" t="str">
        <f>IF('1. Live'!AV211='check-Jul''26'!AR211,"",'1. Live'!AV211-'check-Jul''26'!AR211)</f>
        <v/>
      </c>
      <c r="AS193" s="25" t="str">
        <f>IF('1. Live'!AW211='check-Jul''26'!AS211,"",'1. Live'!AW211-'check-Jul''26'!AS211)</f>
        <v/>
      </c>
      <c r="AT193" s="25" t="str">
        <f>IF('1. Live'!AX211='check-Jul''26'!AT211,"",'1. Live'!AX211-'check-Jul''26'!AT211)</f>
        <v/>
      </c>
      <c r="AU193" s="25" t="str">
        <f>IF('1. Live'!AY211='check-Jul''26'!AU211,"",'1. Live'!AY211-'check-Jul''26'!AU211)</f>
        <v/>
      </c>
      <c r="AV193" s="25" t="str">
        <f>IF('1. Live'!AZ211='check-Jul''26'!AV211,"",'1. Live'!AZ211-'check-Jul''26'!AV211)</f>
        <v/>
      </c>
      <c r="AW193" s="25" t="str">
        <f>IF('1. Live'!BA211='check-Jul''26'!AW211,"",'1. Live'!BA211-'check-Jul''26'!AW211)</f>
        <v/>
      </c>
      <c r="AX193" s="25" t="str">
        <f>IF('1. Live'!BB211='check-Jul''26'!AX211,"",'1. Live'!BB211-'check-Jul''26'!AX211)</f>
        <v/>
      </c>
      <c r="AY193" s="25" t="str">
        <f>IF('1. Live'!BC211='check-Jul''26'!AY211,"",'1. Live'!BC211-'check-Jul''26'!AY211)</f>
        <v/>
      </c>
      <c r="AZ193" s="25" t="str">
        <f>IF('1. Live'!BD211='check-Jul''26'!AZ211,"",'1. Live'!BD211-'check-Jul''26'!AZ211)</f>
        <v/>
      </c>
      <c r="BA193" s="25" t="str">
        <f>IF('1. Live'!BE211='check-Jul''26'!BA211,"",'1. Live'!BE211-'check-Jul''26'!BA211)</f>
        <v/>
      </c>
      <c r="BB193" s="25" t="str">
        <f>IF('1. Live'!BF211='check-Jul''26'!BB211,"",'1. Live'!BF211-'check-Jul''26'!BB211)</f>
        <v/>
      </c>
      <c r="BC193" s="25" t="str">
        <f>IF('1. Live'!BG211='check-Jul''26'!BC211,"",'1. Live'!BG211-'check-Jul''26'!BC211)</f>
        <v/>
      </c>
      <c r="BD193" s="25" t="str">
        <f>IF('1. Live'!BH211='check-Jul''26'!BD211,"",'1. Live'!BH211-'check-Jul''26'!BD211)</f>
        <v/>
      </c>
      <c r="BE193" s="25" t="str">
        <f>IF('1. Live'!BI211='check-Jul''26'!BE211,"",'1. Live'!BI211-'check-Jul''26'!BE211)</f>
        <v/>
      </c>
      <c r="BF193" s="25" t="str">
        <f>IF('1. Live'!BJ211='check-Jul''26'!BF211,"",'1. Live'!BJ211-'check-Jul''26'!BF211)</f>
        <v/>
      </c>
      <c r="BG193" s="25" t="str">
        <f>IF('1. Live'!BK211='check-Jul''26'!BG211,"",'1. Live'!BK211-'check-Jul''26'!BG211)</f>
        <v/>
      </c>
      <c r="BH193" s="25" t="str">
        <f>IF('1. Live'!BL211='check-Jul''26'!BH211,"",'1. Live'!BL211-'check-Jul''26'!BH211)</f>
        <v/>
      </c>
      <c r="BI193" s="25" t="str">
        <f>IF('1. Live'!BM211='check-Jul''26'!BI211,"",'1. Live'!BM211-'check-Jul''26'!BI211)</f>
        <v/>
      </c>
      <c r="BJ193" s="25" t="str">
        <f>IF('1. Live'!BN211='check-Jul''26'!BJ211,"",'1. Live'!BN211-'check-Jul''26'!BJ211)</f>
        <v/>
      </c>
      <c r="BK193" s="25" t="str">
        <f>IF('1. Live'!BO211='check-Jul''26'!BK211,"",'1. Live'!BO211-'check-Jul''26'!BK211)</f>
        <v/>
      </c>
      <c r="BL193" s="25" t="str">
        <f>IF('1. Live'!BP211='check-Jul''26'!BL211,"",'1. Live'!BP211-'check-Jul''26'!BL211)</f>
        <v/>
      </c>
      <c r="BM193" s="25" t="str">
        <f>IF('1. Live'!BQ211='check-Jul''26'!BM211,"",'1. Live'!BQ211-'check-Jul''26'!BM211)</f>
        <v/>
      </c>
      <c r="BN193" s="25" t="str">
        <f>IF('1. Live'!BR211='check-Jul''26'!BN211,"",'1. Live'!BR211-'check-Jul''26'!BN211)</f>
        <v/>
      </c>
      <c r="BO193" s="25" t="str">
        <f>IF('1. Live'!BS211='check-Jul''26'!BO211,"",'1. Live'!BS211-'check-Jul''26'!BO211)</f>
        <v/>
      </c>
      <c r="BP193" s="25" t="str">
        <f>IF('1. Live'!BT211='check-Jul''26'!BP211,"",'1. Live'!BT211-'check-Jul''26'!BP211)</f>
        <v/>
      </c>
      <c r="BQ193" s="25" t="str">
        <f>IF('1. Live'!BU211='check-Jul''26'!BQ211,"",'1. Live'!BU211-'check-Jul''26'!BQ211)</f>
        <v/>
      </c>
      <c r="BR193" s="25" t="str">
        <f>IF('1. Live'!BV211='check-Jul''26'!BR211,"",'1. Live'!BV211-'check-Jul''26'!BR211)</f>
        <v/>
      </c>
      <c r="BS193" s="25" t="str">
        <f>IF('1. Live'!BW211='check-Jul''26'!BS211,"",'1. Live'!BW211-'check-Jul''26'!BS211)</f>
        <v/>
      </c>
      <c r="BT193" s="25" t="str">
        <f>IF('1. Live'!BX211='check-Jul''26'!BT211,"",'1. Live'!BX211-'check-Jul''26'!BT211)</f>
        <v/>
      </c>
      <c r="BU193" s="25" t="str">
        <f>IF('1. Live'!BY211='check-Jul''26'!BU211,"",'1. Live'!BY211-'check-Jul''26'!BU211)</f>
        <v/>
      </c>
      <c r="BV193" s="25" t="str">
        <f>IF('1. Live'!BZ211='check-Jul''26'!BV211,"",'1. Live'!BZ211-'check-Jul''26'!BV211)</f>
        <v/>
      </c>
      <c r="BW193" s="25" t="str">
        <f>IF('1. Live'!CA211='check-Jul''26'!BW211,"",'1. Live'!CA211-'check-Jul''26'!BW211)</f>
        <v/>
      </c>
      <c r="BX193" s="25" t="str">
        <f>IF('1. Live'!CB211='check-Jul''26'!BX211,"",'1. Live'!CB211-'check-Jul''26'!BX211)</f>
        <v/>
      </c>
      <c r="BY193" s="25" t="str">
        <f>IF('1. Live'!CC211='check-Jul''26'!BY211,"",'1. Live'!CC211-'check-Jul''26'!BY211)</f>
        <v/>
      </c>
      <c r="BZ193" s="25" t="str">
        <f>IF('1. Live'!CD211='check-Jul''26'!BZ211,"",'1. Live'!CD211-'check-Jul''26'!BZ211)</f>
        <v/>
      </c>
      <c r="CA193" s="25" t="str">
        <f>IF('1. Live'!CE211='check-Jul''26'!CA211,"",'1. Live'!CE211-'check-Jul''26'!CA211)</f>
        <v/>
      </c>
      <c r="CB193" s="25" t="str">
        <f>IF('1. Live'!CF211='check-Jul''26'!CB211,"",'1. Live'!CF211-'check-Jul''26'!CB211)</f>
        <v/>
      </c>
      <c r="CC193" s="25" t="str">
        <f>IF('1. Live'!CG211='check-Jul''26'!CC211,"",'1. Live'!CG211-'check-Jul''26'!CC211)</f>
        <v/>
      </c>
      <c r="CD193" s="25" t="str">
        <f>IF('1. Live'!CH211='check-Jul''26'!CD211,"",'1. Live'!CH211-'check-Jul''26'!CD211)</f>
        <v/>
      </c>
      <c r="CE193" s="25" t="str">
        <f>IF('1. Live'!CI211='check-Jul''26'!CE211,"",'1. Live'!CI211-'check-Jul''26'!CE211)</f>
        <v/>
      </c>
      <c r="CF193" s="25" t="str">
        <f>IF('1. Live'!CJ211='check-Jul''26'!CF211,"",'1. Live'!CJ211-'check-Jul''26'!CF211)</f>
        <v/>
      </c>
      <c r="CG193" s="25" t="str">
        <f>IF('1. Live'!CK211='check-Jul''26'!CG211,"",'1. Live'!CK211-'check-Jul''26'!CG211)</f>
        <v/>
      </c>
      <c r="CH193" s="25" t="str">
        <f>IF('1. Live'!CL211='check-Jul''26'!CH211,"",'1. Live'!CL211-'check-Jul''26'!CH211)</f>
        <v/>
      </c>
      <c r="CI193" s="25" t="str">
        <f>IF('1. Live'!CM211='check-Jul''26'!CI211,"",'1. Live'!CM211-'check-Jul''26'!CI211)</f>
        <v/>
      </c>
      <c r="CJ193" s="25" t="str">
        <f>IF('1. Live'!CN211='check-Jul''26'!CJ211,"",'1. Live'!CN211-'check-Jul''26'!CJ211)</f>
        <v/>
      </c>
      <c r="CK193" s="25" t="str">
        <f>IF('1. Live'!CO211='check-Jul''26'!CK211,"",'1. Live'!CO211-'check-Jul''26'!CK211)</f>
        <v/>
      </c>
      <c r="CL193" s="25" t="str">
        <f>IF('1. Live'!CP211='check-Jul''26'!CL211,"",'1. Live'!CP211-'check-Jul''26'!CL211)</f>
        <v/>
      </c>
      <c r="CM193" s="25" t="str">
        <f>IF('1. Live'!CQ211='check-Jul''26'!CM211,"",'1. Live'!CQ211-'check-Jul''26'!CM211)</f>
        <v/>
      </c>
      <c r="CN193" s="25" t="str">
        <f>IF('1. Live'!CR211='check-Jul''26'!CN211,"",'1. Live'!CR211-'check-Jul''26'!CN211)</f>
        <v/>
      </c>
      <c r="CO193" s="25" t="str">
        <f>IF('1. Live'!CS211='check-Jul''26'!CO211,"",'1. Live'!CS211-'check-Jul''26'!CO211)</f>
        <v/>
      </c>
      <c r="CP193" s="25" t="str">
        <f>IF('1. Live'!CT211='check-Jul''26'!CP211,"",'1. Live'!CT211-'check-Jul''26'!CP211)</f>
        <v/>
      </c>
      <c r="CQ193" s="25" t="str">
        <f>IF('1. Live'!CU211='check-Jul''26'!CQ211,"",'1. Live'!CU211-'check-Jul''26'!CQ211)</f>
        <v/>
      </c>
      <c r="CR193" s="25" t="str">
        <f>IF('1. Live'!CV211='check-Jul''26'!CR211,"",'1. Live'!CV211-'check-Jul''26'!CR211)</f>
        <v/>
      </c>
      <c r="CS193" s="25" t="str">
        <f>IF('1. Live'!CW211='check-Jul''26'!CS211,"",'1. Live'!CW211-'check-Jul''26'!CS211)</f>
        <v/>
      </c>
      <c r="CT193" s="25" t="str">
        <f>IF('1. Live'!CX211='check-Jul''26'!CT211,"",'1. Live'!CX211-'check-Jul''26'!CT211)</f>
        <v/>
      </c>
      <c r="CU193" s="25" t="str">
        <f>IF('1. Live'!CY211='check-Jul''26'!CU211,"",'1. Live'!CY211-'check-Jul''26'!CU211)</f>
        <v/>
      </c>
      <c r="CV193" s="25" t="str">
        <f>IF('1. Live'!CZ211='check-Jul''26'!CV211,"",'1. Live'!CZ211-'check-Jul''26'!CV211)</f>
        <v/>
      </c>
    </row>
    <row r="194" spans="17:100" x14ac:dyDescent="0.25">
      <c r="Q194" s="26" t="str">
        <f>IF('1. Live'!N212='check-Jul''26'!I212,"",'1. Live'!N212-'check-Jul''26'!I212)</f>
        <v/>
      </c>
      <c r="R194" s="26" t="str">
        <f>IF('1. Live'!O212='check-Jul''26'!J212,"",'1. Live'!O212-'check-Jul''26'!J212)</f>
        <v/>
      </c>
      <c r="S194" s="26" t="str">
        <f>IF('1. Live'!P212='check-Jul''26'!K212,"",'1. Live'!P212-'check-Jul''26'!K212)</f>
        <v/>
      </c>
      <c r="T194" s="26" t="str">
        <f>IF('1. Live'!Q212='check-Jul''26'!L212,"",'1. Live'!Q212-'check-Jul''26'!L212)</f>
        <v/>
      </c>
      <c r="U194" s="80" t="str">
        <f>IF('1. Live'!R212='check-Jul''26'!M212,"",'1. Live'!R212-'check-Jul''26'!M212)</f>
        <v/>
      </c>
      <c r="V194" s="26" t="str">
        <f>IF('1. Live'!S212='check-Jul''26'!N212,"",'1. Live'!S212-'check-Jul''26'!N212)</f>
        <v/>
      </c>
      <c r="W194" s="25" t="str">
        <f>IF('1. Live'!T212='check-Jul''26'!O212,"",'1. Live'!T212-'check-Jul''26'!O212)</f>
        <v/>
      </c>
      <c r="X194" s="25" t="str">
        <f>IF('1. Live'!U212='check-Jul''26'!Q212,"",'1. Live'!U212-'check-Jul''26'!Q212)</f>
        <v/>
      </c>
      <c r="Y194" s="25" t="str">
        <f>IF('1. Live'!V212='check-Jul''26'!R212,"",'1. Live'!V212-'check-Jul''26'!R212)</f>
        <v/>
      </c>
      <c r="Z194" s="25" t="str">
        <f>IF('1. Live'!W212='check-Jul''26'!S212,"",'1. Live'!W212-'check-Jul''26'!S212)</f>
        <v/>
      </c>
      <c r="AA194" s="25" t="str">
        <f>IF('1. Live'!X212='check-Jul''26'!T212,"",'1. Live'!X212-'check-Jul''26'!T212)</f>
        <v/>
      </c>
      <c r="AB194" s="25" t="str">
        <f>IF('1. Live'!AF212='check-Jul''26'!AB212,"",'1. Live'!AF212-'check-Jul''26'!AB212)</f>
        <v/>
      </c>
      <c r="AC194" s="25" t="str">
        <f>IF('1. Live'!AG212='check-Jul''26'!AC212,"",'1. Live'!AG212-'check-Jul''26'!AC212)</f>
        <v/>
      </c>
      <c r="AD194" s="25" t="str">
        <f>IF('1. Live'!AH212='check-Jul''26'!AD212,"",'1. Live'!AH212-'check-Jul''26'!AD212)</f>
        <v/>
      </c>
      <c r="AE194" s="25" t="str">
        <f>IF('1. Live'!AI212='check-Jul''26'!AE212,"",'1. Live'!AI212-'check-Jul''26'!AE212)</f>
        <v/>
      </c>
      <c r="AF194" s="25" t="str">
        <f>IF('1. Live'!AJ212='check-Jul''26'!AF212,"",'1. Live'!AJ212-'check-Jul''26'!AF212)</f>
        <v/>
      </c>
      <c r="AG194" s="25" t="str">
        <f>IF('1. Live'!AK212='check-Jul''26'!AG212,"",'1. Live'!AK212-'check-Jul''26'!AG212)</f>
        <v/>
      </c>
      <c r="AH194" s="25" t="str">
        <f>IF('1. Live'!AL212='check-Jul''26'!AH212,"",'1. Live'!AL212-'check-Jul''26'!AH212)</f>
        <v/>
      </c>
      <c r="AI194" s="25" t="str">
        <f>IF('1. Live'!AM212='check-Jul''26'!AI212,"",'1. Live'!AM212-'check-Jul''26'!AI212)</f>
        <v/>
      </c>
      <c r="AJ194" s="25" t="str">
        <f>IF('1. Live'!AN212='check-Jul''26'!AJ212,"",'1. Live'!AN212-'check-Jul''26'!AJ212)</f>
        <v/>
      </c>
      <c r="AK194" s="25" t="str">
        <f>IF('1. Live'!AO212='check-Jul''26'!AK212,"",'1. Live'!AO212-'check-Jul''26'!AK212)</f>
        <v/>
      </c>
      <c r="AL194" s="25" t="str">
        <f>IF('1. Live'!AP212='check-Jul''26'!AL212,"",'1. Live'!AP212-'check-Jul''26'!AL212)</f>
        <v/>
      </c>
      <c r="AM194" s="25" t="str">
        <f>IF('1. Live'!AQ212='check-Jul''26'!AM212,"",'1. Live'!AQ212-'check-Jul''26'!AM212)</f>
        <v/>
      </c>
      <c r="AN194" s="25" t="str">
        <f>IF('1. Live'!AR212='check-Jul''26'!AN212,"",'1. Live'!AR212-'check-Jul''26'!AN212)</f>
        <v/>
      </c>
      <c r="AO194" s="25" t="str">
        <f>IF('1. Live'!AS212='check-Jul''26'!AO212,"",'1. Live'!AS212-'check-Jul''26'!AO212)</f>
        <v/>
      </c>
      <c r="AP194" s="25" t="str">
        <f>IF('1. Live'!AT212='check-Jul''26'!AP212,"",'1. Live'!AT212-'check-Jul''26'!AP212)</f>
        <v/>
      </c>
      <c r="AQ194" s="25" t="str">
        <f>IF('1. Live'!AU212='check-Jul''26'!AQ212,"",'1. Live'!AU212-'check-Jul''26'!AQ212)</f>
        <v/>
      </c>
      <c r="AR194" s="25" t="str">
        <f>IF('1. Live'!AV212='check-Jul''26'!AR212,"",'1. Live'!AV212-'check-Jul''26'!AR212)</f>
        <v/>
      </c>
      <c r="AS194" s="25" t="str">
        <f>IF('1. Live'!AW212='check-Jul''26'!AS212,"",'1. Live'!AW212-'check-Jul''26'!AS212)</f>
        <v/>
      </c>
      <c r="AT194" s="25" t="str">
        <f>IF('1. Live'!AX212='check-Jul''26'!AT212,"",'1. Live'!AX212-'check-Jul''26'!AT212)</f>
        <v/>
      </c>
      <c r="AU194" s="25" t="str">
        <f>IF('1. Live'!AY212='check-Jul''26'!AU212,"",'1. Live'!AY212-'check-Jul''26'!AU212)</f>
        <v/>
      </c>
      <c r="AV194" s="25" t="str">
        <f>IF('1. Live'!AZ212='check-Jul''26'!AV212,"",'1. Live'!AZ212-'check-Jul''26'!AV212)</f>
        <v/>
      </c>
      <c r="AW194" s="25" t="str">
        <f>IF('1. Live'!BA212='check-Jul''26'!AW212,"",'1. Live'!BA212-'check-Jul''26'!AW212)</f>
        <v/>
      </c>
      <c r="AX194" s="25" t="str">
        <f>IF('1. Live'!BB212='check-Jul''26'!AX212,"",'1. Live'!BB212-'check-Jul''26'!AX212)</f>
        <v/>
      </c>
      <c r="AY194" s="25" t="str">
        <f>IF('1. Live'!BC212='check-Jul''26'!AY212,"",'1. Live'!BC212-'check-Jul''26'!AY212)</f>
        <v/>
      </c>
      <c r="AZ194" s="25" t="str">
        <f>IF('1. Live'!BD212='check-Jul''26'!AZ212,"",'1. Live'!BD212-'check-Jul''26'!AZ212)</f>
        <v/>
      </c>
      <c r="BA194" s="25" t="str">
        <f>IF('1. Live'!BE212='check-Jul''26'!BA212,"",'1. Live'!BE212-'check-Jul''26'!BA212)</f>
        <v/>
      </c>
      <c r="BB194" s="25" t="str">
        <f>IF('1. Live'!BF212='check-Jul''26'!BB212,"",'1. Live'!BF212-'check-Jul''26'!BB212)</f>
        <v/>
      </c>
      <c r="BC194" s="25" t="str">
        <f>IF('1. Live'!BG212='check-Jul''26'!BC212,"",'1. Live'!BG212-'check-Jul''26'!BC212)</f>
        <v/>
      </c>
      <c r="BD194" s="25" t="str">
        <f>IF('1. Live'!BH212='check-Jul''26'!BD212,"",'1. Live'!BH212-'check-Jul''26'!BD212)</f>
        <v/>
      </c>
      <c r="BE194" s="25" t="str">
        <f>IF('1. Live'!BI212='check-Jul''26'!BE212,"",'1. Live'!BI212-'check-Jul''26'!BE212)</f>
        <v/>
      </c>
      <c r="BF194" s="25" t="str">
        <f>IF('1. Live'!BJ212='check-Jul''26'!BF212,"",'1. Live'!BJ212-'check-Jul''26'!BF212)</f>
        <v/>
      </c>
      <c r="BG194" s="25" t="str">
        <f>IF('1. Live'!BK212='check-Jul''26'!BG212,"",'1. Live'!BK212-'check-Jul''26'!BG212)</f>
        <v/>
      </c>
      <c r="BH194" s="25" t="str">
        <f>IF('1. Live'!BL212='check-Jul''26'!BH212,"",'1. Live'!BL212-'check-Jul''26'!BH212)</f>
        <v/>
      </c>
      <c r="BI194" s="25" t="str">
        <f>IF('1. Live'!BM212='check-Jul''26'!BI212,"",'1. Live'!BM212-'check-Jul''26'!BI212)</f>
        <v/>
      </c>
      <c r="BJ194" s="25" t="str">
        <f>IF('1. Live'!BN212='check-Jul''26'!BJ212,"",'1. Live'!BN212-'check-Jul''26'!BJ212)</f>
        <v/>
      </c>
      <c r="BK194" s="25" t="str">
        <f>IF('1. Live'!BO212='check-Jul''26'!BK212,"",'1. Live'!BO212-'check-Jul''26'!BK212)</f>
        <v/>
      </c>
      <c r="BL194" s="25" t="str">
        <f>IF('1. Live'!BP212='check-Jul''26'!BL212,"",'1. Live'!BP212-'check-Jul''26'!BL212)</f>
        <v/>
      </c>
      <c r="BM194" s="25" t="str">
        <f>IF('1. Live'!BQ212='check-Jul''26'!BM212,"",'1. Live'!BQ212-'check-Jul''26'!BM212)</f>
        <v/>
      </c>
      <c r="BN194" s="25" t="str">
        <f>IF('1. Live'!BR212='check-Jul''26'!BN212,"",'1. Live'!BR212-'check-Jul''26'!BN212)</f>
        <v/>
      </c>
      <c r="BO194" s="25" t="str">
        <f>IF('1. Live'!BS212='check-Jul''26'!BO212,"",'1. Live'!BS212-'check-Jul''26'!BO212)</f>
        <v/>
      </c>
      <c r="BP194" s="25" t="str">
        <f>IF('1. Live'!BT212='check-Jul''26'!BP212,"",'1. Live'!BT212-'check-Jul''26'!BP212)</f>
        <v/>
      </c>
      <c r="BQ194" s="25" t="str">
        <f>IF('1. Live'!BU212='check-Jul''26'!BQ212,"",'1. Live'!BU212-'check-Jul''26'!BQ212)</f>
        <v/>
      </c>
      <c r="BR194" s="25" t="str">
        <f>IF('1. Live'!BV212='check-Jul''26'!BR212,"",'1. Live'!BV212-'check-Jul''26'!BR212)</f>
        <v/>
      </c>
      <c r="BS194" s="25" t="str">
        <f>IF('1. Live'!BW212='check-Jul''26'!BS212,"",'1. Live'!BW212-'check-Jul''26'!BS212)</f>
        <v/>
      </c>
      <c r="BT194" s="25" t="str">
        <f>IF('1. Live'!BX212='check-Jul''26'!BT212,"",'1. Live'!BX212-'check-Jul''26'!BT212)</f>
        <v/>
      </c>
      <c r="BU194" s="25" t="str">
        <f>IF('1. Live'!BY212='check-Jul''26'!BU212,"",'1. Live'!BY212-'check-Jul''26'!BU212)</f>
        <v/>
      </c>
      <c r="BV194" s="25" t="str">
        <f>IF('1. Live'!BZ212='check-Jul''26'!BV212,"",'1. Live'!BZ212-'check-Jul''26'!BV212)</f>
        <v/>
      </c>
      <c r="BW194" s="25" t="str">
        <f>IF('1. Live'!CA212='check-Jul''26'!BW212,"",'1. Live'!CA212-'check-Jul''26'!BW212)</f>
        <v/>
      </c>
      <c r="BX194" s="25" t="str">
        <f>IF('1. Live'!CB212='check-Jul''26'!BX212,"",'1. Live'!CB212-'check-Jul''26'!BX212)</f>
        <v/>
      </c>
      <c r="BY194" s="25" t="str">
        <f>IF('1. Live'!CC212='check-Jul''26'!BY212,"",'1. Live'!CC212-'check-Jul''26'!BY212)</f>
        <v/>
      </c>
      <c r="BZ194" s="25" t="str">
        <f>IF('1. Live'!CD212='check-Jul''26'!BZ212,"",'1. Live'!CD212-'check-Jul''26'!BZ212)</f>
        <v/>
      </c>
      <c r="CA194" s="25" t="str">
        <f>IF('1. Live'!CE212='check-Jul''26'!CA212,"",'1. Live'!CE212-'check-Jul''26'!CA212)</f>
        <v/>
      </c>
      <c r="CB194" s="25" t="str">
        <f>IF('1. Live'!CF212='check-Jul''26'!CB212,"",'1. Live'!CF212-'check-Jul''26'!CB212)</f>
        <v/>
      </c>
      <c r="CC194" s="25" t="str">
        <f>IF('1. Live'!CG212='check-Jul''26'!CC212,"",'1. Live'!CG212-'check-Jul''26'!CC212)</f>
        <v/>
      </c>
      <c r="CD194" s="25" t="str">
        <f>IF('1. Live'!CH212='check-Jul''26'!CD212,"",'1. Live'!CH212-'check-Jul''26'!CD212)</f>
        <v/>
      </c>
      <c r="CE194" s="25" t="str">
        <f>IF('1. Live'!CI212='check-Jul''26'!CE212,"",'1. Live'!CI212-'check-Jul''26'!CE212)</f>
        <v/>
      </c>
      <c r="CF194" s="25" t="str">
        <f>IF('1. Live'!CJ212='check-Jul''26'!CF212,"",'1. Live'!CJ212-'check-Jul''26'!CF212)</f>
        <v/>
      </c>
      <c r="CG194" s="25" t="str">
        <f>IF('1. Live'!CK212='check-Jul''26'!CG212,"",'1. Live'!CK212-'check-Jul''26'!CG212)</f>
        <v/>
      </c>
      <c r="CH194" s="25" t="str">
        <f>IF('1. Live'!CL212='check-Jul''26'!CH212,"",'1. Live'!CL212-'check-Jul''26'!CH212)</f>
        <v/>
      </c>
      <c r="CI194" s="25" t="str">
        <f>IF('1. Live'!CM212='check-Jul''26'!CI212,"",'1. Live'!CM212-'check-Jul''26'!CI212)</f>
        <v/>
      </c>
      <c r="CJ194" s="25" t="str">
        <f>IF('1. Live'!CN212='check-Jul''26'!CJ212,"",'1. Live'!CN212-'check-Jul''26'!CJ212)</f>
        <v/>
      </c>
      <c r="CK194" s="25" t="str">
        <f>IF('1. Live'!CO212='check-Jul''26'!CK212,"",'1. Live'!CO212-'check-Jul''26'!CK212)</f>
        <v/>
      </c>
      <c r="CL194" s="25" t="str">
        <f>IF('1. Live'!CP212='check-Jul''26'!CL212,"",'1. Live'!CP212-'check-Jul''26'!CL212)</f>
        <v/>
      </c>
      <c r="CM194" s="25" t="str">
        <f>IF('1. Live'!CQ212='check-Jul''26'!CM212,"",'1. Live'!CQ212-'check-Jul''26'!CM212)</f>
        <v/>
      </c>
      <c r="CN194" s="25" t="str">
        <f>IF('1. Live'!CR212='check-Jul''26'!CN212,"",'1. Live'!CR212-'check-Jul''26'!CN212)</f>
        <v/>
      </c>
      <c r="CO194" s="25" t="str">
        <f>IF('1. Live'!CS212='check-Jul''26'!CO212,"",'1. Live'!CS212-'check-Jul''26'!CO212)</f>
        <v/>
      </c>
      <c r="CP194" s="25" t="str">
        <f>IF('1. Live'!CT212='check-Jul''26'!CP212,"",'1. Live'!CT212-'check-Jul''26'!CP212)</f>
        <v/>
      </c>
      <c r="CQ194" s="25" t="str">
        <f>IF('1. Live'!CU212='check-Jul''26'!CQ212,"",'1. Live'!CU212-'check-Jul''26'!CQ212)</f>
        <v/>
      </c>
      <c r="CR194" s="25" t="str">
        <f>IF('1. Live'!CV212='check-Jul''26'!CR212,"",'1. Live'!CV212-'check-Jul''26'!CR212)</f>
        <v/>
      </c>
      <c r="CS194" s="25" t="str">
        <f>IF('1. Live'!CW212='check-Jul''26'!CS212,"",'1. Live'!CW212-'check-Jul''26'!CS212)</f>
        <v/>
      </c>
      <c r="CT194" s="25" t="str">
        <f>IF('1. Live'!CX212='check-Jul''26'!CT212,"",'1. Live'!CX212-'check-Jul''26'!CT212)</f>
        <v/>
      </c>
      <c r="CU194" s="25" t="str">
        <f>IF('1. Live'!CY212='check-Jul''26'!CU212,"",'1. Live'!CY212-'check-Jul''26'!CU212)</f>
        <v/>
      </c>
      <c r="CV194" s="25" t="str">
        <f>IF('1. Live'!CZ212='check-Jul''26'!CV212,"",'1. Live'!CZ212-'check-Jul''26'!CV212)</f>
        <v/>
      </c>
    </row>
    <row r="195" spans="17:100" x14ac:dyDescent="0.25">
      <c r="Q195" s="26" t="str">
        <f>IF('1. Live'!N213='check-Jul''26'!I213,"",'1. Live'!N213-'check-Jul''26'!I213)</f>
        <v/>
      </c>
      <c r="R195" s="26" t="str">
        <f>IF('1. Live'!O213='check-Jul''26'!J213,"",'1. Live'!O213-'check-Jul''26'!J213)</f>
        <v/>
      </c>
      <c r="S195" s="26" t="str">
        <f>IF('1. Live'!P213='check-Jul''26'!K213,"",'1. Live'!P213-'check-Jul''26'!K213)</f>
        <v/>
      </c>
      <c r="T195" s="26" t="str">
        <f>IF('1. Live'!Q213='check-Jul''26'!L213,"",'1. Live'!Q213-'check-Jul''26'!L213)</f>
        <v/>
      </c>
      <c r="U195" s="80" t="str">
        <f>IF('1. Live'!R213='check-Jul''26'!M213,"",'1. Live'!R213-'check-Jul''26'!M213)</f>
        <v/>
      </c>
      <c r="V195" s="26" t="str">
        <f>IF('1. Live'!S213='check-Jul''26'!N213,"",'1. Live'!S213-'check-Jul''26'!N213)</f>
        <v/>
      </c>
      <c r="W195" s="25" t="str">
        <f>IF('1. Live'!T213='check-Jul''26'!O213,"",'1. Live'!T213-'check-Jul''26'!O213)</f>
        <v/>
      </c>
      <c r="X195" s="25" t="str">
        <f>IF('1. Live'!U213='check-Jul''26'!Q213,"",'1. Live'!U213-'check-Jul''26'!Q213)</f>
        <v/>
      </c>
      <c r="Y195" s="25" t="str">
        <f>IF('1. Live'!V213='check-Jul''26'!R213,"",'1. Live'!V213-'check-Jul''26'!R213)</f>
        <v/>
      </c>
      <c r="Z195" s="25" t="str">
        <f>IF('1. Live'!W213='check-Jul''26'!S213,"",'1. Live'!W213-'check-Jul''26'!S213)</f>
        <v/>
      </c>
      <c r="AA195" s="25" t="str">
        <f>IF('1. Live'!X213='check-Jul''26'!T213,"",'1. Live'!X213-'check-Jul''26'!T213)</f>
        <v/>
      </c>
      <c r="AB195" s="25" t="str">
        <f>IF('1. Live'!AF213='check-Jul''26'!AB213,"",'1. Live'!AF213-'check-Jul''26'!AB213)</f>
        <v/>
      </c>
      <c r="AC195" s="25" t="str">
        <f>IF('1. Live'!AG213='check-Jul''26'!AC213,"",'1. Live'!AG213-'check-Jul''26'!AC213)</f>
        <v/>
      </c>
      <c r="AD195" s="25" t="str">
        <f>IF('1. Live'!AH213='check-Jul''26'!AD213,"",'1. Live'!AH213-'check-Jul''26'!AD213)</f>
        <v/>
      </c>
      <c r="AE195" s="25" t="str">
        <f>IF('1. Live'!AI213='check-Jul''26'!AE213,"",'1. Live'!AI213-'check-Jul''26'!AE213)</f>
        <v/>
      </c>
      <c r="AF195" s="25" t="str">
        <f>IF('1. Live'!AJ213='check-Jul''26'!AF213,"",'1. Live'!AJ213-'check-Jul''26'!AF213)</f>
        <v/>
      </c>
      <c r="AG195" s="25" t="str">
        <f>IF('1. Live'!AK213='check-Jul''26'!AG213,"",'1. Live'!AK213-'check-Jul''26'!AG213)</f>
        <v/>
      </c>
      <c r="AH195" s="25" t="str">
        <f>IF('1. Live'!AL213='check-Jul''26'!AH213,"",'1. Live'!AL213-'check-Jul''26'!AH213)</f>
        <v/>
      </c>
      <c r="AI195" s="25" t="str">
        <f>IF('1. Live'!AM213='check-Jul''26'!AI213,"",'1. Live'!AM213-'check-Jul''26'!AI213)</f>
        <v/>
      </c>
      <c r="AJ195" s="25" t="str">
        <f>IF('1. Live'!AN213='check-Jul''26'!AJ213,"",'1. Live'!AN213-'check-Jul''26'!AJ213)</f>
        <v/>
      </c>
      <c r="AK195" s="25" t="str">
        <f>IF('1. Live'!AO213='check-Jul''26'!AK213,"",'1. Live'!AO213-'check-Jul''26'!AK213)</f>
        <v/>
      </c>
      <c r="AL195" s="25" t="str">
        <f>IF('1. Live'!AP213='check-Jul''26'!AL213,"",'1. Live'!AP213-'check-Jul''26'!AL213)</f>
        <v/>
      </c>
      <c r="AM195" s="25" t="str">
        <f>IF('1. Live'!AQ213='check-Jul''26'!AM213,"",'1. Live'!AQ213-'check-Jul''26'!AM213)</f>
        <v/>
      </c>
      <c r="AN195" s="25" t="str">
        <f>IF('1. Live'!AR213='check-Jul''26'!AN213,"",'1. Live'!AR213-'check-Jul''26'!AN213)</f>
        <v/>
      </c>
      <c r="AO195" s="25" t="str">
        <f>IF('1. Live'!AS213='check-Jul''26'!AO213,"",'1. Live'!AS213-'check-Jul''26'!AO213)</f>
        <v/>
      </c>
      <c r="AP195" s="25" t="str">
        <f>IF('1. Live'!AT213='check-Jul''26'!AP213,"",'1. Live'!AT213-'check-Jul''26'!AP213)</f>
        <v/>
      </c>
      <c r="AQ195" s="25" t="str">
        <f>IF('1. Live'!AU213='check-Jul''26'!AQ213,"",'1. Live'!AU213-'check-Jul''26'!AQ213)</f>
        <v/>
      </c>
      <c r="AR195" s="25" t="str">
        <f>IF('1. Live'!AV213='check-Jul''26'!AR213,"",'1. Live'!AV213-'check-Jul''26'!AR213)</f>
        <v/>
      </c>
      <c r="AS195" s="25" t="str">
        <f>IF('1. Live'!AW213='check-Jul''26'!AS213,"",'1. Live'!AW213-'check-Jul''26'!AS213)</f>
        <v/>
      </c>
      <c r="AT195" s="25" t="str">
        <f>IF('1. Live'!AX213='check-Jul''26'!AT213,"",'1. Live'!AX213-'check-Jul''26'!AT213)</f>
        <v/>
      </c>
      <c r="AU195" s="25" t="str">
        <f>IF('1. Live'!AY213='check-Jul''26'!AU213,"",'1. Live'!AY213-'check-Jul''26'!AU213)</f>
        <v/>
      </c>
      <c r="AV195" s="25" t="str">
        <f>IF('1. Live'!AZ213='check-Jul''26'!AV213,"",'1. Live'!AZ213-'check-Jul''26'!AV213)</f>
        <v/>
      </c>
      <c r="AW195" s="25" t="str">
        <f>IF('1. Live'!BA213='check-Jul''26'!AW213,"",'1. Live'!BA213-'check-Jul''26'!AW213)</f>
        <v/>
      </c>
      <c r="AX195" s="25" t="str">
        <f>IF('1. Live'!BB213='check-Jul''26'!AX213,"",'1. Live'!BB213-'check-Jul''26'!AX213)</f>
        <v/>
      </c>
      <c r="AY195" s="25" t="str">
        <f>IF('1. Live'!BC213='check-Jul''26'!AY213,"",'1. Live'!BC213-'check-Jul''26'!AY213)</f>
        <v/>
      </c>
      <c r="AZ195" s="25" t="str">
        <f>IF('1. Live'!BD213='check-Jul''26'!AZ213,"",'1. Live'!BD213-'check-Jul''26'!AZ213)</f>
        <v/>
      </c>
      <c r="BA195" s="25" t="str">
        <f>IF('1. Live'!BE213='check-Jul''26'!BA213,"",'1. Live'!BE213-'check-Jul''26'!BA213)</f>
        <v/>
      </c>
      <c r="BB195" s="25" t="str">
        <f>IF('1. Live'!BF213='check-Jul''26'!BB213,"",'1. Live'!BF213-'check-Jul''26'!BB213)</f>
        <v/>
      </c>
      <c r="BC195" s="25" t="str">
        <f>IF('1. Live'!BG213='check-Jul''26'!BC213,"",'1. Live'!BG213-'check-Jul''26'!BC213)</f>
        <v/>
      </c>
      <c r="BD195" s="25" t="str">
        <f>IF('1. Live'!BH213='check-Jul''26'!BD213,"",'1. Live'!BH213-'check-Jul''26'!BD213)</f>
        <v/>
      </c>
      <c r="BE195" s="25" t="str">
        <f>IF('1. Live'!BI213='check-Jul''26'!BE213,"",'1. Live'!BI213-'check-Jul''26'!BE213)</f>
        <v/>
      </c>
      <c r="BF195" s="25" t="str">
        <f>IF('1. Live'!BJ213='check-Jul''26'!BF213,"",'1. Live'!BJ213-'check-Jul''26'!BF213)</f>
        <v/>
      </c>
      <c r="BG195" s="25" t="str">
        <f>IF('1. Live'!BK213='check-Jul''26'!BG213,"",'1. Live'!BK213-'check-Jul''26'!BG213)</f>
        <v/>
      </c>
      <c r="BH195" s="25" t="str">
        <f>IF('1. Live'!BL213='check-Jul''26'!BH213,"",'1. Live'!BL213-'check-Jul''26'!BH213)</f>
        <v/>
      </c>
      <c r="BI195" s="25" t="str">
        <f>IF('1. Live'!BM213='check-Jul''26'!BI213,"",'1. Live'!BM213-'check-Jul''26'!BI213)</f>
        <v/>
      </c>
      <c r="BJ195" s="25" t="str">
        <f>IF('1. Live'!BN213='check-Jul''26'!BJ213,"",'1. Live'!BN213-'check-Jul''26'!BJ213)</f>
        <v/>
      </c>
      <c r="BK195" s="25" t="str">
        <f>IF('1. Live'!BO213='check-Jul''26'!BK213,"",'1. Live'!BO213-'check-Jul''26'!BK213)</f>
        <v/>
      </c>
      <c r="BL195" s="25" t="str">
        <f>IF('1. Live'!BP213='check-Jul''26'!BL213,"",'1. Live'!BP213-'check-Jul''26'!BL213)</f>
        <v/>
      </c>
      <c r="BM195" s="25" t="str">
        <f>IF('1. Live'!BQ213='check-Jul''26'!BM213,"",'1. Live'!BQ213-'check-Jul''26'!BM213)</f>
        <v/>
      </c>
      <c r="BN195" s="25" t="str">
        <f>IF('1. Live'!BR213='check-Jul''26'!BN213,"",'1. Live'!BR213-'check-Jul''26'!BN213)</f>
        <v/>
      </c>
      <c r="BO195" s="25" t="str">
        <f>IF('1. Live'!BS213='check-Jul''26'!BO213,"",'1. Live'!BS213-'check-Jul''26'!BO213)</f>
        <v/>
      </c>
      <c r="BP195" s="25" t="str">
        <f>IF('1. Live'!BT213='check-Jul''26'!BP213,"",'1. Live'!BT213-'check-Jul''26'!BP213)</f>
        <v/>
      </c>
      <c r="BQ195" s="25" t="str">
        <f>IF('1. Live'!BU213='check-Jul''26'!BQ213,"",'1. Live'!BU213-'check-Jul''26'!BQ213)</f>
        <v/>
      </c>
      <c r="BR195" s="25" t="str">
        <f>IF('1. Live'!BV213='check-Jul''26'!BR213,"",'1. Live'!BV213-'check-Jul''26'!BR213)</f>
        <v/>
      </c>
      <c r="BS195" s="25" t="str">
        <f>IF('1. Live'!BW213='check-Jul''26'!BS213,"",'1. Live'!BW213-'check-Jul''26'!BS213)</f>
        <v/>
      </c>
      <c r="BT195" s="25" t="str">
        <f>IF('1. Live'!BX213='check-Jul''26'!BT213,"",'1. Live'!BX213-'check-Jul''26'!BT213)</f>
        <v/>
      </c>
      <c r="BU195" s="25" t="str">
        <f>IF('1. Live'!BY213='check-Jul''26'!BU213,"",'1. Live'!BY213-'check-Jul''26'!BU213)</f>
        <v/>
      </c>
      <c r="BV195" s="25" t="str">
        <f>IF('1. Live'!BZ213='check-Jul''26'!BV213,"",'1. Live'!BZ213-'check-Jul''26'!BV213)</f>
        <v/>
      </c>
      <c r="BW195" s="25" t="str">
        <f>IF('1. Live'!CA213='check-Jul''26'!BW213,"",'1. Live'!CA213-'check-Jul''26'!BW213)</f>
        <v/>
      </c>
      <c r="BX195" s="25" t="str">
        <f>IF('1. Live'!CB213='check-Jul''26'!BX213,"",'1. Live'!CB213-'check-Jul''26'!BX213)</f>
        <v/>
      </c>
      <c r="BY195" s="25" t="str">
        <f>IF('1. Live'!CC213='check-Jul''26'!BY213,"",'1. Live'!CC213-'check-Jul''26'!BY213)</f>
        <v/>
      </c>
      <c r="BZ195" s="25" t="str">
        <f>IF('1. Live'!CD213='check-Jul''26'!BZ213,"",'1. Live'!CD213-'check-Jul''26'!BZ213)</f>
        <v/>
      </c>
      <c r="CA195" s="25" t="str">
        <f>IF('1. Live'!CE213='check-Jul''26'!CA213,"",'1. Live'!CE213-'check-Jul''26'!CA213)</f>
        <v/>
      </c>
      <c r="CB195" s="25" t="str">
        <f>IF('1. Live'!CF213='check-Jul''26'!CB213,"",'1. Live'!CF213-'check-Jul''26'!CB213)</f>
        <v/>
      </c>
      <c r="CC195" s="25" t="str">
        <f>IF('1. Live'!CG213='check-Jul''26'!CC213,"",'1. Live'!CG213-'check-Jul''26'!CC213)</f>
        <v/>
      </c>
      <c r="CD195" s="25" t="str">
        <f>IF('1. Live'!CH213='check-Jul''26'!CD213,"",'1. Live'!CH213-'check-Jul''26'!CD213)</f>
        <v/>
      </c>
      <c r="CE195" s="25" t="str">
        <f>IF('1. Live'!CI213='check-Jul''26'!CE213,"",'1. Live'!CI213-'check-Jul''26'!CE213)</f>
        <v/>
      </c>
      <c r="CF195" s="25" t="str">
        <f>IF('1. Live'!CJ213='check-Jul''26'!CF213,"",'1. Live'!CJ213-'check-Jul''26'!CF213)</f>
        <v/>
      </c>
      <c r="CG195" s="25" t="str">
        <f>IF('1. Live'!CK213='check-Jul''26'!CG213,"",'1. Live'!CK213-'check-Jul''26'!CG213)</f>
        <v/>
      </c>
      <c r="CH195" s="25" t="str">
        <f>IF('1. Live'!CL213='check-Jul''26'!CH213,"",'1. Live'!CL213-'check-Jul''26'!CH213)</f>
        <v/>
      </c>
      <c r="CI195" s="25" t="str">
        <f>IF('1. Live'!CM213='check-Jul''26'!CI213,"",'1. Live'!CM213-'check-Jul''26'!CI213)</f>
        <v/>
      </c>
      <c r="CJ195" s="25" t="str">
        <f>IF('1. Live'!CN213='check-Jul''26'!CJ213,"",'1. Live'!CN213-'check-Jul''26'!CJ213)</f>
        <v/>
      </c>
      <c r="CK195" s="25" t="str">
        <f>IF('1. Live'!CO213='check-Jul''26'!CK213,"",'1. Live'!CO213-'check-Jul''26'!CK213)</f>
        <v/>
      </c>
      <c r="CL195" s="25" t="str">
        <f>IF('1. Live'!CP213='check-Jul''26'!CL213,"",'1. Live'!CP213-'check-Jul''26'!CL213)</f>
        <v/>
      </c>
      <c r="CM195" s="25" t="str">
        <f>IF('1. Live'!CQ213='check-Jul''26'!CM213,"",'1. Live'!CQ213-'check-Jul''26'!CM213)</f>
        <v/>
      </c>
      <c r="CN195" s="25" t="str">
        <f>IF('1. Live'!CR213='check-Jul''26'!CN213,"",'1. Live'!CR213-'check-Jul''26'!CN213)</f>
        <v/>
      </c>
      <c r="CO195" s="25" t="str">
        <f>IF('1. Live'!CS213='check-Jul''26'!CO213,"",'1. Live'!CS213-'check-Jul''26'!CO213)</f>
        <v/>
      </c>
      <c r="CP195" s="25" t="str">
        <f>IF('1. Live'!CT213='check-Jul''26'!CP213,"",'1. Live'!CT213-'check-Jul''26'!CP213)</f>
        <v/>
      </c>
      <c r="CQ195" s="25" t="str">
        <f>IF('1. Live'!CU213='check-Jul''26'!CQ213,"",'1. Live'!CU213-'check-Jul''26'!CQ213)</f>
        <v/>
      </c>
      <c r="CR195" s="25" t="str">
        <f>IF('1. Live'!CV213='check-Jul''26'!CR213,"",'1. Live'!CV213-'check-Jul''26'!CR213)</f>
        <v/>
      </c>
      <c r="CS195" s="25" t="str">
        <f>IF('1. Live'!CW213='check-Jul''26'!CS213,"",'1. Live'!CW213-'check-Jul''26'!CS213)</f>
        <v/>
      </c>
      <c r="CT195" s="25" t="str">
        <f>IF('1. Live'!CX213='check-Jul''26'!CT213,"",'1. Live'!CX213-'check-Jul''26'!CT213)</f>
        <v/>
      </c>
      <c r="CU195" s="25" t="str">
        <f>IF('1. Live'!CY213='check-Jul''26'!CU213,"",'1. Live'!CY213-'check-Jul''26'!CU213)</f>
        <v/>
      </c>
      <c r="CV195" s="25" t="str">
        <f>IF('1. Live'!CZ213='check-Jul''26'!CV213,"",'1. Live'!CZ213-'check-Jul''26'!CV213)</f>
        <v/>
      </c>
    </row>
    <row r="196" spans="17:100" x14ac:dyDescent="0.25">
      <c r="Q196" s="26" t="str">
        <f>IF('1. Live'!N214='check-Jul''26'!I214,"",'1. Live'!N214-'check-Jul''26'!I214)</f>
        <v/>
      </c>
      <c r="R196" s="26" t="str">
        <f>IF('1. Live'!O214='check-Jul''26'!J214,"",'1. Live'!O214-'check-Jul''26'!J214)</f>
        <v/>
      </c>
      <c r="S196" s="26" t="str">
        <f>IF('1. Live'!P214='check-Jul''26'!K214,"",'1. Live'!P214-'check-Jul''26'!K214)</f>
        <v/>
      </c>
      <c r="T196" s="26" t="str">
        <f>IF('1. Live'!Q214='check-Jul''26'!L214,"",'1. Live'!Q214-'check-Jul''26'!L214)</f>
        <v/>
      </c>
      <c r="U196" s="80" t="str">
        <f>IF('1. Live'!R214='check-Jul''26'!M214,"",'1. Live'!R214-'check-Jul''26'!M214)</f>
        <v/>
      </c>
      <c r="V196" s="26" t="str">
        <f>IF('1. Live'!S214='check-Jul''26'!N214,"",'1. Live'!S214-'check-Jul''26'!N214)</f>
        <v/>
      </c>
      <c r="W196" s="25" t="str">
        <f>IF('1. Live'!T214='check-Jul''26'!O214,"",'1. Live'!T214-'check-Jul''26'!O214)</f>
        <v/>
      </c>
      <c r="X196" s="25" t="str">
        <f>IF('1. Live'!U214='check-Jul''26'!Q214,"",'1. Live'!U214-'check-Jul''26'!Q214)</f>
        <v/>
      </c>
      <c r="Y196" s="25" t="str">
        <f>IF('1. Live'!V214='check-Jul''26'!R214,"",'1. Live'!V214-'check-Jul''26'!R214)</f>
        <v/>
      </c>
      <c r="Z196" s="25" t="str">
        <f>IF('1. Live'!W214='check-Jul''26'!S214,"",'1. Live'!W214-'check-Jul''26'!S214)</f>
        <v/>
      </c>
      <c r="AA196" s="25" t="str">
        <f>IF('1. Live'!X214='check-Jul''26'!T214,"",'1. Live'!X214-'check-Jul''26'!T214)</f>
        <v/>
      </c>
      <c r="AB196" s="25" t="str">
        <f>IF('1. Live'!AF214='check-Jul''26'!AB214,"",'1. Live'!AF214-'check-Jul''26'!AB214)</f>
        <v/>
      </c>
      <c r="AC196" s="25" t="str">
        <f>IF('1. Live'!AG214='check-Jul''26'!AC214,"",'1. Live'!AG214-'check-Jul''26'!AC214)</f>
        <v/>
      </c>
      <c r="AD196" s="25" t="str">
        <f>IF('1. Live'!AH214='check-Jul''26'!AD214,"",'1. Live'!AH214-'check-Jul''26'!AD214)</f>
        <v/>
      </c>
      <c r="AE196" s="25" t="str">
        <f>IF('1. Live'!AI214='check-Jul''26'!AE214,"",'1. Live'!AI214-'check-Jul''26'!AE214)</f>
        <v/>
      </c>
      <c r="AF196" s="25" t="str">
        <f>IF('1. Live'!AJ214='check-Jul''26'!AF214,"",'1. Live'!AJ214-'check-Jul''26'!AF214)</f>
        <v/>
      </c>
      <c r="AG196" s="25" t="str">
        <f>IF('1. Live'!AK214='check-Jul''26'!AG214,"",'1. Live'!AK214-'check-Jul''26'!AG214)</f>
        <v/>
      </c>
      <c r="AH196" s="25" t="str">
        <f>IF('1. Live'!AL214='check-Jul''26'!AH214,"",'1. Live'!AL214-'check-Jul''26'!AH214)</f>
        <v/>
      </c>
      <c r="AI196" s="25" t="str">
        <f>IF('1. Live'!AM214='check-Jul''26'!AI214,"",'1. Live'!AM214-'check-Jul''26'!AI214)</f>
        <v/>
      </c>
      <c r="AJ196" s="25" t="str">
        <f>IF('1. Live'!AN214='check-Jul''26'!AJ214,"",'1. Live'!AN214-'check-Jul''26'!AJ214)</f>
        <v/>
      </c>
      <c r="AK196" s="25" t="str">
        <f>IF('1. Live'!AO214='check-Jul''26'!AK214,"",'1. Live'!AO214-'check-Jul''26'!AK214)</f>
        <v/>
      </c>
      <c r="AL196" s="25" t="str">
        <f>IF('1. Live'!AP214='check-Jul''26'!AL214,"",'1. Live'!AP214-'check-Jul''26'!AL214)</f>
        <v/>
      </c>
      <c r="AM196" s="25" t="str">
        <f>IF('1. Live'!AQ214='check-Jul''26'!AM214,"",'1. Live'!AQ214-'check-Jul''26'!AM214)</f>
        <v/>
      </c>
      <c r="AN196" s="25" t="str">
        <f>IF('1. Live'!AR214='check-Jul''26'!AN214,"",'1. Live'!AR214-'check-Jul''26'!AN214)</f>
        <v/>
      </c>
      <c r="AO196" s="25" t="str">
        <f>IF('1. Live'!AS214='check-Jul''26'!AO214,"",'1. Live'!AS214-'check-Jul''26'!AO214)</f>
        <v/>
      </c>
      <c r="AP196" s="25" t="str">
        <f>IF('1. Live'!AT214='check-Jul''26'!AP214,"",'1. Live'!AT214-'check-Jul''26'!AP214)</f>
        <v/>
      </c>
      <c r="AQ196" s="25" t="str">
        <f>IF('1. Live'!AU214='check-Jul''26'!AQ214,"",'1. Live'!AU214-'check-Jul''26'!AQ214)</f>
        <v/>
      </c>
      <c r="AR196" s="25" t="str">
        <f>IF('1. Live'!AV214='check-Jul''26'!AR214,"",'1. Live'!AV214-'check-Jul''26'!AR214)</f>
        <v/>
      </c>
      <c r="AS196" s="25" t="str">
        <f>IF('1. Live'!AW214='check-Jul''26'!AS214,"",'1. Live'!AW214-'check-Jul''26'!AS214)</f>
        <v/>
      </c>
      <c r="AT196" s="25" t="str">
        <f>IF('1. Live'!AX214='check-Jul''26'!AT214,"",'1. Live'!AX214-'check-Jul''26'!AT214)</f>
        <v/>
      </c>
      <c r="AU196" s="25" t="str">
        <f>IF('1. Live'!AY214='check-Jul''26'!AU214,"",'1. Live'!AY214-'check-Jul''26'!AU214)</f>
        <v/>
      </c>
      <c r="AV196" s="25" t="str">
        <f>IF('1. Live'!AZ214='check-Jul''26'!AV214,"",'1. Live'!AZ214-'check-Jul''26'!AV214)</f>
        <v/>
      </c>
      <c r="AW196" s="25" t="str">
        <f>IF('1. Live'!BA214='check-Jul''26'!AW214,"",'1. Live'!BA214-'check-Jul''26'!AW214)</f>
        <v/>
      </c>
      <c r="AX196" s="25" t="str">
        <f>IF('1. Live'!BB214='check-Jul''26'!AX214,"",'1. Live'!BB214-'check-Jul''26'!AX214)</f>
        <v/>
      </c>
      <c r="AY196" s="25" t="str">
        <f>IF('1. Live'!BC214='check-Jul''26'!AY214,"",'1. Live'!BC214-'check-Jul''26'!AY214)</f>
        <v/>
      </c>
      <c r="AZ196" s="25" t="str">
        <f>IF('1. Live'!BD214='check-Jul''26'!AZ214,"",'1. Live'!BD214-'check-Jul''26'!AZ214)</f>
        <v/>
      </c>
      <c r="BA196" s="25" t="str">
        <f>IF('1. Live'!BE214='check-Jul''26'!BA214,"",'1. Live'!BE214-'check-Jul''26'!BA214)</f>
        <v/>
      </c>
      <c r="BB196" s="25" t="str">
        <f>IF('1. Live'!BF214='check-Jul''26'!BB214,"",'1. Live'!BF214-'check-Jul''26'!BB214)</f>
        <v/>
      </c>
      <c r="BC196" s="25" t="str">
        <f>IF('1. Live'!BG214='check-Jul''26'!BC214,"",'1. Live'!BG214-'check-Jul''26'!BC214)</f>
        <v/>
      </c>
      <c r="BD196" s="25" t="str">
        <f>IF('1. Live'!BH214='check-Jul''26'!BD214,"",'1. Live'!BH214-'check-Jul''26'!BD214)</f>
        <v/>
      </c>
      <c r="BE196" s="25" t="str">
        <f>IF('1. Live'!BI214='check-Jul''26'!BE214,"",'1. Live'!BI214-'check-Jul''26'!BE214)</f>
        <v/>
      </c>
      <c r="BF196" s="25" t="str">
        <f>IF('1. Live'!BJ214='check-Jul''26'!BF214,"",'1. Live'!BJ214-'check-Jul''26'!BF214)</f>
        <v/>
      </c>
      <c r="BG196" s="25" t="str">
        <f>IF('1. Live'!BK214='check-Jul''26'!BG214,"",'1. Live'!BK214-'check-Jul''26'!BG214)</f>
        <v/>
      </c>
      <c r="BH196" s="25" t="str">
        <f>IF('1. Live'!BL214='check-Jul''26'!BH214,"",'1. Live'!BL214-'check-Jul''26'!BH214)</f>
        <v/>
      </c>
      <c r="BI196" s="25" t="str">
        <f>IF('1. Live'!BM214='check-Jul''26'!BI214,"",'1. Live'!BM214-'check-Jul''26'!BI214)</f>
        <v/>
      </c>
      <c r="BJ196" s="25" t="str">
        <f>IF('1. Live'!BN214='check-Jul''26'!BJ214,"",'1. Live'!BN214-'check-Jul''26'!BJ214)</f>
        <v/>
      </c>
      <c r="BK196" s="25" t="str">
        <f>IF('1. Live'!BO214='check-Jul''26'!BK214,"",'1. Live'!BO214-'check-Jul''26'!BK214)</f>
        <v/>
      </c>
      <c r="BL196" s="25" t="str">
        <f>IF('1. Live'!BP214='check-Jul''26'!BL214,"",'1. Live'!BP214-'check-Jul''26'!BL214)</f>
        <v/>
      </c>
      <c r="BM196" s="25" t="str">
        <f>IF('1. Live'!BQ214='check-Jul''26'!BM214,"",'1. Live'!BQ214-'check-Jul''26'!BM214)</f>
        <v/>
      </c>
      <c r="BN196" s="25" t="str">
        <f>IF('1. Live'!BR214='check-Jul''26'!BN214,"",'1. Live'!BR214-'check-Jul''26'!BN214)</f>
        <v/>
      </c>
      <c r="BO196" s="25" t="str">
        <f>IF('1. Live'!BS214='check-Jul''26'!BO214,"",'1. Live'!BS214-'check-Jul''26'!BO214)</f>
        <v/>
      </c>
      <c r="BP196" s="25" t="str">
        <f>IF('1. Live'!BT214='check-Jul''26'!BP214,"",'1. Live'!BT214-'check-Jul''26'!BP214)</f>
        <v/>
      </c>
      <c r="BQ196" s="25" t="str">
        <f>IF('1. Live'!BU214='check-Jul''26'!BQ214,"",'1. Live'!BU214-'check-Jul''26'!BQ214)</f>
        <v/>
      </c>
      <c r="BR196" s="25" t="str">
        <f>IF('1. Live'!BV214='check-Jul''26'!BR214,"",'1. Live'!BV214-'check-Jul''26'!BR214)</f>
        <v/>
      </c>
      <c r="BS196" s="25" t="str">
        <f>IF('1. Live'!BW214='check-Jul''26'!BS214,"",'1. Live'!BW214-'check-Jul''26'!BS214)</f>
        <v/>
      </c>
      <c r="BT196" s="25" t="str">
        <f>IF('1. Live'!BX214='check-Jul''26'!BT214,"",'1. Live'!BX214-'check-Jul''26'!BT214)</f>
        <v/>
      </c>
      <c r="BU196" s="25" t="str">
        <f>IF('1. Live'!BY214='check-Jul''26'!BU214,"",'1. Live'!BY214-'check-Jul''26'!BU214)</f>
        <v/>
      </c>
      <c r="BV196" s="25" t="str">
        <f>IF('1. Live'!BZ214='check-Jul''26'!BV214,"",'1. Live'!BZ214-'check-Jul''26'!BV214)</f>
        <v/>
      </c>
      <c r="BW196" s="25" t="str">
        <f>IF('1. Live'!CA214='check-Jul''26'!BW214,"",'1. Live'!CA214-'check-Jul''26'!BW214)</f>
        <v/>
      </c>
      <c r="BX196" s="25" t="str">
        <f>IF('1. Live'!CB214='check-Jul''26'!BX214,"",'1. Live'!CB214-'check-Jul''26'!BX214)</f>
        <v/>
      </c>
      <c r="BY196" s="25" t="str">
        <f>IF('1. Live'!CC214='check-Jul''26'!BY214,"",'1. Live'!CC214-'check-Jul''26'!BY214)</f>
        <v/>
      </c>
      <c r="BZ196" s="25" t="str">
        <f>IF('1. Live'!CD214='check-Jul''26'!BZ214,"",'1. Live'!CD214-'check-Jul''26'!BZ214)</f>
        <v/>
      </c>
      <c r="CA196" s="25" t="str">
        <f>IF('1. Live'!CE214='check-Jul''26'!CA214,"",'1. Live'!CE214-'check-Jul''26'!CA214)</f>
        <v/>
      </c>
      <c r="CB196" s="25" t="str">
        <f>IF('1. Live'!CF214='check-Jul''26'!CB214,"",'1. Live'!CF214-'check-Jul''26'!CB214)</f>
        <v/>
      </c>
      <c r="CC196" s="25" t="str">
        <f>IF('1. Live'!CG214='check-Jul''26'!CC214,"",'1. Live'!CG214-'check-Jul''26'!CC214)</f>
        <v/>
      </c>
      <c r="CD196" s="25" t="str">
        <f>IF('1. Live'!CH214='check-Jul''26'!CD214,"",'1. Live'!CH214-'check-Jul''26'!CD214)</f>
        <v/>
      </c>
      <c r="CE196" s="25" t="str">
        <f>IF('1. Live'!CI214='check-Jul''26'!CE214,"",'1. Live'!CI214-'check-Jul''26'!CE214)</f>
        <v/>
      </c>
      <c r="CF196" s="25" t="str">
        <f>IF('1. Live'!CJ214='check-Jul''26'!CF214,"",'1. Live'!CJ214-'check-Jul''26'!CF214)</f>
        <v/>
      </c>
      <c r="CG196" s="25" t="str">
        <f>IF('1. Live'!CK214='check-Jul''26'!CG214,"",'1. Live'!CK214-'check-Jul''26'!CG214)</f>
        <v/>
      </c>
      <c r="CH196" s="25" t="str">
        <f>IF('1. Live'!CL214='check-Jul''26'!CH214,"",'1. Live'!CL214-'check-Jul''26'!CH214)</f>
        <v/>
      </c>
      <c r="CI196" s="25" t="str">
        <f>IF('1. Live'!CM214='check-Jul''26'!CI214,"",'1. Live'!CM214-'check-Jul''26'!CI214)</f>
        <v/>
      </c>
      <c r="CJ196" s="25" t="str">
        <f>IF('1. Live'!CN214='check-Jul''26'!CJ214,"",'1. Live'!CN214-'check-Jul''26'!CJ214)</f>
        <v/>
      </c>
      <c r="CK196" s="25" t="str">
        <f>IF('1. Live'!CO214='check-Jul''26'!CK214,"",'1. Live'!CO214-'check-Jul''26'!CK214)</f>
        <v/>
      </c>
      <c r="CL196" s="25" t="str">
        <f>IF('1. Live'!CP214='check-Jul''26'!CL214,"",'1. Live'!CP214-'check-Jul''26'!CL214)</f>
        <v/>
      </c>
      <c r="CM196" s="25" t="str">
        <f>IF('1. Live'!CQ214='check-Jul''26'!CM214,"",'1. Live'!CQ214-'check-Jul''26'!CM214)</f>
        <v/>
      </c>
      <c r="CN196" s="25" t="str">
        <f>IF('1. Live'!CR214='check-Jul''26'!CN214,"",'1. Live'!CR214-'check-Jul''26'!CN214)</f>
        <v/>
      </c>
      <c r="CO196" s="25" t="str">
        <f>IF('1. Live'!CS214='check-Jul''26'!CO214,"",'1. Live'!CS214-'check-Jul''26'!CO214)</f>
        <v/>
      </c>
      <c r="CP196" s="25" t="str">
        <f>IF('1. Live'!CT214='check-Jul''26'!CP214,"",'1. Live'!CT214-'check-Jul''26'!CP214)</f>
        <v/>
      </c>
      <c r="CQ196" s="25" t="str">
        <f>IF('1. Live'!CU214='check-Jul''26'!CQ214,"",'1. Live'!CU214-'check-Jul''26'!CQ214)</f>
        <v/>
      </c>
      <c r="CR196" s="25" t="str">
        <f>IF('1. Live'!CV214='check-Jul''26'!CR214,"",'1. Live'!CV214-'check-Jul''26'!CR214)</f>
        <v/>
      </c>
      <c r="CS196" s="25" t="str">
        <f>IF('1. Live'!CW214='check-Jul''26'!CS214,"",'1. Live'!CW214-'check-Jul''26'!CS214)</f>
        <v/>
      </c>
      <c r="CT196" s="25" t="str">
        <f>IF('1. Live'!CX214='check-Jul''26'!CT214,"",'1. Live'!CX214-'check-Jul''26'!CT214)</f>
        <v/>
      </c>
      <c r="CU196" s="25" t="str">
        <f>IF('1. Live'!CY214='check-Jul''26'!CU214,"",'1. Live'!CY214-'check-Jul''26'!CU214)</f>
        <v/>
      </c>
      <c r="CV196" s="25" t="str">
        <f>IF('1. Live'!CZ214='check-Jul''26'!CV214,"",'1. Live'!CZ214-'check-Jul''26'!CV214)</f>
        <v/>
      </c>
    </row>
    <row r="197" spans="17:100" x14ac:dyDescent="0.25">
      <c r="Q197" s="26" t="str">
        <f>IF('1. Live'!N215='check-Jul''26'!I215,"",'1. Live'!N215-'check-Jul''26'!I215)</f>
        <v/>
      </c>
      <c r="R197" s="26" t="str">
        <f>IF('1. Live'!O215='check-Jul''26'!J215,"",'1. Live'!O215-'check-Jul''26'!J215)</f>
        <v/>
      </c>
      <c r="S197" s="26" t="str">
        <f>IF('1. Live'!P215='check-Jul''26'!K215,"",'1. Live'!P215-'check-Jul''26'!K215)</f>
        <v/>
      </c>
      <c r="T197" s="26" t="str">
        <f>IF('1. Live'!Q215='check-Jul''26'!L215,"",'1. Live'!Q215-'check-Jul''26'!L215)</f>
        <v/>
      </c>
      <c r="U197" s="80" t="str">
        <f>IF('1. Live'!R215='check-Jul''26'!M215,"",'1. Live'!R215-'check-Jul''26'!M215)</f>
        <v/>
      </c>
      <c r="V197" s="26" t="str">
        <f>IF('1. Live'!S215='check-Jul''26'!N215,"",'1. Live'!S215-'check-Jul''26'!N215)</f>
        <v/>
      </c>
      <c r="W197" s="25" t="str">
        <f>IF('1. Live'!T215='check-Jul''26'!O215,"",'1. Live'!T215-'check-Jul''26'!O215)</f>
        <v/>
      </c>
      <c r="X197" s="25" t="str">
        <f>IF('1. Live'!U215='check-Jul''26'!Q215,"",'1. Live'!U215-'check-Jul''26'!Q215)</f>
        <v/>
      </c>
      <c r="Y197" s="25" t="str">
        <f>IF('1. Live'!V215='check-Jul''26'!R215,"",'1. Live'!V215-'check-Jul''26'!R215)</f>
        <v/>
      </c>
      <c r="Z197" s="25" t="str">
        <f>IF('1. Live'!W215='check-Jul''26'!S215,"",'1. Live'!W215-'check-Jul''26'!S215)</f>
        <v/>
      </c>
      <c r="AA197" s="25" t="str">
        <f>IF('1. Live'!X215='check-Jul''26'!T215,"",'1. Live'!X215-'check-Jul''26'!T215)</f>
        <v/>
      </c>
      <c r="AB197" s="25" t="str">
        <f>IF('1. Live'!AF215='check-Jul''26'!AB215,"",'1. Live'!AF215-'check-Jul''26'!AB215)</f>
        <v/>
      </c>
      <c r="AC197" s="25" t="str">
        <f>IF('1. Live'!AG215='check-Jul''26'!AC215,"",'1. Live'!AG215-'check-Jul''26'!AC215)</f>
        <v/>
      </c>
      <c r="AD197" s="25" t="str">
        <f>IF('1. Live'!AH215='check-Jul''26'!AD215,"",'1. Live'!AH215-'check-Jul''26'!AD215)</f>
        <v/>
      </c>
      <c r="AE197" s="25" t="str">
        <f>IF('1. Live'!AI215='check-Jul''26'!AE215,"",'1. Live'!AI215-'check-Jul''26'!AE215)</f>
        <v/>
      </c>
      <c r="AF197" s="25" t="str">
        <f>IF('1. Live'!AJ215='check-Jul''26'!AF215,"",'1. Live'!AJ215-'check-Jul''26'!AF215)</f>
        <v/>
      </c>
      <c r="AG197" s="25" t="str">
        <f>IF('1. Live'!AK215='check-Jul''26'!AG215,"",'1. Live'!AK215-'check-Jul''26'!AG215)</f>
        <v/>
      </c>
      <c r="AH197" s="25" t="str">
        <f>IF('1. Live'!AL215='check-Jul''26'!AH215,"",'1. Live'!AL215-'check-Jul''26'!AH215)</f>
        <v/>
      </c>
      <c r="AI197" s="25" t="str">
        <f>IF('1. Live'!AM215='check-Jul''26'!AI215,"",'1. Live'!AM215-'check-Jul''26'!AI215)</f>
        <v/>
      </c>
      <c r="AJ197" s="25" t="str">
        <f>IF('1. Live'!AN215='check-Jul''26'!AJ215,"",'1. Live'!AN215-'check-Jul''26'!AJ215)</f>
        <v/>
      </c>
      <c r="AK197" s="25" t="str">
        <f>IF('1. Live'!AO215='check-Jul''26'!AK215,"",'1. Live'!AO215-'check-Jul''26'!AK215)</f>
        <v/>
      </c>
      <c r="AL197" s="25" t="str">
        <f>IF('1. Live'!AP215='check-Jul''26'!AL215,"",'1. Live'!AP215-'check-Jul''26'!AL215)</f>
        <v/>
      </c>
      <c r="AM197" s="25" t="str">
        <f>IF('1. Live'!AQ215='check-Jul''26'!AM215,"",'1. Live'!AQ215-'check-Jul''26'!AM215)</f>
        <v/>
      </c>
      <c r="AN197" s="25" t="str">
        <f>IF('1. Live'!AR215='check-Jul''26'!AN215,"",'1. Live'!AR215-'check-Jul''26'!AN215)</f>
        <v/>
      </c>
      <c r="AO197" s="25" t="str">
        <f>IF('1. Live'!AS215='check-Jul''26'!AO215,"",'1. Live'!AS215-'check-Jul''26'!AO215)</f>
        <v/>
      </c>
      <c r="AP197" s="25" t="str">
        <f>IF('1. Live'!AT215='check-Jul''26'!AP215,"",'1. Live'!AT215-'check-Jul''26'!AP215)</f>
        <v/>
      </c>
      <c r="AQ197" s="25" t="str">
        <f>IF('1. Live'!AU215='check-Jul''26'!AQ215,"",'1. Live'!AU215-'check-Jul''26'!AQ215)</f>
        <v/>
      </c>
      <c r="AR197" s="25" t="str">
        <f>IF('1. Live'!AV215='check-Jul''26'!AR215,"",'1. Live'!AV215-'check-Jul''26'!AR215)</f>
        <v/>
      </c>
      <c r="AS197" s="25" t="str">
        <f>IF('1. Live'!AW215='check-Jul''26'!AS215,"",'1. Live'!AW215-'check-Jul''26'!AS215)</f>
        <v/>
      </c>
      <c r="AT197" s="25" t="str">
        <f>IF('1. Live'!AX215='check-Jul''26'!AT215,"",'1. Live'!AX215-'check-Jul''26'!AT215)</f>
        <v/>
      </c>
      <c r="AU197" s="25" t="str">
        <f>IF('1. Live'!AY215='check-Jul''26'!AU215,"",'1. Live'!AY215-'check-Jul''26'!AU215)</f>
        <v/>
      </c>
      <c r="AV197" s="25" t="str">
        <f>IF('1. Live'!AZ215='check-Jul''26'!AV215,"",'1. Live'!AZ215-'check-Jul''26'!AV215)</f>
        <v/>
      </c>
      <c r="AW197" s="25" t="str">
        <f>IF('1. Live'!BA215='check-Jul''26'!AW215,"",'1. Live'!BA215-'check-Jul''26'!AW215)</f>
        <v/>
      </c>
      <c r="AX197" s="25" t="str">
        <f>IF('1. Live'!BB215='check-Jul''26'!AX215,"",'1. Live'!BB215-'check-Jul''26'!AX215)</f>
        <v/>
      </c>
      <c r="AY197" s="25" t="str">
        <f>IF('1. Live'!BC215='check-Jul''26'!AY215,"",'1. Live'!BC215-'check-Jul''26'!AY215)</f>
        <v/>
      </c>
      <c r="AZ197" s="25" t="str">
        <f>IF('1. Live'!BD215='check-Jul''26'!AZ215,"",'1. Live'!BD215-'check-Jul''26'!AZ215)</f>
        <v/>
      </c>
      <c r="BA197" s="25" t="str">
        <f>IF('1. Live'!BE215='check-Jul''26'!BA215,"",'1. Live'!BE215-'check-Jul''26'!BA215)</f>
        <v/>
      </c>
      <c r="BB197" s="25" t="str">
        <f>IF('1. Live'!BF215='check-Jul''26'!BB215,"",'1. Live'!BF215-'check-Jul''26'!BB215)</f>
        <v/>
      </c>
      <c r="BC197" s="25" t="str">
        <f>IF('1. Live'!BG215='check-Jul''26'!BC215,"",'1. Live'!BG215-'check-Jul''26'!BC215)</f>
        <v/>
      </c>
      <c r="BD197" s="25" t="str">
        <f>IF('1. Live'!BH215='check-Jul''26'!BD215,"",'1. Live'!BH215-'check-Jul''26'!BD215)</f>
        <v/>
      </c>
      <c r="BE197" s="25" t="str">
        <f>IF('1. Live'!BI215='check-Jul''26'!BE215,"",'1. Live'!BI215-'check-Jul''26'!BE215)</f>
        <v/>
      </c>
      <c r="BF197" s="25" t="str">
        <f>IF('1. Live'!BJ215='check-Jul''26'!BF215,"",'1. Live'!BJ215-'check-Jul''26'!BF215)</f>
        <v/>
      </c>
      <c r="BG197" s="25" t="str">
        <f>IF('1. Live'!BK215='check-Jul''26'!BG215,"",'1. Live'!BK215-'check-Jul''26'!BG215)</f>
        <v/>
      </c>
      <c r="BH197" s="25" t="str">
        <f>IF('1. Live'!BL215='check-Jul''26'!BH215,"",'1. Live'!BL215-'check-Jul''26'!BH215)</f>
        <v/>
      </c>
      <c r="BI197" s="25" t="str">
        <f>IF('1. Live'!BM215='check-Jul''26'!BI215,"",'1. Live'!BM215-'check-Jul''26'!BI215)</f>
        <v/>
      </c>
      <c r="BJ197" s="25" t="str">
        <f>IF('1. Live'!BN215='check-Jul''26'!BJ215,"",'1. Live'!BN215-'check-Jul''26'!BJ215)</f>
        <v/>
      </c>
      <c r="BK197" s="25" t="str">
        <f>IF('1. Live'!BO215='check-Jul''26'!BK215,"",'1. Live'!BO215-'check-Jul''26'!BK215)</f>
        <v/>
      </c>
      <c r="BL197" s="25" t="str">
        <f>IF('1. Live'!BP215='check-Jul''26'!BL215,"",'1. Live'!BP215-'check-Jul''26'!BL215)</f>
        <v/>
      </c>
      <c r="BM197" s="25" t="str">
        <f>IF('1. Live'!BQ215='check-Jul''26'!BM215,"",'1. Live'!BQ215-'check-Jul''26'!BM215)</f>
        <v/>
      </c>
      <c r="BN197" s="25" t="str">
        <f>IF('1. Live'!BR215='check-Jul''26'!BN215,"",'1. Live'!BR215-'check-Jul''26'!BN215)</f>
        <v/>
      </c>
      <c r="BO197" s="25" t="str">
        <f>IF('1. Live'!BS215='check-Jul''26'!BO215,"",'1. Live'!BS215-'check-Jul''26'!BO215)</f>
        <v/>
      </c>
      <c r="BP197" s="25" t="str">
        <f>IF('1. Live'!BT215='check-Jul''26'!BP215,"",'1. Live'!BT215-'check-Jul''26'!BP215)</f>
        <v/>
      </c>
      <c r="BQ197" s="25" t="str">
        <f>IF('1. Live'!BU215='check-Jul''26'!BQ215,"",'1. Live'!BU215-'check-Jul''26'!BQ215)</f>
        <v/>
      </c>
      <c r="BR197" s="25" t="str">
        <f>IF('1. Live'!BV215='check-Jul''26'!BR215,"",'1. Live'!BV215-'check-Jul''26'!BR215)</f>
        <v/>
      </c>
      <c r="BS197" s="25" t="str">
        <f>IF('1. Live'!BW215='check-Jul''26'!BS215,"",'1. Live'!BW215-'check-Jul''26'!BS215)</f>
        <v/>
      </c>
      <c r="BT197" s="25" t="str">
        <f>IF('1. Live'!BX215='check-Jul''26'!BT215,"",'1. Live'!BX215-'check-Jul''26'!BT215)</f>
        <v/>
      </c>
      <c r="BU197" s="25" t="str">
        <f>IF('1. Live'!BY215='check-Jul''26'!BU215,"",'1. Live'!BY215-'check-Jul''26'!BU215)</f>
        <v/>
      </c>
      <c r="BV197" s="25" t="str">
        <f>IF('1. Live'!BZ215='check-Jul''26'!BV215,"",'1. Live'!BZ215-'check-Jul''26'!BV215)</f>
        <v/>
      </c>
      <c r="BW197" s="25" t="str">
        <f>IF('1. Live'!CA215='check-Jul''26'!BW215,"",'1. Live'!CA215-'check-Jul''26'!BW215)</f>
        <v/>
      </c>
      <c r="BX197" s="25" t="str">
        <f>IF('1. Live'!CB215='check-Jul''26'!BX215,"",'1. Live'!CB215-'check-Jul''26'!BX215)</f>
        <v/>
      </c>
      <c r="BY197" s="25" t="str">
        <f>IF('1. Live'!CC215='check-Jul''26'!BY215,"",'1. Live'!CC215-'check-Jul''26'!BY215)</f>
        <v/>
      </c>
      <c r="BZ197" s="25" t="str">
        <f>IF('1. Live'!CD215='check-Jul''26'!BZ215,"",'1. Live'!CD215-'check-Jul''26'!BZ215)</f>
        <v/>
      </c>
      <c r="CA197" s="25" t="str">
        <f>IF('1. Live'!CE215='check-Jul''26'!CA215,"",'1. Live'!CE215-'check-Jul''26'!CA215)</f>
        <v/>
      </c>
      <c r="CB197" s="25" t="str">
        <f>IF('1. Live'!CF215='check-Jul''26'!CB215,"",'1. Live'!CF215-'check-Jul''26'!CB215)</f>
        <v/>
      </c>
      <c r="CC197" s="25" t="str">
        <f>IF('1. Live'!CG215='check-Jul''26'!CC215,"",'1. Live'!CG215-'check-Jul''26'!CC215)</f>
        <v/>
      </c>
      <c r="CD197" s="25" t="str">
        <f>IF('1. Live'!CH215='check-Jul''26'!CD215,"",'1. Live'!CH215-'check-Jul''26'!CD215)</f>
        <v/>
      </c>
      <c r="CE197" s="25" t="str">
        <f>IF('1. Live'!CI215='check-Jul''26'!CE215,"",'1. Live'!CI215-'check-Jul''26'!CE215)</f>
        <v/>
      </c>
      <c r="CF197" s="25" t="str">
        <f>IF('1. Live'!CJ215='check-Jul''26'!CF215,"",'1. Live'!CJ215-'check-Jul''26'!CF215)</f>
        <v/>
      </c>
      <c r="CG197" s="25" t="str">
        <f>IF('1. Live'!CK215='check-Jul''26'!CG215,"",'1. Live'!CK215-'check-Jul''26'!CG215)</f>
        <v/>
      </c>
      <c r="CH197" s="25" t="str">
        <f>IF('1. Live'!CL215='check-Jul''26'!CH215,"",'1. Live'!CL215-'check-Jul''26'!CH215)</f>
        <v/>
      </c>
      <c r="CI197" s="25" t="str">
        <f>IF('1. Live'!CM215='check-Jul''26'!CI215,"",'1. Live'!CM215-'check-Jul''26'!CI215)</f>
        <v/>
      </c>
      <c r="CJ197" s="25" t="str">
        <f>IF('1. Live'!CN215='check-Jul''26'!CJ215,"",'1. Live'!CN215-'check-Jul''26'!CJ215)</f>
        <v/>
      </c>
      <c r="CK197" s="25" t="str">
        <f>IF('1. Live'!CO215='check-Jul''26'!CK215,"",'1. Live'!CO215-'check-Jul''26'!CK215)</f>
        <v/>
      </c>
      <c r="CL197" s="25" t="str">
        <f>IF('1. Live'!CP215='check-Jul''26'!CL215,"",'1. Live'!CP215-'check-Jul''26'!CL215)</f>
        <v/>
      </c>
      <c r="CM197" s="25" t="str">
        <f>IF('1. Live'!CQ215='check-Jul''26'!CM215,"",'1. Live'!CQ215-'check-Jul''26'!CM215)</f>
        <v/>
      </c>
      <c r="CN197" s="25" t="str">
        <f>IF('1. Live'!CR215='check-Jul''26'!CN215,"",'1. Live'!CR215-'check-Jul''26'!CN215)</f>
        <v/>
      </c>
      <c r="CO197" s="25" t="str">
        <f>IF('1. Live'!CS215='check-Jul''26'!CO215,"",'1. Live'!CS215-'check-Jul''26'!CO215)</f>
        <v/>
      </c>
      <c r="CP197" s="25" t="str">
        <f>IF('1. Live'!CT215='check-Jul''26'!CP215,"",'1. Live'!CT215-'check-Jul''26'!CP215)</f>
        <v/>
      </c>
      <c r="CQ197" s="25" t="str">
        <f>IF('1. Live'!CU215='check-Jul''26'!CQ215,"",'1. Live'!CU215-'check-Jul''26'!CQ215)</f>
        <v/>
      </c>
      <c r="CR197" s="25" t="str">
        <f>IF('1. Live'!CV215='check-Jul''26'!CR215,"",'1. Live'!CV215-'check-Jul''26'!CR215)</f>
        <v/>
      </c>
      <c r="CS197" s="25" t="str">
        <f>IF('1. Live'!CW215='check-Jul''26'!CS215,"",'1. Live'!CW215-'check-Jul''26'!CS215)</f>
        <v/>
      </c>
      <c r="CT197" s="25" t="str">
        <f>IF('1. Live'!CX215='check-Jul''26'!CT215,"",'1. Live'!CX215-'check-Jul''26'!CT215)</f>
        <v/>
      </c>
      <c r="CU197" s="25" t="str">
        <f>IF('1. Live'!CY215='check-Jul''26'!CU215,"",'1. Live'!CY215-'check-Jul''26'!CU215)</f>
        <v/>
      </c>
      <c r="CV197" s="25" t="str">
        <f>IF('1. Live'!CZ215='check-Jul''26'!CV215,"",'1. Live'!CZ215-'check-Jul''26'!CV215)</f>
        <v/>
      </c>
    </row>
    <row r="198" spans="17:100" x14ac:dyDescent="0.25">
      <c r="Q198" s="26" t="str">
        <f>IF('1. Live'!N216='check-Jul''26'!I216,"",'1. Live'!N216-'check-Jul''26'!I216)</f>
        <v/>
      </c>
      <c r="R198" s="26" t="str">
        <f>IF('1. Live'!O216='check-Jul''26'!J216,"",'1. Live'!O216-'check-Jul''26'!J216)</f>
        <v/>
      </c>
      <c r="S198" s="26" t="str">
        <f>IF('1. Live'!P216='check-Jul''26'!K216,"",'1. Live'!P216-'check-Jul''26'!K216)</f>
        <v/>
      </c>
      <c r="T198" s="26" t="str">
        <f>IF('1. Live'!Q216='check-Jul''26'!L216,"",'1. Live'!Q216-'check-Jul''26'!L216)</f>
        <v/>
      </c>
      <c r="U198" s="80" t="str">
        <f>IF('1. Live'!R216='check-Jul''26'!M216,"",'1. Live'!R216-'check-Jul''26'!M216)</f>
        <v/>
      </c>
      <c r="V198" s="26" t="str">
        <f>IF('1. Live'!S216='check-Jul''26'!N216,"",'1. Live'!S216-'check-Jul''26'!N216)</f>
        <v/>
      </c>
      <c r="W198" s="25" t="str">
        <f>IF('1. Live'!T216='check-Jul''26'!O216,"",'1. Live'!T216-'check-Jul''26'!O216)</f>
        <v/>
      </c>
      <c r="X198" s="25" t="str">
        <f>IF('1. Live'!U216='check-Jul''26'!Q216,"",'1. Live'!U216-'check-Jul''26'!Q216)</f>
        <v/>
      </c>
      <c r="Y198" s="25" t="str">
        <f>IF('1. Live'!V216='check-Jul''26'!R216,"",'1. Live'!V216-'check-Jul''26'!R216)</f>
        <v/>
      </c>
      <c r="Z198" s="25" t="str">
        <f>IF('1. Live'!W216='check-Jul''26'!S216,"",'1. Live'!W216-'check-Jul''26'!S216)</f>
        <v/>
      </c>
      <c r="AA198" s="25" t="str">
        <f>IF('1. Live'!X216='check-Jul''26'!T216,"",'1. Live'!X216-'check-Jul''26'!T216)</f>
        <v/>
      </c>
      <c r="AB198" s="25" t="str">
        <f>IF('1. Live'!AF216='check-Jul''26'!AB216,"",'1. Live'!AF216-'check-Jul''26'!AB216)</f>
        <v/>
      </c>
      <c r="AC198" s="25" t="str">
        <f>IF('1. Live'!AG216='check-Jul''26'!AC216,"",'1. Live'!AG216-'check-Jul''26'!AC216)</f>
        <v/>
      </c>
      <c r="AD198" s="25" t="str">
        <f>IF('1. Live'!AH216='check-Jul''26'!AD216,"",'1. Live'!AH216-'check-Jul''26'!AD216)</f>
        <v/>
      </c>
      <c r="AE198" s="25" t="str">
        <f>IF('1. Live'!AI216='check-Jul''26'!AE216,"",'1. Live'!AI216-'check-Jul''26'!AE216)</f>
        <v/>
      </c>
      <c r="AF198" s="25" t="str">
        <f>IF('1. Live'!AJ216='check-Jul''26'!AF216,"",'1. Live'!AJ216-'check-Jul''26'!AF216)</f>
        <v/>
      </c>
      <c r="AG198" s="25" t="str">
        <f>IF('1. Live'!AK216='check-Jul''26'!AG216,"",'1. Live'!AK216-'check-Jul''26'!AG216)</f>
        <v/>
      </c>
      <c r="AH198" s="25" t="str">
        <f>IF('1. Live'!AL216='check-Jul''26'!AH216,"",'1. Live'!AL216-'check-Jul''26'!AH216)</f>
        <v/>
      </c>
      <c r="AI198" s="25" t="str">
        <f>IF('1. Live'!AM216='check-Jul''26'!AI216,"",'1. Live'!AM216-'check-Jul''26'!AI216)</f>
        <v/>
      </c>
      <c r="AJ198" s="25" t="str">
        <f>IF('1. Live'!AN216='check-Jul''26'!AJ216,"",'1. Live'!AN216-'check-Jul''26'!AJ216)</f>
        <v/>
      </c>
      <c r="AK198" s="25" t="str">
        <f>IF('1. Live'!AO216='check-Jul''26'!AK216,"",'1. Live'!AO216-'check-Jul''26'!AK216)</f>
        <v/>
      </c>
      <c r="AL198" s="25" t="str">
        <f>IF('1. Live'!AP216='check-Jul''26'!AL216,"",'1. Live'!AP216-'check-Jul''26'!AL216)</f>
        <v/>
      </c>
      <c r="AM198" s="25" t="str">
        <f>IF('1. Live'!AQ216='check-Jul''26'!AM216,"",'1. Live'!AQ216-'check-Jul''26'!AM216)</f>
        <v/>
      </c>
      <c r="AN198" s="25" t="str">
        <f>IF('1. Live'!AR216='check-Jul''26'!AN216,"",'1. Live'!AR216-'check-Jul''26'!AN216)</f>
        <v/>
      </c>
      <c r="AO198" s="25" t="str">
        <f>IF('1. Live'!AS216='check-Jul''26'!AO216,"",'1. Live'!AS216-'check-Jul''26'!AO216)</f>
        <v/>
      </c>
      <c r="AP198" s="25" t="str">
        <f>IF('1. Live'!AT216='check-Jul''26'!AP216,"",'1. Live'!AT216-'check-Jul''26'!AP216)</f>
        <v/>
      </c>
      <c r="AQ198" s="25" t="str">
        <f>IF('1. Live'!AU216='check-Jul''26'!AQ216,"",'1. Live'!AU216-'check-Jul''26'!AQ216)</f>
        <v/>
      </c>
      <c r="AR198" s="25" t="str">
        <f>IF('1. Live'!AV216='check-Jul''26'!AR216,"",'1. Live'!AV216-'check-Jul''26'!AR216)</f>
        <v/>
      </c>
      <c r="AS198" s="25" t="str">
        <f>IF('1. Live'!AW216='check-Jul''26'!AS216,"",'1. Live'!AW216-'check-Jul''26'!AS216)</f>
        <v/>
      </c>
      <c r="AT198" s="25" t="str">
        <f>IF('1. Live'!AX216='check-Jul''26'!AT216,"",'1. Live'!AX216-'check-Jul''26'!AT216)</f>
        <v/>
      </c>
      <c r="AU198" s="25" t="str">
        <f>IF('1. Live'!AY216='check-Jul''26'!AU216,"",'1. Live'!AY216-'check-Jul''26'!AU216)</f>
        <v/>
      </c>
      <c r="AV198" s="25" t="str">
        <f>IF('1. Live'!AZ216='check-Jul''26'!AV216,"",'1. Live'!AZ216-'check-Jul''26'!AV216)</f>
        <v/>
      </c>
      <c r="AW198" s="25" t="str">
        <f>IF('1. Live'!BA216='check-Jul''26'!AW216,"",'1. Live'!BA216-'check-Jul''26'!AW216)</f>
        <v/>
      </c>
      <c r="AX198" s="25" t="str">
        <f>IF('1. Live'!BB216='check-Jul''26'!AX216,"",'1. Live'!BB216-'check-Jul''26'!AX216)</f>
        <v/>
      </c>
      <c r="AY198" s="25" t="str">
        <f>IF('1. Live'!BC216='check-Jul''26'!AY216,"",'1. Live'!BC216-'check-Jul''26'!AY216)</f>
        <v/>
      </c>
      <c r="AZ198" s="25" t="str">
        <f>IF('1. Live'!BD216='check-Jul''26'!AZ216,"",'1. Live'!BD216-'check-Jul''26'!AZ216)</f>
        <v/>
      </c>
      <c r="BA198" s="25" t="str">
        <f>IF('1. Live'!BE216='check-Jul''26'!BA216,"",'1. Live'!BE216-'check-Jul''26'!BA216)</f>
        <v/>
      </c>
      <c r="BB198" s="25" t="str">
        <f>IF('1. Live'!BF216='check-Jul''26'!BB216,"",'1. Live'!BF216-'check-Jul''26'!BB216)</f>
        <v/>
      </c>
      <c r="BC198" s="25" t="str">
        <f>IF('1. Live'!BG216='check-Jul''26'!BC216,"",'1. Live'!BG216-'check-Jul''26'!BC216)</f>
        <v/>
      </c>
      <c r="BD198" s="25" t="str">
        <f>IF('1. Live'!BH216='check-Jul''26'!BD216,"",'1. Live'!BH216-'check-Jul''26'!BD216)</f>
        <v/>
      </c>
      <c r="BE198" s="25" t="str">
        <f>IF('1. Live'!BI216='check-Jul''26'!BE216,"",'1. Live'!BI216-'check-Jul''26'!BE216)</f>
        <v/>
      </c>
      <c r="BF198" s="25" t="str">
        <f>IF('1. Live'!BJ216='check-Jul''26'!BF216,"",'1. Live'!BJ216-'check-Jul''26'!BF216)</f>
        <v/>
      </c>
      <c r="BG198" s="25" t="str">
        <f>IF('1. Live'!BK216='check-Jul''26'!BG216,"",'1. Live'!BK216-'check-Jul''26'!BG216)</f>
        <v/>
      </c>
      <c r="BH198" s="25" t="str">
        <f>IF('1. Live'!BL216='check-Jul''26'!BH216,"",'1. Live'!BL216-'check-Jul''26'!BH216)</f>
        <v/>
      </c>
      <c r="BI198" s="25" t="str">
        <f>IF('1. Live'!BM216='check-Jul''26'!BI216,"",'1. Live'!BM216-'check-Jul''26'!BI216)</f>
        <v/>
      </c>
      <c r="BJ198" s="25" t="str">
        <f>IF('1. Live'!BN216='check-Jul''26'!BJ216,"",'1. Live'!BN216-'check-Jul''26'!BJ216)</f>
        <v/>
      </c>
      <c r="BK198" s="25" t="str">
        <f>IF('1. Live'!BO216='check-Jul''26'!BK216,"",'1. Live'!BO216-'check-Jul''26'!BK216)</f>
        <v/>
      </c>
      <c r="BL198" s="25" t="str">
        <f>IF('1. Live'!BP216='check-Jul''26'!BL216,"",'1. Live'!BP216-'check-Jul''26'!BL216)</f>
        <v/>
      </c>
      <c r="BM198" s="25" t="str">
        <f>IF('1. Live'!BQ216='check-Jul''26'!BM216,"",'1. Live'!BQ216-'check-Jul''26'!BM216)</f>
        <v/>
      </c>
      <c r="BN198" s="25" t="str">
        <f>IF('1. Live'!BR216='check-Jul''26'!BN216,"",'1. Live'!BR216-'check-Jul''26'!BN216)</f>
        <v/>
      </c>
      <c r="BO198" s="25" t="str">
        <f>IF('1. Live'!BS216='check-Jul''26'!BO216,"",'1. Live'!BS216-'check-Jul''26'!BO216)</f>
        <v/>
      </c>
      <c r="BP198" s="25" t="str">
        <f>IF('1. Live'!BT216='check-Jul''26'!BP216,"",'1. Live'!BT216-'check-Jul''26'!BP216)</f>
        <v/>
      </c>
      <c r="BQ198" s="25" t="str">
        <f>IF('1. Live'!BU216='check-Jul''26'!BQ216,"",'1. Live'!BU216-'check-Jul''26'!BQ216)</f>
        <v/>
      </c>
      <c r="BR198" s="25" t="str">
        <f>IF('1. Live'!BV216='check-Jul''26'!BR216,"",'1. Live'!BV216-'check-Jul''26'!BR216)</f>
        <v/>
      </c>
      <c r="BS198" s="25" t="str">
        <f>IF('1. Live'!BW216='check-Jul''26'!BS216,"",'1. Live'!BW216-'check-Jul''26'!BS216)</f>
        <v/>
      </c>
      <c r="BT198" s="25" t="str">
        <f>IF('1. Live'!BX216='check-Jul''26'!BT216,"",'1. Live'!BX216-'check-Jul''26'!BT216)</f>
        <v/>
      </c>
      <c r="BU198" s="25" t="str">
        <f>IF('1. Live'!BY216='check-Jul''26'!BU216,"",'1. Live'!BY216-'check-Jul''26'!BU216)</f>
        <v/>
      </c>
      <c r="BV198" s="25" t="str">
        <f>IF('1. Live'!BZ216='check-Jul''26'!BV216,"",'1. Live'!BZ216-'check-Jul''26'!BV216)</f>
        <v/>
      </c>
      <c r="BW198" s="25" t="str">
        <f>IF('1. Live'!CA216='check-Jul''26'!BW216,"",'1. Live'!CA216-'check-Jul''26'!BW216)</f>
        <v/>
      </c>
      <c r="BX198" s="25" t="str">
        <f>IF('1. Live'!CB216='check-Jul''26'!BX216,"",'1. Live'!CB216-'check-Jul''26'!BX216)</f>
        <v/>
      </c>
      <c r="BY198" s="25" t="str">
        <f>IF('1. Live'!CC216='check-Jul''26'!BY216,"",'1. Live'!CC216-'check-Jul''26'!BY216)</f>
        <v/>
      </c>
      <c r="BZ198" s="25" t="str">
        <f>IF('1. Live'!CD216='check-Jul''26'!BZ216,"",'1. Live'!CD216-'check-Jul''26'!BZ216)</f>
        <v/>
      </c>
      <c r="CA198" s="25" t="str">
        <f>IF('1. Live'!CE216='check-Jul''26'!CA216,"",'1. Live'!CE216-'check-Jul''26'!CA216)</f>
        <v/>
      </c>
      <c r="CB198" s="25" t="str">
        <f>IF('1. Live'!CF216='check-Jul''26'!CB216,"",'1. Live'!CF216-'check-Jul''26'!CB216)</f>
        <v/>
      </c>
      <c r="CC198" s="25" t="str">
        <f>IF('1. Live'!CG216='check-Jul''26'!CC216,"",'1. Live'!CG216-'check-Jul''26'!CC216)</f>
        <v/>
      </c>
      <c r="CD198" s="25" t="str">
        <f>IF('1. Live'!CH216='check-Jul''26'!CD216,"",'1. Live'!CH216-'check-Jul''26'!CD216)</f>
        <v/>
      </c>
      <c r="CE198" s="25" t="str">
        <f>IF('1. Live'!CI216='check-Jul''26'!CE216,"",'1. Live'!CI216-'check-Jul''26'!CE216)</f>
        <v/>
      </c>
      <c r="CF198" s="25" t="str">
        <f>IF('1. Live'!CJ216='check-Jul''26'!CF216,"",'1. Live'!CJ216-'check-Jul''26'!CF216)</f>
        <v/>
      </c>
      <c r="CG198" s="25" t="str">
        <f>IF('1. Live'!CK216='check-Jul''26'!CG216,"",'1. Live'!CK216-'check-Jul''26'!CG216)</f>
        <v/>
      </c>
      <c r="CH198" s="25" t="str">
        <f>IF('1. Live'!CL216='check-Jul''26'!CH216,"",'1. Live'!CL216-'check-Jul''26'!CH216)</f>
        <v/>
      </c>
      <c r="CI198" s="25" t="str">
        <f>IF('1. Live'!CM216='check-Jul''26'!CI216,"",'1. Live'!CM216-'check-Jul''26'!CI216)</f>
        <v/>
      </c>
      <c r="CJ198" s="25" t="str">
        <f>IF('1. Live'!CN216='check-Jul''26'!CJ216,"",'1. Live'!CN216-'check-Jul''26'!CJ216)</f>
        <v/>
      </c>
      <c r="CK198" s="25" t="str">
        <f>IF('1. Live'!CO216='check-Jul''26'!CK216,"",'1. Live'!CO216-'check-Jul''26'!CK216)</f>
        <v/>
      </c>
      <c r="CL198" s="25" t="str">
        <f>IF('1. Live'!CP216='check-Jul''26'!CL216,"",'1. Live'!CP216-'check-Jul''26'!CL216)</f>
        <v/>
      </c>
      <c r="CM198" s="25" t="str">
        <f>IF('1. Live'!CQ216='check-Jul''26'!CM216,"",'1. Live'!CQ216-'check-Jul''26'!CM216)</f>
        <v/>
      </c>
      <c r="CN198" s="25" t="str">
        <f>IF('1. Live'!CR216='check-Jul''26'!CN216,"",'1. Live'!CR216-'check-Jul''26'!CN216)</f>
        <v/>
      </c>
      <c r="CO198" s="25" t="str">
        <f>IF('1. Live'!CS216='check-Jul''26'!CO216,"",'1. Live'!CS216-'check-Jul''26'!CO216)</f>
        <v/>
      </c>
      <c r="CP198" s="25" t="str">
        <f>IF('1. Live'!CT216='check-Jul''26'!CP216,"",'1. Live'!CT216-'check-Jul''26'!CP216)</f>
        <v/>
      </c>
      <c r="CQ198" s="25" t="str">
        <f>IF('1. Live'!CU216='check-Jul''26'!CQ216,"",'1. Live'!CU216-'check-Jul''26'!CQ216)</f>
        <v/>
      </c>
      <c r="CR198" s="25" t="str">
        <f>IF('1. Live'!CV216='check-Jul''26'!CR216,"",'1. Live'!CV216-'check-Jul''26'!CR216)</f>
        <v/>
      </c>
      <c r="CS198" s="25" t="str">
        <f>IF('1. Live'!CW216='check-Jul''26'!CS216,"",'1. Live'!CW216-'check-Jul''26'!CS216)</f>
        <v/>
      </c>
      <c r="CT198" s="25" t="str">
        <f>IF('1. Live'!CX216='check-Jul''26'!CT216,"",'1. Live'!CX216-'check-Jul''26'!CT216)</f>
        <v/>
      </c>
      <c r="CU198" s="25" t="str">
        <f>IF('1. Live'!CY216='check-Jul''26'!CU216,"",'1. Live'!CY216-'check-Jul''26'!CU216)</f>
        <v/>
      </c>
      <c r="CV198" s="25" t="str">
        <f>IF('1. Live'!CZ216='check-Jul''26'!CV216,"",'1. Live'!CZ216-'check-Jul''26'!CV216)</f>
        <v/>
      </c>
    </row>
    <row r="199" spans="17:100" x14ac:dyDescent="0.25">
      <c r="Q199" s="26" t="str">
        <f>IF('1. Live'!N217='check-Jul''26'!I217,"",'1. Live'!N217-'check-Jul''26'!I217)</f>
        <v/>
      </c>
      <c r="R199" s="26" t="str">
        <f>IF('1. Live'!O217='check-Jul''26'!J217,"",'1. Live'!O217-'check-Jul''26'!J217)</f>
        <v/>
      </c>
      <c r="S199" s="26" t="str">
        <f>IF('1. Live'!P217='check-Jul''26'!K217,"",'1. Live'!P217-'check-Jul''26'!K217)</f>
        <v/>
      </c>
      <c r="T199" s="26" t="str">
        <f>IF('1. Live'!Q217='check-Jul''26'!L217,"",'1. Live'!Q217-'check-Jul''26'!L217)</f>
        <v/>
      </c>
      <c r="U199" s="80" t="str">
        <f>IF('1. Live'!R217='check-Jul''26'!M217,"",'1. Live'!R217-'check-Jul''26'!M217)</f>
        <v/>
      </c>
      <c r="V199" s="26" t="str">
        <f>IF('1. Live'!S217='check-Jul''26'!N217,"",'1. Live'!S217-'check-Jul''26'!N217)</f>
        <v/>
      </c>
      <c r="W199" s="25" t="str">
        <f>IF('1. Live'!T217='check-Jul''26'!O217,"",'1. Live'!T217-'check-Jul''26'!O217)</f>
        <v/>
      </c>
      <c r="X199" s="25" t="str">
        <f>IF('1. Live'!U217='check-Jul''26'!Q217,"",'1. Live'!U217-'check-Jul''26'!Q217)</f>
        <v/>
      </c>
      <c r="Y199" s="25" t="str">
        <f>IF('1. Live'!V217='check-Jul''26'!R217,"",'1. Live'!V217-'check-Jul''26'!R217)</f>
        <v/>
      </c>
      <c r="Z199" s="25" t="str">
        <f>IF('1. Live'!W217='check-Jul''26'!S217,"",'1. Live'!W217-'check-Jul''26'!S217)</f>
        <v/>
      </c>
      <c r="AA199" s="25" t="str">
        <f>IF('1. Live'!X217='check-Jul''26'!T217,"",'1. Live'!X217-'check-Jul''26'!T217)</f>
        <v/>
      </c>
      <c r="AB199" s="25" t="str">
        <f>IF('1. Live'!AF217='check-Jul''26'!AB217,"",'1. Live'!AF217-'check-Jul''26'!AB217)</f>
        <v/>
      </c>
      <c r="AC199" s="25" t="str">
        <f>IF('1. Live'!AG217='check-Jul''26'!AC217,"",'1. Live'!AG217-'check-Jul''26'!AC217)</f>
        <v/>
      </c>
      <c r="AD199" s="25" t="str">
        <f>IF('1. Live'!AH217='check-Jul''26'!AD217,"",'1. Live'!AH217-'check-Jul''26'!AD217)</f>
        <v/>
      </c>
      <c r="AE199" s="25" t="str">
        <f>IF('1. Live'!AI217='check-Jul''26'!AE217,"",'1. Live'!AI217-'check-Jul''26'!AE217)</f>
        <v/>
      </c>
      <c r="AF199" s="25" t="str">
        <f>IF('1. Live'!AJ217='check-Jul''26'!AF217,"",'1. Live'!AJ217-'check-Jul''26'!AF217)</f>
        <v/>
      </c>
      <c r="AG199" s="25" t="str">
        <f>IF('1. Live'!AK217='check-Jul''26'!AG217,"",'1. Live'!AK217-'check-Jul''26'!AG217)</f>
        <v/>
      </c>
      <c r="AH199" s="25" t="str">
        <f>IF('1. Live'!AL217='check-Jul''26'!AH217,"",'1. Live'!AL217-'check-Jul''26'!AH217)</f>
        <v/>
      </c>
      <c r="AI199" s="25" t="str">
        <f>IF('1. Live'!AM217='check-Jul''26'!AI217,"",'1. Live'!AM217-'check-Jul''26'!AI217)</f>
        <v/>
      </c>
      <c r="AJ199" s="25" t="str">
        <f>IF('1. Live'!AN217='check-Jul''26'!AJ217,"",'1. Live'!AN217-'check-Jul''26'!AJ217)</f>
        <v/>
      </c>
      <c r="AK199" s="25" t="str">
        <f>IF('1. Live'!AO217='check-Jul''26'!AK217,"",'1. Live'!AO217-'check-Jul''26'!AK217)</f>
        <v/>
      </c>
      <c r="AL199" s="25" t="str">
        <f>IF('1. Live'!AP217='check-Jul''26'!AL217,"",'1. Live'!AP217-'check-Jul''26'!AL217)</f>
        <v/>
      </c>
      <c r="AM199" s="25" t="str">
        <f>IF('1. Live'!AQ217='check-Jul''26'!AM217,"",'1. Live'!AQ217-'check-Jul''26'!AM217)</f>
        <v/>
      </c>
      <c r="AN199" s="25" t="str">
        <f>IF('1. Live'!AR217='check-Jul''26'!AN217,"",'1. Live'!AR217-'check-Jul''26'!AN217)</f>
        <v/>
      </c>
      <c r="AO199" s="25" t="str">
        <f>IF('1. Live'!AS217='check-Jul''26'!AO217,"",'1. Live'!AS217-'check-Jul''26'!AO217)</f>
        <v/>
      </c>
      <c r="AP199" s="25" t="str">
        <f>IF('1. Live'!AT217='check-Jul''26'!AP217,"",'1. Live'!AT217-'check-Jul''26'!AP217)</f>
        <v/>
      </c>
      <c r="AQ199" s="25" t="str">
        <f>IF('1. Live'!AU217='check-Jul''26'!AQ217,"",'1. Live'!AU217-'check-Jul''26'!AQ217)</f>
        <v/>
      </c>
      <c r="AR199" s="25" t="str">
        <f>IF('1. Live'!AV217='check-Jul''26'!AR217,"",'1. Live'!AV217-'check-Jul''26'!AR217)</f>
        <v/>
      </c>
      <c r="AS199" s="25" t="str">
        <f>IF('1. Live'!AW217='check-Jul''26'!AS217,"",'1. Live'!AW217-'check-Jul''26'!AS217)</f>
        <v/>
      </c>
      <c r="AT199" s="25" t="str">
        <f>IF('1. Live'!AX217='check-Jul''26'!AT217,"",'1. Live'!AX217-'check-Jul''26'!AT217)</f>
        <v/>
      </c>
      <c r="AU199" s="25" t="str">
        <f>IF('1. Live'!AY217='check-Jul''26'!AU217,"",'1. Live'!AY217-'check-Jul''26'!AU217)</f>
        <v/>
      </c>
      <c r="AV199" s="25" t="str">
        <f>IF('1. Live'!AZ217='check-Jul''26'!AV217,"",'1. Live'!AZ217-'check-Jul''26'!AV217)</f>
        <v/>
      </c>
      <c r="AW199" s="25" t="str">
        <f>IF('1. Live'!BA217='check-Jul''26'!AW217,"",'1. Live'!BA217-'check-Jul''26'!AW217)</f>
        <v/>
      </c>
      <c r="AX199" s="25" t="str">
        <f>IF('1. Live'!BB217='check-Jul''26'!AX217,"",'1. Live'!BB217-'check-Jul''26'!AX217)</f>
        <v/>
      </c>
      <c r="AY199" s="25" t="str">
        <f>IF('1. Live'!BC217='check-Jul''26'!AY217,"",'1. Live'!BC217-'check-Jul''26'!AY217)</f>
        <v/>
      </c>
      <c r="AZ199" s="25" t="str">
        <f>IF('1. Live'!BD217='check-Jul''26'!AZ217,"",'1. Live'!BD217-'check-Jul''26'!AZ217)</f>
        <v/>
      </c>
      <c r="BA199" s="25" t="str">
        <f>IF('1. Live'!BE217='check-Jul''26'!BA217,"",'1. Live'!BE217-'check-Jul''26'!BA217)</f>
        <v/>
      </c>
      <c r="BB199" s="25" t="str">
        <f>IF('1. Live'!BF217='check-Jul''26'!BB217,"",'1. Live'!BF217-'check-Jul''26'!BB217)</f>
        <v/>
      </c>
      <c r="BC199" s="25" t="str">
        <f>IF('1. Live'!BG217='check-Jul''26'!BC217,"",'1. Live'!BG217-'check-Jul''26'!BC217)</f>
        <v/>
      </c>
      <c r="BD199" s="25" t="str">
        <f>IF('1. Live'!BH217='check-Jul''26'!BD217,"",'1. Live'!BH217-'check-Jul''26'!BD217)</f>
        <v/>
      </c>
      <c r="BE199" s="25" t="str">
        <f>IF('1. Live'!BI217='check-Jul''26'!BE217,"",'1. Live'!BI217-'check-Jul''26'!BE217)</f>
        <v/>
      </c>
      <c r="BF199" s="25" t="str">
        <f>IF('1. Live'!BJ217='check-Jul''26'!BF217,"",'1. Live'!BJ217-'check-Jul''26'!BF217)</f>
        <v/>
      </c>
      <c r="BG199" s="25" t="str">
        <f>IF('1. Live'!BK217='check-Jul''26'!BG217,"",'1. Live'!BK217-'check-Jul''26'!BG217)</f>
        <v/>
      </c>
      <c r="BH199" s="25" t="str">
        <f>IF('1. Live'!BL217='check-Jul''26'!BH217,"",'1. Live'!BL217-'check-Jul''26'!BH217)</f>
        <v/>
      </c>
      <c r="BI199" s="25" t="str">
        <f>IF('1. Live'!BM217='check-Jul''26'!BI217,"",'1. Live'!BM217-'check-Jul''26'!BI217)</f>
        <v/>
      </c>
      <c r="BJ199" s="25" t="str">
        <f>IF('1. Live'!BN217='check-Jul''26'!BJ217,"",'1. Live'!BN217-'check-Jul''26'!BJ217)</f>
        <v/>
      </c>
      <c r="BK199" s="25" t="str">
        <f>IF('1. Live'!BO217='check-Jul''26'!BK217,"",'1. Live'!BO217-'check-Jul''26'!BK217)</f>
        <v/>
      </c>
      <c r="BL199" s="25" t="str">
        <f>IF('1. Live'!BP217='check-Jul''26'!BL217,"",'1. Live'!BP217-'check-Jul''26'!BL217)</f>
        <v/>
      </c>
      <c r="BM199" s="25" t="str">
        <f>IF('1. Live'!BQ217='check-Jul''26'!BM217,"",'1. Live'!BQ217-'check-Jul''26'!BM217)</f>
        <v/>
      </c>
      <c r="BN199" s="25" t="str">
        <f>IF('1. Live'!BR217='check-Jul''26'!BN217,"",'1. Live'!BR217-'check-Jul''26'!BN217)</f>
        <v/>
      </c>
      <c r="BO199" s="25" t="str">
        <f>IF('1. Live'!BS217='check-Jul''26'!BO217,"",'1. Live'!BS217-'check-Jul''26'!BO217)</f>
        <v/>
      </c>
      <c r="BP199" s="25" t="str">
        <f>IF('1. Live'!BT217='check-Jul''26'!BP217,"",'1. Live'!BT217-'check-Jul''26'!BP217)</f>
        <v/>
      </c>
      <c r="BQ199" s="25" t="str">
        <f>IF('1. Live'!BU217='check-Jul''26'!BQ217,"",'1. Live'!BU217-'check-Jul''26'!BQ217)</f>
        <v/>
      </c>
      <c r="BR199" s="25" t="str">
        <f>IF('1. Live'!BV217='check-Jul''26'!BR217,"",'1. Live'!BV217-'check-Jul''26'!BR217)</f>
        <v/>
      </c>
      <c r="BS199" s="25" t="str">
        <f>IF('1. Live'!BW217='check-Jul''26'!BS217,"",'1. Live'!BW217-'check-Jul''26'!BS217)</f>
        <v/>
      </c>
      <c r="BT199" s="25" t="str">
        <f>IF('1. Live'!BX217='check-Jul''26'!BT217,"",'1. Live'!BX217-'check-Jul''26'!BT217)</f>
        <v/>
      </c>
      <c r="BU199" s="25" t="str">
        <f>IF('1. Live'!BY217='check-Jul''26'!BU217,"",'1. Live'!BY217-'check-Jul''26'!BU217)</f>
        <v/>
      </c>
      <c r="BV199" s="25" t="str">
        <f>IF('1. Live'!BZ217='check-Jul''26'!BV217,"",'1. Live'!BZ217-'check-Jul''26'!BV217)</f>
        <v/>
      </c>
      <c r="BW199" s="25" t="str">
        <f>IF('1. Live'!CA217='check-Jul''26'!BW217,"",'1. Live'!CA217-'check-Jul''26'!BW217)</f>
        <v/>
      </c>
      <c r="BX199" s="25" t="str">
        <f>IF('1. Live'!CB217='check-Jul''26'!BX217,"",'1. Live'!CB217-'check-Jul''26'!BX217)</f>
        <v/>
      </c>
      <c r="BY199" s="25" t="str">
        <f>IF('1. Live'!CC217='check-Jul''26'!BY217,"",'1. Live'!CC217-'check-Jul''26'!BY217)</f>
        <v/>
      </c>
      <c r="BZ199" s="25" t="str">
        <f>IF('1. Live'!CD217='check-Jul''26'!BZ217,"",'1. Live'!CD217-'check-Jul''26'!BZ217)</f>
        <v/>
      </c>
      <c r="CA199" s="25" t="str">
        <f>IF('1. Live'!CE217='check-Jul''26'!CA217,"",'1. Live'!CE217-'check-Jul''26'!CA217)</f>
        <v/>
      </c>
      <c r="CB199" s="25" t="str">
        <f>IF('1. Live'!CF217='check-Jul''26'!CB217,"",'1. Live'!CF217-'check-Jul''26'!CB217)</f>
        <v/>
      </c>
      <c r="CC199" s="25" t="str">
        <f>IF('1. Live'!CG217='check-Jul''26'!CC217,"",'1. Live'!CG217-'check-Jul''26'!CC217)</f>
        <v/>
      </c>
      <c r="CD199" s="25" t="str">
        <f>IF('1. Live'!CH217='check-Jul''26'!CD217,"",'1. Live'!CH217-'check-Jul''26'!CD217)</f>
        <v/>
      </c>
      <c r="CE199" s="25" t="str">
        <f>IF('1. Live'!CI217='check-Jul''26'!CE217,"",'1. Live'!CI217-'check-Jul''26'!CE217)</f>
        <v/>
      </c>
      <c r="CF199" s="25" t="str">
        <f>IF('1. Live'!CJ217='check-Jul''26'!CF217,"",'1. Live'!CJ217-'check-Jul''26'!CF217)</f>
        <v/>
      </c>
      <c r="CG199" s="25" t="str">
        <f>IF('1. Live'!CK217='check-Jul''26'!CG217,"",'1. Live'!CK217-'check-Jul''26'!CG217)</f>
        <v/>
      </c>
      <c r="CH199" s="25" t="str">
        <f>IF('1. Live'!CL217='check-Jul''26'!CH217,"",'1. Live'!CL217-'check-Jul''26'!CH217)</f>
        <v/>
      </c>
      <c r="CI199" s="25" t="str">
        <f>IF('1. Live'!CM217='check-Jul''26'!CI217,"",'1. Live'!CM217-'check-Jul''26'!CI217)</f>
        <v/>
      </c>
      <c r="CJ199" s="25" t="str">
        <f>IF('1. Live'!CN217='check-Jul''26'!CJ217,"",'1. Live'!CN217-'check-Jul''26'!CJ217)</f>
        <v/>
      </c>
      <c r="CK199" s="25" t="str">
        <f>IF('1. Live'!CO217='check-Jul''26'!CK217,"",'1. Live'!CO217-'check-Jul''26'!CK217)</f>
        <v/>
      </c>
      <c r="CL199" s="25" t="str">
        <f>IF('1. Live'!CP217='check-Jul''26'!CL217,"",'1. Live'!CP217-'check-Jul''26'!CL217)</f>
        <v/>
      </c>
      <c r="CM199" s="25" t="str">
        <f>IF('1. Live'!CQ217='check-Jul''26'!CM217,"",'1. Live'!CQ217-'check-Jul''26'!CM217)</f>
        <v/>
      </c>
      <c r="CN199" s="25" t="str">
        <f>IF('1. Live'!CR217='check-Jul''26'!CN217,"",'1. Live'!CR217-'check-Jul''26'!CN217)</f>
        <v/>
      </c>
      <c r="CO199" s="25" t="str">
        <f>IF('1. Live'!CS217='check-Jul''26'!CO217,"",'1. Live'!CS217-'check-Jul''26'!CO217)</f>
        <v/>
      </c>
      <c r="CP199" s="25" t="str">
        <f>IF('1. Live'!CT217='check-Jul''26'!CP217,"",'1. Live'!CT217-'check-Jul''26'!CP217)</f>
        <v/>
      </c>
      <c r="CQ199" s="25" t="str">
        <f>IF('1. Live'!CU217='check-Jul''26'!CQ217,"",'1. Live'!CU217-'check-Jul''26'!CQ217)</f>
        <v/>
      </c>
      <c r="CR199" s="25" t="str">
        <f>IF('1. Live'!CV217='check-Jul''26'!CR217,"",'1. Live'!CV217-'check-Jul''26'!CR217)</f>
        <v/>
      </c>
      <c r="CS199" s="25" t="str">
        <f>IF('1. Live'!CW217='check-Jul''26'!CS217,"",'1. Live'!CW217-'check-Jul''26'!CS217)</f>
        <v/>
      </c>
      <c r="CT199" s="25" t="str">
        <f>IF('1. Live'!CX217='check-Jul''26'!CT217,"",'1. Live'!CX217-'check-Jul''26'!CT217)</f>
        <v/>
      </c>
      <c r="CU199" s="25" t="str">
        <f>IF('1. Live'!CY217='check-Jul''26'!CU217,"",'1. Live'!CY217-'check-Jul''26'!CU217)</f>
        <v/>
      </c>
      <c r="CV199" s="25" t="str">
        <f>IF('1. Live'!CZ217='check-Jul''26'!CV217,"",'1. Live'!CZ217-'check-Jul''26'!CV217)</f>
        <v/>
      </c>
    </row>
    <row r="200" spans="17:100" x14ac:dyDescent="0.25">
      <c r="Q200" s="26" t="str">
        <f>IF('1. Live'!N218='check-Jul''26'!I218,"",'1. Live'!N218-'check-Jul''26'!I218)</f>
        <v/>
      </c>
      <c r="R200" s="26" t="str">
        <f>IF('1. Live'!O218='check-Jul''26'!J218,"",'1. Live'!O218-'check-Jul''26'!J218)</f>
        <v/>
      </c>
      <c r="S200" s="26" t="str">
        <f>IF('1. Live'!P218='check-Jul''26'!K218,"",'1. Live'!P218-'check-Jul''26'!K218)</f>
        <v/>
      </c>
      <c r="T200" s="26" t="str">
        <f>IF('1. Live'!Q218='check-Jul''26'!L218,"",'1. Live'!Q218-'check-Jul''26'!L218)</f>
        <v/>
      </c>
      <c r="U200" s="80" t="str">
        <f>IF('1. Live'!R218='check-Jul''26'!M218,"",'1. Live'!R218-'check-Jul''26'!M218)</f>
        <v/>
      </c>
      <c r="V200" s="26" t="str">
        <f>IF('1. Live'!S218='check-Jul''26'!N218,"",'1. Live'!S218-'check-Jul''26'!N218)</f>
        <v/>
      </c>
      <c r="W200" s="25" t="str">
        <f>IF('1. Live'!T218='check-Jul''26'!O218,"",'1. Live'!T218-'check-Jul''26'!O218)</f>
        <v/>
      </c>
      <c r="X200" s="25" t="str">
        <f>IF('1. Live'!U218='check-Jul''26'!Q218,"",'1. Live'!U218-'check-Jul''26'!Q218)</f>
        <v/>
      </c>
      <c r="Y200" s="25" t="str">
        <f>IF('1. Live'!V218='check-Jul''26'!R218,"",'1. Live'!V218-'check-Jul''26'!R218)</f>
        <v/>
      </c>
      <c r="Z200" s="25" t="str">
        <f>IF('1. Live'!W218='check-Jul''26'!S218,"",'1. Live'!W218-'check-Jul''26'!S218)</f>
        <v/>
      </c>
      <c r="AA200" s="25" t="str">
        <f>IF('1. Live'!X218='check-Jul''26'!T218,"",'1. Live'!X218-'check-Jul''26'!T218)</f>
        <v/>
      </c>
      <c r="AB200" s="25" t="str">
        <f>IF('1. Live'!AF218='check-Jul''26'!AB218,"",'1. Live'!AF218-'check-Jul''26'!AB218)</f>
        <v/>
      </c>
      <c r="AC200" s="25" t="str">
        <f>IF('1. Live'!AG218='check-Jul''26'!AC218,"",'1. Live'!AG218-'check-Jul''26'!AC218)</f>
        <v/>
      </c>
      <c r="AD200" s="25" t="str">
        <f>IF('1. Live'!AH218='check-Jul''26'!AD218,"",'1. Live'!AH218-'check-Jul''26'!AD218)</f>
        <v/>
      </c>
      <c r="AE200" s="25" t="str">
        <f>IF('1. Live'!AI218='check-Jul''26'!AE218,"",'1. Live'!AI218-'check-Jul''26'!AE218)</f>
        <v/>
      </c>
      <c r="AF200" s="25" t="str">
        <f>IF('1. Live'!AJ218='check-Jul''26'!AF218,"",'1. Live'!AJ218-'check-Jul''26'!AF218)</f>
        <v/>
      </c>
      <c r="AG200" s="25" t="str">
        <f>IF('1. Live'!AK218='check-Jul''26'!AG218,"",'1. Live'!AK218-'check-Jul''26'!AG218)</f>
        <v/>
      </c>
      <c r="AH200" s="25" t="str">
        <f>IF('1. Live'!AL218='check-Jul''26'!AH218,"",'1. Live'!AL218-'check-Jul''26'!AH218)</f>
        <v/>
      </c>
      <c r="AI200" s="25" t="str">
        <f>IF('1. Live'!AM218='check-Jul''26'!AI218,"",'1. Live'!AM218-'check-Jul''26'!AI218)</f>
        <v/>
      </c>
      <c r="AJ200" s="25" t="str">
        <f>IF('1. Live'!AN218='check-Jul''26'!AJ218,"",'1. Live'!AN218-'check-Jul''26'!AJ218)</f>
        <v/>
      </c>
      <c r="AK200" s="25" t="str">
        <f>IF('1. Live'!AO218='check-Jul''26'!AK218,"",'1. Live'!AO218-'check-Jul''26'!AK218)</f>
        <v/>
      </c>
      <c r="AL200" s="25" t="str">
        <f>IF('1. Live'!AP218='check-Jul''26'!AL218,"",'1. Live'!AP218-'check-Jul''26'!AL218)</f>
        <v/>
      </c>
      <c r="AM200" s="25" t="str">
        <f>IF('1. Live'!AQ218='check-Jul''26'!AM218,"",'1. Live'!AQ218-'check-Jul''26'!AM218)</f>
        <v/>
      </c>
      <c r="AN200" s="25" t="str">
        <f>IF('1. Live'!AR218='check-Jul''26'!AN218,"",'1. Live'!AR218-'check-Jul''26'!AN218)</f>
        <v/>
      </c>
      <c r="AO200" s="25" t="str">
        <f>IF('1. Live'!AS218='check-Jul''26'!AO218,"",'1. Live'!AS218-'check-Jul''26'!AO218)</f>
        <v/>
      </c>
      <c r="AP200" s="25" t="str">
        <f>IF('1. Live'!AT218='check-Jul''26'!AP218,"",'1. Live'!AT218-'check-Jul''26'!AP218)</f>
        <v/>
      </c>
      <c r="AQ200" s="25" t="str">
        <f>IF('1. Live'!AU218='check-Jul''26'!AQ218,"",'1. Live'!AU218-'check-Jul''26'!AQ218)</f>
        <v/>
      </c>
      <c r="AR200" s="25" t="str">
        <f>IF('1. Live'!AV218='check-Jul''26'!AR218,"",'1. Live'!AV218-'check-Jul''26'!AR218)</f>
        <v/>
      </c>
      <c r="AS200" s="25" t="str">
        <f>IF('1. Live'!AW218='check-Jul''26'!AS218,"",'1. Live'!AW218-'check-Jul''26'!AS218)</f>
        <v/>
      </c>
      <c r="AT200" s="25" t="str">
        <f>IF('1. Live'!AX218='check-Jul''26'!AT218,"",'1. Live'!AX218-'check-Jul''26'!AT218)</f>
        <v/>
      </c>
      <c r="AU200" s="25" t="str">
        <f>IF('1. Live'!AY218='check-Jul''26'!AU218,"",'1. Live'!AY218-'check-Jul''26'!AU218)</f>
        <v/>
      </c>
      <c r="AV200" s="25" t="str">
        <f>IF('1. Live'!AZ218='check-Jul''26'!AV218,"",'1. Live'!AZ218-'check-Jul''26'!AV218)</f>
        <v/>
      </c>
      <c r="AW200" s="25" t="str">
        <f>IF('1. Live'!BA218='check-Jul''26'!AW218,"",'1. Live'!BA218-'check-Jul''26'!AW218)</f>
        <v/>
      </c>
      <c r="AX200" s="25" t="str">
        <f>IF('1. Live'!BB218='check-Jul''26'!AX218,"",'1. Live'!BB218-'check-Jul''26'!AX218)</f>
        <v/>
      </c>
      <c r="AY200" s="25" t="str">
        <f>IF('1. Live'!BC218='check-Jul''26'!AY218,"",'1. Live'!BC218-'check-Jul''26'!AY218)</f>
        <v/>
      </c>
      <c r="AZ200" s="25" t="str">
        <f>IF('1. Live'!BD218='check-Jul''26'!AZ218,"",'1. Live'!BD218-'check-Jul''26'!AZ218)</f>
        <v/>
      </c>
      <c r="BA200" s="25" t="str">
        <f>IF('1. Live'!BE218='check-Jul''26'!BA218,"",'1. Live'!BE218-'check-Jul''26'!BA218)</f>
        <v/>
      </c>
      <c r="BB200" s="25" t="str">
        <f>IF('1. Live'!BF218='check-Jul''26'!BB218,"",'1. Live'!BF218-'check-Jul''26'!BB218)</f>
        <v/>
      </c>
      <c r="BC200" s="25" t="str">
        <f>IF('1. Live'!BG218='check-Jul''26'!BC218,"",'1. Live'!BG218-'check-Jul''26'!BC218)</f>
        <v/>
      </c>
      <c r="BD200" s="25" t="str">
        <f>IF('1. Live'!BH218='check-Jul''26'!BD218,"",'1. Live'!BH218-'check-Jul''26'!BD218)</f>
        <v/>
      </c>
      <c r="BE200" s="25" t="str">
        <f>IF('1. Live'!BI218='check-Jul''26'!BE218,"",'1. Live'!BI218-'check-Jul''26'!BE218)</f>
        <v/>
      </c>
      <c r="BF200" s="25" t="str">
        <f>IF('1. Live'!BJ218='check-Jul''26'!BF218,"",'1. Live'!BJ218-'check-Jul''26'!BF218)</f>
        <v/>
      </c>
      <c r="BG200" s="25" t="str">
        <f>IF('1. Live'!BK218='check-Jul''26'!BG218,"",'1. Live'!BK218-'check-Jul''26'!BG218)</f>
        <v/>
      </c>
      <c r="BH200" s="25" t="str">
        <f>IF('1. Live'!BL218='check-Jul''26'!BH218,"",'1. Live'!BL218-'check-Jul''26'!BH218)</f>
        <v/>
      </c>
      <c r="BI200" s="25" t="str">
        <f>IF('1. Live'!BM218='check-Jul''26'!BI218,"",'1. Live'!BM218-'check-Jul''26'!BI218)</f>
        <v/>
      </c>
      <c r="BJ200" s="25" t="str">
        <f>IF('1. Live'!BN218='check-Jul''26'!BJ218,"",'1. Live'!BN218-'check-Jul''26'!BJ218)</f>
        <v/>
      </c>
      <c r="BK200" s="25" t="str">
        <f>IF('1. Live'!BO218='check-Jul''26'!BK218,"",'1. Live'!BO218-'check-Jul''26'!BK218)</f>
        <v/>
      </c>
      <c r="BL200" s="25" t="str">
        <f>IF('1. Live'!BP218='check-Jul''26'!BL218,"",'1. Live'!BP218-'check-Jul''26'!BL218)</f>
        <v/>
      </c>
      <c r="BM200" s="25" t="str">
        <f>IF('1. Live'!BQ218='check-Jul''26'!BM218,"",'1. Live'!BQ218-'check-Jul''26'!BM218)</f>
        <v/>
      </c>
      <c r="BN200" s="25" t="str">
        <f>IF('1. Live'!BR218='check-Jul''26'!BN218,"",'1. Live'!BR218-'check-Jul''26'!BN218)</f>
        <v/>
      </c>
      <c r="BO200" s="25" t="str">
        <f>IF('1. Live'!BS218='check-Jul''26'!BO218,"",'1. Live'!BS218-'check-Jul''26'!BO218)</f>
        <v/>
      </c>
      <c r="BP200" s="25" t="str">
        <f>IF('1. Live'!BT218='check-Jul''26'!BP218,"",'1. Live'!BT218-'check-Jul''26'!BP218)</f>
        <v/>
      </c>
      <c r="BQ200" s="25" t="str">
        <f>IF('1. Live'!BU218='check-Jul''26'!BQ218,"",'1. Live'!BU218-'check-Jul''26'!BQ218)</f>
        <v/>
      </c>
      <c r="BR200" s="25" t="str">
        <f>IF('1. Live'!BV218='check-Jul''26'!BR218,"",'1. Live'!BV218-'check-Jul''26'!BR218)</f>
        <v/>
      </c>
      <c r="BS200" s="25" t="str">
        <f>IF('1. Live'!BW218='check-Jul''26'!BS218,"",'1. Live'!BW218-'check-Jul''26'!BS218)</f>
        <v/>
      </c>
      <c r="BT200" s="25" t="str">
        <f>IF('1. Live'!BX218='check-Jul''26'!BT218,"",'1. Live'!BX218-'check-Jul''26'!BT218)</f>
        <v/>
      </c>
      <c r="BU200" s="25" t="str">
        <f>IF('1. Live'!BY218='check-Jul''26'!BU218,"",'1. Live'!BY218-'check-Jul''26'!BU218)</f>
        <v/>
      </c>
      <c r="BV200" s="25" t="str">
        <f>IF('1. Live'!BZ218='check-Jul''26'!BV218,"",'1. Live'!BZ218-'check-Jul''26'!BV218)</f>
        <v/>
      </c>
      <c r="BW200" s="25" t="str">
        <f>IF('1. Live'!CA218='check-Jul''26'!BW218,"",'1. Live'!CA218-'check-Jul''26'!BW218)</f>
        <v/>
      </c>
      <c r="BX200" s="25" t="str">
        <f>IF('1. Live'!CB218='check-Jul''26'!BX218,"",'1. Live'!CB218-'check-Jul''26'!BX218)</f>
        <v/>
      </c>
      <c r="BY200" s="25" t="str">
        <f>IF('1. Live'!CC218='check-Jul''26'!BY218,"",'1. Live'!CC218-'check-Jul''26'!BY218)</f>
        <v/>
      </c>
      <c r="BZ200" s="25" t="str">
        <f>IF('1. Live'!CD218='check-Jul''26'!BZ218,"",'1. Live'!CD218-'check-Jul''26'!BZ218)</f>
        <v/>
      </c>
      <c r="CA200" s="25" t="str">
        <f>IF('1. Live'!CE218='check-Jul''26'!CA218,"",'1. Live'!CE218-'check-Jul''26'!CA218)</f>
        <v/>
      </c>
      <c r="CB200" s="25" t="str">
        <f>IF('1. Live'!CF218='check-Jul''26'!CB218,"",'1. Live'!CF218-'check-Jul''26'!CB218)</f>
        <v/>
      </c>
      <c r="CC200" s="25" t="str">
        <f>IF('1. Live'!CG218='check-Jul''26'!CC218,"",'1. Live'!CG218-'check-Jul''26'!CC218)</f>
        <v/>
      </c>
      <c r="CD200" s="25" t="str">
        <f>IF('1. Live'!CH218='check-Jul''26'!CD218,"",'1. Live'!CH218-'check-Jul''26'!CD218)</f>
        <v/>
      </c>
      <c r="CE200" s="25" t="str">
        <f>IF('1. Live'!CI218='check-Jul''26'!CE218,"",'1. Live'!CI218-'check-Jul''26'!CE218)</f>
        <v/>
      </c>
      <c r="CF200" s="25" t="str">
        <f>IF('1. Live'!CJ218='check-Jul''26'!CF218,"",'1. Live'!CJ218-'check-Jul''26'!CF218)</f>
        <v/>
      </c>
      <c r="CG200" s="25" t="str">
        <f>IF('1. Live'!CK218='check-Jul''26'!CG218,"",'1. Live'!CK218-'check-Jul''26'!CG218)</f>
        <v/>
      </c>
      <c r="CH200" s="25" t="str">
        <f>IF('1. Live'!CL218='check-Jul''26'!CH218,"",'1. Live'!CL218-'check-Jul''26'!CH218)</f>
        <v/>
      </c>
      <c r="CI200" s="25" t="str">
        <f>IF('1. Live'!CM218='check-Jul''26'!CI218,"",'1. Live'!CM218-'check-Jul''26'!CI218)</f>
        <v/>
      </c>
      <c r="CJ200" s="25" t="str">
        <f>IF('1. Live'!CN218='check-Jul''26'!CJ218,"",'1. Live'!CN218-'check-Jul''26'!CJ218)</f>
        <v/>
      </c>
      <c r="CK200" s="25" t="str">
        <f>IF('1. Live'!CO218='check-Jul''26'!CK218,"",'1. Live'!CO218-'check-Jul''26'!CK218)</f>
        <v/>
      </c>
      <c r="CL200" s="25" t="str">
        <f>IF('1. Live'!CP218='check-Jul''26'!CL218,"",'1. Live'!CP218-'check-Jul''26'!CL218)</f>
        <v/>
      </c>
      <c r="CM200" s="25" t="str">
        <f>IF('1. Live'!CQ218='check-Jul''26'!CM218,"",'1. Live'!CQ218-'check-Jul''26'!CM218)</f>
        <v/>
      </c>
      <c r="CN200" s="25" t="str">
        <f>IF('1. Live'!CR218='check-Jul''26'!CN218,"",'1. Live'!CR218-'check-Jul''26'!CN218)</f>
        <v/>
      </c>
      <c r="CO200" s="25" t="str">
        <f>IF('1. Live'!CS218='check-Jul''26'!CO218,"",'1. Live'!CS218-'check-Jul''26'!CO218)</f>
        <v/>
      </c>
      <c r="CP200" s="25" t="str">
        <f>IF('1. Live'!CT218='check-Jul''26'!CP218,"",'1. Live'!CT218-'check-Jul''26'!CP218)</f>
        <v/>
      </c>
      <c r="CQ200" s="25" t="str">
        <f>IF('1. Live'!CU218='check-Jul''26'!CQ218,"",'1. Live'!CU218-'check-Jul''26'!CQ218)</f>
        <v/>
      </c>
      <c r="CR200" s="25" t="str">
        <f>IF('1. Live'!CV218='check-Jul''26'!CR218,"",'1. Live'!CV218-'check-Jul''26'!CR218)</f>
        <v/>
      </c>
      <c r="CS200" s="25" t="str">
        <f>IF('1. Live'!CW218='check-Jul''26'!CS218,"",'1. Live'!CW218-'check-Jul''26'!CS218)</f>
        <v/>
      </c>
      <c r="CT200" s="25" t="str">
        <f>IF('1. Live'!CX218='check-Jul''26'!CT218,"",'1. Live'!CX218-'check-Jul''26'!CT218)</f>
        <v/>
      </c>
      <c r="CU200" s="25" t="str">
        <f>IF('1. Live'!CY218='check-Jul''26'!CU218,"",'1. Live'!CY218-'check-Jul''26'!CU218)</f>
        <v/>
      </c>
      <c r="CV200" s="25" t="str">
        <f>IF('1. Live'!CZ218='check-Jul''26'!CV218,"",'1. Live'!CZ218-'check-Jul''26'!CV218)</f>
        <v/>
      </c>
    </row>
    <row r="201" spans="17:100" x14ac:dyDescent="0.25">
      <c r="Q201" s="26" t="str">
        <f>IF('1. Live'!N219='check-Jul''26'!I219,"",'1. Live'!N219-'check-Jul''26'!I219)</f>
        <v/>
      </c>
      <c r="R201" s="26" t="str">
        <f>IF('1. Live'!O219='check-Jul''26'!J219,"",'1. Live'!O219-'check-Jul''26'!J219)</f>
        <v/>
      </c>
      <c r="S201" s="26" t="str">
        <f>IF('1. Live'!P219='check-Jul''26'!K219,"",'1. Live'!P219-'check-Jul''26'!K219)</f>
        <v/>
      </c>
      <c r="T201" s="26" t="str">
        <f>IF('1. Live'!Q219='check-Jul''26'!L219,"",'1. Live'!Q219-'check-Jul''26'!L219)</f>
        <v/>
      </c>
      <c r="U201" s="80" t="str">
        <f>IF('1. Live'!R219='check-Jul''26'!M219,"",'1. Live'!R219-'check-Jul''26'!M219)</f>
        <v/>
      </c>
      <c r="V201" s="26" t="str">
        <f>IF('1. Live'!S219='check-Jul''26'!N219,"",'1. Live'!S219-'check-Jul''26'!N219)</f>
        <v/>
      </c>
      <c r="W201" s="25" t="str">
        <f>IF('1. Live'!T219='check-Jul''26'!O219,"",'1. Live'!T219-'check-Jul''26'!O219)</f>
        <v/>
      </c>
      <c r="X201" s="25" t="str">
        <f>IF('1. Live'!U219='check-Jul''26'!Q219,"",'1. Live'!U219-'check-Jul''26'!Q219)</f>
        <v/>
      </c>
      <c r="Y201" s="25" t="str">
        <f>IF('1. Live'!V219='check-Jul''26'!R219,"",'1. Live'!V219-'check-Jul''26'!R219)</f>
        <v/>
      </c>
      <c r="Z201" s="25" t="str">
        <f>IF('1. Live'!W219='check-Jul''26'!S219,"",'1. Live'!W219-'check-Jul''26'!S219)</f>
        <v/>
      </c>
      <c r="AA201" s="25" t="str">
        <f>IF('1. Live'!X219='check-Jul''26'!T219,"",'1. Live'!X219-'check-Jul''26'!T219)</f>
        <v/>
      </c>
      <c r="AB201" s="25" t="str">
        <f>IF('1. Live'!AF219='check-Jul''26'!AB219,"",'1. Live'!AF219-'check-Jul''26'!AB219)</f>
        <v/>
      </c>
      <c r="AC201" s="25" t="str">
        <f>IF('1. Live'!AG219='check-Jul''26'!AC219,"",'1. Live'!AG219-'check-Jul''26'!AC219)</f>
        <v/>
      </c>
      <c r="AD201" s="25" t="str">
        <f>IF('1. Live'!AH219='check-Jul''26'!AD219,"",'1. Live'!AH219-'check-Jul''26'!AD219)</f>
        <v/>
      </c>
      <c r="AE201" s="25" t="str">
        <f>IF('1. Live'!AI219='check-Jul''26'!AE219,"",'1. Live'!AI219-'check-Jul''26'!AE219)</f>
        <v/>
      </c>
      <c r="AF201" s="25" t="str">
        <f>IF('1. Live'!AJ219='check-Jul''26'!AF219,"",'1. Live'!AJ219-'check-Jul''26'!AF219)</f>
        <v/>
      </c>
      <c r="AG201" s="25" t="str">
        <f>IF('1. Live'!AK219='check-Jul''26'!AG219,"",'1. Live'!AK219-'check-Jul''26'!AG219)</f>
        <v/>
      </c>
      <c r="AH201" s="25" t="str">
        <f>IF('1. Live'!AL219='check-Jul''26'!AH219,"",'1. Live'!AL219-'check-Jul''26'!AH219)</f>
        <v/>
      </c>
      <c r="AI201" s="25" t="str">
        <f>IF('1. Live'!AM219='check-Jul''26'!AI219,"",'1. Live'!AM219-'check-Jul''26'!AI219)</f>
        <v/>
      </c>
      <c r="AJ201" s="25" t="str">
        <f>IF('1. Live'!AN219='check-Jul''26'!AJ219,"",'1. Live'!AN219-'check-Jul''26'!AJ219)</f>
        <v/>
      </c>
      <c r="AK201" s="25" t="str">
        <f>IF('1. Live'!AO219='check-Jul''26'!AK219,"",'1. Live'!AO219-'check-Jul''26'!AK219)</f>
        <v/>
      </c>
      <c r="AL201" s="25" t="str">
        <f>IF('1. Live'!AP219='check-Jul''26'!AL219,"",'1. Live'!AP219-'check-Jul''26'!AL219)</f>
        <v/>
      </c>
      <c r="AM201" s="25" t="str">
        <f>IF('1. Live'!AQ219='check-Jul''26'!AM219,"",'1. Live'!AQ219-'check-Jul''26'!AM219)</f>
        <v/>
      </c>
      <c r="AN201" s="25" t="str">
        <f>IF('1. Live'!AR219='check-Jul''26'!AN219,"",'1. Live'!AR219-'check-Jul''26'!AN219)</f>
        <v/>
      </c>
      <c r="AO201" s="25" t="str">
        <f>IF('1. Live'!AS219='check-Jul''26'!AO219,"",'1. Live'!AS219-'check-Jul''26'!AO219)</f>
        <v/>
      </c>
      <c r="AP201" s="25" t="str">
        <f>IF('1. Live'!AT219='check-Jul''26'!AP219,"",'1. Live'!AT219-'check-Jul''26'!AP219)</f>
        <v/>
      </c>
      <c r="AQ201" s="25" t="str">
        <f>IF('1. Live'!AU219='check-Jul''26'!AQ219,"",'1. Live'!AU219-'check-Jul''26'!AQ219)</f>
        <v/>
      </c>
      <c r="AR201" s="25" t="str">
        <f>IF('1. Live'!AV219='check-Jul''26'!AR219,"",'1. Live'!AV219-'check-Jul''26'!AR219)</f>
        <v/>
      </c>
      <c r="AS201" s="25" t="str">
        <f>IF('1. Live'!AW219='check-Jul''26'!AS219,"",'1. Live'!AW219-'check-Jul''26'!AS219)</f>
        <v/>
      </c>
      <c r="AT201" s="25" t="str">
        <f>IF('1. Live'!AX219='check-Jul''26'!AT219,"",'1. Live'!AX219-'check-Jul''26'!AT219)</f>
        <v/>
      </c>
      <c r="AU201" s="25" t="str">
        <f>IF('1. Live'!AY219='check-Jul''26'!AU219,"",'1. Live'!AY219-'check-Jul''26'!AU219)</f>
        <v/>
      </c>
      <c r="AV201" s="25" t="str">
        <f>IF('1. Live'!AZ219='check-Jul''26'!AV219,"",'1. Live'!AZ219-'check-Jul''26'!AV219)</f>
        <v/>
      </c>
      <c r="AW201" s="25" t="str">
        <f>IF('1. Live'!BA219='check-Jul''26'!AW219,"",'1. Live'!BA219-'check-Jul''26'!AW219)</f>
        <v/>
      </c>
      <c r="AX201" s="25" t="str">
        <f>IF('1. Live'!BB219='check-Jul''26'!AX219,"",'1. Live'!BB219-'check-Jul''26'!AX219)</f>
        <v/>
      </c>
      <c r="AY201" s="25" t="str">
        <f>IF('1. Live'!BC219='check-Jul''26'!AY219,"",'1. Live'!BC219-'check-Jul''26'!AY219)</f>
        <v/>
      </c>
      <c r="AZ201" s="25" t="str">
        <f>IF('1. Live'!BD219='check-Jul''26'!AZ219,"",'1. Live'!BD219-'check-Jul''26'!AZ219)</f>
        <v/>
      </c>
      <c r="BA201" s="25" t="str">
        <f>IF('1. Live'!BE219='check-Jul''26'!BA219,"",'1. Live'!BE219-'check-Jul''26'!BA219)</f>
        <v/>
      </c>
      <c r="BB201" s="25" t="str">
        <f>IF('1. Live'!BF219='check-Jul''26'!BB219,"",'1. Live'!BF219-'check-Jul''26'!BB219)</f>
        <v/>
      </c>
      <c r="BC201" s="25" t="str">
        <f>IF('1. Live'!BG219='check-Jul''26'!BC219,"",'1. Live'!BG219-'check-Jul''26'!BC219)</f>
        <v/>
      </c>
      <c r="BD201" s="25" t="str">
        <f>IF('1. Live'!BH219='check-Jul''26'!BD219,"",'1. Live'!BH219-'check-Jul''26'!BD219)</f>
        <v/>
      </c>
      <c r="BE201" s="25" t="str">
        <f>IF('1. Live'!BI219='check-Jul''26'!BE219,"",'1. Live'!BI219-'check-Jul''26'!BE219)</f>
        <v/>
      </c>
      <c r="BF201" s="25" t="str">
        <f>IF('1. Live'!BJ219='check-Jul''26'!BF219,"",'1. Live'!BJ219-'check-Jul''26'!BF219)</f>
        <v/>
      </c>
      <c r="BG201" s="25" t="str">
        <f>IF('1. Live'!BK219='check-Jul''26'!BG219,"",'1. Live'!BK219-'check-Jul''26'!BG219)</f>
        <v/>
      </c>
      <c r="BH201" s="25" t="str">
        <f>IF('1. Live'!BL219='check-Jul''26'!BH219,"",'1. Live'!BL219-'check-Jul''26'!BH219)</f>
        <v/>
      </c>
      <c r="BI201" s="25" t="str">
        <f>IF('1. Live'!BM219='check-Jul''26'!BI219,"",'1. Live'!BM219-'check-Jul''26'!BI219)</f>
        <v/>
      </c>
      <c r="BJ201" s="25" t="str">
        <f>IF('1. Live'!BN219='check-Jul''26'!BJ219,"",'1. Live'!BN219-'check-Jul''26'!BJ219)</f>
        <v/>
      </c>
      <c r="BK201" s="25" t="str">
        <f>IF('1. Live'!BO219='check-Jul''26'!BK219,"",'1. Live'!BO219-'check-Jul''26'!BK219)</f>
        <v/>
      </c>
      <c r="BL201" s="25" t="str">
        <f>IF('1. Live'!BP219='check-Jul''26'!BL219,"",'1. Live'!BP219-'check-Jul''26'!BL219)</f>
        <v/>
      </c>
      <c r="BM201" s="25" t="str">
        <f>IF('1. Live'!BQ219='check-Jul''26'!BM219,"",'1. Live'!BQ219-'check-Jul''26'!BM219)</f>
        <v/>
      </c>
      <c r="BN201" s="25" t="str">
        <f>IF('1. Live'!BR219='check-Jul''26'!BN219,"",'1. Live'!BR219-'check-Jul''26'!BN219)</f>
        <v/>
      </c>
      <c r="BO201" s="25" t="str">
        <f>IF('1. Live'!BS219='check-Jul''26'!BO219,"",'1. Live'!BS219-'check-Jul''26'!BO219)</f>
        <v/>
      </c>
      <c r="BP201" s="25" t="str">
        <f>IF('1. Live'!BT219='check-Jul''26'!BP219,"",'1. Live'!BT219-'check-Jul''26'!BP219)</f>
        <v/>
      </c>
      <c r="BQ201" s="25" t="str">
        <f>IF('1. Live'!BU219='check-Jul''26'!BQ219,"",'1. Live'!BU219-'check-Jul''26'!BQ219)</f>
        <v/>
      </c>
      <c r="BR201" s="25" t="str">
        <f>IF('1. Live'!BV219='check-Jul''26'!BR219,"",'1. Live'!BV219-'check-Jul''26'!BR219)</f>
        <v/>
      </c>
      <c r="BS201" s="25" t="str">
        <f>IF('1. Live'!BW219='check-Jul''26'!BS219,"",'1. Live'!BW219-'check-Jul''26'!BS219)</f>
        <v/>
      </c>
      <c r="BT201" s="25" t="str">
        <f>IF('1. Live'!BX219='check-Jul''26'!BT219,"",'1. Live'!BX219-'check-Jul''26'!BT219)</f>
        <v/>
      </c>
      <c r="BU201" s="25" t="str">
        <f>IF('1. Live'!BY219='check-Jul''26'!BU219,"",'1. Live'!BY219-'check-Jul''26'!BU219)</f>
        <v/>
      </c>
      <c r="BV201" s="25" t="str">
        <f>IF('1. Live'!BZ219='check-Jul''26'!BV219,"",'1. Live'!BZ219-'check-Jul''26'!BV219)</f>
        <v/>
      </c>
      <c r="BW201" s="25" t="str">
        <f>IF('1. Live'!CA219='check-Jul''26'!BW219,"",'1. Live'!CA219-'check-Jul''26'!BW219)</f>
        <v/>
      </c>
      <c r="BX201" s="25" t="str">
        <f>IF('1. Live'!CB219='check-Jul''26'!BX219,"",'1. Live'!CB219-'check-Jul''26'!BX219)</f>
        <v/>
      </c>
      <c r="BY201" s="25" t="str">
        <f>IF('1. Live'!CC219='check-Jul''26'!BY219,"",'1. Live'!CC219-'check-Jul''26'!BY219)</f>
        <v/>
      </c>
      <c r="BZ201" s="25" t="str">
        <f>IF('1. Live'!CD219='check-Jul''26'!BZ219,"",'1. Live'!CD219-'check-Jul''26'!BZ219)</f>
        <v/>
      </c>
      <c r="CA201" s="25" t="str">
        <f>IF('1. Live'!CE219='check-Jul''26'!CA219,"",'1. Live'!CE219-'check-Jul''26'!CA219)</f>
        <v/>
      </c>
      <c r="CB201" s="25" t="str">
        <f>IF('1. Live'!CF219='check-Jul''26'!CB219,"",'1. Live'!CF219-'check-Jul''26'!CB219)</f>
        <v/>
      </c>
      <c r="CC201" s="25" t="str">
        <f>IF('1. Live'!CG219='check-Jul''26'!CC219,"",'1. Live'!CG219-'check-Jul''26'!CC219)</f>
        <v/>
      </c>
      <c r="CD201" s="25" t="str">
        <f>IF('1. Live'!CH219='check-Jul''26'!CD219,"",'1. Live'!CH219-'check-Jul''26'!CD219)</f>
        <v/>
      </c>
      <c r="CE201" s="25" t="str">
        <f>IF('1. Live'!CI219='check-Jul''26'!CE219,"",'1. Live'!CI219-'check-Jul''26'!CE219)</f>
        <v/>
      </c>
      <c r="CF201" s="25" t="str">
        <f>IF('1. Live'!CJ219='check-Jul''26'!CF219,"",'1. Live'!CJ219-'check-Jul''26'!CF219)</f>
        <v/>
      </c>
      <c r="CG201" s="25" t="str">
        <f>IF('1. Live'!CK219='check-Jul''26'!CG219,"",'1. Live'!CK219-'check-Jul''26'!CG219)</f>
        <v/>
      </c>
      <c r="CH201" s="25" t="str">
        <f>IF('1. Live'!CL219='check-Jul''26'!CH219,"",'1. Live'!CL219-'check-Jul''26'!CH219)</f>
        <v/>
      </c>
      <c r="CI201" s="25" t="str">
        <f>IF('1. Live'!CM219='check-Jul''26'!CI219,"",'1. Live'!CM219-'check-Jul''26'!CI219)</f>
        <v/>
      </c>
      <c r="CJ201" s="25" t="str">
        <f>IF('1. Live'!CN219='check-Jul''26'!CJ219,"",'1. Live'!CN219-'check-Jul''26'!CJ219)</f>
        <v/>
      </c>
      <c r="CK201" s="25" t="str">
        <f>IF('1. Live'!CO219='check-Jul''26'!CK219,"",'1. Live'!CO219-'check-Jul''26'!CK219)</f>
        <v/>
      </c>
      <c r="CL201" s="25" t="str">
        <f>IF('1. Live'!CP219='check-Jul''26'!CL219,"",'1. Live'!CP219-'check-Jul''26'!CL219)</f>
        <v/>
      </c>
      <c r="CM201" s="25" t="str">
        <f>IF('1. Live'!CQ219='check-Jul''26'!CM219,"",'1. Live'!CQ219-'check-Jul''26'!CM219)</f>
        <v/>
      </c>
      <c r="CN201" s="25" t="str">
        <f>IF('1. Live'!CR219='check-Jul''26'!CN219,"",'1. Live'!CR219-'check-Jul''26'!CN219)</f>
        <v/>
      </c>
      <c r="CO201" s="25" t="str">
        <f>IF('1. Live'!CS219='check-Jul''26'!CO219,"",'1. Live'!CS219-'check-Jul''26'!CO219)</f>
        <v/>
      </c>
      <c r="CP201" s="25" t="str">
        <f>IF('1. Live'!CT219='check-Jul''26'!CP219,"",'1. Live'!CT219-'check-Jul''26'!CP219)</f>
        <v/>
      </c>
      <c r="CQ201" s="25" t="str">
        <f>IF('1. Live'!CU219='check-Jul''26'!CQ219,"",'1. Live'!CU219-'check-Jul''26'!CQ219)</f>
        <v/>
      </c>
      <c r="CR201" s="25" t="str">
        <f>IF('1. Live'!CV219='check-Jul''26'!CR219,"",'1. Live'!CV219-'check-Jul''26'!CR219)</f>
        <v/>
      </c>
      <c r="CS201" s="25" t="str">
        <f>IF('1. Live'!CW219='check-Jul''26'!CS219,"",'1. Live'!CW219-'check-Jul''26'!CS219)</f>
        <v/>
      </c>
      <c r="CT201" s="25" t="str">
        <f>IF('1. Live'!CX219='check-Jul''26'!CT219,"",'1. Live'!CX219-'check-Jul''26'!CT219)</f>
        <v/>
      </c>
      <c r="CU201" s="25" t="str">
        <f>IF('1. Live'!CY219='check-Jul''26'!CU219,"",'1. Live'!CY219-'check-Jul''26'!CU219)</f>
        <v/>
      </c>
      <c r="CV201" s="25" t="str">
        <f>IF('1. Live'!CZ219='check-Jul''26'!CV219,"",'1. Live'!CZ219-'check-Jul''26'!CV219)</f>
        <v/>
      </c>
    </row>
    <row r="202" spans="17:100" x14ac:dyDescent="0.25">
      <c r="Q202" s="26" t="str">
        <f>IF('1. Live'!N220='check-Jul''26'!I220,"",'1. Live'!N220-'check-Jul''26'!I220)</f>
        <v/>
      </c>
      <c r="R202" s="26" t="str">
        <f>IF('1. Live'!O220='check-Jul''26'!J220,"",'1. Live'!O220-'check-Jul''26'!J220)</f>
        <v/>
      </c>
      <c r="S202" s="26" t="str">
        <f>IF('1. Live'!P220='check-Jul''26'!K220,"",'1. Live'!P220-'check-Jul''26'!K220)</f>
        <v/>
      </c>
      <c r="T202" s="26" t="str">
        <f>IF('1. Live'!Q220='check-Jul''26'!L220,"",'1. Live'!Q220-'check-Jul''26'!L220)</f>
        <v/>
      </c>
      <c r="U202" s="80" t="str">
        <f>IF('1. Live'!R220='check-Jul''26'!M220,"",'1. Live'!R220-'check-Jul''26'!M220)</f>
        <v/>
      </c>
      <c r="V202" s="26" t="str">
        <f>IF('1. Live'!S220='check-Jul''26'!N220,"",'1. Live'!S220-'check-Jul''26'!N220)</f>
        <v/>
      </c>
      <c r="W202" s="25" t="str">
        <f>IF('1. Live'!T220='check-Jul''26'!O220,"",'1. Live'!T220-'check-Jul''26'!O220)</f>
        <v/>
      </c>
      <c r="X202" s="25" t="str">
        <f>IF('1. Live'!U220='check-Jul''26'!Q220,"",'1. Live'!U220-'check-Jul''26'!Q220)</f>
        <v/>
      </c>
      <c r="Y202" s="25" t="str">
        <f>IF('1. Live'!V220='check-Jul''26'!R220,"",'1. Live'!V220-'check-Jul''26'!R220)</f>
        <v/>
      </c>
      <c r="Z202" s="25" t="str">
        <f>IF('1. Live'!W220='check-Jul''26'!S220,"",'1. Live'!W220-'check-Jul''26'!S220)</f>
        <v/>
      </c>
      <c r="AA202" s="25" t="str">
        <f>IF('1. Live'!X220='check-Jul''26'!T220,"",'1. Live'!X220-'check-Jul''26'!T220)</f>
        <v/>
      </c>
      <c r="AB202" s="25" t="str">
        <f>IF('1. Live'!AF220='check-Jul''26'!AB220,"",'1. Live'!AF220-'check-Jul''26'!AB220)</f>
        <v/>
      </c>
      <c r="AC202" s="25" t="str">
        <f>IF('1. Live'!AG220='check-Jul''26'!AC220,"",'1. Live'!AG220-'check-Jul''26'!AC220)</f>
        <v/>
      </c>
      <c r="AD202" s="25" t="str">
        <f>IF('1. Live'!AH220='check-Jul''26'!AD220,"",'1. Live'!AH220-'check-Jul''26'!AD220)</f>
        <v/>
      </c>
      <c r="AE202" s="25" t="str">
        <f>IF('1. Live'!AI220='check-Jul''26'!AE220,"",'1. Live'!AI220-'check-Jul''26'!AE220)</f>
        <v/>
      </c>
      <c r="AF202" s="25" t="str">
        <f>IF('1. Live'!AJ220='check-Jul''26'!AF220,"",'1. Live'!AJ220-'check-Jul''26'!AF220)</f>
        <v/>
      </c>
      <c r="AG202" s="25" t="str">
        <f>IF('1. Live'!AK220='check-Jul''26'!AG220,"",'1. Live'!AK220-'check-Jul''26'!AG220)</f>
        <v/>
      </c>
      <c r="AH202" s="25" t="str">
        <f>IF('1. Live'!AL220='check-Jul''26'!AH220,"",'1. Live'!AL220-'check-Jul''26'!AH220)</f>
        <v/>
      </c>
      <c r="AI202" s="25" t="str">
        <f>IF('1. Live'!AM220='check-Jul''26'!AI220,"",'1. Live'!AM220-'check-Jul''26'!AI220)</f>
        <v/>
      </c>
      <c r="AJ202" s="25" t="str">
        <f>IF('1. Live'!AN220='check-Jul''26'!AJ220,"",'1. Live'!AN220-'check-Jul''26'!AJ220)</f>
        <v/>
      </c>
      <c r="AK202" s="25" t="str">
        <f>IF('1. Live'!AO220='check-Jul''26'!AK220,"",'1. Live'!AO220-'check-Jul''26'!AK220)</f>
        <v/>
      </c>
      <c r="AL202" s="25" t="str">
        <f>IF('1. Live'!AP220='check-Jul''26'!AL220,"",'1. Live'!AP220-'check-Jul''26'!AL220)</f>
        <v/>
      </c>
      <c r="AM202" s="25" t="str">
        <f>IF('1. Live'!AQ220='check-Jul''26'!AM220,"",'1. Live'!AQ220-'check-Jul''26'!AM220)</f>
        <v/>
      </c>
      <c r="AN202" s="25" t="str">
        <f>IF('1. Live'!AR220='check-Jul''26'!AN220,"",'1. Live'!AR220-'check-Jul''26'!AN220)</f>
        <v/>
      </c>
      <c r="AO202" s="25" t="str">
        <f>IF('1. Live'!AS220='check-Jul''26'!AO220,"",'1. Live'!AS220-'check-Jul''26'!AO220)</f>
        <v/>
      </c>
      <c r="AP202" s="25" t="str">
        <f>IF('1. Live'!AT220='check-Jul''26'!AP220,"",'1. Live'!AT220-'check-Jul''26'!AP220)</f>
        <v/>
      </c>
      <c r="AQ202" s="25" t="str">
        <f>IF('1. Live'!AU220='check-Jul''26'!AQ220,"",'1. Live'!AU220-'check-Jul''26'!AQ220)</f>
        <v/>
      </c>
      <c r="AR202" s="25" t="str">
        <f>IF('1. Live'!AV220='check-Jul''26'!AR220,"",'1. Live'!AV220-'check-Jul''26'!AR220)</f>
        <v/>
      </c>
      <c r="AS202" s="25" t="str">
        <f>IF('1. Live'!AW220='check-Jul''26'!AS220,"",'1. Live'!AW220-'check-Jul''26'!AS220)</f>
        <v/>
      </c>
      <c r="AT202" s="25" t="str">
        <f>IF('1. Live'!AX220='check-Jul''26'!AT220,"",'1. Live'!AX220-'check-Jul''26'!AT220)</f>
        <v/>
      </c>
      <c r="AU202" s="25" t="str">
        <f>IF('1. Live'!AY220='check-Jul''26'!AU220,"",'1. Live'!AY220-'check-Jul''26'!AU220)</f>
        <v/>
      </c>
      <c r="AV202" s="25" t="str">
        <f>IF('1. Live'!AZ220='check-Jul''26'!AV220,"",'1. Live'!AZ220-'check-Jul''26'!AV220)</f>
        <v/>
      </c>
      <c r="AW202" s="25" t="str">
        <f>IF('1. Live'!BA220='check-Jul''26'!AW220,"",'1. Live'!BA220-'check-Jul''26'!AW220)</f>
        <v/>
      </c>
      <c r="AX202" s="25" t="str">
        <f>IF('1. Live'!BB220='check-Jul''26'!AX220,"",'1. Live'!BB220-'check-Jul''26'!AX220)</f>
        <v/>
      </c>
      <c r="AY202" s="25" t="str">
        <f>IF('1. Live'!BC220='check-Jul''26'!AY220,"",'1. Live'!BC220-'check-Jul''26'!AY220)</f>
        <v/>
      </c>
      <c r="AZ202" s="25" t="str">
        <f>IF('1. Live'!BD220='check-Jul''26'!AZ220,"",'1. Live'!BD220-'check-Jul''26'!AZ220)</f>
        <v/>
      </c>
      <c r="BA202" s="25" t="str">
        <f>IF('1. Live'!BE220='check-Jul''26'!BA220,"",'1. Live'!BE220-'check-Jul''26'!BA220)</f>
        <v/>
      </c>
      <c r="BB202" s="25" t="str">
        <f>IF('1. Live'!BF220='check-Jul''26'!BB220,"",'1. Live'!BF220-'check-Jul''26'!BB220)</f>
        <v/>
      </c>
      <c r="BC202" s="25" t="str">
        <f>IF('1. Live'!BG220='check-Jul''26'!BC220,"",'1. Live'!BG220-'check-Jul''26'!BC220)</f>
        <v/>
      </c>
      <c r="BD202" s="25" t="str">
        <f>IF('1. Live'!BH220='check-Jul''26'!BD220,"",'1. Live'!BH220-'check-Jul''26'!BD220)</f>
        <v/>
      </c>
      <c r="BE202" s="25" t="str">
        <f>IF('1. Live'!BI220='check-Jul''26'!BE220,"",'1. Live'!BI220-'check-Jul''26'!BE220)</f>
        <v/>
      </c>
      <c r="BF202" s="25" t="str">
        <f>IF('1. Live'!BJ220='check-Jul''26'!BF220,"",'1. Live'!BJ220-'check-Jul''26'!BF220)</f>
        <v/>
      </c>
      <c r="BG202" s="25" t="str">
        <f>IF('1. Live'!BK220='check-Jul''26'!BG220,"",'1. Live'!BK220-'check-Jul''26'!BG220)</f>
        <v/>
      </c>
      <c r="BH202" s="25" t="str">
        <f>IF('1. Live'!BL220='check-Jul''26'!BH220,"",'1. Live'!BL220-'check-Jul''26'!BH220)</f>
        <v/>
      </c>
      <c r="BI202" s="25" t="str">
        <f>IF('1. Live'!BM220='check-Jul''26'!BI220,"",'1. Live'!BM220-'check-Jul''26'!BI220)</f>
        <v/>
      </c>
      <c r="BJ202" s="25" t="str">
        <f>IF('1. Live'!BN220='check-Jul''26'!BJ220,"",'1. Live'!BN220-'check-Jul''26'!BJ220)</f>
        <v/>
      </c>
      <c r="BK202" s="25" t="str">
        <f>IF('1. Live'!BO220='check-Jul''26'!BK220,"",'1. Live'!BO220-'check-Jul''26'!BK220)</f>
        <v/>
      </c>
      <c r="BL202" s="25" t="str">
        <f>IF('1. Live'!BP220='check-Jul''26'!BL220,"",'1. Live'!BP220-'check-Jul''26'!BL220)</f>
        <v/>
      </c>
      <c r="BM202" s="25" t="str">
        <f>IF('1. Live'!BQ220='check-Jul''26'!BM220,"",'1. Live'!BQ220-'check-Jul''26'!BM220)</f>
        <v/>
      </c>
      <c r="BN202" s="25" t="str">
        <f>IF('1. Live'!BR220='check-Jul''26'!BN220,"",'1. Live'!BR220-'check-Jul''26'!BN220)</f>
        <v/>
      </c>
      <c r="BO202" s="25" t="str">
        <f>IF('1. Live'!BS220='check-Jul''26'!BO220,"",'1. Live'!BS220-'check-Jul''26'!BO220)</f>
        <v/>
      </c>
      <c r="BP202" s="25" t="str">
        <f>IF('1. Live'!BT220='check-Jul''26'!BP220,"",'1. Live'!BT220-'check-Jul''26'!BP220)</f>
        <v/>
      </c>
      <c r="BQ202" s="25" t="str">
        <f>IF('1. Live'!BU220='check-Jul''26'!BQ220,"",'1. Live'!BU220-'check-Jul''26'!BQ220)</f>
        <v/>
      </c>
      <c r="BR202" s="25" t="str">
        <f>IF('1. Live'!BV220='check-Jul''26'!BR220,"",'1. Live'!BV220-'check-Jul''26'!BR220)</f>
        <v/>
      </c>
      <c r="BS202" s="25" t="str">
        <f>IF('1. Live'!BW220='check-Jul''26'!BS220,"",'1. Live'!BW220-'check-Jul''26'!BS220)</f>
        <v/>
      </c>
      <c r="BT202" s="25" t="str">
        <f>IF('1. Live'!BX220='check-Jul''26'!BT220,"",'1. Live'!BX220-'check-Jul''26'!BT220)</f>
        <v/>
      </c>
      <c r="BU202" s="25" t="str">
        <f>IF('1. Live'!BY220='check-Jul''26'!BU220,"",'1. Live'!BY220-'check-Jul''26'!BU220)</f>
        <v/>
      </c>
      <c r="BV202" s="25" t="str">
        <f>IF('1. Live'!BZ220='check-Jul''26'!BV220,"",'1. Live'!BZ220-'check-Jul''26'!BV220)</f>
        <v/>
      </c>
      <c r="BW202" s="25" t="str">
        <f>IF('1. Live'!CA220='check-Jul''26'!BW220,"",'1. Live'!CA220-'check-Jul''26'!BW220)</f>
        <v/>
      </c>
      <c r="BX202" s="25" t="str">
        <f>IF('1. Live'!CB220='check-Jul''26'!BX220,"",'1. Live'!CB220-'check-Jul''26'!BX220)</f>
        <v/>
      </c>
      <c r="BY202" s="25" t="str">
        <f>IF('1. Live'!CC220='check-Jul''26'!BY220,"",'1. Live'!CC220-'check-Jul''26'!BY220)</f>
        <v/>
      </c>
      <c r="BZ202" s="25" t="str">
        <f>IF('1. Live'!CD220='check-Jul''26'!BZ220,"",'1. Live'!CD220-'check-Jul''26'!BZ220)</f>
        <v/>
      </c>
      <c r="CA202" s="25" t="str">
        <f>IF('1. Live'!CE220='check-Jul''26'!CA220,"",'1. Live'!CE220-'check-Jul''26'!CA220)</f>
        <v/>
      </c>
      <c r="CB202" s="25" t="str">
        <f>IF('1. Live'!CF220='check-Jul''26'!CB220,"",'1. Live'!CF220-'check-Jul''26'!CB220)</f>
        <v/>
      </c>
      <c r="CC202" s="25" t="str">
        <f>IF('1. Live'!CG220='check-Jul''26'!CC220,"",'1. Live'!CG220-'check-Jul''26'!CC220)</f>
        <v/>
      </c>
      <c r="CD202" s="25" t="str">
        <f>IF('1. Live'!CH220='check-Jul''26'!CD220,"",'1. Live'!CH220-'check-Jul''26'!CD220)</f>
        <v/>
      </c>
      <c r="CE202" s="25" t="str">
        <f>IF('1. Live'!CI220='check-Jul''26'!CE220,"",'1. Live'!CI220-'check-Jul''26'!CE220)</f>
        <v/>
      </c>
      <c r="CF202" s="25" t="str">
        <f>IF('1. Live'!CJ220='check-Jul''26'!CF220,"",'1. Live'!CJ220-'check-Jul''26'!CF220)</f>
        <v/>
      </c>
      <c r="CG202" s="25" t="str">
        <f>IF('1. Live'!CK220='check-Jul''26'!CG220,"",'1. Live'!CK220-'check-Jul''26'!CG220)</f>
        <v/>
      </c>
      <c r="CH202" s="25" t="str">
        <f>IF('1. Live'!CL220='check-Jul''26'!CH220,"",'1. Live'!CL220-'check-Jul''26'!CH220)</f>
        <v/>
      </c>
      <c r="CI202" s="25" t="str">
        <f>IF('1. Live'!CM220='check-Jul''26'!CI220,"",'1. Live'!CM220-'check-Jul''26'!CI220)</f>
        <v/>
      </c>
      <c r="CJ202" s="25" t="str">
        <f>IF('1. Live'!CN220='check-Jul''26'!CJ220,"",'1. Live'!CN220-'check-Jul''26'!CJ220)</f>
        <v/>
      </c>
      <c r="CK202" s="25" t="str">
        <f>IF('1. Live'!CO220='check-Jul''26'!CK220,"",'1. Live'!CO220-'check-Jul''26'!CK220)</f>
        <v/>
      </c>
      <c r="CL202" s="25" t="str">
        <f>IF('1. Live'!CP220='check-Jul''26'!CL220,"",'1. Live'!CP220-'check-Jul''26'!CL220)</f>
        <v/>
      </c>
      <c r="CM202" s="25" t="str">
        <f>IF('1. Live'!CQ220='check-Jul''26'!CM220,"",'1. Live'!CQ220-'check-Jul''26'!CM220)</f>
        <v/>
      </c>
      <c r="CN202" s="25" t="str">
        <f>IF('1. Live'!CR220='check-Jul''26'!CN220,"",'1. Live'!CR220-'check-Jul''26'!CN220)</f>
        <v/>
      </c>
      <c r="CO202" s="25" t="str">
        <f>IF('1. Live'!CS220='check-Jul''26'!CO220,"",'1. Live'!CS220-'check-Jul''26'!CO220)</f>
        <v/>
      </c>
      <c r="CP202" s="25" t="str">
        <f>IF('1. Live'!CT220='check-Jul''26'!CP220,"",'1. Live'!CT220-'check-Jul''26'!CP220)</f>
        <v/>
      </c>
      <c r="CQ202" s="25" t="str">
        <f>IF('1. Live'!CU220='check-Jul''26'!CQ220,"",'1. Live'!CU220-'check-Jul''26'!CQ220)</f>
        <v/>
      </c>
      <c r="CR202" s="25" t="str">
        <f>IF('1. Live'!CV220='check-Jul''26'!CR220,"",'1. Live'!CV220-'check-Jul''26'!CR220)</f>
        <v/>
      </c>
      <c r="CS202" s="25" t="str">
        <f>IF('1. Live'!CW220='check-Jul''26'!CS220,"",'1. Live'!CW220-'check-Jul''26'!CS220)</f>
        <v/>
      </c>
      <c r="CT202" s="25" t="str">
        <f>IF('1. Live'!CX220='check-Jul''26'!CT220,"",'1. Live'!CX220-'check-Jul''26'!CT220)</f>
        <v/>
      </c>
      <c r="CU202" s="25" t="str">
        <f>IF('1. Live'!CY220='check-Jul''26'!CU220,"",'1. Live'!CY220-'check-Jul''26'!CU220)</f>
        <v/>
      </c>
      <c r="CV202" s="25" t="str">
        <f>IF('1. Live'!CZ220='check-Jul''26'!CV220,"",'1. Live'!CZ220-'check-Jul''26'!CV220)</f>
        <v/>
      </c>
    </row>
    <row r="203" spans="17:100" x14ac:dyDescent="0.25">
      <c r="Q203" s="26" t="str">
        <f>IF('1. Live'!N221='check-Jul''26'!I221,"",'1. Live'!N221-'check-Jul''26'!I221)</f>
        <v/>
      </c>
      <c r="R203" s="26" t="str">
        <f>IF('1. Live'!O221='check-Jul''26'!J221,"",'1. Live'!O221-'check-Jul''26'!J221)</f>
        <v/>
      </c>
      <c r="S203" s="26" t="str">
        <f>IF('1. Live'!P221='check-Jul''26'!K221,"",'1. Live'!P221-'check-Jul''26'!K221)</f>
        <v/>
      </c>
      <c r="T203" s="26" t="str">
        <f>IF('1. Live'!Q221='check-Jul''26'!L221,"",'1. Live'!Q221-'check-Jul''26'!L221)</f>
        <v/>
      </c>
      <c r="U203" s="80" t="str">
        <f>IF('1. Live'!R221='check-Jul''26'!M221,"",'1. Live'!R221-'check-Jul''26'!M221)</f>
        <v/>
      </c>
      <c r="V203" s="26" t="str">
        <f>IF('1. Live'!S221='check-Jul''26'!N221,"",'1. Live'!S221-'check-Jul''26'!N221)</f>
        <v/>
      </c>
      <c r="W203" s="25" t="str">
        <f>IF('1. Live'!T221='check-Jul''26'!O221,"",'1. Live'!T221-'check-Jul''26'!O221)</f>
        <v/>
      </c>
      <c r="X203" s="25" t="str">
        <f>IF('1. Live'!U221='check-Jul''26'!Q221,"",'1. Live'!U221-'check-Jul''26'!Q221)</f>
        <v/>
      </c>
      <c r="Y203" s="25" t="str">
        <f>IF('1. Live'!V221='check-Jul''26'!R221,"",'1. Live'!V221-'check-Jul''26'!R221)</f>
        <v/>
      </c>
      <c r="Z203" s="25" t="str">
        <f>IF('1. Live'!W221='check-Jul''26'!S221,"",'1. Live'!W221-'check-Jul''26'!S221)</f>
        <v/>
      </c>
      <c r="AA203" s="25" t="str">
        <f>IF('1. Live'!X221='check-Jul''26'!T221,"",'1. Live'!X221-'check-Jul''26'!T221)</f>
        <v/>
      </c>
      <c r="AB203" s="25" t="str">
        <f>IF('1. Live'!AF221='check-Jul''26'!AB221,"",'1. Live'!AF221-'check-Jul''26'!AB221)</f>
        <v/>
      </c>
      <c r="AC203" s="25" t="str">
        <f>IF('1. Live'!AG221='check-Jul''26'!AC221,"",'1. Live'!AG221-'check-Jul''26'!AC221)</f>
        <v/>
      </c>
      <c r="AD203" s="25" t="str">
        <f>IF('1. Live'!AH221='check-Jul''26'!AD221,"",'1. Live'!AH221-'check-Jul''26'!AD221)</f>
        <v/>
      </c>
      <c r="AE203" s="25" t="str">
        <f>IF('1. Live'!AI221='check-Jul''26'!AE221,"",'1. Live'!AI221-'check-Jul''26'!AE221)</f>
        <v/>
      </c>
      <c r="AF203" s="25" t="str">
        <f>IF('1. Live'!AJ221='check-Jul''26'!AF221,"",'1. Live'!AJ221-'check-Jul''26'!AF221)</f>
        <v/>
      </c>
      <c r="AG203" s="25" t="str">
        <f>IF('1. Live'!AK221='check-Jul''26'!AG221,"",'1. Live'!AK221-'check-Jul''26'!AG221)</f>
        <v/>
      </c>
      <c r="AH203" s="25" t="str">
        <f>IF('1. Live'!AL221='check-Jul''26'!AH221,"",'1. Live'!AL221-'check-Jul''26'!AH221)</f>
        <v/>
      </c>
      <c r="AI203" s="25" t="str">
        <f>IF('1. Live'!AM221='check-Jul''26'!AI221,"",'1. Live'!AM221-'check-Jul''26'!AI221)</f>
        <v/>
      </c>
      <c r="AJ203" s="25" t="str">
        <f>IF('1. Live'!AN221='check-Jul''26'!AJ221,"",'1. Live'!AN221-'check-Jul''26'!AJ221)</f>
        <v/>
      </c>
      <c r="AK203" s="25" t="str">
        <f>IF('1. Live'!AO221='check-Jul''26'!AK221,"",'1. Live'!AO221-'check-Jul''26'!AK221)</f>
        <v/>
      </c>
      <c r="AL203" s="25" t="str">
        <f>IF('1. Live'!AP221='check-Jul''26'!AL221,"",'1. Live'!AP221-'check-Jul''26'!AL221)</f>
        <v/>
      </c>
      <c r="AM203" s="25" t="str">
        <f>IF('1. Live'!AQ221='check-Jul''26'!AM221,"",'1. Live'!AQ221-'check-Jul''26'!AM221)</f>
        <v/>
      </c>
      <c r="AN203" s="25" t="str">
        <f>IF('1. Live'!AR221='check-Jul''26'!AN221,"",'1. Live'!AR221-'check-Jul''26'!AN221)</f>
        <v/>
      </c>
      <c r="AO203" s="25" t="str">
        <f>IF('1. Live'!AS221='check-Jul''26'!AO221,"",'1. Live'!AS221-'check-Jul''26'!AO221)</f>
        <v/>
      </c>
      <c r="AP203" s="25" t="str">
        <f>IF('1. Live'!AT221='check-Jul''26'!AP221,"",'1. Live'!AT221-'check-Jul''26'!AP221)</f>
        <v/>
      </c>
      <c r="AQ203" s="25" t="str">
        <f>IF('1. Live'!AU221='check-Jul''26'!AQ221,"",'1. Live'!AU221-'check-Jul''26'!AQ221)</f>
        <v/>
      </c>
      <c r="AR203" s="25" t="str">
        <f>IF('1. Live'!AV221='check-Jul''26'!AR221,"",'1. Live'!AV221-'check-Jul''26'!AR221)</f>
        <v/>
      </c>
      <c r="AS203" s="25" t="str">
        <f>IF('1. Live'!AW221='check-Jul''26'!AS221,"",'1. Live'!AW221-'check-Jul''26'!AS221)</f>
        <v/>
      </c>
      <c r="AT203" s="25" t="str">
        <f>IF('1. Live'!AX221='check-Jul''26'!AT221,"",'1. Live'!AX221-'check-Jul''26'!AT221)</f>
        <v/>
      </c>
      <c r="AU203" s="25" t="str">
        <f>IF('1. Live'!AY221='check-Jul''26'!AU221,"",'1. Live'!AY221-'check-Jul''26'!AU221)</f>
        <v/>
      </c>
      <c r="AV203" s="25" t="str">
        <f>IF('1. Live'!AZ221='check-Jul''26'!AV221,"",'1. Live'!AZ221-'check-Jul''26'!AV221)</f>
        <v/>
      </c>
      <c r="AW203" s="25" t="str">
        <f>IF('1. Live'!BA221='check-Jul''26'!AW221,"",'1. Live'!BA221-'check-Jul''26'!AW221)</f>
        <v/>
      </c>
      <c r="AX203" s="25" t="str">
        <f>IF('1. Live'!BB221='check-Jul''26'!AX221,"",'1. Live'!BB221-'check-Jul''26'!AX221)</f>
        <v/>
      </c>
      <c r="AY203" s="25" t="str">
        <f>IF('1. Live'!BC221='check-Jul''26'!AY221,"",'1. Live'!BC221-'check-Jul''26'!AY221)</f>
        <v/>
      </c>
      <c r="AZ203" s="25" t="str">
        <f>IF('1. Live'!BD221='check-Jul''26'!AZ221,"",'1. Live'!BD221-'check-Jul''26'!AZ221)</f>
        <v/>
      </c>
      <c r="BA203" s="25" t="str">
        <f>IF('1. Live'!BE221='check-Jul''26'!BA221,"",'1. Live'!BE221-'check-Jul''26'!BA221)</f>
        <v/>
      </c>
      <c r="BB203" s="25" t="str">
        <f>IF('1. Live'!BF221='check-Jul''26'!BB221,"",'1. Live'!BF221-'check-Jul''26'!BB221)</f>
        <v/>
      </c>
      <c r="BC203" s="25" t="str">
        <f>IF('1. Live'!BG221='check-Jul''26'!BC221,"",'1. Live'!BG221-'check-Jul''26'!BC221)</f>
        <v/>
      </c>
      <c r="BD203" s="25" t="str">
        <f>IF('1. Live'!BH221='check-Jul''26'!BD221,"",'1. Live'!BH221-'check-Jul''26'!BD221)</f>
        <v/>
      </c>
      <c r="BE203" s="25" t="str">
        <f>IF('1. Live'!BI221='check-Jul''26'!BE221,"",'1. Live'!BI221-'check-Jul''26'!BE221)</f>
        <v/>
      </c>
      <c r="BF203" s="25" t="str">
        <f>IF('1. Live'!BJ221='check-Jul''26'!BF221,"",'1. Live'!BJ221-'check-Jul''26'!BF221)</f>
        <v/>
      </c>
      <c r="BG203" s="25" t="str">
        <f>IF('1. Live'!BK221='check-Jul''26'!BG221,"",'1. Live'!BK221-'check-Jul''26'!BG221)</f>
        <v/>
      </c>
      <c r="BH203" s="25" t="str">
        <f>IF('1. Live'!BL221='check-Jul''26'!BH221,"",'1. Live'!BL221-'check-Jul''26'!BH221)</f>
        <v/>
      </c>
      <c r="BI203" s="25" t="str">
        <f>IF('1. Live'!BM221='check-Jul''26'!BI221,"",'1. Live'!BM221-'check-Jul''26'!BI221)</f>
        <v/>
      </c>
      <c r="BJ203" s="25" t="str">
        <f>IF('1. Live'!BN221='check-Jul''26'!BJ221,"",'1. Live'!BN221-'check-Jul''26'!BJ221)</f>
        <v/>
      </c>
      <c r="BK203" s="25" t="str">
        <f>IF('1. Live'!BO221='check-Jul''26'!BK221,"",'1. Live'!BO221-'check-Jul''26'!BK221)</f>
        <v/>
      </c>
      <c r="BL203" s="25" t="str">
        <f>IF('1. Live'!BP221='check-Jul''26'!BL221,"",'1. Live'!BP221-'check-Jul''26'!BL221)</f>
        <v/>
      </c>
      <c r="BM203" s="25" t="str">
        <f>IF('1. Live'!BQ221='check-Jul''26'!BM221,"",'1. Live'!BQ221-'check-Jul''26'!BM221)</f>
        <v/>
      </c>
      <c r="BN203" s="25" t="str">
        <f>IF('1. Live'!BR221='check-Jul''26'!BN221,"",'1. Live'!BR221-'check-Jul''26'!BN221)</f>
        <v/>
      </c>
      <c r="BO203" s="25" t="str">
        <f>IF('1. Live'!BS221='check-Jul''26'!BO221,"",'1. Live'!BS221-'check-Jul''26'!BO221)</f>
        <v/>
      </c>
      <c r="BP203" s="25" t="str">
        <f>IF('1. Live'!BT221='check-Jul''26'!BP221,"",'1. Live'!BT221-'check-Jul''26'!BP221)</f>
        <v/>
      </c>
      <c r="BQ203" s="25" t="str">
        <f>IF('1. Live'!BU221='check-Jul''26'!BQ221,"",'1. Live'!BU221-'check-Jul''26'!BQ221)</f>
        <v/>
      </c>
      <c r="BR203" s="25" t="str">
        <f>IF('1. Live'!BV221='check-Jul''26'!BR221,"",'1. Live'!BV221-'check-Jul''26'!BR221)</f>
        <v/>
      </c>
      <c r="BS203" s="25" t="str">
        <f>IF('1. Live'!BW221='check-Jul''26'!BS221,"",'1. Live'!BW221-'check-Jul''26'!BS221)</f>
        <v/>
      </c>
      <c r="BT203" s="25" t="str">
        <f>IF('1. Live'!BX221='check-Jul''26'!BT221,"",'1. Live'!BX221-'check-Jul''26'!BT221)</f>
        <v/>
      </c>
      <c r="BU203" s="25" t="str">
        <f>IF('1. Live'!BY221='check-Jul''26'!BU221,"",'1. Live'!BY221-'check-Jul''26'!BU221)</f>
        <v/>
      </c>
      <c r="BV203" s="25" t="str">
        <f>IF('1. Live'!BZ221='check-Jul''26'!BV221,"",'1. Live'!BZ221-'check-Jul''26'!BV221)</f>
        <v/>
      </c>
      <c r="BW203" s="25" t="str">
        <f>IF('1. Live'!CA221='check-Jul''26'!BW221,"",'1. Live'!CA221-'check-Jul''26'!BW221)</f>
        <v/>
      </c>
      <c r="BX203" s="25" t="str">
        <f>IF('1. Live'!CB221='check-Jul''26'!BX221,"",'1. Live'!CB221-'check-Jul''26'!BX221)</f>
        <v/>
      </c>
      <c r="BY203" s="25" t="str">
        <f>IF('1. Live'!CC221='check-Jul''26'!BY221,"",'1. Live'!CC221-'check-Jul''26'!BY221)</f>
        <v/>
      </c>
      <c r="BZ203" s="25" t="str">
        <f>IF('1. Live'!CD221='check-Jul''26'!BZ221,"",'1. Live'!CD221-'check-Jul''26'!BZ221)</f>
        <v/>
      </c>
      <c r="CA203" s="25" t="str">
        <f>IF('1. Live'!CE221='check-Jul''26'!CA221,"",'1. Live'!CE221-'check-Jul''26'!CA221)</f>
        <v/>
      </c>
      <c r="CB203" s="25" t="str">
        <f>IF('1. Live'!CF221='check-Jul''26'!CB221,"",'1. Live'!CF221-'check-Jul''26'!CB221)</f>
        <v/>
      </c>
      <c r="CC203" s="25" t="str">
        <f>IF('1. Live'!CG221='check-Jul''26'!CC221,"",'1. Live'!CG221-'check-Jul''26'!CC221)</f>
        <v/>
      </c>
      <c r="CD203" s="25" t="str">
        <f>IF('1. Live'!CH221='check-Jul''26'!CD221,"",'1. Live'!CH221-'check-Jul''26'!CD221)</f>
        <v/>
      </c>
      <c r="CE203" s="25" t="str">
        <f>IF('1. Live'!CI221='check-Jul''26'!CE221,"",'1. Live'!CI221-'check-Jul''26'!CE221)</f>
        <v/>
      </c>
      <c r="CF203" s="25" t="str">
        <f>IF('1. Live'!CJ221='check-Jul''26'!CF221,"",'1. Live'!CJ221-'check-Jul''26'!CF221)</f>
        <v/>
      </c>
      <c r="CG203" s="25" t="str">
        <f>IF('1. Live'!CK221='check-Jul''26'!CG221,"",'1. Live'!CK221-'check-Jul''26'!CG221)</f>
        <v/>
      </c>
      <c r="CH203" s="25" t="str">
        <f>IF('1. Live'!CL221='check-Jul''26'!CH221,"",'1. Live'!CL221-'check-Jul''26'!CH221)</f>
        <v/>
      </c>
      <c r="CI203" s="25" t="str">
        <f>IF('1. Live'!CM221='check-Jul''26'!CI221,"",'1. Live'!CM221-'check-Jul''26'!CI221)</f>
        <v/>
      </c>
      <c r="CJ203" s="25" t="str">
        <f>IF('1. Live'!CN221='check-Jul''26'!CJ221,"",'1. Live'!CN221-'check-Jul''26'!CJ221)</f>
        <v/>
      </c>
      <c r="CK203" s="25" t="str">
        <f>IF('1. Live'!CO221='check-Jul''26'!CK221,"",'1. Live'!CO221-'check-Jul''26'!CK221)</f>
        <v/>
      </c>
      <c r="CL203" s="25" t="str">
        <f>IF('1. Live'!CP221='check-Jul''26'!CL221,"",'1. Live'!CP221-'check-Jul''26'!CL221)</f>
        <v/>
      </c>
      <c r="CM203" s="25" t="str">
        <f>IF('1. Live'!CQ221='check-Jul''26'!CM221,"",'1. Live'!CQ221-'check-Jul''26'!CM221)</f>
        <v/>
      </c>
      <c r="CN203" s="25" t="str">
        <f>IF('1. Live'!CR221='check-Jul''26'!CN221,"",'1. Live'!CR221-'check-Jul''26'!CN221)</f>
        <v/>
      </c>
      <c r="CO203" s="25" t="str">
        <f>IF('1. Live'!CS221='check-Jul''26'!CO221,"",'1. Live'!CS221-'check-Jul''26'!CO221)</f>
        <v/>
      </c>
      <c r="CP203" s="25" t="str">
        <f>IF('1. Live'!CT221='check-Jul''26'!CP221,"",'1. Live'!CT221-'check-Jul''26'!CP221)</f>
        <v/>
      </c>
      <c r="CQ203" s="25" t="str">
        <f>IF('1. Live'!CU221='check-Jul''26'!CQ221,"",'1. Live'!CU221-'check-Jul''26'!CQ221)</f>
        <v/>
      </c>
      <c r="CR203" s="25" t="str">
        <f>IF('1. Live'!CV221='check-Jul''26'!CR221,"",'1. Live'!CV221-'check-Jul''26'!CR221)</f>
        <v/>
      </c>
      <c r="CS203" s="25" t="str">
        <f>IF('1. Live'!CW221='check-Jul''26'!CS221,"",'1. Live'!CW221-'check-Jul''26'!CS221)</f>
        <v/>
      </c>
      <c r="CT203" s="25" t="str">
        <f>IF('1. Live'!CX221='check-Jul''26'!CT221,"",'1. Live'!CX221-'check-Jul''26'!CT221)</f>
        <v/>
      </c>
      <c r="CU203" s="25" t="str">
        <f>IF('1. Live'!CY221='check-Jul''26'!CU221,"",'1. Live'!CY221-'check-Jul''26'!CU221)</f>
        <v/>
      </c>
      <c r="CV203" s="25" t="str">
        <f>IF('1. Live'!CZ221='check-Jul''26'!CV221,"",'1. Live'!CZ221-'check-Jul''26'!CV221)</f>
        <v/>
      </c>
    </row>
    <row r="204" spans="17:100" x14ac:dyDescent="0.25">
      <c r="Q204" s="26" t="str">
        <f>IF('1. Live'!N222='check-Jul''26'!I222,"",'1. Live'!N222-'check-Jul''26'!I222)</f>
        <v/>
      </c>
      <c r="R204" s="26" t="str">
        <f>IF('1. Live'!O222='check-Jul''26'!J222,"",'1. Live'!O222-'check-Jul''26'!J222)</f>
        <v/>
      </c>
      <c r="S204" s="26" t="str">
        <f>IF('1. Live'!P222='check-Jul''26'!K222,"",'1. Live'!P222-'check-Jul''26'!K222)</f>
        <v/>
      </c>
      <c r="T204" s="26" t="str">
        <f>IF('1. Live'!Q222='check-Jul''26'!L222,"",'1. Live'!Q222-'check-Jul''26'!L222)</f>
        <v/>
      </c>
      <c r="U204" s="80" t="str">
        <f>IF('1. Live'!R222='check-Jul''26'!M222,"",'1. Live'!R222-'check-Jul''26'!M222)</f>
        <v/>
      </c>
      <c r="V204" s="26" t="str">
        <f>IF('1. Live'!S222='check-Jul''26'!N222,"",'1. Live'!S222-'check-Jul''26'!N222)</f>
        <v/>
      </c>
      <c r="W204" s="25" t="str">
        <f>IF('1. Live'!T222='check-Jul''26'!O222,"",'1. Live'!T222-'check-Jul''26'!O222)</f>
        <v/>
      </c>
      <c r="X204" s="25" t="str">
        <f>IF('1. Live'!U222='check-Jul''26'!Q222,"",'1. Live'!U222-'check-Jul''26'!Q222)</f>
        <v/>
      </c>
      <c r="Y204" s="25" t="str">
        <f>IF('1. Live'!V222='check-Jul''26'!R222,"",'1. Live'!V222-'check-Jul''26'!R222)</f>
        <v/>
      </c>
      <c r="Z204" s="25" t="str">
        <f>IF('1. Live'!W222='check-Jul''26'!S222,"",'1. Live'!W222-'check-Jul''26'!S222)</f>
        <v/>
      </c>
      <c r="AA204" s="25" t="str">
        <f>IF('1. Live'!X222='check-Jul''26'!T222,"",'1. Live'!X222-'check-Jul''26'!T222)</f>
        <v/>
      </c>
      <c r="AB204" s="25" t="str">
        <f>IF('1. Live'!AF222='check-Jul''26'!AB222,"",'1. Live'!AF222-'check-Jul''26'!AB222)</f>
        <v/>
      </c>
      <c r="AC204" s="25" t="str">
        <f>IF('1. Live'!AG222='check-Jul''26'!AC222,"",'1. Live'!AG222-'check-Jul''26'!AC222)</f>
        <v/>
      </c>
      <c r="AD204" s="25" t="str">
        <f>IF('1. Live'!AH222='check-Jul''26'!AD222,"",'1. Live'!AH222-'check-Jul''26'!AD222)</f>
        <v/>
      </c>
      <c r="AE204" s="25" t="str">
        <f>IF('1. Live'!AI222='check-Jul''26'!AE222,"",'1. Live'!AI222-'check-Jul''26'!AE222)</f>
        <v/>
      </c>
      <c r="AF204" s="25" t="str">
        <f>IF('1. Live'!AJ222='check-Jul''26'!AF222,"",'1. Live'!AJ222-'check-Jul''26'!AF222)</f>
        <v/>
      </c>
      <c r="AG204" s="25" t="str">
        <f>IF('1. Live'!AK222='check-Jul''26'!AG222,"",'1. Live'!AK222-'check-Jul''26'!AG222)</f>
        <v/>
      </c>
      <c r="AH204" s="25" t="str">
        <f>IF('1. Live'!AL222='check-Jul''26'!AH222,"",'1. Live'!AL222-'check-Jul''26'!AH222)</f>
        <v/>
      </c>
      <c r="AI204" s="25" t="str">
        <f>IF('1. Live'!AM222='check-Jul''26'!AI222,"",'1. Live'!AM222-'check-Jul''26'!AI222)</f>
        <v/>
      </c>
      <c r="AJ204" s="25" t="str">
        <f>IF('1. Live'!AN222='check-Jul''26'!AJ222,"",'1. Live'!AN222-'check-Jul''26'!AJ222)</f>
        <v/>
      </c>
      <c r="AK204" s="25" t="str">
        <f>IF('1. Live'!AO222='check-Jul''26'!AK222,"",'1. Live'!AO222-'check-Jul''26'!AK222)</f>
        <v/>
      </c>
      <c r="AL204" s="25" t="str">
        <f>IF('1. Live'!AP222='check-Jul''26'!AL222,"",'1. Live'!AP222-'check-Jul''26'!AL222)</f>
        <v/>
      </c>
      <c r="AM204" s="25" t="str">
        <f>IF('1. Live'!AQ222='check-Jul''26'!AM222,"",'1. Live'!AQ222-'check-Jul''26'!AM222)</f>
        <v/>
      </c>
      <c r="AN204" s="25" t="str">
        <f>IF('1. Live'!AR222='check-Jul''26'!AN222,"",'1. Live'!AR222-'check-Jul''26'!AN222)</f>
        <v/>
      </c>
      <c r="AO204" s="25" t="str">
        <f>IF('1. Live'!AS222='check-Jul''26'!AO222,"",'1. Live'!AS222-'check-Jul''26'!AO222)</f>
        <v/>
      </c>
      <c r="AP204" s="25" t="str">
        <f>IF('1. Live'!AT222='check-Jul''26'!AP222,"",'1. Live'!AT222-'check-Jul''26'!AP222)</f>
        <v/>
      </c>
      <c r="AQ204" s="25" t="str">
        <f>IF('1. Live'!AU222='check-Jul''26'!AQ222,"",'1. Live'!AU222-'check-Jul''26'!AQ222)</f>
        <v/>
      </c>
      <c r="AR204" s="25" t="str">
        <f>IF('1. Live'!AV222='check-Jul''26'!AR222,"",'1. Live'!AV222-'check-Jul''26'!AR222)</f>
        <v/>
      </c>
      <c r="AS204" s="25" t="str">
        <f>IF('1. Live'!AW222='check-Jul''26'!AS222,"",'1. Live'!AW222-'check-Jul''26'!AS222)</f>
        <v/>
      </c>
      <c r="AT204" s="25" t="str">
        <f>IF('1. Live'!AX222='check-Jul''26'!AT222,"",'1. Live'!AX222-'check-Jul''26'!AT222)</f>
        <v/>
      </c>
      <c r="AU204" s="25" t="str">
        <f>IF('1. Live'!AY222='check-Jul''26'!AU222,"",'1. Live'!AY222-'check-Jul''26'!AU222)</f>
        <v/>
      </c>
      <c r="AV204" s="25" t="str">
        <f>IF('1. Live'!AZ222='check-Jul''26'!AV222,"",'1. Live'!AZ222-'check-Jul''26'!AV222)</f>
        <v/>
      </c>
      <c r="AW204" s="25" t="str">
        <f>IF('1. Live'!BA222='check-Jul''26'!AW222,"",'1. Live'!BA222-'check-Jul''26'!AW222)</f>
        <v/>
      </c>
      <c r="AX204" s="25" t="str">
        <f>IF('1. Live'!BB222='check-Jul''26'!AX222,"",'1. Live'!BB222-'check-Jul''26'!AX222)</f>
        <v/>
      </c>
      <c r="AY204" s="25" t="str">
        <f>IF('1. Live'!BC222='check-Jul''26'!AY222,"",'1. Live'!BC222-'check-Jul''26'!AY222)</f>
        <v/>
      </c>
      <c r="AZ204" s="25" t="str">
        <f>IF('1. Live'!BD222='check-Jul''26'!AZ222,"",'1. Live'!BD222-'check-Jul''26'!AZ222)</f>
        <v/>
      </c>
      <c r="BA204" s="25" t="str">
        <f>IF('1. Live'!BE222='check-Jul''26'!BA222,"",'1. Live'!BE222-'check-Jul''26'!BA222)</f>
        <v/>
      </c>
      <c r="BB204" s="25" t="str">
        <f>IF('1. Live'!BF222='check-Jul''26'!BB222,"",'1. Live'!BF222-'check-Jul''26'!BB222)</f>
        <v/>
      </c>
      <c r="BC204" s="25" t="str">
        <f>IF('1. Live'!BG222='check-Jul''26'!BC222,"",'1. Live'!BG222-'check-Jul''26'!BC222)</f>
        <v/>
      </c>
      <c r="BD204" s="25" t="str">
        <f>IF('1. Live'!BH222='check-Jul''26'!BD222,"",'1. Live'!BH222-'check-Jul''26'!BD222)</f>
        <v/>
      </c>
      <c r="BE204" s="25" t="str">
        <f>IF('1. Live'!BI222='check-Jul''26'!BE222,"",'1. Live'!BI222-'check-Jul''26'!BE222)</f>
        <v/>
      </c>
      <c r="BF204" s="25" t="str">
        <f>IF('1. Live'!BJ222='check-Jul''26'!BF222,"",'1. Live'!BJ222-'check-Jul''26'!BF222)</f>
        <v/>
      </c>
      <c r="BG204" s="25" t="str">
        <f>IF('1. Live'!BK222='check-Jul''26'!BG222,"",'1. Live'!BK222-'check-Jul''26'!BG222)</f>
        <v/>
      </c>
      <c r="BH204" s="25" t="str">
        <f>IF('1. Live'!BL222='check-Jul''26'!BH222,"",'1. Live'!BL222-'check-Jul''26'!BH222)</f>
        <v/>
      </c>
      <c r="BI204" s="25" t="str">
        <f>IF('1. Live'!BM222='check-Jul''26'!BI222,"",'1. Live'!BM222-'check-Jul''26'!BI222)</f>
        <v/>
      </c>
      <c r="BJ204" s="25" t="str">
        <f>IF('1. Live'!BN222='check-Jul''26'!BJ222,"",'1. Live'!BN222-'check-Jul''26'!BJ222)</f>
        <v/>
      </c>
      <c r="BK204" s="25" t="str">
        <f>IF('1. Live'!BO222='check-Jul''26'!BK222,"",'1. Live'!BO222-'check-Jul''26'!BK222)</f>
        <v/>
      </c>
      <c r="BL204" s="25" t="str">
        <f>IF('1. Live'!BP222='check-Jul''26'!BL222,"",'1. Live'!BP222-'check-Jul''26'!BL222)</f>
        <v/>
      </c>
      <c r="BM204" s="25" t="str">
        <f>IF('1. Live'!BQ222='check-Jul''26'!BM222,"",'1. Live'!BQ222-'check-Jul''26'!BM222)</f>
        <v/>
      </c>
      <c r="BN204" s="25" t="str">
        <f>IF('1. Live'!BR222='check-Jul''26'!BN222,"",'1. Live'!BR222-'check-Jul''26'!BN222)</f>
        <v/>
      </c>
      <c r="BO204" s="25" t="str">
        <f>IF('1. Live'!BS222='check-Jul''26'!BO222,"",'1. Live'!BS222-'check-Jul''26'!BO222)</f>
        <v/>
      </c>
      <c r="BP204" s="25" t="str">
        <f>IF('1. Live'!BT222='check-Jul''26'!BP222,"",'1. Live'!BT222-'check-Jul''26'!BP222)</f>
        <v/>
      </c>
      <c r="BQ204" s="25" t="str">
        <f>IF('1. Live'!BU222='check-Jul''26'!BQ222,"",'1. Live'!BU222-'check-Jul''26'!BQ222)</f>
        <v/>
      </c>
      <c r="BR204" s="25" t="str">
        <f>IF('1. Live'!BV222='check-Jul''26'!BR222,"",'1. Live'!BV222-'check-Jul''26'!BR222)</f>
        <v/>
      </c>
      <c r="BS204" s="25" t="str">
        <f>IF('1. Live'!BW222='check-Jul''26'!BS222,"",'1. Live'!BW222-'check-Jul''26'!BS222)</f>
        <v/>
      </c>
      <c r="BT204" s="25" t="str">
        <f>IF('1. Live'!BX222='check-Jul''26'!BT222,"",'1. Live'!BX222-'check-Jul''26'!BT222)</f>
        <v/>
      </c>
      <c r="BU204" s="25" t="str">
        <f>IF('1. Live'!BY222='check-Jul''26'!BU222,"",'1. Live'!BY222-'check-Jul''26'!BU222)</f>
        <v/>
      </c>
      <c r="BV204" s="25" t="str">
        <f>IF('1. Live'!BZ222='check-Jul''26'!BV222,"",'1. Live'!BZ222-'check-Jul''26'!BV222)</f>
        <v/>
      </c>
      <c r="BW204" s="25" t="str">
        <f>IF('1. Live'!CA222='check-Jul''26'!BW222,"",'1. Live'!CA222-'check-Jul''26'!BW222)</f>
        <v/>
      </c>
      <c r="BX204" s="25" t="str">
        <f>IF('1. Live'!CB222='check-Jul''26'!BX222,"",'1. Live'!CB222-'check-Jul''26'!BX222)</f>
        <v/>
      </c>
      <c r="BY204" s="25" t="str">
        <f>IF('1. Live'!CC222='check-Jul''26'!BY222,"",'1. Live'!CC222-'check-Jul''26'!BY222)</f>
        <v/>
      </c>
      <c r="BZ204" s="25" t="str">
        <f>IF('1. Live'!CD222='check-Jul''26'!BZ222,"",'1. Live'!CD222-'check-Jul''26'!BZ222)</f>
        <v/>
      </c>
      <c r="CA204" s="25" t="str">
        <f>IF('1. Live'!CE222='check-Jul''26'!CA222,"",'1. Live'!CE222-'check-Jul''26'!CA222)</f>
        <v/>
      </c>
      <c r="CB204" s="25" t="str">
        <f>IF('1. Live'!CF222='check-Jul''26'!CB222,"",'1. Live'!CF222-'check-Jul''26'!CB222)</f>
        <v/>
      </c>
      <c r="CC204" s="25" t="str">
        <f>IF('1. Live'!CG222='check-Jul''26'!CC222,"",'1. Live'!CG222-'check-Jul''26'!CC222)</f>
        <v/>
      </c>
      <c r="CD204" s="25" t="str">
        <f>IF('1. Live'!CH222='check-Jul''26'!CD222,"",'1. Live'!CH222-'check-Jul''26'!CD222)</f>
        <v/>
      </c>
      <c r="CE204" s="25" t="str">
        <f>IF('1. Live'!CI222='check-Jul''26'!CE222,"",'1. Live'!CI222-'check-Jul''26'!CE222)</f>
        <v/>
      </c>
      <c r="CF204" s="25" t="str">
        <f>IF('1. Live'!CJ222='check-Jul''26'!CF222,"",'1. Live'!CJ222-'check-Jul''26'!CF222)</f>
        <v/>
      </c>
      <c r="CG204" s="25" t="str">
        <f>IF('1. Live'!CK222='check-Jul''26'!CG222,"",'1. Live'!CK222-'check-Jul''26'!CG222)</f>
        <v/>
      </c>
      <c r="CH204" s="25" t="str">
        <f>IF('1. Live'!CL222='check-Jul''26'!CH222,"",'1. Live'!CL222-'check-Jul''26'!CH222)</f>
        <v/>
      </c>
      <c r="CI204" s="25" t="str">
        <f>IF('1. Live'!CM222='check-Jul''26'!CI222,"",'1. Live'!CM222-'check-Jul''26'!CI222)</f>
        <v/>
      </c>
      <c r="CJ204" s="25" t="str">
        <f>IF('1. Live'!CN222='check-Jul''26'!CJ222,"",'1. Live'!CN222-'check-Jul''26'!CJ222)</f>
        <v/>
      </c>
      <c r="CK204" s="25" t="str">
        <f>IF('1. Live'!CO222='check-Jul''26'!CK222,"",'1. Live'!CO222-'check-Jul''26'!CK222)</f>
        <v/>
      </c>
      <c r="CL204" s="25" t="str">
        <f>IF('1. Live'!CP222='check-Jul''26'!CL222,"",'1. Live'!CP222-'check-Jul''26'!CL222)</f>
        <v/>
      </c>
      <c r="CM204" s="25" t="str">
        <f>IF('1. Live'!CQ222='check-Jul''26'!CM222,"",'1. Live'!CQ222-'check-Jul''26'!CM222)</f>
        <v/>
      </c>
      <c r="CN204" s="25" t="str">
        <f>IF('1. Live'!CR222='check-Jul''26'!CN222,"",'1. Live'!CR222-'check-Jul''26'!CN222)</f>
        <v/>
      </c>
      <c r="CO204" s="25" t="str">
        <f>IF('1. Live'!CS222='check-Jul''26'!CO222,"",'1. Live'!CS222-'check-Jul''26'!CO222)</f>
        <v/>
      </c>
      <c r="CP204" s="25" t="str">
        <f>IF('1. Live'!CT222='check-Jul''26'!CP222,"",'1. Live'!CT222-'check-Jul''26'!CP222)</f>
        <v/>
      </c>
      <c r="CQ204" s="25" t="str">
        <f>IF('1. Live'!CU222='check-Jul''26'!CQ222,"",'1. Live'!CU222-'check-Jul''26'!CQ222)</f>
        <v/>
      </c>
      <c r="CR204" s="25" t="str">
        <f>IF('1. Live'!CV222='check-Jul''26'!CR222,"",'1. Live'!CV222-'check-Jul''26'!CR222)</f>
        <v/>
      </c>
      <c r="CS204" s="25" t="str">
        <f>IF('1. Live'!CW222='check-Jul''26'!CS222,"",'1. Live'!CW222-'check-Jul''26'!CS222)</f>
        <v/>
      </c>
      <c r="CT204" s="25" t="str">
        <f>IF('1. Live'!CX222='check-Jul''26'!CT222,"",'1. Live'!CX222-'check-Jul''26'!CT222)</f>
        <v/>
      </c>
      <c r="CU204" s="25" t="str">
        <f>IF('1. Live'!CY222='check-Jul''26'!CU222,"",'1. Live'!CY222-'check-Jul''26'!CU222)</f>
        <v/>
      </c>
      <c r="CV204" s="25" t="str">
        <f>IF('1. Live'!CZ222='check-Jul''26'!CV222,"",'1. Live'!CZ222-'check-Jul''26'!CV222)</f>
        <v/>
      </c>
    </row>
    <row r="205" spans="17:100" x14ac:dyDescent="0.25">
      <c r="Q205" s="26" t="str">
        <f>IF('1. Live'!N223='check-Jul''26'!I223,"",'1. Live'!N223-'check-Jul''26'!I223)</f>
        <v/>
      </c>
      <c r="R205" s="26" t="str">
        <f>IF('1. Live'!O223='check-Jul''26'!J223,"",'1. Live'!O223-'check-Jul''26'!J223)</f>
        <v/>
      </c>
      <c r="S205" s="26" t="str">
        <f>IF('1. Live'!P223='check-Jul''26'!K223,"",'1. Live'!P223-'check-Jul''26'!K223)</f>
        <v/>
      </c>
      <c r="T205" s="26" t="str">
        <f>IF('1. Live'!Q223='check-Jul''26'!L223,"",'1. Live'!Q223-'check-Jul''26'!L223)</f>
        <v/>
      </c>
      <c r="U205" s="80" t="str">
        <f>IF('1. Live'!R223='check-Jul''26'!M223,"",'1. Live'!R223-'check-Jul''26'!M223)</f>
        <v/>
      </c>
      <c r="V205" s="26" t="str">
        <f>IF('1. Live'!S223='check-Jul''26'!N223,"",'1. Live'!S223-'check-Jul''26'!N223)</f>
        <v/>
      </c>
      <c r="W205" s="25" t="str">
        <f>IF('1. Live'!T223='check-Jul''26'!O223,"",'1. Live'!T223-'check-Jul''26'!O223)</f>
        <v/>
      </c>
      <c r="X205" s="25" t="str">
        <f>IF('1. Live'!U223='check-Jul''26'!Q223,"",'1. Live'!U223-'check-Jul''26'!Q223)</f>
        <v/>
      </c>
      <c r="Y205" s="25" t="str">
        <f>IF('1. Live'!V223='check-Jul''26'!R223,"",'1. Live'!V223-'check-Jul''26'!R223)</f>
        <v/>
      </c>
      <c r="Z205" s="25" t="str">
        <f>IF('1. Live'!W223='check-Jul''26'!S223,"",'1. Live'!W223-'check-Jul''26'!S223)</f>
        <v/>
      </c>
      <c r="AA205" s="25" t="str">
        <f>IF('1. Live'!X223='check-Jul''26'!T223,"",'1. Live'!X223-'check-Jul''26'!T223)</f>
        <v/>
      </c>
      <c r="AB205" s="25" t="str">
        <f>IF('1. Live'!AF223='check-Jul''26'!AB223,"",'1. Live'!AF223-'check-Jul''26'!AB223)</f>
        <v/>
      </c>
      <c r="AC205" s="25" t="str">
        <f>IF('1. Live'!AG223='check-Jul''26'!AC223,"",'1. Live'!AG223-'check-Jul''26'!AC223)</f>
        <v/>
      </c>
      <c r="AD205" s="25" t="str">
        <f>IF('1. Live'!AH223='check-Jul''26'!AD223,"",'1. Live'!AH223-'check-Jul''26'!AD223)</f>
        <v/>
      </c>
      <c r="AE205" s="25" t="str">
        <f>IF('1. Live'!AI223='check-Jul''26'!AE223,"",'1. Live'!AI223-'check-Jul''26'!AE223)</f>
        <v/>
      </c>
      <c r="AF205" s="25" t="str">
        <f>IF('1. Live'!AJ223='check-Jul''26'!AF223,"",'1. Live'!AJ223-'check-Jul''26'!AF223)</f>
        <v/>
      </c>
      <c r="AG205" s="25" t="str">
        <f>IF('1. Live'!AK223='check-Jul''26'!AG223,"",'1. Live'!AK223-'check-Jul''26'!AG223)</f>
        <v/>
      </c>
      <c r="AH205" s="25" t="str">
        <f>IF('1. Live'!AL223='check-Jul''26'!AH223,"",'1. Live'!AL223-'check-Jul''26'!AH223)</f>
        <v/>
      </c>
      <c r="AI205" s="25" t="str">
        <f>IF('1. Live'!AM223='check-Jul''26'!AI223,"",'1. Live'!AM223-'check-Jul''26'!AI223)</f>
        <v/>
      </c>
      <c r="AJ205" s="25" t="str">
        <f>IF('1. Live'!AN223='check-Jul''26'!AJ223,"",'1. Live'!AN223-'check-Jul''26'!AJ223)</f>
        <v/>
      </c>
      <c r="AK205" s="25" t="str">
        <f>IF('1. Live'!AO223='check-Jul''26'!AK223,"",'1. Live'!AO223-'check-Jul''26'!AK223)</f>
        <v/>
      </c>
      <c r="AL205" s="25" t="str">
        <f>IF('1. Live'!AP223='check-Jul''26'!AL223,"",'1. Live'!AP223-'check-Jul''26'!AL223)</f>
        <v/>
      </c>
      <c r="AM205" s="25" t="str">
        <f>IF('1. Live'!AQ223='check-Jul''26'!AM223,"",'1. Live'!AQ223-'check-Jul''26'!AM223)</f>
        <v/>
      </c>
      <c r="AN205" s="25" t="str">
        <f>IF('1. Live'!AR223='check-Jul''26'!AN223,"",'1. Live'!AR223-'check-Jul''26'!AN223)</f>
        <v/>
      </c>
      <c r="AO205" s="25" t="str">
        <f>IF('1. Live'!AS223='check-Jul''26'!AO223,"",'1. Live'!AS223-'check-Jul''26'!AO223)</f>
        <v/>
      </c>
      <c r="AP205" s="25" t="str">
        <f>IF('1. Live'!AT223='check-Jul''26'!AP223,"",'1. Live'!AT223-'check-Jul''26'!AP223)</f>
        <v/>
      </c>
      <c r="AQ205" s="25" t="str">
        <f>IF('1. Live'!AU223='check-Jul''26'!AQ223,"",'1. Live'!AU223-'check-Jul''26'!AQ223)</f>
        <v/>
      </c>
      <c r="AR205" s="25" t="str">
        <f>IF('1. Live'!AV223='check-Jul''26'!AR223,"",'1. Live'!AV223-'check-Jul''26'!AR223)</f>
        <v/>
      </c>
      <c r="AS205" s="25" t="str">
        <f>IF('1. Live'!AW223='check-Jul''26'!AS223,"",'1. Live'!AW223-'check-Jul''26'!AS223)</f>
        <v/>
      </c>
      <c r="AT205" s="25" t="str">
        <f>IF('1. Live'!AX223='check-Jul''26'!AT223,"",'1. Live'!AX223-'check-Jul''26'!AT223)</f>
        <v/>
      </c>
      <c r="AU205" s="25" t="str">
        <f>IF('1. Live'!AY223='check-Jul''26'!AU223,"",'1. Live'!AY223-'check-Jul''26'!AU223)</f>
        <v/>
      </c>
      <c r="AV205" s="25" t="str">
        <f>IF('1. Live'!AZ223='check-Jul''26'!AV223,"",'1. Live'!AZ223-'check-Jul''26'!AV223)</f>
        <v/>
      </c>
      <c r="AW205" s="25" t="str">
        <f>IF('1. Live'!BA223='check-Jul''26'!AW223,"",'1. Live'!BA223-'check-Jul''26'!AW223)</f>
        <v/>
      </c>
      <c r="AX205" s="25" t="str">
        <f>IF('1. Live'!BB223='check-Jul''26'!AX223,"",'1. Live'!BB223-'check-Jul''26'!AX223)</f>
        <v/>
      </c>
      <c r="AY205" s="25" t="str">
        <f>IF('1. Live'!BC223='check-Jul''26'!AY223,"",'1. Live'!BC223-'check-Jul''26'!AY223)</f>
        <v/>
      </c>
      <c r="AZ205" s="25" t="str">
        <f>IF('1. Live'!BD223='check-Jul''26'!AZ223,"",'1. Live'!BD223-'check-Jul''26'!AZ223)</f>
        <v/>
      </c>
      <c r="BA205" s="25" t="str">
        <f>IF('1. Live'!BE223='check-Jul''26'!BA223,"",'1. Live'!BE223-'check-Jul''26'!BA223)</f>
        <v/>
      </c>
      <c r="BB205" s="25" t="str">
        <f>IF('1. Live'!BF223='check-Jul''26'!BB223,"",'1. Live'!BF223-'check-Jul''26'!BB223)</f>
        <v/>
      </c>
      <c r="BC205" s="25" t="str">
        <f>IF('1. Live'!BG223='check-Jul''26'!BC223,"",'1. Live'!BG223-'check-Jul''26'!BC223)</f>
        <v/>
      </c>
      <c r="BD205" s="25" t="str">
        <f>IF('1. Live'!BH223='check-Jul''26'!BD223,"",'1. Live'!BH223-'check-Jul''26'!BD223)</f>
        <v/>
      </c>
      <c r="BE205" s="25" t="str">
        <f>IF('1. Live'!BI223='check-Jul''26'!BE223,"",'1. Live'!BI223-'check-Jul''26'!BE223)</f>
        <v/>
      </c>
      <c r="BF205" s="25" t="str">
        <f>IF('1. Live'!BJ223='check-Jul''26'!BF223,"",'1. Live'!BJ223-'check-Jul''26'!BF223)</f>
        <v/>
      </c>
      <c r="BG205" s="25" t="str">
        <f>IF('1. Live'!BK223='check-Jul''26'!BG223,"",'1. Live'!BK223-'check-Jul''26'!BG223)</f>
        <v/>
      </c>
      <c r="BH205" s="25" t="str">
        <f>IF('1. Live'!BL223='check-Jul''26'!BH223,"",'1. Live'!BL223-'check-Jul''26'!BH223)</f>
        <v/>
      </c>
      <c r="BI205" s="25" t="str">
        <f>IF('1. Live'!BM223='check-Jul''26'!BI223,"",'1. Live'!BM223-'check-Jul''26'!BI223)</f>
        <v/>
      </c>
      <c r="BJ205" s="25" t="str">
        <f>IF('1. Live'!BN223='check-Jul''26'!BJ223,"",'1. Live'!BN223-'check-Jul''26'!BJ223)</f>
        <v/>
      </c>
      <c r="BK205" s="25" t="str">
        <f>IF('1. Live'!BO223='check-Jul''26'!BK223,"",'1. Live'!BO223-'check-Jul''26'!BK223)</f>
        <v/>
      </c>
      <c r="BL205" s="25" t="str">
        <f>IF('1. Live'!BP223='check-Jul''26'!BL223,"",'1. Live'!BP223-'check-Jul''26'!BL223)</f>
        <v/>
      </c>
      <c r="BM205" s="25" t="str">
        <f>IF('1. Live'!BQ223='check-Jul''26'!BM223,"",'1. Live'!BQ223-'check-Jul''26'!BM223)</f>
        <v/>
      </c>
      <c r="BN205" s="25" t="str">
        <f>IF('1. Live'!BR223='check-Jul''26'!BN223,"",'1. Live'!BR223-'check-Jul''26'!BN223)</f>
        <v/>
      </c>
      <c r="BO205" s="25" t="str">
        <f>IF('1. Live'!BS223='check-Jul''26'!BO223,"",'1. Live'!BS223-'check-Jul''26'!BO223)</f>
        <v/>
      </c>
      <c r="BP205" s="25" t="str">
        <f>IF('1. Live'!BT223='check-Jul''26'!BP223,"",'1. Live'!BT223-'check-Jul''26'!BP223)</f>
        <v/>
      </c>
      <c r="BQ205" s="25" t="str">
        <f>IF('1. Live'!BU223='check-Jul''26'!BQ223,"",'1. Live'!BU223-'check-Jul''26'!BQ223)</f>
        <v/>
      </c>
      <c r="BR205" s="25" t="str">
        <f>IF('1. Live'!BV223='check-Jul''26'!BR223,"",'1. Live'!BV223-'check-Jul''26'!BR223)</f>
        <v/>
      </c>
      <c r="BS205" s="25" t="str">
        <f>IF('1. Live'!BW223='check-Jul''26'!BS223,"",'1. Live'!BW223-'check-Jul''26'!BS223)</f>
        <v/>
      </c>
      <c r="BT205" s="25" t="str">
        <f>IF('1. Live'!BX223='check-Jul''26'!BT223,"",'1. Live'!BX223-'check-Jul''26'!BT223)</f>
        <v/>
      </c>
      <c r="BU205" s="25" t="str">
        <f>IF('1. Live'!BY223='check-Jul''26'!BU223,"",'1. Live'!BY223-'check-Jul''26'!BU223)</f>
        <v/>
      </c>
      <c r="BV205" s="25" t="str">
        <f>IF('1. Live'!BZ223='check-Jul''26'!BV223,"",'1. Live'!BZ223-'check-Jul''26'!BV223)</f>
        <v/>
      </c>
      <c r="BW205" s="25" t="str">
        <f>IF('1. Live'!CA223='check-Jul''26'!BW223,"",'1. Live'!CA223-'check-Jul''26'!BW223)</f>
        <v/>
      </c>
      <c r="BX205" s="25" t="str">
        <f>IF('1. Live'!CB223='check-Jul''26'!BX223,"",'1. Live'!CB223-'check-Jul''26'!BX223)</f>
        <v/>
      </c>
      <c r="BY205" s="25" t="str">
        <f>IF('1. Live'!CC223='check-Jul''26'!BY223,"",'1. Live'!CC223-'check-Jul''26'!BY223)</f>
        <v/>
      </c>
      <c r="BZ205" s="25" t="str">
        <f>IF('1. Live'!CD223='check-Jul''26'!BZ223,"",'1. Live'!CD223-'check-Jul''26'!BZ223)</f>
        <v/>
      </c>
      <c r="CA205" s="25" t="str">
        <f>IF('1. Live'!CE223='check-Jul''26'!CA223,"",'1. Live'!CE223-'check-Jul''26'!CA223)</f>
        <v/>
      </c>
      <c r="CB205" s="25" t="str">
        <f>IF('1. Live'!CF223='check-Jul''26'!CB223,"",'1. Live'!CF223-'check-Jul''26'!CB223)</f>
        <v/>
      </c>
      <c r="CC205" s="25" t="str">
        <f>IF('1. Live'!CG223='check-Jul''26'!CC223,"",'1. Live'!CG223-'check-Jul''26'!CC223)</f>
        <v/>
      </c>
      <c r="CD205" s="25" t="str">
        <f>IF('1. Live'!CH223='check-Jul''26'!CD223,"",'1. Live'!CH223-'check-Jul''26'!CD223)</f>
        <v/>
      </c>
      <c r="CE205" s="25" t="str">
        <f>IF('1. Live'!CI223='check-Jul''26'!CE223,"",'1. Live'!CI223-'check-Jul''26'!CE223)</f>
        <v/>
      </c>
      <c r="CF205" s="25" t="str">
        <f>IF('1. Live'!CJ223='check-Jul''26'!CF223,"",'1. Live'!CJ223-'check-Jul''26'!CF223)</f>
        <v/>
      </c>
      <c r="CG205" s="25" t="str">
        <f>IF('1. Live'!CK223='check-Jul''26'!CG223,"",'1. Live'!CK223-'check-Jul''26'!CG223)</f>
        <v/>
      </c>
      <c r="CH205" s="25" t="str">
        <f>IF('1. Live'!CL223='check-Jul''26'!CH223,"",'1. Live'!CL223-'check-Jul''26'!CH223)</f>
        <v/>
      </c>
      <c r="CI205" s="25" t="str">
        <f>IF('1. Live'!CM223='check-Jul''26'!CI223,"",'1. Live'!CM223-'check-Jul''26'!CI223)</f>
        <v/>
      </c>
      <c r="CJ205" s="25" t="str">
        <f>IF('1. Live'!CN223='check-Jul''26'!CJ223,"",'1. Live'!CN223-'check-Jul''26'!CJ223)</f>
        <v/>
      </c>
      <c r="CK205" s="25" t="str">
        <f>IF('1. Live'!CO223='check-Jul''26'!CK223,"",'1. Live'!CO223-'check-Jul''26'!CK223)</f>
        <v/>
      </c>
      <c r="CL205" s="25" t="str">
        <f>IF('1. Live'!CP223='check-Jul''26'!CL223,"",'1. Live'!CP223-'check-Jul''26'!CL223)</f>
        <v/>
      </c>
      <c r="CM205" s="25" t="str">
        <f>IF('1. Live'!CQ223='check-Jul''26'!CM223,"",'1. Live'!CQ223-'check-Jul''26'!CM223)</f>
        <v/>
      </c>
      <c r="CN205" s="25" t="str">
        <f>IF('1. Live'!CR223='check-Jul''26'!CN223,"",'1. Live'!CR223-'check-Jul''26'!CN223)</f>
        <v/>
      </c>
      <c r="CO205" s="25" t="str">
        <f>IF('1. Live'!CS223='check-Jul''26'!CO223,"",'1. Live'!CS223-'check-Jul''26'!CO223)</f>
        <v/>
      </c>
      <c r="CP205" s="25" t="str">
        <f>IF('1. Live'!CT223='check-Jul''26'!CP223,"",'1. Live'!CT223-'check-Jul''26'!CP223)</f>
        <v/>
      </c>
      <c r="CQ205" s="25" t="str">
        <f>IF('1. Live'!CU223='check-Jul''26'!CQ223,"",'1. Live'!CU223-'check-Jul''26'!CQ223)</f>
        <v/>
      </c>
      <c r="CR205" s="25" t="str">
        <f>IF('1. Live'!CV223='check-Jul''26'!CR223,"",'1. Live'!CV223-'check-Jul''26'!CR223)</f>
        <v/>
      </c>
      <c r="CS205" s="25" t="str">
        <f>IF('1. Live'!CW223='check-Jul''26'!CS223,"",'1. Live'!CW223-'check-Jul''26'!CS223)</f>
        <v/>
      </c>
      <c r="CT205" s="25" t="str">
        <f>IF('1. Live'!CX223='check-Jul''26'!CT223,"",'1. Live'!CX223-'check-Jul''26'!CT223)</f>
        <v/>
      </c>
      <c r="CU205" s="25" t="str">
        <f>IF('1. Live'!CY223='check-Jul''26'!CU223,"",'1. Live'!CY223-'check-Jul''26'!CU223)</f>
        <v/>
      </c>
      <c r="CV205" s="25" t="str">
        <f>IF('1. Live'!CZ223='check-Jul''26'!CV223,"",'1. Live'!CZ223-'check-Jul''26'!CV223)</f>
        <v/>
      </c>
    </row>
    <row r="206" spans="17:100" x14ac:dyDescent="0.25">
      <c r="Q206" s="26" t="str">
        <f>IF('1. Live'!N224='check-Jul''26'!I224,"",'1. Live'!N224-'check-Jul''26'!I224)</f>
        <v/>
      </c>
      <c r="R206" s="26" t="str">
        <f>IF('1. Live'!O224='check-Jul''26'!J224,"",'1. Live'!O224-'check-Jul''26'!J224)</f>
        <v/>
      </c>
      <c r="S206" s="26" t="str">
        <f>IF('1. Live'!P224='check-Jul''26'!K224,"",'1. Live'!P224-'check-Jul''26'!K224)</f>
        <v/>
      </c>
      <c r="T206" s="26" t="str">
        <f>IF('1. Live'!Q224='check-Jul''26'!L224,"",'1. Live'!Q224-'check-Jul''26'!L224)</f>
        <v/>
      </c>
      <c r="U206" s="80" t="str">
        <f>IF('1. Live'!R224='check-Jul''26'!M224,"",'1. Live'!R224-'check-Jul''26'!M224)</f>
        <v/>
      </c>
      <c r="V206" s="26" t="str">
        <f>IF('1. Live'!S224='check-Jul''26'!N224,"",'1. Live'!S224-'check-Jul''26'!N224)</f>
        <v/>
      </c>
      <c r="W206" s="25" t="str">
        <f>IF('1. Live'!T224='check-Jul''26'!O224,"",'1. Live'!T224-'check-Jul''26'!O224)</f>
        <v/>
      </c>
      <c r="X206" s="25" t="str">
        <f>IF('1. Live'!U224='check-Jul''26'!Q224,"",'1. Live'!U224-'check-Jul''26'!Q224)</f>
        <v/>
      </c>
      <c r="Y206" s="25" t="str">
        <f>IF('1. Live'!V224='check-Jul''26'!R224,"",'1. Live'!V224-'check-Jul''26'!R224)</f>
        <v/>
      </c>
      <c r="Z206" s="25" t="str">
        <f>IF('1. Live'!W224='check-Jul''26'!S224,"",'1. Live'!W224-'check-Jul''26'!S224)</f>
        <v/>
      </c>
      <c r="AA206" s="25" t="str">
        <f>IF('1. Live'!X224='check-Jul''26'!T224,"",'1. Live'!X224-'check-Jul''26'!T224)</f>
        <v/>
      </c>
      <c r="AB206" s="25" t="str">
        <f>IF('1. Live'!AF224='check-Jul''26'!AB224,"",'1. Live'!AF224-'check-Jul''26'!AB224)</f>
        <v/>
      </c>
      <c r="AC206" s="25" t="str">
        <f>IF('1. Live'!AG224='check-Jul''26'!AC224,"",'1. Live'!AG224-'check-Jul''26'!AC224)</f>
        <v/>
      </c>
      <c r="AD206" s="25" t="str">
        <f>IF('1. Live'!AH224='check-Jul''26'!AD224,"",'1. Live'!AH224-'check-Jul''26'!AD224)</f>
        <v/>
      </c>
      <c r="AE206" s="25" t="str">
        <f>IF('1. Live'!AI224='check-Jul''26'!AE224,"",'1. Live'!AI224-'check-Jul''26'!AE224)</f>
        <v/>
      </c>
      <c r="AF206" s="25" t="str">
        <f>IF('1. Live'!AJ224='check-Jul''26'!AF224,"",'1. Live'!AJ224-'check-Jul''26'!AF224)</f>
        <v/>
      </c>
      <c r="AG206" s="25" t="str">
        <f>IF('1. Live'!AK224='check-Jul''26'!AG224,"",'1. Live'!AK224-'check-Jul''26'!AG224)</f>
        <v/>
      </c>
      <c r="AH206" s="25" t="str">
        <f>IF('1. Live'!AL224='check-Jul''26'!AH224,"",'1. Live'!AL224-'check-Jul''26'!AH224)</f>
        <v/>
      </c>
      <c r="AI206" s="25" t="str">
        <f>IF('1. Live'!AM224='check-Jul''26'!AI224,"",'1. Live'!AM224-'check-Jul''26'!AI224)</f>
        <v/>
      </c>
      <c r="AJ206" s="25" t="str">
        <f>IF('1. Live'!AN224='check-Jul''26'!AJ224,"",'1. Live'!AN224-'check-Jul''26'!AJ224)</f>
        <v/>
      </c>
      <c r="AK206" s="25" t="str">
        <f>IF('1. Live'!AO224='check-Jul''26'!AK224,"",'1. Live'!AO224-'check-Jul''26'!AK224)</f>
        <v/>
      </c>
      <c r="AL206" s="25" t="str">
        <f>IF('1. Live'!AP224='check-Jul''26'!AL224,"",'1. Live'!AP224-'check-Jul''26'!AL224)</f>
        <v/>
      </c>
      <c r="AM206" s="25" t="str">
        <f>IF('1. Live'!AQ224='check-Jul''26'!AM224,"",'1. Live'!AQ224-'check-Jul''26'!AM224)</f>
        <v/>
      </c>
      <c r="AN206" s="25" t="str">
        <f>IF('1. Live'!AR224='check-Jul''26'!AN224,"",'1. Live'!AR224-'check-Jul''26'!AN224)</f>
        <v/>
      </c>
      <c r="AO206" s="25" t="str">
        <f>IF('1. Live'!AS224='check-Jul''26'!AO224,"",'1. Live'!AS224-'check-Jul''26'!AO224)</f>
        <v/>
      </c>
      <c r="AP206" s="25" t="str">
        <f>IF('1. Live'!AT224='check-Jul''26'!AP224,"",'1. Live'!AT224-'check-Jul''26'!AP224)</f>
        <v/>
      </c>
      <c r="AQ206" s="25" t="str">
        <f>IF('1. Live'!AU224='check-Jul''26'!AQ224,"",'1. Live'!AU224-'check-Jul''26'!AQ224)</f>
        <v/>
      </c>
      <c r="AR206" s="25" t="str">
        <f>IF('1. Live'!AV224='check-Jul''26'!AR224,"",'1. Live'!AV224-'check-Jul''26'!AR224)</f>
        <v/>
      </c>
      <c r="AS206" s="25" t="str">
        <f>IF('1. Live'!AW224='check-Jul''26'!AS224,"",'1. Live'!AW224-'check-Jul''26'!AS224)</f>
        <v/>
      </c>
      <c r="AT206" s="25" t="str">
        <f>IF('1. Live'!AX224='check-Jul''26'!AT224,"",'1. Live'!AX224-'check-Jul''26'!AT224)</f>
        <v/>
      </c>
      <c r="AU206" s="25" t="str">
        <f>IF('1. Live'!AY224='check-Jul''26'!AU224,"",'1. Live'!AY224-'check-Jul''26'!AU224)</f>
        <v/>
      </c>
      <c r="AV206" s="25" t="str">
        <f>IF('1. Live'!AZ224='check-Jul''26'!AV224,"",'1. Live'!AZ224-'check-Jul''26'!AV224)</f>
        <v/>
      </c>
      <c r="AW206" s="25" t="str">
        <f>IF('1. Live'!BA224='check-Jul''26'!AW224,"",'1. Live'!BA224-'check-Jul''26'!AW224)</f>
        <v/>
      </c>
      <c r="AX206" s="25" t="str">
        <f>IF('1. Live'!BB224='check-Jul''26'!AX224,"",'1. Live'!BB224-'check-Jul''26'!AX224)</f>
        <v/>
      </c>
      <c r="AY206" s="25" t="str">
        <f>IF('1. Live'!BC224='check-Jul''26'!AY224,"",'1. Live'!BC224-'check-Jul''26'!AY224)</f>
        <v/>
      </c>
      <c r="AZ206" s="25" t="str">
        <f>IF('1. Live'!BD224='check-Jul''26'!AZ224,"",'1. Live'!BD224-'check-Jul''26'!AZ224)</f>
        <v/>
      </c>
      <c r="BA206" s="25" t="str">
        <f>IF('1. Live'!BE224='check-Jul''26'!BA224,"",'1. Live'!BE224-'check-Jul''26'!BA224)</f>
        <v/>
      </c>
      <c r="BB206" s="25" t="str">
        <f>IF('1. Live'!BF224='check-Jul''26'!BB224,"",'1. Live'!BF224-'check-Jul''26'!BB224)</f>
        <v/>
      </c>
      <c r="BC206" s="25" t="str">
        <f>IF('1. Live'!BG224='check-Jul''26'!BC224,"",'1. Live'!BG224-'check-Jul''26'!BC224)</f>
        <v/>
      </c>
      <c r="BD206" s="25" t="str">
        <f>IF('1. Live'!BH224='check-Jul''26'!BD224,"",'1. Live'!BH224-'check-Jul''26'!BD224)</f>
        <v/>
      </c>
      <c r="BE206" s="25" t="str">
        <f>IF('1. Live'!BI224='check-Jul''26'!BE224,"",'1. Live'!BI224-'check-Jul''26'!BE224)</f>
        <v/>
      </c>
      <c r="BF206" s="25" t="str">
        <f>IF('1. Live'!BJ224='check-Jul''26'!BF224,"",'1. Live'!BJ224-'check-Jul''26'!BF224)</f>
        <v/>
      </c>
      <c r="BG206" s="25" t="str">
        <f>IF('1. Live'!BK224='check-Jul''26'!BG224,"",'1. Live'!BK224-'check-Jul''26'!BG224)</f>
        <v/>
      </c>
      <c r="BH206" s="25" t="str">
        <f>IF('1. Live'!BL224='check-Jul''26'!BH224,"",'1. Live'!BL224-'check-Jul''26'!BH224)</f>
        <v/>
      </c>
      <c r="BI206" s="25" t="str">
        <f>IF('1. Live'!BM224='check-Jul''26'!BI224,"",'1. Live'!BM224-'check-Jul''26'!BI224)</f>
        <v/>
      </c>
      <c r="BJ206" s="25" t="str">
        <f>IF('1. Live'!BN224='check-Jul''26'!BJ224,"",'1. Live'!BN224-'check-Jul''26'!BJ224)</f>
        <v/>
      </c>
      <c r="BK206" s="25" t="str">
        <f>IF('1. Live'!BO224='check-Jul''26'!BK224,"",'1. Live'!BO224-'check-Jul''26'!BK224)</f>
        <v/>
      </c>
      <c r="BL206" s="25" t="str">
        <f>IF('1. Live'!BP224='check-Jul''26'!BL224,"",'1. Live'!BP224-'check-Jul''26'!BL224)</f>
        <v/>
      </c>
      <c r="BM206" s="25" t="str">
        <f>IF('1. Live'!BQ224='check-Jul''26'!BM224,"",'1. Live'!BQ224-'check-Jul''26'!BM224)</f>
        <v/>
      </c>
      <c r="BN206" s="25" t="str">
        <f>IF('1. Live'!BR224='check-Jul''26'!BN224,"",'1. Live'!BR224-'check-Jul''26'!BN224)</f>
        <v/>
      </c>
      <c r="BO206" s="25" t="str">
        <f>IF('1. Live'!BS224='check-Jul''26'!BO224,"",'1. Live'!BS224-'check-Jul''26'!BO224)</f>
        <v/>
      </c>
      <c r="BP206" s="25" t="str">
        <f>IF('1. Live'!BT224='check-Jul''26'!BP224,"",'1. Live'!BT224-'check-Jul''26'!BP224)</f>
        <v/>
      </c>
      <c r="BQ206" s="25" t="str">
        <f>IF('1. Live'!BU224='check-Jul''26'!BQ224,"",'1. Live'!BU224-'check-Jul''26'!BQ224)</f>
        <v/>
      </c>
      <c r="BR206" s="25" t="str">
        <f>IF('1. Live'!BV224='check-Jul''26'!BR224,"",'1. Live'!BV224-'check-Jul''26'!BR224)</f>
        <v/>
      </c>
      <c r="BS206" s="25" t="str">
        <f>IF('1. Live'!BW224='check-Jul''26'!BS224,"",'1. Live'!BW224-'check-Jul''26'!BS224)</f>
        <v/>
      </c>
      <c r="BT206" s="25" t="str">
        <f>IF('1. Live'!BX224='check-Jul''26'!BT224,"",'1. Live'!BX224-'check-Jul''26'!BT224)</f>
        <v/>
      </c>
      <c r="BU206" s="25" t="str">
        <f>IF('1. Live'!BY224='check-Jul''26'!BU224,"",'1. Live'!BY224-'check-Jul''26'!BU224)</f>
        <v/>
      </c>
      <c r="BV206" s="25" t="str">
        <f>IF('1. Live'!BZ224='check-Jul''26'!BV224,"",'1. Live'!BZ224-'check-Jul''26'!BV224)</f>
        <v/>
      </c>
      <c r="BW206" s="25" t="str">
        <f>IF('1. Live'!CA224='check-Jul''26'!BW224,"",'1. Live'!CA224-'check-Jul''26'!BW224)</f>
        <v/>
      </c>
      <c r="BX206" s="25" t="str">
        <f>IF('1. Live'!CB224='check-Jul''26'!BX224,"",'1. Live'!CB224-'check-Jul''26'!BX224)</f>
        <v/>
      </c>
      <c r="BY206" s="25" t="str">
        <f>IF('1. Live'!CC224='check-Jul''26'!BY224,"",'1. Live'!CC224-'check-Jul''26'!BY224)</f>
        <v/>
      </c>
      <c r="BZ206" s="25" t="str">
        <f>IF('1. Live'!CD224='check-Jul''26'!BZ224,"",'1. Live'!CD224-'check-Jul''26'!BZ224)</f>
        <v/>
      </c>
      <c r="CA206" s="25" t="str">
        <f>IF('1. Live'!CE224='check-Jul''26'!CA224,"",'1. Live'!CE224-'check-Jul''26'!CA224)</f>
        <v/>
      </c>
      <c r="CB206" s="25" t="str">
        <f>IF('1. Live'!CF224='check-Jul''26'!CB224,"",'1. Live'!CF224-'check-Jul''26'!CB224)</f>
        <v/>
      </c>
      <c r="CC206" s="25" t="str">
        <f>IF('1. Live'!CG224='check-Jul''26'!CC224,"",'1. Live'!CG224-'check-Jul''26'!CC224)</f>
        <v/>
      </c>
      <c r="CD206" s="25" t="str">
        <f>IF('1. Live'!CH224='check-Jul''26'!CD224,"",'1. Live'!CH224-'check-Jul''26'!CD224)</f>
        <v/>
      </c>
      <c r="CE206" s="25" t="str">
        <f>IF('1. Live'!CI224='check-Jul''26'!CE224,"",'1. Live'!CI224-'check-Jul''26'!CE224)</f>
        <v/>
      </c>
      <c r="CF206" s="25" t="str">
        <f>IF('1. Live'!CJ224='check-Jul''26'!CF224,"",'1. Live'!CJ224-'check-Jul''26'!CF224)</f>
        <v/>
      </c>
      <c r="CG206" s="25" t="str">
        <f>IF('1. Live'!CK224='check-Jul''26'!CG224,"",'1. Live'!CK224-'check-Jul''26'!CG224)</f>
        <v/>
      </c>
      <c r="CH206" s="25" t="str">
        <f>IF('1. Live'!CL224='check-Jul''26'!CH224,"",'1. Live'!CL224-'check-Jul''26'!CH224)</f>
        <v/>
      </c>
      <c r="CI206" s="25" t="str">
        <f>IF('1. Live'!CM224='check-Jul''26'!CI224,"",'1. Live'!CM224-'check-Jul''26'!CI224)</f>
        <v/>
      </c>
      <c r="CJ206" s="25" t="str">
        <f>IF('1. Live'!CN224='check-Jul''26'!CJ224,"",'1. Live'!CN224-'check-Jul''26'!CJ224)</f>
        <v/>
      </c>
      <c r="CK206" s="25" t="str">
        <f>IF('1. Live'!CO224='check-Jul''26'!CK224,"",'1. Live'!CO224-'check-Jul''26'!CK224)</f>
        <v/>
      </c>
      <c r="CL206" s="25" t="str">
        <f>IF('1. Live'!CP224='check-Jul''26'!CL224,"",'1. Live'!CP224-'check-Jul''26'!CL224)</f>
        <v/>
      </c>
      <c r="CM206" s="25" t="str">
        <f>IF('1. Live'!CQ224='check-Jul''26'!CM224,"",'1. Live'!CQ224-'check-Jul''26'!CM224)</f>
        <v/>
      </c>
      <c r="CN206" s="25" t="str">
        <f>IF('1. Live'!CR224='check-Jul''26'!CN224,"",'1. Live'!CR224-'check-Jul''26'!CN224)</f>
        <v/>
      </c>
      <c r="CO206" s="25" t="str">
        <f>IF('1. Live'!CS224='check-Jul''26'!CO224,"",'1. Live'!CS224-'check-Jul''26'!CO224)</f>
        <v/>
      </c>
      <c r="CP206" s="25" t="str">
        <f>IF('1. Live'!CT224='check-Jul''26'!CP224,"",'1. Live'!CT224-'check-Jul''26'!CP224)</f>
        <v/>
      </c>
      <c r="CQ206" s="25" t="str">
        <f>IF('1. Live'!CU224='check-Jul''26'!CQ224,"",'1. Live'!CU224-'check-Jul''26'!CQ224)</f>
        <v/>
      </c>
      <c r="CR206" s="25" t="str">
        <f>IF('1. Live'!CV224='check-Jul''26'!CR224,"",'1. Live'!CV224-'check-Jul''26'!CR224)</f>
        <v/>
      </c>
      <c r="CS206" s="25" t="str">
        <f>IF('1. Live'!CW224='check-Jul''26'!CS224,"",'1. Live'!CW224-'check-Jul''26'!CS224)</f>
        <v/>
      </c>
      <c r="CT206" s="25" t="str">
        <f>IF('1. Live'!CX224='check-Jul''26'!CT224,"",'1. Live'!CX224-'check-Jul''26'!CT224)</f>
        <v/>
      </c>
      <c r="CU206" s="25" t="str">
        <f>IF('1. Live'!CY224='check-Jul''26'!CU224,"",'1. Live'!CY224-'check-Jul''26'!CU224)</f>
        <v/>
      </c>
      <c r="CV206" s="25" t="str">
        <f>IF('1. Live'!CZ224='check-Jul''26'!CV224,"",'1. Live'!CZ224-'check-Jul''26'!CV224)</f>
        <v/>
      </c>
    </row>
    <row r="207" spans="17:100" x14ac:dyDescent="0.25">
      <c r="Q207" s="26" t="str">
        <f>IF('1. Live'!N225='check-Jul''26'!I225,"",'1. Live'!N225-'check-Jul''26'!I225)</f>
        <v/>
      </c>
      <c r="R207" s="26" t="str">
        <f>IF('1. Live'!O225='check-Jul''26'!J225,"",'1. Live'!O225-'check-Jul''26'!J225)</f>
        <v/>
      </c>
      <c r="S207" s="26" t="str">
        <f>IF('1. Live'!P225='check-Jul''26'!K225,"",'1. Live'!P225-'check-Jul''26'!K225)</f>
        <v/>
      </c>
      <c r="T207" s="26" t="str">
        <f>IF('1. Live'!Q225='check-Jul''26'!L225,"",'1. Live'!Q225-'check-Jul''26'!L225)</f>
        <v/>
      </c>
      <c r="U207" s="80" t="str">
        <f>IF('1. Live'!R225='check-Jul''26'!M225,"",'1. Live'!R225-'check-Jul''26'!M225)</f>
        <v/>
      </c>
      <c r="V207" s="26" t="str">
        <f>IF('1. Live'!S225='check-Jul''26'!N225,"",'1. Live'!S225-'check-Jul''26'!N225)</f>
        <v/>
      </c>
      <c r="W207" s="25" t="str">
        <f>IF('1. Live'!T225='check-Jul''26'!O225,"",'1. Live'!T225-'check-Jul''26'!O225)</f>
        <v/>
      </c>
      <c r="X207" s="25" t="str">
        <f>IF('1. Live'!U225='check-Jul''26'!Q225,"",'1. Live'!U225-'check-Jul''26'!Q225)</f>
        <v/>
      </c>
      <c r="Y207" s="25" t="str">
        <f>IF('1. Live'!V225='check-Jul''26'!R225,"",'1. Live'!V225-'check-Jul''26'!R225)</f>
        <v/>
      </c>
      <c r="Z207" s="25" t="str">
        <f>IF('1. Live'!W225='check-Jul''26'!S225,"",'1. Live'!W225-'check-Jul''26'!S225)</f>
        <v/>
      </c>
      <c r="AA207" s="25" t="str">
        <f>IF('1. Live'!X225='check-Jul''26'!T225,"",'1. Live'!X225-'check-Jul''26'!T225)</f>
        <v/>
      </c>
      <c r="AB207" s="25" t="str">
        <f>IF('1. Live'!AF225='check-Jul''26'!AB225,"",'1. Live'!AF225-'check-Jul''26'!AB225)</f>
        <v/>
      </c>
      <c r="AC207" s="25" t="str">
        <f>IF('1. Live'!AG225='check-Jul''26'!AC225,"",'1. Live'!AG225-'check-Jul''26'!AC225)</f>
        <v/>
      </c>
      <c r="AD207" s="25" t="str">
        <f>IF('1. Live'!AH225='check-Jul''26'!AD225,"",'1. Live'!AH225-'check-Jul''26'!AD225)</f>
        <v/>
      </c>
      <c r="AE207" s="25" t="str">
        <f>IF('1. Live'!AI225='check-Jul''26'!AE225,"",'1. Live'!AI225-'check-Jul''26'!AE225)</f>
        <v/>
      </c>
      <c r="AF207" s="25" t="str">
        <f>IF('1. Live'!AJ225='check-Jul''26'!AF225,"",'1. Live'!AJ225-'check-Jul''26'!AF225)</f>
        <v/>
      </c>
      <c r="AG207" s="25" t="str">
        <f>IF('1. Live'!AK225='check-Jul''26'!AG225,"",'1. Live'!AK225-'check-Jul''26'!AG225)</f>
        <v/>
      </c>
      <c r="AH207" s="25" t="str">
        <f>IF('1. Live'!AL225='check-Jul''26'!AH225,"",'1. Live'!AL225-'check-Jul''26'!AH225)</f>
        <v/>
      </c>
      <c r="AI207" s="25" t="str">
        <f>IF('1. Live'!AM225='check-Jul''26'!AI225,"",'1. Live'!AM225-'check-Jul''26'!AI225)</f>
        <v/>
      </c>
      <c r="AJ207" s="25" t="str">
        <f>IF('1. Live'!AN225='check-Jul''26'!AJ225,"",'1. Live'!AN225-'check-Jul''26'!AJ225)</f>
        <v/>
      </c>
      <c r="AK207" s="25" t="str">
        <f>IF('1. Live'!AO225='check-Jul''26'!AK225,"",'1. Live'!AO225-'check-Jul''26'!AK225)</f>
        <v/>
      </c>
      <c r="AL207" s="25" t="str">
        <f>IF('1. Live'!AP225='check-Jul''26'!AL225,"",'1. Live'!AP225-'check-Jul''26'!AL225)</f>
        <v/>
      </c>
      <c r="AM207" s="25" t="str">
        <f>IF('1. Live'!AQ225='check-Jul''26'!AM225,"",'1. Live'!AQ225-'check-Jul''26'!AM225)</f>
        <v/>
      </c>
      <c r="AN207" s="25" t="str">
        <f>IF('1. Live'!AR225='check-Jul''26'!AN225,"",'1. Live'!AR225-'check-Jul''26'!AN225)</f>
        <v/>
      </c>
      <c r="AO207" s="25" t="str">
        <f>IF('1. Live'!AS225='check-Jul''26'!AO225,"",'1. Live'!AS225-'check-Jul''26'!AO225)</f>
        <v/>
      </c>
      <c r="AP207" s="25" t="str">
        <f>IF('1. Live'!AT225='check-Jul''26'!AP225,"",'1. Live'!AT225-'check-Jul''26'!AP225)</f>
        <v/>
      </c>
      <c r="AQ207" s="25" t="str">
        <f>IF('1. Live'!AU225='check-Jul''26'!AQ225,"",'1. Live'!AU225-'check-Jul''26'!AQ225)</f>
        <v/>
      </c>
      <c r="AR207" s="25" t="str">
        <f>IF('1. Live'!AV225='check-Jul''26'!AR225,"",'1. Live'!AV225-'check-Jul''26'!AR225)</f>
        <v/>
      </c>
      <c r="AS207" s="25" t="str">
        <f>IF('1. Live'!AW225='check-Jul''26'!AS225,"",'1. Live'!AW225-'check-Jul''26'!AS225)</f>
        <v/>
      </c>
      <c r="AT207" s="25" t="str">
        <f>IF('1. Live'!AX225='check-Jul''26'!AT225,"",'1. Live'!AX225-'check-Jul''26'!AT225)</f>
        <v/>
      </c>
      <c r="AU207" s="25" t="str">
        <f>IF('1. Live'!AY225='check-Jul''26'!AU225,"",'1. Live'!AY225-'check-Jul''26'!AU225)</f>
        <v/>
      </c>
      <c r="AV207" s="25" t="str">
        <f>IF('1. Live'!AZ225='check-Jul''26'!AV225,"",'1. Live'!AZ225-'check-Jul''26'!AV225)</f>
        <v/>
      </c>
      <c r="AW207" s="25" t="str">
        <f>IF('1. Live'!BA225='check-Jul''26'!AW225,"",'1. Live'!BA225-'check-Jul''26'!AW225)</f>
        <v/>
      </c>
      <c r="AX207" s="25" t="str">
        <f>IF('1. Live'!BB225='check-Jul''26'!AX225,"",'1. Live'!BB225-'check-Jul''26'!AX225)</f>
        <v/>
      </c>
      <c r="AY207" s="25" t="str">
        <f>IF('1. Live'!BC225='check-Jul''26'!AY225,"",'1. Live'!BC225-'check-Jul''26'!AY225)</f>
        <v/>
      </c>
      <c r="AZ207" s="25" t="str">
        <f>IF('1. Live'!BD225='check-Jul''26'!AZ225,"",'1. Live'!BD225-'check-Jul''26'!AZ225)</f>
        <v/>
      </c>
      <c r="BA207" s="25" t="str">
        <f>IF('1. Live'!BE225='check-Jul''26'!BA225,"",'1. Live'!BE225-'check-Jul''26'!BA225)</f>
        <v/>
      </c>
      <c r="BB207" s="25" t="str">
        <f>IF('1. Live'!BF225='check-Jul''26'!BB225,"",'1. Live'!BF225-'check-Jul''26'!BB225)</f>
        <v/>
      </c>
      <c r="BC207" s="25" t="str">
        <f>IF('1. Live'!BG225='check-Jul''26'!BC225,"",'1. Live'!BG225-'check-Jul''26'!BC225)</f>
        <v/>
      </c>
      <c r="BD207" s="25" t="str">
        <f>IF('1. Live'!BH225='check-Jul''26'!BD225,"",'1. Live'!BH225-'check-Jul''26'!BD225)</f>
        <v/>
      </c>
      <c r="BE207" s="25" t="str">
        <f>IF('1. Live'!BI225='check-Jul''26'!BE225,"",'1. Live'!BI225-'check-Jul''26'!BE225)</f>
        <v/>
      </c>
      <c r="BF207" s="25" t="str">
        <f>IF('1. Live'!BJ225='check-Jul''26'!BF225,"",'1. Live'!BJ225-'check-Jul''26'!BF225)</f>
        <v/>
      </c>
      <c r="BG207" s="25" t="str">
        <f>IF('1. Live'!BK225='check-Jul''26'!BG225,"",'1. Live'!BK225-'check-Jul''26'!BG225)</f>
        <v/>
      </c>
      <c r="BH207" s="25" t="str">
        <f>IF('1. Live'!BL225='check-Jul''26'!BH225,"",'1. Live'!BL225-'check-Jul''26'!BH225)</f>
        <v/>
      </c>
      <c r="BI207" s="25" t="str">
        <f>IF('1. Live'!BM225='check-Jul''26'!BI225,"",'1. Live'!BM225-'check-Jul''26'!BI225)</f>
        <v/>
      </c>
      <c r="BJ207" s="25" t="str">
        <f>IF('1. Live'!BN225='check-Jul''26'!BJ225,"",'1. Live'!BN225-'check-Jul''26'!BJ225)</f>
        <v/>
      </c>
      <c r="BK207" s="25" t="str">
        <f>IF('1. Live'!BO225='check-Jul''26'!BK225,"",'1. Live'!BO225-'check-Jul''26'!BK225)</f>
        <v/>
      </c>
      <c r="BL207" s="25" t="str">
        <f>IF('1. Live'!BP225='check-Jul''26'!BL225,"",'1. Live'!BP225-'check-Jul''26'!BL225)</f>
        <v/>
      </c>
      <c r="BM207" s="25" t="str">
        <f>IF('1. Live'!BQ225='check-Jul''26'!BM225,"",'1. Live'!BQ225-'check-Jul''26'!BM225)</f>
        <v/>
      </c>
      <c r="BN207" s="25" t="str">
        <f>IF('1. Live'!BR225='check-Jul''26'!BN225,"",'1. Live'!BR225-'check-Jul''26'!BN225)</f>
        <v/>
      </c>
      <c r="BO207" s="25" t="str">
        <f>IF('1. Live'!BS225='check-Jul''26'!BO225,"",'1. Live'!BS225-'check-Jul''26'!BO225)</f>
        <v/>
      </c>
      <c r="BP207" s="25" t="str">
        <f>IF('1. Live'!BT225='check-Jul''26'!BP225,"",'1. Live'!BT225-'check-Jul''26'!BP225)</f>
        <v/>
      </c>
      <c r="BQ207" s="25" t="str">
        <f>IF('1. Live'!BU225='check-Jul''26'!BQ225,"",'1. Live'!BU225-'check-Jul''26'!BQ225)</f>
        <v/>
      </c>
      <c r="BR207" s="25" t="str">
        <f>IF('1. Live'!BV225='check-Jul''26'!BR225,"",'1. Live'!BV225-'check-Jul''26'!BR225)</f>
        <v/>
      </c>
      <c r="BS207" s="25" t="str">
        <f>IF('1. Live'!BW225='check-Jul''26'!BS225,"",'1. Live'!BW225-'check-Jul''26'!BS225)</f>
        <v/>
      </c>
      <c r="BT207" s="25" t="str">
        <f>IF('1. Live'!BX225='check-Jul''26'!BT225,"",'1. Live'!BX225-'check-Jul''26'!BT225)</f>
        <v/>
      </c>
      <c r="BU207" s="25" t="str">
        <f>IF('1. Live'!BY225='check-Jul''26'!BU225,"",'1. Live'!BY225-'check-Jul''26'!BU225)</f>
        <v/>
      </c>
      <c r="BV207" s="25" t="str">
        <f>IF('1. Live'!BZ225='check-Jul''26'!BV225,"",'1. Live'!BZ225-'check-Jul''26'!BV225)</f>
        <v/>
      </c>
      <c r="BW207" s="25" t="str">
        <f>IF('1. Live'!CA225='check-Jul''26'!BW225,"",'1. Live'!CA225-'check-Jul''26'!BW225)</f>
        <v/>
      </c>
      <c r="BX207" s="25" t="str">
        <f>IF('1. Live'!CB225='check-Jul''26'!BX225,"",'1. Live'!CB225-'check-Jul''26'!BX225)</f>
        <v/>
      </c>
      <c r="BY207" s="25" t="str">
        <f>IF('1. Live'!CC225='check-Jul''26'!BY225,"",'1. Live'!CC225-'check-Jul''26'!BY225)</f>
        <v/>
      </c>
      <c r="BZ207" s="25" t="str">
        <f>IF('1. Live'!CD225='check-Jul''26'!BZ225,"",'1. Live'!CD225-'check-Jul''26'!BZ225)</f>
        <v/>
      </c>
      <c r="CA207" s="25" t="str">
        <f>IF('1. Live'!CE225='check-Jul''26'!CA225,"",'1. Live'!CE225-'check-Jul''26'!CA225)</f>
        <v/>
      </c>
      <c r="CB207" s="25" t="str">
        <f>IF('1. Live'!CF225='check-Jul''26'!CB225,"",'1. Live'!CF225-'check-Jul''26'!CB225)</f>
        <v/>
      </c>
      <c r="CC207" s="25" t="str">
        <f>IF('1. Live'!CG225='check-Jul''26'!CC225,"",'1. Live'!CG225-'check-Jul''26'!CC225)</f>
        <v/>
      </c>
      <c r="CD207" s="25" t="str">
        <f>IF('1. Live'!CH225='check-Jul''26'!CD225,"",'1. Live'!CH225-'check-Jul''26'!CD225)</f>
        <v/>
      </c>
      <c r="CE207" s="25" t="str">
        <f>IF('1. Live'!CI225='check-Jul''26'!CE225,"",'1. Live'!CI225-'check-Jul''26'!CE225)</f>
        <v/>
      </c>
      <c r="CF207" s="25" t="str">
        <f>IF('1. Live'!CJ225='check-Jul''26'!CF225,"",'1. Live'!CJ225-'check-Jul''26'!CF225)</f>
        <v/>
      </c>
      <c r="CG207" s="25" t="str">
        <f>IF('1. Live'!CK225='check-Jul''26'!CG225,"",'1. Live'!CK225-'check-Jul''26'!CG225)</f>
        <v/>
      </c>
      <c r="CH207" s="25" t="str">
        <f>IF('1. Live'!CL225='check-Jul''26'!CH225,"",'1. Live'!CL225-'check-Jul''26'!CH225)</f>
        <v/>
      </c>
      <c r="CI207" s="25" t="str">
        <f>IF('1. Live'!CM225='check-Jul''26'!CI225,"",'1. Live'!CM225-'check-Jul''26'!CI225)</f>
        <v/>
      </c>
      <c r="CJ207" s="25" t="str">
        <f>IF('1. Live'!CN225='check-Jul''26'!CJ225,"",'1. Live'!CN225-'check-Jul''26'!CJ225)</f>
        <v/>
      </c>
      <c r="CK207" s="25" t="str">
        <f>IF('1. Live'!CO225='check-Jul''26'!CK225,"",'1. Live'!CO225-'check-Jul''26'!CK225)</f>
        <v/>
      </c>
      <c r="CL207" s="25" t="str">
        <f>IF('1. Live'!CP225='check-Jul''26'!CL225,"",'1. Live'!CP225-'check-Jul''26'!CL225)</f>
        <v/>
      </c>
      <c r="CM207" s="25" t="str">
        <f>IF('1. Live'!CQ225='check-Jul''26'!CM225,"",'1. Live'!CQ225-'check-Jul''26'!CM225)</f>
        <v/>
      </c>
      <c r="CN207" s="25" t="str">
        <f>IF('1. Live'!CR225='check-Jul''26'!CN225,"",'1. Live'!CR225-'check-Jul''26'!CN225)</f>
        <v/>
      </c>
      <c r="CO207" s="25" t="str">
        <f>IF('1. Live'!CS225='check-Jul''26'!CO225,"",'1. Live'!CS225-'check-Jul''26'!CO225)</f>
        <v/>
      </c>
      <c r="CP207" s="25" t="str">
        <f>IF('1. Live'!CT225='check-Jul''26'!CP225,"",'1. Live'!CT225-'check-Jul''26'!CP225)</f>
        <v/>
      </c>
      <c r="CQ207" s="25" t="str">
        <f>IF('1. Live'!CU225='check-Jul''26'!CQ225,"",'1. Live'!CU225-'check-Jul''26'!CQ225)</f>
        <v/>
      </c>
      <c r="CR207" s="25" t="str">
        <f>IF('1. Live'!CV225='check-Jul''26'!CR225,"",'1. Live'!CV225-'check-Jul''26'!CR225)</f>
        <v/>
      </c>
      <c r="CS207" s="25" t="str">
        <f>IF('1. Live'!CW225='check-Jul''26'!CS225,"",'1. Live'!CW225-'check-Jul''26'!CS225)</f>
        <v/>
      </c>
      <c r="CT207" s="25" t="str">
        <f>IF('1. Live'!CX225='check-Jul''26'!CT225,"",'1. Live'!CX225-'check-Jul''26'!CT225)</f>
        <v/>
      </c>
      <c r="CU207" s="25" t="str">
        <f>IF('1. Live'!CY225='check-Jul''26'!CU225,"",'1. Live'!CY225-'check-Jul''26'!CU225)</f>
        <v/>
      </c>
      <c r="CV207" s="25" t="str">
        <f>IF('1. Live'!CZ225='check-Jul''26'!CV225,"",'1. Live'!CZ225-'check-Jul''26'!CV225)</f>
        <v/>
      </c>
    </row>
    <row r="208" spans="17:100" x14ac:dyDescent="0.25">
      <c r="Q208" s="26" t="str">
        <f>IF('1. Live'!N226='check-Jul''26'!I226,"",'1. Live'!N226-'check-Jul''26'!I226)</f>
        <v/>
      </c>
      <c r="R208" s="26" t="str">
        <f>IF('1. Live'!O226='check-Jul''26'!J226,"",'1. Live'!O226-'check-Jul''26'!J226)</f>
        <v/>
      </c>
      <c r="S208" s="26" t="str">
        <f>IF('1. Live'!P226='check-Jul''26'!K226,"",'1. Live'!P226-'check-Jul''26'!K226)</f>
        <v/>
      </c>
      <c r="T208" s="26" t="str">
        <f>IF('1. Live'!Q226='check-Jul''26'!L226,"",'1. Live'!Q226-'check-Jul''26'!L226)</f>
        <v/>
      </c>
      <c r="U208" s="80" t="str">
        <f>IF('1. Live'!R226='check-Jul''26'!M226,"",'1. Live'!R226-'check-Jul''26'!M226)</f>
        <v/>
      </c>
      <c r="V208" s="26" t="str">
        <f>IF('1. Live'!S226='check-Jul''26'!N226,"",'1. Live'!S226-'check-Jul''26'!N226)</f>
        <v/>
      </c>
      <c r="W208" s="25" t="str">
        <f>IF('1. Live'!T226='check-Jul''26'!O226,"",'1. Live'!T226-'check-Jul''26'!O226)</f>
        <v/>
      </c>
      <c r="X208" s="25" t="str">
        <f>IF('1. Live'!U226='check-Jul''26'!Q226,"",'1. Live'!U226-'check-Jul''26'!Q226)</f>
        <v/>
      </c>
      <c r="Y208" s="25" t="str">
        <f>IF('1. Live'!V226='check-Jul''26'!R226,"",'1. Live'!V226-'check-Jul''26'!R226)</f>
        <v/>
      </c>
      <c r="Z208" s="25" t="str">
        <f>IF('1. Live'!W226='check-Jul''26'!S226,"",'1. Live'!W226-'check-Jul''26'!S226)</f>
        <v/>
      </c>
      <c r="AA208" s="25" t="str">
        <f>IF('1. Live'!X226='check-Jul''26'!T226,"",'1. Live'!X226-'check-Jul''26'!T226)</f>
        <v/>
      </c>
      <c r="AB208" s="25" t="str">
        <f>IF('1. Live'!AF226='check-Jul''26'!AB226,"",'1. Live'!AF226-'check-Jul''26'!AB226)</f>
        <v/>
      </c>
      <c r="AC208" s="25" t="str">
        <f>IF('1. Live'!AG226='check-Jul''26'!AC226,"",'1. Live'!AG226-'check-Jul''26'!AC226)</f>
        <v/>
      </c>
      <c r="AD208" s="25" t="str">
        <f>IF('1. Live'!AH226='check-Jul''26'!AD226,"",'1. Live'!AH226-'check-Jul''26'!AD226)</f>
        <v/>
      </c>
      <c r="AE208" s="25" t="str">
        <f>IF('1. Live'!AI226='check-Jul''26'!AE226,"",'1. Live'!AI226-'check-Jul''26'!AE226)</f>
        <v/>
      </c>
      <c r="AF208" s="25" t="str">
        <f>IF('1. Live'!AJ226='check-Jul''26'!AF226,"",'1. Live'!AJ226-'check-Jul''26'!AF226)</f>
        <v/>
      </c>
      <c r="AG208" s="25" t="str">
        <f>IF('1. Live'!AK226='check-Jul''26'!AG226,"",'1. Live'!AK226-'check-Jul''26'!AG226)</f>
        <v/>
      </c>
      <c r="AH208" s="25" t="str">
        <f>IF('1. Live'!AL226='check-Jul''26'!AH226,"",'1. Live'!AL226-'check-Jul''26'!AH226)</f>
        <v/>
      </c>
      <c r="AI208" s="25" t="str">
        <f>IF('1. Live'!AM226='check-Jul''26'!AI226,"",'1. Live'!AM226-'check-Jul''26'!AI226)</f>
        <v/>
      </c>
      <c r="AJ208" s="25" t="str">
        <f>IF('1. Live'!AN226='check-Jul''26'!AJ226,"",'1. Live'!AN226-'check-Jul''26'!AJ226)</f>
        <v/>
      </c>
      <c r="AK208" s="25" t="str">
        <f>IF('1. Live'!AO226='check-Jul''26'!AK226,"",'1. Live'!AO226-'check-Jul''26'!AK226)</f>
        <v/>
      </c>
      <c r="AL208" s="25" t="str">
        <f>IF('1. Live'!AP226='check-Jul''26'!AL226,"",'1. Live'!AP226-'check-Jul''26'!AL226)</f>
        <v/>
      </c>
      <c r="AM208" s="25" t="str">
        <f>IF('1. Live'!AQ226='check-Jul''26'!AM226,"",'1. Live'!AQ226-'check-Jul''26'!AM226)</f>
        <v/>
      </c>
      <c r="AN208" s="25" t="str">
        <f>IF('1. Live'!AR226='check-Jul''26'!AN226,"",'1. Live'!AR226-'check-Jul''26'!AN226)</f>
        <v/>
      </c>
      <c r="AO208" s="25" t="str">
        <f>IF('1. Live'!AS226='check-Jul''26'!AO226,"",'1. Live'!AS226-'check-Jul''26'!AO226)</f>
        <v/>
      </c>
      <c r="AP208" s="25" t="str">
        <f>IF('1. Live'!AT226='check-Jul''26'!AP226,"",'1. Live'!AT226-'check-Jul''26'!AP226)</f>
        <v/>
      </c>
      <c r="AQ208" s="25" t="str">
        <f>IF('1. Live'!AU226='check-Jul''26'!AQ226,"",'1. Live'!AU226-'check-Jul''26'!AQ226)</f>
        <v/>
      </c>
      <c r="AR208" s="25" t="str">
        <f>IF('1. Live'!AV226='check-Jul''26'!AR226,"",'1. Live'!AV226-'check-Jul''26'!AR226)</f>
        <v/>
      </c>
      <c r="AS208" s="25" t="str">
        <f>IF('1. Live'!AW226='check-Jul''26'!AS226,"",'1. Live'!AW226-'check-Jul''26'!AS226)</f>
        <v/>
      </c>
      <c r="AT208" s="25" t="str">
        <f>IF('1. Live'!AX226='check-Jul''26'!AT226,"",'1. Live'!AX226-'check-Jul''26'!AT226)</f>
        <v/>
      </c>
      <c r="AU208" s="25" t="str">
        <f>IF('1. Live'!AY226='check-Jul''26'!AU226,"",'1. Live'!AY226-'check-Jul''26'!AU226)</f>
        <v/>
      </c>
      <c r="AV208" s="25" t="str">
        <f>IF('1. Live'!AZ226='check-Jul''26'!AV226,"",'1. Live'!AZ226-'check-Jul''26'!AV226)</f>
        <v/>
      </c>
      <c r="AW208" s="25" t="str">
        <f>IF('1. Live'!BA226='check-Jul''26'!AW226,"",'1. Live'!BA226-'check-Jul''26'!AW226)</f>
        <v/>
      </c>
      <c r="AX208" s="25" t="str">
        <f>IF('1. Live'!BB226='check-Jul''26'!AX226,"",'1. Live'!BB226-'check-Jul''26'!AX226)</f>
        <v/>
      </c>
      <c r="AY208" s="25" t="str">
        <f>IF('1. Live'!BC226='check-Jul''26'!AY226,"",'1. Live'!BC226-'check-Jul''26'!AY226)</f>
        <v/>
      </c>
      <c r="AZ208" s="25" t="str">
        <f>IF('1. Live'!BD226='check-Jul''26'!AZ226,"",'1. Live'!BD226-'check-Jul''26'!AZ226)</f>
        <v/>
      </c>
      <c r="BA208" s="25" t="str">
        <f>IF('1. Live'!BE226='check-Jul''26'!BA226,"",'1. Live'!BE226-'check-Jul''26'!BA226)</f>
        <v/>
      </c>
      <c r="BB208" s="25" t="str">
        <f>IF('1. Live'!BF226='check-Jul''26'!BB226,"",'1. Live'!BF226-'check-Jul''26'!BB226)</f>
        <v/>
      </c>
      <c r="BC208" s="25" t="str">
        <f>IF('1. Live'!BG226='check-Jul''26'!BC226,"",'1. Live'!BG226-'check-Jul''26'!BC226)</f>
        <v/>
      </c>
      <c r="BD208" s="25" t="str">
        <f>IF('1. Live'!BH226='check-Jul''26'!BD226,"",'1. Live'!BH226-'check-Jul''26'!BD226)</f>
        <v/>
      </c>
      <c r="BE208" s="25" t="str">
        <f>IF('1. Live'!BI226='check-Jul''26'!BE226,"",'1. Live'!BI226-'check-Jul''26'!BE226)</f>
        <v/>
      </c>
      <c r="BF208" s="25" t="str">
        <f>IF('1. Live'!BJ226='check-Jul''26'!BF226,"",'1. Live'!BJ226-'check-Jul''26'!BF226)</f>
        <v/>
      </c>
      <c r="BG208" s="25" t="str">
        <f>IF('1. Live'!BK226='check-Jul''26'!BG226,"",'1. Live'!BK226-'check-Jul''26'!BG226)</f>
        <v/>
      </c>
      <c r="BH208" s="25" t="str">
        <f>IF('1. Live'!BL226='check-Jul''26'!BH226,"",'1. Live'!BL226-'check-Jul''26'!BH226)</f>
        <v/>
      </c>
      <c r="BI208" s="25" t="str">
        <f>IF('1. Live'!BM226='check-Jul''26'!BI226,"",'1. Live'!BM226-'check-Jul''26'!BI226)</f>
        <v/>
      </c>
      <c r="BJ208" s="25" t="str">
        <f>IF('1. Live'!BN226='check-Jul''26'!BJ226,"",'1. Live'!BN226-'check-Jul''26'!BJ226)</f>
        <v/>
      </c>
      <c r="BK208" s="25" t="str">
        <f>IF('1. Live'!BO226='check-Jul''26'!BK226,"",'1. Live'!BO226-'check-Jul''26'!BK226)</f>
        <v/>
      </c>
      <c r="BL208" s="25" t="str">
        <f>IF('1. Live'!BP226='check-Jul''26'!BL226,"",'1. Live'!BP226-'check-Jul''26'!BL226)</f>
        <v/>
      </c>
      <c r="BM208" s="25" t="str">
        <f>IF('1. Live'!BQ226='check-Jul''26'!BM226,"",'1. Live'!BQ226-'check-Jul''26'!BM226)</f>
        <v/>
      </c>
      <c r="BN208" s="25" t="str">
        <f>IF('1. Live'!BR226='check-Jul''26'!BN226,"",'1. Live'!BR226-'check-Jul''26'!BN226)</f>
        <v/>
      </c>
      <c r="BO208" s="25" t="str">
        <f>IF('1. Live'!BS226='check-Jul''26'!BO226,"",'1. Live'!BS226-'check-Jul''26'!BO226)</f>
        <v/>
      </c>
      <c r="BP208" s="25" t="str">
        <f>IF('1. Live'!BT226='check-Jul''26'!BP226,"",'1. Live'!BT226-'check-Jul''26'!BP226)</f>
        <v/>
      </c>
      <c r="BQ208" s="25" t="str">
        <f>IF('1. Live'!BU226='check-Jul''26'!BQ226,"",'1. Live'!BU226-'check-Jul''26'!BQ226)</f>
        <v/>
      </c>
      <c r="BR208" s="25" t="str">
        <f>IF('1. Live'!BV226='check-Jul''26'!BR226,"",'1. Live'!BV226-'check-Jul''26'!BR226)</f>
        <v/>
      </c>
      <c r="BS208" s="25" t="str">
        <f>IF('1. Live'!BW226='check-Jul''26'!BS226,"",'1. Live'!BW226-'check-Jul''26'!BS226)</f>
        <v/>
      </c>
      <c r="BT208" s="25" t="str">
        <f>IF('1. Live'!BX226='check-Jul''26'!BT226,"",'1. Live'!BX226-'check-Jul''26'!BT226)</f>
        <v/>
      </c>
      <c r="BU208" s="25" t="str">
        <f>IF('1. Live'!BY226='check-Jul''26'!BU226,"",'1. Live'!BY226-'check-Jul''26'!BU226)</f>
        <v/>
      </c>
      <c r="BV208" s="25" t="str">
        <f>IF('1. Live'!BZ226='check-Jul''26'!BV226,"",'1. Live'!BZ226-'check-Jul''26'!BV226)</f>
        <v/>
      </c>
      <c r="BW208" s="25" t="str">
        <f>IF('1. Live'!CA226='check-Jul''26'!BW226,"",'1. Live'!CA226-'check-Jul''26'!BW226)</f>
        <v/>
      </c>
      <c r="BX208" s="25" t="str">
        <f>IF('1. Live'!CB226='check-Jul''26'!BX226,"",'1. Live'!CB226-'check-Jul''26'!BX226)</f>
        <v/>
      </c>
      <c r="BY208" s="25" t="str">
        <f>IF('1. Live'!CC226='check-Jul''26'!BY226,"",'1. Live'!CC226-'check-Jul''26'!BY226)</f>
        <v/>
      </c>
      <c r="BZ208" s="25" t="str">
        <f>IF('1. Live'!CD226='check-Jul''26'!BZ226,"",'1. Live'!CD226-'check-Jul''26'!BZ226)</f>
        <v/>
      </c>
      <c r="CA208" s="25" t="str">
        <f>IF('1. Live'!CE226='check-Jul''26'!CA226,"",'1. Live'!CE226-'check-Jul''26'!CA226)</f>
        <v/>
      </c>
      <c r="CB208" s="25" t="str">
        <f>IF('1. Live'!CF226='check-Jul''26'!CB226,"",'1. Live'!CF226-'check-Jul''26'!CB226)</f>
        <v/>
      </c>
      <c r="CC208" s="25" t="str">
        <f>IF('1. Live'!CG226='check-Jul''26'!CC226,"",'1. Live'!CG226-'check-Jul''26'!CC226)</f>
        <v/>
      </c>
      <c r="CD208" s="25" t="str">
        <f>IF('1. Live'!CH226='check-Jul''26'!CD226,"",'1. Live'!CH226-'check-Jul''26'!CD226)</f>
        <v/>
      </c>
      <c r="CE208" s="25" t="str">
        <f>IF('1. Live'!CI226='check-Jul''26'!CE226,"",'1. Live'!CI226-'check-Jul''26'!CE226)</f>
        <v/>
      </c>
      <c r="CF208" s="25" t="str">
        <f>IF('1. Live'!CJ226='check-Jul''26'!CF226,"",'1. Live'!CJ226-'check-Jul''26'!CF226)</f>
        <v/>
      </c>
      <c r="CG208" s="25" t="str">
        <f>IF('1. Live'!CK226='check-Jul''26'!CG226,"",'1. Live'!CK226-'check-Jul''26'!CG226)</f>
        <v/>
      </c>
      <c r="CH208" s="25" t="str">
        <f>IF('1. Live'!CL226='check-Jul''26'!CH226,"",'1. Live'!CL226-'check-Jul''26'!CH226)</f>
        <v/>
      </c>
      <c r="CI208" s="25" t="str">
        <f>IF('1. Live'!CM226='check-Jul''26'!CI226,"",'1. Live'!CM226-'check-Jul''26'!CI226)</f>
        <v/>
      </c>
      <c r="CJ208" s="25" t="str">
        <f>IF('1. Live'!CN226='check-Jul''26'!CJ226,"",'1. Live'!CN226-'check-Jul''26'!CJ226)</f>
        <v/>
      </c>
      <c r="CK208" s="25" t="str">
        <f>IF('1. Live'!CO226='check-Jul''26'!CK226,"",'1. Live'!CO226-'check-Jul''26'!CK226)</f>
        <v/>
      </c>
      <c r="CL208" s="25" t="str">
        <f>IF('1. Live'!CP226='check-Jul''26'!CL226,"",'1. Live'!CP226-'check-Jul''26'!CL226)</f>
        <v/>
      </c>
      <c r="CM208" s="25" t="str">
        <f>IF('1. Live'!CQ226='check-Jul''26'!CM226,"",'1. Live'!CQ226-'check-Jul''26'!CM226)</f>
        <v/>
      </c>
      <c r="CN208" s="25" t="str">
        <f>IF('1. Live'!CR226='check-Jul''26'!CN226,"",'1. Live'!CR226-'check-Jul''26'!CN226)</f>
        <v/>
      </c>
      <c r="CO208" s="25" t="str">
        <f>IF('1. Live'!CS226='check-Jul''26'!CO226,"",'1. Live'!CS226-'check-Jul''26'!CO226)</f>
        <v/>
      </c>
      <c r="CP208" s="25" t="str">
        <f>IF('1. Live'!CT226='check-Jul''26'!CP226,"",'1. Live'!CT226-'check-Jul''26'!CP226)</f>
        <v/>
      </c>
      <c r="CQ208" s="25" t="str">
        <f>IF('1. Live'!CU226='check-Jul''26'!CQ226,"",'1. Live'!CU226-'check-Jul''26'!CQ226)</f>
        <v/>
      </c>
      <c r="CR208" s="25" t="str">
        <f>IF('1. Live'!CV226='check-Jul''26'!CR226,"",'1. Live'!CV226-'check-Jul''26'!CR226)</f>
        <v/>
      </c>
      <c r="CS208" s="25" t="str">
        <f>IF('1. Live'!CW226='check-Jul''26'!CS226,"",'1. Live'!CW226-'check-Jul''26'!CS226)</f>
        <v/>
      </c>
      <c r="CT208" s="25" t="str">
        <f>IF('1. Live'!CX226='check-Jul''26'!CT226,"",'1. Live'!CX226-'check-Jul''26'!CT226)</f>
        <v/>
      </c>
      <c r="CU208" s="25" t="str">
        <f>IF('1. Live'!CY226='check-Jul''26'!CU226,"",'1. Live'!CY226-'check-Jul''26'!CU226)</f>
        <v/>
      </c>
      <c r="CV208" s="25" t="str">
        <f>IF('1. Live'!CZ226='check-Jul''26'!CV226,"",'1. Live'!CZ226-'check-Jul''26'!CV226)</f>
        <v/>
      </c>
    </row>
    <row r="209" spans="17:100" x14ac:dyDescent="0.25">
      <c r="Q209" s="26" t="str">
        <f>IF('1. Live'!N227='check-Jul''26'!I227,"",'1. Live'!N227-'check-Jul''26'!I227)</f>
        <v/>
      </c>
      <c r="R209" s="26" t="str">
        <f>IF('1. Live'!O227='check-Jul''26'!J227,"",'1. Live'!O227-'check-Jul''26'!J227)</f>
        <v/>
      </c>
      <c r="S209" s="26" t="str">
        <f>IF('1. Live'!P227='check-Jul''26'!K227,"",'1. Live'!P227-'check-Jul''26'!K227)</f>
        <v/>
      </c>
      <c r="T209" s="26" t="str">
        <f>IF('1. Live'!Q227='check-Jul''26'!L227,"",'1. Live'!Q227-'check-Jul''26'!L227)</f>
        <v/>
      </c>
      <c r="U209" s="80" t="str">
        <f>IF('1. Live'!R227='check-Jul''26'!M227,"",'1. Live'!R227-'check-Jul''26'!M227)</f>
        <v/>
      </c>
      <c r="V209" s="26" t="str">
        <f>IF('1. Live'!S227='check-Jul''26'!N227,"",'1. Live'!S227-'check-Jul''26'!N227)</f>
        <v/>
      </c>
      <c r="W209" s="25" t="str">
        <f>IF('1. Live'!T227='check-Jul''26'!O227,"",'1. Live'!T227-'check-Jul''26'!O227)</f>
        <v/>
      </c>
      <c r="X209" s="25" t="str">
        <f>IF('1. Live'!U227='check-Jul''26'!Q227,"",'1. Live'!U227-'check-Jul''26'!Q227)</f>
        <v/>
      </c>
      <c r="Y209" s="25" t="str">
        <f>IF('1. Live'!V227='check-Jul''26'!R227,"",'1. Live'!V227-'check-Jul''26'!R227)</f>
        <v/>
      </c>
      <c r="Z209" s="25" t="str">
        <f>IF('1. Live'!W227='check-Jul''26'!S227,"",'1. Live'!W227-'check-Jul''26'!S227)</f>
        <v/>
      </c>
      <c r="AA209" s="25" t="str">
        <f>IF('1. Live'!X227='check-Jul''26'!T227,"",'1. Live'!X227-'check-Jul''26'!T227)</f>
        <v/>
      </c>
      <c r="AB209" s="25" t="str">
        <f>IF('1. Live'!AF227='check-Jul''26'!AB227,"",'1. Live'!AF227-'check-Jul''26'!AB227)</f>
        <v/>
      </c>
      <c r="AC209" s="25" t="str">
        <f>IF('1. Live'!AG227='check-Jul''26'!AC227,"",'1. Live'!AG227-'check-Jul''26'!AC227)</f>
        <v/>
      </c>
      <c r="AD209" s="25" t="str">
        <f>IF('1. Live'!AH227='check-Jul''26'!AD227,"",'1. Live'!AH227-'check-Jul''26'!AD227)</f>
        <v/>
      </c>
      <c r="AE209" s="25" t="str">
        <f>IF('1. Live'!AI227='check-Jul''26'!AE227,"",'1. Live'!AI227-'check-Jul''26'!AE227)</f>
        <v/>
      </c>
      <c r="AF209" s="25" t="str">
        <f>IF('1. Live'!AJ227='check-Jul''26'!AF227,"",'1. Live'!AJ227-'check-Jul''26'!AF227)</f>
        <v/>
      </c>
      <c r="AG209" s="25" t="str">
        <f>IF('1. Live'!AK227='check-Jul''26'!AG227,"",'1. Live'!AK227-'check-Jul''26'!AG227)</f>
        <v/>
      </c>
      <c r="AH209" s="25" t="str">
        <f>IF('1. Live'!AL227='check-Jul''26'!AH227,"",'1. Live'!AL227-'check-Jul''26'!AH227)</f>
        <v/>
      </c>
      <c r="AI209" s="25" t="str">
        <f>IF('1. Live'!AM227='check-Jul''26'!AI227,"",'1. Live'!AM227-'check-Jul''26'!AI227)</f>
        <v/>
      </c>
      <c r="AJ209" s="25" t="str">
        <f>IF('1. Live'!AN227='check-Jul''26'!AJ227,"",'1. Live'!AN227-'check-Jul''26'!AJ227)</f>
        <v/>
      </c>
      <c r="AK209" s="25" t="str">
        <f>IF('1. Live'!AO227='check-Jul''26'!AK227,"",'1. Live'!AO227-'check-Jul''26'!AK227)</f>
        <v/>
      </c>
      <c r="AL209" s="25" t="str">
        <f>IF('1. Live'!AP227='check-Jul''26'!AL227,"",'1. Live'!AP227-'check-Jul''26'!AL227)</f>
        <v/>
      </c>
      <c r="AM209" s="25" t="str">
        <f>IF('1. Live'!AQ227='check-Jul''26'!AM227,"",'1. Live'!AQ227-'check-Jul''26'!AM227)</f>
        <v/>
      </c>
      <c r="AN209" s="25" t="str">
        <f>IF('1. Live'!AR227='check-Jul''26'!AN227,"",'1. Live'!AR227-'check-Jul''26'!AN227)</f>
        <v/>
      </c>
      <c r="AO209" s="25" t="str">
        <f>IF('1. Live'!AS227='check-Jul''26'!AO227,"",'1. Live'!AS227-'check-Jul''26'!AO227)</f>
        <v/>
      </c>
      <c r="AP209" s="25" t="str">
        <f>IF('1. Live'!AT227='check-Jul''26'!AP227,"",'1. Live'!AT227-'check-Jul''26'!AP227)</f>
        <v/>
      </c>
      <c r="AQ209" s="25" t="str">
        <f>IF('1. Live'!AU227='check-Jul''26'!AQ227,"",'1. Live'!AU227-'check-Jul''26'!AQ227)</f>
        <v/>
      </c>
      <c r="AR209" s="25" t="str">
        <f>IF('1. Live'!AV227='check-Jul''26'!AR227,"",'1. Live'!AV227-'check-Jul''26'!AR227)</f>
        <v/>
      </c>
      <c r="AS209" s="25" t="str">
        <f>IF('1. Live'!AW227='check-Jul''26'!AS227,"",'1. Live'!AW227-'check-Jul''26'!AS227)</f>
        <v/>
      </c>
      <c r="AT209" s="25" t="str">
        <f>IF('1. Live'!AX227='check-Jul''26'!AT227,"",'1. Live'!AX227-'check-Jul''26'!AT227)</f>
        <v/>
      </c>
      <c r="AU209" s="25" t="str">
        <f>IF('1. Live'!AY227='check-Jul''26'!AU227,"",'1. Live'!AY227-'check-Jul''26'!AU227)</f>
        <v/>
      </c>
      <c r="AV209" s="25" t="str">
        <f>IF('1. Live'!AZ227='check-Jul''26'!AV227,"",'1. Live'!AZ227-'check-Jul''26'!AV227)</f>
        <v/>
      </c>
      <c r="AW209" s="25" t="str">
        <f>IF('1. Live'!BA227='check-Jul''26'!AW227,"",'1. Live'!BA227-'check-Jul''26'!AW227)</f>
        <v/>
      </c>
      <c r="AX209" s="25" t="str">
        <f>IF('1. Live'!BB227='check-Jul''26'!AX227,"",'1. Live'!BB227-'check-Jul''26'!AX227)</f>
        <v/>
      </c>
      <c r="AY209" s="25" t="str">
        <f>IF('1. Live'!BC227='check-Jul''26'!AY227,"",'1. Live'!BC227-'check-Jul''26'!AY227)</f>
        <v/>
      </c>
      <c r="AZ209" s="25" t="str">
        <f>IF('1. Live'!BD227='check-Jul''26'!AZ227,"",'1. Live'!BD227-'check-Jul''26'!AZ227)</f>
        <v/>
      </c>
      <c r="BA209" s="25" t="str">
        <f>IF('1. Live'!BE227='check-Jul''26'!BA227,"",'1. Live'!BE227-'check-Jul''26'!BA227)</f>
        <v/>
      </c>
      <c r="BB209" s="25" t="str">
        <f>IF('1. Live'!BF227='check-Jul''26'!BB227,"",'1. Live'!BF227-'check-Jul''26'!BB227)</f>
        <v/>
      </c>
      <c r="BC209" s="25" t="str">
        <f>IF('1. Live'!BG227='check-Jul''26'!BC227,"",'1. Live'!BG227-'check-Jul''26'!BC227)</f>
        <v/>
      </c>
      <c r="BD209" s="25" t="str">
        <f>IF('1. Live'!BH227='check-Jul''26'!BD227,"",'1. Live'!BH227-'check-Jul''26'!BD227)</f>
        <v/>
      </c>
      <c r="BE209" s="25" t="str">
        <f>IF('1. Live'!BI227='check-Jul''26'!BE227,"",'1. Live'!BI227-'check-Jul''26'!BE227)</f>
        <v/>
      </c>
      <c r="BF209" s="25" t="str">
        <f>IF('1. Live'!BJ227='check-Jul''26'!BF227,"",'1. Live'!BJ227-'check-Jul''26'!BF227)</f>
        <v/>
      </c>
      <c r="BG209" s="25" t="str">
        <f>IF('1. Live'!BK227='check-Jul''26'!BG227,"",'1. Live'!BK227-'check-Jul''26'!BG227)</f>
        <v/>
      </c>
      <c r="BH209" s="25" t="str">
        <f>IF('1. Live'!BL227='check-Jul''26'!BH227,"",'1. Live'!BL227-'check-Jul''26'!BH227)</f>
        <v/>
      </c>
      <c r="BI209" s="25" t="str">
        <f>IF('1. Live'!BM227='check-Jul''26'!BI227,"",'1. Live'!BM227-'check-Jul''26'!BI227)</f>
        <v/>
      </c>
      <c r="BJ209" s="25" t="str">
        <f>IF('1. Live'!BN227='check-Jul''26'!BJ227,"",'1. Live'!BN227-'check-Jul''26'!BJ227)</f>
        <v/>
      </c>
      <c r="BK209" s="25" t="str">
        <f>IF('1. Live'!BO227='check-Jul''26'!BK227,"",'1. Live'!BO227-'check-Jul''26'!BK227)</f>
        <v/>
      </c>
      <c r="BL209" s="25" t="str">
        <f>IF('1. Live'!BP227='check-Jul''26'!BL227,"",'1. Live'!BP227-'check-Jul''26'!BL227)</f>
        <v/>
      </c>
      <c r="BM209" s="25" t="str">
        <f>IF('1. Live'!BQ227='check-Jul''26'!BM227,"",'1. Live'!BQ227-'check-Jul''26'!BM227)</f>
        <v/>
      </c>
      <c r="BN209" s="25" t="str">
        <f>IF('1. Live'!BR227='check-Jul''26'!BN227,"",'1. Live'!BR227-'check-Jul''26'!BN227)</f>
        <v/>
      </c>
      <c r="BO209" s="25" t="str">
        <f>IF('1. Live'!BS227='check-Jul''26'!BO227,"",'1. Live'!BS227-'check-Jul''26'!BO227)</f>
        <v/>
      </c>
      <c r="BP209" s="25" t="str">
        <f>IF('1. Live'!BT227='check-Jul''26'!BP227,"",'1. Live'!BT227-'check-Jul''26'!BP227)</f>
        <v/>
      </c>
      <c r="BQ209" s="25" t="str">
        <f>IF('1. Live'!BU227='check-Jul''26'!BQ227,"",'1. Live'!BU227-'check-Jul''26'!BQ227)</f>
        <v/>
      </c>
      <c r="BR209" s="25" t="str">
        <f>IF('1. Live'!BV227='check-Jul''26'!BR227,"",'1. Live'!BV227-'check-Jul''26'!BR227)</f>
        <v/>
      </c>
      <c r="BS209" s="25" t="str">
        <f>IF('1. Live'!BW227='check-Jul''26'!BS227,"",'1. Live'!BW227-'check-Jul''26'!BS227)</f>
        <v/>
      </c>
      <c r="BT209" s="25" t="str">
        <f>IF('1. Live'!BX227='check-Jul''26'!BT227,"",'1. Live'!BX227-'check-Jul''26'!BT227)</f>
        <v/>
      </c>
      <c r="BU209" s="25" t="str">
        <f>IF('1. Live'!BY227='check-Jul''26'!BU227,"",'1. Live'!BY227-'check-Jul''26'!BU227)</f>
        <v/>
      </c>
      <c r="BV209" s="25" t="str">
        <f>IF('1. Live'!BZ227='check-Jul''26'!BV227,"",'1. Live'!BZ227-'check-Jul''26'!BV227)</f>
        <v/>
      </c>
      <c r="BW209" s="25" t="str">
        <f>IF('1. Live'!CA227='check-Jul''26'!BW227,"",'1. Live'!CA227-'check-Jul''26'!BW227)</f>
        <v/>
      </c>
      <c r="BX209" s="25" t="str">
        <f>IF('1. Live'!CB227='check-Jul''26'!BX227,"",'1. Live'!CB227-'check-Jul''26'!BX227)</f>
        <v/>
      </c>
      <c r="BY209" s="25" t="str">
        <f>IF('1. Live'!CC227='check-Jul''26'!BY227,"",'1. Live'!CC227-'check-Jul''26'!BY227)</f>
        <v/>
      </c>
      <c r="BZ209" s="25" t="str">
        <f>IF('1. Live'!CD227='check-Jul''26'!BZ227,"",'1. Live'!CD227-'check-Jul''26'!BZ227)</f>
        <v/>
      </c>
      <c r="CA209" s="25" t="str">
        <f>IF('1. Live'!CE227='check-Jul''26'!CA227,"",'1. Live'!CE227-'check-Jul''26'!CA227)</f>
        <v/>
      </c>
      <c r="CB209" s="25" t="str">
        <f>IF('1. Live'!CF227='check-Jul''26'!CB227,"",'1. Live'!CF227-'check-Jul''26'!CB227)</f>
        <v/>
      </c>
      <c r="CC209" s="25" t="str">
        <f>IF('1. Live'!CG227='check-Jul''26'!CC227,"",'1. Live'!CG227-'check-Jul''26'!CC227)</f>
        <v/>
      </c>
      <c r="CD209" s="25" t="str">
        <f>IF('1. Live'!CH227='check-Jul''26'!CD227,"",'1. Live'!CH227-'check-Jul''26'!CD227)</f>
        <v/>
      </c>
      <c r="CE209" s="25" t="str">
        <f>IF('1. Live'!CI227='check-Jul''26'!CE227,"",'1. Live'!CI227-'check-Jul''26'!CE227)</f>
        <v/>
      </c>
      <c r="CF209" s="25" t="str">
        <f>IF('1. Live'!CJ227='check-Jul''26'!CF227,"",'1. Live'!CJ227-'check-Jul''26'!CF227)</f>
        <v/>
      </c>
      <c r="CG209" s="25" t="str">
        <f>IF('1. Live'!CK227='check-Jul''26'!CG227,"",'1. Live'!CK227-'check-Jul''26'!CG227)</f>
        <v/>
      </c>
      <c r="CH209" s="25" t="str">
        <f>IF('1. Live'!CL227='check-Jul''26'!CH227,"",'1. Live'!CL227-'check-Jul''26'!CH227)</f>
        <v/>
      </c>
      <c r="CI209" s="25" t="str">
        <f>IF('1. Live'!CM227='check-Jul''26'!CI227,"",'1. Live'!CM227-'check-Jul''26'!CI227)</f>
        <v/>
      </c>
      <c r="CJ209" s="25" t="str">
        <f>IF('1. Live'!CN227='check-Jul''26'!CJ227,"",'1. Live'!CN227-'check-Jul''26'!CJ227)</f>
        <v/>
      </c>
      <c r="CK209" s="25" t="str">
        <f>IF('1. Live'!CO227='check-Jul''26'!CK227,"",'1. Live'!CO227-'check-Jul''26'!CK227)</f>
        <v/>
      </c>
      <c r="CL209" s="25" t="str">
        <f>IF('1. Live'!CP227='check-Jul''26'!CL227,"",'1. Live'!CP227-'check-Jul''26'!CL227)</f>
        <v/>
      </c>
      <c r="CM209" s="25" t="str">
        <f>IF('1. Live'!CQ227='check-Jul''26'!CM227,"",'1. Live'!CQ227-'check-Jul''26'!CM227)</f>
        <v/>
      </c>
      <c r="CN209" s="25" t="str">
        <f>IF('1. Live'!CR227='check-Jul''26'!CN227,"",'1. Live'!CR227-'check-Jul''26'!CN227)</f>
        <v/>
      </c>
      <c r="CO209" s="25" t="str">
        <f>IF('1. Live'!CS227='check-Jul''26'!CO227,"",'1. Live'!CS227-'check-Jul''26'!CO227)</f>
        <v/>
      </c>
      <c r="CP209" s="25" t="str">
        <f>IF('1. Live'!CT227='check-Jul''26'!CP227,"",'1. Live'!CT227-'check-Jul''26'!CP227)</f>
        <v/>
      </c>
      <c r="CQ209" s="25" t="str">
        <f>IF('1. Live'!CU227='check-Jul''26'!CQ227,"",'1. Live'!CU227-'check-Jul''26'!CQ227)</f>
        <v/>
      </c>
      <c r="CR209" s="25" t="str">
        <f>IF('1. Live'!CV227='check-Jul''26'!CR227,"",'1. Live'!CV227-'check-Jul''26'!CR227)</f>
        <v/>
      </c>
      <c r="CS209" s="25" t="str">
        <f>IF('1. Live'!CW227='check-Jul''26'!CS227,"",'1. Live'!CW227-'check-Jul''26'!CS227)</f>
        <v/>
      </c>
      <c r="CT209" s="25" t="str">
        <f>IF('1. Live'!CX227='check-Jul''26'!CT227,"",'1. Live'!CX227-'check-Jul''26'!CT227)</f>
        <v/>
      </c>
      <c r="CU209" s="25" t="str">
        <f>IF('1. Live'!CY227='check-Jul''26'!CU227,"",'1. Live'!CY227-'check-Jul''26'!CU227)</f>
        <v/>
      </c>
      <c r="CV209" s="25" t="str">
        <f>IF('1. Live'!CZ227='check-Jul''26'!CV227,"",'1. Live'!CZ227-'check-Jul''26'!CV227)</f>
        <v/>
      </c>
    </row>
    <row r="210" spans="17:100" x14ac:dyDescent="0.25">
      <c r="Q210" s="26" t="str">
        <f>IF('1. Live'!N228='check-Jul''26'!I228,"",'1. Live'!N228-'check-Jul''26'!I228)</f>
        <v/>
      </c>
      <c r="R210" s="26" t="str">
        <f>IF('1. Live'!O228='check-Jul''26'!J228,"",'1. Live'!O228-'check-Jul''26'!J228)</f>
        <v/>
      </c>
      <c r="S210" s="26" t="str">
        <f>IF('1. Live'!P228='check-Jul''26'!K228,"",'1. Live'!P228-'check-Jul''26'!K228)</f>
        <v/>
      </c>
      <c r="T210" s="26" t="str">
        <f>IF('1. Live'!Q228='check-Jul''26'!L228,"",'1. Live'!Q228-'check-Jul''26'!L228)</f>
        <v/>
      </c>
      <c r="U210" s="80" t="str">
        <f>IF('1. Live'!R228='check-Jul''26'!M228,"",'1. Live'!R228-'check-Jul''26'!M228)</f>
        <v/>
      </c>
      <c r="V210" s="26" t="str">
        <f>IF('1. Live'!S228='check-Jul''26'!N228,"",'1. Live'!S228-'check-Jul''26'!N228)</f>
        <v/>
      </c>
      <c r="W210" s="25" t="str">
        <f>IF('1. Live'!T228='check-Jul''26'!O228,"",'1. Live'!T228-'check-Jul''26'!O228)</f>
        <v/>
      </c>
      <c r="X210" s="25" t="str">
        <f>IF('1. Live'!U228='check-Jul''26'!Q228,"",'1. Live'!U228-'check-Jul''26'!Q228)</f>
        <v/>
      </c>
      <c r="Y210" s="25" t="str">
        <f>IF('1. Live'!V228='check-Jul''26'!R228,"",'1. Live'!V228-'check-Jul''26'!R228)</f>
        <v/>
      </c>
      <c r="Z210" s="25" t="str">
        <f>IF('1. Live'!W228='check-Jul''26'!S228,"",'1. Live'!W228-'check-Jul''26'!S228)</f>
        <v/>
      </c>
      <c r="AA210" s="25" t="str">
        <f>IF('1. Live'!X228='check-Jul''26'!T228,"",'1. Live'!X228-'check-Jul''26'!T228)</f>
        <v/>
      </c>
      <c r="AB210" s="25" t="str">
        <f>IF('1. Live'!AF228='check-Jul''26'!AB228,"",'1. Live'!AF228-'check-Jul''26'!AB228)</f>
        <v/>
      </c>
      <c r="AC210" s="25" t="str">
        <f>IF('1. Live'!AG228='check-Jul''26'!AC228,"",'1. Live'!AG228-'check-Jul''26'!AC228)</f>
        <v/>
      </c>
      <c r="AD210" s="25" t="str">
        <f>IF('1. Live'!AH228='check-Jul''26'!AD228,"",'1. Live'!AH228-'check-Jul''26'!AD228)</f>
        <v/>
      </c>
      <c r="AE210" s="25" t="str">
        <f>IF('1. Live'!AI228='check-Jul''26'!AE228,"",'1. Live'!AI228-'check-Jul''26'!AE228)</f>
        <v/>
      </c>
      <c r="AF210" s="25" t="str">
        <f>IF('1. Live'!AJ228='check-Jul''26'!AF228,"",'1. Live'!AJ228-'check-Jul''26'!AF228)</f>
        <v/>
      </c>
      <c r="AG210" s="25" t="str">
        <f>IF('1. Live'!AK228='check-Jul''26'!AG228,"",'1. Live'!AK228-'check-Jul''26'!AG228)</f>
        <v/>
      </c>
      <c r="AH210" s="25" t="str">
        <f>IF('1. Live'!AL228='check-Jul''26'!AH228,"",'1. Live'!AL228-'check-Jul''26'!AH228)</f>
        <v/>
      </c>
      <c r="AI210" s="25" t="str">
        <f>IF('1. Live'!AM228='check-Jul''26'!AI228,"",'1. Live'!AM228-'check-Jul''26'!AI228)</f>
        <v/>
      </c>
      <c r="AJ210" s="25" t="str">
        <f>IF('1. Live'!AN228='check-Jul''26'!AJ228,"",'1. Live'!AN228-'check-Jul''26'!AJ228)</f>
        <v/>
      </c>
      <c r="AK210" s="25" t="str">
        <f>IF('1. Live'!AO228='check-Jul''26'!AK228,"",'1. Live'!AO228-'check-Jul''26'!AK228)</f>
        <v/>
      </c>
      <c r="AL210" s="25" t="str">
        <f>IF('1. Live'!AP228='check-Jul''26'!AL228,"",'1. Live'!AP228-'check-Jul''26'!AL228)</f>
        <v/>
      </c>
      <c r="AM210" s="25" t="str">
        <f>IF('1. Live'!AQ228='check-Jul''26'!AM228,"",'1. Live'!AQ228-'check-Jul''26'!AM228)</f>
        <v/>
      </c>
      <c r="AN210" s="25" t="str">
        <f>IF('1. Live'!AR228='check-Jul''26'!AN228,"",'1. Live'!AR228-'check-Jul''26'!AN228)</f>
        <v/>
      </c>
      <c r="AO210" s="25" t="str">
        <f>IF('1. Live'!AS228='check-Jul''26'!AO228,"",'1. Live'!AS228-'check-Jul''26'!AO228)</f>
        <v/>
      </c>
      <c r="AP210" s="25" t="str">
        <f>IF('1. Live'!AT228='check-Jul''26'!AP228,"",'1. Live'!AT228-'check-Jul''26'!AP228)</f>
        <v/>
      </c>
      <c r="AQ210" s="25" t="str">
        <f>IF('1. Live'!AU228='check-Jul''26'!AQ228,"",'1. Live'!AU228-'check-Jul''26'!AQ228)</f>
        <v/>
      </c>
      <c r="AR210" s="25" t="str">
        <f>IF('1. Live'!AV228='check-Jul''26'!AR228,"",'1. Live'!AV228-'check-Jul''26'!AR228)</f>
        <v/>
      </c>
      <c r="AS210" s="25" t="str">
        <f>IF('1. Live'!AW228='check-Jul''26'!AS228,"",'1. Live'!AW228-'check-Jul''26'!AS228)</f>
        <v/>
      </c>
      <c r="AT210" s="25" t="str">
        <f>IF('1. Live'!AX228='check-Jul''26'!AT228,"",'1. Live'!AX228-'check-Jul''26'!AT228)</f>
        <v/>
      </c>
      <c r="AU210" s="25" t="str">
        <f>IF('1. Live'!AY228='check-Jul''26'!AU228,"",'1. Live'!AY228-'check-Jul''26'!AU228)</f>
        <v/>
      </c>
      <c r="AV210" s="25" t="str">
        <f>IF('1. Live'!AZ228='check-Jul''26'!AV228,"",'1. Live'!AZ228-'check-Jul''26'!AV228)</f>
        <v/>
      </c>
      <c r="AW210" s="25" t="str">
        <f>IF('1. Live'!BA228='check-Jul''26'!AW228,"",'1. Live'!BA228-'check-Jul''26'!AW228)</f>
        <v/>
      </c>
      <c r="AX210" s="25" t="str">
        <f>IF('1. Live'!BB228='check-Jul''26'!AX228,"",'1. Live'!BB228-'check-Jul''26'!AX228)</f>
        <v/>
      </c>
      <c r="AY210" s="25" t="str">
        <f>IF('1. Live'!BC228='check-Jul''26'!AY228,"",'1. Live'!BC228-'check-Jul''26'!AY228)</f>
        <v/>
      </c>
      <c r="AZ210" s="25" t="str">
        <f>IF('1. Live'!BD228='check-Jul''26'!AZ228,"",'1. Live'!BD228-'check-Jul''26'!AZ228)</f>
        <v/>
      </c>
      <c r="BA210" s="25" t="str">
        <f>IF('1. Live'!BE228='check-Jul''26'!BA228,"",'1. Live'!BE228-'check-Jul''26'!BA228)</f>
        <v/>
      </c>
      <c r="BB210" s="25" t="str">
        <f>IF('1. Live'!BF228='check-Jul''26'!BB228,"",'1. Live'!BF228-'check-Jul''26'!BB228)</f>
        <v/>
      </c>
      <c r="BC210" s="25" t="str">
        <f>IF('1. Live'!BG228='check-Jul''26'!BC228,"",'1. Live'!BG228-'check-Jul''26'!BC228)</f>
        <v/>
      </c>
      <c r="BD210" s="25" t="str">
        <f>IF('1. Live'!BH228='check-Jul''26'!BD228,"",'1. Live'!BH228-'check-Jul''26'!BD228)</f>
        <v/>
      </c>
      <c r="BE210" s="25" t="str">
        <f>IF('1. Live'!BI228='check-Jul''26'!BE228,"",'1. Live'!BI228-'check-Jul''26'!BE228)</f>
        <v/>
      </c>
      <c r="BF210" s="25" t="str">
        <f>IF('1. Live'!BJ228='check-Jul''26'!BF228,"",'1. Live'!BJ228-'check-Jul''26'!BF228)</f>
        <v/>
      </c>
      <c r="BG210" s="25" t="str">
        <f>IF('1. Live'!BK228='check-Jul''26'!BG228,"",'1. Live'!BK228-'check-Jul''26'!BG228)</f>
        <v/>
      </c>
      <c r="BH210" s="25" t="str">
        <f>IF('1. Live'!BL228='check-Jul''26'!BH228,"",'1. Live'!BL228-'check-Jul''26'!BH228)</f>
        <v/>
      </c>
      <c r="BI210" s="25" t="str">
        <f>IF('1. Live'!BM228='check-Jul''26'!BI228,"",'1. Live'!BM228-'check-Jul''26'!BI228)</f>
        <v/>
      </c>
      <c r="BJ210" s="25" t="str">
        <f>IF('1. Live'!BN228='check-Jul''26'!BJ228,"",'1. Live'!BN228-'check-Jul''26'!BJ228)</f>
        <v/>
      </c>
      <c r="BK210" s="25" t="str">
        <f>IF('1. Live'!BO228='check-Jul''26'!BK228,"",'1. Live'!BO228-'check-Jul''26'!BK228)</f>
        <v/>
      </c>
      <c r="BL210" s="25" t="str">
        <f>IF('1. Live'!BP228='check-Jul''26'!BL228,"",'1. Live'!BP228-'check-Jul''26'!BL228)</f>
        <v/>
      </c>
      <c r="BM210" s="25" t="str">
        <f>IF('1. Live'!BQ228='check-Jul''26'!BM228,"",'1. Live'!BQ228-'check-Jul''26'!BM228)</f>
        <v/>
      </c>
      <c r="BN210" s="25" t="str">
        <f>IF('1. Live'!BR228='check-Jul''26'!BN228,"",'1. Live'!BR228-'check-Jul''26'!BN228)</f>
        <v/>
      </c>
      <c r="BO210" s="25" t="str">
        <f>IF('1. Live'!BS228='check-Jul''26'!BO228,"",'1. Live'!BS228-'check-Jul''26'!BO228)</f>
        <v/>
      </c>
      <c r="BP210" s="25" t="str">
        <f>IF('1. Live'!BT228='check-Jul''26'!BP228,"",'1. Live'!BT228-'check-Jul''26'!BP228)</f>
        <v/>
      </c>
      <c r="BQ210" s="25" t="str">
        <f>IF('1. Live'!BU228='check-Jul''26'!BQ228,"",'1. Live'!BU228-'check-Jul''26'!BQ228)</f>
        <v/>
      </c>
      <c r="BR210" s="25" t="str">
        <f>IF('1. Live'!BV228='check-Jul''26'!BR228,"",'1. Live'!BV228-'check-Jul''26'!BR228)</f>
        <v/>
      </c>
      <c r="BS210" s="25" t="str">
        <f>IF('1. Live'!BW228='check-Jul''26'!BS228,"",'1. Live'!BW228-'check-Jul''26'!BS228)</f>
        <v/>
      </c>
      <c r="BT210" s="25" t="str">
        <f>IF('1. Live'!BX228='check-Jul''26'!BT228,"",'1. Live'!BX228-'check-Jul''26'!BT228)</f>
        <v/>
      </c>
      <c r="BU210" s="25" t="str">
        <f>IF('1. Live'!BY228='check-Jul''26'!BU228,"",'1. Live'!BY228-'check-Jul''26'!BU228)</f>
        <v/>
      </c>
      <c r="BV210" s="25" t="str">
        <f>IF('1. Live'!BZ228='check-Jul''26'!BV228,"",'1. Live'!BZ228-'check-Jul''26'!BV228)</f>
        <v/>
      </c>
      <c r="BW210" s="25" t="str">
        <f>IF('1. Live'!CA228='check-Jul''26'!BW228,"",'1. Live'!CA228-'check-Jul''26'!BW228)</f>
        <v/>
      </c>
      <c r="BX210" s="25" t="str">
        <f>IF('1. Live'!CB228='check-Jul''26'!BX228,"",'1. Live'!CB228-'check-Jul''26'!BX228)</f>
        <v/>
      </c>
      <c r="BY210" s="25" t="str">
        <f>IF('1. Live'!CC228='check-Jul''26'!BY228,"",'1. Live'!CC228-'check-Jul''26'!BY228)</f>
        <v/>
      </c>
      <c r="BZ210" s="25" t="str">
        <f>IF('1. Live'!CD228='check-Jul''26'!BZ228,"",'1. Live'!CD228-'check-Jul''26'!BZ228)</f>
        <v/>
      </c>
      <c r="CA210" s="25" t="str">
        <f>IF('1. Live'!CE228='check-Jul''26'!CA228,"",'1. Live'!CE228-'check-Jul''26'!CA228)</f>
        <v/>
      </c>
      <c r="CB210" s="25" t="str">
        <f>IF('1. Live'!CF228='check-Jul''26'!CB228,"",'1. Live'!CF228-'check-Jul''26'!CB228)</f>
        <v/>
      </c>
      <c r="CC210" s="25" t="str">
        <f>IF('1. Live'!CG228='check-Jul''26'!CC228,"",'1. Live'!CG228-'check-Jul''26'!CC228)</f>
        <v/>
      </c>
      <c r="CD210" s="25" t="str">
        <f>IF('1. Live'!CH228='check-Jul''26'!CD228,"",'1. Live'!CH228-'check-Jul''26'!CD228)</f>
        <v/>
      </c>
      <c r="CE210" s="25" t="str">
        <f>IF('1. Live'!CI228='check-Jul''26'!CE228,"",'1. Live'!CI228-'check-Jul''26'!CE228)</f>
        <v/>
      </c>
      <c r="CF210" s="25" t="str">
        <f>IF('1. Live'!CJ228='check-Jul''26'!CF228,"",'1. Live'!CJ228-'check-Jul''26'!CF228)</f>
        <v/>
      </c>
      <c r="CG210" s="25" t="str">
        <f>IF('1. Live'!CK228='check-Jul''26'!CG228,"",'1. Live'!CK228-'check-Jul''26'!CG228)</f>
        <v/>
      </c>
      <c r="CH210" s="25" t="str">
        <f>IF('1. Live'!CL228='check-Jul''26'!CH228,"",'1. Live'!CL228-'check-Jul''26'!CH228)</f>
        <v/>
      </c>
      <c r="CI210" s="25" t="str">
        <f>IF('1. Live'!CM228='check-Jul''26'!CI228,"",'1. Live'!CM228-'check-Jul''26'!CI228)</f>
        <v/>
      </c>
      <c r="CJ210" s="25" t="str">
        <f>IF('1. Live'!CN228='check-Jul''26'!CJ228,"",'1. Live'!CN228-'check-Jul''26'!CJ228)</f>
        <v/>
      </c>
      <c r="CK210" s="25" t="str">
        <f>IF('1. Live'!CO228='check-Jul''26'!CK228,"",'1. Live'!CO228-'check-Jul''26'!CK228)</f>
        <v/>
      </c>
      <c r="CL210" s="25" t="str">
        <f>IF('1. Live'!CP228='check-Jul''26'!CL228,"",'1. Live'!CP228-'check-Jul''26'!CL228)</f>
        <v/>
      </c>
      <c r="CM210" s="25" t="str">
        <f>IF('1. Live'!CQ228='check-Jul''26'!CM228,"",'1. Live'!CQ228-'check-Jul''26'!CM228)</f>
        <v/>
      </c>
      <c r="CN210" s="25" t="str">
        <f>IF('1. Live'!CR228='check-Jul''26'!CN228,"",'1. Live'!CR228-'check-Jul''26'!CN228)</f>
        <v/>
      </c>
      <c r="CO210" s="25" t="str">
        <f>IF('1. Live'!CS228='check-Jul''26'!CO228,"",'1. Live'!CS228-'check-Jul''26'!CO228)</f>
        <v/>
      </c>
      <c r="CP210" s="25" t="str">
        <f>IF('1. Live'!CT228='check-Jul''26'!CP228,"",'1. Live'!CT228-'check-Jul''26'!CP228)</f>
        <v/>
      </c>
      <c r="CQ210" s="25" t="str">
        <f>IF('1. Live'!CU228='check-Jul''26'!CQ228,"",'1. Live'!CU228-'check-Jul''26'!CQ228)</f>
        <v/>
      </c>
      <c r="CR210" s="25" t="str">
        <f>IF('1. Live'!CV228='check-Jul''26'!CR228,"",'1. Live'!CV228-'check-Jul''26'!CR228)</f>
        <v/>
      </c>
      <c r="CS210" s="25" t="str">
        <f>IF('1. Live'!CW228='check-Jul''26'!CS228,"",'1. Live'!CW228-'check-Jul''26'!CS228)</f>
        <v/>
      </c>
      <c r="CT210" s="25" t="str">
        <f>IF('1. Live'!CX228='check-Jul''26'!CT228,"",'1. Live'!CX228-'check-Jul''26'!CT228)</f>
        <v/>
      </c>
      <c r="CU210" s="25" t="str">
        <f>IF('1. Live'!CY228='check-Jul''26'!CU228,"",'1. Live'!CY228-'check-Jul''26'!CU228)</f>
        <v/>
      </c>
      <c r="CV210" s="25" t="str">
        <f>IF('1. Live'!CZ228='check-Jul''26'!CV228,"",'1. Live'!CZ228-'check-Jul''26'!CV228)</f>
        <v/>
      </c>
    </row>
    <row r="211" spans="17:100" x14ac:dyDescent="0.25">
      <c r="Q211" s="26" t="str">
        <f>IF('1. Live'!N229='check-Jul''26'!I229,"",'1. Live'!N229-'check-Jul''26'!I229)</f>
        <v/>
      </c>
      <c r="R211" s="26" t="str">
        <f>IF('1. Live'!O229='check-Jul''26'!J229,"",'1. Live'!O229-'check-Jul''26'!J229)</f>
        <v/>
      </c>
      <c r="S211" s="26" t="str">
        <f>IF('1. Live'!P229='check-Jul''26'!K229,"",'1. Live'!P229-'check-Jul''26'!K229)</f>
        <v/>
      </c>
      <c r="T211" s="26" t="str">
        <f>IF('1. Live'!Q229='check-Jul''26'!L229,"",'1. Live'!Q229-'check-Jul''26'!L229)</f>
        <v/>
      </c>
      <c r="U211" s="80" t="str">
        <f>IF('1. Live'!R229='check-Jul''26'!M229,"",'1. Live'!R229-'check-Jul''26'!M229)</f>
        <v/>
      </c>
      <c r="V211" s="26" t="str">
        <f>IF('1. Live'!S229='check-Jul''26'!N229,"",'1. Live'!S229-'check-Jul''26'!N229)</f>
        <v/>
      </c>
      <c r="W211" s="25" t="str">
        <f>IF('1. Live'!T229='check-Jul''26'!O229,"",'1. Live'!T229-'check-Jul''26'!O229)</f>
        <v/>
      </c>
      <c r="X211" s="25" t="str">
        <f>IF('1. Live'!U229='check-Jul''26'!Q229,"",'1. Live'!U229-'check-Jul''26'!Q229)</f>
        <v/>
      </c>
      <c r="Y211" s="25" t="str">
        <f>IF('1. Live'!V229='check-Jul''26'!R229,"",'1. Live'!V229-'check-Jul''26'!R229)</f>
        <v/>
      </c>
      <c r="Z211" s="25" t="str">
        <f>IF('1. Live'!W229='check-Jul''26'!S229,"",'1. Live'!W229-'check-Jul''26'!S229)</f>
        <v/>
      </c>
      <c r="AA211" s="25" t="str">
        <f>IF('1. Live'!X229='check-Jul''26'!T229,"",'1. Live'!X229-'check-Jul''26'!T229)</f>
        <v/>
      </c>
      <c r="AB211" s="25" t="str">
        <f>IF('1. Live'!AF229='check-Jul''26'!AB229,"",'1. Live'!AF229-'check-Jul''26'!AB229)</f>
        <v/>
      </c>
      <c r="AC211" s="25" t="str">
        <f>IF('1. Live'!AG229='check-Jul''26'!AC229,"",'1. Live'!AG229-'check-Jul''26'!AC229)</f>
        <v/>
      </c>
      <c r="AD211" s="25" t="str">
        <f>IF('1. Live'!AH229='check-Jul''26'!AD229,"",'1. Live'!AH229-'check-Jul''26'!AD229)</f>
        <v/>
      </c>
      <c r="AE211" s="25" t="str">
        <f>IF('1. Live'!AI229='check-Jul''26'!AE229,"",'1. Live'!AI229-'check-Jul''26'!AE229)</f>
        <v/>
      </c>
      <c r="AF211" s="25" t="str">
        <f>IF('1. Live'!AJ229='check-Jul''26'!AF229,"",'1. Live'!AJ229-'check-Jul''26'!AF229)</f>
        <v/>
      </c>
      <c r="AG211" s="25" t="str">
        <f>IF('1. Live'!AK229='check-Jul''26'!AG229,"",'1. Live'!AK229-'check-Jul''26'!AG229)</f>
        <v/>
      </c>
      <c r="AH211" s="25" t="str">
        <f>IF('1. Live'!AL229='check-Jul''26'!AH229,"",'1. Live'!AL229-'check-Jul''26'!AH229)</f>
        <v/>
      </c>
      <c r="AI211" s="25" t="str">
        <f>IF('1. Live'!AM229='check-Jul''26'!AI229,"",'1. Live'!AM229-'check-Jul''26'!AI229)</f>
        <v/>
      </c>
      <c r="AJ211" s="25" t="str">
        <f>IF('1. Live'!AN229='check-Jul''26'!AJ229,"",'1. Live'!AN229-'check-Jul''26'!AJ229)</f>
        <v/>
      </c>
      <c r="AK211" s="25" t="str">
        <f>IF('1. Live'!AO229='check-Jul''26'!AK229,"",'1. Live'!AO229-'check-Jul''26'!AK229)</f>
        <v/>
      </c>
      <c r="AL211" s="25" t="str">
        <f>IF('1. Live'!AP229='check-Jul''26'!AL229,"",'1. Live'!AP229-'check-Jul''26'!AL229)</f>
        <v/>
      </c>
      <c r="AM211" s="25" t="str">
        <f>IF('1. Live'!AQ229='check-Jul''26'!AM229,"",'1. Live'!AQ229-'check-Jul''26'!AM229)</f>
        <v/>
      </c>
      <c r="AN211" s="25" t="str">
        <f>IF('1. Live'!AR229='check-Jul''26'!AN229,"",'1. Live'!AR229-'check-Jul''26'!AN229)</f>
        <v/>
      </c>
      <c r="AO211" s="25" t="str">
        <f>IF('1. Live'!AS229='check-Jul''26'!AO229,"",'1. Live'!AS229-'check-Jul''26'!AO229)</f>
        <v/>
      </c>
      <c r="AP211" s="25" t="str">
        <f>IF('1. Live'!AT229='check-Jul''26'!AP229,"",'1. Live'!AT229-'check-Jul''26'!AP229)</f>
        <v/>
      </c>
      <c r="AQ211" s="25" t="str">
        <f>IF('1. Live'!AU229='check-Jul''26'!AQ229,"",'1. Live'!AU229-'check-Jul''26'!AQ229)</f>
        <v/>
      </c>
      <c r="AR211" s="25" t="str">
        <f>IF('1. Live'!AV229='check-Jul''26'!AR229,"",'1. Live'!AV229-'check-Jul''26'!AR229)</f>
        <v/>
      </c>
      <c r="AS211" s="25" t="str">
        <f>IF('1. Live'!AW229='check-Jul''26'!AS229,"",'1. Live'!AW229-'check-Jul''26'!AS229)</f>
        <v/>
      </c>
      <c r="AT211" s="25" t="str">
        <f>IF('1. Live'!AX229='check-Jul''26'!AT229,"",'1. Live'!AX229-'check-Jul''26'!AT229)</f>
        <v/>
      </c>
      <c r="AU211" s="25" t="str">
        <f>IF('1. Live'!AY229='check-Jul''26'!AU229,"",'1. Live'!AY229-'check-Jul''26'!AU229)</f>
        <v/>
      </c>
      <c r="AV211" s="25" t="str">
        <f>IF('1. Live'!AZ229='check-Jul''26'!AV229,"",'1. Live'!AZ229-'check-Jul''26'!AV229)</f>
        <v/>
      </c>
      <c r="AW211" s="25" t="str">
        <f>IF('1. Live'!BA229='check-Jul''26'!AW229,"",'1. Live'!BA229-'check-Jul''26'!AW229)</f>
        <v/>
      </c>
      <c r="AX211" s="25" t="str">
        <f>IF('1. Live'!BB229='check-Jul''26'!AX229,"",'1. Live'!BB229-'check-Jul''26'!AX229)</f>
        <v/>
      </c>
      <c r="AY211" s="25" t="str">
        <f>IF('1. Live'!BC229='check-Jul''26'!AY229,"",'1. Live'!BC229-'check-Jul''26'!AY229)</f>
        <v/>
      </c>
      <c r="AZ211" s="25" t="str">
        <f>IF('1. Live'!BD229='check-Jul''26'!AZ229,"",'1. Live'!BD229-'check-Jul''26'!AZ229)</f>
        <v/>
      </c>
      <c r="BA211" s="25" t="str">
        <f>IF('1. Live'!BE229='check-Jul''26'!BA229,"",'1. Live'!BE229-'check-Jul''26'!BA229)</f>
        <v/>
      </c>
      <c r="BB211" s="25" t="str">
        <f>IF('1. Live'!BF229='check-Jul''26'!BB229,"",'1. Live'!BF229-'check-Jul''26'!BB229)</f>
        <v/>
      </c>
      <c r="BC211" s="25" t="str">
        <f>IF('1. Live'!BG229='check-Jul''26'!BC229,"",'1. Live'!BG229-'check-Jul''26'!BC229)</f>
        <v/>
      </c>
      <c r="BD211" s="25" t="str">
        <f>IF('1. Live'!BH229='check-Jul''26'!BD229,"",'1. Live'!BH229-'check-Jul''26'!BD229)</f>
        <v/>
      </c>
      <c r="BE211" s="25" t="str">
        <f>IF('1. Live'!BI229='check-Jul''26'!BE229,"",'1. Live'!BI229-'check-Jul''26'!BE229)</f>
        <v/>
      </c>
      <c r="BF211" s="25" t="str">
        <f>IF('1. Live'!BJ229='check-Jul''26'!BF229,"",'1. Live'!BJ229-'check-Jul''26'!BF229)</f>
        <v/>
      </c>
      <c r="BG211" s="25" t="str">
        <f>IF('1. Live'!BK229='check-Jul''26'!BG229,"",'1. Live'!BK229-'check-Jul''26'!BG229)</f>
        <v/>
      </c>
      <c r="BH211" s="25" t="str">
        <f>IF('1. Live'!BL229='check-Jul''26'!BH229,"",'1. Live'!BL229-'check-Jul''26'!BH229)</f>
        <v/>
      </c>
      <c r="BI211" s="25" t="str">
        <f>IF('1. Live'!BM229='check-Jul''26'!BI229,"",'1. Live'!BM229-'check-Jul''26'!BI229)</f>
        <v/>
      </c>
      <c r="BJ211" s="25" t="str">
        <f>IF('1. Live'!BN229='check-Jul''26'!BJ229,"",'1. Live'!BN229-'check-Jul''26'!BJ229)</f>
        <v/>
      </c>
      <c r="BK211" s="25" t="str">
        <f>IF('1. Live'!BO229='check-Jul''26'!BK229,"",'1. Live'!BO229-'check-Jul''26'!BK229)</f>
        <v/>
      </c>
      <c r="BL211" s="25" t="str">
        <f>IF('1. Live'!BP229='check-Jul''26'!BL229,"",'1. Live'!BP229-'check-Jul''26'!BL229)</f>
        <v/>
      </c>
      <c r="BM211" s="25" t="str">
        <f>IF('1. Live'!BQ229='check-Jul''26'!BM229,"",'1. Live'!BQ229-'check-Jul''26'!BM229)</f>
        <v/>
      </c>
      <c r="BN211" s="25" t="str">
        <f>IF('1. Live'!BR229='check-Jul''26'!BN229,"",'1. Live'!BR229-'check-Jul''26'!BN229)</f>
        <v/>
      </c>
      <c r="BO211" s="25" t="str">
        <f>IF('1. Live'!BS229='check-Jul''26'!BO229,"",'1. Live'!BS229-'check-Jul''26'!BO229)</f>
        <v/>
      </c>
      <c r="BP211" s="25" t="str">
        <f>IF('1. Live'!BT229='check-Jul''26'!BP229,"",'1. Live'!BT229-'check-Jul''26'!BP229)</f>
        <v/>
      </c>
      <c r="BQ211" s="25" t="str">
        <f>IF('1. Live'!BU229='check-Jul''26'!BQ229,"",'1. Live'!BU229-'check-Jul''26'!BQ229)</f>
        <v/>
      </c>
      <c r="BR211" s="25" t="str">
        <f>IF('1. Live'!BV229='check-Jul''26'!BR229,"",'1. Live'!BV229-'check-Jul''26'!BR229)</f>
        <v/>
      </c>
      <c r="BS211" s="25" t="str">
        <f>IF('1. Live'!BW229='check-Jul''26'!BS229,"",'1. Live'!BW229-'check-Jul''26'!BS229)</f>
        <v/>
      </c>
      <c r="BT211" s="25" t="str">
        <f>IF('1. Live'!BX229='check-Jul''26'!BT229,"",'1. Live'!BX229-'check-Jul''26'!BT229)</f>
        <v/>
      </c>
      <c r="BU211" s="25" t="str">
        <f>IF('1. Live'!BY229='check-Jul''26'!BU229,"",'1. Live'!BY229-'check-Jul''26'!BU229)</f>
        <v/>
      </c>
      <c r="BV211" s="25" t="str">
        <f>IF('1. Live'!BZ229='check-Jul''26'!BV229,"",'1. Live'!BZ229-'check-Jul''26'!BV229)</f>
        <v/>
      </c>
      <c r="BW211" s="25" t="str">
        <f>IF('1. Live'!CA229='check-Jul''26'!BW229,"",'1. Live'!CA229-'check-Jul''26'!BW229)</f>
        <v/>
      </c>
      <c r="BX211" s="25" t="str">
        <f>IF('1. Live'!CB229='check-Jul''26'!BX229,"",'1. Live'!CB229-'check-Jul''26'!BX229)</f>
        <v/>
      </c>
      <c r="BY211" s="25" t="str">
        <f>IF('1. Live'!CC229='check-Jul''26'!BY229,"",'1. Live'!CC229-'check-Jul''26'!BY229)</f>
        <v/>
      </c>
      <c r="BZ211" s="25" t="str">
        <f>IF('1. Live'!CD229='check-Jul''26'!BZ229,"",'1. Live'!CD229-'check-Jul''26'!BZ229)</f>
        <v/>
      </c>
      <c r="CA211" s="25" t="str">
        <f>IF('1. Live'!CE229='check-Jul''26'!CA229,"",'1. Live'!CE229-'check-Jul''26'!CA229)</f>
        <v/>
      </c>
      <c r="CB211" s="25" t="str">
        <f>IF('1. Live'!CF229='check-Jul''26'!CB229,"",'1. Live'!CF229-'check-Jul''26'!CB229)</f>
        <v/>
      </c>
      <c r="CC211" s="25" t="str">
        <f>IF('1. Live'!CG229='check-Jul''26'!CC229,"",'1. Live'!CG229-'check-Jul''26'!CC229)</f>
        <v/>
      </c>
      <c r="CD211" s="25" t="str">
        <f>IF('1. Live'!CH229='check-Jul''26'!CD229,"",'1. Live'!CH229-'check-Jul''26'!CD229)</f>
        <v/>
      </c>
      <c r="CE211" s="25" t="str">
        <f>IF('1. Live'!CI229='check-Jul''26'!CE229,"",'1. Live'!CI229-'check-Jul''26'!CE229)</f>
        <v/>
      </c>
      <c r="CF211" s="25" t="str">
        <f>IF('1. Live'!CJ229='check-Jul''26'!CF229,"",'1. Live'!CJ229-'check-Jul''26'!CF229)</f>
        <v/>
      </c>
      <c r="CG211" s="25" t="str">
        <f>IF('1. Live'!CK229='check-Jul''26'!CG229,"",'1. Live'!CK229-'check-Jul''26'!CG229)</f>
        <v/>
      </c>
      <c r="CH211" s="25" t="str">
        <f>IF('1. Live'!CL229='check-Jul''26'!CH229,"",'1. Live'!CL229-'check-Jul''26'!CH229)</f>
        <v/>
      </c>
      <c r="CI211" s="25" t="str">
        <f>IF('1. Live'!CM229='check-Jul''26'!CI229,"",'1. Live'!CM229-'check-Jul''26'!CI229)</f>
        <v/>
      </c>
      <c r="CJ211" s="25" t="str">
        <f>IF('1. Live'!CN229='check-Jul''26'!CJ229,"",'1. Live'!CN229-'check-Jul''26'!CJ229)</f>
        <v/>
      </c>
      <c r="CK211" s="25" t="str">
        <f>IF('1. Live'!CO229='check-Jul''26'!CK229,"",'1. Live'!CO229-'check-Jul''26'!CK229)</f>
        <v/>
      </c>
      <c r="CL211" s="25" t="str">
        <f>IF('1. Live'!CP229='check-Jul''26'!CL229,"",'1. Live'!CP229-'check-Jul''26'!CL229)</f>
        <v/>
      </c>
      <c r="CM211" s="25" t="str">
        <f>IF('1. Live'!CQ229='check-Jul''26'!CM229,"",'1. Live'!CQ229-'check-Jul''26'!CM229)</f>
        <v/>
      </c>
      <c r="CN211" s="25" t="str">
        <f>IF('1. Live'!CR229='check-Jul''26'!CN229,"",'1. Live'!CR229-'check-Jul''26'!CN229)</f>
        <v/>
      </c>
      <c r="CO211" s="25" t="str">
        <f>IF('1. Live'!CS229='check-Jul''26'!CO229,"",'1. Live'!CS229-'check-Jul''26'!CO229)</f>
        <v/>
      </c>
      <c r="CP211" s="25" t="str">
        <f>IF('1. Live'!CT229='check-Jul''26'!CP229,"",'1. Live'!CT229-'check-Jul''26'!CP229)</f>
        <v/>
      </c>
      <c r="CQ211" s="25" t="str">
        <f>IF('1. Live'!CU229='check-Jul''26'!CQ229,"",'1. Live'!CU229-'check-Jul''26'!CQ229)</f>
        <v/>
      </c>
      <c r="CR211" s="25" t="str">
        <f>IF('1. Live'!CV229='check-Jul''26'!CR229,"",'1. Live'!CV229-'check-Jul''26'!CR229)</f>
        <v/>
      </c>
      <c r="CS211" s="25" t="str">
        <f>IF('1. Live'!CW229='check-Jul''26'!CS229,"",'1. Live'!CW229-'check-Jul''26'!CS229)</f>
        <v/>
      </c>
      <c r="CT211" s="25" t="str">
        <f>IF('1. Live'!CX229='check-Jul''26'!CT229,"",'1. Live'!CX229-'check-Jul''26'!CT229)</f>
        <v/>
      </c>
      <c r="CU211" s="25" t="str">
        <f>IF('1. Live'!CY229='check-Jul''26'!CU229,"",'1. Live'!CY229-'check-Jul''26'!CU229)</f>
        <v/>
      </c>
      <c r="CV211" s="25" t="str">
        <f>IF('1. Live'!CZ229='check-Jul''26'!CV229,"",'1. Live'!CZ229-'check-Jul''26'!CV229)</f>
        <v/>
      </c>
    </row>
    <row r="212" spans="17:100" x14ac:dyDescent="0.25">
      <c r="Q212" s="26" t="str">
        <f>IF('1. Live'!N230='check-Jul''26'!I230,"",'1. Live'!N230-'check-Jul''26'!I230)</f>
        <v/>
      </c>
      <c r="R212" s="26" t="str">
        <f>IF('1. Live'!O230='check-Jul''26'!J230,"",'1. Live'!O230-'check-Jul''26'!J230)</f>
        <v/>
      </c>
      <c r="S212" s="26" t="str">
        <f>IF('1. Live'!P230='check-Jul''26'!K230,"",'1. Live'!P230-'check-Jul''26'!K230)</f>
        <v/>
      </c>
      <c r="T212" s="26" t="str">
        <f>IF('1. Live'!Q230='check-Jul''26'!L230,"",'1. Live'!Q230-'check-Jul''26'!L230)</f>
        <v/>
      </c>
      <c r="U212" s="80" t="str">
        <f>IF('1. Live'!R230='check-Jul''26'!M230,"",'1. Live'!R230-'check-Jul''26'!M230)</f>
        <v/>
      </c>
      <c r="V212" s="26" t="str">
        <f>IF('1. Live'!S230='check-Jul''26'!N230,"",'1. Live'!S230-'check-Jul''26'!N230)</f>
        <v/>
      </c>
      <c r="W212" s="25" t="str">
        <f>IF('1. Live'!T230='check-Jul''26'!O230,"",'1. Live'!T230-'check-Jul''26'!O230)</f>
        <v/>
      </c>
      <c r="X212" s="25" t="str">
        <f>IF('1. Live'!U230='check-Jul''26'!Q230,"",'1. Live'!U230-'check-Jul''26'!Q230)</f>
        <v/>
      </c>
      <c r="Y212" s="25" t="str">
        <f>IF('1. Live'!V230='check-Jul''26'!R230,"",'1. Live'!V230-'check-Jul''26'!R230)</f>
        <v/>
      </c>
      <c r="Z212" s="25" t="str">
        <f>IF('1. Live'!W230='check-Jul''26'!S230,"",'1. Live'!W230-'check-Jul''26'!S230)</f>
        <v/>
      </c>
      <c r="AA212" s="25" t="str">
        <f>IF('1. Live'!X230='check-Jul''26'!T230,"",'1. Live'!X230-'check-Jul''26'!T230)</f>
        <v/>
      </c>
      <c r="AB212" s="25" t="str">
        <f>IF('1. Live'!AF230='check-Jul''26'!AB230,"",'1. Live'!AF230-'check-Jul''26'!AB230)</f>
        <v/>
      </c>
      <c r="AC212" s="25" t="str">
        <f>IF('1. Live'!AG230='check-Jul''26'!AC230,"",'1. Live'!AG230-'check-Jul''26'!AC230)</f>
        <v/>
      </c>
      <c r="AD212" s="25" t="str">
        <f>IF('1. Live'!AH230='check-Jul''26'!AD230,"",'1. Live'!AH230-'check-Jul''26'!AD230)</f>
        <v/>
      </c>
      <c r="AE212" s="25" t="str">
        <f>IF('1. Live'!AI230='check-Jul''26'!AE230,"",'1. Live'!AI230-'check-Jul''26'!AE230)</f>
        <v/>
      </c>
      <c r="AF212" s="25" t="str">
        <f>IF('1. Live'!AJ230='check-Jul''26'!AF230,"",'1. Live'!AJ230-'check-Jul''26'!AF230)</f>
        <v/>
      </c>
      <c r="AG212" s="25" t="str">
        <f>IF('1. Live'!AK230='check-Jul''26'!AG230,"",'1. Live'!AK230-'check-Jul''26'!AG230)</f>
        <v/>
      </c>
      <c r="AH212" s="25" t="str">
        <f>IF('1. Live'!AL230='check-Jul''26'!AH230,"",'1. Live'!AL230-'check-Jul''26'!AH230)</f>
        <v/>
      </c>
      <c r="AI212" s="25" t="str">
        <f>IF('1. Live'!AM230='check-Jul''26'!AI230,"",'1. Live'!AM230-'check-Jul''26'!AI230)</f>
        <v/>
      </c>
      <c r="AJ212" s="25" t="str">
        <f>IF('1. Live'!AN230='check-Jul''26'!AJ230,"",'1. Live'!AN230-'check-Jul''26'!AJ230)</f>
        <v/>
      </c>
      <c r="AK212" s="25" t="str">
        <f>IF('1. Live'!AO230='check-Jul''26'!AK230,"",'1. Live'!AO230-'check-Jul''26'!AK230)</f>
        <v/>
      </c>
      <c r="AL212" s="25" t="str">
        <f>IF('1. Live'!AP230='check-Jul''26'!AL230,"",'1. Live'!AP230-'check-Jul''26'!AL230)</f>
        <v/>
      </c>
      <c r="AM212" s="25" t="str">
        <f>IF('1. Live'!AQ230='check-Jul''26'!AM230,"",'1. Live'!AQ230-'check-Jul''26'!AM230)</f>
        <v/>
      </c>
      <c r="AN212" s="25" t="str">
        <f>IF('1. Live'!AR230='check-Jul''26'!AN230,"",'1. Live'!AR230-'check-Jul''26'!AN230)</f>
        <v/>
      </c>
      <c r="AO212" s="25" t="str">
        <f>IF('1. Live'!AS230='check-Jul''26'!AO230,"",'1. Live'!AS230-'check-Jul''26'!AO230)</f>
        <v/>
      </c>
      <c r="AP212" s="25" t="str">
        <f>IF('1. Live'!AT230='check-Jul''26'!AP230,"",'1. Live'!AT230-'check-Jul''26'!AP230)</f>
        <v/>
      </c>
      <c r="AQ212" s="25" t="str">
        <f>IF('1. Live'!AU230='check-Jul''26'!AQ230,"",'1. Live'!AU230-'check-Jul''26'!AQ230)</f>
        <v/>
      </c>
      <c r="AR212" s="25" t="str">
        <f>IF('1. Live'!AV230='check-Jul''26'!AR230,"",'1. Live'!AV230-'check-Jul''26'!AR230)</f>
        <v/>
      </c>
      <c r="AS212" s="25" t="str">
        <f>IF('1. Live'!AW230='check-Jul''26'!AS230,"",'1. Live'!AW230-'check-Jul''26'!AS230)</f>
        <v/>
      </c>
      <c r="AT212" s="25" t="str">
        <f>IF('1. Live'!AX230='check-Jul''26'!AT230,"",'1. Live'!AX230-'check-Jul''26'!AT230)</f>
        <v/>
      </c>
      <c r="AU212" s="25" t="str">
        <f>IF('1. Live'!AY230='check-Jul''26'!AU230,"",'1. Live'!AY230-'check-Jul''26'!AU230)</f>
        <v/>
      </c>
      <c r="AV212" s="25" t="str">
        <f>IF('1. Live'!AZ230='check-Jul''26'!AV230,"",'1. Live'!AZ230-'check-Jul''26'!AV230)</f>
        <v/>
      </c>
      <c r="AW212" s="25" t="str">
        <f>IF('1. Live'!BA230='check-Jul''26'!AW230,"",'1. Live'!BA230-'check-Jul''26'!AW230)</f>
        <v/>
      </c>
      <c r="AX212" s="25" t="str">
        <f>IF('1. Live'!BB230='check-Jul''26'!AX230,"",'1. Live'!BB230-'check-Jul''26'!AX230)</f>
        <v/>
      </c>
      <c r="AY212" s="25" t="str">
        <f>IF('1. Live'!BC230='check-Jul''26'!AY230,"",'1. Live'!BC230-'check-Jul''26'!AY230)</f>
        <v/>
      </c>
      <c r="AZ212" s="25" t="str">
        <f>IF('1. Live'!BD230='check-Jul''26'!AZ230,"",'1. Live'!BD230-'check-Jul''26'!AZ230)</f>
        <v/>
      </c>
      <c r="BA212" s="25" t="str">
        <f>IF('1. Live'!BE230='check-Jul''26'!BA230,"",'1. Live'!BE230-'check-Jul''26'!BA230)</f>
        <v/>
      </c>
      <c r="BB212" s="25" t="str">
        <f>IF('1. Live'!BF230='check-Jul''26'!BB230,"",'1. Live'!BF230-'check-Jul''26'!BB230)</f>
        <v/>
      </c>
      <c r="BC212" s="25" t="str">
        <f>IF('1. Live'!BG230='check-Jul''26'!BC230,"",'1. Live'!BG230-'check-Jul''26'!BC230)</f>
        <v/>
      </c>
      <c r="BD212" s="25" t="str">
        <f>IF('1. Live'!BH230='check-Jul''26'!BD230,"",'1. Live'!BH230-'check-Jul''26'!BD230)</f>
        <v/>
      </c>
      <c r="BE212" s="25" t="str">
        <f>IF('1. Live'!BI230='check-Jul''26'!BE230,"",'1. Live'!BI230-'check-Jul''26'!BE230)</f>
        <v/>
      </c>
      <c r="BF212" s="25" t="str">
        <f>IF('1. Live'!BJ230='check-Jul''26'!BF230,"",'1. Live'!BJ230-'check-Jul''26'!BF230)</f>
        <v/>
      </c>
      <c r="BG212" s="25" t="str">
        <f>IF('1. Live'!BK230='check-Jul''26'!BG230,"",'1. Live'!BK230-'check-Jul''26'!BG230)</f>
        <v/>
      </c>
      <c r="BH212" s="25" t="str">
        <f>IF('1. Live'!BL230='check-Jul''26'!BH230,"",'1. Live'!BL230-'check-Jul''26'!BH230)</f>
        <v/>
      </c>
      <c r="BI212" s="25" t="str">
        <f>IF('1. Live'!BM230='check-Jul''26'!BI230,"",'1. Live'!BM230-'check-Jul''26'!BI230)</f>
        <v/>
      </c>
      <c r="BJ212" s="25" t="str">
        <f>IF('1. Live'!BN230='check-Jul''26'!BJ230,"",'1. Live'!BN230-'check-Jul''26'!BJ230)</f>
        <v/>
      </c>
      <c r="BK212" s="25" t="str">
        <f>IF('1. Live'!BO230='check-Jul''26'!BK230,"",'1. Live'!BO230-'check-Jul''26'!BK230)</f>
        <v/>
      </c>
      <c r="BL212" s="25" t="str">
        <f>IF('1. Live'!BP230='check-Jul''26'!BL230,"",'1. Live'!BP230-'check-Jul''26'!BL230)</f>
        <v/>
      </c>
      <c r="BM212" s="25" t="str">
        <f>IF('1. Live'!BQ230='check-Jul''26'!BM230,"",'1. Live'!BQ230-'check-Jul''26'!BM230)</f>
        <v/>
      </c>
      <c r="BN212" s="25" t="str">
        <f>IF('1. Live'!BR230='check-Jul''26'!BN230,"",'1. Live'!BR230-'check-Jul''26'!BN230)</f>
        <v/>
      </c>
      <c r="BO212" s="25" t="str">
        <f>IF('1. Live'!BS230='check-Jul''26'!BO230,"",'1. Live'!BS230-'check-Jul''26'!BO230)</f>
        <v/>
      </c>
      <c r="BP212" s="25" t="str">
        <f>IF('1. Live'!BT230='check-Jul''26'!BP230,"",'1. Live'!BT230-'check-Jul''26'!BP230)</f>
        <v/>
      </c>
      <c r="BQ212" s="25" t="str">
        <f>IF('1. Live'!BU230='check-Jul''26'!BQ230,"",'1. Live'!BU230-'check-Jul''26'!BQ230)</f>
        <v/>
      </c>
      <c r="BR212" s="25" t="str">
        <f>IF('1. Live'!BV230='check-Jul''26'!BR230,"",'1. Live'!BV230-'check-Jul''26'!BR230)</f>
        <v/>
      </c>
      <c r="BS212" s="25" t="str">
        <f>IF('1. Live'!BW230='check-Jul''26'!BS230,"",'1. Live'!BW230-'check-Jul''26'!BS230)</f>
        <v/>
      </c>
      <c r="BT212" s="25" t="str">
        <f>IF('1. Live'!BX230='check-Jul''26'!BT230,"",'1. Live'!BX230-'check-Jul''26'!BT230)</f>
        <v/>
      </c>
      <c r="BU212" s="25" t="str">
        <f>IF('1. Live'!BY230='check-Jul''26'!BU230,"",'1. Live'!BY230-'check-Jul''26'!BU230)</f>
        <v/>
      </c>
      <c r="BV212" s="25" t="str">
        <f>IF('1. Live'!BZ230='check-Jul''26'!BV230,"",'1. Live'!BZ230-'check-Jul''26'!BV230)</f>
        <v/>
      </c>
      <c r="BW212" s="25" t="str">
        <f>IF('1. Live'!CA230='check-Jul''26'!BW230,"",'1. Live'!CA230-'check-Jul''26'!BW230)</f>
        <v/>
      </c>
      <c r="BX212" s="25" t="str">
        <f>IF('1. Live'!CB230='check-Jul''26'!BX230,"",'1. Live'!CB230-'check-Jul''26'!BX230)</f>
        <v/>
      </c>
      <c r="BY212" s="25" t="str">
        <f>IF('1. Live'!CC230='check-Jul''26'!BY230,"",'1. Live'!CC230-'check-Jul''26'!BY230)</f>
        <v/>
      </c>
      <c r="BZ212" s="25" t="str">
        <f>IF('1. Live'!CD230='check-Jul''26'!BZ230,"",'1. Live'!CD230-'check-Jul''26'!BZ230)</f>
        <v/>
      </c>
      <c r="CA212" s="25" t="str">
        <f>IF('1. Live'!CE230='check-Jul''26'!CA230,"",'1. Live'!CE230-'check-Jul''26'!CA230)</f>
        <v/>
      </c>
      <c r="CB212" s="25" t="str">
        <f>IF('1. Live'!CF230='check-Jul''26'!CB230,"",'1. Live'!CF230-'check-Jul''26'!CB230)</f>
        <v/>
      </c>
      <c r="CC212" s="25" t="str">
        <f>IF('1. Live'!CG230='check-Jul''26'!CC230,"",'1. Live'!CG230-'check-Jul''26'!CC230)</f>
        <v/>
      </c>
      <c r="CD212" s="25" t="str">
        <f>IF('1. Live'!CH230='check-Jul''26'!CD230,"",'1. Live'!CH230-'check-Jul''26'!CD230)</f>
        <v/>
      </c>
      <c r="CE212" s="25" t="str">
        <f>IF('1. Live'!CI230='check-Jul''26'!CE230,"",'1. Live'!CI230-'check-Jul''26'!CE230)</f>
        <v/>
      </c>
      <c r="CF212" s="25" t="str">
        <f>IF('1. Live'!CJ230='check-Jul''26'!CF230,"",'1. Live'!CJ230-'check-Jul''26'!CF230)</f>
        <v/>
      </c>
      <c r="CG212" s="25" t="str">
        <f>IF('1. Live'!CK230='check-Jul''26'!CG230,"",'1. Live'!CK230-'check-Jul''26'!CG230)</f>
        <v/>
      </c>
      <c r="CH212" s="25" t="str">
        <f>IF('1. Live'!CL230='check-Jul''26'!CH230,"",'1. Live'!CL230-'check-Jul''26'!CH230)</f>
        <v/>
      </c>
      <c r="CI212" s="25" t="str">
        <f>IF('1. Live'!CM230='check-Jul''26'!CI230,"",'1. Live'!CM230-'check-Jul''26'!CI230)</f>
        <v/>
      </c>
      <c r="CJ212" s="25" t="str">
        <f>IF('1. Live'!CN230='check-Jul''26'!CJ230,"",'1. Live'!CN230-'check-Jul''26'!CJ230)</f>
        <v/>
      </c>
      <c r="CK212" s="25" t="str">
        <f>IF('1. Live'!CO230='check-Jul''26'!CK230,"",'1. Live'!CO230-'check-Jul''26'!CK230)</f>
        <v/>
      </c>
      <c r="CL212" s="25" t="str">
        <f>IF('1. Live'!CP230='check-Jul''26'!CL230,"",'1. Live'!CP230-'check-Jul''26'!CL230)</f>
        <v/>
      </c>
      <c r="CM212" s="25" t="str">
        <f>IF('1. Live'!CQ230='check-Jul''26'!CM230,"",'1. Live'!CQ230-'check-Jul''26'!CM230)</f>
        <v/>
      </c>
      <c r="CN212" s="25" t="str">
        <f>IF('1. Live'!CR230='check-Jul''26'!CN230,"",'1. Live'!CR230-'check-Jul''26'!CN230)</f>
        <v/>
      </c>
      <c r="CO212" s="25" t="str">
        <f>IF('1. Live'!CS230='check-Jul''26'!CO230,"",'1. Live'!CS230-'check-Jul''26'!CO230)</f>
        <v/>
      </c>
      <c r="CP212" s="25" t="str">
        <f>IF('1. Live'!CT230='check-Jul''26'!CP230,"",'1. Live'!CT230-'check-Jul''26'!CP230)</f>
        <v/>
      </c>
      <c r="CQ212" s="25" t="str">
        <f>IF('1. Live'!CU230='check-Jul''26'!CQ230,"",'1. Live'!CU230-'check-Jul''26'!CQ230)</f>
        <v/>
      </c>
      <c r="CR212" s="25" t="str">
        <f>IF('1. Live'!CV230='check-Jul''26'!CR230,"",'1. Live'!CV230-'check-Jul''26'!CR230)</f>
        <v/>
      </c>
      <c r="CS212" s="25" t="str">
        <f>IF('1. Live'!CW230='check-Jul''26'!CS230,"",'1. Live'!CW230-'check-Jul''26'!CS230)</f>
        <v/>
      </c>
      <c r="CT212" s="25" t="str">
        <f>IF('1. Live'!CX230='check-Jul''26'!CT230,"",'1. Live'!CX230-'check-Jul''26'!CT230)</f>
        <v/>
      </c>
      <c r="CU212" s="25" t="str">
        <f>IF('1. Live'!CY230='check-Jul''26'!CU230,"",'1. Live'!CY230-'check-Jul''26'!CU230)</f>
        <v/>
      </c>
      <c r="CV212" s="25" t="str">
        <f>IF('1. Live'!CZ230='check-Jul''26'!CV230,"",'1. Live'!CZ230-'check-Jul''26'!CV230)</f>
        <v/>
      </c>
    </row>
    <row r="213" spans="17:100" x14ac:dyDescent="0.25">
      <c r="Q213" s="26" t="str">
        <f>IF('1. Live'!N231='check-Jul''26'!I231,"",'1. Live'!N231-'check-Jul''26'!I231)</f>
        <v/>
      </c>
      <c r="R213" s="26" t="str">
        <f>IF('1. Live'!O231='check-Jul''26'!J231,"",'1. Live'!O231-'check-Jul''26'!J231)</f>
        <v/>
      </c>
      <c r="S213" s="26" t="str">
        <f>IF('1. Live'!P231='check-Jul''26'!K231,"",'1. Live'!P231-'check-Jul''26'!K231)</f>
        <v/>
      </c>
      <c r="T213" s="26" t="str">
        <f>IF('1. Live'!Q231='check-Jul''26'!L231,"",'1. Live'!Q231-'check-Jul''26'!L231)</f>
        <v/>
      </c>
      <c r="U213" s="80" t="str">
        <f>IF('1. Live'!R231='check-Jul''26'!M231,"",'1. Live'!R231-'check-Jul''26'!M231)</f>
        <v/>
      </c>
      <c r="V213" s="26" t="str">
        <f>IF('1. Live'!S231='check-Jul''26'!N231,"",'1. Live'!S231-'check-Jul''26'!N231)</f>
        <v/>
      </c>
      <c r="W213" s="25" t="str">
        <f>IF('1. Live'!T231='check-Jul''26'!O231,"",'1. Live'!T231-'check-Jul''26'!O231)</f>
        <v/>
      </c>
      <c r="X213" s="25" t="str">
        <f>IF('1. Live'!U231='check-Jul''26'!Q231,"",'1. Live'!U231-'check-Jul''26'!Q231)</f>
        <v/>
      </c>
      <c r="Y213" s="25" t="str">
        <f>IF('1. Live'!V231='check-Jul''26'!R231,"",'1. Live'!V231-'check-Jul''26'!R231)</f>
        <v/>
      </c>
      <c r="Z213" s="25" t="str">
        <f>IF('1. Live'!W231='check-Jul''26'!S231,"",'1. Live'!W231-'check-Jul''26'!S231)</f>
        <v/>
      </c>
      <c r="AA213" s="25" t="str">
        <f>IF('1. Live'!X231='check-Jul''26'!T231,"",'1. Live'!X231-'check-Jul''26'!T231)</f>
        <v/>
      </c>
      <c r="AB213" s="25" t="str">
        <f>IF('1. Live'!AF231='check-Jul''26'!AB231,"",'1. Live'!AF231-'check-Jul''26'!AB231)</f>
        <v/>
      </c>
      <c r="AC213" s="25" t="str">
        <f>IF('1. Live'!AG231='check-Jul''26'!AC231,"",'1. Live'!AG231-'check-Jul''26'!AC231)</f>
        <v/>
      </c>
      <c r="AD213" s="25" t="str">
        <f>IF('1. Live'!AH231='check-Jul''26'!AD231,"",'1. Live'!AH231-'check-Jul''26'!AD231)</f>
        <v/>
      </c>
      <c r="AE213" s="25" t="str">
        <f>IF('1. Live'!AI231='check-Jul''26'!AE231,"",'1. Live'!AI231-'check-Jul''26'!AE231)</f>
        <v/>
      </c>
      <c r="AF213" s="25" t="str">
        <f>IF('1. Live'!AJ231='check-Jul''26'!AF231,"",'1. Live'!AJ231-'check-Jul''26'!AF231)</f>
        <v/>
      </c>
      <c r="AG213" s="25" t="str">
        <f>IF('1. Live'!AK231='check-Jul''26'!AG231,"",'1. Live'!AK231-'check-Jul''26'!AG231)</f>
        <v/>
      </c>
      <c r="AH213" s="25" t="str">
        <f>IF('1. Live'!AL231='check-Jul''26'!AH231,"",'1. Live'!AL231-'check-Jul''26'!AH231)</f>
        <v/>
      </c>
      <c r="AI213" s="25" t="str">
        <f>IF('1. Live'!AM231='check-Jul''26'!AI231,"",'1. Live'!AM231-'check-Jul''26'!AI231)</f>
        <v/>
      </c>
      <c r="AJ213" s="25" t="str">
        <f>IF('1. Live'!AN231='check-Jul''26'!AJ231,"",'1. Live'!AN231-'check-Jul''26'!AJ231)</f>
        <v/>
      </c>
      <c r="AK213" s="25" t="str">
        <f>IF('1. Live'!AO231='check-Jul''26'!AK231,"",'1. Live'!AO231-'check-Jul''26'!AK231)</f>
        <v/>
      </c>
      <c r="AL213" s="25" t="str">
        <f>IF('1. Live'!AP231='check-Jul''26'!AL231,"",'1. Live'!AP231-'check-Jul''26'!AL231)</f>
        <v/>
      </c>
      <c r="AM213" s="25" t="str">
        <f>IF('1. Live'!AQ231='check-Jul''26'!AM231,"",'1. Live'!AQ231-'check-Jul''26'!AM231)</f>
        <v/>
      </c>
      <c r="AN213" s="25" t="str">
        <f>IF('1. Live'!AR231='check-Jul''26'!AN231,"",'1. Live'!AR231-'check-Jul''26'!AN231)</f>
        <v/>
      </c>
      <c r="AO213" s="25" t="str">
        <f>IF('1. Live'!AS231='check-Jul''26'!AO231,"",'1. Live'!AS231-'check-Jul''26'!AO231)</f>
        <v/>
      </c>
      <c r="AP213" s="25" t="str">
        <f>IF('1. Live'!AT231='check-Jul''26'!AP231,"",'1. Live'!AT231-'check-Jul''26'!AP231)</f>
        <v/>
      </c>
      <c r="AQ213" s="25" t="str">
        <f>IF('1. Live'!AU231='check-Jul''26'!AQ231,"",'1. Live'!AU231-'check-Jul''26'!AQ231)</f>
        <v/>
      </c>
      <c r="AR213" s="25" t="str">
        <f>IF('1. Live'!AV231='check-Jul''26'!AR231,"",'1. Live'!AV231-'check-Jul''26'!AR231)</f>
        <v/>
      </c>
      <c r="AS213" s="25" t="str">
        <f>IF('1. Live'!AW231='check-Jul''26'!AS231,"",'1. Live'!AW231-'check-Jul''26'!AS231)</f>
        <v/>
      </c>
      <c r="AT213" s="25" t="str">
        <f>IF('1. Live'!AX231='check-Jul''26'!AT231,"",'1. Live'!AX231-'check-Jul''26'!AT231)</f>
        <v/>
      </c>
      <c r="AU213" s="25" t="str">
        <f>IF('1. Live'!AY231='check-Jul''26'!AU231,"",'1. Live'!AY231-'check-Jul''26'!AU231)</f>
        <v/>
      </c>
      <c r="AV213" s="25" t="str">
        <f>IF('1. Live'!AZ231='check-Jul''26'!AV231,"",'1. Live'!AZ231-'check-Jul''26'!AV231)</f>
        <v/>
      </c>
      <c r="AW213" s="25" t="str">
        <f>IF('1. Live'!BA231='check-Jul''26'!AW231,"",'1. Live'!BA231-'check-Jul''26'!AW231)</f>
        <v/>
      </c>
      <c r="AX213" s="25" t="str">
        <f>IF('1. Live'!BB231='check-Jul''26'!AX231,"",'1. Live'!BB231-'check-Jul''26'!AX231)</f>
        <v/>
      </c>
      <c r="AY213" s="25" t="str">
        <f>IF('1. Live'!BC231='check-Jul''26'!AY231,"",'1. Live'!BC231-'check-Jul''26'!AY231)</f>
        <v/>
      </c>
      <c r="AZ213" s="25" t="str">
        <f>IF('1. Live'!BD231='check-Jul''26'!AZ231,"",'1. Live'!BD231-'check-Jul''26'!AZ231)</f>
        <v/>
      </c>
      <c r="BA213" s="25" t="str">
        <f>IF('1. Live'!BE231='check-Jul''26'!BA231,"",'1. Live'!BE231-'check-Jul''26'!BA231)</f>
        <v/>
      </c>
      <c r="BB213" s="25" t="str">
        <f>IF('1. Live'!BF231='check-Jul''26'!BB231,"",'1. Live'!BF231-'check-Jul''26'!BB231)</f>
        <v/>
      </c>
      <c r="BC213" s="25" t="str">
        <f>IF('1. Live'!BG231='check-Jul''26'!BC231,"",'1. Live'!BG231-'check-Jul''26'!BC231)</f>
        <v/>
      </c>
      <c r="BD213" s="25" t="str">
        <f>IF('1. Live'!BH231='check-Jul''26'!BD231,"",'1. Live'!BH231-'check-Jul''26'!BD231)</f>
        <v/>
      </c>
      <c r="BE213" s="25" t="str">
        <f>IF('1. Live'!BI231='check-Jul''26'!BE231,"",'1. Live'!BI231-'check-Jul''26'!BE231)</f>
        <v/>
      </c>
      <c r="BF213" s="25" t="str">
        <f>IF('1. Live'!BJ231='check-Jul''26'!BF231,"",'1. Live'!BJ231-'check-Jul''26'!BF231)</f>
        <v/>
      </c>
      <c r="BG213" s="25" t="str">
        <f>IF('1. Live'!BK231='check-Jul''26'!BG231,"",'1. Live'!BK231-'check-Jul''26'!BG231)</f>
        <v/>
      </c>
      <c r="BH213" s="25" t="str">
        <f>IF('1. Live'!BL231='check-Jul''26'!BH231,"",'1. Live'!BL231-'check-Jul''26'!BH231)</f>
        <v/>
      </c>
      <c r="BI213" s="25" t="str">
        <f>IF('1. Live'!BM231='check-Jul''26'!BI231,"",'1. Live'!BM231-'check-Jul''26'!BI231)</f>
        <v/>
      </c>
      <c r="BJ213" s="25" t="str">
        <f>IF('1. Live'!BN231='check-Jul''26'!BJ231,"",'1. Live'!BN231-'check-Jul''26'!BJ231)</f>
        <v/>
      </c>
      <c r="BK213" s="25" t="str">
        <f>IF('1. Live'!BO231='check-Jul''26'!BK231,"",'1. Live'!BO231-'check-Jul''26'!BK231)</f>
        <v/>
      </c>
      <c r="BL213" s="25" t="str">
        <f>IF('1. Live'!BP231='check-Jul''26'!BL231,"",'1. Live'!BP231-'check-Jul''26'!BL231)</f>
        <v/>
      </c>
      <c r="BM213" s="25" t="str">
        <f>IF('1. Live'!BQ231='check-Jul''26'!BM231,"",'1. Live'!BQ231-'check-Jul''26'!BM231)</f>
        <v/>
      </c>
      <c r="BN213" s="25" t="str">
        <f>IF('1. Live'!BR231='check-Jul''26'!BN231,"",'1. Live'!BR231-'check-Jul''26'!BN231)</f>
        <v/>
      </c>
      <c r="BO213" s="25" t="str">
        <f>IF('1. Live'!BS231='check-Jul''26'!BO231,"",'1. Live'!BS231-'check-Jul''26'!BO231)</f>
        <v/>
      </c>
      <c r="BP213" s="25" t="str">
        <f>IF('1. Live'!BT231='check-Jul''26'!BP231,"",'1. Live'!BT231-'check-Jul''26'!BP231)</f>
        <v/>
      </c>
      <c r="BQ213" s="25" t="str">
        <f>IF('1. Live'!BU231='check-Jul''26'!BQ231,"",'1. Live'!BU231-'check-Jul''26'!BQ231)</f>
        <v/>
      </c>
      <c r="BR213" s="25" t="str">
        <f>IF('1. Live'!BV231='check-Jul''26'!BR231,"",'1. Live'!BV231-'check-Jul''26'!BR231)</f>
        <v/>
      </c>
      <c r="BS213" s="25" t="str">
        <f>IF('1. Live'!BW231='check-Jul''26'!BS231,"",'1. Live'!BW231-'check-Jul''26'!BS231)</f>
        <v/>
      </c>
      <c r="BT213" s="25" t="str">
        <f>IF('1. Live'!BX231='check-Jul''26'!BT231,"",'1. Live'!BX231-'check-Jul''26'!BT231)</f>
        <v/>
      </c>
      <c r="BU213" s="25" t="str">
        <f>IF('1. Live'!BY231='check-Jul''26'!BU231,"",'1. Live'!BY231-'check-Jul''26'!BU231)</f>
        <v/>
      </c>
      <c r="BV213" s="25" t="str">
        <f>IF('1. Live'!BZ231='check-Jul''26'!BV231,"",'1. Live'!BZ231-'check-Jul''26'!BV231)</f>
        <v/>
      </c>
      <c r="BW213" s="25" t="str">
        <f>IF('1. Live'!CA231='check-Jul''26'!BW231,"",'1. Live'!CA231-'check-Jul''26'!BW231)</f>
        <v/>
      </c>
      <c r="BX213" s="25" t="str">
        <f>IF('1. Live'!CB231='check-Jul''26'!BX231,"",'1. Live'!CB231-'check-Jul''26'!BX231)</f>
        <v/>
      </c>
      <c r="BY213" s="25" t="str">
        <f>IF('1. Live'!CC231='check-Jul''26'!BY231,"",'1. Live'!CC231-'check-Jul''26'!BY231)</f>
        <v/>
      </c>
      <c r="BZ213" s="25" t="str">
        <f>IF('1. Live'!CD231='check-Jul''26'!BZ231,"",'1. Live'!CD231-'check-Jul''26'!BZ231)</f>
        <v/>
      </c>
      <c r="CA213" s="25" t="str">
        <f>IF('1. Live'!CE231='check-Jul''26'!CA231,"",'1. Live'!CE231-'check-Jul''26'!CA231)</f>
        <v/>
      </c>
      <c r="CB213" s="25" t="str">
        <f>IF('1. Live'!CF231='check-Jul''26'!CB231,"",'1. Live'!CF231-'check-Jul''26'!CB231)</f>
        <v/>
      </c>
      <c r="CC213" s="25" t="str">
        <f>IF('1. Live'!CG231='check-Jul''26'!CC231,"",'1. Live'!CG231-'check-Jul''26'!CC231)</f>
        <v/>
      </c>
      <c r="CD213" s="25" t="str">
        <f>IF('1. Live'!CH231='check-Jul''26'!CD231,"",'1. Live'!CH231-'check-Jul''26'!CD231)</f>
        <v/>
      </c>
      <c r="CE213" s="25" t="str">
        <f>IF('1. Live'!CI231='check-Jul''26'!CE231,"",'1. Live'!CI231-'check-Jul''26'!CE231)</f>
        <v/>
      </c>
      <c r="CF213" s="25" t="str">
        <f>IF('1. Live'!CJ231='check-Jul''26'!CF231,"",'1. Live'!CJ231-'check-Jul''26'!CF231)</f>
        <v/>
      </c>
      <c r="CG213" s="25" t="str">
        <f>IF('1. Live'!CK231='check-Jul''26'!CG231,"",'1. Live'!CK231-'check-Jul''26'!CG231)</f>
        <v/>
      </c>
      <c r="CH213" s="25" t="str">
        <f>IF('1. Live'!CL231='check-Jul''26'!CH231,"",'1. Live'!CL231-'check-Jul''26'!CH231)</f>
        <v/>
      </c>
      <c r="CI213" s="25" t="str">
        <f>IF('1. Live'!CM231='check-Jul''26'!CI231,"",'1. Live'!CM231-'check-Jul''26'!CI231)</f>
        <v/>
      </c>
      <c r="CJ213" s="25" t="str">
        <f>IF('1. Live'!CN231='check-Jul''26'!CJ231,"",'1. Live'!CN231-'check-Jul''26'!CJ231)</f>
        <v/>
      </c>
      <c r="CK213" s="25" t="str">
        <f>IF('1. Live'!CO231='check-Jul''26'!CK231,"",'1. Live'!CO231-'check-Jul''26'!CK231)</f>
        <v/>
      </c>
      <c r="CL213" s="25" t="str">
        <f>IF('1. Live'!CP231='check-Jul''26'!CL231,"",'1. Live'!CP231-'check-Jul''26'!CL231)</f>
        <v/>
      </c>
      <c r="CM213" s="25" t="str">
        <f>IF('1. Live'!CQ231='check-Jul''26'!CM231,"",'1. Live'!CQ231-'check-Jul''26'!CM231)</f>
        <v/>
      </c>
      <c r="CN213" s="25" t="str">
        <f>IF('1. Live'!CR231='check-Jul''26'!CN231,"",'1. Live'!CR231-'check-Jul''26'!CN231)</f>
        <v/>
      </c>
      <c r="CO213" s="25" t="str">
        <f>IF('1. Live'!CS231='check-Jul''26'!CO231,"",'1. Live'!CS231-'check-Jul''26'!CO231)</f>
        <v/>
      </c>
      <c r="CP213" s="25" t="str">
        <f>IF('1. Live'!CT231='check-Jul''26'!CP231,"",'1. Live'!CT231-'check-Jul''26'!CP231)</f>
        <v/>
      </c>
      <c r="CQ213" s="25" t="str">
        <f>IF('1. Live'!CU231='check-Jul''26'!CQ231,"",'1. Live'!CU231-'check-Jul''26'!CQ231)</f>
        <v/>
      </c>
      <c r="CR213" s="25" t="str">
        <f>IF('1. Live'!CV231='check-Jul''26'!CR231,"",'1. Live'!CV231-'check-Jul''26'!CR231)</f>
        <v/>
      </c>
      <c r="CS213" s="25" t="str">
        <f>IF('1. Live'!CW231='check-Jul''26'!CS231,"",'1. Live'!CW231-'check-Jul''26'!CS231)</f>
        <v/>
      </c>
      <c r="CT213" s="25" t="str">
        <f>IF('1. Live'!CX231='check-Jul''26'!CT231,"",'1. Live'!CX231-'check-Jul''26'!CT231)</f>
        <v/>
      </c>
      <c r="CU213" s="25" t="str">
        <f>IF('1. Live'!CY231='check-Jul''26'!CU231,"",'1. Live'!CY231-'check-Jul''26'!CU231)</f>
        <v/>
      </c>
      <c r="CV213" s="25" t="str">
        <f>IF('1. Live'!CZ231='check-Jul''26'!CV231,"",'1. Live'!CZ231-'check-Jul''26'!CV231)</f>
        <v/>
      </c>
    </row>
    <row r="214" spans="17:100" x14ac:dyDescent="0.25">
      <c r="Q214" s="26" t="str">
        <f>IF('1. Live'!N232='check-Jul''26'!I232,"",'1. Live'!N232-'check-Jul''26'!I232)</f>
        <v/>
      </c>
      <c r="R214" s="26" t="str">
        <f>IF('1. Live'!O232='check-Jul''26'!J232,"",'1. Live'!O232-'check-Jul''26'!J232)</f>
        <v/>
      </c>
      <c r="S214" s="26" t="str">
        <f>IF('1. Live'!P232='check-Jul''26'!K232,"",'1. Live'!P232-'check-Jul''26'!K232)</f>
        <v/>
      </c>
      <c r="T214" s="26" t="str">
        <f>IF('1. Live'!Q232='check-Jul''26'!L232,"",'1. Live'!Q232-'check-Jul''26'!L232)</f>
        <v/>
      </c>
      <c r="U214" s="80" t="str">
        <f>IF('1. Live'!R232='check-Jul''26'!M232,"",'1. Live'!R232-'check-Jul''26'!M232)</f>
        <v/>
      </c>
      <c r="V214" s="26" t="str">
        <f>IF('1. Live'!S232='check-Jul''26'!N232,"",'1. Live'!S232-'check-Jul''26'!N232)</f>
        <v/>
      </c>
      <c r="W214" s="25" t="str">
        <f>IF('1. Live'!T232='check-Jul''26'!O232,"",'1. Live'!T232-'check-Jul''26'!O232)</f>
        <v/>
      </c>
      <c r="X214" s="25" t="str">
        <f>IF('1. Live'!U232='check-Jul''26'!Q232,"",'1. Live'!U232-'check-Jul''26'!Q232)</f>
        <v/>
      </c>
      <c r="Y214" s="25" t="str">
        <f>IF('1. Live'!V232='check-Jul''26'!R232,"",'1. Live'!V232-'check-Jul''26'!R232)</f>
        <v/>
      </c>
      <c r="Z214" s="25" t="str">
        <f>IF('1. Live'!W232='check-Jul''26'!S232,"",'1. Live'!W232-'check-Jul''26'!S232)</f>
        <v/>
      </c>
      <c r="AA214" s="25" t="str">
        <f>IF('1. Live'!X232='check-Jul''26'!T232,"",'1. Live'!X232-'check-Jul''26'!T232)</f>
        <v/>
      </c>
      <c r="AB214" s="25" t="str">
        <f>IF('1. Live'!AF232='check-Jul''26'!AB232,"",'1. Live'!AF232-'check-Jul''26'!AB232)</f>
        <v/>
      </c>
      <c r="AC214" s="25" t="str">
        <f>IF('1. Live'!AG232='check-Jul''26'!AC232,"",'1. Live'!AG232-'check-Jul''26'!AC232)</f>
        <v/>
      </c>
      <c r="AD214" s="25" t="str">
        <f>IF('1. Live'!AH232='check-Jul''26'!AD232,"",'1. Live'!AH232-'check-Jul''26'!AD232)</f>
        <v/>
      </c>
      <c r="AE214" s="25" t="str">
        <f>IF('1. Live'!AI232='check-Jul''26'!AE232,"",'1. Live'!AI232-'check-Jul''26'!AE232)</f>
        <v/>
      </c>
      <c r="AF214" s="25" t="str">
        <f>IF('1. Live'!AJ232='check-Jul''26'!AF232,"",'1. Live'!AJ232-'check-Jul''26'!AF232)</f>
        <v/>
      </c>
      <c r="AG214" s="25" t="str">
        <f>IF('1. Live'!AK232='check-Jul''26'!AG232,"",'1. Live'!AK232-'check-Jul''26'!AG232)</f>
        <v/>
      </c>
      <c r="AH214" s="25" t="str">
        <f>IF('1. Live'!AL232='check-Jul''26'!AH232,"",'1. Live'!AL232-'check-Jul''26'!AH232)</f>
        <v/>
      </c>
      <c r="AI214" s="25" t="str">
        <f>IF('1. Live'!AM232='check-Jul''26'!AI232,"",'1. Live'!AM232-'check-Jul''26'!AI232)</f>
        <v/>
      </c>
      <c r="AJ214" s="25" t="str">
        <f>IF('1. Live'!AN232='check-Jul''26'!AJ232,"",'1. Live'!AN232-'check-Jul''26'!AJ232)</f>
        <v/>
      </c>
      <c r="AK214" s="25" t="str">
        <f>IF('1. Live'!AO232='check-Jul''26'!AK232,"",'1. Live'!AO232-'check-Jul''26'!AK232)</f>
        <v/>
      </c>
      <c r="AL214" s="25" t="str">
        <f>IF('1. Live'!AP232='check-Jul''26'!AL232,"",'1. Live'!AP232-'check-Jul''26'!AL232)</f>
        <v/>
      </c>
      <c r="AM214" s="25" t="str">
        <f>IF('1. Live'!AQ232='check-Jul''26'!AM232,"",'1. Live'!AQ232-'check-Jul''26'!AM232)</f>
        <v/>
      </c>
      <c r="AN214" s="25" t="str">
        <f>IF('1. Live'!AR232='check-Jul''26'!AN232,"",'1. Live'!AR232-'check-Jul''26'!AN232)</f>
        <v/>
      </c>
      <c r="AO214" s="25" t="str">
        <f>IF('1. Live'!AS232='check-Jul''26'!AO232,"",'1. Live'!AS232-'check-Jul''26'!AO232)</f>
        <v/>
      </c>
      <c r="AP214" s="25" t="str">
        <f>IF('1. Live'!AT232='check-Jul''26'!AP232,"",'1. Live'!AT232-'check-Jul''26'!AP232)</f>
        <v/>
      </c>
      <c r="AQ214" s="25" t="str">
        <f>IF('1. Live'!AU232='check-Jul''26'!AQ232,"",'1. Live'!AU232-'check-Jul''26'!AQ232)</f>
        <v/>
      </c>
      <c r="AR214" s="25" t="str">
        <f>IF('1. Live'!AV232='check-Jul''26'!AR232,"",'1. Live'!AV232-'check-Jul''26'!AR232)</f>
        <v/>
      </c>
      <c r="AS214" s="25" t="str">
        <f>IF('1. Live'!AW232='check-Jul''26'!AS232,"",'1. Live'!AW232-'check-Jul''26'!AS232)</f>
        <v/>
      </c>
      <c r="AT214" s="25" t="str">
        <f>IF('1. Live'!AX232='check-Jul''26'!AT232,"",'1. Live'!AX232-'check-Jul''26'!AT232)</f>
        <v/>
      </c>
      <c r="AU214" s="25" t="str">
        <f>IF('1. Live'!AY232='check-Jul''26'!AU232,"",'1. Live'!AY232-'check-Jul''26'!AU232)</f>
        <v/>
      </c>
      <c r="AV214" s="25" t="str">
        <f>IF('1. Live'!AZ232='check-Jul''26'!AV232,"",'1. Live'!AZ232-'check-Jul''26'!AV232)</f>
        <v/>
      </c>
      <c r="AW214" s="25" t="str">
        <f>IF('1. Live'!BA232='check-Jul''26'!AW232,"",'1. Live'!BA232-'check-Jul''26'!AW232)</f>
        <v/>
      </c>
      <c r="AX214" s="25" t="str">
        <f>IF('1. Live'!BB232='check-Jul''26'!AX232,"",'1. Live'!BB232-'check-Jul''26'!AX232)</f>
        <v/>
      </c>
      <c r="AY214" s="25" t="str">
        <f>IF('1. Live'!BC232='check-Jul''26'!AY232,"",'1. Live'!BC232-'check-Jul''26'!AY232)</f>
        <v/>
      </c>
      <c r="AZ214" s="25" t="str">
        <f>IF('1. Live'!BD232='check-Jul''26'!AZ232,"",'1. Live'!BD232-'check-Jul''26'!AZ232)</f>
        <v/>
      </c>
      <c r="BA214" s="25" t="str">
        <f>IF('1. Live'!BE232='check-Jul''26'!BA232,"",'1. Live'!BE232-'check-Jul''26'!BA232)</f>
        <v/>
      </c>
      <c r="BB214" s="25" t="str">
        <f>IF('1. Live'!BF232='check-Jul''26'!BB232,"",'1. Live'!BF232-'check-Jul''26'!BB232)</f>
        <v/>
      </c>
      <c r="BC214" s="25" t="str">
        <f>IF('1. Live'!BG232='check-Jul''26'!BC232,"",'1. Live'!BG232-'check-Jul''26'!BC232)</f>
        <v/>
      </c>
      <c r="BD214" s="25" t="str">
        <f>IF('1. Live'!BH232='check-Jul''26'!BD232,"",'1. Live'!BH232-'check-Jul''26'!BD232)</f>
        <v/>
      </c>
      <c r="BE214" s="25" t="str">
        <f>IF('1. Live'!BI232='check-Jul''26'!BE232,"",'1. Live'!BI232-'check-Jul''26'!BE232)</f>
        <v/>
      </c>
      <c r="BF214" s="25" t="str">
        <f>IF('1. Live'!BJ232='check-Jul''26'!BF232,"",'1. Live'!BJ232-'check-Jul''26'!BF232)</f>
        <v/>
      </c>
      <c r="BG214" s="25" t="str">
        <f>IF('1. Live'!BK232='check-Jul''26'!BG232,"",'1. Live'!BK232-'check-Jul''26'!BG232)</f>
        <v/>
      </c>
      <c r="BH214" s="25" t="str">
        <f>IF('1. Live'!BL232='check-Jul''26'!BH232,"",'1. Live'!BL232-'check-Jul''26'!BH232)</f>
        <v/>
      </c>
      <c r="BI214" s="25" t="str">
        <f>IF('1. Live'!BM232='check-Jul''26'!BI232,"",'1. Live'!BM232-'check-Jul''26'!BI232)</f>
        <v/>
      </c>
      <c r="BJ214" s="25" t="str">
        <f>IF('1. Live'!BN232='check-Jul''26'!BJ232,"",'1. Live'!BN232-'check-Jul''26'!BJ232)</f>
        <v/>
      </c>
      <c r="BK214" s="25" t="str">
        <f>IF('1. Live'!BO232='check-Jul''26'!BK232,"",'1. Live'!BO232-'check-Jul''26'!BK232)</f>
        <v/>
      </c>
      <c r="BL214" s="25" t="str">
        <f>IF('1. Live'!BP232='check-Jul''26'!BL232,"",'1. Live'!BP232-'check-Jul''26'!BL232)</f>
        <v/>
      </c>
      <c r="BM214" s="25" t="str">
        <f>IF('1. Live'!BQ232='check-Jul''26'!BM232,"",'1. Live'!BQ232-'check-Jul''26'!BM232)</f>
        <v/>
      </c>
      <c r="BN214" s="25" t="str">
        <f>IF('1. Live'!BR232='check-Jul''26'!BN232,"",'1. Live'!BR232-'check-Jul''26'!BN232)</f>
        <v/>
      </c>
      <c r="BO214" s="25" t="str">
        <f>IF('1. Live'!BS232='check-Jul''26'!BO232,"",'1. Live'!BS232-'check-Jul''26'!BO232)</f>
        <v/>
      </c>
      <c r="BP214" s="25" t="str">
        <f>IF('1. Live'!BT232='check-Jul''26'!BP232,"",'1. Live'!BT232-'check-Jul''26'!BP232)</f>
        <v/>
      </c>
      <c r="BQ214" s="25" t="str">
        <f>IF('1. Live'!BU232='check-Jul''26'!BQ232,"",'1. Live'!BU232-'check-Jul''26'!BQ232)</f>
        <v/>
      </c>
      <c r="BR214" s="25" t="str">
        <f>IF('1. Live'!BV232='check-Jul''26'!BR232,"",'1. Live'!BV232-'check-Jul''26'!BR232)</f>
        <v/>
      </c>
      <c r="BS214" s="25" t="str">
        <f>IF('1. Live'!BW232='check-Jul''26'!BS232,"",'1. Live'!BW232-'check-Jul''26'!BS232)</f>
        <v/>
      </c>
      <c r="BT214" s="25" t="str">
        <f>IF('1. Live'!BX232='check-Jul''26'!BT232,"",'1. Live'!BX232-'check-Jul''26'!BT232)</f>
        <v/>
      </c>
      <c r="BU214" s="25" t="str">
        <f>IF('1. Live'!BY232='check-Jul''26'!BU232,"",'1. Live'!BY232-'check-Jul''26'!BU232)</f>
        <v/>
      </c>
      <c r="BV214" s="25" t="str">
        <f>IF('1. Live'!BZ232='check-Jul''26'!BV232,"",'1. Live'!BZ232-'check-Jul''26'!BV232)</f>
        <v/>
      </c>
      <c r="BW214" s="25" t="str">
        <f>IF('1. Live'!CA232='check-Jul''26'!BW232,"",'1. Live'!CA232-'check-Jul''26'!BW232)</f>
        <v/>
      </c>
      <c r="BX214" s="25" t="str">
        <f>IF('1. Live'!CB232='check-Jul''26'!BX232,"",'1. Live'!CB232-'check-Jul''26'!BX232)</f>
        <v/>
      </c>
      <c r="BY214" s="25" t="str">
        <f>IF('1. Live'!CC232='check-Jul''26'!BY232,"",'1. Live'!CC232-'check-Jul''26'!BY232)</f>
        <v/>
      </c>
      <c r="BZ214" s="25" t="str">
        <f>IF('1. Live'!CD232='check-Jul''26'!BZ232,"",'1. Live'!CD232-'check-Jul''26'!BZ232)</f>
        <v/>
      </c>
      <c r="CA214" s="25" t="str">
        <f>IF('1. Live'!CE232='check-Jul''26'!CA232,"",'1. Live'!CE232-'check-Jul''26'!CA232)</f>
        <v/>
      </c>
      <c r="CB214" s="25" t="str">
        <f>IF('1. Live'!CF232='check-Jul''26'!CB232,"",'1. Live'!CF232-'check-Jul''26'!CB232)</f>
        <v/>
      </c>
      <c r="CC214" s="25" t="str">
        <f>IF('1. Live'!CG232='check-Jul''26'!CC232,"",'1. Live'!CG232-'check-Jul''26'!CC232)</f>
        <v/>
      </c>
      <c r="CD214" s="25" t="str">
        <f>IF('1. Live'!CH232='check-Jul''26'!CD232,"",'1. Live'!CH232-'check-Jul''26'!CD232)</f>
        <v/>
      </c>
      <c r="CE214" s="25" t="str">
        <f>IF('1. Live'!CI232='check-Jul''26'!CE232,"",'1. Live'!CI232-'check-Jul''26'!CE232)</f>
        <v/>
      </c>
      <c r="CF214" s="25" t="str">
        <f>IF('1. Live'!CJ232='check-Jul''26'!CF232,"",'1. Live'!CJ232-'check-Jul''26'!CF232)</f>
        <v/>
      </c>
      <c r="CG214" s="25" t="str">
        <f>IF('1. Live'!CK232='check-Jul''26'!CG232,"",'1. Live'!CK232-'check-Jul''26'!CG232)</f>
        <v/>
      </c>
      <c r="CH214" s="25" t="str">
        <f>IF('1. Live'!CL232='check-Jul''26'!CH232,"",'1. Live'!CL232-'check-Jul''26'!CH232)</f>
        <v/>
      </c>
      <c r="CI214" s="25" t="str">
        <f>IF('1. Live'!CM232='check-Jul''26'!CI232,"",'1. Live'!CM232-'check-Jul''26'!CI232)</f>
        <v/>
      </c>
      <c r="CJ214" s="25" t="str">
        <f>IF('1. Live'!CN232='check-Jul''26'!CJ232,"",'1. Live'!CN232-'check-Jul''26'!CJ232)</f>
        <v/>
      </c>
      <c r="CK214" s="25" t="str">
        <f>IF('1. Live'!CO232='check-Jul''26'!CK232,"",'1. Live'!CO232-'check-Jul''26'!CK232)</f>
        <v/>
      </c>
      <c r="CL214" s="25" t="str">
        <f>IF('1. Live'!CP232='check-Jul''26'!CL232,"",'1. Live'!CP232-'check-Jul''26'!CL232)</f>
        <v/>
      </c>
      <c r="CM214" s="25" t="str">
        <f>IF('1. Live'!CQ232='check-Jul''26'!CM232,"",'1. Live'!CQ232-'check-Jul''26'!CM232)</f>
        <v/>
      </c>
      <c r="CN214" s="25" t="str">
        <f>IF('1. Live'!CR232='check-Jul''26'!CN232,"",'1. Live'!CR232-'check-Jul''26'!CN232)</f>
        <v/>
      </c>
      <c r="CO214" s="25" t="str">
        <f>IF('1. Live'!CS232='check-Jul''26'!CO232,"",'1. Live'!CS232-'check-Jul''26'!CO232)</f>
        <v/>
      </c>
      <c r="CP214" s="25" t="str">
        <f>IF('1. Live'!CT232='check-Jul''26'!CP232,"",'1. Live'!CT232-'check-Jul''26'!CP232)</f>
        <v/>
      </c>
      <c r="CQ214" s="25" t="str">
        <f>IF('1. Live'!CU232='check-Jul''26'!CQ232,"",'1. Live'!CU232-'check-Jul''26'!CQ232)</f>
        <v/>
      </c>
      <c r="CR214" s="25" t="str">
        <f>IF('1. Live'!CV232='check-Jul''26'!CR232,"",'1. Live'!CV232-'check-Jul''26'!CR232)</f>
        <v/>
      </c>
      <c r="CS214" s="25" t="str">
        <f>IF('1. Live'!CW232='check-Jul''26'!CS232,"",'1. Live'!CW232-'check-Jul''26'!CS232)</f>
        <v/>
      </c>
      <c r="CT214" s="25" t="str">
        <f>IF('1. Live'!CX232='check-Jul''26'!CT232,"",'1. Live'!CX232-'check-Jul''26'!CT232)</f>
        <v/>
      </c>
      <c r="CU214" s="25" t="str">
        <f>IF('1. Live'!CY232='check-Jul''26'!CU232,"",'1. Live'!CY232-'check-Jul''26'!CU232)</f>
        <v/>
      </c>
      <c r="CV214" s="25" t="str">
        <f>IF('1. Live'!CZ232='check-Jul''26'!CV232,"",'1. Live'!CZ232-'check-Jul''26'!CV232)</f>
        <v/>
      </c>
    </row>
    <row r="215" spans="17:100" x14ac:dyDescent="0.25">
      <c r="Q215" s="26" t="str">
        <f>IF('1. Live'!N233='check-Jul''26'!I233,"",'1. Live'!N233-'check-Jul''26'!I233)</f>
        <v/>
      </c>
      <c r="R215" s="26" t="str">
        <f>IF('1. Live'!O233='check-Jul''26'!J233,"",'1. Live'!O233-'check-Jul''26'!J233)</f>
        <v/>
      </c>
      <c r="S215" s="26" t="str">
        <f>IF('1. Live'!P233='check-Jul''26'!K233,"",'1. Live'!P233-'check-Jul''26'!K233)</f>
        <v/>
      </c>
      <c r="T215" s="26" t="str">
        <f>IF('1. Live'!Q233='check-Jul''26'!L233,"",'1. Live'!Q233-'check-Jul''26'!L233)</f>
        <v/>
      </c>
      <c r="U215" s="80" t="str">
        <f>IF('1. Live'!R233='check-Jul''26'!M233,"",'1. Live'!R233-'check-Jul''26'!M233)</f>
        <v/>
      </c>
      <c r="V215" s="26" t="str">
        <f>IF('1. Live'!S233='check-Jul''26'!N233,"",'1. Live'!S233-'check-Jul''26'!N233)</f>
        <v/>
      </c>
      <c r="W215" s="25" t="str">
        <f>IF('1. Live'!T233='check-Jul''26'!O233,"",'1. Live'!T233-'check-Jul''26'!O233)</f>
        <v/>
      </c>
      <c r="X215" s="25" t="str">
        <f>IF('1. Live'!U233='check-Jul''26'!Q233,"",'1. Live'!U233-'check-Jul''26'!Q233)</f>
        <v/>
      </c>
      <c r="Y215" s="25" t="str">
        <f>IF('1. Live'!V233='check-Jul''26'!R233,"",'1. Live'!V233-'check-Jul''26'!R233)</f>
        <v/>
      </c>
      <c r="Z215" s="25" t="str">
        <f>IF('1. Live'!W233='check-Jul''26'!S233,"",'1. Live'!W233-'check-Jul''26'!S233)</f>
        <v/>
      </c>
      <c r="AA215" s="25" t="str">
        <f>IF('1. Live'!X233='check-Jul''26'!T233,"",'1. Live'!X233-'check-Jul''26'!T233)</f>
        <v/>
      </c>
      <c r="AB215" s="25" t="str">
        <f>IF('1. Live'!AF233='check-Jul''26'!AB233,"",'1. Live'!AF233-'check-Jul''26'!AB233)</f>
        <v/>
      </c>
      <c r="AC215" s="25" t="str">
        <f>IF('1. Live'!AG233='check-Jul''26'!AC233,"",'1. Live'!AG233-'check-Jul''26'!AC233)</f>
        <v/>
      </c>
      <c r="AD215" s="25" t="str">
        <f>IF('1. Live'!AH233='check-Jul''26'!AD233,"",'1. Live'!AH233-'check-Jul''26'!AD233)</f>
        <v/>
      </c>
      <c r="AE215" s="25" t="str">
        <f>IF('1. Live'!AI233='check-Jul''26'!AE233,"",'1. Live'!AI233-'check-Jul''26'!AE233)</f>
        <v/>
      </c>
      <c r="AF215" s="25" t="str">
        <f>IF('1. Live'!AJ233='check-Jul''26'!AF233,"",'1. Live'!AJ233-'check-Jul''26'!AF233)</f>
        <v/>
      </c>
      <c r="AG215" s="25" t="str">
        <f>IF('1. Live'!AK233='check-Jul''26'!AG233,"",'1. Live'!AK233-'check-Jul''26'!AG233)</f>
        <v/>
      </c>
      <c r="AH215" s="25" t="str">
        <f>IF('1. Live'!AL233='check-Jul''26'!AH233,"",'1. Live'!AL233-'check-Jul''26'!AH233)</f>
        <v/>
      </c>
      <c r="AI215" s="25" t="str">
        <f>IF('1. Live'!AM233='check-Jul''26'!AI233,"",'1. Live'!AM233-'check-Jul''26'!AI233)</f>
        <v/>
      </c>
      <c r="AJ215" s="25" t="str">
        <f>IF('1. Live'!AN233='check-Jul''26'!AJ233,"",'1. Live'!AN233-'check-Jul''26'!AJ233)</f>
        <v/>
      </c>
      <c r="AK215" s="25" t="str">
        <f>IF('1. Live'!AO233='check-Jul''26'!AK233,"",'1. Live'!AO233-'check-Jul''26'!AK233)</f>
        <v/>
      </c>
      <c r="AL215" s="25" t="str">
        <f>IF('1. Live'!AP233='check-Jul''26'!AL233,"",'1. Live'!AP233-'check-Jul''26'!AL233)</f>
        <v/>
      </c>
      <c r="AM215" s="25" t="str">
        <f>IF('1. Live'!AQ233='check-Jul''26'!AM233,"",'1. Live'!AQ233-'check-Jul''26'!AM233)</f>
        <v/>
      </c>
      <c r="AN215" s="25" t="str">
        <f>IF('1. Live'!AR233='check-Jul''26'!AN233,"",'1. Live'!AR233-'check-Jul''26'!AN233)</f>
        <v/>
      </c>
      <c r="AO215" s="25" t="str">
        <f>IF('1. Live'!AS233='check-Jul''26'!AO233,"",'1. Live'!AS233-'check-Jul''26'!AO233)</f>
        <v/>
      </c>
      <c r="AP215" s="25" t="str">
        <f>IF('1. Live'!AT233='check-Jul''26'!AP233,"",'1. Live'!AT233-'check-Jul''26'!AP233)</f>
        <v/>
      </c>
      <c r="AQ215" s="25" t="str">
        <f>IF('1. Live'!AU233='check-Jul''26'!AQ233,"",'1. Live'!AU233-'check-Jul''26'!AQ233)</f>
        <v/>
      </c>
      <c r="AR215" s="25" t="str">
        <f>IF('1. Live'!AV233='check-Jul''26'!AR233,"",'1. Live'!AV233-'check-Jul''26'!AR233)</f>
        <v/>
      </c>
      <c r="AS215" s="25" t="str">
        <f>IF('1. Live'!AW233='check-Jul''26'!AS233,"",'1. Live'!AW233-'check-Jul''26'!AS233)</f>
        <v/>
      </c>
      <c r="AT215" s="25" t="str">
        <f>IF('1. Live'!AX233='check-Jul''26'!AT233,"",'1. Live'!AX233-'check-Jul''26'!AT233)</f>
        <v/>
      </c>
      <c r="AU215" s="25" t="str">
        <f>IF('1. Live'!AY233='check-Jul''26'!AU233,"",'1. Live'!AY233-'check-Jul''26'!AU233)</f>
        <v/>
      </c>
      <c r="AV215" s="25" t="str">
        <f>IF('1. Live'!AZ233='check-Jul''26'!AV233,"",'1. Live'!AZ233-'check-Jul''26'!AV233)</f>
        <v/>
      </c>
      <c r="AW215" s="25" t="str">
        <f>IF('1. Live'!BA233='check-Jul''26'!AW233,"",'1. Live'!BA233-'check-Jul''26'!AW233)</f>
        <v/>
      </c>
      <c r="AX215" s="25" t="str">
        <f>IF('1. Live'!BB233='check-Jul''26'!AX233,"",'1. Live'!BB233-'check-Jul''26'!AX233)</f>
        <v/>
      </c>
      <c r="AY215" s="25" t="str">
        <f>IF('1. Live'!BC233='check-Jul''26'!AY233,"",'1. Live'!BC233-'check-Jul''26'!AY233)</f>
        <v/>
      </c>
      <c r="AZ215" s="25" t="str">
        <f>IF('1. Live'!BD233='check-Jul''26'!AZ233,"",'1. Live'!BD233-'check-Jul''26'!AZ233)</f>
        <v/>
      </c>
      <c r="BA215" s="25" t="str">
        <f>IF('1. Live'!BE233='check-Jul''26'!BA233,"",'1. Live'!BE233-'check-Jul''26'!BA233)</f>
        <v/>
      </c>
      <c r="BB215" s="25" t="str">
        <f>IF('1. Live'!BF233='check-Jul''26'!BB233,"",'1. Live'!BF233-'check-Jul''26'!BB233)</f>
        <v/>
      </c>
      <c r="BC215" s="25" t="str">
        <f>IF('1. Live'!BG233='check-Jul''26'!BC233,"",'1. Live'!BG233-'check-Jul''26'!BC233)</f>
        <v/>
      </c>
      <c r="BD215" s="25" t="str">
        <f>IF('1. Live'!BH233='check-Jul''26'!BD233,"",'1. Live'!BH233-'check-Jul''26'!BD233)</f>
        <v/>
      </c>
      <c r="BE215" s="25" t="str">
        <f>IF('1. Live'!BI233='check-Jul''26'!BE233,"",'1. Live'!BI233-'check-Jul''26'!BE233)</f>
        <v/>
      </c>
      <c r="BF215" s="25" t="str">
        <f>IF('1. Live'!BJ233='check-Jul''26'!BF233,"",'1. Live'!BJ233-'check-Jul''26'!BF233)</f>
        <v/>
      </c>
      <c r="BG215" s="25" t="str">
        <f>IF('1. Live'!BK233='check-Jul''26'!BG233,"",'1. Live'!BK233-'check-Jul''26'!BG233)</f>
        <v/>
      </c>
      <c r="BH215" s="25" t="str">
        <f>IF('1. Live'!BL233='check-Jul''26'!BH233,"",'1. Live'!BL233-'check-Jul''26'!BH233)</f>
        <v/>
      </c>
      <c r="BI215" s="25" t="str">
        <f>IF('1. Live'!BM233='check-Jul''26'!BI233,"",'1. Live'!BM233-'check-Jul''26'!BI233)</f>
        <v/>
      </c>
      <c r="BJ215" s="25" t="str">
        <f>IF('1. Live'!BN233='check-Jul''26'!BJ233,"",'1. Live'!BN233-'check-Jul''26'!BJ233)</f>
        <v/>
      </c>
      <c r="BK215" s="25" t="str">
        <f>IF('1. Live'!BO233='check-Jul''26'!BK233,"",'1. Live'!BO233-'check-Jul''26'!BK233)</f>
        <v/>
      </c>
      <c r="BL215" s="25" t="str">
        <f>IF('1. Live'!BP233='check-Jul''26'!BL233,"",'1. Live'!BP233-'check-Jul''26'!BL233)</f>
        <v/>
      </c>
      <c r="BM215" s="25" t="str">
        <f>IF('1. Live'!BQ233='check-Jul''26'!BM233,"",'1. Live'!BQ233-'check-Jul''26'!BM233)</f>
        <v/>
      </c>
      <c r="BN215" s="25" t="str">
        <f>IF('1. Live'!BR233='check-Jul''26'!BN233,"",'1. Live'!BR233-'check-Jul''26'!BN233)</f>
        <v/>
      </c>
      <c r="BO215" s="25" t="str">
        <f>IF('1. Live'!BS233='check-Jul''26'!BO233,"",'1. Live'!BS233-'check-Jul''26'!BO233)</f>
        <v/>
      </c>
      <c r="BP215" s="25" t="str">
        <f>IF('1. Live'!BT233='check-Jul''26'!BP233,"",'1. Live'!BT233-'check-Jul''26'!BP233)</f>
        <v/>
      </c>
      <c r="BQ215" s="25" t="str">
        <f>IF('1. Live'!BU233='check-Jul''26'!BQ233,"",'1. Live'!BU233-'check-Jul''26'!BQ233)</f>
        <v/>
      </c>
      <c r="BR215" s="25" t="str">
        <f>IF('1. Live'!BV233='check-Jul''26'!BR233,"",'1. Live'!BV233-'check-Jul''26'!BR233)</f>
        <v/>
      </c>
      <c r="BS215" s="25" t="str">
        <f>IF('1. Live'!BW233='check-Jul''26'!BS233,"",'1. Live'!BW233-'check-Jul''26'!BS233)</f>
        <v/>
      </c>
      <c r="BT215" s="25" t="str">
        <f>IF('1. Live'!BX233='check-Jul''26'!BT233,"",'1. Live'!BX233-'check-Jul''26'!BT233)</f>
        <v/>
      </c>
      <c r="BU215" s="25" t="str">
        <f>IF('1. Live'!BY233='check-Jul''26'!BU233,"",'1. Live'!BY233-'check-Jul''26'!BU233)</f>
        <v/>
      </c>
      <c r="BV215" s="25" t="str">
        <f>IF('1. Live'!BZ233='check-Jul''26'!BV233,"",'1. Live'!BZ233-'check-Jul''26'!BV233)</f>
        <v/>
      </c>
      <c r="BW215" s="25" t="str">
        <f>IF('1. Live'!CA233='check-Jul''26'!BW233,"",'1. Live'!CA233-'check-Jul''26'!BW233)</f>
        <v/>
      </c>
      <c r="BX215" s="25" t="str">
        <f>IF('1. Live'!CB233='check-Jul''26'!BX233,"",'1. Live'!CB233-'check-Jul''26'!BX233)</f>
        <v/>
      </c>
      <c r="BY215" s="25" t="str">
        <f>IF('1. Live'!CC233='check-Jul''26'!BY233,"",'1. Live'!CC233-'check-Jul''26'!BY233)</f>
        <v/>
      </c>
      <c r="BZ215" s="25" t="str">
        <f>IF('1. Live'!CD233='check-Jul''26'!BZ233,"",'1. Live'!CD233-'check-Jul''26'!BZ233)</f>
        <v/>
      </c>
      <c r="CA215" s="25" t="str">
        <f>IF('1. Live'!CE233='check-Jul''26'!CA233,"",'1. Live'!CE233-'check-Jul''26'!CA233)</f>
        <v/>
      </c>
      <c r="CB215" s="25" t="str">
        <f>IF('1. Live'!CF233='check-Jul''26'!CB233,"",'1. Live'!CF233-'check-Jul''26'!CB233)</f>
        <v/>
      </c>
      <c r="CC215" s="25" t="str">
        <f>IF('1. Live'!CG233='check-Jul''26'!CC233,"",'1. Live'!CG233-'check-Jul''26'!CC233)</f>
        <v/>
      </c>
      <c r="CD215" s="25" t="str">
        <f>IF('1. Live'!CH233='check-Jul''26'!CD233,"",'1. Live'!CH233-'check-Jul''26'!CD233)</f>
        <v/>
      </c>
      <c r="CE215" s="25" t="str">
        <f>IF('1. Live'!CI233='check-Jul''26'!CE233,"",'1. Live'!CI233-'check-Jul''26'!CE233)</f>
        <v/>
      </c>
      <c r="CF215" s="25" t="str">
        <f>IF('1. Live'!CJ233='check-Jul''26'!CF233,"",'1. Live'!CJ233-'check-Jul''26'!CF233)</f>
        <v/>
      </c>
      <c r="CG215" s="25" t="str">
        <f>IF('1. Live'!CK233='check-Jul''26'!CG233,"",'1. Live'!CK233-'check-Jul''26'!CG233)</f>
        <v/>
      </c>
      <c r="CH215" s="25" t="str">
        <f>IF('1. Live'!CL233='check-Jul''26'!CH233,"",'1. Live'!CL233-'check-Jul''26'!CH233)</f>
        <v/>
      </c>
      <c r="CI215" s="25" t="str">
        <f>IF('1. Live'!CM233='check-Jul''26'!CI233,"",'1. Live'!CM233-'check-Jul''26'!CI233)</f>
        <v/>
      </c>
      <c r="CJ215" s="25" t="str">
        <f>IF('1. Live'!CN233='check-Jul''26'!CJ233,"",'1. Live'!CN233-'check-Jul''26'!CJ233)</f>
        <v/>
      </c>
      <c r="CK215" s="25" t="str">
        <f>IF('1. Live'!CO233='check-Jul''26'!CK233,"",'1. Live'!CO233-'check-Jul''26'!CK233)</f>
        <v/>
      </c>
      <c r="CL215" s="25" t="str">
        <f>IF('1. Live'!CP233='check-Jul''26'!CL233,"",'1. Live'!CP233-'check-Jul''26'!CL233)</f>
        <v/>
      </c>
      <c r="CM215" s="25" t="str">
        <f>IF('1. Live'!CQ233='check-Jul''26'!CM233,"",'1. Live'!CQ233-'check-Jul''26'!CM233)</f>
        <v/>
      </c>
      <c r="CN215" s="25" t="str">
        <f>IF('1. Live'!CR233='check-Jul''26'!CN233,"",'1. Live'!CR233-'check-Jul''26'!CN233)</f>
        <v/>
      </c>
      <c r="CO215" s="25" t="str">
        <f>IF('1. Live'!CS233='check-Jul''26'!CO233,"",'1. Live'!CS233-'check-Jul''26'!CO233)</f>
        <v/>
      </c>
      <c r="CP215" s="25" t="str">
        <f>IF('1. Live'!CT233='check-Jul''26'!CP233,"",'1. Live'!CT233-'check-Jul''26'!CP233)</f>
        <v/>
      </c>
      <c r="CQ215" s="25" t="str">
        <f>IF('1. Live'!CU233='check-Jul''26'!CQ233,"",'1. Live'!CU233-'check-Jul''26'!CQ233)</f>
        <v/>
      </c>
      <c r="CR215" s="25" t="str">
        <f>IF('1. Live'!CV233='check-Jul''26'!CR233,"",'1. Live'!CV233-'check-Jul''26'!CR233)</f>
        <v/>
      </c>
      <c r="CS215" s="25" t="str">
        <f>IF('1. Live'!CW233='check-Jul''26'!CS233,"",'1. Live'!CW233-'check-Jul''26'!CS233)</f>
        <v/>
      </c>
      <c r="CT215" s="25" t="str">
        <f>IF('1. Live'!CX233='check-Jul''26'!CT233,"",'1. Live'!CX233-'check-Jul''26'!CT233)</f>
        <v/>
      </c>
      <c r="CU215" s="25" t="str">
        <f>IF('1. Live'!CY233='check-Jul''26'!CU233,"",'1. Live'!CY233-'check-Jul''26'!CU233)</f>
        <v/>
      </c>
      <c r="CV215" s="25" t="str">
        <f>IF('1. Live'!CZ233='check-Jul''26'!CV233,"",'1. Live'!CZ233-'check-Jul''26'!CV233)</f>
        <v/>
      </c>
    </row>
    <row r="216" spans="17:100" x14ac:dyDescent="0.25">
      <c r="Q216" s="26" t="str">
        <f>IF('1. Live'!N234='check-Jul''26'!I234,"",'1. Live'!N234-'check-Jul''26'!I234)</f>
        <v/>
      </c>
      <c r="R216" s="26" t="str">
        <f>IF('1. Live'!O234='check-Jul''26'!J234,"",'1. Live'!O234-'check-Jul''26'!J234)</f>
        <v/>
      </c>
      <c r="S216" s="26" t="str">
        <f>IF('1. Live'!P234='check-Jul''26'!K234,"",'1. Live'!P234-'check-Jul''26'!K234)</f>
        <v/>
      </c>
      <c r="T216" s="26" t="str">
        <f>IF('1. Live'!Q234='check-Jul''26'!L234,"",'1. Live'!Q234-'check-Jul''26'!L234)</f>
        <v/>
      </c>
      <c r="U216" s="80" t="str">
        <f>IF('1. Live'!R234='check-Jul''26'!M234,"",'1. Live'!R234-'check-Jul''26'!M234)</f>
        <v/>
      </c>
      <c r="V216" s="26" t="str">
        <f>IF('1. Live'!S234='check-Jul''26'!N234,"",'1. Live'!S234-'check-Jul''26'!N234)</f>
        <v/>
      </c>
      <c r="W216" s="25" t="str">
        <f>IF('1. Live'!T234='check-Jul''26'!O234,"",'1. Live'!T234-'check-Jul''26'!O234)</f>
        <v/>
      </c>
      <c r="X216" s="25" t="str">
        <f>IF('1. Live'!U234='check-Jul''26'!Q234,"",'1. Live'!U234-'check-Jul''26'!Q234)</f>
        <v/>
      </c>
      <c r="Y216" s="25" t="str">
        <f>IF('1. Live'!V234='check-Jul''26'!R234,"",'1. Live'!V234-'check-Jul''26'!R234)</f>
        <v/>
      </c>
      <c r="Z216" s="25" t="str">
        <f>IF('1. Live'!W234='check-Jul''26'!S234,"",'1. Live'!W234-'check-Jul''26'!S234)</f>
        <v/>
      </c>
      <c r="AA216" s="25" t="str">
        <f>IF('1. Live'!X234='check-Jul''26'!T234,"",'1. Live'!X234-'check-Jul''26'!T234)</f>
        <v/>
      </c>
      <c r="AB216" s="25" t="str">
        <f>IF('1. Live'!AF234='check-Jul''26'!AB234,"",'1. Live'!AF234-'check-Jul''26'!AB234)</f>
        <v/>
      </c>
      <c r="AC216" s="25" t="str">
        <f>IF('1. Live'!AG234='check-Jul''26'!AC234,"",'1. Live'!AG234-'check-Jul''26'!AC234)</f>
        <v/>
      </c>
      <c r="AD216" s="25" t="str">
        <f>IF('1. Live'!AH234='check-Jul''26'!AD234,"",'1. Live'!AH234-'check-Jul''26'!AD234)</f>
        <v/>
      </c>
      <c r="AE216" s="25" t="str">
        <f>IF('1. Live'!AI234='check-Jul''26'!AE234,"",'1. Live'!AI234-'check-Jul''26'!AE234)</f>
        <v/>
      </c>
      <c r="AF216" s="25" t="str">
        <f>IF('1. Live'!AJ234='check-Jul''26'!AF234,"",'1. Live'!AJ234-'check-Jul''26'!AF234)</f>
        <v/>
      </c>
      <c r="AG216" s="25" t="str">
        <f>IF('1. Live'!AK234='check-Jul''26'!AG234,"",'1. Live'!AK234-'check-Jul''26'!AG234)</f>
        <v/>
      </c>
      <c r="AH216" s="25" t="str">
        <f>IF('1. Live'!AL234='check-Jul''26'!AH234,"",'1. Live'!AL234-'check-Jul''26'!AH234)</f>
        <v/>
      </c>
      <c r="AI216" s="25" t="str">
        <f>IF('1. Live'!AM234='check-Jul''26'!AI234,"",'1. Live'!AM234-'check-Jul''26'!AI234)</f>
        <v/>
      </c>
      <c r="AJ216" s="25" t="str">
        <f>IF('1. Live'!AN234='check-Jul''26'!AJ234,"",'1. Live'!AN234-'check-Jul''26'!AJ234)</f>
        <v/>
      </c>
      <c r="AK216" s="25" t="str">
        <f>IF('1. Live'!AO234='check-Jul''26'!AK234,"",'1. Live'!AO234-'check-Jul''26'!AK234)</f>
        <v/>
      </c>
      <c r="AL216" s="25" t="str">
        <f>IF('1. Live'!AP234='check-Jul''26'!AL234,"",'1. Live'!AP234-'check-Jul''26'!AL234)</f>
        <v/>
      </c>
      <c r="AM216" s="25" t="str">
        <f>IF('1. Live'!AQ234='check-Jul''26'!AM234,"",'1. Live'!AQ234-'check-Jul''26'!AM234)</f>
        <v/>
      </c>
      <c r="AN216" s="25" t="str">
        <f>IF('1. Live'!AR234='check-Jul''26'!AN234,"",'1. Live'!AR234-'check-Jul''26'!AN234)</f>
        <v/>
      </c>
      <c r="AO216" s="25" t="str">
        <f>IF('1. Live'!AS234='check-Jul''26'!AO234,"",'1. Live'!AS234-'check-Jul''26'!AO234)</f>
        <v/>
      </c>
      <c r="AP216" s="25" t="str">
        <f>IF('1. Live'!AT234='check-Jul''26'!AP234,"",'1. Live'!AT234-'check-Jul''26'!AP234)</f>
        <v/>
      </c>
      <c r="AQ216" s="25" t="str">
        <f>IF('1. Live'!AU234='check-Jul''26'!AQ234,"",'1. Live'!AU234-'check-Jul''26'!AQ234)</f>
        <v/>
      </c>
      <c r="AR216" s="25" t="str">
        <f>IF('1. Live'!AV234='check-Jul''26'!AR234,"",'1. Live'!AV234-'check-Jul''26'!AR234)</f>
        <v/>
      </c>
      <c r="AS216" s="25" t="str">
        <f>IF('1. Live'!AW234='check-Jul''26'!AS234,"",'1. Live'!AW234-'check-Jul''26'!AS234)</f>
        <v/>
      </c>
      <c r="AT216" s="25" t="str">
        <f>IF('1. Live'!AX234='check-Jul''26'!AT234,"",'1. Live'!AX234-'check-Jul''26'!AT234)</f>
        <v/>
      </c>
      <c r="AU216" s="25" t="str">
        <f>IF('1. Live'!AY234='check-Jul''26'!AU234,"",'1. Live'!AY234-'check-Jul''26'!AU234)</f>
        <v/>
      </c>
      <c r="AV216" s="25" t="str">
        <f>IF('1. Live'!AZ234='check-Jul''26'!AV234,"",'1. Live'!AZ234-'check-Jul''26'!AV234)</f>
        <v/>
      </c>
      <c r="AW216" s="25" t="str">
        <f>IF('1. Live'!BA234='check-Jul''26'!AW234,"",'1. Live'!BA234-'check-Jul''26'!AW234)</f>
        <v/>
      </c>
      <c r="AX216" s="25" t="str">
        <f>IF('1. Live'!BB234='check-Jul''26'!AX234,"",'1. Live'!BB234-'check-Jul''26'!AX234)</f>
        <v/>
      </c>
      <c r="AY216" s="25" t="str">
        <f>IF('1. Live'!BC234='check-Jul''26'!AY234,"",'1. Live'!BC234-'check-Jul''26'!AY234)</f>
        <v/>
      </c>
      <c r="AZ216" s="25" t="str">
        <f>IF('1. Live'!BD234='check-Jul''26'!AZ234,"",'1. Live'!BD234-'check-Jul''26'!AZ234)</f>
        <v/>
      </c>
      <c r="BA216" s="25" t="str">
        <f>IF('1. Live'!BE234='check-Jul''26'!BA234,"",'1. Live'!BE234-'check-Jul''26'!BA234)</f>
        <v/>
      </c>
      <c r="BB216" s="25" t="str">
        <f>IF('1. Live'!BF234='check-Jul''26'!BB234,"",'1. Live'!BF234-'check-Jul''26'!BB234)</f>
        <v/>
      </c>
      <c r="BC216" s="25" t="str">
        <f>IF('1. Live'!BG234='check-Jul''26'!BC234,"",'1. Live'!BG234-'check-Jul''26'!BC234)</f>
        <v/>
      </c>
      <c r="BD216" s="25" t="str">
        <f>IF('1. Live'!BH234='check-Jul''26'!BD234,"",'1. Live'!BH234-'check-Jul''26'!BD234)</f>
        <v/>
      </c>
      <c r="BE216" s="25" t="str">
        <f>IF('1. Live'!BI234='check-Jul''26'!BE234,"",'1. Live'!BI234-'check-Jul''26'!BE234)</f>
        <v/>
      </c>
      <c r="BF216" s="25" t="str">
        <f>IF('1. Live'!BJ234='check-Jul''26'!BF234,"",'1. Live'!BJ234-'check-Jul''26'!BF234)</f>
        <v/>
      </c>
      <c r="BG216" s="25" t="str">
        <f>IF('1. Live'!BK234='check-Jul''26'!BG234,"",'1. Live'!BK234-'check-Jul''26'!BG234)</f>
        <v/>
      </c>
      <c r="BH216" s="25" t="str">
        <f>IF('1. Live'!BL234='check-Jul''26'!BH234,"",'1. Live'!BL234-'check-Jul''26'!BH234)</f>
        <v/>
      </c>
      <c r="BI216" s="25" t="str">
        <f>IF('1. Live'!BM234='check-Jul''26'!BI234,"",'1. Live'!BM234-'check-Jul''26'!BI234)</f>
        <v/>
      </c>
      <c r="BJ216" s="25" t="str">
        <f>IF('1. Live'!BN234='check-Jul''26'!BJ234,"",'1. Live'!BN234-'check-Jul''26'!BJ234)</f>
        <v/>
      </c>
      <c r="BK216" s="25" t="str">
        <f>IF('1. Live'!BO234='check-Jul''26'!BK234,"",'1. Live'!BO234-'check-Jul''26'!BK234)</f>
        <v/>
      </c>
      <c r="BL216" s="25" t="str">
        <f>IF('1. Live'!BP234='check-Jul''26'!BL234,"",'1. Live'!BP234-'check-Jul''26'!BL234)</f>
        <v/>
      </c>
      <c r="BM216" s="25" t="str">
        <f>IF('1. Live'!BQ234='check-Jul''26'!BM234,"",'1. Live'!BQ234-'check-Jul''26'!BM234)</f>
        <v/>
      </c>
      <c r="BN216" s="25" t="str">
        <f>IF('1. Live'!BR234='check-Jul''26'!BN234,"",'1. Live'!BR234-'check-Jul''26'!BN234)</f>
        <v/>
      </c>
      <c r="BO216" s="25" t="str">
        <f>IF('1. Live'!BS234='check-Jul''26'!BO234,"",'1. Live'!BS234-'check-Jul''26'!BO234)</f>
        <v/>
      </c>
      <c r="BP216" s="25" t="str">
        <f>IF('1. Live'!BT234='check-Jul''26'!BP234,"",'1. Live'!BT234-'check-Jul''26'!BP234)</f>
        <v/>
      </c>
      <c r="BQ216" s="25" t="str">
        <f>IF('1. Live'!BU234='check-Jul''26'!BQ234,"",'1. Live'!BU234-'check-Jul''26'!BQ234)</f>
        <v/>
      </c>
      <c r="BR216" s="25" t="str">
        <f>IF('1. Live'!BV234='check-Jul''26'!BR234,"",'1. Live'!BV234-'check-Jul''26'!BR234)</f>
        <v/>
      </c>
      <c r="BS216" s="25" t="str">
        <f>IF('1. Live'!BW234='check-Jul''26'!BS234,"",'1. Live'!BW234-'check-Jul''26'!BS234)</f>
        <v/>
      </c>
      <c r="BT216" s="25" t="str">
        <f>IF('1. Live'!BX234='check-Jul''26'!BT234,"",'1. Live'!BX234-'check-Jul''26'!BT234)</f>
        <v/>
      </c>
      <c r="BU216" s="25" t="str">
        <f>IF('1. Live'!BY234='check-Jul''26'!BU234,"",'1. Live'!BY234-'check-Jul''26'!BU234)</f>
        <v/>
      </c>
      <c r="BV216" s="25" t="str">
        <f>IF('1. Live'!BZ234='check-Jul''26'!BV234,"",'1. Live'!BZ234-'check-Jul''26'!BV234)</f>
        <v/>
      </c>
      <c r="BW216" s="25" t="str">
        <f>IF('1. Live'!CA234='check-Jul''26'!BW234,"",'1. Live'!CA234-'check-Jul''26'!BW234)</f>
        <v/>
      </c>
      <c r="BX216" s="25" t="str">
        <f>IF('1. Live'!CB234='check-Jul''26'!BX234,"",'1. Live'!CB234-'check-Jul''26'!BX234)</f>
        <v/>
      </c>
      <c r="BY216" s="25" t="str">
        <f>IF('1. Live'!CC234='check-Jul''26'!BY234,"",'1. Live'!CC234-'check-Jul''26'!BY234)</f>
        <v/>
      </c>
      <c r="BZ216" s="25" t="str">
        <f>IF('1. Live'!CD234='check-Jul''26'!BZ234,"",'1. Live'!CD234-'check-Jul''26'!BZ234)</f>
        <v/>
      </c>
      <c r="CA216" s="25" t="str">
        <f>IF('1. Live'!CE234='check-Jul''26'!CA234,"",'1. Live'!CE234-'check-Jul''26'!CA234)</f>
        <v/>
      </c>
      <c r="CB216" s="25" t="str">
        <f>IF('1. Live'!CF234='check-Jul''26'!CB234,"",'1. Live'!CF234-'check-Jul''26'!CB234)</f>
        <v/>
      </c>
      <c r="CC216" s="25" t="str">
        <f>IF('1. Live'!CG234='check-Jul''26'!CC234,"",'1. Live'!CG234-'check-Jul''26'!CC234)</f>
        <v/>
      </c>
      <c r="CD216" s="25" t="str">
        <f>IF('1. Live'!CH234='check-Jul''26'!CD234,"",'1. Live'!CH234-'check-Jul''26'!CD234)</f>
        <v/>
      </c>
      <c r="CE216" s="25" t="str">
        <f>IF('1. Live'!CI234='check-Jul''26'!CE234,"",'1. Live'!CI234-'check-Jul''26'!CE234)</f>
        <v/>
      </c>
      <c r="CF216" s="25" t="str">
        <f>IF('1. Live'!CJ234='check-Jul''26'!CF234,"",'1. Live'!CJ234-'check-Jul''26'!CF234)</f>
        <v/>
      </c>
      <c r="CG216" s="25" t="str">
        <f>IF('1. Live'!CK234='check-Jul''26'!CG234,"",'1. Live'!CK234-'check-Jul''26'!CG234)</f>
        <v/>
      </c>
      <c r="CH216" s="25" t="str">
        <f>IF('1. Live'!CL234='check-Jul''26'!CH234,"",'1. Live'!CL234-'check-Jul''26'!CH234)</f>
        <v/>
      </c>
      <c r="CI216" s="25" t="str">
        <f>IF('1. Live'!CM234='check-Jul''26'!CI234,"",'1. Live'!CM234-'check-Jul''26'!CI234)</f>
        <v/>
      </c>
      <c r="CJ216" s="25" t="str">
        <f>IF('1. Live'!CN234='check-Jul''26'!CJ234,"",'1. Live'!CN234-'check-Jul''26'!CJ234)</f>
        <v/>
      </c>
      <c r="CK216" s="25" t="str">
        <f>IF('1. Live'!CO234='check-Jul''26'!CK234,"",'1. Live'!CO234-'check-Jul''26'!CK234)</f>
        <v/>
      </c>
      <c r="CL216" s="25" t="str">
        <f>IF('1. Live'!CP234='check-Jul''26'!CL234,"",'1. Live'!CP234-'check-Jul''26'!CL234)</f>
        <v/>
      </c>
      <c r="CM216" s="25" t="str">
        <f>IF('1. Live'!CQ234='check-Jul''26'!CM234,"",'1. Live'!CQ234-'check-Jul''26'!CM234)</f>
        <v/>
      </c>
      <c r="CN216" s="25" t="str">
        <f>IF('1. Live'!CR234='check-Jul''26'!CN234,"",'1. Live'!CR234-'check-Jul''26'!CN234)</f>
        <v/>
      </c>
      <c r="CO216" s="25" t="str">
        <f>IF('1. Live'!CS234='check-Jul''26'!CO234,"",'1. Live'!CS234-'check-Jul''26'!CO234)</f>
        <v/>
      </c>
      <c r="CP216" s="25" t="str">
        <f>IF('1. Live'!CT234='check-Jul''26'!CP234,"",'1. Live'!CT234-'check-Jul''26'!CP234)</f>
        <v/>
      </c>
      <c r="CQ216" s="25" t="str">
        <f>IF('1. Live'!CU234='check-Jul''26'!CQ234,"",'1. Live'!CU234-'check-Jul''26'!CQ234)</f>
        <v/>
      </c>
      <c r="CR216" s="25" t="str">
        <f>IF('1. Live'!CV234='check-Jul''26'!CR234,"",'1. Live'!CV234-'check-Jul''26'!CR234)</f>
        <v/>
      </c>
      <c r="CS216" s="25" t="str">
        <f>IF('1. Live'!CW234='check-Jul''26'!CS234,"",'1. Live'!CW234-'check-Jul''26'!CS234)</f>
        <v/>
      </c>
      <c r="CT216" s="25" t="str">
        <f>IF('1. Live'!CX234='check-Jul''26'!CT234,"",'1. Live'!CX234-'check-Jul''26'!CT234)</f>
        <v/>
      </c>
      <c r="CU216" s="25" t="str">
        <f>IF('1. Live'!CY234='check-Jul''26'!CU234,"",'1. Live'!CY234-'check-Jul''26'!CU234)</f>
        <v/>
      </c>
      <c r="CV216" s="25" t="str">
        <f>IF('1. Live'!CZ234='check-Jul''26'!CV234,"",'1. Live'!CZ234-'check-Jul''26'!CV234)</f>
        <v/>
      </c>
    </row>
    <row r="217" spans="17:100" x14ac:dyDescent="0.25">
      <c r="Q217" s="26" t="str">
        <f>IF('1. Live'!N235='check-Jul''26'!I235,"",'1. Live'!N235-'check-Jul''26'!I235)</f>
        <v/>
      </c>
      <c r="R217" s="26" t="str">
        <f>IF('1. Live'!O235='check-Jul''26'!J235,"",'1. Live'!O235-'check-Jul''26'!J235)</f>
        <v/>
      </c>
      <c r="S217" s="26" t="str">
        <f>IF('1. Live'!P235='check-Jul''26'!K235,"",'1. Live'!P235-'check-Jul''26'!K235)</f>
        <v/>
      </c>
      <c r="T217" s="26" t="str">
        <f>IF('1. Live'!Q235='check-Jul''26'!L235,"",'1. Live'!Q235-'check-Jul''26'!L235)</f>
        <v/>
      </c>
      <c r="U217" s="80" t="str">
        <f>IF('1. Live'!R235='check-Jul''26'!M235,"",'1. Live'!R235-'check-Jul''26'!M235)</f>
        <v/>
      </c>
      <c r="V217" s="26" t="str">
        <f>IF('1. Live'!S235='check-Jul''26'!N235,"",'1. Live'!S235-'check-Jul''26'!N235)</f>
        <v/>
      </c>
      <c r="W217" s="25" t="str">
        <f>IF('1. Live'!T235='check-Jul''26'!O235,"",'1. Live'!T235-'check-Jul''26'!O235)</f>
        <v/>
      </c>
      <c r="X217" s="25" t="str">
        <f>IF('1. Live'!U235='check-Jul''26'!Q235,"",'1. Live'!U235-'check-Jul''26'!Q235)</f>
        <v/>
      </c>
      <c r="Y217" s="25" t="str">
        <f>IF('1. Live'!V235='check-Jul''26'!R235,"",'1. Live'!V235-'check-Jul''26'!R235)</f>
        <v/>
      </c>
      <c r="Z217" s="25" t="str">
        <f>IF('1. Live'!W235='check-Jul''26'!S235,"",'1. Live'!W235-'check-Jul''26'!S235)</f>
        <v/>
      </c>
      <c r="AA217" s="25" t="str">
        <f>IF('1. Live'!X235='check-Jul''26'!T235,"",'1. Live'!X235-'check-Jul''26'!T235)</f>
        <v/>
      </c>
      <c r="AB217" s="25" t="str">
        <f>IF('1. Live'!AF235='check-Jul''26'!AB235,"",'1. Live'!AF235-'check-Jul''26'!AB235)</f>
        <v/>
      </c>
      <c r="AC217" s="25" t="str">
        <f>IF('1. Live'!AG235='check-Jul''26'!AC235,"",'1. Live'!AG235-'check-Jul''26'!AC235)</f>
        <v/>
      </c>
      <c r="AD217" s="25" t="str">
        <f>IF('1. Live'!AH235='check-Jul''26'!AD235,"",'1. Live'!AH235-'check-Jul''26'!AD235)</f>
        <v/>
      </c>
      <c r="AE217" s="25" t="str">
        <f>IF('1. Live'!AI235='check-Jul''26'!AE235,"",'1. Live'!AI235-'check-Jul''26'!AE235)</f>
        <v/>
      </c>
      <c r="AF217" s="25" t="str">
        <f>IF('1. Live'!AJ235='check-Jul''26'!AF235,"",'1. Live'!AJ235-'check-Jul''26'!AF235)</f>
        <v/>
      </c>
      <c r="AG217" s="25" t="str">
        <f>IF('1. Live'!AK235='check-Jul''26'!AG235,"",'1. Live'!AK235-'check-Jul''26'!AG235)</f>
        <v/>
      </c>
      <c r="AH217" s="25" t="str">
        <f>IF('1. Live'!AL235='check-Jul''26'!AH235,"",'1. Live'!AL235-'check-Jul''26'!AH235)</f>
        <v/>
      </c>
      <c r="AI217" s="25" t="str">
        <f>IF('1. Live'!AM235='check-Jul''26'!AI235,"",'1. Live'!AM235-'check-Jul''26'!AI235)</f>
        <v/>
      </c>
      <c r="AJ217" s="25" t="str">
        <f>IF('1. Live'!AN235='check-Jul''26'!AJ235,"",'1. Live'!AN235-'check-Jul''26'!AJ235)</f>
        <v/>
      </c>
      <c r="AK217" s="25" t="str">
        <f>IF('1. Live'!AO235='check-Jul''26'!AK235,"",'1. Live'!AO235-'check-Jul''26'!AK235)</f>
        <v/>
      </c>
      <c r="AL217" s="25" t="str">
        <f>IF('1. Live'!AP235='check-Jul''26'!AL235,"",'1. Live'!AP235-'check-Jul''26'!AL235)</f>
        <v/>
      </c>
      <c r="AM217" s="25" t="str">
        <f>IF('1. Live'!AQ235='check-Jul''26'!AM235,"",'1. Live'!AQ235-'check-Jul''26'!AM235)</f>
        <v/>
      </c>
      <c r="AN217" s="25" t="str">
        <f>IF('1. Live'!AR235='check-Jul''26'!AN235,"",'1. Live'!AR235-'check-Jul''26'!AN235)</f>
        <v/>
      </c>
      <c r="AO217" s="25" t="str">
        <f>IF('1. Live'!AS235='check-Jul''26'!AO235,"",'1. Live'!AS235-'check-Jul''26'!AO235)</f>
        <v/>
      </c>
      <c r="AP217" s="25" t="str">
        <f>IF('1. Live'!AT235='check-Jul''26'!AP235,"",'1. Live'!AT235-'check-Jul''26'!AP235)</f>
        <v/>
      </c>
      <c r="AQ217" s="25" t="str">
        <f>IF('1. Live'!AU235='check-Jul''26'!AQ235,"",'1. Live'!AU235-'check-Jul''26'!AQ235)</f>
        <v/>
      </c>
      <c r="AR217" s="25" t="str">
        <f>IF('1. Live'!AV235='check-Jul''26'!AR235,"",'1. Live'!AV235-'check-Jul''26'!AR235)</f>
        <v/>
      </c>
      <c r="AS217" s="25" t="str">
        <f>IF('1. Live'!AW235='check-Jul''26'!AS235,"",'1. Live'!AW235-'check-Jul''26'!AS235)</f>
        <v/>
      </c>
      <c r="AT217" s="25" t="str">
        <f>IF('1. Live'!AX235='check-Jul''26'!AT235,"",'1. Live'!AX235-'check-Jul''26'!AT235)</f>
        <v/>
      </c>
      <c r="AU217" s="25" t="str">
        <f>IF('1. Live'!AY235='check-Jul''26'!AU235,"",'1. Live'!AY235-'check-Jul''26'!AU235)</f>
        <v/>
      </c>
      <c r="AV217" s="25" t="str">
        <f>IF('1. Live'!AZ235='check-Jul''26'!AV235,"",'1. Live'!AZ235-'check-Jul''26'!AV235)</f>
        <v/>
      </c>
      <c r="AW217" s="25" t="str">
        <f>IF('1. Live'!BA235='check-Jul''26'!AW235,"",'1. Live'!BA235-'check-Jul''26'!AW235)</f>
        <v/>
      </c>
      <c r="AX217" s="25" t="str">
        <f>IF('1. Live'!BB235='check-Jul''26'!AX235,"",'1. Live'!BB235-'check-Jul''26'!AX235)</f>
        <v/>
      </c>
      <c r="AY217" s="25" t="str">
        <f>IF('1. Live'!BC235='check-Jul''26'!AY235,"",'1. Live'!BC235-'check-Jul''26'!AY235)</f>
        <v/>
      </c>
      <c r="AZ217" s="25" t="str">
        <f>IF('1. Live'!BD235='check-Jul''26'!AZ235,"",'1. Live'!BD235-'check-Jul''26'!AZ235)</f>
        <v/>
      </c>
      <c r="BA217" s="25" t="str">
        <f>IF('1. Live'!BE235='check-Jul''26'!BA235,"",'1. Live'!BE235-'check-Jul''26'!BA235)</f>
        <v/>
      </c>
      <c r="BB217" s="25" t="str">
        <f>IF('1. Live'!BF235='check-Jul''26'!BB235,"",'1. Live'!BF235-'check-Jul''26'!BB235)</f>
        <v/>
      </c>
      <c r="BC217" s="25" t="str">
        <f>IF('1. Live'!BG235='check-Jul''26'!BC235,"",'1. Live'!BG235-'check-Jul''26'!BC235)</f>
        <v/>
      </c>
      <c r="BD217" s="25" t="str">
        <f>IF('1. Live'!BH235='check-Jul''26'!BD235,"",'1. Live'!BH235-'check-Jul''26'!BD235)</f>
        <v/>
      </c>
      <c r="BE217" s="25" t="str">
        <f>IF('1. Live'!BI235='check-Jul''26'!BE235,"",'1. Live'!BI235-'check-Jul''26'!BE235)</f>
        <v/>
      </c>
      <c r="BF217" s="25" t="str">
        <f>IF('1. Live'!BJ235='check-Jul''26'!BF235,"",'1. Live'!BJ235-'check-Jul''26'!BF235)</f>
        <v/>
      </c>
      <c r="BG217" s="25" t="str">
        <f>IF('1. Live'!BK235='check-Jul''26'!BG235,"",'1. Live'!BK235-'check-Jul''26'!BG235)</f>
        <v/>
      </c>
      <c r="BH217" s="25" t="str">
        <f>IF('1. Live'!BL235='check-Jul''26'!BH235,"",'1. Live'!BL235-'check-Jul''26'!BH235)</f>
        <v/>
      </c>
      <c r="BI217" s="25" t="str">
        <f>IF('1. Live'!BM235='check-Jul''26'!BI235,"",'1. Live'!BM235-'check-Jul''26'!BI235)</f>
        <v/>
      </c>
      <c r="BJ217" s="25" t="str">
        <f>IF('1. Live'!BN235='check-Jul''26'!BJ235,"",'1. Live'!BN235-'check-Jul''26'!BJ235)</f>
        <v/>
      </c>
      <c r="BK217" s="25" t="str">
        <f>IF('1. Live'!BO235='check-Jul''26'!BK235,"",'1. Live'!BO235-'check-Jul''26'!BK235)</f>
        <v/>
      </c>
      <c r="BL217" s="25" t="str">
        <f>IF('1. Live'!BP235='check-Jul''26'!BL235,"",'1. Live'!BP235-'check-Jul''26'!BL235)</f>
        <v/>
      </c>
      <c r="BM217" s="25" t="str">
        <f>IF('1. Live'!BQ235='check-Jul''26'!BM235,"",'1. Live'!BQ235-'check-Jul''26'!BM235)</f>
        <v/>
      </c>
      <c r="BN217" s="25" t="str">
        <f>IF('1. Live'!BR235='check-Jul''26'!BN235,"",'1. Live'!BR235-'check-Jul''26'!BN235)</f>
        <v/>
      </c>
      <c r="BO217" s="25" t="str">
        <f>IF('1. Live'!BS235='check-Jul''26'!BO235,"",'1. Live'!BS235-'check-Jul''26'!BO235)</f>
        <v/>
      </c>
      <c r="BP217" s="25" t="str">
        <f>IF('1. Live'!BT235='check-Jul''26'!BP235,"",'1. Live'!BT235-'check-Jul''26'!BP235)</f>
        <v/>
      </c>
      <c r="BQ217" s="25" t="str">
        <f>IF('1. Live'!BU235='check-Jul''26'!BQ235,"",'1. Live'!BU235-'check-Jul''26'!BQ235)</f>
        <v/>
      </c>
      <c r="BR217" s="25" t="str">
        <f>IF('1. Live'!BV235='check-Jul''26'!BR235,"",'1. Live'!BV235-'check-Jul''26'!BR235)</f>
        <v/>
      </c>
      <c r="BS217" s="25" t="str">
        <f>IF('1. Live'!BW235='check-Jul''26'!BS235,"",'1. Live'!BW235-'check-Jul''26'!BS235)</f>
        <v/>
      </c>
      <c r="BT217" s="25" t="str">
        <f>IF('1. Live'!BX235='check-Jul''26'!BT235,"",'1. Live'!BX235-'check-Jul''26'!BT235)</f>
        <v/>
      </c>
      <c r="BU217" s="25" t="str">
        <f>IF('1. Live'!BY235='check-Jul''26'!BU235,"",'1. Live'!BY235-'check-Jul''26'!BU235)</f>
        <v/>
      </c>
      <c r="BV217" s="25" t="str">
        <f>IF('1. Live'!BZ235='check-Jul''26'!BV235,"",'1. Live'!BZ235-'check-Jul''26'!BV235)</f>
        <v/>
      </c>
      <c r="BW217" s="25" t="str">
        <f>IF('1. Live'!CA235='check-Jul''26'!BW235,"",'1. Live'!CA235-'check-Jul''26'!BW235)</f>
        <v/>
      </c>
      <c r="BX217" s="25" t="str">
        <f>IF('1. Live'!CB235='check-Jul''26'!BX235,"",'1. Live'!CB235-'check-Jul''26'!BX235)</f>
        <v/>
      </c>
      <c r="BY217" s="25" t="str">
        <f>IF('1. Live'!CC235='check-Jul''26'!BY235,"",'1. Live'!CC235-'check-Jul''26'!BY235)</f>
        <v/>
      </c>
      <c r="BZ217" s="25" t="str">
        <f>IF('1. Live'!CD235='check-Jul''26'!BZ235,"",'1. Live'!CD235-'check-Jul''26'!BZ235)</f>
        <v/>
      </c>
      <c r="CA217" s="25" t="str">
        <f>IF('1. Live'!CE235='check-Jul''26'!CA235,"",'1. Live'!CE235-'check-Jul''26'!CA235)</f>
        <v/>
      </c>
      <c r="CB217" s="25" t="str">
        <f>IF('1. Live'!CF235='check-Jul''26'!CB235,"",'1. Live'!CF235-'check-Jul''26'!CB235)</f>
        <v/>
      </c>
      <c r="CC217" s="25" t="str">
        <f>IF('1. Live'!CG235='check-Jul''26'!CC235,"",'1. Live'!CG235-'check-Jul''26'!CC235)</f>
        <v/>
      </c>
      <c r="CD217" s="25" t="str">
        <f>IF('1. Live'!CH235='check-Jul''26'!CD235,"",'1. Live'!CH235-'check-Jul''26'!CD235)</f>
        <v/>
      </c>
      <c r="CE217" s="25" t="str">
        <f>IF('1. Live'!CI235='check-Jul''26'!CE235,"",'1. Live'!CI235-'check-Jul''26'!CE235)</f>
        <v/>
      </c>
      <c r="CF217" s="25" t="str">
        <f>IF('1. Live'!CJ235='check-Jul''26'!CF235,"",'1. Live'!CJ235-'check-Jul''26'!CF235)</f>
        <v/>
      </c>
      <c r="CG217" s="25" t="str">
        <f>IF('1. Live'!CK235='check-Jul''26'!CG235,"",'1. Live'!CK235-'check-Jul''26'!CG235)</f>
        <v/>
      </c>
      <c r="CH217" s="25" t="str">
        <f>IF('1. Live'!CL235='check-Jul''26'!CH235,"",'1. Live'!CL235-'check-Jul''26'!CH235)</f>
        <v/>
      </c>
      <c r="CI217" s="25" t="str">
        <f>IF('1. Live'!CM235='check-Jul''26'!CI235,"",'1. Live'!CM235-'check-Jul''26'!CI235)</f>
        <v/>
      </c>
      <c r="CJ217" s="25" t="str">
        <f>IF('1. Live'!CN235='check-Jul''26'!CJ235,"",'1. Live'!CN235-'check-Jul''26'!CJ235)</f>
        <v/>
      </c>
      <c r="CK217" s="25" t="str">
        <f>IF('1. Live'!CO235='check-Jul''26'!CK235,"",'1. Live'!CO235-'check-Jul''26'!CK235)</f>
        <v/>
      </c>
      <c r="CL217" s="25" t="str">
        <f>IF('1. Live'!CP235='check-Jul''26'!CL235,"",'1. Live'!CP235-'check-Jul''26'!CL235)</f>
        <v/>
      </c>
      <c r="CM217" s="25" t="str">
        <f>IF('1. Live'!CQ235='check-Jul''26'!CM235,"",'1. Live'!CQ235-'check-Jul''26'!CM235)</f>
        <v/>
      </c>
      <c r="CN217" s="25" t="str">
        <f>IF('1. Live'!CR235='check-Jul''26'!CN235,"",'1. Live'!CR235-'check-Jul''26'!CN235)</f>
        <v/>
      </c>
      <c r="CO217" s="25" t="str">
        <f>IF('1. Live'!CS235='check-Jul''26'!CO235,"",'1. Live'!CS235-'check-Jul''26'!CO235)</f>
        <v/>
      </c>
      <c r="CP217" s="25" t="str">
        <f>IF('1. Live'!CT235='check-Jul''26'!CP235,"",'1. Live'!CT235-'check-Jul''26'!CP235)</f>
        <v/>
      </c>
      <c r="CQ217" s="25" t="str">
        <f>IF('1. Live'!CU235='check-Jul''26'!CQ235,"",'1. Live'!CU235-'check-Jul''26'!CQ235)</f>
        <v/>
      </c>
      <c r="CR217" s="25" t="str">
        <f>IF('1. Live'!CV235='check-Jul''26'!CR235,"",'1. Live'!CV235-'check-Jul''26'!CR235)</f>
        <v/>
      </c>
      <c r="CS217" s="25" t="str">
        <f>IF('1. Live'!CW235='check-Jul''26'!CS235,"",'1. Live'!CW235-'check-Jul''26'!CS235)</f>
        <v/>
      </c>
      <c r="CT217" s="25" t="str">
        <f>IF('1. Live'!CX235='check-Jul''26'!CT235,"",'1. Live'!CX235-'check-Jul''26'!CT235)</f>
        <v/>
      </c>
      <c r="CU217" s="25" t="str">
        <f>IF('1. Live'!CY235='check-Jul''26'!CU235,"",'1. Live'!CY235-'check-Jul''26'!CU235)</f>
        <v/>
      </c>
      <c r="CV217" s="25" t="str">
        <f>IF('1. Live'!CZ235='check-Jul''26'!CV235,"",'1. Live'!CZ235-'check-Jul''26'!CV235)</f>
        <v/>
      </c>
    </row>
    <row r="218" spans="17:100" x14ac:dyDescent="0.25">
      <c r="Q218" s="26" t="str">
        <f>IF('1. Live'!N236='check-Jul''26'!I236,"",'1. Live'!N236-'check-Jul''26'!I236)</f>
        <v/>
      </c>
      <c r="R218" s="26" t="str">
        <f>IF('1. Live'!O236='check-Jul''26'!J236,"",'1. Live'!O236-'check-Jul''26'!J236)</f>
        <v/>
      </c>
      <c r="S218" s="26" t="str">
        <f>IF('1. Live'!P236='check-Jul''26'!K236,"",'1. Live'!P236-'check-Jul''26'!K236)</f>
        <v/>
      </c>
      <c r="T218" s="26" t="str">
        <f>IF('1. Live'!Q236='check-Jul''26'!L236,"",'1. Live'!Q236-'check-Jul''26'!L236)</f>
        <v/>
      </c>
      <c r="U218" s="80" t="str">
        <f>IF('1. Live'!R236='check-Jul''26'!M236,"",'1. Live'!R236-'check-Jul''26'!M236)</f>
        <v/>
      </c>
      <c r="V218" s="26" t="str">
        <f>IF('1. Live'!S236='check-Jul''26'!N236,"",'1. Live'!S236-'check-Jul''26'!N236)</f>
        <v/>
      </c>
      <c r="W218" s="25" t="str">
        <f>IF('1. Live'!T236='check-Jul''26'!O236,"",'1. Live'!T236-'check-Jul''26'!O236)</f>
        <v/>
      </c>
      <c r="X218" s="25" t="str">
        <f>IF('1. Live'!U236='check-Jul''26'!Q236,"",'1. Live'!U236-'check-Jul''26'!Q236)</f>
        <v/>
      </c>
      <c r="Y218" s="25" t="str">
        <f>IF('1. Live'!V236='check-Jul''26'!R236,"",'1. Live'!V236-'check-Jul''26'!R236)</f>
        <v/>
      </c>
      <c r="Z218" s="25" t="str">
        <f>IF('1. Live'!W236='check-Jul''26'!S236,"",'1. Live'!W236-'check-Jul''26'!S236)</f>
        <v/>
      </c>
      <c r="AA218" s="25" t="str">
        <f>IF('1. Live'!X236='check-Jul''26'!T236,"",'1. Live'!X236-'check-Jul''26'!T236)</f>
        <v/>
      </c>
      <c r="AB218" s="25" t="str">
        <f>IF('1. Live'!AF236='check-Jul''26'!AB236,"",'1. Live'!AF236-'check-Jul''26'!AB236)</f>
        <v/>
      </c>
      <c r="AC218" s="25" t="str">
        <f>IF('1. Live'!AG236='check-Jul''26'!AC236,"",'1. Live'!AG236-'check-Jul''26'!AC236)</f>
        <v/>
      </c>
      <c r="AD218" s="25" t="str">
        <f>IF('1. Live'!AH236='check-Jul''26'!AD236,"",'1. Live'!AH236-'check-Jul''26'!AD236)</f>
        <v/>
      </c>
      <c r="AE218" s="25" t="str">
        <f>IF('1. Live'!AI236='check-Jul''26'!AE236,"",'1. Live'!AI236-'check-Jul''26'!AE236)</f>
        <v/>
      </c>
      <c r="AF218" s="25" t="str">
        <f>IF('1. Live'!AJ236='check-Jul''26'!AF236,"",'1. Live'!AJ236-'check-Jul''26'!AF236)</f>
        <v/>
      </c>
      <c r="AG218" s="25" t="str">
        <f>IF('1. Live'!AK236='check-Jul''26'!AG236,"",'1. Live'!AK236-'check-Jul''26'!AG236)</f>
        <v/>
      </c>
      <c r="AH218" s="25" t="str">
        <f>IF('1. Live'!AL236='check-Jul''26'!AH236,"",'1. Live'!AL236-'check-Jul''26'!AH236)</f>
        <v/>
      </c>
      <c r="AI218" s="25" t="str">
        <f>IF('1. Live'!AM236='check-Jul''26'!AI236,"",'1. Live'!AM236-'check-Jul''26'!AI236)</f>
        <v/>
      </c>
      <c r="AJ218" s="25" t="str">
        <f>IF('1. Live'!AN236='check-Jul''26'!AJ236,"",'1. Live'!AN236-'check-Jul''26'!AJ236)</f>
        <v/>
      </c>
      <c r="AK218" s="25" t="str">
        <f>IF('1. Live'!AO236='check-Jul''26'!AK236,"",'1. Live'!AO236-'check-Jul''26'!AK236)</f>
        <v/>
      </c>
      <c r="AL218" s="25" t="str">
        <f>IF('1. Live'!AP236='check-Jul''26'!AL236,"",'1. Live'!AP236-'check-Jul''26'!AL236)</f>
        <v/>
      </c>
      <c r="AM218" s="25" t="str">
        <f>IF('1. Live'!AQ236='check-Jul''26'!AM236,"",'1. Live'!AQ236-'check-Jul''26'!AM236)</f>
        <v/>
      </c>
      <c r="AN218" s="25" t="str">
        <f>IF('1. Live'!AR236='check-Jul''26'!AN236,"",'1. Live'!AR236-'check-Jul''26'!AN236)</f>
        <v/>
      </c>
      <c r="AO218" s="25" t="str">
        <f>IF('1. Live'!AS236='check-Jul''26'!AO236,"",'1. Live'!AS236-'check-Jul''26'!AO236)</f>
        <v/>
      </c>
      <c r="AP218" s="25" t="str">
        <f>IF('1. Live'!AT236='check-Jul''26'!AP236,"",'1. Live'!AT236-'check-Jul''26'!AP236)</f>
        <v/>
      </c>
      <c r="AQ218" s="25" t="str">
        <f>IF('1. Live'!AU236='check-Jul''26'!AQ236,"",'1. Live'!AU236-'check-Jul''26'!AQ236)</f>
        <v/>
      </c>
      <c r="AR218" s="25" t="str">
        <f>IF('1. Live'!AV236='check-Jul''26'!AR236,"",'1. Live'!AV236-'check-Jul''26'!AR236)</f>
        <v/>
      </c>
      <c r="AS218" s="25" t="str">
        <f>IF('1. Live'!AW236='check-Jul''26'!AS236,"",'1. Live'!AW236-'check-Jul''26'!AS236)</f>
        <v/>
      </c>
      <c r="AT218" s="25" t="str">
        <f>IF('1. Live'!AX236='check-Jul''26'!AT236,"",'1. Live'!AX236-'check-Jul''26'!AT236)</f>
        <v/>
      </c>
      <c r="AU218" s="25" t="str">
        <f>IF('1. Live'!AY236='check-Jul''26'!AU236,"",'1. Live'!AY236-'check-Jul''26'!AU236)</f>
        <v/>
      </c>
      <c r="AV218" s="25" t="str">
        <f>IF('1. Live'!AZ236='check-Jul''26'!AV236,"",'1. Live'!AZ236-'check-Jul''26'!AV236)</f>
        <v/>
      </c>
      <c r="AW218" s="25" t="str">
        <f>IF('1. Live'!BA236='check-Jul''26'!AW236,"",'1. Live'!BA236-'check-Jul''26'!AW236)</f>
        <v/>
      </c>
      <c r="AX218" s="25" t="str">
        <f>IF('1. Live'!BB236='check-Jul''26'!AX236,"",'1. Live'!BB236-'check-Jul''26'!AX236)</f>
        <v/>
      </c>
      <c r="AY218" s="25" t="str">
        <f>IF('1. Live'!BC236='check-Jul''26'!AY236,"",'1. Live'!BC236-'check-Jul''26'!AY236)</f>
        <v/>
      </c>
      <c r="AZ218" s="25" t="str">
        <f>IF('1. Live'!BD236='check-Jul''26'!AZ236,"",'1. Live'!BD236-'check-Jul''26'!AZ236)</f>
        <v/>
      </c>
      <c r="BA218" s="25" t="str">
        <f>IF('1. Live'!BE236='check-Jul''26'!BA236,"",'1. Live'!BE236-'check-Jul''26'!BA236)</f>
        <v/>
      </c>
      <c r="BB218" s="25" t="str">
        <f>IF('1. Live'!BF236='check-Jul''26'!BB236,"",'1. Live'!BF236-'check-Jul''26'!BB236)</f>
        <v/>
      </c>
      <c r="BC218" s="25" t="str">
        <f>IF('1. Live'!BG236='check-Jul''26'!BC236,"",'1. Live'!BG236-'check-Jul''26'!BC236)</f>
        <v/>
      </c>
      <c r="BD218" s="25" t="str">
        <f>IF('1. Live'!BH236='check-Jul''26'!BD236,"",'1. Live'!BH236-'check-Jul''26'!BD236)</f>
        <v/>
      </c>
      <c r="BE218" s="25" t="str">
        <f>IF('1. Live'!BI236='check-Jul''26'!BE236,"",'1. Live'!BI236-'check-Jul''26'!BE236)</f>
        <v/>
      </c>
      <c r="BF218" s="25" t="str">
        <f>IF('1. Live'!BJ236='check-Jul''26'!BF236,"",'1. Live'!BJ236-'check-Jul''26'!BF236)</f>
        <v/>
      </c>
      <c r="BG218" s="25" t="str">
        <f>IF('1. Live'!BK236='check-Jul''26'!BG236,"",'1. Live'!BK236-'check-Jul''26'!BG236)</f>
        <v/>
      </c>
      <c r="BH218" s="25" t="str">
        <f>IF('1. Live'!BL236='check-Jul''26'!BH236,"",'1. Live'!BL236-'check-Jul''26'!BH236)</f>
        <v/>
      </c>
      <c r="BI218" s="25" t="str">
        <f>IF('1. Live'!BM236='check-Jul''26'!BI236,"",'1. Live'!BM236-'check-Jul''26'!BI236)</f>
        <v/>
      </c>
      <c r="BJ218" s="25" t="str">
        <f>IF('1. Live'!BN236='check-Jul''26'!BJ236,"",'1. Live'!BN236-'check-Jul''26'!BJ236)</f>
        <v/>
      </c>
      <c r="BK218" s="25" t="str">
        <f>IF('1. Live'!BO236='check-Jul''26'!BK236,"",'1. Live'!BO236-'check-Jul''26'!BK236)</f>
        <v/>
      </c>
      <c r="BL218" s="25" t="str">
        <f>IF('1. Live'!BP236='check-Jul''26'!BL236,"",'1. Live'!BP236-'check-Jul''26'!BL236)</f>
        <v/>
      </c>
      <c r="BM218" s="25" t="str">
        <f>IF('1. Live'!BQ236='check-Jul''26'!BM236,"",'1. Live'!BQ236-'check-Jul''26'!BM236)</f>
        <v/>
      </c>
      <c r="BN218" s="25" t="str">
        <f>IF('1. Live'!BR236='check-Jul''26'!BN236,"",'1. Live'!BR236-'check-Jul''26'!BN236)</f>
        <v/>
      </c>
      <c r="BO218" s="25" t="str">
        <f>IF('1. Live'!BS236='check-Jul''26'!BO236,"",'1. Live'!BS236-'check-Jul''26'!BO236)</f>
        <v/>
      </c>
      <c r="BP218" s="25" t="str">
        <f>IF('1. Live'!BT236='check-Jul''26'!BP236,"",'1. Live'!BT236-'check-Jul''26'!BP236)</f>
        <v/>
      </c>
      <c r="BQ218" s="25" t="str">
        <f>IF('1. Live'!BU236='check-Jul''26'!BQ236,"",'1. Live'!BU236-'check-Jul''26'!BQ236)</f>
        <v/>
      </c>
      <c r="BR218" s="25" t="str">
        <f>IF('1. Live'!BV236='check-Jul''26'!BR236,"",'1. Live'!BV236-'check-Jul''26'!BR236)</f>
        <v/>
      </c>
      <c r="BS218" s="25" t="str">
        <f>IF('1. Live'!BW236='check-Jul''26'!BS236,"",'1. Live'!BW236-'check-Jul''26'!BS236)</f>
        <v/>
      </c>
      <c r="BT218" s="25" t="str">
        <f>IF('1. Live'!BX236='check-Jul''26'!BT236,"",'1. Live'!BX236-'check-Jul''26'!BT236)</f>
        <v/>
      </c>
      <c r="BU218" s="25" t="str">
        <f>IF('1. Live'!BY236='check-Jul''26'!BU236,"",'1. Live'!BY236-'check-Jul''26'!BU236)</f>
        <v/>
      </c>
      <c r="BV218" s="25" t="str">
        <f>IF('1. Live'!BZ236='check-Jul''26'!BV236,"",'1. Live'!BZ236-'check-Jul''26'!BV236)</f>
        <v/>
      </c>
      <c r="BW218" s="25" t="str">
        <f>IF('1. Live'!CA236='check-Jul''26'!BW236,"",'1. Live'!CA236-'check-Jul''26'!BW236)</f>
        <v/>
      </c>
      <c r="BX218" s="25" t="str">
        <f>IF('1. Live'!CB236='check-Jul''26'!BX236,"",'1. Live'!CB236-'check-Jul''26'!BX236)</f>
        <v/>
      </c>
      <c r="BY218" s="25" t="str">
        <f>IF('1. Live'!CC236='check-Jul''26'!BY236,"",'1. Live'!CC236-'check-Jul''26'!BY236)</f>
        <v/>
      </c>
      <c r="BZ218" s="25" t="str">
        <f>IF('1. Live'!CD236='check-Jul''26'!BZ236,"",'1. Live'!CD236-'check-Jul''26'!BZ236)</f>
        <v/>
      </c>
      <c r="CA218" s="25" t="str">
        <f>IF('1. Live'!CE236='check-Jul''26'!CA236,"",'1. Live'!CE236-'check-Jul''26'!CA236)</f>
        <v/>
      </c>
      <c r="CB218" s="25" t="str">
        <f>IF('1. Live'!CF236='check-Jul''26'!CB236,"",'1. Live'!CF236-'check-Jul''26'!CB236)</f>
        <v/>
      </c>
      <c r="CC218" s="25" t="str">
        <f>IF('1. Live'!CG236='check-Jul''26'!CC236,"",'1. Live'!CG236-'check-Jul''26'!CC236)</f>
        <v/>
      </c>
      <c r="CD218" s="25" t="str">
        <f>IF('1. Live'!CH236='check-Jul''26'!CD236,"",'1. Live'!CH236-'check-Jul''26'!CD236)</f>
        <v/>
      </c>
      <c r="CE218" s="25" t="str">
        <f>IF('1. Live'!CI236='check-Jul''26'!CE236,"",'1. Live'!CI236-'check-Jul''26'!CE236)</f>
        <v/>
      </c>
      <c r="CF218" s="25" t="str">
        <f>IF('1. Live'!CJ236='check-Jul''26'!CF236,"",'1. Live'!CJ236-'check-Jul''26'!CF236)</f>
        <v/>
      </c>
      <c r="CG218" s="25" t="str">
        <f>IF('1. Live'!CK236='check-Jul''26'!CG236,"",'1. Live'!CK236-'check-Jul''26'!CG236)</f>
        <v/>
      </c>
      <c r="CH218" s="25" t="str">
        <f>IF('1. Live'!CL236='check-Jul''26'!CH236,"",'1. Live'!CL236-'check-Jul''26'!CH236)</f>
        <v/>
      </c>
      <c r="CI218" s="25" t="str">
        <f>IF('1. Live'!CM236='check-Jul''26'!CI236,"",'1. Live'!CM236-'check-Jul''26'!CI236)</f>
        <v/>
      </c>
      <c r="CJ218" s="25" t="str">
        <f>IF('1. Live'!CN236='check-Jul''26'!CJ236,"",'1. Live'!CN236-'check-Jul''26'!CJ236)</f>
        <v/>
      </c>
      <c r="CK218" s="25" t="str">
        <f>IF('1. Live'!CO236='check-Jul''26'!CK236,"",'1. Live'!CO236-'check-Jul''26'!CK236)</f>
        <v/>
      </c>
      <c r="CL218" s="25" t="str">
        <f>IF('1. Live'!CP236='check-Jul''26'!CL236,"",'1. Live'!CP236-'check-Jul''26'!CL236)</f>
        <v/>
      </c>
      <c r="CM218" s="25" t="str">
        <f>IF('1. Live'!CQ236='check-Jul''26'!CM236,"",'1. Live'!CQ236-'check-Jul''26'!CM236)</f>
        <v/>
      </c>
      <c r="CN218" s="25" t="str">
        <f>IF('1. Live'!CR236='check-Jul''26'!CN236,"",'1. Live'!CR236-'check-Jul''26'!CN236)</f>
        <v/>
      </c>
      <c r="CO218" s="25" t="str">
        <f>IF('1. Live'!CS236='check-Jul''26'!CO236,"",'1. Live'!CS236-'check-Jul''26'!CO236)</f>
        <v/>
      </c>
      <c r="CP218" s="25" t="str">
        <f>IF('1. Live'!CT236='check-Jul''26'!CP236,"",'1. Live'!CT236-'check-Jul''26'!CP236)</f>
        <v/>
      </c>
      <c r="CQ218" s="25" t="str">
        <f>IF('1. Live'!CU236='check-Jul''26'!CQ236,"",'1. Live'!CU236-'check-Jul''26'!CQ236)</f>
        <v/>
      </c>
      <c r="CR218" s="25" t="str">
        <f>IF('1. Live'!CV236='check-Jul''26'!CR236,"",'1. Live'!CV236-'check-Jul''26'!CR236)</f>
        <v/>
      </c>
      <c r="CS218" s="25" t="str">
        <f>IF('1. Live'!CW236='check-Jul''26'!CS236,"",'1. Live'!CW236-'check-Jul''26'!CS236)</f>
        <v/>
      </c>
      <c r="CT218" s="25" t="str">
        <f>IF('1. Live'!CX236='check-Jul''26'!CT236,"",'1. Live'!CX236-'check-Jul''26'!CT236)</f>
        <v/>
      </c>
      <c r="CU218" s="25" t="str">
        <f>IF('1. Live'!CY236='check-Jul''26'!CU236,"",'1. Live'!CY236-'check-Jul''26'!CU236)</f>
        <v/>
      </c>
      <c r="CV218" s="25" t="str">
        <f>IF('1. Live'!CZ236='check-Jul''26'!CV236,"",'1. Live'!CZ236-'check-Jul''26'!CV236)</f>
        <v/>
      </c>
    </row>
    <row r="219" spans="17:100" x14ac:dyDescent="0.25">
      <c r="Q219" s="26" t="str">
        <f>IF('1. Live'!N237='check-Jul''26'!I237,"",'1. Live'!N237-'check-Jul''26'!I237)</f>
        <v/>
      </c>
      <c r="R219" s="26" t="str">
        <f>IF('1. Live'!O237='check-Jul''26'!J237,"",'1. Live'!O237-'check-Jul''26'!J237)</f>
        <v/>
      </c>
      <c r="S219" s="26" t="str">
        <f>IF('1. Live'!P237='check-Jul''26'!K237,"",'1. Live'!P237-'check-Jul''26'!K237)</f>
        <v/>
      </c>
      <c r="T219" s="26" t="str">
        <f>IF('1. Live'!Q237='check-Jul''26'!L237,"",'1. Live'!Q237-'check-Jul''26'!L237)</f>
        <v/>
      </c>
      <c r="U219" s="80" t="str">
        <f>IF('1. Live'!R237='check-Jul''26'!M237,"",'1. Live'!R237-'check-Jul''26'!M237)</f>
        <v/>
      </c>
      <c r="V219" s="26" t="str">
        <f>IF('1. Live'!S237='check-Jul''26'!N237,"",'1. Live'!S237-'check-Jul''26'!N237)</f>
        <v/>
      </c>
      <c r="W219" s="25" t="str">
        <f>IF('1. Live'!T237='check-Jul''26'!O237,"",'1. Live'!T237-'check-Jul''26'!O237)</f>
        <v/>
      </c>
      <c r="X219" s="25" t="str">
        <f>IF('1. Live'!U237='check-Jul''26'!Q237,"",'1. Live'!U237-'check-Jul''26'!Q237)</f>
        <v/>
      </c>
      <c r="Y219" s="25" t="str">
        <f>IF('1. Live'!V237='check-Jul''26'!R237,"",'1. Live'!V237-'check-Jul''26'!R237)</f>
        <v/>
      </c>
      <c r="Z219" s="25" t="str">
        <f>IF('1. Live'!W237='check-Jul''26'!S237,"",'1. Live'!W237-'check-Jul''26'!S237)</f>
        <v/>
      </c>
      <c r="AA219" s="25" t="str">
        <f>IF('1. Live'!X237='check-Jul''26'!T237,"",'1. Live'!X237-'check-Jul''26'!T237)</f>
        <v/>
      </c>
      <c r="AB219" s="25" t="str">
        <f>IF('1. Live'!AF237='check-Jul''26'!AB237,"",'1. Live'!AF237-'check-Jul''26'!AB237)</f>
        <v/>
      </c>
      <c r="AC219" s="25" t="str">
        <f>IF('1. Live'!AG237='check-Jul''26'!AC237,"",'1. Live'!AG237-'check-Jul''26'!AC237)</f>
        <v/>
      </c>
      <c r="AD219" s="25" t="str">
        <f>IF('1. Live'!AH237='check-Jul''26'!AD237,"",'1. Live'!AH237-'check-Jul''26'!AD237)</f>
        <v/>
      </c>
      <c r="AE219" s="25" t="str">
        <f>IF('1. Live'!AI237='check-Jul''26'!AE237,"",'1. Live'!AI237-'check-Jul''26'!AE237)</f>
        <v/>
      </c>
      <c r="AF219" s="25" t="str">
        <f>IF('1. Live'!AJ237='check-Jul''26'!AF237,"",'1. Live'!AJ237-'check-Jul''26'!AF237)</f>
        <v/>
      </c>
      <c r="AG219" s="25" t="str">
        <f>IF('1. Live'!AK237='check-Jul''26'!AG237,"",'1. Live'!AK237-'check-Jul''26'!AG237)</f>
        <v/>
      </c>
      <c r="AH219" s="25" t="str">
        <f>IF('1. Live'!AL237='check-Jul''26'!AH237,"",'1. Live'!AL237-'check-Jul''26'!AH237)</f>
        <v/>
      </c>
      <c r="AI219" s="25" t="str">
        <f>IF('1. Live'!AM237='check-Jul''26'!AI237,"",'1. Live'!AM237-'check-Jul''26'!AI237)</f>
        <v/>
      </c>
      <c r="AJ219" s="25" t="str">
        <f>IF('1. Live'!AN237='check-Jul''26'!AJ237,"",'1. Live'!AN237-'check-Jul''26'!AJ237)</f>
        <v/>
      </c>
      <c r="AK219" s="25" t="str">
        <f>IF('1. Live'!AO237='check-Jul''26'!AK237,"",'1. Live'!AO237-'check-Jul''26'!AK237)</f>
        <v/>
      </c>
      <c r="AL219" s="25" t="str">
        <f>IF('1. Live'!AP237='check-Jul''26'!AL237,"",'1. Live'!AP237-'check-Jul''26'!AL237)</f>
        <v/>
      </c>
      <c r="AM219" s="25" t="str">
        <f>IF('1. Live'!AQ237='check-Jul''26'!AM237,"",'1. Live'!AQ237-'check-Jul''26'!AM237)</f>
        <v/>
      </c>
      <c r="AN219" s="25" t="str">
        <f>IF('1. Live'!AR237='check-Jul''26'!AN237,"",'1. Live'!AR237-'check-Jul''26'!AN237)</f>
        <v/>
      </c>
      <c r="AO219" s="25" t="str">
        <f>IF('1. Live'!AS237='check-Jul''26'!AO237,"",'1. Live'!AS237-'check-Jul''26'!AO237)</f>
        <v/>
      </c>
      <c r="AP219" s="25" t="str">
        <f>IF('1. Live'!AT237='check-Jul''26'!AP237,"",'1. Live'!AT237-'check-Jul''26'!AP237)</f>
        <v/>
      </c>
      <c r="AQ219" s="25" t="str">
        <f>IF('1. Live'!AU237='check-Jul''26'!AQ237,"",'1. Live'!AU237-'check-Jul''26'!AQ237)</f>
        <v/>
      </c>
      <c r="AR219" s="25" t="str">
        <f>IF('1. Live'!AV237='check-Jul''26'!AR237,"",'1. Live'!AV237-'check-Jul''26'!AR237)</f>
        <v/>
      </c>
      <c r="AS219" s="25" t="str">
        <f>IF('1. Live'!AW237='check-Jul''26'!AS237,"",'1. Live'!AW237-'check-Jul''26'!AS237)</f>
        <v/>
      </c>
      <c r="AT219" s="25" t="str">
        <f>IF('1. Live'!AX237='check-Jul''26'!AT237,"",'1. Live'!AX237-'check-Jul''26'!AT237)</f>
        <v/>
      </c>
      <c r="AU219" s="25" t="str">
        <f>IF('1. Live'!AY237='check-Jul''26'!AU237,"",'1. Live'!AY237-'check-Jul''26'!AU237)</f>
        <v/>
      </c>
      <c r="AV219" s="25" t="str">
        <f>IF('1. Live'!AZ237='check-Jul''26'!AV237,"",'1. Live'!AZ237-'check-Jul''26'!AV237)</f>
        <v/>
      </c>
      <c r="AW219" s="25" t="str">
        <f>IF('1. Live'!BA237='check-Jul''26'!AW237,"",'1. Live'!BA237-'check-Jul''26'!AW237)</f>
        <v/>
      </c>
      <c r="AX219" s="25" t="str">
        <f>IF('1. Live'!BB237='check-Jul''26'!AX237,"",'1. Live'!BB237-'check-Jul''26'!AX237)</f>
        <v/>
      </c>
      <c r="AY219" s="25" t="str">
        <f>IF('1. Live'!BC237='check-Jul''26'!AY237,"",'1. Live'!BC237-'check-Jul''26'!AY237)</f>
        <v/>
      </c>
      <c r="AZ219" s="25" t="str">
        <f>IF('1. Live'!BD237='check-Jul''26'!AZ237,"",'1. Live'!BD237-'check-Jul''26'!AZ237)</f>
        <v/>
      </c>
      <c r="BA219" s="25" t="str">
        <f>IF('1. Live'!BE237='check-Jul''26'!BA237,"",'1. Live'!BE237-'check-Jul''26'!BA237)</f>
        <v/>
      </c>
      <c r="BB219" s="25" t="str">
        <f>IF('1. Live'!BF237='check-Jul''26'!BB237,"",'1. Live'!BF237-'check-Jul''26'!BB237)</f>
        <v/>
      </c>
      <c r="BC219" s="25" t="str">
        <f>IF('1. Live'!BG237='check-Jul''26'!BC237,"",'1. Live'!BG237-'check-Jul''26'!BC237)</f>
        <v/>
      </c>
      <c r="BD219" s="25" t="str">
        <f>IF('1. Live'!BH237='check-Jul''26'!BD237,"",'1. Live'!BH237-'check-Jul''26'!BD237)</f>
        <v/>
      </c>
      <c r="BE219" s="25" t="str">
        <f>IF('1. Live'!BI237='check-Jul''26'!BE237,"",'1. Live'!BI237-'check-Jul''26'!BE237)</f>
        <v/>
      </c>
      <c r="BF219" s="25" t="str">
        <f>IF('1. Live'!BJ237='check-Jul''26'!BF237,"",'1. Live'!BJ237-'check-Jul''26'!BF237)</f>
        <v/>
      </c>
      <c r="BG219" s="25" t="str">
        <f>IF('1. Live'!BK237='check-Jul''26'!BG237,"",'1. Live'!BK237-'check-Jul''26'!BG237)</f>
        <v/>
      </c>
      <c r="BH219" s="25" t="str">
        <f>IF('1. Live'!BL237='check-Jul''26'!BH237,"",'1. Live'!BL237-'check-Jul''26'!BH237)</f>
        <v/>
      </c>
      <c r="BI219" s="25" t="str">
        <f>IF('1. Live'!BM237='check-Jul''26'!BI237,"",'1. Live'!BM237-'check-Jul''26'!BI237)</f>
        <v/>
      </c>
      <c r="BJ219" s="25" t="str">
        <f>IF('1. Live'!BN237='check-Jul''26'!BJ237,"",'1. Live'!BN237-'check-Jul''26'!BJ237)</f>
        <v/>
      </c>
      <c r="BK219" s="25" t="str">
        <f>IF('1. Live'!BO237='check-Jul''26'!BK237,"",'1. Live'!BO237-'check-Jul''26'!BK237)</f>
        <v/>
      </c>
      <c r="BL219" s="25" t="str">
        <f>IF('1. Live'!BP237='check-Jul''26'!BL237,"",'1. Live'!BP237-'check-Jul''26'!BL237)</f>
        <v/>
      </c>
      <c r="BM219" s="25" t="str">
        <f>IF('1. Live'!BQ237='check-Jul''26'!BM237,"",'1. Live'!BQ237-'check-Jul''26'!BM237)</f>
        <v/>
      </c>
      <c r="BN219" s="25" t="str">
        <f>IF('1. Live'!BR237='check-Jul''26'!BN237,"",'1. Live'!BR237-'check-Jul''26'!BN237)</f>
        <v/>
      </c>
      <c r="BO219" s="25" t="str">
        <f>IF('1. Live'!BS237='check-Jul''26'!BO237,"",'1. Live'!BS237-'check-Jul''26'!BO237)</f>
        <v/>
      </c>
      <c r="BP219" s="25" t="str">
        <f>IF('1. Live'!BT237='check-Jul''26'!BP237,"",'1. Live'!BT237-'check-Jul''26'!BP237)</f>
        <v/>
      </c>
      <c r="BQ219" s="25" t="str">
        <f>IF('1. Live'!BU237='check-Jul''26'!BQ237,"",'1. Live'!BU237-'check-Jul''26'!BQ237)</f>
        <v/>
      </c>
      <c r="BR219" s="25" t="str">
        <f>IF('1. Live'!BV237='check-Jul''26'!BR237,"",'1. Live'!BV237-'check-Jul''26'!BR237)</f>
        <v/>
      </c>
      <c r="BS219" s="25" t="str">
        <f>IF('1. Live'!BW237='check-Jul''26'!BS237,"",'1. Live'!BW237-'check-Jul''26'!BS237)</f>
        <v/>
      </c>
      <c r="BT219" s="25" t="str">
        <f>IF('1. Live'!BX237='check-Jul''26'!BT237,"",'1. Live'!BX237-'check-Jul''26'!BT237)</f>
        <v/>
      </c>
      <c r="BU219" s="25" t="str">
        <f>IF('1. Live'!BY237='check-Jul''26'!BU237,"",'1. Live'!BY237-'check-Jul''26'!BU237)</f>
        <v/>
      </c>
      <c r="BV219" s="25" t="str">
        <f>IF('1. Live'!BZ237='check-Jul''26'!BV237,"",'1. Live'!BZ237-'check-Jul''26'!BV237)</f>
        <v/>
      </c>
      <c r="BW219" s="25" t="str">
        <f>IF('1. Live'!CA237='check-Jul''26'!BW237,"",'1. Live'!CA237-'check-Jul''26'!BW237)</f>
        <v/>
      </c>
      <c r="BX219" s="25" t="str">
        <f>IF('1. Live'!CB237='check-Jul''26'!BX237,"",'1. Live'!CB237-'check-Jul''26'!BX237)</f>
        <v/>
      </c>
      <c r="BY219" s="25" t="str">
        <f>IF('1. Live'!CC237='check-Jul''26'!BY237,"",'1. Live'!CC237-'check-Jul''26'!BY237)</f>
        <v/>
      </c>
      <c r="BZ219" s="25" t="str">
        <f>IF('1. Live'!CD237='check-Jul''26'!BZ237,"",'1. Live'!CD237-'check-Jul''26'!BZ237)</f>
        <v/>
      </c>
      <c r="CA219" s="25" t="str">
        <f>IF('1. Live'!CE237='check-Jul''26'!CA237,"",'1. Live'!CE237-'check-Jul''26'!CA237)</f>
        <v/>
      </c>
      <c r="CB219" s="25" t="str">
        <f>IF('1. Live'!CF237='check-Jul''26'!CB237,"",'1. Live'!CF237-'check-Jul''26'!CB237)</f>
        <v/>
      </c>
      <c r="CC219" s="25" t="str">
        <f>IF('1. Live'!CG237='check-Jul''26'!CC237,"",'1. Live'!CG237-'check-Jul''26'!CC237)</f>
        <v/>
      </c>
      <c r="CD219" s="25" t="str">
        <f>IF('1. Live'!CH237='check-Jul''26'!CD237,"",'1. Live'!CH237-'check-Jul''26'!CD237)</f>
        <v/>
      </c>
      <c r="CE219" s="25" t="str">
        <f>IF('1. Live'!CI237='check-Jul''26'!CE237,"",'1. Live'!CI237-'check-Jul''26'!CE237)</f>
        <v/>
      </c>
      <c r="CF219" s="25" t="str">
        <f>IF('1. Live'!CJ237='check-Jul''26'!CF237,"",'1. Live'!CJ237-'check-Jul''26'!CF237)</f>
        <v/>
      </c>
      <c r="CG219" s="25" t="str">
        <f>IF('1. Live'!CK237='check-Jul''26'!CG237,"",'1. Live'!CK237-'check-Jul''26'!CG237)</f>
        <v/>
      </c>
      <c r="CH219" s="25" t="str">
        <f>IF('1. Live'!CL237='check-Jul''26'!CH237,"",'1. Live'!CL237-'check-Jul''26'!CH237)</f>
        <v/>
      </c>
      <c r="CI219" s="25" t="str">
        <f>IF('1. Live'!CM237='check-Jul''26'!CI237,"",'1. Live'!CM237-'check-Jul''26'!CI237)</f>
        <v/>
      </c>
      <c r="CJ219" s="25" t="str">
        <f>IF('1. Live'!CN237='check-Jul''26'!CJ237,"",'1. Live'!CN237-'check-Jul''26'!CJ237)</f>
        <v/>
      </c>
      <c r="CK219" s="25" t="str">
        <f>IF('1. Live'!CO237='check-Jul''26'!CK237,"",'1. Live'!CO237-'check-Jul''26'!CK237)</f>
        <v/>
      </c>
      <c r="CL219" s="25" t="str">
        <f>IF('1. Live'!CP237='check-Jul''26'!CL237,"",'1. Live'!CP237-'check-Jul''26'!CL237)</f>
        <v/>
      </c>
      <c r="CM219" s="25" t="str">
        <f>IF('1. Live'!CQ237='check-Jul''26'!CM237,"",'1. Live'!CQ237-'check-Jul''26'!CM237)</f>
        <v/>
      </c>
      <c r="CN219" s="25" t="str">
        <f>IF('1. Live'!CR237='check-Jul''26'!CN237,"",'1. Live'!CR237-'check-Jul''26'!CN237)</f>
        <v/>
      </c>
      <c r="CO219" s="25" t="str">
        <f>IF('1. Live'!CS237='check-Jul''26'!CO237,"",'1. Live'!CS237-'check-Jul''26'!CO237)</f>
        <v/>
      </c>
      <c r="CP219" s="25" t="str">
        <f>IF('1. Live'!CT237='check-Jul''26'!CP237,"",'1. Live'!CT237-'check-Jul''26'!CP237)</f>
        <v/>
      </c>
      <c r="CQ219" s="25" t="str">
        <f>IF('1. Live'!CU237='check-Jul''26'!CQ237,"",'1. Live'!CU237-'check-Jul''26'!CQ237)</f>
        <v/>
      </c>
      <c r="CR219" s="25" t="str">
        <f>IF('1. Live'!CV237='check-Jul''26'!CR237,"",'1. Live'!CV237-'check-Jul''26'!CR237)</f>
        <v/>
      </c>
      <c r="CS219" s="25" t="str">
        <f>IF('1. Live'!CW237='check-Jul''26'!CS237,"",'1. Live'!CW237-'check-Jul''26'!CS237)</f>
        <v/>
      </c>
      <c r="CT219" s="25" t="str">
        <f>IF('1. Live'!CX237='check-Jul''26'!CT237,"",'1. Live'!CX237-'check-Jul''26'!CT237)</f>
        <v/>
      </c>
      <c r="CU219" s="25" t="str">
        <f>IF('1. Live'!CY237='check-Jul''26'!CU237,"",'1. Live'!CY237-'check-Jul''26'!CU237)</f>
        <v/>
      </c>
      <c r="CV219" s="25" t="str">
        <f>IF('1. Live'!CZ237='check-Jul''26'!CV237,"",'1. Live'!CZ237-'check-Jul''26'!CV237)</f>
        <v/>
      </c>
    </row>
    <row r="220" spans="17:100" x14ac:dyDescent="0.25">
      <c r="Q220" s="26" t="str">
        <f>IF('1. Live'!N238='check-Jul''26'!I238,"",'1. Live'!N238-'check-Jul''26'!I238)</f>
        <v/>
      </c>
      <c r="R220" s="26" t="str">
        <f>IF('1. Live'!O238='check-Jul''26'!J238,"",'1. Live'!O238-'check-Jul''26'!J238)</f>
        <v/>
      </c>
      <c r="S220" s="26" t="str">
        <f>IF('1. Live'!P238='check-Jul''26'!K238,"",'1. Live'!P238-'check-Jul''26'!K238)</f>
        <v/>
      </c>
      <c r="T220" s="26" t="str">
        <f>IF('1. Live'!Q238='check-Jul''26'!L238,"",'1. Live'!Q238-'check-Jul''26'!L238)</f>
        <v/>
      </c>
      <c r="U220" s="80" t="str">
        <f>IF('1. Live'!R238='check-Jul''26'!M238,"",'1. Live'!R238-'check-Jul''26'!M238)</f>
        <v/>
      </c>
      <c r="V220" s="26" t="str">
        <f>IF('1. Live'!S238='check-Jul''26'!N238,"",'1. Live'!S238-'check-Jul''26'!N238)</f>
        <v/>
      </c>
      <c r="W220" s="25" t="str">
        <f>IF('1. Live'!T238='check-Jul''26'!O238,"",'1. Live'!T238-'check-Jul''26'!O238)</f>
        <v/>
      </c>
      <c r="X220" s="25" t="str">
        <f>IF('1. Live'!U238='check-Jul''26'!Q238,"",'1. Live'!U238-'check-Jul''26'!Q238)</f>
        <v/>
      </c>
      <c r="Y220" s="25" t="str">
        <f>IF('1. Live'!V238='check-Jul''26'!R238,"",'1. Live'!V238-'check-Jul''26'!R238)</f>
        <v/>
      </c>
      <c r="Z220" s="25" t="str">
        <f>IF('1. Live'!W238='check-Jul''26'!S238,"",'1. Live'!W238-'check-Jul''26'!S238)</f>
        <v/>
      </c>
      <c r="AA220" s="25" t="str">
        <f>IF('1. Live'!X238='check-Jul''26'!T238,"",'1. Live'!X238-'check-Jul''26'!T238)</f>
        <v/>
      </c>
      <c r="AB220" s="25" t="str">
        <f>IF('1. Live'!AF238='check-Jul''26'!AB238,"",'1. Live'!AF238-'check-Jul''26'!AB238)</f>
        <v/>
      </c>
      <c r="AC220" s="25" t="str">
        <f>IF('1. Live'!AG238='check-Jul''26'!AC238,"",'1. Live'!AG238-'check-Jul''26'!AC238)</f>
        <v/>
      </c>
      <c r="AD220" s="25" t="str">
        <f>IF('1. Live'!AH238='check-Jul''26'!AD238,"",'1. Live'!AH238-'check-Jul''26'!AD238)</f>
        <v/>
      </c>
      <c r="AE220" s="25" t="str">
        <f>IF('1. Live'!AI238='check-Jul''26'!AE238,"",'1. Live'!AI238-'check-Jul''26'!AE238)</f>
        <v/>
      </c>
      <c r="AF220" s="25" t="str">
        <f>IF('1. Live'!AJ238='check-Jul''26'!AF238,"",'1. Live'!AJ238-'check-Jul''26'!AF238)</f>
        <v/>
      </c>
      <c r="AG220" s="25" t="str">
        <f>IF('1. Live'!AK238='check-Jul''26'!AG238,"",'1. Live'!AK238-'check-Jul''26'!AG238)</f>
        <v/>
      </c>
      <c r="AH220" s="25" t="str">
        <f>IF('1. Live'!AL238='check-Jul''26'!AH238,"",'1. Live'!AL238-'check-Jul''26'!AH238)</f>
        <v/>
      </c>
      <c r="AI220" s="25" t="str">
        <f>IF('1. Live'!AM238='check-Jul''26'!AI238,"",'1. Live'!AM238-'check-Jul''26'!AI238)</f>
        <v/>
      </c>
      <c r="AJ220" s="25" t="str">
        <f>IF('1. Live'!AN238='check-Jul''26'!AJ238,"",'1. Live'!AN238-'check-Jul''26'!AJ238)</f>
        <v/>
      </c>
      <c r="AK220" s="25" t="str">
        <f>IF('1. Live'!AO238='check-Jul''26'!AK238,"",'1. Live'!AO238-'check-Jul''26'!AK238)</f>
        <v/>
      </c>
      <c r="AL220" s="25" t="str">
        <f>IF('1. Live'!AP238='check-Jul''26'!AL238,"",'1. Live'!AP238-'check-Jul''26'!AL238)</f>
        <v/>
      </c>
      <c r="AM220" s="25" t="str">
        <f>IF('1. Live'!AQ238='check-Jul''26'!AM238,"",'1. Live'!AQ238-'check-Jul''26'!AM238)</f>
        <v/>
      </c>
      <c r="AN220" s="25" t="str">
        <f>IF('1. Live'!AR238='check-Jul''26'!AN238,"",'1. Live'!AR238-'check-Jul''26'!AN238)</f>
        <v/>
      </c>
      <c r="AO220" s="25" t="str">
        <f>IF('1. Live'!AS238='check-Jul''26'!AO238,"",'1. Live'!AS238-'check-Jul''26'!AO238)</f>
        <v/>
      </c>
      <c r="AP220" s="25" t="str">
        <f>IF('1. Live'!AT238='check-Jul''26'!AP238,"",'1. Live'!AT238-'check-Jul''26'!AP238)</f>
        <v/>
      </c>
      <c r="AQ220" s="25" t="str">
        <f>IF('1. Live'!AU238='check-Jul''26'!AQ238,"",'1. Live'!AU238-'check-Jul''26'!AQ238)</f>
        <v/>
      </c>
      <c r="AR220" s="25" t="str">
        <f>IF('1. Live'!AV238='check-Jul''26'!AR238,"",'1. Live'!AV238-'check-Jul''26'!AR238)</f>
        <v/>
      </c>
      <c r="AS220" s="25" t="str">
        <f>IF('1. Live'!AW238='check-Jul''26'!AS238,"",'1. Live'!AW238-'check-Jul''26'!AS238)</f>
        <v/>
      </c>
      <c r="AT220" s="25" t="str">
        <f>IF('1. Live'!AX238='check-Jul''26'!AT238,"",'1. Live'!AX238-'check-Jul''26'!AT238)</f>
        <v/>
      </c>
      <c r="AU220" s="25" t="str">
        <f>IF('1. Live'!AY238='check-Jul''26'!AU238,"",'1. Live'!AY238-'check-Jul''26'!AU238)</f>
        <v/>
      </c>
      <c r="AV220" s="25" t="str">
        <f>IF('1. Live'!AZ238='check-Jul''26'!AV238,"",'1. Live'!AZ238-'check-Jul''26'!AV238)</f>
        <v/>
      </c>
      <c r="AW220" s="25" t="str">
        <f>IF('1. Live'!BA238='check-Jul''26'!AW238,"",'1. Live'!BA238-'check-Jul''26'!AW238)</f>
        <v/>
      </c>
      <c r="AX220" s="25" t="str">
        <f>IF('1. Live'!BB238='check-Jul''26'!AX238,"",'1. Live'!BB238-'check-Jul''26'!AX238)</f>
        <v/>
      </c>
      <c r="AY220" s="25" t="str">
        <f>IF('1. Live'!BC238='check-Jul''26'!AY238,"",'1. Live'!BC238-'check-Jul''26'!AY238)</f>
        <v/>
      </c>
      <c r="AZ220" s="25" t="str">
        <f>IF('1. Live'!BD238='check-Jul''26'!AZ238,"",'1. Live'!BD238-'check-Jul''26'!AZ238)</f>
        <v/>
      </c>
      <c r="BA220" s="25" t="str">
        <f>IF('1. Live'!BE238='check-Jul''26'!BA238,"",'1. Live'!BE238-'check-Jul''26'!BA238)</f>
        <v/>
      </c>
      <c r="BB220" s="25" t="str">
        <f>IF('1. Live'!BF238='check-Jul''26'!BB238,"",'1. Live'!BF238-'check-Jul''26'!BB238)</f>
        <v/>
      </c>
      <c r="BC220" s="25" t="str">
        <f>IF('1. Live'!BG238='check-Jul''26'!BC238,"",'1. Live'!BG238-'check-Jul''26'!BC238)</f>
        <v/>
      </c>
      <c r="BD220" s="25" t="str">
        <f>IF('1. Live'!BH238='check-Jul''26'!BD238,"",'1. Live'!BH238-'check-Jul''26'!BD238)</f>
        <v/>
      </c>
      <c r="BE220" s="25" t="str">
        <f>IF('1. Live'!BI238='check-Jul''26'!BE238,"",'1. Live'!BI238-'check-Jul''26'!BE238)</f>
        <v/>
      </c>
      <c r="BF220" s="25" t="str">
        <f>IF('1. Live'!BJ238='check-Jul''26'!BF238,"",'1. Live'!BJ238-'check-Jul''26'!BF238)</f>
        <v/>
      </c>
      <c r="BG220" s="25" t="str">
        <f>IF('1. Live'!BK238='check-Jul''26'!BG238,"",'1. Live'!BK238-'check-Jul''26'!BG238)</f>
        <v/>
      </c>
      <c r="BH220" s="25" t="str">
        <f>IF('1. Live'!BL238='check-Jul''26'!BH238,"",'1. Live'!BL238-'check-Jul''26'!BH238)</f>
        <v/>
      </c>
      <c r="BI220" s="25" t="str">
        <f>IF('1. Live'!BM238='check-Jul''26'!BI238,"",'1. Live'!BM238-'check-Jul''26'!BI238)</f>
        <v/>
      </c>
      <c r="BJ220" s="25" t="str">
        <f>IF('1. Live'!BN238='check-Jul''26'!BJ238,"",'1. Live'!BN238-'check-Jul''26'!BJ238)</f>
        <v/>
      </c>
      <c r="BK220" s="25" t="str">
        <f>IF('1. Live'!BO238='check-Jul''26'!BK238,"",'1. Live'!BO238-'check-Jul''26'!BK238)</f>
        <v/>
      </c>
      <c r="BL220" s="25" t="str">
        <f>IF('1. Live'!BP238='check-Jul''26'!BL238,"",'1. Live'!BP238-'check-Jul''26'!BL238)</f>
        <v/>
      </c>
      <c r="BM220" s="25" t="str">
        <f>IF('1. Live'!BQ238='check-Jul''26'!BM238,"",'1. Live'!BQ238-'check-Jul''26'!BM238)</f>
        <v/>
      </c>
      <c r="BN220" s="25" t="str">
        <f>IF('1. Live'!BR238='check-Jul''26'!BN238,"",'1. Live'!BR238-'check-Jul''26'!BN238)</f>
        <v/>
      </c>
      <c r="BO220" s="25" t="str">
        <f>IF('1. Live'!BS238='check-Jul''26'!BO238,"",'1. Live'!BS238-'check-Jul''26'!BO238)</f>
        <v/>
      </c>
      <c r="BP220" s="25" t="str">
        <f>IF('1. Live'!BT238='check-Jul''26'!BP238,"",'1. Live'!BT238-'check-Jul''26'!BP238)</f>
        <v/>
      </c>
      <c r="BQ220" s="25" t="str">
        <f>IF('1. Live'!BU238='check-Jul''26'!BQ238,"",'1. Live'!BU238-'check-Jul''26'!BQ238)</f>
        <v/>
      </c>
      <c r="BR220" s="25" t="str">
        <f>IF('1. Live'!BV238='check-Jul''26'!BR238,"",'1. Live'!BV238-'check-Jul''26'!BR238)</f>
        <v/>
      </c>
      <c r="BS220" s="25" t="str">
        <f>IF('1. Live'!BW238='check-Jul''26'!BS238,"",'1. Live'!BW238-'check-Jul''26'!BS238)</f>
        <v/>
      </c>
      <c r="BT220" s="25" t="str">
        <f>IF('1. Live'!BX238='check-Jul''26'!BT238,"",'1. Live'!BX238-'check-Jul''26'!BT238)</f>
        <v/>
      </c>
      <c r="BU220" s="25" t="str">
        <f>IF('1. Live'!BY238='check-Jul''26'!BU238,"",'1. Live'!BY238-'check-Jul''26'!BU238)</f>
        <v/>
      </c>
      <c r="BV220" s="25" t="str">
        <f>IF('1. Live'!BZ238='check-Jul''26'!BV238,"",'1. Live'!BZ238-'check-Jul''26'!BV238)</f>
        <v/>
      </c>
      <c r="BW220" s="25" t="str">
        <f>IF('1. Live'!CA238='check-Jul''26'!BW238,"",'1. Live'!CA238-'check-Jul''26'!BW238)</f>
        <v/>
      </c>
      <c r="BX220" s="25" t="str">
        <f>IF('1. Live'!CB238='check-Jul''26'!BX238,"",'1. Live'!CB238-'check-Jul''26'!BX238)</f>
        <v/>
      </c>
      <c r="BY220" s="25" t="str">
        <f>IF('1. Live'!CC238='check-Jul''26'!BY238,"",'1. Live'!CC238-'check-Jul''26'!BY238)</f>
        <v/>
      </c>
      <c r="BZ220" s="25" t="str">
        <f>IF('1. Live'!CD238='check-Jul''26'!BZ238,"",'1. Live'!CD238-'check-Jul''26'!BZ238)</f>
        <v/>
      </c>
      <c r="CA220" s="25" t="str">
        <f>IF('1. Live'!CE238='check-Jul''26'!CA238,"",'1. Live'!CE238-'check-Jul''26'!CA238)</f>
        <v/>
      </c>
      <c r="CB220" s="25" t="str">
        <f>IF('1. Live'!CF238='check-Jul''26'!CB238,"",'1. Live'!CF238-'check-Jul''26'!CB238)</f>
        <v/>
      </c>
      <c r="CC220" s="25" t="str">
        <f>IF('1. Live'!CG238='check-Jul''26'!CC238,"",'1. Live'!CG238-'check-Jul''26'!CC238)</f>
        <v/>
      </c>
      <c r="CD220" s="25" t="str">
        <f>IF('1. Live'!CH238='check-Jul''26'!CD238,"",'1. Live'!CH238-'check-Jul''26'!CD238)</f>
        <v/>
      </c>
      <c r="CE220" s="25" t="str">
        <f>IF('1. Live'!CI238='check-Jul''26'!CE238,"",'1. Live'!CI238-'check-Jul''26'!CE238)</f>
        <v/>
      </c>
      <c r="CF220" s="25" t="str">
        <f>IF('1. Live'!CJ238='check-Jul''26'!CF238,"",'1. Live'!CJ238-'check-Jul''26'!CF238)</f>
        <v/>
      </c>
      <c r="CG220" s="25" t="str">
        <f>IF('1. Live'!CK238='check-Jul''26'!CG238,"",'1. Live'!CK238-'check-Jul''26'!CG238)</f>
        <v/>
      </c>
      <c r="CH220" s="25" t="str">
        <f>IF('1. Live'!CL238='check-Jul''26'!CH238,"",'1. Live'!CL238-'check-Jul''26'!CH238)</f>
        <v/>
      </c>
      <c r="CI220" s="25" t="str">
        <f>IF('1. Live'!CM238='check-Jul''26'!CI238,"",'1. Live'!CM238-'check-Jul''26'!CI238)</f>
        <v/>
      </c>
      <c r="CJ220" s="25" t="str">
        <f>IF('1. Live'!CN238='check-Jul''26'!CJ238,"",'1. Live'!CN238-'check-Jul''26'!CJ238)</f>
        <v/>
      </c>
      <c r="CK220" s="25" t="str">
        <f>IF('1. Live'!CO238='check-Jul''26'!CK238,"",'1. Live'!CO238-'check-Jul''26'!CK238)</f>
        <v/>
      </c>
      <c r="CL220" s="25" t="str">
        <f>IF('1. Live'!CP238='check-Jul''26'!CL238,"",'1. Live'!CP238-'check-Jul''26'!CL238)</f>
        <v/>
      </c>
      <c r="CM220" s="25" t="str">
        <f>IF('1. Live'!CQ238='check-Jul''26'!CM238,"",'1. Live'!CQ238-'check-Jul''26'!CM238)</f>
        <v/>
      </c>
      <c r="CN220" s="25" t="str">
        <f>IF('1. Live'!CR238='check-Jul''26'!CN238,"",'1. Live'!CR238-'check-Jul''26'!CN238)</f>
        <v/>
      </c>
      <c r="CO220" s="25" t="str">
        <f>IF('1. Live'!CS238='check-Jul''26'!CO238,"",'1. Live'!CS238-'check-Jul''26'!CO238)</f>
        <v/>
      </c>
      <c r="CP220" s="25" t="str">
        <f>IF('1. Live'!CT238='check-Jul''26'!CP238,"",'1. Live'!CT238-'check-Jul''26'!CP238)</f>
        <v/>
      </c>
      <c r="CQ220" s="25" t="str">
        <f>IF('1. Live'!CU238='check-Jul''26'!CQ238,"",'1. Live'!CU238-'check-Jul''26'!CQ238)</f>
        <v/>
      </c>
      <c r="CR220" s="25" t="str">
        <f>IF('1. Live'!CV238='check-Jul''26'!CR238,"",'1. Live'!CV238-'check-Jul''26'!CR238)</f>
        <v/>
      </c>
      <c r="CS220" s="25" t="str">
        <f>IF('1. Live'!CW238='check-Jul''26'!CS238,"",'1. Live'!CW238-'check-Jul''26'!CS238)</f>
        <v/>
      </c>
      <c r="CT220" s="25" t="str">
        <f>IF('1. Live'!CX238='check-Jul''26'!CT238,"",'1. Live'!CX238-'check-Jul''26'!CT238)</f>
        <v/>
      </c>
      <c r="CU220" s="25" t="str">
        <f>IF('1. Live'!CY238='check-Jul''26'!CU238,"",'1. Live'!CY238-'check-Jul''26'!CU238)</f>
        <v/>
      </c>
      <c r="CV220" s="25" t="str">
        <f>IF('1. Live'!CZ238='check-Jul''26'!CV238,"",'1. Live'!CZ238-'check-Jul''26'!CV238)</f>
        <v/>
      </c>
    </row>
    <row r="221" spans="17:100" x14ac:dyDescent="0.25">
      <c r="Q221" s="26" t="str">
        <f>IF('1. Live'!N239='check-Jul''26'!I239,"",'1. Live'!N239-'check-Jul''26'!I239)</f>
        <v/>
      </c>
      <c r="R221" s="26" t="str">
        <f>IF('1. Live'!O239='check-Jul''26'!J239,"",'1. Live'!O239-'check-Jul''26'!J239)</f>
        <v/>
      </c>
      <c r="S221" s="26" t="str">
        <f>IF('1. Live'!P239='check-Jul''26'!K239,"",'1. Live'!P239-'check-Jul''26'!K239)</f>
        <v/>
      </c>
      <c r="T221" s="26" t="str">
        <f>IF('1. Live'!Q239='check-Jul''26'!L239,"",'1. Live'!Q239-'check-Jul''26'!L239)</f>
        <v/>
      </c>
      <c r="U221" s="80" t="str">
        <f>IF('1. Live'!R239='check-Jul''26'!M239,"",'1. Live'!R239-'check-Jul''26'!M239)</f>
        <v/>
      </c>
      <c r="V221" s="26" t="str">
        <f>IF('1. Live'!S239='check-Jul''26'!N239,"",'1. Live'!S239-'check-Jul''26'!N239)</f>
        <v/>
      </c>
      <c r="W221" s="25" t="str">
        <f>IF('1. Live'!T239='check-Jul''26'!O239,"",'1. Live'!T239-'check-Jul''26'!O239)</f>
        <v/>
      </c>
      <c r="X221" s="25" t="str">
        <f>IF('1. Live'!U239='check-Jul''26'!Q239,"",'1. Live'!U239-'check-Jul''26'!Q239)</f>
        <v/>
      </c>
      <c r="Y221" s="25" t="str">
        <f>IF('1. Live'!V239='check-Jul''26'!R239,"",'1. Live'!V239-'check-Jul''26'!R239)</f>
        <v/>
      </c>
      <c r="Z221" s="25" t="str">
        <f>IF('1. Live'!W239='check-Jul''26'!S239,"",'1. Live'!W239-'check-Jul''26'!S239)</f>
        <v/>
      </c>
      <c r="AA221" s="25" t="str">
        <f>IF('1. Live'!X239='check-Jul''26'!T239,"",'1. Live'!X239-'check-Jul''26'!T239)</f>
        <v/>
      </c>
      <c r="AB221" s="25" t="str">
        <f>IF('1. Live'!AF239='check-Jul''26'!AB239,"",'1. Live'!AF239-'check-Jul''26'!AB239)</f>
        <v/>
      </c>
      <c r="AC221" s="25" t="str">
        <f>IF('1. Live'!AG239='check-Jul''26'!AC239,"",'1. Live'!AG239-'check-Jul''26'!AC239)</f>
        <v/>
      </c>
      <c r="AD221" s="25" t="str">
        <f>IF('1. Live'!AH239='check-Jul''26'!AD239,"",'1. Live'!AH239-'check-Jul''26'!AD239)</f>
        <v/>
      </c>
      <c r="AE221" s="25" t="str">
        <f>IF('1. Live'!AI239='check-Jul''26'!AE239,"",'1. Live'!AI239-'check-Jul''26'!AE239)</f>
        <v/>
      </c>
      <c r="AF221" s="25" t="str">
        <f>IF('1. Live'!AJ239='check-Jul''26'!AF239,"",'1. Live'!AJ239-'check-Jul''26'!AF239)</f>
        <v/>
      </c>
      <c r="AG221" s="25" t="str">
        <f>IF('1. Live'!AK239='check-Jul''26'!AG239,"",'1. Live'!AK239-'check-Jul''26'!AG239)</f>
        <v/>
      </c>
      <c r="AH221" s="25" t="str">
        <f>IF('1. Live'!AL239='check-Jul''26'!AH239,"",'1. Live'!AL239-'check-Jul''26'!AH239)</f>
        <v/>
      </c>
      <c r="AI221" s="25" t="str">
        <f>IF('1. Live'!AM239='check-Jul''26'!AI239,"",'1. Live'!AM239-'check-Jul''26'!AI239)</f>
        <v/>
      </c>
      <c r="AJ221" s="25" t="str">
        <f>IF('1. Live'!AN239='check-Jul''26'!AJ239,"",'1. Live'!AN239-'check-Jul''26'!AJ239)</f>
        <v/>
      </c>
      <c r="AK221" s="25" t="str">
        <f>IF('1. Live'!AO239='check-Jul''26'!AK239,"",'1. Live'!AO239-'check-Jul''26'!AK239)</f>
        <v/>
      </c>
      <c r="AL221" s="25" t="str">
        <f>IF('1. Live'!AP239='check-Jul''26'!AL239,"",'1. Live'!AP239-'check-Jul''26'!AL239)</f>
        <v/>
      </c>
      <c r="AM221" s="25" t="str">
        <f>IF('1. Live'!AQ239='check-Jul''26'!AM239,"",'1. Live'!AQ239-'check-Jul''26'!AM239)</f>
        <v/>
      </c>
      <c r="AN221" s="25" t="str">
        <f>IF('1. Live'!AR239='check-Jul''26'!AN239,"",'1. Live'!AR239-'check-Jul''26'!AN239)</f>
        <v/>
      </c>
      <c r="AO221" s="25" t="str">
        <f>IF('1. Live'!AS239='check-Jul''26'!AO239,"",'1. Live'!AS239-'check-Jul''26'!AO239)</f>
        <v/>
      </c>
      <c r="AP221" s="25" t="str">
        <f>IF('1. Live'!AT239='check-Jul''26'!AP239,"",'1. Live'!AT239-'check-Jul''26'!AP239)</f>
        <v/>
      </c>
      <c r="AQ221" s="25" t="str">
        <f>IF('1. Live'!AU239='check-Jul''26'!AQ239,"",'1. Live'!AU239-'check-Jul''26'!AQ239)</f>
        <v/>
      </c>
      <c r="AR221" s="25" t="str">
        <f>IF('1. Live'!AV239='check-Jul''26'!AR239,"",'1. Live'!AV239-'check-Jul''26'!AR239)</f>
        <v/>
      </c>
      <c r="AS221" s="25" t="str">
        <f>IF('1. Live'!AW239='check-Jul''26'!AS239,"",'1. Live'!AW239-'check-Jul''26'!AS239)</f>
        <v/>
      </c>
      <c r="AT221" s="25" t="str">
        <f>IF('1. Live'!AX239='check-Jul''26'!AT239,"",'1. Live'!AX239-'check-Jul''26'!AT239)</f>
        <v/>
      </c>
      <c r="AU221" s="25" t="str">
        <f>IF('1. Live'!AY239='check-Jul''26'!AU239,"",'1. Live'!AY239-'check-Jul''26'!AU239)</f>
        <v/>
      </c>
      <c r="AV221" s="25" t="str">
        <f>IF('1. Live'!AZ239='check-Jul''26'!AV239,"",'1. Live'!AZ239-'check-Jul''26'!AV239)</f>
        <v/>
      </c>
      <c r="AW221" s="25" t="str">
        <f>IF('1. Live'!BA239='check-Jul''26'!AW239,"",'1. Live'!BA239-'check-Jul''26'!AW239)</f>
        <v/>
      </c>
      <c r="AX221" s="25" t="str">
        <f>IF('1. Live'!BB239='check-Jul''26'!AX239,"",'1. Live'!BB239-'check-Jul''26'!AX239)</f>
        <v/>
      </c>
      <c r="AY221" s="25" t="str">
        <f>IF('1. Live'!BC239='check-Jul''26'!AY239,"",'1. Live'!BC239-'check-Jul''26'!AY239)</f>
        <v/>
      </c>
      <c r="AZ221" s="25" t="str">
        <f>IF('1. Live'!BD239='check-Jul''26'!AZ239,"",'1. Live'!BD239-'check-Jul''26'!AZ239)</f>
        <v/>
      </c>
      <c r="BA221" s="25" t="str">
        <f>IF('1. Live'!BE239='check-Jul''26'!BA239,"",'1. Live'!BE239-'check-Jul''26'!BA239)</f>
        <v/>
      </c>
      <c r="BB221" s="25" t="str">
        <f>IF('1. Live'!BF239='check-Jul''26'!BB239,"",'1. Live'!BF239-'check-Jul''26'!BB239)</f>
        <v/>
      </c>
      <c r="BC221" s="25" t="str">
        <f>IF('1. Live'!BG239='check-Jul''26'!BC239,"",'1. Live'!BG239-'check-Jul''26'!BC239)</f>
        <v/>
      </c>
      <c r="BD221" s="25" t="str">
        <f>IF('1. Live'!BH239='check-Jul''26'!BD239,"",'1. Live'!BH239-'check-Jul''26'!BD239)</f>
        <v/>
      </c>
      <c r="BE221" s="25" t="str">
        <f>IF('1. Live'!BI239='check-Jul''26'!BE239,"",'1. Live'!BI239-'check-Jul''26'!BE239)</f>
        <v/>
      </c>
      <c r="BF221" s="25" t="str">
        <f>IF('1. Live'!BJ239='check-Jul''26'!BF239,"",'1. Live'!BJ239-'check-Jul''26'!BF239)</f>
        <v/>
      </c>
      <c r="BG221" s="25" t="str">
        <f>IF('1. Live'!BK239='check-Jul''26'!BG239,"",'1. Live'!BK239-'check-Jul''26'!BG239)</f>
        <v/>
      </c>
      <c r="BH221" s="25" t="str">
        <f>IF('1. Live'!BL239='check-Jul''26'!BH239,"",'1. Live'!BL239-'check-Jul''26'!BH239)</f>
        <v/>
      </c>
      <c r="BI221" s="25" t="str">
        <f>IF('1. Live'!BM239='check-Jul''26'!BI239,"",'1. Live'!BM239-'check-Jul''26'!BI239)</f>
        <v/>
      </c>
      <c r="BJ221" s="25" t="str">
        <f>IF('1. Live'!BN239='check-Jul''26'!BJ239,"",'1. Live'!BN239-'check-Jul''26'!BJ239)</f>
        <v/>
      </c>
      <c r="BK221" s="25" t="str">
        <f>IF('1. Live'!BO239='check-Jul''26'!BK239,"",'1. Live'!BO239-'check-Jul''26'!BK239)</f>
        <v/>
      </c>
      <c r="BL221" s="25" t="str">
        <f>IF('1. Live'!BP239='check-Jul''26'!BL239,"",'1. Live'!BP239-'check-Jul''26'!BL239)</f>
        <v/>
      </c>
      <c r="BM221" s="25" t="str">
        <f>IF('1. Live'!BQ239='check-Jul''26'!BM239,"",'1. Live'!BQ239-'check-Jul''26'!BM239)</f>
        <v/>
      </c>
      <c r="BN221" s="25" t="str">
        <f>IF('1. Live'!BR239='check-Jul''26'!BN239,"",'1. Live'!BR239-'check-Jul''26'!BN239)</f>
        <v/>
      </c>
      <c r="BO221" s="25" t="str">
        <f>IF('1. Live'!BS239='check-Jul''26'!BO239,"",'1. Live'!BS239-'check-Jul''26'!BO239)</f>
        <v/>
      </c>
      <c r="BP221" s="25" t="str">
        <f>IF('1. Live'!BT239='check-Jul''26'!BP239,"",'1. Live'!BT239-'check-Jul''26'!BP239)</f>
        <v/>
      </c>
      <c r="BQ221" s="25" t="str">
        <f>IF('1. Live'!BU239='check-Jul''26'!BQ239,"",'1. Live'!BU239-'check-Jul''26'!BQ239)</f>
        <v/>
      </c>
      <c r="BR221" s="25" t="str">
        <f>IF('1. Live'!BV239='check-Jul''26'!BR239,"",'1. Live'!BV239-'check-Jul''26'!BR239)</f>
        <v/>
      </c>
      <c r="BS221" s="25" t="str">
        <f>IF('1. Live'!BW239='check-Jul''26'!BS239,"",'1. Live'!BW239-'check-Jul''26'!BS239)</f>
        <v/>
      </c>
      <c r="BT221" s="25" t="str">
        <f>IF('1. Live'!BX239='check-Jul''26'!BT239,"",'1. Live'!BX239-'check-Jul''26'!BT239)</f>
        <v/>
      </c>
      <c r="BU221" s="25" t="str">
        <f>IF('1. Live'!BY239='check-Jul''26'!BU239,"",'1. Live'!BY239-'check-Jul''26'!BU239)</f>
        <v/>
      </c>
      <c r="BV221" s="25" t="str">
        <f>IF('1. Live'!BZ239='check-Jul''26'!BV239,"",'1. Live'!BZ239-'check-Jul''26'!BV239)</f>
        <v/>
      </c>
      <c r="BW221" s="25" t="str">
        <f>IF('1. Live'!CA239='check-Jul''26'!BW239,"",'1. Live'!CA239-'check-Jul''26'!BW239)</f>
        <v/>
      </c>
      <c r="BX221" s="25" t="str">
        <f>IF('1. Live'!CB239='check-Jul''26'!BX239,"",'1. Live'!CB239-'check-Jul''26'!BX239)</f>
        <v/>
      </c>
      <c r="BY221" s="25" t="str">
        <f>IF('1. Live'!CC239='check-Jul''26'!BY239,"",'1. Live'!CC239-'check-Jul''26'!BY239)</f>
        <v/>
      </c>
      <c r="BZ221" s="25" t="str">
        <f>IF('1. Live'!CD239='check-Jul''26'!BZ239,"",'1. Live'!CD239-'check-Jul''26'!BZ239)</f>
        <v/>
      </c>
      <c r="CA221" s="25" t="str">
        <f>IF('1. Live'!CE239='check-Jul''26'!CA239,"",'1. Live'!CE239-'check-Jul''26'!CA239)</f>
        <v/>
      </c>
      <c r="CB221" s="25" t="str">
        <f>IF('1. Live'!CF239='check-Jul''26'!CB239,"",'1. Live'!CF239-'check-Jul''26'!CB239)</f>
        <v/>
      </c>
      <c r="CC221" s="25" t="str">
        <f>IF('1. Live'!CG239='check-Jul''26'!CC239,"",'1. Live'!CG239-'check-Jul''26'!CC239)</f>
        <v/>
      </c>
      <c r="CD221" s="25" t="str">
        <f>IF('1. Live'!CH239='check-Jul''26'!CD239,"",'1. Live'!CH239-'check-Jul''26'!CD239)</f>
        <v/>
      </c>
      <c r="CE221" s="25" t="str">
        <f>IF('1. Live'!CI239='check-Jul''26'!CE239,"",'1. Live'!CI239-'check-Jul''26'!CE239)</f>
        <v/>
      </c>
      <c r="CF221" s="25" t="str">
        <f>IF('1. Live'!CJ239='check-Jul''26'!CF239,"",'1. Live'!CJ239-'check-Jul''26'!CF239)</f>
        <v/>
      </c>
      <c r="CG221" s="25" t="str">
        <f>IF('1. Live'!CK239='check-Jul''26'!CG239,"",'1. Live'!CK239-'check-Jul''26'!CG239)</f>
        <v/>
      </c>
      <c r="CH221" s="25" t="str">
        <f>IF('1. Live'!CL239='check-Jul''26'!CH239,"",'1. Live'!CL239-'check-Jul''26'!CH239)</f>
        <v/>
      </c>
      <c r="CI221" s="25" t="str">
        <f>IF('1. Live'!CM239='check-Jul''26'!CI239,"",'1. Live'!CM239-'check-Jul''26'!CI239)</f>
        <v/>
      </c>
      <c r="CJ221" s="25" t="str">
        <f>IF('1. Live'!CN239='check-Jul''26'!CJ239,"",'1. Live'!CN239-'check-Jul''26'!CJ239)</f>
        <v/>
      </c>
      <c r="CK221" s="25" t="str">
        <f>IF('1. Live'!CO239='check-Jul''26'!CK239,"",'1. Live'!CO239-'check-Jul''26'!CK239)</f>
        <v/>
      </c>
      <c r="CL221" s="25" t="str">
        <f>IF('1. Live'!CP239='check-Jul''26'!CL239,"",'1. Live'!CP239-'check-Jul''26'!CL239)</f>
        <v/>
      </c>
      <c r="CM221" s="25" t="str">
        <f>IF('1. Live'!CQ239='check-Jul''26'!CM239,"",'1. Live'!CQ239-'check-Jul''26'!CM239)</f>
        <v/>
      </c>
      <c r="CN221" s="25" t="str">
        <f>IF('1. Live'!CR239='check-Jul''26'!CN239,"",'1. Live'!CR239-'check-Jul''26'!CN239)</f>
        <v/>
      </c>
      <c r="CO221" s="25" t="str">
        <f>IF('1. Live'!CS239='check-Jul''26'!CO239,"",'1. Live'!CS239-'check-Jul''26'!CO239)</f>
        <v/>
      </c>
      <c r="CP221" s="25" t="str">
        <f>IF('1. Live'!CT239='check-Jul''26'!CP239,"",'1. Live'!CT239-'check-Jul''26'!CP239)</f>
        <v/>
      </c>
      <c r="CQ221" s="25" t="str">
        <f>IF('1. Live'!CU239='check-Jul''26'!CQ239,"",'1. Live'!CU239-'check-Jul''26'!CQ239)</f>
        <v/>
      </c>
      <c r="CR221" s="25" t="str">
        <f>IF('1. Live'!CV239='check-Jul''26'!CR239,"",'1. Live'!CV239-'check-Jul''26'!CR239)</f>
        <v/>
      </c>
      <c r="CS221" s="25" t="str">
        <f>IF('1. Live'!CW239='check-Jul''26'!CS239,"",'1. Live'!CW239-'check-Jul''26'!CS239)</f>
        <v/>
      </c>
      <c r="CT221" s="25" t="str">
        <f>IF('1. Live'!CX239='check-Jul''26'!CT239,"",'1. Live'!CX239-'check-Jul''26'!CT239)</f>
        <v/>
      </c>
      <c r="CU221" s="25" t="str">
        <f>IF('1. Live'!CY239='check-Jul''26'!CU239,"",'1. Live'!CY239-'check-Jul''26'!CU239)</f>
        <v/>
      </c>
      <c r="CV221" s="25" t="str">
        <f>IF('1. Live'!CZ239='check-Jul''26'!CV239,"",'1. Live'!CZ239-'check-Jul''26'!CV239)</f>
        <v/>
      </c>
    </row>
    <row r="222" spans="17:100" x14ac:dyDescent="0.25">
      <c r="Q222" s="26" t="str">
        <f>IF('1. Live'!N240='check-Jul''26'!I240,"",'1. Live'!N240-'check-Jul''26'!I240)</f>
        <v/>
      </c>
      <c r="R222" s="26" t="str">
        <f>IF('1. Live'!O240='check-Jul''26'!J240,"",'1. Live'!O240-'check-Jul''26'!J240)</f>
        <v/>
      </c>
      <c r="S222" s="26" t="str">
        <f>IF('1. Live'!P240='check-Jul''26'!K240,"",'1. Live'!P240-'check-Jul''26'!K240)</f>
        <v/>
      </c>
      <c r="T222" s="26" t="str">
        <f>IF('1. Live'!Q240='check-Jul''26'!L240,"",'1. Live'!Q240-'check-Jul''26'!L240)</f>
        <v/>
      </c>
      <c r="U222" s="80" t="str">
        <f>IF('1. Live'!R240='check-Jul''26'!M240,"",'1. Live'!R240-'check-Jul''26'!M240)</f>
        <v/>
      </c>
      <c r="V222" s="26" t="str">
        <f>IF('1. Live'!S240='check-Jul''26'!N240,"",'1. Live'!S240-'check-Jul''26'!N240)</f>
        <v/>
      </c>
      <c r="W222" s="25" t="str">
        <f>IF('1. Live'!T240='check-Jul''26'!O240,"",'1. Live'!T240-'check-Jul''26'!O240)</f>
        <v/>
      </c>
      <c r="X222" s="25" t="str">
        <f>IF('1. Live'!U240='check-Jul''26'!Q240,"",'1. Live'!U240-'check-Jul''26'!Q240)</f>
        <v/>
      </c>
      <c r="Y222" s="25" t="str">
        <f>IF('1. Live'!V240='check-Jul''26'!R240,"",'1. Live'!V240-'check-Jul''26'!R240)</f>
        <v/>
      </c>
      <c r="Z222" s="25" t="str">
        <f>IF('1. Live'!W240='check-Jul''26'!S240,"",'1. Live'!W240-'check-Jul''26'!S240)</f>
        <v/>
      </c>
      <c r="AA222" s="25" t="str">
        <f>IF('1. Live'!X240='check-Jul''26'!T240,"",'1. Live'!X240-'check-Jul''26'!T240)</f>
        <v/>
      </c>
      <c r="AB222" s="25" t="str">
        <f>IF('1. Live'!AF240='check-Jul''26'!AB240,"",'1. Live'!AF240-'check-Jul''26'!AB240)</f>
        <v/>
      </c>
      <c r="AC222" s="25" t="str">
        <f>IF('1. Live'!AG240='check-Jul''26'!AC240,"",'1. Live'!AG240-'check-Jul''26'!AC240)</f>
        <v/>
      </c>
      <c r="AD222" s="25" t="str">
        <f>IF('1. Live'!AH240='check-Jul''26'!AD240,"",'1. Live'!AH240-'check-Jul''26'!AD240)</f>
        <v/>
      </c>
      <c r="AE222" s="25" t="str">
        <f>IF('1. Live'!AI240='check-Jul''26'!AE240,"",'1. Live'!AI240-'check-Jul''26'!AE240)</f>
        <v/>
      </c>
      <c r="AF222" s="25" t="str">
        <f>IF('1. Live'!AJ240='check-Jul''26'!AF240,"",'1. Live'!AJ240-'check-Jul''26'!AF240)</f>
        <v/>
      </c>
      <c r="AG222" s="25" t="str">
        <f>IF('1. Live'!AK240='check-Jul''26'!AG240,"",'1. Live'!AK240-'check-Jul''26'!AG240)</f>
        <v/>
      </c>
      <c r="AH222" s="25" t="str">
        <f>IF('1. Live'!AL240='check-Jul''26'!AH240,"",'1. Live'!AL240-'check-Jul''26'!AH240)</f>
        <v/>
      </c>
      <c r="AI222" s="25" t="str">
        <f>IF('1. Live'!AM240='check-Jul''26'!AI240,"",'1. Live'!AM240-'check-Jul''26'!AI240)</f>
        <v/>
      </c>
      <c r="AJ222" s="25" t="str">
        <f>IF('1. Live'!AN240='check-Jul''26'!AJ240,"",'1. Live'!AN240-'check-Jul''26'!AJ240)</f>
        <v/>
      </c>
      <c r="AK222" s="25" t="str">
        <f>IF('1. Live'!AO240='check-Jul''26'!AK240,"",'1. Live'!AO240-'check-Jul''26'!AK240)</f>
        <v/>
      </c>
      <c r="AL222" s="25" t="str">
        <f>IF('1. Live'!AP240='check-Jul''26'!AL240,"",'1. Live'!AP240-'check-Jul''26'!AL240)</f>
        <v/>
      </c>
      <c r="AM222" s="25" t="str">
        <f>IF('1. Live'!AQ240='check-Jul''26'!AM240,"",'1. Live'!AQ240-'check-Jul''26'!AM240)</f>
        <v/>
      </c>
      <c r="AN222" s="25" t="str">
        <f>IF('1. Live'!AR240='check-Jul''26'!AN240,"",'1. Live'!AR240-'check-Jul''26'!AN240)</f>
        <v/>
      </c>
      <c r="AO222" s="25" t="str">
        <f>IF('1. Live'!AS240='check-Jul''26'!AO240,"",'1. Live'!AS240-'check-Jul''26'!AO240)</f>
        <v/>
      </c>
      <c r="AP222" s="25" t="str">
        <f>IF('1. Live'!AT240='check-Jul''26'!AP240,"",'1. Live'!AT240-'check-Jul''26'!AP240)</f>
        <v/>
      </c>
      <c r="AQ222" s="25" t="str">
        <f>IF('1. Live'!AU240='check-Jul''26'!AQ240,"",'1. Live'!AU240-'check-Jul''26'!AQ240)</f>
        <v/>
      </c>
      <c r="AR222" s="25" t="str">
        <f>IF('1. Live'!AV240='check-Jul''26'!AR240,"",'1. Live'!AV240-'check-Jul''26'!AR240)</f>
        <v/>
      </c>
      <c r="AS222" s="25" t="str">
        <f>IF('1. Live'!AW240='check-Jul''26'!AS240,"",'1. Live'!AW240-'check-Jul''26'!AS240)</f>
        <v/>
      </c>
      <c r="AT222" s="25" t="str">
        <f>IF('1. Live'!AX240='check-Jul''26'!AT240,"",'1. Live'!AX240-'check-Jul''26'!AT240)</f>
        <v/>
      </c>
      <c r="AU222" s="25" t="str">
        <f>IF('1. Live'!AY240='check-Jul''26'!AU240,"",'1. Live'!AY240-'check-Jul''26'!AU240)</f>
        <v/>
      </c>
      <c r="AV222" s="25" t="str">
        <f>IF('1. Live'!AZ240='check-Jul''26'!AV240,"",'1. Live'!AZ240-'check-Jul''26'!AV240)</f>
        <v/>
      </c>
      <c r="AW222" s="25" t="str">
        <f>IF('1. Live'!BA240='check-Jul''26'!AW240,"",'1. Live'!BA240-'check-Jul''26'!AW240)</f>
        <v/>
      </c>
      <c r="AX222" s="25" t="str">
        <f>IF('1. Live'!BB240='check-Jul''26'!AX240,"",'1. Live'!BB240-'check-Jul''26'!AX240)</f>
        <v/>
      </c>
      <c r="AY222" s="25" t="str">
        <f>IF('1. Live'!BC240='check-Jul''26'!AY240,"",'1. Live'!BC240-'check-Jul''26'!AY240)</f>
        <v/>
      </c>
      <c r="AZ222" s="25" t="str">
        <f>IF('1. Live'!BD240='check-Jul''26'!AZ240,"",'1. Live'!BD240-'check-Jul''26'!AZ240)</f>
        <v/>
      </c>
      <c r="BA222" s="25" t="str">
        <f>IF('1. Live'!BE240='check-Jul''26'!BA240,"",'1. Live'!BE240-'check-Jul''26'!BA240)</f>
        <v/>
      </c>
      <c r="BB222" s="25" t="str">
        <f>IF('1. Live'!BF240='check-Jul''26'!BB240,"",'1. Live'!BF240-'check-Jul''26'!BB240)</f>
        <v/>
      </c>
      <c r="BC222" s="25" t="str">
        <f>IF('1. Live'!BG240='check-Jul''26'!BC240,"",'1. Live'!BG240-'check-Jul''26'!BC240)</f>
        <v/>
      </c>
      <c r="BD222" s="25" t="str">
        <f>IF('1. Live'!BH240='check-Jul''26'!BD240,"",'1. Live'!BH240-'check-Jul''26'!BD240)</f>
        <v/>
      </c>
      <c r="BE222" s="25" t="str">
        <f>IF('1. Live'!BI240='check-Jul''26'!BE240,"",'1. Live'!BI240-'check-Jul''26'!BE240)</f>
        <v/>
      </c>
      <c r="BF222" s="25" t="str">
        <f>IF('1. Live'!BJ240='check-Jul''26'!BF240,"",'1. Live'!BJ240-'check-Jul''26'!BF240)</f>
        <v/>
      </c>
      <c r="BG222" s="25" t="str">
        <f>IF('1. Live'!BK240='check-Jul''26'!BG240,"",'1. Live'!BK240-'check-Jul''26'!BG240)</f>
        <v/>
      </c>
      <c r="BH222" s="25" t="str">
        <f>IF('1. Live'!BL240='check-Jul''26'!BH240,"",'1. Live'!BL240-'check-Jul''26'!BH240)</f>
        <v/>
      </c>
      <c r="BI222" s="25" t="str">
        <f>IF('1. Live'!BM240='check-Jul''26'!BI240,"",'1. Live'!BM240-'check-Jul''26'!BI240)</f>
        <v/>
      </c>
      <c r="BJ222" s="25" t="str">
        <f>IF('1. Live'!BN240='check-Jul''26'!BJ240,"",'1. Live'!BN240-'check-Jul''26'!BJ240)</f>
        <v/>
      </c>
      <c r="BK222" s="25" t="str">
        <f>IF('1. Live'!BO240='check-Jul''26'!BK240,"",'1. Live'!BO240-'check-Jul''26'!BK240)</f>
        <v/>
      </c>
      <c r="BL222" s="25" t="str">
        <f>IF('1. Live'!BP240='check-Jul''26'!BL240,"",'1. Live'!BP240-'check-Jul''26'!BL240)</f>
        <v/>
      </c>
      <c r="BM222" s="25" t="str">
        <f>IF('1. Live'!BQ240='check-Jul''26'!BM240,"",'1. Live'!BQ240-'check-Jul''26'!BM240)</f>
        <v/>
      </c>
      <c r="BN222" s="25" t="str">
        <f>IF('1. Live'!BR240='check-Jul''26'!BN240,"",'1. Live'!BR240-'check-Jul''26'!BN240)</f>
        <v/>
      </c>
      <c r="BO222" s="25" t="str">
        <f>IF('1. Live'!BS240='check-Jul''26'!BO240,"",'1. Live'!BS240-'check-Jul''26'!BO240)</f>
        <v/>
      </c>
      <c r="BP222" s="25" t="str">
        <f>IF('1. Live'!BT240='check-Jul''26'!BP240,"",'1. Live'!BT240-'check-Jul''26'!BP240)</f>
        <v/>
      </c>
      <c r="BQ222" s="25" t="str">
        <f>IF('1. Live'!BU240='check-Jul''26'!BQ240,"",'1. Live'!BU240-'check-Jul''26'!BQ240)</f>
        <v/>
      </c>
      <c r="BR222" s="25" t="str">
        <f>IF('1. Live'!BV240='check-Jul''26'!BR240,"",'1. Live'!BV240-'check-Jul''26'!BR240)</f>
        <v/>
      </c>
      <c r="BS222" s="25" t="str">
        <f>IF('1. Live'!BW240='check-Jul''26'!BS240,"",'1. Live'!BW240-'check-Jul''26'!BS240)</f>
        <v/>
      </c>
      <c r="BT222" s="25" t="str">
        <f>IF('1. Live'!BX240='check-Jul''26'!BT240,"",'1. Live'!BX240-'check-Jul''26'!BT240)</f>
        <v/>
      </c>
      <c r="BU222" s="25" t="str">
        <f>IF('1. Live'!BY240='check-Jul''26'!BU240,"",'1. Live'!BY240-'check-Jul''26'!BU240)</f>
        <v/>
      </c>
      <c r="BV222" s="25" t="str">
        <f>IF('1. Live'!BZ240='check-Jul''26'!BV240,"",'1. Live'!BZ240-'check-Jul''26'!BV240)</f>
        <v/>
      </c>
      <c r="BW222" s="25" t="str">
        <f>IF('1. Live'!CA240='check-Jul''26'!BW240,"",'1. Live'!CA240-'check-Jul''26'!BW240)</f>
        <v/>
      </c>
      <c r="BX222" s="25" t="str">
        <f>IF('1. Live'!CB240='check-Jul''26'!BX240,"",'1. Live'!CB240-'check-Jul''26'!BX240)</f>
        <v/>
      </c>
      <c r="BY222" s="25" t="str">
        <f>IF('1. Live'!CC240='check-Jul''26'!BY240,"",'1. Live'!CC240-'check-Jul''26'!BY240)</f>
        <v/>
      </c>
      <c r="BZ222" s="25" t="str">
        <f>IF('1. Live'!CD240='check-Jul''26'!BZ240,"",'1. Live'!CD240-'check-Jul''26'!BZ240)</f>
        <v/>
      </c>
      <c r="CA222" s="25" t="str">
        <f>IF('1. Live'!CE240='check-Jul''26'!CA240,"",'1. Live'!CE240-'check-Jul''26'!CA240)</f>
        <v/>
      </c>
      <c r="CB222" s="25" t="str">
        <f>IF('1. Live'!CF240='check-Jul''26'!CB240,"",'1. Live'!CF240-'check-Jul''26'!CB240)</f>
        <v/>
      </c>
      <c r="CC222" s="25" t="str">
        <f>IF('1. Live'!CG240='check-Jul''26'!CC240,"",'1. Live'!CG240-'check-Jul''26'!CC240)</f>
        <v/>
      </c>
      <c r="CD222" s="25" t="str">
        <f>IF('1. Live'!CH240='check-Jul''26'!CD240,"",'1. Live'!CH240-'check-Jul''26'!CD240)</f>
        <v/>
      </c>
      <c r="CE222" s="25" t="str">
        <f>IF('1. Live'!CI240='check-Jul''26'!CE240,"",'1. Live'!CI240-'check-Jul''26'!CE240)</f>
        <v/>
      </c>
      <c r="CF222" s="25" t="str">
        <f>IF('1. Live'!CJ240='check-Jul''26'!CF240,"",'1. Live'!CJ240-'check-Jul''26'!CF240)</f>
        <v/>
      </c>
      <c r="CG222" s="25" t="str">
        <f>IF('1. Live'!CK240='check-Jul''26'!CG240,"",'1. Live'!CK240-'check-Jul''26'!CG240)</f>
        <v/>
      </c>
      <c r="CH222" s="25" t="str">
        <f>IF('1. Live'!CL240='check-Jul''26'!CH240,"",'1. Live'!CL240-'check-Jul''26'!CH240)</f>
        <v/>
      </c>
      <c r="CI222" s="25" t="str">
        <f>IF('1. Live'!CM240='check-Jul''26'!CI240,"",'1. Live'!CM240-'check-Jul''26'!CI240)</f>
        <v/>
      </c>
      <c r="CJ222" s="25" t="str">
        <f>IF('1. Live'!CN240='check-Jul''26'!CJ240,"",'1. Live'!CN240-'check-Jul''26'!CJ240)</f>
        <v/>
      </c>
      <c r="CK222" s="25" t="str">
        <f>IF('1. Live'!CO240='check-Jul''26'!CK240,"",'1. Live'!CO240-'check-Jul''26'!CK240)</f>
        <v/>
      </c>
      <c r="CL222" s="25" t="str">
        <f>IF('1. Live'!CP240='check-Jul''26'!CL240,"",'1. Live'!CP240-'check-Jul''26'!CL240)</f>
        <v/>
      </c>
      <c r="CM222" s="25" t="str">
        <f>IF('1. Live'!CQ240='check-Jul''26'!CM240,"",'1. Live'!CQ240-'check-Jul''26'!CM240)</f>
        <v/>
      </c>
      <c r="CN222" s="25" t="str">
        <f>IF('1. Live'!CR240='check-Jul''26'!CN240,"",'1. Live'!CR240-'check-Jul''26'!CN240)</f>
        <v/>
      </c>
      <c r="CO222" s="25" t="str">
        <f>IF('1. Live'!CS240='check-Jul''26'!CO240,"",'1. Live'!CS240-'check-Jul''26'!CO240)</f>
        <v/>
      </c>
      <c r="CP222" s="25" t="str">
        <f>IF('1. Live'!CT240='check-Jul''26'!CP240,"",'1. Live'!CT240-'check-Jul''26'!CP240)</f>
        <v/>
      </c>
      <c r="CQ222" s="25" t="str">
        <f>IF('1. Live'!CU240='check-Jul''26'!CQ240,"",'1. Live'!CU240-'check-Jul''26'!CQ240)</f>
        <v/>
      </c>
      <c r="CR222" s="25" t="str">
        <f>IF('1. Live'!CV240='check-Jul''26'!CR240,"",'1. Live'!CV240-'check-Jul''26'!CR240)</f>
        <v/>
      </c>
      <c r="CS222" s="25" t="str">
        <f>IF('1. Live'!CW240='check-Jul''26'!CS240,"",'1. Live'!CW240-'check-Jul''26'!CS240)</f>
        <v/>
      </c>
      <c r="CT222" s="25" t="str">
        <f>IF('1. Live'!CX240='check-Jul''26'!CT240,"",'1. Live'!CX240-'check-Jul''26'!CT240)</f>
        <v/>
      </c>
      <c r="CU222" s="25" t="str">
        <f>IF('1. Live'!CY240='check-Jul''26'!CU240,"",'1. Live'!CY240-'check-Jul''26'!CU240)</f>
        <v/>
      </c>
      <c r="CV222" s="25" t="str">
        <f>IF('1. Live'!CZ240='check-Jul''26'!CV240,"",'1. Live'!CZ240-'check-Jul''26'!CV240)</f>
        <v/>
      </c>
    </row>
    <row r="223" spans="17:100" x14ac:dyDescent="0.25">
      <c r="Q223" s="26" t="str">
        <f>IF('1. Live'!N241='check-Jul''26'!I241,"",'1. Live'!N241-'check-Jul''26'!I241)</f>
        <v/>
      </c>
      <c r="R223" s="26" t="str">
        <f>IF('1. Live'!O241='check-Jul''26'!J241,"",'1. Live'!O241-'check-Jul''26'!J241)</f>
        <v/>
      </c>
      <c r="S223" s="26" t="str">
        <f>IF('1. Live'!P241='check-Jul''26'!K241,"",'1. Live'!P241-'check-Jul''26'!K241)</f>
        <v/>
      </c>
      <c r="T223" s="26" t="str">
        <f>IF('1. Live'!Q241='check-Jul''26'!L241,"",'1. Live'!Q241-'check-Jul''26'!L241)</f>
        <v/>
      </c>
      <c r="U223" s="80" t="str">
        <f>IF('1. Live'!R241='check-Jul''26'!M241,"",'1. Live'!R241-'check-Jul''26'!M241)</f>
        <v/>
      </c>
      <c r="V223" s="26" t="str">
        <f>IF('1. Live'!S241='check-Jul''26'!N241,"",'1. Live'!S241-'check-Jul''26'!N241)</f>
        <v/>
      </c>
      <c r="W223" s="25" t="str">
        <f>IF('1. Live'!T241='check-Jul''26'!O241,"",'1. Live'!T241-'check-Jul''26'!O241)</f>
        <v/>
      </c>
      <c r="X223" s="25" t="str">
        <f>IF('1. Live'!U241='check-Jul''26'!Q241,"",'1. Live'!U241-'check-Jul''26'!Q241)</f>
        <v/>
      </c>
      <c r="Y223" s="25" t="str">
        <f>IF('1. Live'!V241='check-Jul''26'!R241,"",'1. Live'!V241-'check-Jul''26'!R241)</f>
        <v/>
      </c>
      <c r="Z223" s="25" t="str">
        <f>IF('1. Live'!W241='check-Jul''26'!S241,"",'1. Live'!W241-'check-Jul''26'!S241)</f>
        <v/>
      </c>
      <c r="AA223" s="25" t="str">
        <f>IF('1. Live'!X241='check-Jul''26'!T241,"",'1. Live'!X241-'check-Jul''26'!T241)</f>
        <v/>
      </c>
      <c r="AB223" s="25" t="str">
        <f>IF('1. Live'!AF241='check-Jul''26'!AB241,"",'1. Live'!AF241-'check-Jul''26'!AB241)</f>
        <v/>
      </c>
      <c r="AC223" s="25" t="str">
        <f>IF('1. Live'!AG241='check-Jul''26'!AC241,"",'1. Live'!AG241-'check-Jul''26'!AC241)</f>
        <v/>
      </c>
      <c r="AD223" s="25" t="str">
        <f>IF('1. Live'!AH241='check-Jul''26'!AD241,"",'1. Live'!AH241-'check-Jul''26'!AD241)</f>
        <v/>
      </c>
      <c r="AE223" s="25" t="str">
        <f>IF('1. Live'!AI241='check-Jul''26'!AE241,"",'1. Live'!AI241-'check-Jul''26'!AE241)</f>
        <v/>
      </c>
      <c r="AF223" s="25" t="str">
        <f>IF('1. Live'!AJ241='check-Jul''26'!AF241,"",'1. Live'!AJ241-'check-Jul''26'!AF241)</f>
        <v/>
      </c>
      <c r="AG223" s="25" t="str">
        <f>IF('1. Live'!AK241='check-Jul''26'!AG241,"",'1. Live'!AK241-'check-Jul''26'!AG241)</f>
        <v/>
      </c>
      <c r="AH223" s="25" t="str">
        <f>IF('1. Live'!AL241='check-Jul''26'!AH241,"",'1. Live'!AL241-'check-Jul''26'!AH241)</f>
        <v/>
      </c>
      <c r="AI223" s="25" t="str">
        <f>IF('1. Live'!AM241='check-Jul''26'!AI241,"",'1. Live'!AM241-'check-Jul''26'!AI241)</f>
        <v/>
      </c>
      <c r="AJ223" s="25" t="str">
        <f>IF('1. Live'!AN241='check-Jul''26'!AJ241,"",'1. Live'!AN241-'check-Jul''26'!AJ241)</f>
        <v/>
      </c>
      <c r="AK223" s="25" t="str">
        <f>IF('1. Live'!AO241='check-Jul''26'!AK241,"",'1. Live'!AO241-'check-Jul''26'!AK241)</f>
        <v/>
      </c>
      <c r="AL223" s="25" t="str">
        <f>IF('1. Live'!AP241='check-Jul''26'!AL241,"",'1. Live'!AP241-'check-Jul''26'!AL241)</f>
        <v/>
      </c>
      <c r="AM223" s="25" t="str">
        <f>IF('1. Live'!AQ241='check-Jul''26'!AM241,"",'1. Live'!AQ241-'check-Jul''26'!AM241)</f>
        <v/>
      </c>
      <c r="AN223" s="25" t="str">
        <f>IF('1. Live'!AR241='check-Jul''26'!AN241,"",'1. Live'!AR241-'check-Jul''26'!AN241)</f>
        <v/>
      </c>
      <c r="AO223" s="25" t="str">
        <f>IF('1. Live'!AS241='check-Jul''26'!AO241,"",'1. Live'!AS241-'check-Jul''26'!AO241)</f>
        <v/>
      </c>
      <c r="AP223" s="25" t="str">
        <f>IF('1. Live'!AT241='check-Jul''26'!AP241,"",'1. Live'!AT241-'check-Jul''26'!AP241)</f>
        <v/>
      </c>
      <c r="AQ223" s="25" t="str">
        <f>IF('1. Live'!AU241='check-Jul''26'!AQ241,"",'1. Live'!AU241-'check-Jul''26'!AQ241)</f>
        <v/>
      </c>
      <c r="AR223" s="25" t="str">
        <f>IF('1. Live'!AV241='check-Jul''26'!AR241,"",'1. Live'!AV241-'check-Jul''26'!AR241)</f>
        <v/>
      </c>
      <c r="AS223" s="25" t="str">
        <f>IF('1. Live'!AW241='check-Jul''26'!AS241,"",'1. Live'!AW241-'check-Jul''26'!AS241)</f>
        <v/>
      </c>
      <c r="AT223" s="25" t="str">
        <f>IF('1. Live'!AX241='check-Jul''26'!AT241,"",'1. Live'!AX241-'check-Jul''26'!AT241)</f>
        <v/>
      </c>
      <c r="AU223" s="25" t="str">
        <f>IF('1. Live'!AY241='check-Jul''26'!AU241,"",'1. Live'!AY241-'check-Jul''26'!AU241)</f>
        <v/>
      </c>
      <c r="AV223" s="25" t="str">
        <f>IF('1. Live'!AZ241='check-Jul''26'!AV241,"",'1. Live'!AZ241-'check-Jul''26'!AV241)</f>
        <v/>
      </c>
      <c r="AW223" s="25" t="str">
        <f>IF('1. Live'!BA241='check-Jul''26'!AW241,"",'1. Live'!BA241-'check-Jul''26'!AW241)</f>
        <v/>
      </c>
      <c r="AX223" s="25" t="str">
        <f>IF('1. Live'!BB241='check-Jul''26'!AX241,"",'1. Live'!BB241-'check-Jul''26'!AX241)</f>
        <v/>
      </c>
      <c r="AY223" s="25" t="str">
        <f>IF('1. Live'!BC241='check-Jul''26'!AY241,"",'1. Live'!BC241-'check-Jul''26'!AY241)</f>
        <v/>
      </c>
      <c r="AZ223" s="25" t="str">
        <f>IF('1. Live'!BD241='check-Jul''26'!AZ241,"",'1. Live'!BD241-'check-Jul''26'!AZ241)</f>
        <v/>
      </c>
      <c r="BA223" s="25" t="str">
        <f>IF('1. Live'!BE241='check-Jul''26'!BA241,"",'1. Live'!BE241-'check-Jul''26'!BA241)</f>
        <v/>
      </c>
      <c r="BB223" s="25" t="str">
        <f>IF('1. Live'!BF241='check-Jul''26'!BB241,"",'1. Live'!BF241-'check-Jul''26'!BB241)</f>
        <v/>
      </c>
      <c r="BC223" s="25" t="str">
        <f>IF('1. Live'!BG241='check-Jul''26'!BC241,"",'1. Live'!BG241-'check-Jul''26'!BC241)</f>
        <v/>
      </c>
      <c r="BD223" s="25" t="str">
        <f>IF('1. Live'!BH241='check-Jul''26'!BD241,"",'1. Live'!BH241-'check-Jul''26'!BD241)</f>
        <v/>
      </c>
      <c r="BE223" s="25" t="str">
        <f>IF('1. Live'!BI241='check-Jul''26'!BE241,"",'1. Live'!BI241-'check-Jul''26'!BE241)</f>
        <v/>
      </c>
      <c r="BF223" s="25" t="str">
        <f>IF('1. Live'!BJ241='check-Jul''26'!BF241,"",'1. Live'!BJ241-'check-Jul''26'!BF241)</f>
        <v/>
      </c>
      <c r="BG223" s="25" t="str">
        <f>IF('1. Live'!BK241='check-Jul''26'!BG241,"",'1. Live'!BK241-'check-Jul''26'!BG241)</f>
        <v/>
      </c>
      <c r="BH223" s="25" t="str">
        <f>IF('1. Live'!BL241='check-Jul''26'!BH241,"",'1. Live'!BL241-'check-Jul''26'!BH241)</f>
        <v/>
      </c>
      <c r="BI223" s="25" t="str">
        <f>IF('1. Live'!BM241='check-Jul''26'!BI241,"",'1. Live'!BM241-'check-Jul''26'!BI241)</f>
        <v/>
      </c>
      <c r="BJ223" s="25" t="str">
        <f>IF('1. Live'!BN241='check-Jul''26'!BJ241,"",'1. Live'!BN241-'check-Jul''26'!BJ241)</f>
        <v/>
      </c>
      <c r="BK223" s="25" t="str">
        <f>IF('1. Live'!BO241='check-Jul''26'!BK241,"",'1. Live'!BO241-'check-Jul''26'!BK241)</f>
        <v/>
      </c>
      <c r="BL223" s="25" t="str">
        <f>IF('1. Live'!BP241='check-Jul''26'!BL241,"",'1. Live'!BP241-'check-Jul''26'!BL241)</f>
        <v/>
      </c>
      <c r="BM223" s="25" t="str">
        <f>IF('1. Live'!BQ241='check-Jul''26'!BM241,"",'1. Live'!BQ241-'check-Jul''26'!BM241)</f>
        <v/>
      </c>
      <c r="BN223" s="25" t="str">
        <f>IF('1. Live'!BR241='check-Jul''26'!BN241,"",'1. Live'!BR241-'check-Jul''26'!BN241)</f>
        <v/>
      </c>
      <c r="BO223" s="25" t="str">
        <f>IF('1. Live'!BS241='check-Jul''26'!BO241,"",'1. Live'!BS241-'check-Jul''26'!BO241)</f>
        <v/>
      </c>
      <c r="BP223" s="25" t="str">
        <f>IF('1. Live'!BT241='check-Jul''26'!BP241,"",'1. Live'!BT241-'check-Jul''26'!BP241)</f>
        <v/>
      </c>
      <c r="BQ223" s="25" t="str">
        <f>IF('1. Live'!BU241='check-Jul''26'!BQ241,"",'1. Live'!BU241-'check-Jul''26'!BQ241)</f>
        <v/>
      </c>
      <c r="BR223" s="25" t="str">
        <f>IF('1. Live'!BV241='check-Jul''26'!BR241,"",'1. Live'!BV241-'check-Jul''26'!BR241)</f>
        <v/>
      </c>
      <c r="BS223" s="25" t="str">
        <f>IF('1. Live'!BW241='check-Jul''26'!BS241,"",'1. Live'!BW241-'check-Jul''26'!BS241)</f>
        <v/>
      </c>
      <c r="BT223" s="25" t="str">
        <f>IF('1. Live'!BX241='check-Jul''26'!BT241,"",'1. Live'!BX241-'check-Jul''26'!BT241)</f>
        <v/>
      </c>
      <c r="BU223" s="25" t="str">
        <f>IF('1. Live'!BY241='check-Jul''26'!BU241,"",'1. Live'!BY241-'check-Jul''26'!BU241)</f>
        <v/>
      </c>
      <c r="BV223" s="25" t="str">
        <f>IF('1. Live'!BZ241='check-Jul''26'!BV241,"",'1. Live'!BZ241-'check-Jul''26'!BV241)</f>
        <v/>
      </c>
      <c r="BW223" s="25" t="str">
        <f>IF('1. Live'!CA241='check-Jul''26'!BW241,"",'1. Live'!CA241-'check-Jul''26'!BW241)</f>
        <v/>
      </c>
      <c r="BX223" s="25" t="str">
        <f>IF('1. Live'!CB241='check-Jul''26'!BX241,"",'1. Live'!CB241-'check-Jul''26'!BX241)</f>
        <v/>
      </c>
      <c r="BY223" s="25" t="str">
        <f>IF('1. Live'!CC241='check-Jul''26'!BY241,"",'1. Live'!CC241-'check-Jul''26'!BY241)</f>
        <v/>
      </c>
      <c r="BZ223" s="25" t="str">
        <f>IF('1. Live'!CD241='check-Jul''26'!BZ241,"",'1. Live'!CD241-'check-Jul''26'!BZ241)</f>
        <v/>
      </c>
      <c r="CA223" s="25" t="str">
        <f>IF('1. Live'!CE241='check-Jul''26'!CA241,"",'1. Live'!CE241-'check-Jul''26'!CA241)</f>
        <v/>
      </c>
      <c r="CB223" s="25" t="str">
        <f>IF('1. Live'!CF241='check-Jul''26'!CB241,"",'1. Live'!CF241-'check-Jul''26'!CB241)</f>
        <v/>
      </c>
      <c r="CC223" s="25" t="str">
        <f>IF('1. Live'!CG241='check-Jul''26'!CC241,"",'1. Live'!CG241-'check-Jul''26'!CC241)</f>
        <v/>
      </c>
      <c r="CD223" s="25" t="str">
        <f>IF('1. Live'!CH241='check-Jul''26'!CD241,"",'1. Live'!CH241-'check-Jul''26'!CD241)</f>
        <v/>
      </c>
      <c r="CE223" s="25" t="str">
        <f>IF('1. Live'!CI241='check-Jul''26'!CE241,"",'1. Live'!CI241-'check-Jul''26'!CE241)</f>
        <v/>
      </c>
      <c r="CF223" s="25" t="str">
        <f>IF('1. Live'!CJ241='check-Jul''26'!CF241,"",'1. Live'!CJ241-'check-Jul''26'!CF241)</f>
        <v/>
      </c>
      <c r="CG223" s="25" t="str">
        <f>IF('1. Live'!CK241='check-Jul''26'!CG241,"",'1. Live'!CK241-'check-Jul''26'!CG241)</f>
        <v/>
      </c>
      <c r="CH223" s="25" t="str">
        <f>IF('1. Live'!CL241='check-Jul''26'!CH241,"",'1. Live'!CL241-'check-Jul''26'!CH241)</f>
        <v/>
      </c>
      <c r="CI223" s="25" t="str">
        <f>IF('1. Live'!CM241='check-Jul''26'!CI241,"",'1. Live'!CM241-'check-Jul''26'!CI241)</f>
        <v/>
      </c>
      <c r="CJ223" s="25" t="str">
        <f>IF('1. Live'!CN241='check-Jul''26'!CJ241,"",'1. Live'!CN241-'check-Jul''26'!CJ241)</f>
        <v/>
      </c>
      <c r="CK223" s="25" t="str">
        <f>IF('1. Live'!CO241='check-Jul''26'!CK241,"",'1. Live'!CO241-'check-Jul''26'!CK241)</f>
        <v/>
      </c>
      <c r="CL223" s="25" t="str">
        <f>IF('1. Live'!CP241='check-Jul''26'!CL241,"",'1. Live'!CP241-'check-Jul''26'!CL241)</f>
        <v/>
      </c>
      <c r="CM223" s="25" t="str">
        <f>IF('1. Live'!CQ241='check-Jul''26'!CM241,"",'1. Live'!CQ241-'check-Jul''26'!CM241)</f>
        <v/>
      </c>
      <c r="CN223" s="25" t="str">
        <f>IF('1. Live'!CR241='check-Jul''26'!CN241,"",'1. Live'!CR241-'check-Jul''26'!CN241)</f>
        <v/>
      </c>
      <c r="CO223" s="25" t="str">
        <f>IF('1. Live'!CS241='check-Jul''26'!CO241,"",'1. Live'!CS241-'check-Jul''26'!CO241)</f>
        <v/>
      </c>
      <c r="CP223" s="25" t="str">
        <f>IF('1. Live'!CT241='check-Jul''26'!CP241,"",'1. Live'!CT241-'check-Jul''26'!CP241)</f>
        <v/>
      </c>
      <c r="CQ223" s="25" t="str">
        <f>IF('1. Live'!CU241='check-Jul''26'!CQ241,"",'1. Live'!CU241-'check-Jul''26'!CQ241)</f>
        <v/>
      </c>
      <c r="CR223" s="25" t="str">
        <f>IF('1. Live'!CV241='check-Jul''26'!CR241,"",'1. Live'!CV241-'check-Jul''26'!CR241)</f>
        <v/>
      </c>
      <c r="CS223" s="25" t="str">
        <f>IF('1. Live'!CW241='check-Jul''26'!CS241,"",'1. Live'!CW241-'check-Jul''26'!CS241)</f>
        <v/>
      </c>
      <c r="CT223" s="25" t="str">
        <f>IF('1. Live'!CX241='check-Jul''26'!CT241,"",'1. Live'!CX241-'check-Jul''26'!CT241)</f>
        <v/>
      </c>
      <c r="CU223" s="25" t="str">
        <f>IF('1. Live'!CY241='check-Jul''26'!CU241,"",'1. Live'!CY241-'check-Jul''26'!CU241)</f>
        <v/>
      </c>
      <c r="CV223" s="25" t="str">
        <f>IF('1. Live'!CZ241='check-Jul''26'!CV241,"",'1. Live'!CZ241-'check-Jul''26'!CV241)</f>
        <v/>
      </c>
    </row>
    <row r="224" spans="17:100" x14ac:dyDescent="0.25">
      <c r="Q224" s="26" t="str">
        <f>IF('1. Live'!N242='check-Jul''26'!I242,"",'1. Live'!N242-'check-Jul''26'!I242)</f>
        <v/>
      </c>
      <c r="R224" s="26" t="str">
        <f>IF('1. Live'!O242='check-Jul''26'!J242,"",'1. Live'!O242-'check-Jul''26'!J242)</f>
        <v/>
      </c>
      <c r="S224" s="26" t="str">
        <f>IF('1. Live'!P242='check-Jul''26'!K242,"",'1. Live'!P242-'check-Jul''26'!K242)</f>
        <v/>
      </c>
      <c r="T224" s="26" t="str">
        <f>IF('1. Live'!Q242='check-Jul''26'!L242,"",'1. Live'!Q242-'check-Jul''26'!L242)</f>
        <v/>
      </c>
      <c r="U224" s="80" t="str">
        <f>IF('1. Live'!R242='check-Jul''26'!M242,"",'1. Live'!R242-'check-Jul''26'!M242)</f>
        <v/>
      </c>
      <c r="V224" s="26" t="str">
        <f>IF('1. Live'!S242='check-Jul''26'!N242,"",'1. Live'!S242-'check-Jul''26'!N242)</f>
        <v/>
      </c>
      <c r="W224" s="25" t="str">
        <f>IF('1. Live'!T242='check-Jul''26'!O242,"",'1. Live'!T242-'check-Jul''26'!O242)</f>
        <v/>
      </c>
      <c r="X224" s="25" t="str">
        <f>IF('1. Live'!U242='check-Jul''26'!Q242,"",'1. Live'!U242-'check-Jul''26'!Q242)</f>
        <v/>
      </c>
      <c r="Y224" s="25" t="str">
        <f>IF('1. Live'!V242='check-Jul''26'!R242,"",'1. Live'!V242-'check-Jul''26'!R242)</f>
        <v/>
      </c>
      <c r="Z224" s="25" t="str">
        <f>IF('1. Live'!W242='check-Jul''26'!S242,"",'1. Live'!W242-'check-Jul''26'!S242)</f>
        <v/>
      </c>
      <c r="AA224" s="25" t="str">
        <f>IF('1. Live'!X242='check-Jul''26'!T242,"",'1. Live'!X242-'check-Jul''26'!T242)</f>
        <v/>
      </c>
      <c r="AB224" s="25" t="str">
        <f>IF('1. Live'!AF242='check-Jul''26'!AB242,"",'1. Live'!AF242-'check-Jul''26'!AB242)</f>
        <v/>
      </c>
      <c r="AC224" s="25" t="str">
        <f>IF('1. Live'!AG242='check-Jul''26'!AC242,"",'1. Live'!AG242-'check-Jul''26'!AC242)</f>
        <v/>
      </c>
      <c r="AD224" s="25" t="str">
        <f>IF('1. Live'!AH242='check-Jul''26'!AD242,"",'1. Live'!AH242-'check-Jul''26'!AD242)</f>
        <v/>
      </c>
      <c r="AE224" s="25" t="str">
        <f>IF('1. Live'!AI242='check-Jul''26'!AE242,"",'1. Live'!AI242-'check-Jul''26'!AE242)</f>
        <v/>
      </c>
      <c r="AF224" s="25" t="str">
        <f>IF('1. Live'!AJ242='check-Jul''26'!AF242,"",'1. Live'!AJ242-'check-Jul''26'!AF242)</f>
        <v/>
      </c>
      <c r="AG224" s="25" t="str">
        <f>IF('1. Live'!AK242='check-Jul''26'!AG242,"",'1. Live'!AK242-'check-Jul''26'!AG242)</f>
        <v/>
      </c>
      <c r="AH224" s="25" t="str">
        <f>IF('1. Live'!AL242='check-Jul''26'!AH242,"",'1. Live'!AL242-'check-Jul''26'!AH242)</f>
        <v/>
      </c>
      <c r="AI224" s="25" t="str">
        <f>IF('1. Live'!AM242='check-Jul''26'!AI242,"",'1. Live'!AM242-'check-Jul''26'!AI242)</f>
        <v/>
      </c>
      <c r="AJ224" s="25" t="str">
        <f>IF('1. Live'!AN242='check-Jul''26'!AJ242,"",'1. Live'!AN242-'check-Jul''26'!AJ242)</f>
        <v/>
      </c>
      <c r="AK224" s="25" t="str">
        <f>IF('1. Live'!AO242='check-Jul''26'!AK242,"",'1. Live'!AO242-'check-Jul''26'!AK242)</f>
        <v/>
      </c>
      <c r="AL224" s="25" t="str">
        <f>IF('1. Live'!AP242='check-Jul''26'!AL242,"",'1. Live'!AP242-'check-Jul''26'!AL242)</f>
        <v/>
      </c>
      <c r="AM224" s="25" t="str">
        <f>IF('1. Live'!AQ242='check-Jul''26'!AM242,"",'1. Live'!AQ242-'check-Jul''26'!AM242)</f>
        <v/>
      </c>
      <c r="AN224" s="25" t="str">
        <f>IF('1. Live'!AR242='check-Jul''26'!AN242,"",'1. Live'!AR242-'check-Jul''26'!AN242)</f>
        <v/>
      </c>
      <c r="AO224" s="25" t="str">
        <f>IF('1. Live'!AS242='check-Jul''26'!AO242,"",'1. Live'!AS242-'check-Jul''26'!AO242)</f>
        <v/>
      </c>
      <c r="AP224" s="25" t="str">
        <f>IF('1. Live'!AT242='check-Jul''26'!AP242,"",'1. Live'!AT242-'check-Jul''26'!AP242)</f>
        <v/>
      </c>
      <c r="AQ224" s="25" t="str">
        <f>IF('1. Live'!AU242='check-Jul''26'!AQ242,"",'1. Live'!AU242-'check-Jul''26'!AQ242)</f>
        <v/>
      </c>
      <c r="AR224" s="25" t="str">
        <f>IF('1. Live'!AV242='check-Jul''26'!AR242,"",'1. Live'!AV242-'check-Jul''26'!AR242)</f>
        <v/>
      </c>
      <c r="AS224" s="25" t="str">
        <f>IF('1. Live'!AW242='check-Jul''26'!AS242,"",'1. Live'!AW242-'check-Jul''26'!AS242)</f>
        <v/>
      </c>
      <c r="AT224" s="25" t="str">
        <f>IF('1. Live'!AX242='check-Jul''26'!AT242,"",'1. Live'!AX242-'check-Jul''26'!AT242)</f>
        <v/>
      </c>
      <c r="AU224" s="25" t="str">
        <f>IF('1. Live'!AY242='check-Jul''26'!AU242,"",'1. Live'!AY242-'check-Jul''26'!AU242)</f>
        <v/>
      </c>
      <c r="AV224" s="25" t="str">
        <f>IF('1. Live'!AZ242='check-Jul''26'!AV242,"",'1. Live'!AZ242-'check-Jul''26'!AV242)</f>
        <v/>
      </c>
      <c r="AW224" s="25" t="str">
        <f>IF('1. Live'!BA242='check-Jul''26'!AW242,"",'1. Live'!BA242-'check-Jul''26'!AW242)</f>
        <v/>
      </c>
      <c r="AX224" s="25" t="str">
        <f>IF('1. Live'!BB242='check-Jul''26'!AX242,"",'1. Live'!BB242-'check-Jul''26'!AX242)</f>
        <v/>
      </c>
      <c r="AY224" s="25" t="str">
        <f>IF('1. Live'!BC242='check-Jul''26'!AY242,"",'1. Live'!BC242-'check-Jul''26'!AY242)</f>
        <v/>
      </c>
      <c r="AZ224" s="25" t="str">
        <f>IF('1. Live'!BD242='check-Jul''26'!AZ242,"",'1. Live'!BD242-'check-Jul''26'!AZ242)</f>
        <v/>
      </c>
      <c r="BA224" s="25" t="str">
        <f>IF('1. Live'!BE242='check-Jul''26'!BA242,"",'1. Live'!BE242-'check-Jul''26'!BA242)</f>
        <v/>
      </c>
      <c r="BB224" s="25" t="str">
        <f>IF('1. Live'!BF242='check-Jul''26'!BB242,"",'1. Live'!BF242-'check-Jul''26'!BB242)</f>
        <v/>
      </c>
      <c r="BC224" s="25" t="str">
        <f>IF('1. Live'!BG242='check-Jul''26'!BC242,"",'1. Live'!BG242-'check-Jul''26'!BC242)</f>
        <v/>
      </c>
      <c r="BD224" s="25" t="str">
        <f>IF('1. Live'!BH242='check-Jul''26'!BD242,"",'1. Live'!BH242-'check-Jul''26'!BD242)</f>
        <v/>
      </c>
      <c r="BE224" s="25" t="str">
        <f>IF('1. Live'!BI242='check-Jul''26'!BE242,"",'1. Live'!BI242-'check-Jul''26'!BE242)</f>
        <v/>
      </c>
      <c r="BF224" s="25" t="str">
        <f>IF('1. Live'!BJ242='check-Jul''26'!BF242,"",'1. Live'!BJ242-'check-Jul''26'!BF242)</f>
        <v/>
      </c>
      <c r="BG224" s="25" t="str">
        <f>IF('1. Live'!BK242='check-Jul''26'!BG242,"",'1. Live'!BK242-'check-Jul''26'!BG242)</f>
        <v/>
      </c>
      <c r="BH224" s="25" t="str">
        <f>IF('1. Live'!BL242='check-Jul''26'!BH242,"",'1. Live'!BL242-'check-Jul''26'!BH242)</f>
        <v/>
      </c>
      <c r="BI224" s="25" t="str">
        <f>IF('1. Live'!BM242='check-Jul''26'!BI242,"",'1. Live'!BM242-'check-Jul''26'!BI242)</f>
        <v/>
      </c>
      <c r="BJ224" s="25" t="str">
        <f>IF('1. Live'!BN242='check-Jul''26'!BJ242,"",'1. Live'!BN242-'check-Jul''26'!BJ242)</f>
        <v/>
      </c>
      <c r="BK224" s="25" t="str">
        <f>IF('1. Live'!BO242='check-Jul''26'!BK242,"",'1. Live'!BO242-'check-Jul''26'!BK242)</f>
        <v/>
      </c>
      <c r="BL224" s="25" t="str">
        <f>IF('1. Live'!BP242='check-Jul''26'!BL242,"",'1. Live'!BP242-'check-Jul''26'!BL242)</f>
        <v/>
      </c>
      <c r="BM224" s="25" t="str">
        <f>IF('1. Live'!BQ242='check-Jul''26'!BM242,"",'1. Live'!BQ242-'check-Jul''26'!BM242)</f>
        <v/>
      </c>
      <c r="BN224" s="25" t="str">
        <f>IF('1. Live'!BR242='check-Jul''26'!BN242,"",'1. Live'!BR242-'check-Jul''26'!BN242)</f>
        <v/>
      </c>
      <c r="BO224" s="25" t="str">
        <f>IF('1. Live'!BS242='check-Jul''26'!BO242,"",'1. Live'!BS242-'check-Jul''26'!BO242)</f>
        <v/>
      </c>
      <c r="BP224" s="25" t="str">
        <f>IF('1. Live'!BT242='check-Jul''26'!BP242,"",'1. Live'!BT242-'check-Jul''26'!BP242)</f>
        <v/>
      </c>
      <c r="BQ224" s="25" t="str">
        <f>IF('1. Live'!BU242='check-Jul''26'!BQ242,"",'1. Live'!BU242-'check-Jul''26'!BQ242)</f>
        <v/>
      </c>
      <c r="BR224" s="25" t="str">
        <f>IF('1. Live'!BV242='check-Jul''26'!BR242,"",'1. Live'!BV242-'check-Jul''26'!BR242)</f>
        <v/>
      </c>
      <c r="BS224" s="25" t="str">
        <f>IF('1. Live'!BW242='check-Jul''26'!BS242,"",'1. Live'!BW242-'check-Jul''26'!BS242)</f>
        <v/>
      </c>
      <c r="BT224" s="25" t="str">
        <f>IF('1. Live'!BX242='check-Jul''26'!BT242,"",'1. Live'!BX242-'check-Jul''26'!BT242)</f>
        <v/>
      </c>
      <c r="BU224" s="25" t="str">
        <f>IF('1. Live'!BY242='check-Jul''26'!BU242,"",'1. Live'!BY242-'check-Jul''26'!BU242)</f>
        <v/>
      </c>
      <c r="BV224" s="25" t="str">
        <f>IF('1. Live'!BZ242='check-Jul''26'!BV242,"",'1. Live'!BZ242-'check-Jul''26'!BV242)</f>
        <v/>
      </c>
      <c r="BW224" s="25" t="str">
        <f>IF('1. Live'!CA242='check-Jul''26'!BW242,"",'1. Live'!CA242-'check-Jul''26'!BW242)</f>
        <v/>
      </c>
      <c r="BX224" s="25" t="str">
        <f>IF('1. Live'!CB242='check-Jul''26'!BX242,"",'1. Live'!CB242-'check-Jul''26'!BX242)</f>
        <v/>
      </c>
      <c r="BY224" s="25" t="str">
        <f>IF('1. Live'!CC242='check-Jul''26'!BY242,"",'1. Live'!CC242-'check-Jul''26'!BY242)</f>
        <v/>
      </c>
      <c r="BZ224" s="25" t="str">
        <f>IF('1. Live'!CD242='check-Jul''26'!BZ242,"",'1. Live'!CD242-'check-Jul''26'!BZ242)</f>
        <v/>
      </c>
      <c r="CA224" s="25" t="str">
        <f>IF('1. Live'!CE242='check-Jul''26'!CA242,"",'1. Live'!CE242-'check-Jul''26'!CA242)</f>
        <v/>
      </c>
      <c r="CB224" s="25" t="str">
        <f>IF('1. Live'!CF242='check-Jul''26'!CB242,"",'1. Live'!CF242-'check-Jul''26'!CB242)</f>
        <v/>
      </c>
      <c r="CC224" s="25" t="str">
        <f>IF('1. Live'!CG242='check-Jul''26'!CC242,"",'1. Live'!CG242-'check-Jul''26'!CC242)</f>
        <v/>
      </c>
      <c r="CD224" s="25" t="str">
        <f>IF('1. Live'!CH242='check-Jul''26'!CD242,"",'1. Live'!CH242-'check-Jul''26'!CD242)</f>
        <v/>
      </c>
      <c r="CE224" s="25" t="str">
        <f>IF('1. Live'!CI242='check-Jul''26'!CE242,"",'1. Live'!CI242-'check-Jul''26'!CE242)</f>
        <v/>
      </c>
      <c r="CF224" s="25" t="str">
        <f>IF('1. Live'!CJ242='check-Jul''26'!CF242,"",'1. Live'!CJ242-'check-Jul''26'!CF242)</f>
        <v/>
      </c>
      <c r="CG224" s="25" t="str">
        <f>IF('1. Live'!CK242='check-Jul''26'!CG242,"",'1. Live'!CK242-'check-Jul''26'!CG242)</f>
        <v/>
      </c>
      <c r="CH224" s="25" t="str">
        <f>IF('1. Live'!CL242='check-Jul''26'!CH242,"",'1. Live'!CL242-'check-Jul''26'!CH242)</f>
        <v/>
      </c>
      <c r="CI224" s="25" t="str">
        <f>IF('1. Live'!CM242='check-Jul''26'!CI242,"",'1. Live'!CM242-'check-Jul''26'!CI242)</f>
        <v/>
      </c>
      <c r="CJ224" s="25" t="str">
        <f>IF('1. Live'!CN242='check-Jul''26'!CJ242,"",'1. Live'!CN242-'check-Jul''26'!CJ242)</f>
        <v/>
      </c>
      <c r="CK224" s="25" t="str">
        <f>IF('1. Live'!CO242='check-Jul''26'!CK242,"",'1. Live'!CO242-'check-Jul''26'!CK242)</f>
        <v/>
      </c>
      <c r="CL224" s="25" t="str">
        <f>IF('1. Live'!CP242='check-Jul''26'!CL242,"",'1. Live'!CP242-'check-Jul''26'!CL242)</f>
        <v/>
      </c>
      <c r="CM224" s="25" t="str">
        <f>IF('1. Live'!CQ242='check-Jul''26'!CM242,"",'1. Live'!CQ242-'check-Jul''26'!CM242)</f>
        <v/>
      </c>
      <c r="CN224" s="25" t="str">
        <f>IF('1. Live'!CR242='check-Jul''26'!CN242,"",'1. Live'!CR242-'check-Jul''26'!CN242)</f>
        <v/>
      </c>
      <c r="CO224" s="25" t="str">
        <f>IF('1. Live'!CS242='check-Jul''26'!CO242,"",'1. Live'!CS242-'check-Jul''26'!CO242)</f>
        <v/>
      </c>
      <c r="CP224" s="25" t="str">
        <f>IF('1. Live'!CT242='check-Jul''26'!CP242,"",'1. Live'!CT242-'check-Jul''26'!CP242)</f>
        <v/>
      </c>
      <c r="CQ224" s="25" t="str">
        <f>IF('1. Live'!CU242='check-Jul''26'!CQ242,"",'1. Live'!CU242-'check-Jul''26'!CQ242)</f>
        <v/>
      </c>
      <c r="CR224" s="25" t="str">
        <f>IF('1. Live'!CV242='check-Jul''26'!CR242,"",'1. Live'!CV242-'check-Jul''26'!CR242)</f>
        <v/>
      </c>
      <c r="CS224" s="25" t="str">
        <f>IF('1. Live'!CW242='check-Jul''26'!CS242,"",'1. Live'!CW242-'check-Jul''26'!CS242)</f>
        <v/>
      </c>
      <c r="CT224" s="25" t="str">
        <f>IF('1. Live'!CX242='check-Jul''26'!CT242,"",'1. Live'!CX242-'check-Jul''26'!CT242)</f>
        <v/>
      </c>
      <c r="CU224" s="25" t="str">
        <f>IF('1. Live'!CY242='check-Jul''26'!CU242,"",'1. Live'!CY242-'check-Jul''26'!CU242)</f>
        <v/>
      </c>
      <c r="CV224" s="25" t="str">
        <f>IF('1. Live'!CZ242='check-Jul''26'!CV242,"",'1. Live'!CZ242-'check-Jul''26'!CV242)</f>
        <v/>
      </c>
    </row>
    <row r="225" spans="17:100" x14ac:dyDescent="0.25">
      <c r="Q225" s="26" t="str">
        <f>IF('1. Live'!N243='check-Jul''26'!I243,"",'1. Live'!N243-'check-Jul''26'!I243)</f>
        <v/>
      </c>
      <c r="R225" s="26" t="str">
        <f>IF('1. Live'!O243='check-Jul''26'!J243,"",'1. Live'!O243-'check-Jul''26'!J243)</f>
        <v/>
      </c>
      <c r="S225" s="26" t="str">
        <f>IF('1. Live'!P243='check-Jul''26'!K243,"",'1. Live'!P243-'check-Jul''26'!K243)</f>
        <v/>
      </c>
      <c r="T225" s="26" t="str">
        <f>IF('1. Live'!Q243='check-Jul''26'!L243,"",'1. Live'!Q243-'check-Jul''26'!L243)</f>
        <v/>
      </c>
      <c r="U225" s="80" t="str">
        <f>IF('1. Live'!R243='check-Jul''26'!M243,"",'1. Live'!R243-'check-Jul''26'!M243)</f>
        <v/>
      </c>
      <c r="V225" s="26" t="str">
        <f>IF('1. Live'!S243='check-Jul''26'!N243,"",'1. Live'!S243-'check-Jul''26'!N243)</f>
        <v/>
      </c>
      <c r="W225" s="25" t="str">
        <f>IF('1. Live'!T243='check-Jul''26'!O243,"",'1. Live'!T243-'check-Jul''26'!O243)</f>
        <v/>
      </c>
      <c r="X225" s="25" t="str">
        <f>IF('1. Live'!U243='check-Jul''26'!Q243,"",'1. Live'!U243-'check-Jul''26'!Q243)</f>
        <v/>
      </c>
      <c r="Y225" s="25" t="str">
        <f>IF('1. Live'!V243='check-Jul''26'!R243,"",'1. Live'!V243-'check-Jul''26'!R243)</f>
        <v/>
      </c>
      <c r="Z225" s="25" t="str">
        <f>IF('1. Live'!W243='check-Jul''26'!S243,"",'1. Live'!W243-'check-Jul''26'!S243)</f>
        <v/>
      </c>
      <c r="AA225" s="25" t="str">
        <f>IF('1. Live'!X243='check-Jul''26'!T243,"",'1. Live'!X243-'check-Jul''26'!T243)</f>
        <v/>
      </c>
      <c r="AB225" s="25" t="str">
        <f>IF('1. Live'!AF243='check-Jul''26'!AB243,"",'1. Live'!AF243-'check-Jul''26'!AB243)</f>
        <v/>
      </c>
      <c r="AC225" s="25" t="str">
        <f>IF('1. Live'!AG243='check-Jul''26'!AC243,"",'1. Live'!AG243-'check-Jul''26'!AC243)</f>
        <v/>
      </c>
      <c r="AD225" s="25" t="str">
        <f>IF('1. Live'!AH243='check-Jul''26'!AD243,"",'1. Live'!AH243-'check-Jul''26'!AD243)</f>
        <v/>
      </c>
      <c r="AE225" s="25" t="str">
        <f>IF('1. Live'!AI243='check-Jul''26'!AE243,"",'1. Live'!AI243-'check-Jul''26'!AE243)</f>
        <v/>
      </c>
      <c r="AF225" s="25" t="str">
        <f>IF('1. Live'!AJ243='check-Jul''26'!AF243,"",'1. Live'!AJ243-'check-Jul''26'!AF243)</f>
        <v/>
      </c>
      <c r="AG225" s="25" t="str">
        <f>IF('1. Live'!AK243='check-Jul''26'!AG243,"",'1. Live'!AK243-'check-Jul''26'!AG243)</f>
        <v/>
      </c>
      <c r="AH225" s="25" t="str">
        <f>IF('1. Live'!AL243='check-Jul''26'!AH243,"",'1. Live'!AL243-'check-Jul''26'!AH243)</f>
        <v/>
      </c>
      <c r="AI225" s="25" t="str">
        <f>IF('1. Live'!AM243='check-Jul''26'!AI243,"",'1. Live'!AM243-'check-Jul''26'!AI243)</f>
        <v/>
      </c>
      <c r="AJ225" s="25" t="str">
        <f>IF('1. Live'!AN243='check-Jul''26'!AJ243,"",'1. Live'!AN243-'check-Jul''26'!AJ243)</f>
        <v/>
      </c>
      <c r="AK225" s="25" t="str">
        <f>IF('1. Live'!AO243='check-Jul''26'!AK243,"",'1. Live'!AO243-'check-Jul''26'!AK243)</f>
        <v/>
      </c>
      <c r="AL225" s="25" t="str">
        <f>IF('1. Live'!AP243='check-Jul''26'!AL243,"",'1. Live'!AP243-'check-Jul''26'!AL243)</f>
        <v/>
      </c>
      <c r="AM225" s="25" t="str">
        <f>IF('1. Live'!AQ243='check-Jul''26'!AM243,"",'1. Live'!AQ243-'check-Jul''26'!AM243)</f>
        <v/>
      </c>
      <c r="AN225" s="25" t="str">
        <f>IF('1. Live'!AR243='check-Jul''26'!AN243,"",'1. Live'!AR243-'check-Jul''26'!AN243)</f>
        <v/>
      </c>
      <c r="AO225" s="25" t="str">
        <f>IF('1. Live'!AS243='check-Jul''26'!AO243,"",'1. Live'!AS243-'check-Jul''26'!AO243)</f>
        <v/>
      </c>
      <c r="AP225" s="25" t="str">
        <f>IF('1. Live'!AT243='check-Jul''26'!AP243,"",'1. Live'!AT243-'check-Jul''26'!AP243)</f>
        <v/>
      </c>
      <c r="AQ225" s="25" t="str">
        <f>IF('1. Live'!AU243='check-Jul''26'!AQ243,"",'1. Live'!AU243-'check-Jul''26'!AQ243)</f>
        <v/>
      </c>
      <c r="AR225" s="25" t="str">
        <f>IF('1. Live'!AV243='check-Jul''26'!AR243,"",'1. Live'!AV243-'check-Jul''26'!AR243)</f>
        <v/>
      </c>
      <c r="AS225" s="25" t="str">
        <f>IF('1. Live'!AW243='check-Jul''26'!AS243,"",'1. Live'!AW243-'check-Jul''26'!AS243)</f>
        <v/>
      </c>
      <c r="AT225" s="25" t="str">
        <f>IF('1. Live'!AX243='check-Jul''26'!AT243,"",'1. Live'!AX243-'check-Jul''26'!AT243)</f>
        <v/>
      </c>
      <c r="AU225" s="25" t="str">
        <f>IF('1. Live'!AY243='check-Jul''26'!AU243,"",'1. Live'!AY243-'check-Jul''26'!AU243)</f>
        <v/>
      </c>
      <c r="AV225" s="25" t="str">
        <f>IF('1. Live'!AZ243='check-Jul''26'!AV243,"",'1. Live'!AZ243-'check-Jul''26'!AV243)</f>
        <v/>
      </c>
      <c r="AW225" s="25" t="str">
        <f>IF('1. Live'!BA243='check-Jul''26'!AW243,"",'1. Live'!BA243-'check-Jul''26'!AW243)</f>
        <v/>
      </c>
      <c r="AX225" s="25" t="str">
        <f>IF('1. Live'!BB243='check-Jul''26'!AX243,"",'1. Live'!BB243-'check-Jul''26'!AX243)</f>
        <v/>
      </c>
      <c r="AY225" s="25" t="str">
        <f>IF('1. Live'!BC243='check-Jul''26'!AY243,"",'1. Live'!BC243-'check-Jul''26'!AY243)</f>
        <v/>
      </c>
      <c r="AZ225" s="25" t="str">
        <f>IF('1. Live'!BD243='check-Jul''26'!AZ243,"",'1. Live'!BD243-'check-Jul''26'!AZ243)</f>
        <v/>
      </c>
      <c r="BA225" s="25" t="str">
        <f>IF('1. Live'!BE243='check-Jul''26'!BA243,"",'1. Live'!BE243-'check-Jul''26'!BA243)</f>
        <v/>
      </c>
      <c r="BB225" s="25" t="str">
        <f>IF('1. Live'!BF243='check-Jul''26'!BB243,"",'1. Live'!BF243-'check-Jul''26'!BB243)</f>
        <v/>
      </c>
      <c r="BC225" s="25" t="str">
        <f>IF('1. Live'!BG243='check-Jul''26'!BC243,"",'1. Live'!BG243-'check-Jul''26'!BC243)</f>
        <v/>
      </c>
      <c r="BD225" s="25" t="str">
        <f>IF('1. Live'!BH243='check-Jul''26'!BD243,"",'1. Live'!BH243-'check-Jul''26'!BD243)</f>
        <v/>
      </c>
      <c r="BE225" s="25" t="str">
        <f>IF('1. Live'!BI243='check-Jul''26'!BE243,"",'1. Live'!BI243-'check-Jul''26'!BE243)</f>
        <v/>
      </c>
      <c r="BF225" s="25" t="str">
        <f>IF('1. Live'!BJ243='check-Jul''26'!BF243,"",'1. Live'!BJ243-'check-Jul''26'!BF243)</f>
        <v/>
      </c>
      <c r="BG225" s="25" t="str">
        <f>IF('1. Live'!BK243='check-Jul''26'!BG243,"",'1. Live'!BK243-'check-Jul''26'!BG243)</f>
        <v/>
      </c>
      <c r="BH225" s="25" t="str">
        <f>IF('1. Live'!BL243='check-Jul''26'!BH243,"",'1. Live'!BL243-'check-Jul''26'!BH243)</f>
        <v/>
      </c>
      <c r="BI225" s="25" t="str">
        <f>IF('1. Live'!BM243='check-Jul''26'!BI243,"",'1. Live'!BM243-'check-Jul''26'!BI243)</f>
        <v/>
      </c>
      <c r="BJ225" s="25" t="str">
        <f>IF('1. Live'!BN243='check-Jul''26'!BJ243,"",'1. Live'!BN243-'check-Jul''26'!BJ243)</f>
        <v/>
      </c>
      <c r="BK225" s="25" t="str">
        <f>IF('1. Live'!BO243='check-Jul''26'!BK243,"",'1. Live'!BO243-'check-Jul''26'!BK243)</f>
        <v/>
      </c>
      <c r="BL225" s="25" t="str">
        <f>IF('1. Live'!BP243='check-Jul''26'!BL243,"",'1. Live'!BP243-'check-Jul''26'!BL243)</f>
        <v/>
      </c>
      <c r="BM225" s="25" t="str">
        <f>IF('1. Live'!BQ243='check-Jul''26'!BM243,"",'1. Live'!BQ243-'check-Jul''26'!BM243)</f>
        <v/>
      </c>
      <c r="BN225" s="25" t="str">
        <f>IF('1. Live'!BR243='check-Jul''26'!BN243,"",'1. Live'!BR243-'check-Jul''26'!BN243)</f>
        <v/>
      </c>
      <c r="BO225" s="25" t="str">
        <f>IF('1. Live'!BS243='check-Jul''26'!BO243,"",'1. Live'!BS243-'check-Jul''26'!BO243)</f>
        <v/>
      </c>
      <c r="BP225" s="25" t="str">
        <f>IF('1. Live'!BT243='check-Jul''26'!BP243,"",'1. Live'!BT243-'check-Jul''26'!BP243)</f>
        <v/>
      </c>
      <c r="BQ225" s="25" t="str">
        <f>IF('1. Live'!BU243='check-Jul''26'!BQ243,"",'1. Live'!BU243-'check-Jul''26'!BQ243)</f>
        <v/>
      </c>
      <c r="BR225" s="25" t="str">
        <f>IF('1. Live'!BV243='check-Jul''26'!BR243,"",'1. Live'!BV243-'check-Jul''26'!BR243)</f>
        <v/>
      </c>
      <c r="BS225" s="25" t="str">
        <f>IF('1. Live'!BW243='check-Jul''26'!BS243,"",'1. Live'!BW243-'check-Jul''26'!BS243)</f>
        <v/>
      </c>
      <c r="BT225" s="25" t="str">
        <f>IF('1. Live'!BX243='check-Jul''26'!BT243,"",'1. Live'!BX243-'check-Jul''26'!BT243)</f>
        <v/>
      </c>
      <c r="BU225" s="25" t="str">
        <f>IF('1. Live'!BY243='check-Jul''26'!BU243,"",'1. Live'!BY243-'check-Jul''26'!BU243)</f>
        <v/>
      </c>
      <c r="BV225" s="25" t="str">
        <f>IF('1. Live'!BZ243='check-Jul''26'!BV243,"",'1. Live'!BZ243-'check-Jul''26'!BV243)</f>
        <v/>
      </c>
      <c r="BW225" s="25" t="str">
        <f>IF('1. Live'!CA243='check-Jul''26'!BW243,"",'1. Live'!CA243-'check-Jul''26'!BW243)</f>
        <v/>
      </c>
      <c r="BX225" s="25" t="str">
        <f>IF('1. Live'!CB243='check-Jul''26'!BX243,"",'1. Live'!CB243-'check-Jul''26'!BX243)</f>
        <v/>
      </c>
      <c r="BY225" s="25" t="str">
        <f>IF('1. Live'!CC243='check-Jul''26'!BY243,"",'1. Live'!CC243-'check-Jul''26'!BY243)</f>
        <v/>
      </c>
      <c r="BZ225" s="25" t="str">
        <f>IF('1. Live'!CD243='check-Jul''26'!BZ243,"",'1. Live'!CD243-'check-Jul''26'!BZ243)</f>
        <v/>
      </c>
      <c r="CA225" s="25" t="str">
        <f>IF('1. Live'!CE243='check-Jul''26'!CA243,"",'1. Live'!CE243-'check-Jul''26'!CA243)</f>
        <v/>
      </c>
      <c r="CB225" s="25" t="str">
        <f>IF('1. Live'!CF243='check-Jul''26'!CB243,"",'1. Live'!CF243-'check-Jul''26'!CB243)</f>
        <v/>
      </c>
      <c r="CC225" s="25" t="str">
        <f>IF('1. Live'!CG243='check-Jul''26'!CC243,"",'1. Live'!CG243-'check-Jul''26'!CC243)</f>
        <v/>
      </c>
      <c r="CD225" s="25" t="str">
        <f>IF('1. Live'!CH243='check-Jul''26'!CD243,"",'1. Live'!CH243-'check-Jul''26'!CD243)</f>
        <v/>
      </c>
      <c r="CE225" s="25" t="str">
        <f>IF('1. Live'!CI243='check-Jul''26'!CE243,"",'1. Live'!CI243-'check-Jul''26'!CE243)</f>
        <v/>
      </c>
      <c r="CF225" s="25" t="str">
        <f>IF('1. Live'!CJ243='check-Jul''26'!CF243,"",'1. Live'!CJ243-'check-Jul''26'!CF243)</f>
        <v/>
      </c>
      <c r="CG225" s="25" t="str">
        <f>IF('1. Live'!CK243='check-Jul''26'!CG243,"",'1. Live'!CK243-'check-Jul''26'!CG243)</f>
        <v/>
      </c>
      <c r="CH225" s="25" t="str">
        <f>IF('1. Live'!CL243='check-Jul''26'!CH243,"",'1. Live'!CL243-'check-Jul''26'!CH243)</f>
        <v/>
      </c>
      <c r="CI225" s="25" t="str">
        <f>IF('1. Live'!CM243='check-Jul''26'!CI243,"",'1. Live'!CM243-'check-Jul''26'!CI243)</f>
        <v/>
      </c>
      <c r="CJ225" s="25" t="str">
        <f>IF('1. Live'!CN243='check-Jul''26'!CJ243,"",'1. Live'!CN243-'check-Jul''26'!CJ243)</f>
        <v/>
      </c>
      <c r="CK225" s="25" t="str">
        <f>IF('1. Live'!CO243='check-Jul''26'!CK243,"",'1. Live'!CO243-'check-Jul''26'!CK243)</f>
        <v/>
      </c>
      <c r="CL225" s="25" t="str">
        <f>IF('1. Live'!CP243='check-Jul''26'!CL243,"",'1. Live'!CP243-'check-Jul''26'!CL243)</f>
        <v/>
      </c>
      <c r="CM225" s="25" t="str">
        <f>IF('1. Live'!CQ243='check-Jul''26'!CM243,"",'1. Live'!CQ243-'check-Jul''26'!CM243)</f>
        <v/>
      </c>
      <c r="CN225" s="25" t="str">
        <f>IF('1. Live'!CR243='check-Jul''26'!CN243,"",'1. Live'!CR243-'check-Jul''26'!CN243)</f>
        <v/>
      </c>
      <c r="CO225" s="25" t="str">
        <f>IF('1. Live'!CS243='check-Jul''26'!CO243,"",'1. Live'!CS243-'check-Jul''26'!CO243)</f>
        <v/>
      </c>
      <c r="CP225" s="25" t="str">
        <f>IF('1. Live'!CT243='check-Jul''26'!CP243,"",'1. Live'!CT243-'check-Jul''26'!CP243)</f>
        <v/>
      </c>
      <c r="CQ225" s="25" t="str">
        <f>IF('1. Live'!CU243='check-Jul''26'!CQ243,"",'1. Live'!CU243-'check-Jul''26'!CQ243)</f>
        <v/>
      </c>
      <c r="CR225" s="25" t="str">
        <f>IF('1. Live'!CV243='check-Jul''26'!CR243,"",'1. Live'!CV243-'check-Jul''26'!CR243)</f>
        <v/>
      </c>
      <c r="CS225" s="25" t="str">
        <f>IF('1. Live'!CW243='check-Jul''26'!CS243,"",'1. Live'!CW243-'check-Jul''26'!CS243)</f>
        <v/>
      </c>
      <c r="CT225" s="25" t="str">
        <f>IF('1. Live'!CX243='check-Jul''26'!CT243,"",'1. Live'!CX243-'check-Jul''26'!CT243)</f>
        <v/>
      </c>
      <c r="CU225" s="25" t="str">
        <f>IF('1. Live'!CY243='check-Jul''26'!CU243,"",'1. Live'!CY243-'check-Jul''26'!CU243)</f>
        <v/>
      </c>
      <c r="CV225" s="25" t="str">
        <f>IF('1. Live'!CZ243='check-Jul''26'!CV243,"",'1. Live'!CZ243-'check-Jul''26'!CV243)</f>
        <v/>
      </c>
    </row>
    <row r="226" spans="17:100" x14ac:dyDescent="0.25">
      <c r="Q226" s="26" t="str">
        <f>IF('1. Live'!N244='check-Jul''26'!I244,"",'1. Live'!N244-'check-Jul''26'!I244)</f>
        <v/>
      </c>
      <c r="R226" s="26" t="str">
        <f>IF('1. Live'!O244='check-Jul''26'!J244,"",'1. Live'!O244-'check-Jul''26'!J244)</f>
        <v/>
      </c>
      <c r="S226" s="26" t="str">
        <f>IF('1. Live'!P244='check-Jul''26'!K244,"",'1. Live'!P244-'check-Jul''26'!K244)</f>
        <v/>
      </c>
      <c r="T226" s="26" t="str">
        <f>IF('1. Live'!Q244='check-Jul''26'!L244,"",'1. Live'!Q244-'check-Jul''26'!L244)</f>
        <v/>
      </c>
      <c r="U226" s="80" t="str">
        <f>IF('1. Live'!R244='check-Jul''26'!M244,"",'1. Live'!R244-'check-Jul''26'!M244)</f>
        <v/>
      </c>
      <c r="V226" s="26" t="str">
        <f>IF('1. Live'!S244='check-Jul''26'!N244,"",'1. Live'!S244-'check-Jul''26'!N244)</f>
        <v/>
      </c>
      <c r="W226" s="25" t="str">
        <f>IF('1. Live'!T244='check-Jul''26'!O244,"",'1. Live'!T244-'check-Jul''26'!O244)</f>
        <v/>
      </c>
      <c r="X226" s="25" t="str">
        <f>IF('1. Live'!U244='check-Jul''26'!Q244,"",'1. Live'!U244-'check-Jul''26'!Q244)</f>
        <v/>
      </c>
      <c r="Y226" s="25" t="str">
        <f>IF('1. Live'!V244='check-Jul''26'!R244,"",'1. Live'!V244-'check-Jul''26'!R244)</f>
        <v/>
      </c>
      <c r="Z226" s="25" t="str">
        <f>IF('1. Live'!W244='check-Jul''26'!S244,"",'1. Live'!W244-'check-Jul''26'!S244)</f>
        <v/>
      </c>
      <c r="AA226" s="25" t="str">
        <f>IF('1. Live'!X244='check-Jul''26'!T244,"",'1. Live'!X244-'check-Jul''26'!T244)</f>
        <v/>
      </c>
      <c r="AB226" s="25" t="str">
        <f>IF('1. Live'!AF244='check-Jul''26'!AB244,"",'1. Live'!AF244-'check-Jul''26'!AB244)</f>
        <v/>
      </c>
      <c r="AC226" s="25" t="str">
        <f>IF('1. Live'!AG244='check-Jul''26'!AC244,"",'1. Live'!AG244-'check-Jul''26'!AC244)</f>
        <v/>
      </c>
      <c r="AD226" s="25" t="str">
        <f>IF('1. Live'!AH244='check-Jul''26'!AD244,"",'1. Live'!AH244-'check-Jul''26'!AD244)</f>
        <v/>
      </c>
      <c r="AE226" s="25" t="str">
        <f>IF('1. Live'!AI244='check-Jul''26'!AE244,"",'1. Live'!AI244-'check-Jul''26'!AE244)</f>
        <v/>
      </c>
      <c r="AF226" s="25" t="str">
        <f>IF('1. Live'!AJ244='check-Jul''26'!AF244,"",'1. Live'!AJ244-'check-Jul''26'!AF244)</f>
        <v/>
      </c>
      <c r="AG226" s="25" t="str">
        <f>IF('1. Live'!AK244='check-Jul''26'!AG244,"",'1. Live'!AK244-'check-Jul''26'!AG244)</f>
        <v/>
      </c>
      <c r="AH226" s="25" t="str">
        <f>IF('1. Live'!AL244='check-Jul''26'!AH244,"",'1. Live'!AL244-'check-Jul''26'!AH244)</f>
        <v/>
      </c>
      <c r="AI226" s="25" t="str">
        <f>IF('1. Live'!AM244='check-Jul''26'!AI244,"",'1. Live'!AM244-'check-Jul''26'!AI244)</f>
        <v/>
      </c>
      <c r="AJ226" s="25" t="str">
        <f>IF('1. Live'!AN244='check-Jul''26'!AJ244,"",'1. Live'!AN244-'check-Jul''26'!AJ244)</f>
        <v/>
      </c>
      <c r="AK226" s="25" t="str">
        <f>IF('1. Live'!AO244='check-Jul''26'!AK244,"",'1. Live'!AO244-'check-Jul''26'!AK244)</f>
        <v/>
      </c>
      <c r="AL226" s="25" t="str">
        <f>IF('1. Live'!AP244='check-Jul''26'!AL244,"",'1. Live'!AP244-'check-Jul''26'!AL244)</f>
        <v/>
      </c>
      <c r="AM226" s="25" t="str">
        <f>IF('1. Live'!AQ244='check-Jul''26'!AM244,"",'1. Live'!AQ244-'check-Jul''26'!AM244)</f>
        <v/>
      </c>
      <c r="AN226" s="25" t="str">
        <f>IF('1. Live'!AR244='check-Jul''26'!AN244,"",'1. Live'!AR244-'check-Jul''26'!AN244)</f>
        <v/>
      </c>
      <c r="AO226" s="25" t="str">
        <f>IF('1. Live'!AS244='check-Jul''26'!AO244,"",'1. Live'!AS244-'check-Jul''26'!AO244)</f>
        <v/>
      </c>
      <c r="AP226" s="25" t="str">
        <f>IF('1. Live'!AT244='check-Jul''26'!AP244,"",'1. Live'!AT244-'check-Jul''26'!AP244)</f>
        <v/>
      </c>
      <c r="AQ226" s="25" t="str">
        <f>IF('1. Live'!AU244='check-Jul''26'!AQ244,"",'1. Live'!AU244-'check-Jul''26'!AQ244)</f>
        <v/>
      </c>
      <c r="AR226" s="25" t="str">
        <f>IF('1. Live'!AV244='check-Jul''26'!AR244,"",'1. Live'!AV244-'check-Jul''26'!AR244)</f>
        <v/>
      </c>
      <c r="AS226" s="25" t="str">
        <f>IF('1. Live'!AW244='check-Jul''26'!AS244,"",'1. Live'!AW244-'check-Jul''26'!AS244)</f>
        <v/>
      </c>
      <c r="AT226" s="25" t="str">
        <f>IF('1. Live'!AX244='check-Jul''26'!AT244,"",'1. Live'!AX244-'check-Jul''26'!AT244)</f>
        <v/>
      </c>
      <c r="AU226" s="25" t="str">
        <f>IF('1. Live'!AY244='check-Jul''26'!AU244,"",'1. Live'!AY244-'check-Jul''26'!AU244)</f>
        <v/>
      </c>
      <c r="AV226" s="25" t="str">
        <f>IF('1. Live'!AZ244='check-Jul''26'!AV244,"",'1. Live'!AZ244-'check-Jul''26'!AV244)</f>
        <v/>
      </c>
      <c r="AW226" s="25" t="str">
        <f>IF('1. Live'!BA244='check-Jul''26'!AW244,"",'1. Live'!BA244-'check-Jul''26'!AW244)</f>
        <v/>
      </c>
      <c r="AX226" s="25" t="str">
        <f>IF('1. Live'!BB244='check-Jul''26'!AX244,"",'1. Live'!BB244-'check-Jul''26'!AX244)</f>
        <v/>
      </c>
      <c r="AY226" s="25" t="str">
        <f>IF('1. Live'!BC244='check-Jul''26'!AY244,"",'1. Live'!BC244-'check-Jul''26'!AY244)</f>
        <v/>
      </c>
      <c r="AZ226" s="25" t="str">
        <f>IF('1. Live'!BD244='check-Jul''26'!AZ244,"",'1. Live'!BD244-'check-Jul''26'!AZ244)</f>
        <v/>
      </c>
      <c r="BA226" s="25" t="str">
        <f>IF('1. Live'!BE244='check-Jul''26'!BA244,"",'1. Live'!BE244-'check-Jul''26'!BA244)</f>
        <v/>
      </c>
      <c r="BB226" s="25" t="str">
        <f>IF('1. Live'!BF244='check-Jul''26'!BB244,"",'1. Live'!BF244-'check-Jul''26'!BB244)</f>
        <v/>
      </c>
      <c r="BC226" s="25" t="str">
        <f>IF('1. Live'!BG244='check-Jul''26'!BC244,"",'1. Live'!BG244-'check-Jul''26'!BC244)</f>
        <v/>
      </c>
      <c r="BD226" s="25" t="str">
        <f>IF('1. Live'!BH244='check-Jul''26'!BD244,"",'1. Live'!BH244-'check-Jul''26'!BD244)</f>
        <v/>
      </c>
      <c r="BE226" s="25" t="str">
        <f>IF('1. Live'!BI244='check-Jul''26'!BE244,"",'1. Live'!BI244-'check-Jul''26'!BE244)</f>
        <v/>
      </c>
      <c r="BF226" s="25" t="str">
        <f>IF('1. Live'!BJ244='check-Jul''26'!BF244,"",'1. Live'!BJ244-'check-Jul''26'!BF244)</f>
        <v/>
      </c>
      <c r="BG226" s="25" t="str">
        <f>IF('1. Live'!BK244='check-Jul''26'!BG244,"",'1. Live'!BK244-'check-Jul''26'!BG244)</f>
        <v/>
      </c>
      <c r="BH226" s="25" t="str">
        <f>IF('1. Live'!BL244='check-Jul''26'!BH244,"",'1. Live'!BL244-'check-Jul''26'!BH244)</f>
        <v/>
      </c>
      <c r="BI226" s="25" t="str">
        <f>IF('1. Live'!BM244='check-Jul''26'!BI244,"",'1. Live'!BM244-'check-Jul''26'!BI244)</f>
        <v/>
      </c>
      <c r="BJ226" s="25" t="str">
        <f>IF('1. Live'!BN244='check-Jul''26'!BJ244,"",'1. Live'!BN244-'check-Jul''26'!BJ244)</f>
        <v/>
      </c>
      <c r="BK226" s="25" t="str">
        <f>IF('1. Live'!BO244='check-Jul''26'!BK244,"",'1. Live'!BO244-'check-Jul''26'!BK244)</f>
        <v/>
      </c>
      <c r="BL226" s="25" t="str">
        <f>IF('1. Live'!BP244='check-Jul''26'!BL244,"",'1. Live'!BP244-'check-Jul''26'!BL244)</f>
        <v/>
      </c>
      <c r="BM226" s="25" t="str">
        <f>IF('1. Live'!BQ244='check-Jul''26'!BM244,"",'1. Live'!BQ244-'check-Jul''26'!BM244)</f>
        <v/>
      </c>
      <c r="BN226" s="25" t="str">
        <f>IF('1. Live'!BR244='check-Jul''26'!BN244,"",'1. Live'!BR244-'check-Jul''26'!BN244)</f>
        <v/>
      </c>
      <c r="BO226" s="25" t="str">
        <f>IF('1. Live'!BS244='check-Jul''26'!BO244,"",'1. Live'!BS244-'check-Jul''26'!BO244)</f>
        <v/>
      </c>
      <c r="BP226" s="25" t="str">
        <f>IF('1. Live'!BT244='check-Jul''26'!BP244,"",'1. Live'!BT244-'check-Jul''26'!BP244)</f>
        <v/>
      </c>
      <c r="BQ226" s="25" t="str">
        <f>IF('1. Live'!BU244='check-Jul''26'!BQ244,"",'1. Live'!BU244-'check-Jul''26'!BQ244)</f>
        <v/>
      </c>
      <c r="BR226" s="25" t="str">
        <f>IF('1. Live'!BV244='check-Jul''26'!BR244,"",'1. Live'!BV244-'check-Jul''26'!BR244)</f>
        <v/>
      </c>
      <c r="BS226" s="25" t="str">
        <f>IF('1. Live'!BW244='check-Jul''26'!BS244,"",'1. Live'!BW244-'check-Jul''26'!BS244)</f>
        <v/>
      </c>
      <c r="BT226" s="25" t="str">
        <f>IF('1. Live'!BX244='check-Jul''26'!BT244,"",'1. Live'!BX244-'check-Jul''26'!BT244)</f>
        <v/>
      </c>
      <c r="BU226" s="25" t="str">
        <f>IF('1. Live'!BY244='check-Jul''26'!BU244,"",'1. Live'!BY244-'check-Jul''26'!BU244)</f>
        <v/>
      </c>
      <c r="BV226" s="25" t="str">
        <f>IF('1. Live'!BZ244='check-Jul''26'!BV244,"",'1. Live'!BZ244-'check-Jul''26'!BV244)</f>
        <v/>
      </c>
      <c r="BW226" s="25" t="str">
        <f>IF('1. Live'!CA244='check-Jul''26'!BW244,"",'1. Live'!CA244-'check-Jul''26'!BW244)</f>
        <v/>
      </c>
      <c r="BX226" s="25" t="str">
        <f>IF('1. Live'!CB244='check-Jul''26'!BX244,"",'1. Live'!CB244-'check-Jul''26'!BX244)</f>
        <v/>
      </c>
      <c r="BY226" s="25" t="str">
        <f>IF('1. Live'!CC244='check-Jul''26'!BY244,"",'1. Live'!CC244-'check-Jul''26'!BY244)</f>
        <v/>
      </c>
      <c r="BZ226" s="25" t="str">
        <f>IF('1. Live'!CD244='check-Jul''26'!BZ244,"",'1. Live'!CD244-'check-Jul''26'!BZ244)</f>
        <v/>
      </c>
      <c r="CA226" s="25" t="str">
        <f>IF('1. Live'!CE244='check-Jul''26'!CA244,"",'1. Live'!CE244-'check-Jul''26'!CA244)</f>
        <v/>
      </c>
      <c r="CB226" s="25" t="str">
        <f>IF('1. Live'!CF244='check-Jul''26'!CB244,"",'1. Live'!CF244-'check-Jul''26'!CB244)</f>
        <v/>
      </c>
      <c r="CC226" s="25" t="str">
        <f>IF('1. Live'!CG244='check-Jul''26'!CC244,"",'1. Live'!CG244-'check-Jul''26'!CC244)</f>
        <v/>
      </c>
      <c r="CD226" s="25" t="str">
        <f>IF('1. Live'!CH244='check-Jul''26'!CD244,"",'1. Live'!CH244-'check-Jul''26'!CD244)</f>
        <v/>
      </c>
      <c r="CE226" s="25" t="str">
        <f>IF('1. Live'!CI244='check-Jul''26'!CE244,"",'1. Live'!CI244-'check-Jul''26'!CE244)</f>
        <v/>
      </c>
      <c r="CF226" s="25" t="str">
        <f>IF('1. Live'!CJ244='check-Jul''26'!CF244,"",'1. Live'!CJ244-'check-Jul''26'!CF244)</f>
        <v/>
      </c>
      <c r="CG226" s="25" t="str">
        <f>IF('1. Live'!CK244='check-Jul''26'!CG244,"",'1. Live'!CK244-'check-Jul''26'!CG244)</f>
        <v/>
      </c>
      <c r="CH226" s="25" t="str">
        <f>IF('1. Live'!CL244='check-Jul''26'!CH244,"",'1. Live'!CL244-'check-Jul''26'!CH244)</f>
        <v/>
      </c>
      <c r="CI226" s="25" t="str">
        <f>IF('1. Live'!CM244='check-Jul''26'!CI244,"",'1. Live'!CM244-'check-Jul''26'!CI244)</f>
        <v/>
      </c>
      <c r="CJ226" s="25" t="str">
        <f>IF('1. Live'!CN244='check-Jul''26'!CJ244,"",'1. Live'!CN244-'check-Jul''26'!CJ244)</f>
        <v/>
      </c>
      <c r="CK226" s="25" t="str">
        <f>IF('1. Live'!CO244='check-Jul''26'!CK244,"",'1. Live'!CO244-'check-Jul''26'!CK244)</f>
        <v/>
      </c>
      <c r="CL226" s="25" t="str">
        <f>IF('1. Live'!CP244='check-Jul''26'!CL244,"",'1. Live'!CP244-'check-Jul''26'!CL244)</f>
        <v/>
      </c>
      <c r="CM226" s="25" t="str">
        <f>IF('1. Live'!CQ244='check-Jul''26'!CM244,"",'1. Live'!CQ244-'check-Jul''26'!CM244)</f>
        <v/>
      </c>
      <c r="CN226" s="25" t="str">
        <f>IF('1. Live'!CR244='check-Jul''26'!CN244,"",'1. Live'!CR244-'check-Jul''26'!CN244)</f>
        <v/>
      </c>
      <c r="CO226" s="25" t="str">
        <f>IF('1. Live'!CS244='check-Jul''26'!CO244,"",'1. Live'!CS244-'check-Jul''26'!CO244)</f>
        <v/>
      </c>
      <c r="CP226" s="25" t="str">
        <f>IF('1. Live'!CT244='check-Jul''26'!CP244,"",'1. Live'!CT244-'check-Jul''26'!CP244)</f>
        <v/>
      </c>
      <c r="CQ226" s="25" t="str">
        <f>IF('1. Live'!CU244='check-Jul''26'!CQ244,"",'1. Live'!CU244-'check-Jul''26'!CQ244)</f>
        <v/>
      </c>
      <c r="CR226" s="25" t="str">
        <f>IF('1. Live'!CV244='check-Jul''26'!CR244,"",'1. Live'!CV244-'check-Jul''26'!CR244)</f>
        <v/>
      </c>
      <c r="CS226" s="25" t="str">
        <f>IF('1. Live'!CW244='check-Jul''26'!CS244,"",'1. Live'!CW244-'check-Jul''26'!CS244)</f>
        <v/>
      </c>
      <c r="CT226" s="25" t="str">
        <f>IF('1. Live'!CX244='check-Jul''26'!CT244,"",'1. Live'!CX244-'check-Jul''26'!CT244)</f>
        <v/>
      </c>
      <c r="CU226" s="25" t="str">
        <f>IF('1. Live'!CY244='check-Jul''26'!CU244,"",'1. Live'!CY244-'check-Jul''26'!CU244)</f>
        <v/>
      </c>
      <c r="CV226" s="25" t="str">
        <f>IF('1. Live'!CZ244='check-Jul''26'!CV244,"",'1. Live'!CZ244-'check-Jul''26'!CV244)</f>
        <v/>
      </c>
    </row>
    <row r="227" spans="17:100" x14ac:dyDescent="0.25">
      <c r="Q227" s="26" t="str">
        <f>IF('1. Live'!N245='check-Jul''26'!I245,"",'1. Live'!N245-'check-Jul''26'!I245)</f>
        <v/>
      </c>
      <c r="R227" s="26" t="str">
        <f>IF('1. Live'!O245='check-Jul''26'!J245,"",'1. Live'!O245-'check-Jul''26'!J245)</f>
        <v/>
      </c>
      <c r="S227" s="26" t="str">
        <f>IF('1. Live'!P245='check-Jul''26'!K245,"",'1. Live'!P245-'check-Jul''26'!K245)</f>
        <v/>
      </c>
      <c r="T227" s="26" t="str">
        <f>IF('1. Live'!Q245='check-Jul''26'!L245,"",'1. Live'!Q245-'check-Jul''26'!L245)</f>
        <v/>
      </c>
      <c r="U227" s="80" t="str">
        <f>IF('1. Live'!R245='check-Jul''26'!M245,"",'1. Live'!R245-'check-Jul''26'!M245)</f>
        <v/>
      </c>
      <c r="V227" s="26" t="str">
        <f>IF('1. Live'!S245='check-Jul''26'!N245,"",'1. Live'!S245-'check-Jul''26'!N245)</f>
        <v/>
      </c>
      <c r="W227" s="25" t="str">
        <f>IF('1. Live'!T245='check-Jul''26'!O245,"",'1. Live'!T245-'check-Jul''26'!O245)</f>
        <v/>
      </c>
      <c r="X227" s="25" t="str">
        <f>IF('1. Live'!U245='check-Jul''26'!Q245,"",'1. Live'!U245-'check-Jul''26'!Q245)</f>
        <v/>
      </c>
      <c r="Y227" s="25" t="str">
        <f>IF('1. Live'!V245='check-Jul''26'!R245,"",'1. Live'!V245-'check-Jul''26'!R245)</f>
        <v/>
      </c>
      <c r="Z227" s="25" t="str">
        <f>IF('1. Live'!W245='check-Jul''26'!S245,"",'1. Live'!W245-'check-Jul''26'!S245)</f>
        <v/>
      </c>
      <c r="AA227" s="25" t="str">
        <f>IF('1. Live'!X245='check-Jul''26'!T245,"",'1. Live'!X245-'check-Jul''26'!T245)</f>
        <v/>
      </c>
      <c r="AB227" s="25" t="str">
        <f>IF('1. Live'!AF245='check-Jul''26'!AB245,"",'1. Live'!AF245-'check-Jul''26'!AB245)</f>
        <v/>
      </c>
      <c r="AC227" s="25" t="str">
        <f>IF('1. Live'!AG245='check-Jul''26'!AC245,"",'1. Live'!AG245-'check-Jul''26'!AC245)</f>
        <v/>
      </c>
      <c r="AD227" s="25" t="str">
        <f>IF('1. Live'!AH245='check-Jul''26'!AD245,"",'1. Live'!AH245-'check-Jul''26'!AD245)</f>
        <v/>
      </c>
      <c r="AE227" s="25" t="str">
        <f>IF('1. Live'!AI245='check-Jul''26'!AE245,"",'1. Live'!AI245-'check-Jul''26'!AE245)</f>
        <v/>
      </c>
      <c r="AF227" s="25" t="str">
        <f>IF('1. Live'!AJ245='check-Jul''26'!AF245,"",'1. Live'!AJ245-'check-Jul''26'!AF245)</f>
        <v/>
      </c>
      <c r="AG227" s="25" t="str">
        <f>IF('1. Live'!AK245='check-Jul''26'!AG245,"",'1. Live'!AK245-'check-Jul''26'!AG245)</f>
        <v/>
      </c>
      <c r="AH227" s="25" t="str">
        <f>IF('1. Live'!AL245='check-Jul''26'!AH245,"",'1. Live'!AL245-'check-Jul''26'!AH245)</f>
        <v/>
      </c>
      <c r="AI227" s="25" t="str">
        <f>IF('1. Live'!AM245='check-Jul''26'!AI245,"",'1. Live'!AM245-'check-Jul''26'!AI245)</f>
        <v/>
      </c>
      <c r="AJ227" s="25" t="str">
        <f>IF('1. Live'!AN245='check-Jul''26'!AJ245,"",'1. Live'!AN245-'check-Jul''26'!AJ245)</f>
        <v/>
      </c>
      <c r="AK227" s="25" t="str">
        <f>IF('1. Live'!AO245='check-Jul''26'!AK245,"",'1. Live'!AO245-'check-Jul''26'!AK245)</f>
        <v/>
      </c>
      <c r="AL227" s="25" t="str">
        <f>IF('1. Live'!AP245='check-Jul''26'!AL245,"",'1. Live'!AP245-'check-Jul''26'!AL245)</f>
        <v/>
      </c>
      <c r="AM227" s="25" t="str">
        <f>IF('1. Live'!AQ245='check-Jul''26'!AM245,"",'1. Live'!AQ245-'check-Jul''26'!AM245)</f>
        <v/>
      </c>
      <c r="AN227" s="25" t="str">
        <f>IF('1. Live'!AR245='check-Jul''26'!AN245,"",'1. Live'!AR245-'check-Jul''26'!AN245)</f>
        <v/>
      </c>
      <c r="AO227" s="25" t="str">
        <f>IF('1. Live'!AS245='check-Jul''26'!AO245,"",'1. Live'!AS245-'check-Jul''26'!AO245)</f>
        <v/>
      </c>
      <c r="AP227" s="25" t="str">
        <f>IF('1. Live'!AT245='check-Jul''26'!AP245,"",'1. Live'!AT245-'check-Jul''26'!AP245)</f>
        <v/>
      </c>
      <c r="AQ227" s="25" t="str">
        <f>IF('1. Live'!AU245='check-Jul''26'!AQ245,"",'1. Live'!AU245-'check-Jul''26'!AQ245)</f>
        <v/>
      </c>
      <c r="AR227" s="25" t="str">
        <f>IF('1. Live'!AV245='check-Jul''26'!AR245,"",'1. Live'!AV245-'check-Jul''26'!AR245)</f>
        <v/>
      </c>
      <c r="AS227" s="25" t="str">
        <f>IF('1. Live'!AW245='check-Jul''26'!AS245,"",'1. Live'!AW245-'check-Jul''26'!AS245)</f>
        <v/>
      </c>
      <c r="AT227" s="25" t="str">
        <f>IF('1. Live'!AX245='check-Jul''26'!AT245,"",'1. Live'!AX245-'check-Jul''26'!AT245)</f>
        <v/>
      </c>
      <c r="AU227" s="25" t="str">
        <f>IF('1. Live'!AY245='check-Jul''26'!AU245,"",'1. Live'!AY245-'check-Jul''26'!AU245)</f>
        <v/>
      </c>
      <c r="AV227" s="25" t="str">
        <f>IF('1. Live'!AZ245='check-Jul''26'!AV245,"",'1. Live'!AZ245-'check-Jul''26'!AV245)</f>
        <v/>
      </c>
      <c r="AW227" s="25" t="str">
        <f>IF('1. Live'!BA245='check-Jul''26'!AW245,"",'1. Live'!BA245-'check-Jul''26'!AW245)</f>
        <v/>
      </c>
      <c r="AX227" s="25" t="str">
        <f>IF('1. Live'!BB245='check-Jul''26'!AX245,"",'1. Live'!BB245-'check-Jul''26'!AX245)</f>
        <v/>
      </c>
      <c r="AY227" s="25" t="str">
        <f>IF('1. Live'!BC245='check-Jul''26'!AY245,"",'1. Live'!BC245-'check-Jul''26'!AY245)</f>
        <v/>
      </c>
      <c r="AZ227" s="25" t="str">
        <f>IF('1. Live'!BD245='check-Jul''26'!AZ245,"",'1. Live'!BD245-'check-Jul''26'!AZ245)</f>
        <v/>
      </c>
      <c r="BA227" s="25" t="str">
        <f>IF('1. Live'!BE245='check-Jul''26'!BA245,"",'1. Live'!BE245-'check-Jul''26'!BA245)</f>
        <v/>
      </c>
      <c r="BB227" s="25" t="str">
        <f>IF('1. Live'!BF245='check-Jul''26'!BB245,"",'1. Live'!BF245-'check-Jul''26'!BB245)</f>
        <v/>
      </c>
      <c r="BC227" s="25" t="str">
        <f>IF('1. Live'!BG245='check-Jul''26'!BC245,"",'1. Live'!BG245-'check-Jul''26'!BC245)</f>
        <v/>
      </c>
      <c r="BD227" s="25" t="str">
        <f>IF('1. Live'!BH245='check-Jul''26'!BD245,"",'1. Live'!BH245-'check-Jul''26'!BD245)</f>
        <v/>
      </c>
      <c r="BE227" s="25" t="str">
        <f>IF('1. Live'!BI245='check-Jul''26'!BE245,"",'1. Live'!BI245-'check-Jul''26'!BE245)</f>
        <v/>
      </c>
      <c r="BF227" s="25" t="str">
        <f>IF('1. Live'!BJ245='check-Jul''26'!BF245,"",'1. Live'!BJ245-'check-Jul''26'!BF245)</f>
        <v/>
      </c>
      <c r="BG227" s="25" t="str">
        <f>IF('1. Live'!BK245='check-Jul''26'!BG245,"",'1. Live'!BK245-'check-Jul''26'!BG245)</f>
        <v/>
      </c>
      <c r="BH227" s="25" t="str">
        <f>IF('1. Live'!BL245='check-Jul''26'!BH245,"",'1. Live'!BL245-'check-Jul''26'!BH245)</f>
        <v/>
      </c>
      <c r="BI227" s="25" t="str">
        <f>IF('1. Live'!BM245='check-Jul''26'!BI245,"",'1. Live'!BM245-'check-Jul''26'!BI245)</f>
        <v/>
      </c>
      <c r="BJ227" s="25" t="str">
        <f>IF('1. Live'!BN245='check-Jul''26'!BJ245,"",'1. Live'!BN245-'check-Jul''26'!BJ245)</f>
        <v/>
      </c>
      <c r="BK227" s="25" t="str">
        <f>IF('1. Live'!BO245='check-Jul''26'!BK245,"",'1. Live'!BO245-'check-Jul''26'!BK245)</f>
        <v/>
      </c>
      <c r="BL227" s="25" t="str">
        <f>IF('1. Live'!BP245='check-Jul''26'!BL245,"",'1. Live'!BP245-'check-Jul''26'!BL245)</f>
        <v/>
      </c>
      <c r="BM227" s="25" t="str">
        <f>IF('1. Live'!BQ245='check-Jul''26'!BM245,"",'1. Live'!BQ245-'check-Jul''26'!BM245)</f>
        <v/>
      </c>
      <c r="BN227" s="25" t="str">
        <f>IF('1. Live'!BR245='check-Jul''26'!BN245,"",'1. Live'!BR245-'check-Jul''26'!BN245)</f>
        <v/>
      </c>
      <c r="BO227" s="25" t="str">
        <f>IF('1. Live'!BS245='check-Jul''26'!BO245,"",'1. Live'!BS245-'check-Jul''26'!BO245)</f>
        <v/>
      </c>
      <c r="BP227" s="25" t="str">
        <f>IF('1. Live'!BT245='check-Jul''26'!BP245,"",'1. Live'!BT245-'check-Jul''26'!BP245)</f>
        <v/>
      </c>
      <c r="BQ227" s="25" t="str">
        <f>IF('1. Live'!BU245='check-Jul''26'!BQ245,"",'1. Live'!BU245-'check-Jul''26'!BQ245)</f>
        <v/>
      </c>
      <c r="BR227" s="25" t="str">
        <f>IF('1. Live'!BV245='check-Jul''26'!BR245,"",'1. Live'!BV245-'check-Jul''26'!BR245)</f>
        <v/>
      </c>
      <c r="BS227" s="25" t="str">
        <f>IF('1. Live'!BW245='check-Jul''26'!BS245,"",'1. Live'!BW245-'check-Jul''26'!BS245)</f>
        <v/>
      </c>
      <c r="BT227" s="25" t="str">
        <f>IF('1. Live'!BX245='check-Jul''26'!BT245,"",'1. Live'!BX245-'check-Jul''26'!BT245)</f>
        <v/>
      </c>
      <c r="BU227" s="25" t="str">
        <f>IF('1. Live'!BY245='check-Jul''26'!BU245,"",'1. Live'!BY245-'check-Jul''26'!BU245)</f>
        <v/>
      </c>
      <c r="BV227" s="25" t="str">
        <f>IF('1. Live'!BZ245='check-Jul''26'!BV245,"",'1. Live'!BZ245-'check-Jul''26'!BV245)</f>
        <v/>
      </c>
      <c r="BW227" s="25" t="str">
        <f>IF('1. Live'!CA245='check-Jul''26'!BW245,"",'1. Live'!CA245-'check-Jul''26'!BW245)</f>
        <v/>
      </c>
      <c r="BX227" s="25" t="str">
        <f>IF('1. Live'!CB245='check-Jul''26'!BX245,"",'1. Live'!CB245-'check-Jul''26'!BX245)</f>
        <v/>
      </c>
      <c r="BY227" s="25" t="str">
        <f>IF('1. Live'!CC245='check-Jul''26'!BY245,"",'1. Live'!CC245-'check-Jul''26'!BY245)</f>
        <v/>
      </c>
      <c r="BZ227" s="25" t="str">
        <f>IF('1. Live'!CD245='check-Jul''26'!BZ245,"",'1. Live'!CD245-'check-Jul''26'!BZ245)</f>
        <v/>
      </c>
      <c r="CA227" s="25" t="str">
        <f>IF('1. Live'!CE245='check-Jul''26'!CA245,"",'1. Live'!CE245-'check-Jul''26'!CA245)</f>
        <v/>
      </c>
      <c r="CB227" s="25" t="str">
        <f>IF('1. Live'!CF245='check-Jul''26'!CB245,"",'1. Live'!CF245-'check-Jul''26'!CB245)</f>
        <v/>
      </c>
      <c r="CC227" s="25" t="str">
        <f>IF('1. Live'!CG245='check-Jul''26'!CC245,"",'1. Live'!CG245-'check-Jul''26'!CC245)</f>
        <v/>
      </c>
      <c r="CD227" s="25" t="str">
        <f>IF('1. Live'!CH245='check-Jul''26'!CD245,"",'1. Live'!CH245-'check-Jul''26'!CD245)</f>
        <v/>
      </c>
      <c r="CE227" s="25" t="str">
        <f>IF('1. Live'!CI245='check-Jul''26'!CE245,"",'1. Live'!CI245-'check-Jul''26'!CE245)</f>
        <v/>
      </c>
      <c r="CF227" s="25" t="str">
        <f>IF('1. Live'!CJ245='check-Jul''26'!CF245,"",'1. Live'!CJ245-'check-Jul''26'!CF245)</f>
        <v/>
      </c>
      <c r="CG227" s="25" t="str">
        <f>IF('1. Live'!CK245='check-Jul''26'!CG245,"",'1. Live'!CK245-'check-Jul''26'!CG245)</f>
        <v/>
      </c>
      <c r="CH227" s="25" t="str">
        <f>IF('1. Live'!CL245='check-Jul''26'!CH245,"",'1. Live'!CL245-'check-Jul''26'!CH245)</f>
        <v/>
      </c>
      <c r="CI227" s="25" t="str">
        <f>IF('1. Live'!CM245='check-Jul''26'!CI245,"",'1. Live'!CM245-'check-Jul''26'!CI245)</f>
        <v/>
      </c>
      <c r="CJ227" s="25" t="str">
        <f>IF('1. Live'!CN245='check-Jul''26'!CJ245,"",'1. Live'!CN245-'check-Jul''26'!CJ245)</f>
        <v/>
      </c>
      <c r="CK227" s="25" t="str">
        <f>IF('1. Live'!CO245='check-Jul''26'!CK245,"",'1. Live'!CO245-'check-Jul''26'!CK245)</f>
        <v/>
      </c>
      <c r="CL227" s="25" t="str">
        <f>IF('1. Live'!CP245='check-Jul''26'!CL245,"",'1. Live'!CP245-'check-Jul''26'!CL245)</f>
        <v/>
      </c>
      <c r="CM227" s="25" t="str">
        <f>IF('1. Live'!CQ245='check-Jul''26'!CM245,"",'1. Live'!CQ245-'check-Jul''26'!CM245)</f>
        <v/>
      </c>
      <c r="CN227" s="25" t="str">
        <f>IF('1. Live'!CR245='check-Jul''26'!CN245,"",'1. Live'!CR245-'check-Jul''26'!CN245)</f>
        <v/>
      </c>
      <c r="CO227" s="25" t="str">
        <f>IF('1. Live'!CS245='check-Jul''26'!CO245,"",'1. Live'!CS245-'check-Jul''26'!CO245)</f>
        <v/>
      </c>
      <c r="CP227" s="25" t="str">
        <f>IF('1. Live'!CT245='check-Jul''26'!CP245,"",'1. Live'!CT245-'check-Jul''26'!CP245)</f>
        <v/>
      </c>
      <c r="CQ227" s="25" t="str">
        <f>IF('1. Live'!CU245='check-Jul''26'!CQ245,"",'1. Live'!CU245-'check-Jul''26'!CQ245)</f>
        <v/>
      </c>
      <c r="CR227" s="25" t="str">
        <f>IF('1. Live'!CV245='check-Jul''26'!CR245,"",'1. Live'!CV245-'check-Jul''26'!CR245)</f>
        <v/>
      </c>
      <c r="CS227" s="25" t="str">
        <f>IF('1. Live'!CW245='check-Jul''26'!CS245,"",'1. Live'!CW245-'check-Jul''26'!CS245)</f>
        <v/>
      </c>
      <c r="CT227" s="25" t="str">
        <f>IF('1. Live'!CX245='check-Jul''26'!CT245,"",'1. Live'!CX245-'check-Jul''26'!CT245)</f>
        <v/>
      </c>
      <c r="CU227" s="25" t="str">
        <f>IF('1. Live'!CY245='check-Jul''26'!CU245,"",'1. Live'!CY245-'check-Jul''26'!CU245)</f>
        <v/>
      </c>
      <c r="CV227" s="25" t="str">
        <f>IF('1. Live'!CZ245='check-Jul''26'!CV245,"",'1. Live'!CZ245-'check-Jul''26'!CV245)</f>
        <v/>
      </c>
    </row>
    <row r="228" spans="17:100" x14ac:dyDescent="0.25">
      <c r="Q228" s="26" t="str">
        <f>IF('1. Live'!N246='check-Jul''26'!I246,"",'1. Live'!N246-'check-Jul''26'!I246)</f>
        <v/>
      </c>
      <c r="R228" s="26" t="str">
        <f>IF('1. Live'!O246='check-Jul''26'!J246,"",'1. Live'!O246-'check-Jul''26'!J246)</f>
        <v/>
      </c>
      <c r="S228" s="26" t="str">
        <f>IF('1. Live'!P246='check-Jul''26'!K246,"",'1. Live'!P246-'check-Jul''26'!K246)</f>
        <v/>
      </c>
      <c r="T228" s="26" t="str">
        <f>IF('1. Live'!Q246='check-Jul''26'!L246,"",'1. Live'!Q246-'check-Jul''26'!L246)</f>
        <v/>
      </c>
      <c r="U228" s="80" t="str">
        <f>IF('1. Live'!R246='check-Jul''26'!M246,"",'1. Live'!R246-'check-Jul''26'!M246)</f>
        <v/>
      </c>
      <c r="V228" s="26" t="str">
        <f>IF('1. Live'!S246='check-Jul''26'!N246,"",'1. Live'!S246-'check-Jul''26'!N246)</f>
        <v/>
      </c>
      <c r="W228" s="25" t="str">
        <f>IF('1. Live'!T246='check-Jul''26'!O246,"",'1. Live'!T246-'check-Jul''26'!O246)</f>
        <v/>
      </c>
      <c r="X228" s="25" t="str">
        <f>IF('1. Live'!U246='check-Jul''26'!Q246,"",'1. Live'!U246-'check-Jul''26'!Q246)</f>
        <v/>
      </c>
      <c r="Y228" s="25" t="str">
        <f>IF('1. Live'!V246='check-Jul''26'!R246,"",'1. Live'!V246-'check-Jul''26'!R246)</f>
        <v/>
      </c>
      <c r="Z228" s="25" t="str">
        <f>IF('1. Live'!W246='check-Jul''26'!S246,"",'1. Live'!W246-'check-Jul''26'!S246)</f>
        <v/>
      </c>
      <c r="AA228" s="25" t="str">
        <f>IF('1. Live'!X246='check-Jul''26'!T246,"",'1. Live'!X246-'check-Jul''26'!T246)</f>
        <v/>
      </c>
      <c r="AB228" s="25" t="str">
        <f>IF('1. Live'!AF246='check-Jul''26'!AB246,"",'1. Live'!AF246-'check-Jul''26'!AB246)</f>
        <v/>
      </c>
      <c r="AC228" s="25" t="str">
        <f>IF('1. Live'!AG246='check-Jul''26'!AC246,"",'1. Live'!AG246-'check-Jul''26'!AC246)</f>
        <v/>
      </c>
      <c r="AD228" s="25" t="str">
        <f>IF('1. Live'!AH246='check-Jul''26'!AD246,"",'1. Live'!AH246-'check-Jul''26'!AD246)</f>
        <v/>
      </c>
      <c r="AE228" s="25" t="str">
        <f>IF('1. Live'!AI246='check-Jul''26'!AE246,"",'1. Live'!AI246-'check-Jul''26'!AE246)</f>
        <v/>
      </c>
      <c r="AF228" s="25" t="str">
        <f>IF('1. Live'!AJ246='check-Jul''26'!AF246,"",'1. Live'!AJ246-'check-Jul''26'!AF246)</f>
        <v/>
      </c>
      <c r="AG228" s="25" t="str">
        <f>IF('1. Live'!AK246='check-Jul''26'!AG246,"",'1. Live'!AK246-'check-Jul''26'!AG246)</f>
        <v/>
      </c>
      <c r="AH228" s="25" t="str">
        <f>IF('1. Live'!AL246='check-Jul''26'!AH246,"",'1. Live'!AL246-'check-Jul''26'!AH246)</f>
        <v/>
      </c>
      <c r="AI228" s="25" t="str">
        <f>IF('1. Live'!AM246='check-Jul''26'!AI246,"",'1. Live'!AM246-'check-Jul''26'!AI246)</f>
        <v/>
      </c>
      <c r="AJ228" s="25" t="str">
        <f>IF('1. Live'!AN246='check-Jul''26'!AJ246,"",'1. Live'!AN246-'check-Jul''26'!AJ246)</f>
        <v/>
      </c>
      <c r="AK228" s="25" t="str">
        <f>IF('1. Live'!AO246='check-Jul''26'!AK246,"",'1. Live'!AO246-'check-Jul''26'!AK246)</f>
        <v/>
      </c>
      <c r="AL228" s="25" t="str">
        <f>IF('1. Live'!AP246='check-Jul''26'!AL246,"",'1. Live'!AP246-'check-Jul''26'!AL246)</f>
        <v/>
      </c>
      <c r="AM228" s="25" t="str">
        <f>IF('1. Live'!AQ246='check-Jul''26'!AM246,"",'1. Live'!AQ246-'check-Jul''26'!AM246)</f>
        <v/>
      </c>
      <c r="AN228" s="25" t="str">
        <f>IF('1. Live'!AR246='check-Jul''26'!AN246,"",'1. Live'!AR246-'check-Jul''26'!AN246)</f>
        <v/>
      </c>
      <c r="AO228" s="25" t="str">
        <f>IF('1. Live'!AS246='check-Jul''26'!AO246,"",'1. Live'!AS246-'check-Jul''26'!AO246)</f>
        <v/>
      </c>
      <c r="AP228" s="25" t="str">
        <f>IF('1. Live'!AT246='check-Jul''26'!AP246,"",'1. Live'!AT246-'check-Jul''26'!AP246)</f>
        <v/>
      </c>
      <c r="AQ228" s="25" t="str">
        <f>IF('1. Live'!AU246='check-Jul''26'!AQ246,"",'1. Live'!AU246-'check-Jul''26'!AQ246)</f>
        <v/>
      </c>
      <c r="AR228" s="25" t="str">
        <f>IF('1. Live'!AV246='check-Jul''26'!AR246,"",'1. Live'!AV246-'check-Jul''26'!AR246)</f>
        <v/>
      </c>
      <c r="AS228" s="25" t="str">
        <f>IF('1. Live'!AW246='check-Jul''26'!AS246,"",'1. Live'!AW246-'check-Jul''26'!AS246)</f>
        <v/>
      </c>
      <c r="AT228" s="25" t="str">
        <f>IF('1. Live'!AX246='check-Jul''26'!AT246,"",'1. Live'!AX246-'check-Jul''26'!AT246)</f>
        <v/>
      </c>
      <c r="AU228" s="25" t="str">
        <f>IF('1. Live'!AY246='check-Jul''26'!AU246,"",'1. Live'!AY246-'check-Jul''26'!AU246)</f>
        <v/>
      </c>
      <c r="AV228" s="25" t="str">
        <f>IF('1. Live'!AZ246='check-Jul''26'!AV246,"",'1. Live'!AZ246-'check-Jul''26'!AV246)</f>
        <v/>
      </c>
      <c r="AW228" s="25" t="str">
        <f>IF('1. Live'!BA246='check-Jul''26'!AW246,"",'1. Live'!BA246-'check-Jul''26'!AW246)</f>
        <v/>
      </c>
      <c r="AX228" s="25" t="str">
        <f>IF('1. Live'!BB246='check-Jul''26'!AX246,"",'1. Live'!BB246-'check-Jul''26'!AX246)</f>
        <v/>
      </c>
      <c r="AY228" s="25" t="str">
        <f>IF('1. Live'!BC246='check-Jul''26'!AY246,"",'1. Live'!BC246-'check-Jul''26'!AY246)</f>
        <v/>
      </c>
      <c r="AZ228" s="25" t="str">
        <f>IF('1. Live'!BD246='check-Jul''26'!AZ246,"",'1. Live'!BD246-'check-Jul''26'!AZ246)</f>
        <v/>
      </c>
      <c r="BA228" s="25" t="str">
        <f>IF('1. Live'!BE246='check-Jul''26'!BA246,"",'1. Live'!BE246-'check-Jul''26'!BA246)</f>
        <v/>
      </c>
      <c r="BB228" s="25" t="str">
        <f>IF('1. Live'!BF246='check-Jul''26'!BB246,"",'1. Live'!BF246-'check-Jul''26'!BB246)</f>
        <v/>
      </c>
      <c r="BC228" s="25" t="str">
        <f>IF('1. Live'!BG246='check-Jul''26'!BC246,"",'1. Live'!BG246-'check-Jul''26'!BC246)</f>
        <v/>
      </c>
      <c r="BD228" s="25" t="str">
        <f>IF('1. Live'!BH246='check-Jul''26'!BD246,"",'1. Live'!BH246-'check-Jul''26'!BD246)</f>
        <v/>
      </c>
      <c r="BE228" s="25" t="str">
        <f>IF('1. Live'!BI246='check-Jul''26'!BE246,"",'1. Live'!BI246-'check-Jul''26'!BE246)</f>
        <v/>
      </c>
      <c r="BF228" s="25" t="str">
        <f>IF('1. Live'!BJ246='check-Jul''26'!BF246,"",'1. Live'!BJ246-'check-Jul''26'!BF246)</f>
        <v/>
      </c>
      <c r="BG228" s="25" t="str">
        <f>IF('1. Live'!BK246='check-Jul''26'!BG246,"",'1. Live'!BK246-'check-Jul''26'!BG246)</f>
        <v/>
      </c>
      <c r="BH228" s="25" t="str">
        <f>IF('1. Live'!BL246='check-Jul''26'!BH246,"",'1. Live'!BL246-'check-Jul''26'!BH246)</f>
        <v/>
      </c>
      <c r="BI228" s="25" t="str">
        <f>IF('1. Live'!BM246='check-Jul''26'!BI246,"",'1. Live'!BM246-'check-Jul''26'!BI246)</f>
        <v/>
      </c>
      <c r="BJ228" s="25" t="str">
        <f>IF('1. Live'!BN246='check-Jul''26'!BJ246,"",'1. Live'!BN246-'check-Jul''26'!BJ246)</f>
        <v/>
      </c>
      <c r="BK228" s="25" t="str">
        <f>IF('1. Live'!BO246='check-Jul''26'!BK246,"",'1. Live'!BO246-'check-Jul''26'!BK246)</f>
        <v/>
      </c>
      <c r="BL228" s="25" t="str">
        <f>IF('1. Live'!BP246='check-Jul''26'!BL246,"",'1. Live'!BP246-'check-Jul''26'!BL246)</f>
        <v/>
      </c>
      <c r="BM228" s="25" t="str">
        <f>IF('1. Live'!BQ246='check-Jul''26'!BM246,"",'1. Live'!BQ246-'check-Jul''26'!BM246)</f>
        <v/>
      </c>
      <c r="BN228" s="25" t="str">
        <f>IF('1. Live'!BR246='check-Jul''26'!BN246,"",'1. Live'!BR246-'check-Jul''26'!BN246)</f>
        <v/>
      </c>
      <c r="BO228" s="25" t="str">
        <f>IF('1. Live'!BS246='check-Jul''26'!BO246,"",'1. Live'!BS246-'check-Jul''26'!BO246)</f>
        <v/>
      </c>
      <c r="BP228" s="25" t="str">
        <f>IF('1. Live'!BT246='check-Jul''26'!BP246,"",'1. Live'!BT246-'check-Jul''26'!BP246)</f>
        <v/>
      </c>
      <c r="BQ228" s="25" t="str">
        <f>IF('1. Live'!BU246='check-Jul''26'!BQ246,"",'1. Live'!BU246-'check-Jul''26'!BQ246)</f>
        <v/>
      </c>
      <c r="BR228" s="25" t="str">
        <f>IF('1. Live'!BV246='check-Jul''26'!BR246,"",'1. Live'!BV246-'check-Jul''26'!BR246)</f>
        <v/>
      </c>
      <c r="BS228" s="25" t="str">
        <f>IF('1. Live'!BW246='check-Jul''26'!BS246,"",'1. Live'!BW246-'check-Jul''26'!BS246)</f>
        <v/>
      </c>
      <c r="BT228" s="25" t="str">
        <f>IF('1. Live'!BX246='check-Jul''26'!BT246,"",'1. Live'!BX246-'check-Jul''26'!BT246)</f>
        <v/>
      </c>
      <c r="BU228" s="25" t="str">
        <f>IF('1. Live'!BY246='check-Jul''26'!BU246,"",'1. Live'!BY246-'check-Jul''26'!BU246)</f>
        <v/>
      </c>
      <c r="BV228" s="25" t="str">
        <f>IF('1. Live'!BZ246='check-Jul''26'!BV246,"",'1. Live'!BZ246-'check-Jul''26'!BV246)</f>
        <v/>
      </c>
      <c r="BW228" s="25" t="str">
        <f>IF('1. Live'!CA246='check-Jul''26'!BW246,"",'1. Live'!CA246-'check-Jul''26'!BW246)</f>
        <v/>
      </c>
      <c r="BX228" s="25" t="str">
        <f>IF('1. Live'!CB246='check-Jul''26'!BX246,"",'1. Live'!CB246-'check-Jul''26'!BX246)</f>
        <v/>
      </c>
      <c r="BY228" s="25" t="str">
        <f>IF('1. Live'!CC246='check-Jul''26'!BY246,"",'1. Live'!CC246-'check-Jul''26'!BY246)</f>
        <v/>
      </c>
      <c r="BZ228" s="25" t="str">
        <f>IF('1. Live'!CD246='check-Jul''26'!BZ246,"",'1. Live'!CD246-'check-Jul''26'!BZ246)</f>
        <v/>
      </c>
      <c r="CA228" s="25" t="str">
        <f>IF('1. Live'!CE246='check-Jul''26'!CA246,"",'1. Live'!CE246-'check-Jul''26'!CA246)</f>
        <v/>
      </c>
      <c r="CB228" s="25" t="str">
        <f>IF('1. Live'!CF246='check-Jul''26'!CB246,"",'1. Live'!CF246-'check-Jul''26'!CB246)</f>
        <v/>
      </c>
      <c r="CC228" s="25" t="str">
        <f>IF('1. Live'!CG246='check-Jul''26'!CC246,"",'1. Live'!CG246-'check-Jul''26'!CC246)</f>
        <v/>
      </c>
      <c r="CD228" s="25" t="str">
        <f>IF('1. Live'!CH246='check-Jul''26'!CD246,"",'1. Live'!CH246-'check-Jul''26'!CD246)</f>
        <v/>
      </c>
      <c r="CE228" s="25" t="str">
        <f>IF('1. Live'!CI246='check-Jul''26'!CE246,"",'1. Live'!CI246-'check-Jul''26'!CE246)</f>
        <v/>
      </c>
      <c r="CF228" s="25" t="str">
        <f>IF('1. Live'!CJ246='check-Jul''26'!CF246,"",'1. Live'!CJ246-'check-Jul''26'!CF246)</f>
        <v/>
      </c>
      <c r="CG228" s="25" t="str">
        <f>IF('1. Live'!CK246='check-Jul''26'!CG246,"",'1. Live'!CK246-'check-Jul''26'!CG246)</f>
        <v/>
      </c>
      <c r="CH228" s="25" t="str">
        <f>IF('1. Live'!CL246='check-Jul''26'!CH246,"",'1. Live'!CL246-'check-Jul''26'!CH246)</f>
        <v/>
      </c>
      <c r="CI228" s="25" t="str">
        <f>IF('1. Live'!CM246='check-Jul''26'!CI246,"",'1. Live'!CM246-'check-Jul''26'!CI246)</f>
        <v/>
      </c>
      <c r="CJ228" s="25" t="str">
        <f>IF('1. Live'!CN246='check-Jul''26'!CJ246,"",'1. Live'!CN246-'check-Jul''26'!CJ246)</f>
        <v/>
      </c>
      <c r="CK228" s="25" t="str">
        <f>IF('1. Live'!CO246='check-Jul''26'!CK246,"",'1. Live'!CO246-'check-Jul''26'!CK246)</f>
        <v/>
      </c>
      <c r="CL228" s="25" t="str">
        <f>IF('1. Live'!CP246='check-Jul''26'!CL246,"",'1. Live'!CP246-'check-Jul''26'!CL246)</f>
        <v/>
      </c>
      <c r="CM228" s="25" t="str">
        <f>IF('1. Live'!CQ246='check-Jul''26'!CM246,"",'1. Live'!CQ246-'check-Jul''26'!CM246)</f>
        <v/>
      </c>
      <c r="CN228" s="25" t="str">
        <f>IF('1. Live'!CR246='check-Jul''26'!CN246,"",'1. Live'!CR246-'check-Jul''26'!CN246)</f>
        <v/>
      </c>
      <c r="CO228" s="25" t="str">
        <f>IF('1. Live'!CS246='check-Jul''26'!CO246,"",'1. Live'!CS246-'check-Jul''26'!CO246)</f>
        <v/>
      </c>
      <c r="CP228" s="25" t="str">
        <f>IF('1. Live'!CT246='check-Jul''26'!CP246,"",'1. Live'!CT246-'check-Jul''26'!CP246)</f>
        <v/>
      </c>
      <c r="CQ228" s="25" t="str">
        <f>IF('1. Live'!CU246='check-Jul''26'!CQ246,"",'1. Live'!CU246-'check-Jul''26'!CQ246)</f>
        <v/>
      </c>
      <c r="CR228" s="25" t="str">
        <f>IF('1. Live'!CV246='check-Jul''26'!CR246,"",'1. Live'!CV246-'check-Jul''26'!CR246)</f>
        <v/>
      </c>
      <c r="CS228" s="25" t="str">
        <f>IF('1. Live'!CW246='check-Jul''26'!CS246,"",'1. Live'!CW246-'check-Jul''26'!CS246)</f>
        <v/>
      </c>
      <c r="CT228" s="25" t="str">
        <f>IF('1. Live'!CX246='check-Jul''26'!CT246,"",'1. Live'!CX246-'check-Jul''26'!CT246)</f>
        <v/>
      </c>
      <c r="CU228" s="25" t="str">
        <f>IF('1. Live'!CY246='check-Jul''26'!CU246,"",'1. Live'!CY246-'check-Jul''26'!CU246)</f>
        <v/>
      </c>
      <c r="CV228" s="25" t="str">
        <f>IF('1. Live'!CZ246='check-Jul''26'!CV246,"",'1. Live'!CZ246-'check-Jul''26'!CV246)</f>
        <v/>
      </c>
    </row>
    <row r="229" spans="17:100" x14ac:dyDescent="0.25">
      <c r="Q229" s="26" t="str">
        <f>IF('1. Live'!N247='check-Jul''26'!I247,"",'1. Live'!N247-'check-Jul''26'!I247)</f>
        <v/>
      </c>
      <c r="R229" s="26" t="str">
        <f>IF('1. Live'!O247='check-Jul''26'!J247,"",'1. Live'!O247-'check-Jul''26'!J247)</f>
        <v/>
      </c>
      <c r="S229" s="26" t="str">
        <f>IF('1. Live'!P247='check-Jul''26'!K247,"",'1. Live'!P247-'check-Jul''26'!K247)</f>
        <v/>
      </c>
      <c r="T229" s="26" t="str">
        <f>IF('1. Live'!Q247='check-Jul''26'!L247,"",'1. Live'!Q247-'check-Jul''26'!L247)</f>
        <v/>
      </c>
      <c r="U229" s="80" t="str">
        <f>IF('1. Live'!R247='check-Jul''26'!M247,"",'1. Live'!R247-'check-Jul''26'!M247)</f>
        <v/>
      </c>
      <c r="V229" s="26" t="str">
        <f>IF('1. Live'!S247='check-Jul''26'!N247,"",'1. Live'!S247-'check-Jul''26'!N247)</f>
        <v/>
      </c>
      <c r="W229" s="25" t="str">
        <f>IF('1. Live'!T247='check-Jul''26'!O247,"",'1. Live'!T247-'check-Jul''26'!O247)</f>
        <v/>
      </c>
      <c r="X229" s="25" t="str">
        <f>IF('1. Live'!U247='check-Jul''26'!Q247,"",'1. Live'!U247-'check-Jul''26'!Q247)</f>
        <v/>
      </c>
      <c r="Y229" s="25" t="str">
        <f>IF('1. Live'!V247='check-Jul''26'!R247,"",'1. Live'!V247-'check-Jul''26'!R247)</f>
        <v/>
      </c>
      <c r="Z229" s="25" t="str">
        <f>IF('1. Live'!W247='check-Jul''26'!S247,"",'1. Live'!W247-'check-Jul''26'!S247)</f>
        <v/>
      </c>
      <c r="AA229" s="25" t="str">
        <f>IF('1. Live'!X247='check-Jul''26'!T247,"",'1. Live'!X247-'check-Jul''26'!T247)</f>
        <v/>
      </c>
      <c r="AB229" s="25" t="str">
        <f>IF('1. Live'!AF247='check-Jul''26'!AB247,"",'1. Live'!AF247-'check-Jul''26'!AB247)</f>
        <v/>
      </c>
      <c r="AC229" s="25" t="str">
        <f>IF('1. Live'!AG247='check-Jul''26'!AC247,"",'1. Live'!AG247-'check-Jul''26'!AC247)</f>
        <v/>
      </c>
      <c r="AD229" s="25" t="str">
        <f>IF('1. Live'!AH247='check-Jul''26'!AD247,"",'1. Live'!AH247-'check-Jul''26'!AD247)</f>
        <v/>
      </c>
      <c r="AE229" s="25" t="str">
        <f>IF('1. Live'!AI247='check-Jul''26'!AE247,"",'1. Live'!AI247-'check-Jul''26'!AE247)</f>
        <v/>
      </c>
      <c r="AF229" s="25" t="str">
        <f>IF('1. Live'!AJ247='check-Jul''26'!AF247,"",'1. Live'!AJ247-'check-Jul''26'!AF247)</f>
        <v/>
      </c>
      <c r="AG229" s="25" t="str">
        <f>IF('1. Live'!AK247='check-Jul''26'!AG247,"",'1. Live'!AK247-'check-Jul''26'!AG247)</f>
        <v/>
      </c>
      <c r="AH229" s="25" t="str">
        <f>IF('1. Live'!AL247='check-Jul''26'!AH247,"",'1. Live'!AL247-'check-Jul''26'!AH247)</f>
        <v/>
      </c>
      <c r="AI229" s="25" t="str">
        <f>IF('1. Live'!AM247='check-Jul''26'!AI247,"",'1. Live'!AM247-'check-Jul''26'!AI247)</f>
        <v/>
      </c>
      <c r="AJ229" s="25" t="str">
        <f>IF('1. Live'!AN247='check-Jul''26'!AJ247,"",'1. Live'!AN247-'check-Jul''26'!AJ247)</f>
        <v/>
      </c>
      <c r="AK229" s="25" t="str">
        <f>IF('1. Live'!AO247='check-Jul''26'!AK247,"",'1. Live'!AO247-'check-Jul''26'!AK247)</f>
        <v/>
      </c>
      <c r="AL229" s="25" t="str">
        <f>IF('1. Live'!AP247='check-Jul''26'!AL247,"",'1. Live'!AP247-'check-Jul''26'!AL247)</f>
        <v/>
      </c>
      <c r="AM229" s="25" t="str">
        <f>IF('1. Live'!AQ247='check-Jul''26'!AM247,"",'1. Live'!AQ247-'check-Jul''26'!AM247)</f>
        <v/>
      </c>
      <c r="AN229" s="25" t="str">
        <f>IF('1. Live'!AR247='check-Jul''26'!AN247,"",'1. Live'!AR247-'check-Jul''26'!AN247)</f>
        <v/>
      </c>
      <c r="AO229" s="25" t="str">
        <f>IF('1. Live'!AS247='check-Jul''26'!AO247,"",'1. Live'!AS247-'check-Jul''26'!AO247)</f>
        <v/>
      </c>
      <c r="AP229" s="25" t="str">
        <f>IF('1. Live'!AT247='check-Jul''26'!AP247,"",'1. Live'!AT247-'check-Jul''26'!AP247)</f>
        <v/>
      </c>
      <c r="AQ229" s="25" t="str">
        <f>IF('1. Live'!AU247='check-Jul''26'!AQ247,"",'1. Live'!AU247-'check-Jul''26'!AQ247)</f>
        <v/>
      </c>
      <c r="AR229" s="25" t="str">
        <f>IF('1. Live'!AV247='check-Jul''26'!AR247,"",'1. Live'!AV247-'check-Jul''26'!AR247)</f>
        <v/>
      </c>
      <c r="AS229" s="25" t="str">
        <f>IF('1. Live'!AW247='check-Jul''26'!AS247,"",'1. Live'!AW247-'check-Jul''26'!AS247)</f>
        <v/>
      </c>
      <c r="AT229" s="25" t="str">
        <f>IF('1. Live'!AX247='check-Jul''26'!AT247,"",'1. Live'!AX247-'check-Jul''26'!AT247)</f>
        <v/>
      </c>
      <c r="AU229" s="25" t="str">
        <f>IF('1. Live'!AY247='check-Jul''26'!AU247,"",'1. Live'!AY247-'check-Jul''26'!AU247)</f>
        <v/>
      </c>
      <c r="AV229" s="25" t="str">
        <f>IF('1. Live'!AZ247='check-Jul''26'!AV247,"",'1. Live'!AZ247-'check-Jul''26'!AV247)</f>
        <v/>
      </c>
      <c r="AW229" s="25" t="str">
        <f>IF('1. Live'!BA247='check-Jul''26'!AW247,"",'1. Live'!BA247-'check-Jul''26'!AW247)</f>
        <v/>
      </c>
      <c r="AX229" s="25" t="str">
        <f>IF('1. Live'!BB247='check-Jul''26'!AX247,"",'1. Live'!BB247-'check-Jul''26'!AX247)</f>
        <v/>
      </c>
      <c r="AY229" s="25" t="str">
        <f>IF('1. Live'!BC247='check-Jul''26'!AY247,"",'1. Live'!BC247-'check-Jul''26'!AY247)</f>
        <v/>
      </c>
      <c r="AZ229" s="25" t="str">
        <f>IF('1. Live'!BD247='check-Jul''26'!AZ247,"",'1. Live'!BD247-'check-Jul''26'!AZ247)</f>
        <v/>
      </c>
      <c r="BA229" s="25" t="str">
        <f>IF('1. Live'!BE247='check-Jul''26'!BA247,"",'1. Live'!BE247-'check-Jul''26'!BA247)</f>
        <v/>
      </c>
      <c r="BB229" s="25" t="str">
        <f>IF('1. Live'!BF247='check-Jul''26'!BB247,"",'1. Live'!BF247-'check-Jul''26'!BB247)</f>
        <v/>
      </c>
      <c r="BC229" s="25" t="str">
        <f>IF('1. Live'!BG247='check-Jul''26'!BC247,"",'1. Live'!BG247-'check-Jul''26'!BC247)</f>
        <v/>
      </c>
      <c r="BD229" s="25" t="str">
        <f>IF('1. Live'!BH247='check-Jul''26'!BD247,"",'1. Live'!BH247-'check-Jul''26'!BD247)</f>
        <v/>
      </c>
      <c r="BE229" s="25" t="str">
        <f>IF('1. Live'!BI247='check-Jul''26'!BE247,"",'1. Live'!BI247-'check-Jul''26'!BE247)</f>
        <v/>
      </c>
      <c r="BF229" s="25" t="str">
        <f>IF('1. Live'!BJ247='check-Jul''26'!BF247,"",'1. Live'!BJ247-'check-Jul''26'!BF247)</f>
        <v/>
      </c>
      <c r="BG229" s="25" t="str">
        <f>IF('1. Live'!BK247='check-Jul''26'!BG247,"",'1. Live'!BK247-'check-Jul''26'!BG247)</f>
        <v/>
      </c>
      <c r="BH229" s="25" t="str">
        <f>IF('1. Live'!BL247='check-Jul''26'!BH247,"",'1. Live'!BL247-'check-Jul''26'!BH247)</f>
        <v/>
      </c>
      <c r="BI229" s="25" t="str">
        <f>IF('1. Live'!BM247='check-Jul''26'!BI247,"",'1. Live'!BM247-'check-Jul''26'!BI247)</f>
        <v/>
      </c>
      <c r="BJ229" s="25" t="str">
        <f>IF('1. Live'!BN247='check-Jul''26'!BJ247,"",'1. Live'!BN247-'check-Jul''26'!BJ247)</f>
        <v/>
      </c>
      <c r="BK229" s="25" t="str">
        <f>IF('1. Live'!BO247='check-Jul''26'!BK247,"",'1. Live'!BO247-'check-Jul''26'!BK247)</f>
        <v/>
      </c>
      <c r="BL229" s="25" t="str">
        <f>IF('1. Live'!BP247='check-Jul''26'!BL247,"",'1. Live'!BP247-'check-Jul''26'!BL247)</f>
        <v/>
      </c>
      <c r="BM229" s="25" t="str">
        <f>IF('1. Live'!BQ247='check-Jul''26'!BM247,"",'1. Live'!BQ247-'check-Jul''26'!BM247)</f>
        <v/>
      </c>
      <c r="BN229" s="25" t="str">
        <f>IF('1. Live'!BR247='check-Jul''26'!BN247,"",'1. Live'!BR247-'check-Jul''26'!BN247)</f>
        <v/>
      </c>
      <c r="BO229" s="25" t="str">
        <f>IF('1. Live'!BS247='check-Jul''26'!BO247,"",'1. Live'!BS247-'check-Jul''26'!BO247)</f>
        <v/>
      </c>
      <c r="BP229" s="25" t="str">
        <f>IF('1. Live'!BT247='check-Jul''26'!BP247,"",'1. Live'!BT247-'check-Jul''26'!BP247)</f>
        <v/>
      </c>
      <c r="BQ229" s="25" t="str">
        <f>IF('1. Live'!BU247='check-Jul''26'!BQ247,"",'1. Live'!BU247-'check-Jul''26'!BQ247)</f>
        <v/>
      </c>
      <c r="BR229" s="25" t="str">
        <f>IF('1. Live'!BV247='check-Jul''26'!BR247,"",'1. Live'!BV247-'check-Jul''26'!BR247)</f>
        <v/>
      </c>
      <c r="BS229" s="25" t="str">
        <f>IF('1. Live'!BW247='check-Jul''26'!BS247,"",'1. Live'!BW247-'check-Jul''26'!BS247)</f>
        <v/>
      </c>
      <c r="BT229" s="25" t="str">
        <f>IF('1. Live'!BX247='check-Jul''26'!BT247,"",'1. Live'!BX247-'check-Jul''26'!BT247)</f>
        <v/>
      </c>
      <c r="BU229" s="25" t="str">
        <f>IF('1. Live'!BY247='check-Jul''26'!BU247,"",'1. Live'!BY247-'check-Jul''26'!BU247)</f>
        <v/>
      </c>
      <c r="BV229" s="25" t="str">
        <f>IF('1. Live'!BZ247='check-Jul''26'!BV247,"",'1. Live'!BZ247-'check-Jul''26'!BV247)</f>
        <v/>
      </c>
      <c r="BW229" s="25" t="str">
        <f>IF('1. Live'!CA247='check-Jul''26'!BW247,"",'1. Live'!CA247-'check-Jul''26'!BW247)</f>
        <v/>
      </c>
      <c r="BX229" s="25" t="str">
        <f>IF('1. Live'!CB247='check-Jul''26'!BX247,"",'1. Live'!CB247-'check-Jul''26'!BX247)</f>
        <v/>
      </c>
      <c r="BY229" s="25" t="str">
        <f>IF('1. Live'!CC247='check-Jul''26'!BY247,"",'1. Live'!CC247-'check-Jul''26'!BY247)</f>
        <v/>
      </c>
      <c r="BZ229" s="25" t="str">
        <f>IF('1. Live'!CD247='check-Jul''26'!BZ247,"",'1. Live'!CD247-'check-Jul''26'!BZ247)</f>
        <v/>
      </c>
      <c r="CA229" s="25" t="str">
        <f>IF('1. Live'!CE247='check-Jul''26'!CA247,"",'1. Live'!CE247-'check-Jul''26'!CA247)</f>
        <v/>
      </c>
      <c r="CB229" s="25" t="str">
        <f>IF('1. Live'!CF247='check-Jul''26'!CB247,"",'1. Live'!CF247-'check-Jul''26'!CB247)</f>
        <v/>
      </c>
      <c r="CC229" s="25" t="str">
        <f>IF('1. Live'!CG247='check-Jul''26'!CC247,"",'1. Live'!CG247-'check-Jul''26'!CC247)</f>
        <v/>
      </c>
      <c r="CD229" s="25" t="str">
        <f>IF('1. Live'!CH247='check-Jul''26'!CD247,"",'1. Live'!CH247-'check-Jul''26'!CD247)</f>
        <v/>
      </c>
      <c r="CE229" s="25" t="str">
        <f>IF('1. Live'!CI247='check-Jul''26'!CE247,"",'1. Live'!CI247-'check-Jul''26'!CE247)</f>
        <v/>
      </c>
      <c r="CF229" s="25" t="str">
        <f>IF('1. Live'!CJ247='check-Jul''26'!CF247,"",'1. Live'!CJ247-'check-Jul''26'!CF247)</f>
        <v/>
      </c>
      <c r="CG229" s="25" t="str">
        <f>IF('1. Live'!CK247='check-Jul''26'!CG247,"",'1. Live'!CK247-'check-Jul''26'!CG247)</f>
        <v/>
      </c>
      <c r="CH229" s="25" t="str">
        <f>IF('1. Live'!CL247='check-Jul''26'!CH247,"",'1. Live'!CL247-'check-Jul''26'!CH247)</f>
        <v/>
      </c>
      <c r="CI229" s="25" t="str">
        <f>IF('1. Live'!CM247='check-Jul''26'!CI247,"",'1. Live'!CM247-'check-Jul''26'!CI247)</f>
        <v/>
      </c>
      <c r="CJ229" s="25" t="str">
        <f>IF('1. Live'!CN247='check-Jul''26'!CJ247,"",'1. Live'!CN247-'check-Jul''26'!CJ247)</f>
        <v/>
      </c>
      <c r="CK229" s="25" t="str">
        <f>IF('1. Live'!CO247='check-Jul''26'!CK247,"",'1. Live'!CO247-'check-Jul''26'!CK247)</f>
        <v/>
      </c>
      <c r="CL229" s="25" t="str">
        <f>IF('1. Live'!CP247='check-Jul''26'!CL247,"",'1. Live'!CP247-'check-Jul''26'!CL247)</f>
        <v/>
      </c>
      <c r="CM229" s="25" t="str">
        <f>IF('1. Live'!CQ247='check-Jul''26'!CM247,"",'1. Live'!CQ247-'check-Jul''26'!CM247)</f>
        <v/>
      </c>
      <c r="CN229" s="25" t="str">
        <f>IF('1. Live'!CR247='check-Jul''26'!CN247,"",'1. Live'!CR247-'check-Jul''26'!CN247)</f>
        <v/>
      </c>
      <c r="CO229" s="25" t="str">
        <f>IF('1. Live'!CS247='check-Jul''26'!CO247,"",'1. Live'!CS247-'check-Jul''26'!CO247)</f>
        <v/>
      </c>
      <c r="CP229" s="25" t="str">
        <f>IF('1. Live'!CT247='check-Jul''26'!CP247,"",'1. Live'!CT247-'check-Jul''26'!CP247)</f>
        <v/>
      </c>
      <c r="CQ229" s="25" t="str">
        <f>IF('1. Live'!CU247='check-Jul''26'!CQ247,"",'1. Live'!CU247-'check-Jul''26'!CQ247)</f>
        <v/>
      </c>
      <c r="CR229" s="25" t="str">
        <f>IF('1. Live'!CV247='check-Jul''26'!CR247,"",'1. Live'!CV247-'check-Jul''26'!CR247)</f>
        <v/>
      </c>
      <c r="CS229" s="25" t="str">
        <f>IF('1. Live'!CW247='check-Jul''26'!CS247,"",'1. Live'!CW247-'check-Jul''26'!CS247)</f>
        <v/>
      </c>
      <c r="CT229" s="25" t="str">
        <f>IF('1. Live'!CX247='check-Jul''26'!CT247,"",'1. Live'!CX247-'check-Jul''26'!CT247)</f>
        <v/>
      </c>
      <c r="CU229" s="25" t="str">
        <f>IF('1. Live'!CY247='check-Jul''26'!CU247,"",'1. Live'!CY247-'check-Jul''26'!CU247)</f>
        <v/>
      </c>
      <c r="CV229" s="25" t="str">
        <f>IF('1. Live'!CZ247='check-Jul''26'!CV247,"",'1. Live'!CZ247-'check-Jul''26'!CV247)</f>
        <v/>
      </c>
    </row>
    <row r="230" spans="17:100" x14ac:dyDescent="0.25">
      <c r="Q230" s="26" t="str">
        <f>IF('1. Live'!N248='check-Jul''26'!I248,"",'1. Live'!N248-'check-Jul''26'!I248)</f>
        <v/>
      </c>
      <c r="R230" s="26" t="str">
        <f>IF('1. Live'!O248='check-Jul''26'!J248,"",'1. Live'!O248-'check-Jul''26'!J248)</f>
        <v/>
      </c>
      <c r="S230" s="26" t="str">
        <f>IF('1. Live'!P248='check-Jul''26'!K248,"",'1. Live'!P248-'check-Jul''26'!K248)</f>
        <v/>
      </c>
      <c r="T230" s="26" t="str">
        <f>IF('1. Live'!Q248='check-Jul''26'!L248,"",'1. Live'!Q248-'check-Jul''26'!L248)</f>
        <v/>
      </c>
      <c r="U230" s="80" t="str">
        <f>IF('1. Live'!R248='check-Jul''26'!M248,"",'1. Live'!R248-'check-Jul''26'!M248)</f>
        <v/>
      </c>
      <c r="V230" s="26" t="str">
        <f>IF('1. Live'!S248='check-Jul''26'!N248,"",'1. Live'!S248-'check-Jul''26'!N248)</f>
        <v/>
      </c>
      <c r="W230" s="25" t="str">
        <f>IF('1. Live'!T248='check-Jul''26'!O248,"",'1. Live'!T248-'check-Jul''26'!O248)</f>
        <v/>
      </c>
      <c r="X230" s="25" t="str">
        <f>IF('1. Live'!U248='check-Jul''26'!Q248,"",'1. Live'!U248-'check-Jul''26'!Q248)</f>
        <v/>
      </c>
      <c r="Y230" s="25" t="str">
        <f>IF('1. Live'!V248='check-Jul''26'!R248,"",'1. Live'!V248-'check-Jul''26'!R248)</f>
        <v/>
      </c>
      <c r="Z230" s="25" t="str">
        <f>IF('1. Live'!W248='check-Jul''26'!S248,"",'1. Live'!W248-'check-Jul''26'!S248)</f>
        <v/>
      </c>
      <c r="AA230" s="25" t="str">
        <f>IF('1. Live'!X248='check-Jul''26'!T248,"",'1. Live'!X248-'check-Jul''26'!T248)</f>
        <v/>
      </c>
      <c r="AB230" s="25" t="str">
        <f>IF('1. Live'!AF248='check-Jul''26'!AB248,"",'1. Live'!AF248-'check-Jul''26'!AB248)</f>
        <v/>
      </c>
      <c r="AC230" s="25" t="str">
        <f>IF('1. Live'!AG248='check-Jul''26'!AC248,"",'1. Live'!AG248-'check-Jul''26'!AC248)</f>
        <v/>
      </c>
      <c r="AD230" s="25" t="str">
        <f>IF('1. Live'!AH248='check-Jul''26'!AD248,"",'1. Live'!AH248-'check-Jul''26'!AD248)</f>
        <v/>
      </c>
      <c r="AE230" s="25" t="str">
        <f>IF('1. Live'!AI248='check-Jul''26'!AE248,"",'1. Live'!AI248-'check-Jul''26'!AE248)</f>
        <v/>
      </c>
      <c r="AF230" s="25" t="str">
        <f>IF('1. Live'!AJ248='check-Jul''26'!AF248,"",'1. Live'!AJ248-'check-Jul''26'!AF248)</f>
        <v/>
      </c>
      <c r="AG230" s="25" t="str">
        <f>IF('1. Live'!AK248='check-Jul''26'!AG248,"",'1. Live'!AK248-'check-Jul''26'!AG248)</f>
        <v/>
      </c>
      <c r="AH230" s="25" t="str">
        <f>IF('1. Live'!AL248='check-Jul''26'!AH248,"",'1. Live'!AL248-'check-Jul''26'!AH248)</f>
        <v/>
      </c>
      <c r="AI230" s="25" t="str">
        <f>IF('1. Live'!AM248='check-Jul''26'!AI248,"",'1. Live'!AM248-'check-Jul''26'!AI248)</f>
        <v/>
      </c>
      <c r="AJ230" s="25" t="str">
        <f>IF('1. Live'!AN248='check-Jul''26'!AJ248,"",'1. Live'!AN248-'check-Jul''26'!AJ248)</f>
        <v/>
      </c>
      <c r="AK230" s="25" t="str">
        <f>IF('1. Live'!AO248='check-Jul''26'!AK248,"",'1. Live'!AO248-'check-Jul''26'!AK248)</f>
        <v/>
      </c>
      <c r="AL230" s="25" t="str">
        <f>IF('1. Live'!AP248='check-Jul''26'!AL248,"",'1. Live'!AP248-'check-Jul''26'!AL248)</f>
        <v/>
      </c>
      <c r="AM230" s="25" t="str">
        <f>IF('1. Live'!AQ248='check-Jul''26'!AM248,"",'1. Live'!AQ248-'check-Jul''26'!AM248)</f>
        <v/>
      </c>
      <c r="AN230" s="25" t="str">
        <f>IF('1. Live'!AR248='check-Jul''26'!AN248,"",'1. Live'!AR248-'check-Jul''26'!AN248)</f>
        <v/>
      </c>
      <c r="AO230" s="25" t="str">
        <f>IF('1. Live'!AS248='check-Jul''26'!AO248,"",'1. Live'!AS248-'check-Jul''26'!AO248)</f>
        <v/>
      </c>
      <c r="AP230" s="25" t="str">
        <f>IF('1. Live'!AT248='check-Jul''26'!AP248,"",'1. Live'!AT248-'check-Jul''26'!AP248)</f>
        <v/>
      </c>
      <c r="AQ230" s="25" t="str">
        <f>IF('1. Live'!AU248='check-Jul''26'!AQ248,"",'1. Live'!AU248-'check-Jul''26'!AQ248)</f>
        <v/>
      </c>
      <c r="AR230" s="25" t="str">
        <f>IF('1. Live'!AV248='check-Jul''26'!AR248,"",'1. Live'!AV248-'check-Jul''26'!AR248)</f>
        <v/>
      </c>
      <c r="AS230" s="25" t="str">
        <f>IF('1. Live'!AW248='check-Jul''26'!AS248,"",'1. Live'!AW248-'check-Jul''26'!AS248)</f>
        <v/>
      </c>
      <c r="AT230" s="25" t="str">
        <f>IF('1. Live'!AX248='check-Jul''26'!AT248,"",'1. Live'!AX248-'check-Jul''26'!AT248)</f>
        <v/>
      </c>
      <c r="AU230" s="25" t="str">
        <f>IF('1. Live'!AY248='check-Jul''26'!AU248,"",'1. Live'!AY248-'check-Jul''26'!AU248)</f>
        <v/>
      </c>
      <c r="AV230" s="25" t="str">
        <f>IF('1. Live'!AZ248='check-Jul''26'!AV248,"",'1. Live'!AZ248-'check-Jul''26'!AV248)</f>
        <v/>
      </c>
      <c r="AW230" s="25" t="str">
        <f>IF('1. Live'!BA248='check-Jul''26'!AW248,"",'1. Live'!BA248-'check-Jul''26'!AW248)</f>
        <v/>
      </c>
      <c r="AX230" s="25" t="str">
        <f>IF('1. Live'!BB248='check-Jul''26'!AX248,"",'1. Live'!BB248-'check-Jul''26'!AX248)</f>
        <v/>
      </c>
      <c r="AY230" s="25" t="str">
        <f>IF('1. Live'!BC248='check-Jul''26'!AY248,"",'1. Live'!BC248-'check-Jul''26'!AY248)</f>
        <v/>
      </c>
      <c r="AZ230" s="25" t="str">
        <f>IF('1. Live'!BD248='check-Jul''26'!AZ248,"",'1. Live'!BD248-'check-Jul''26'!AZ248)</f>
        <v/>
      </c>
      <c r="BA230" s="25" t="str">
        <f>IF('1. Live'!BE248='check-Jul''26'!BA248,"",'1. Live'!BE248-'check-Jul''26'!BA248)</f>
        <v/>
      </c>
      <c r="BB230" s="25" t="str">
        <f>IF('1. Live'!BF248='check-Jul''26'!BB248,"",'1. Live'!BF248-'check-Jul''26'!BB248)</f>
        <v/>
      </c>
      <c r="BC230" s="25" t="str">
        <f>IF('1. Live'!BG248='check-Jul''26'!BC248,"",'1. Live'!BG248-'check-Jul''26'!BC248)</f>
        <v/>
      </c>
      <c r="BD230" s="25" t="str">
        <f>IF('1. Live'!BH248='check-Jul''26'!BD248,"",'1. Live'!BH248-'check-Jul''26'!BD248)</f>
        <v/>
      </c>
      <c r="BE230" s="25" t="str">
        <f>IF('1. Live'!BI248='check-Jul''26'!BE248,"",'1. Live'!BI248-'check-Jul''26'!BE248)</f>
        <v/>
      </c>
      <c r="BF230" s="25" t="str">
        <f>IF('1. Live'!BJ248='check-Jul''26'!BF248,"",'1. Live'!BJ248-'check-Jul''26'!BF248)</f>
        <v/>
      </c>
      <c r="BG230" s="25" t="str">
        <f>IF('1. Live'!BK248='check-Jul''26'!BG248,"",'1. Live'!BK248-'check-Jul''26'!BG248)</f>
        <v/>
      </c>
      <c r="BH230" s="25" t="str">
        <f>IF('1. Live'!BL248='check-Jul''26'!BH248,"",'1. Live'!BL248-'check-Jul''26'!BH248)</f>
        <v/>
      </c>
      <c r="BI230" s="25" t="str">
        <f>IF('1. Live'!BM248='check-Jul''26'!BI248,"",'1. Live'!BM248-'check-Jul''26'!BI248)</f>
        <v/>
      </c>
      <c r="BJ230" s="25" t="str">
        <f>IF('1. Live'!BN248='check-Jul''26'!BJ248,"",'1. Live'!BN248-'check-Jul''26'!BJ248)</f>
        <v/>
      </c>
      <c r="BK230" s="25" t="str">
        <f>IF('1. Live'!BO248='check-Jul''26'!BK248,"",'1. Live'!BO248-'check-Jul''26'!BK248)</f>
        <v/>
      </c>
      <c r="BL230" s="25" t="str">
        <f>IF('1. Live'!BP248='check-Jul''26'!BL248,"",'1. Live'!BP248-'check-Jul''26'!BL248)</f>
        <v/>
      </c>
      <c r="BM230" s="25" t="str">
        <f>IF('1. Live'!BQ248='check-Jul''26'!BM248,"",'1. Live'!BQ248-'check-Jul''26'!BM248)</f>
        <v/>
      </c>
      <c r="BN230" s="25" t="str">
        <f>IF('1. Live'!BR248='check-Jul''26'!BN248,"",'1. Live'!BR248-'check-Jul''26'!BN248)</f>
        <v/>
      </c>
      <c r="BO230" s="25" t="str">
        <f>IF('1. Live'!BS248='check-Jul''26'!BO248,"",'1. Live'!BS248-'check-Jul''26'!BO248)</f>
        <v/>
      </c>
      <c r="BP230" s="25" t="str">
        <f>IF('1. Live'!BT248='check-Jul''26'!BP248,"",'1. Live'!BT248-'check-Jul''26'!BP248)</f>
        <v/>
      </c>
      <c r="BQ230" s="25" t="str">
        <f>IF('1. Live'!BU248='check-Jul''26'!BQ248,"",'1. Live'!BU248-'check-Jul''26'!BQ248)</f>
        <v/>
      </c>
      <c r="BR230" s="25" t="str">
        <f>IF('1. Live'!BV248='check-Jul''26'!BR248,"",'1. Live'!BV248-'check-Jul''26'!BR248)</f>
        <v/>
      </c>
      <c r="BS230" s="25" t="str">
        <f>IF('1. Live'!BW248='check-Jul''26'!BS248,"",'1. Live'!BW248-'check-Jul''26'!BS248)</f>
        <v/>
      </c>
      <c r="BT230" s="25" t="str">
        <f>IF('1. Live'!BX248='check-Jul''26'!BT248,"",'1. Live'!BX248-'check-Jul''26'!BT248)</f>
        <v/>
      </c>
      <c r="BU230" s="25" t="str">
        <f>IF('1. Live'!BY248='check-Jul''26'!BU248,"",'1. Live'!BY248-'check-Jul''26'!BU248)</f>
        <v/>
      </c>
      <c r="BV230" s="25" t="str">
        <f>IF('1. Live'!BZ248='check-Jul''26'!BV248,"",'1. Live'!BZ248-'check-Jul''26'!BV248)</f>
        <v/>
      </c>
      <c r="BW230" s="25" t="str">
        <f>IF('1. Live'!CA248='check-Jul''26'!BW248,"",'1. Live'!CA248-'check-Jul''26'!BW248)</f>
        <v/>
      </c>
      <c r="BX230" s="25" t="str">
        <f>IF('1. Live'!CB248='check-Jul''26'!BX248,"",'1. Live'!CB248-'check-Jul''26'!BX248)</f>
        <v/>
      </c>
      <c r="BY230" s="25" t="str">
        <f>IF('1. Live'!CC248='check-Jul''26'!BY248,"",'1. Live'!CC248-'check-Jul''26'!BY248)</f>
        <v/>
      </c>
      <c r="BZ230" s="25" t="str">
        <f>IF('1. Live'!CD248='check-Jul''26'!BZ248,"",'1. Live'!CD248-'check-Jul''26'!BZ248)</f>
        <v/>
      </c>
      <c r="CA230" s="25" t="str">
        <f>IF('1. Live'!CE248='check-Jul''26'!CA248,"",'1. Live'!CE248-'check-Jul''26'!CA248)</f>
        <v/>
      </c>
      <c r="CB230" s="25" t="str">
        <f>IF('1. Live'!CF248='check-Jul''26'!CB248,"",'1. Live'!CF248-'check-Jul''26'!CB248)</f>
        <v/>
      </c>
      <c r="CC230" s="25" t="str">
        <f>IF('1. Live'!CG248='check-Jul''26'!CC248,"",'1. Live'!CG248-'check-Jul''26'!CC248)</f>
        <v/>
      </c>
      <c r="CD230" s="25" t="str">
        <f>IF('1. Live'!CH248='check-Jul''26'!CD248,"",'1. Live'!CH248-'check-Jul''26'!CD248)</f>
        <v/>
      </c>
      <c r="CE230" s="25" t="str">
        <f>IF('1. Live'!CI248='check-Jul''26'!CE248,"",'1. Live'!CI248-'check-Jul''26'!CE248)</f>
        <v/>
      </c>
      <c r="CF230" s="25" t="str">
        <f>IF('1. Live'!CJ248='check-Jul''26'!CF248,"",'1. Live'!CJ248-'check-Jul''26'!CF248)</f>
        <v/>
      </c>
      <c r="CG230" s="25" t="str">
        <f>IF('1. Live'!CK248='check-Jul''26'!CG248,"",'1. Live'!CK248-'check-Jul''26'!CG248)</f>
        <v/>
      </c>
      <c r="CH230" s="25" t="str">
        <f>IF('1. Live'!CL248='check-Jul''26'!CH248,"",'1. Live'!CL248-'check-Jul''26'!CH248)</f>
        <v/>
      </c>
      <c r="CI230" s="25" t="str">
        <f>IF('1. Live'!CM248='check-Jul''26'!CI248,"",'1. Live'!CM248-'check-Jul''26'!CI248)</f>
        <v/>
      </c>
      <c r="CJ230" s="25" t="str">
        <f>IF('1. Live'!CN248='check-Jul''26'!CJ248,"",'1. Live'!CN248-'check-Jul''26'!CJ248)</f>
        <v/>
      </c>
      <c r="CK230" s="25" t="str">
        <f>IF('1. Live'!CO248='check-Jul''26'!CK248,"",'1. Live'!CO248-'check-Jul''26'!CK248)</f>
        <v/>
      </c>
      <c r="CL230" s="25" t="str">
        <f>IF('1. Live'!CP248='check-Jul''26'!CL248,"",'1. Live'!CP248-'check-Jul''26'!CL248)</f>
        <v/>
      </c>
      <c r="CM230" s="25" t="str">
        <f>IF('1. Live'!CQ248='check-Jul''26'!CM248,"",'1. Live'!CQ248-'check-Jul''26'!CM248)</f>
        <v/>
      </c>
      <c r="CN230" s="25" t="str">
        <f>IF('1. Live'!CR248='check-Jul''26'!CN248,"",'1. Live'!CR248-'check-Jul''26'!CN248)</f>
        <v/>
      </c>
      <c r="CO230" s="25" t="str">
        <f>IF('1. Live'!CS248='check-Jul''26'!CO248,"",'1. Live'!CS248-'check-Jul''26'!CO248)</f>
        <v/>
      </c>
      <c r="CP230" s="25" t="str">
        <f>IF('1. Live'!CT248='check-Jul''26'!CP248,"",'1. Live'!CT248-'check-Jul''26'!CP248)</f>
        <v/>
      </c>
      <c r="CQ230" s="25" t="str">
        <f>IF('1. Live'!CU248='check-Jul''26'!CQ248,"",'1. Live'!CU248-'check-Jul''26'!CQ248)</f>
        <v/>
      </c>
      <c r="CR230" s="25" t="str">
        <f>IF('1. Live'!CV248='check-Jul''26'!CR248,"",'1. Live'!CV248-'check-Jul''26'!CR248)</f>
        <v/>
      </c>
      <c r="CS230" s="25" t="str">
        <f>IF('1. Live'!CW248='check-Jul''26'!CS248,"",'1. Live'!CW248-'check-Jul''26'!CS248)</f>
        <v/>
      </c>
      <c r="CT230" s="25" t="str">
        <f>IF('1. Live'!CX248='check-Jul''26'!CT248,"",'1. Live'!CX248-'check-Jul''26'!CT248)</f>
        <v/>
      </c>
      <c r="CU230" s="25" t="str">
        <f>IF('1. Live'!CY248='check-Jul''26'!CU248,"",'1. Live'!CY248-'check-Jul''26'!CU248)</f>
        <v/>
      </c>
      <c r="CV230" s="25" t="str">
        <f>IF('1. Live'!CZ248='check-Jul''26'!CV248,"",'1. Live'!CZ248-'check-Jul''26'!CV248)</f>
        <v/>
      </c>
    </row>
    <row r="231" spans="17:100" x14ac:dyDescent="0.25">
      <c r="Q231" s="26" t="str">
        <f>IF('1. Live'!N249='check-Jul''26'!I249,"",'1. Live'!N249-'check-Jul''26'!I249)</f>
        <v/>
      </c>
      <c r="R231" s="26" t="str">
        <f>IF('1. Live'!O249='check-Jul''26'!J249,"",'1. Live'!O249-'check-Jul''26'!J249)</f>
        <v/>
      </c>
      <c r="S231" s="26" t="str">
        <f>IF('1. Live'!P249='check-Jul''26'!K249,"",'1. Live'!P249-'check-Jul''26'!K249)</f>
        <v/>
      </c>
      <c r="T231" s="26" t="str">
        <f>IF('1. Live'!Q249='check-Jul''26'!L249,"",'1. Live'!Q249-'check-Jul''26'!L249)</f>
        <v/>
      </c>
      <c r="U231" s="80" t="str">
        <f>IF('1. Live'!R249='check-Jul''26'!M249,"",'1. Live'!R249-'check-Jul''26'!M249)</f>
        <v/>
      </c>
      <c r="V231" s="26" t="str">
        <f>IF('1. Live'!S249='check-Jul''26'!N249,"",'1. Live'!S249-'check-Jul''26'!N249)</f>
        <v/>
      </c>
      <c r="W231" s="25" t="str">
        <f>IF('1. Live'!T249='check-Jul''26'!O249,"",'1. Live'!T249-'check-Jul''26'!O249)</f>
        <v/>
      </c>
      <c r="X231" s="25" t="str">
        <f>IF('1. Live'!U249='check-Jul''26'!Q249,"",'1. Live'!U249-'check-Jul''26'!Q249)</f>
        <v/>
      </c>
      <c r="Y231" s="25" t="str">
        <f>IF('1. Live'!V249='check-Jul''26'!R249,"",'1. Live'!V249-'check-Jul''26'!R249)</f>
        <v/>
      </c>
      <c r="Z231" s="25" t="str">
        <f>IF('1. Live'!W249='check-Jul''26'!S249,"",'1. Live'!W249-'check-Jul''26'!S249)</f>
        <v/>
      </c>
      <c r="AA231" s="25" t="str">
        <f>IF('1. Live'!X249='check-Jul''26'!T249,"",'1. Live'!X249-'check-Jul''26'!T249)</f>
        <v/>
      </c>
      <c r="AB231" s="25" t="str">
        <f>IF('1. Live'!AF249='check-Jul''26'!AB249,"",'1. Live'!AF249-'check-Jul''26'!AB249)</f>
        <v/>
      </c>
      <c r="AC231" s="25" t="str">
        <f>IF('1. Live'!AG249='check-Jul''26'!AC249,"",'1. Live'!AG249-'check-Jul''26'!AC249)</f>
        <v/>
      </c>
      <c r="AD231" s="25" t="str">
        <f>IF('1. Live'!AH249='check-Jul''26'!AD249,"",'1. Live'!AH249-'check-Jul''26'!AD249)</f>
        <v/>
      </c>
      <c r="AE231" s="25" t="str">
        <f>IF('1. Live'!AI249='check-Jul''26'!AE249,"",'1. Live'!AI249-'check-Jul''26'!AE249)</f>
        <v/>
      </c>
      <c r="AF231" s="25" t="str">
        <f>IF('1. Live'!AJ249='check-Jul''26'!AF249,"",'1. Live'!AJ249-'check-Jul''26'!AF249)</f>
        <v/>
      </c>
      <c r="AG231" s="25" t="str">
        <f>IF('1. Live'!AK249='check-Jul''26'!AG249,"",'1. Live'!AK249-'check-Jul''26'!AG249)</f>
        <v/>
      </c>
      <c r="AH231" s="25" t="str">
        <f>IF('1. Live'!AL249='check-Jul''26'!AH249,"",'1. Live'!AL249-'check-Jul''26'!AH249)</f>
        <v/>
      </c>
      <c r="AI231" s="25" t="str">
        <f>IF('1. Live'!AM249='check-Jul''26'!AI249,"",'1. Live'!AM249-'check-Jul''26'!AI249)</f>
        <v/>
      </c>
      <c r="AJ231" s="25" t="str">
        <f>IF('1. Live'!AN249='check-Jul''26'!AJ249,"",'1. Live'!AN249-'check-Jul''26'!AJ249)</f>
        <v/>
      </c>
      <c r="AK231" s="25" t="str">
        <f>IF('1. Live'!AO249='check-Jul''26'!AK249,"",'1. Live'!AO249-'check-Jul''26'!AK249)</f>
        <v/>
      </c>
      <c r="AL231" s="25" t="str">
        <f>IF('1. Live'!AP249='check-Jul''26'!AL249,"",'1. Live'!AP249-'check-Jul''26'!AL249)</f>
        <v/>
      </c>
      <c r="AM231" s="25" t="str">
        <f>IF('1. Live'!AQ249='check-Jul''26'!AM249,"",'1. Live'!AQ249-'check-Jul''26'!AM249)</f>
        <v/>
      </c>
      <c r="AN231" s="25" t="str">
        <f>IF('1. Live'!AR249='check-Jul''26'!AN249,"",'1. Live'!AR249-'check-Jul''26'!AN249)</f>
        <v/>
      </c>
      <c r="AO231" s="25" t="str">
        <f>IF('1. Live'!AS249='check-Jul''26'!AO249,"",'1. Live'!AS249-'check-Jul''26'!AO249)</f>
        <v/>
      </c>
      <c r="AP231" s="25" t="str">
        <f>IF('1. Live'!AT249='check-Jul''26'!AP249,"",'1. Live'!AT249-'check-Jul''26'!AP249)</f>
        <v/>
      </c>
      <c r="AQ231" s="25" t="str">
        <f>IF('1. Live'!AU249='check-Jul''26'!AQ249,"",'1. Live'!AU249-'check-Jul''26'!AQ249)</f>
        <v/>
      </c>
      <c r="AR231" s="25" t="str">
        <f>IF('1. Live'!AV249='check-Jul''26'!AR249,"",'1. Live'!AV249-'check-Jul''26'!AR249)</f>
        <v/>
      </c>
      <c r="AS231" s="25" t="str">
        <f>IF('1. Live'!AW249='check-Jul''26'!AS249,"",'1. Live'!AW249-'check-Jul''26'!AS249)</f>
        <v/>
      </c>
      <c r="AT231" s="25" t="str">
        <f>IF('1. Live'!AX249='check-Jul''26'!AT249,"",'1. Live'!AX249-'check-Jul''26'!AT249)</f>
        <v/>
      </c>
      <c r="AU231" s="25" t="str">
        <f>IF('1. Live'!AY249='check-Jul''26'!AU249,"",'1. Live'!AY249-'check-Jul''26'!AU249)</f>
        <v/>
      </c>
      <c r="AV231" s="25" t="str">
        <f>IF('1. Live'!AZ249='check-Jul''26'!AV249,"",'1. Live'!AZ249-'check-Jul''26'!AV249)</f>
        <v/>
      </c>
      <c r="AW231" s="25" t="str">
        <f>IF('1. Live'!BA249='check-Jul''26'!AW249,"",'1. Live'!BA249-'check-Jul''26'!AW249)</f>
        <v/>
      </c>
      <c r="AX231" s="25" t="str">
        <f>IF('1. Live'!BB249='check-Jul''26'!AX249,"",'1. Live'!BB249-'check-Jul''26'!AX249)</f>
        <v/>
      </c>
      <c r="AY231" s="25" t="str">
        <f>IF('1. Live'!BC249='check-Jul''26'!AY249,"",'1. Live'!BC249-'check-Jul''26'!AY249)</f>
        <v/>
      </c>
      <c r="AZ231" s="25" t="str">
        <f>IF('1. Live'!BD249='check-Jul''26'!AZ249,"",'1. Live'!BD249-'check-Jul''26'!AZ249)</f>
        <v/>
      </c>
      <c r="BA231" s="25" t="str">
        <f>IF('1. Live'!BE249='check-Jul''26'!BA249,"",'1. Live'!BE249-'check-Jul''26'!BA249)</f>
        <v/>
      </c>
      <c r="BB231" s="25" t="str">
        <f>IF('1. Live'!BF249='check-Jul''26'!BB249,"",'1. Live'!BF249-'check-Jul''26'!BB249)</f>
        <v/>
      </c>
      <c r="BC231" s="25" t="str">
        <f>IF('1. Live'!BG249='check-Jul''26'!BC249,"",'1. Live'!BG249-'check-Jul''26'!BC249)</f>
        <v/>
      </c>
      <c r="BD231" s="25" t="str">
        <f>IF('1. Live'!BH249='check-Jul''26'!BD249,"",'1. Live'!BH249-'check-Jul''26'!BD249)</f>
        <v/>
      </c>
      <c r="BE231" s="25" t="str">
        <f>IF('1. Live'!BI249='check-Jul''26'!BE249,"",'1. Live'!BI249-'check-Jul''26'!BE249)</f>
        <v/>
      </c>
      <c r="BF231" s="25" t="str">
        <f>IF('1. Live'!BJ249='check-Jul''26'!BF249,"",'1. Live'!BJ249-'check-Jul''26'!BF249)</f>
        <v/>
      </c>
      <c r="BG231" s="25" t="str">
        <f>IF('1. Live'!BK249='check-Jul''26'!BG249,"",'1. Live'!BK249-'check-Jul''26'!BG249)</f>
        <v/>
      </c>
      <c r="BH231" s="25" t="str">
        <f>IF('1. Live'!BL249='check-Jul''26'!BH249,"",'1. Live'!BL249-'check-Jul''26'!BH249)</f>
        <v/>
      </c>
      <c r="BI231" s="25" t="str">
        <f>IF('1. Live'!BM249='check-Jul''26'!BI249,"",'1. Live'!BM249-'check-Jul''26'!BI249)</f>
        <v/>
      </c>
      <c r="BJ231" s="25" t="str">
        <f>IF('1. Live'!BN249='check-Jul''26'!BJ249,"",'1. Live'!BN249-'check-Jul''26'!BJ249)</f>
        <v/>
      </c>
      <c r="BK231" s="25" t="str">
        <f>IF('1. Live'!BO249='check-Jul''26'!BK249,"",'1. Live'!BO249-'check-Jul''26'!BK249)</f>
        <v/>
      </c>
      <c r="BL231" s="25" t="str">
        <f>IF('1. Live'!BP249='check-Jul''26'!BL249,"",'1. Live'!BP249-'check-Jul''26'!BL249)</f>
        <v/>
      </c>
      <c r="BM231" s="25" t="str">
        <f>IF('1. Live'!BQ249='check-Jul''26'!BM249,"",'1. Live'!BQ249-'check-Jul''26'!BM249)</f>
        <v/>
      </c>
      <c r="BN231" s="25" t="str">
        <f>IF('1. Live'!BR249='check-Jul''26'!BN249,"",'1. Live'!BR249-'check-Jul''26'!BN249)</f>
        <v/>
      </c>
      <c r="BO231" s="25" t="str">
        <f>IF('1. Live'!BS249='check-Jul''26'!BO249,"",'1. Live'!BS249-'check-Jul''26'!BO249)</f>
        <v/>
      </c>
      <c r="BP231" s="25" t="str">
        <f>IF('1. Live'!BT249='check-Jul''26'!BP249,"",'1. Live'!BT249-'check-Jul''26'!BP249)</f>
        <v/>
      </c>
      <c r="BQ231" s="25" t="str">
        <f>IF('1. Live'!BU249='check-Jul''26'!BQ249,"",'1. Live'!BU249-'check-Jul''26'!BQ249)</f>
        <v/>
      </c>
      <c r="BR231" s="25" t="str">
        <f>IF('1. Live'!BV249='check-Jul''26'!BR249,"",'1. Live'!BV249-'check-Jul''26'!BR249)</f>
        <v/>
      </c>
      <c r="BS231" s="25" t="str">
        <f>IF('1. Live'!BW249='check-Jul''26'!BS249,"",'1. Live'!BW249-'check-Jul''26'!BS249)</f>
        <v/>
      </c>
      <c r="BT231" s="25" t="str">
        <f>IF('1. Live'!BX249='check-Jul''26'!BT249,"",'1. Live'!BX249-'check-Jul''26'!BT249)</f>
        <v/>
      </c>
      <c r="BU231" s="25" t="str">
        <f>IF('1. Live'!BY249='check-Jul''26'!BU249,"",'1. Live'!BY249-'check-Jul''26'!BU249)</f>
        <v/>
      </c>
      <c r="BV231" s="25" t="str">
        <f>IF('1. Live'!BZ249='check-Jul''26'!BV249,"",'1. Live'!BZ249-'check-Jul''26'!BV249)</f>
        <v/>
      </c>
      <c r="BW231" s="25" t="str">
        <f>IF('1. Live'!CA249='check-Jul''26'!BW249,"",'1. Live'!CA249-'check-Jul''26'!BW249)</f>
        <v/>
      </c>
      <c r="BX231" s="25" t="str">
        <f>IF('1. Live'!CB249='check-Jul''26'!BX249,"",'1. Live'!CB249-'check-Jul''26'!BX249)</f>
        <v/>
      </c>
      <c r="BY231" s="25" t="str">
        <f>IF('1. Live'!CC249='check-Jul''26'!BY249,"",'1. Live'!CC249-'check-Jul''26'!BY249)</f>
        <v/>
      </c>
      <c r="BZ231" s="25" t="str">
        <f>IF('1. Live'!CD249='check-Jul''26'!BZ249,"",'1. Live'!CD249-'check-Jul''26'!BZ249)</f>
        <v/>
      </c>
      <c r="CA231" s="25" t="str">
        <f>IF('1. Live'!CE249='check-Jul''26'!CA249,"",'1. Live'!CE249-'check-Jul''26'!CA249)</f>
        <v/>
      </c>
      <c r="CB231" s="25" t="str">
        <f>IF('1. Live'!CF249='check-Jul''26'!CB249,"",'1. Live'!CF249-'check-Jul''26'!CB249)</f>
        <v/>
      </c>
      <c r="CC231" s="25" t="str">
        <f>IF('1. Live'!CG249='check-Jul''26'!CC249,"",'1. Live'!CG249-'check-Jul''26'!CC249)</f>
        <v/>
      </c>
      <c r="CD231" s="25" t="str">
        <f>IF('1. Live'!CH249='check-Jul''26'!CD249,"",'1. Live'!CH249-'check-Jul''26'!CD249)</f>
        <v/>
      </c>
      <c r="CE231" s="25" t="str">
        <f>IF('1. Live'!CI249='check-Jul''26'!CE249,"",'1. Live'!CI249-'check-Jul''26'!CE249)</f>
        <v/>
      </c>
      <c r="CF231" s="25" t="str">
        <f>IF('1. Live'!CJ249='check-Jul''26'!CF249,"",'1. Live'!CJ249-'check-Jul''26'!CF249)</f>
        <v/>
      </c>
      <c r="CG231" s="25" t="str">
        <f>IF('1. Live'!CK249='check-Jul''26'!CG249,"",'1. Live'!CK249-'check-Jul''26'!CG249)</f>
        <v/>
      </c>
      <c r="CH231" s="25" t="str">
        <f>IF('1. Live'!CL249='check-Jul''26'!CH249,"",'1. Live'!CL249-'check-Jul''26'!CH249)</f>
        <v/>
      </c>
      <c r="CI231" s="25" t="str">
        <f>IF('1. Live'!CM249='check-Jul''26'!CI249,"",'1. Live'!CM249-'check-Jul''26'!CI249)</f>
        <v/>
      </c>
      <c r="CJ231" s="25" t="str">
        <f>IF('1. Live'!CN249='check-Jul''26'!CJ249,"",'1. Live'!CN249-'check-Jul''26'!CJ249)</f>
        <v/>
      </c>
      <c r="CK231" s="25" t="str">
        <f>IF('1. Live'!CO249='check-Jul''26'!CK249,"",'1. Live'!CO249-'check-Jul''26'!CK249)</f>
        <v/>
      </c>
      <c r="CL231" s="25" t="str">
        <f>IF('1. Live'!CP249='check-Jul''26'!CL249,"",'1. Live'!CP249-'check-Jul''26'!CL249)</f>
        <v/>
      </c>
      <c r="CM231" s="25" t="str">
        <f>IF('1. Live'!CQ249='check-Jul''26'!CM249,"",'1. Live'!CQ249-'check-Jul''26'!CM249)</f>
        <v/>
      </c>
      <c r="CN231" s="25" t="str">
        <f>IF('1. Live'!CR249='check-Jul''26'!CN249,"",'1. Live'!CR249-'check-Jul''26'!CN249)</f>
        <v/>
      </c>
      <c r="CO231" s="25" t="str">
        <f>IF('1. Live'!CS249='check-Jul''26'!CO249,"",'1. Live'!CS249-'check-Jul''26'!CO249)</f>
        <v/>
      </c>
      <c r="CP231" s="25" t="str">
        <f>IF('1. Live'!CT249='check-Jul''26'!CP249,"",'1. Live'!CT249-'check-Jul''26'!CP249)</f>
        <v/>
      </c>
      <c r="CQ231" s="25" t="str">
        <f>IF('1. Live'!CU249='check-Jul''26'!CQ249,"",'1. Live'!CU249-'check-Jul''26'!CQ249)</f>
        <v/>
      </c>
      <c r="CR231" s="25" t="str">
        <f>IF('1. Live'!CV249='check-Jul''26'!CR249,"",'1. Live'!CV249-'check-Jul''26'!CR249)</f>
        <v/>
      </c>
      <c r="CS231" s="25" t="str">
        <f>IF('1. Live'!CW249='check-Jul''26'!CS249,"",'1. Live'!CW249-'check-Jul''26'!CS249)</f>
        <v/>
      </c>
      <c r="CT231" s="25" t="str">
        <f>IF('1. Live'!CX249='check-Jul''26'!CT249,"",'1. Live'!CX249-'check-Jul''26'!CT249)</f>
        <v/>
      </c>
      <c r="CU231" s="25" t="str">
        <f>IF('1. Live'!CY249='check-Jul''26'!CU249,"",'1. Live'!CY249-'check-Jul''26'!CU249)</f>
        <v/>
      </c>
      <c r="CV231" s="25" t="str">
        <f>IF('1. Live'!CZ249='check-Jul''26'!CV249,"",'1. Live'!CZ249-'check-Jul''26'!CV249)</f>
        <v/>
      </c>
    </row>
    <row r="232" spans="17:100" x14ac:dyDescent="0.25">
      <c r="Q232" s="26" t="str">
        <f>IF('1. Live'!N250='check-Jul''26'!I250,"",'1. Live'!N250-'check-Jul''26'!I250)</f>
        <v/>
      </c>
      <c r="R232" s="26" t="str">
        <f>IF('1. Live'!O250='check-Jul''26'!J250,"",'1. Live'!O250-'check-Jul''26'!J250)</f>
        <v/>
      </c>
      <c r="S232" s="26" t="str">
        <f>IF('1. Live'!P250='check-Jul''26'!K250,"",'1. Live'!P250-'check-Jul''26'!K250)</f>
        <v/>
      </c>
      <c r="T232" s="26" t="str">
        <f>IF('1. Live'!Q250='check-Jul''26'!L250,"",'1. Live'!Q250-'check-Jul''26'!L250)</f>
        <v/>
      </c>
      <c r="U232" s="80" t="str">
        <f>IF('1. Live'!R250='check-Jul''26'!M250,"",'1. Live'!R250-'check-Jul''26'!M250)</f>
        <v/>
      </c>
      <c r="V232" s="26" t="str">
        <f>IF('1. Live'!S250='check-Jul''26'!N250,"",'1. Live'!S250-'check-Jul''26'!N250)</f>
        <v/>
      </c>
      <c r="W232" s="25" t="str">
        <f>IF('1. Live'!T250='check-Jul''26'!O250,"",'1. Live'!T250-'check-Jul''26'!O250)</f>
        <v/>
      </c>
      <c r="X232" s="25" t="str">
        <f>IF('1. Live'!U250='check-Jul''26'!Q250,"",'1. Live'!U250-'check-Jul''26'!Q250)</f>
        <v/>
      </c>
      <c r="Y232" s="25" t="str">
        <f>IF('1. Live'!V250='check-Jul''26'!R250,"",'1. Live'!V250-'check-Jul''26'!R250)</f>
        <v/>
      </c>
      <c r="Z232" s="25" t="str">
        <f>IF('1. Live'!W250='check-Jul''26'!S250,"",'1. Live'!W250-'check-Jul''26'!S250)</f>
        <v/>
      </c>
      <c r="AA232" s="25" t="str">
        <f>IF('1. Live'!X250='check-Jul''26'!T250,"",'1. Live'!X250-'check-Jul''26'!T250)</f>
        <v/>
      </c>
      <c r="AB232" s="25" t="str">
        <f>IF('1. Live'!AF250='check-Jul''26'!AB250,"",'1. Live'!AF250-'check-Jul''26'!AB250)</f>
        <v/>
      </c>
      <c r="AC232" s="25" t="str">
        <f>IF('1. Live'!AG250='check-Jul''26'!AC250,"",'1. Live'!AG250-'check-Jul''26'!AC250)</f>
        <v/>
      </c>
      <c r="AD232" s="25" t="str">
        <f>IF('1. Live'!AH250='check-Jul''26'!AD250,"",'1. Live'!AH250-'check-Jul''26'!AD250)</f>
        <v/>
      </c>
      <c r="AE232" s="25" t="str">
        <f>IF('1. Live'!AI250='check-Jul''26'!AE250,"",'1. Live'!AI250-'check-Jul''26'!AE250)</f>
        <v/>
      </c>
      <c r="AF232" s="25" t="str">
        <f>IF('1. Live'!AJ250='check-Jul''26'!AF250,"",'1. Live'!AJ250-'check-Jul''26'!AF250)</f>
        <v/>
      </c>
      <c r="AG232" s="25" t="str">
        <f>IF('1. Live'!AK250='check-Jul''26'!AG250,"",'1. Live'!AK250-'check-Jul''26'!AG250)</f>
        <v/>
      </c>
      <c r="AH232" s="25" t="str">
        <f>IF('1. Live'!AL250='check-Jul''26'!AH250,"",'1. Live'!AL250-'check-Jul''26'!AH250)</f>
        <v/>
      </c>
      <c r="AI232" s="25" t="str">
        <f>IF('1. Live'!AM250='check-Jul''26'!AI250,"",'1. Live'!AM250-'check-Jul''26'!AI250)</f>
        <v/>
      </c>
      <c r="AJ232" s="25" t="str">
        <f>IF('1. Live'!AN250='check-Jul''26'!AJ250,"",'1. Live'!AN250-'check-Jul''26'!AJ250)</f>
        <v/>
      </c>
      <c r="AK232" s="25" t="str">
        <f>IF('1. Live'!AO250='check-Jul''26'!AK250,"",'1. Live'!AO250-'check-Jul''26'!AK250)</f>
        <v/>
      </c>
      <c r="AL232" s="25" t="str">
        <f>IF('1. Live'!AP250='check-Jul''26'!AL250,"",'1. Live'!AP250-'check-Jul''26'!AL250)</f>
        <v/>
      </c>
      <c r="AM232" s="25" t="str">
        <f>IF('1. Live'!AQ250='check-Jul''26'!AM250,"",'1. Live'!AQ250-'check-Jul''26'!AM250)</f>
        <v/>
      </c>
      <c r="AN232" s="25" t="str">
        <f>IF('1. Live'!AR250='check-Jul''26'!AN250,"",'1. Live'!AR250-'check-Jul''26'!AN250)</f>
        <v/>
      </c>
      <c r="AO232" s="25" t="str">
        <f>IF('1. Live'!AS250='check-Jul''26'!AO250,"",'1. Live'!AS250-'check-Jul''26'!AO250)</f>
        <v/>
      </c>
      <c r="AP232" s="25" t="str">
        <f>IF('1. Live'!AT250='check-Jul''26'!AP250,"",'1. Live'!AT250-'check-Jul''26'!AP250)</f>
        <v/>
      </c>
      <c r="AQ232" s="25" t="str">
        <f>IF('1. Live'!AU250='check-Jul''26'!AQ250,"",'1. Live'!AU250-'check-Jul''26'!AQ250)</f>
        <v/>
      </c>
      <c r="AR232" s="25" t="str">
        <f>IF('1. Live'!AV250='check-Jul''26'!AR250,"",'1. Live'!AV250-'check-Jul''26'!AR250)</f>
        <v/>
      </c>
      <c r="AS232" s="25" t="str">
        <f>IF('1. Live'!AW250='check-Jul''26'!AS250,"",'1. Live'!AW250-'check-Jul''26'!AS250)</f>
        <v/>
      </c>
      <c r="AT232" s="25" t="str">
        <f>IF('1. Live'!AX250='check-Jul''26'!AT250,"",'1. Live'!AX250-'check-Jul''26'!AT250)</f>
        <v/>
      </c>
      <c r="AU232" s="25" t="str">
        <f>IF('1. Live'!AY250='check-Jul''26'!AU250,"",'1. Live'!AY250-'check-Jul''26'!AU250)</f>
        <v/>
      </c>
      <c r="AV232" s="25" t="str">
        <f>IF('1. Live'!AZ250='check-Jul''26'!AV250,"",'1. Live'!AZ250-'check-Jul''26'!AV250)</f>
        <v/>
      </c>
      <c r="AW232" s="25" t="str">
        <f>IF('1. Live'!BA250='check-Jul''26'!AW250,"",'1. Live'!BA250-'check-Jul''26'!AW250)</f>
        <v/>
      </c>
      <c r="AX232" s="25" t="str">
        <f>IF('1. Live'!BB250='check-Jul''26'!AX250,"",'1. Live'!BB250-'check-Jul''26'!AX250)</f>
        <v/>
      </c>
      <c r="AY232" s="25" t="str">
        <f>IF('1. Live'!BC250='check-Jul''26'!AY250,"",'1. Live'!BC250-'check-Jul''26'!AY250)</f>
        <v/>
      </c>
      <c r="AZ232" s="25" t="str">
        <f>IF('1. Live'!BD250='check-Jul''26'!AZ250,"",'1. Live'!BD250-'check-Jul''26'!AZ250)</f>
        <v/>
      </c>
      <c r="BA232" s="25" t="str">
        <f>IF('1. Live'!BE250='check-Jul''26'!BA250,"",'1. Live'!BE250-'check-Jul''26'!BA250)</f>
        <v/>
      </c>
      <c r="BB232" s="25" t="str">
        <f>IF('1. Live'!BF250='check-Jul''26'!BB250,"",'1. Live'!BF250-'check-Jul''26'!BB250)</f>
        <v/>
      </c>
      <c r="BC232" s="25" t="str">
        <f>IF('1. Live'!BG250='check-Jul''26'!BC250,"",'1. Live'!BG250-'check-Jul''26'!BC250)</f>
        <v/>
      </c>
      <c r="BD232" s="25" t="str">
        <f>IF('1. Live'!BH250='check-Jul''26'!BD250,"",'1. Live'!BH250-'check-Jul''26'!BD250)</f>
        <v/>
      </c>
      <c r="BE232" s="25" t="str">
        <f>IF('1. Live'!BI250='check-Jul''26'!BE250,"",'1. Live'!BI250-'check-Jul''26'!BE250)</f>
        <v/>
      </c>
      <c r="BF232" s="25" t="str">
        <f>IF('1. Live'!BJ250='check-Jul''26'!BF250,"",'1. Live'!BJ250-'check-Jul''26'!BF250)</f>
        <v/>
      </c>
      <c r="BG232" s="25" t="str">
        <f>IF('1. Live'!BK250='check-Jul''26'!BG250,"",'1. Live'!BK250-'check-Jul''26'!BG250)</f>
        <v/>
      </c>
      <c r="BH232" s="25" t="str">
        <f>IF('1. Live'!BL250='check-Jul''26'!BH250,"",'1. Live'!BL250-'check-Jul''26'!BH250)</f>
        <v/>
      </c>
      <c r="BI232" s="25" t="str">
        <f>IF('1. Live'!BM250='check-Jul''26'!BI250,"",'1. Live'!BM250-'check-Jul''26'!BI250)</f>
        <v/>
      </c>
      <c r="BJ232" s="25" t="str">
        <f>IF('1. Live'!BN250='check-Jul''26'!BJ250,"",'1. Live'!BN250-'check-Jul''26'!BJ250)</f>
        <v/>
      </c>
      <c r="BK232" s="25" t="str">
        <f>IF('1. Live'!BO250='check-Jul''26'!BK250,"",'1. Live'!BO250-'check-Jul''26'!BK250)</f>
        <v/>
      </c>
      <c r="BL232" s="25" t="str">
        <f>IF('1. Live'!BP250='check-Jul''26'!BL250,"",'1. Live'!BP250-'check-Jul''26'!BL250)</f>
        <v/>
      </c>
      <c r="BM232" s="25" t="str">
        <f>IF('1. Live'!BQ250='check-Jul''26'!BM250,"",'1. Live'!BQ250-'check-Jul''26'!BM250)</f>
        <v/>
      </c>
      <c r="BN232" s="25" t="str">
        <f>IF('1. Live'!BR250='check-Jul''26'!BN250,"",'1. Live'!BR250-'check-Jul''26'!BN250)</f>
        <v/>
      </c>
      <c r="BO232" s="25" t="str">
        <f>IF('1. Live'!BS250='check-Jul''26'!BO250,"",'1. Live'!BS250-'check-Jul''26'!BO250)</f>
        <v/>
      </c>
      <c r="BP232" s="25" t="str">
        <f>IF('1. Live'!BT250='check-Jul''26'!BP250,"",'1. Live'!BT250-'check-Jul''26'!BP250)</f>
        <v/>
      </c>
      <c r="BQ232" s="25" t="str">
        <f>IF('1. Live'!BU250='check-Jul''26'!BQ250,"",'1. Live'!BU250-'check-Jul''26'!BQ250)</f>
        <v/>
      </c>
      <c r="BR232" s="25" t="str">
        <f>IF('1. Live'!BV250='check-Jul''26'!BR250,"",'1. Live'!BV250-'check-Jul''26'!BR250)</f>
        <v/>
      </c>
      <c r="BS232" s="25" t="str">
        <f>IF('1. Live'!BW250='check-Jul''26'!BS250,"",'1. Live'!BW250-'check-Jul''26'!BS250)</f>
        <v/>
      </c>
      <c r="BT232" s="25" t="str">
        <f>IF('1. Live'!BX250='check-Jul''26'!BT250,"",'1. Live'!BX250-'check-Jul''26'!BT250)</f>
        <v/>
      </c>
      <c r="BU232" s="25" t="str">
        <f>IF('1. Live'!BY250='check-Jul''26'!BU250,"",'1. Live'!BY250-'check-Jul''26'!BU250)</f>
        <v/>
      </c>
      <c r="BV232" s="25" t="str">
        <f>IF('1. Live'!BZ250='check-Jul''26'!BV250,"",'1. Live'!BZ250-'check-Jul''26'!BV250)</f>
        <v/>
      </c>
      <c r="BW232" s="25" t="str">
        <f>IF('1. Live'!CA250='check-Jul''26'!BW250,"",'1. Live'!CA250-'check-Jul''26'!BW250)</f>
        <v/>
      </c>
      <c r="BX232" s="25" t="str">
        <f>IF('1. Live'!CB250='check-Jul''26'!BX250,"",'1. Live'!CB250-'check-Jul''26'!BX250)</f>
        <v/>
      </c>
      <c r="BY232" s="25" t="str">
        <f>IF('1. Live'!CC250='check-Jul''26'!BY250,"",'1. Live'!CC250-'check-Jul''26'!BY250)</f>
        <v/>
      </c>
      <c r="BZ232" s="25" t="str">
        <f>IF('1. Live'!CD250='check-Jul''26'!BZ250,"",'1. Live'!CD250-'check-Jul''26'!BZ250)</f>
        <v/>
      </c>
      <c r="CA232" s="25" t="str">
        <f>IF('1. Live'!CE250='check-Jul''26'!CA250,"",'1. Live'!CE250-'check-Jul''26'!CA250)</f>
        <v/>
      </c>
      <c r="CB232" s="25" t="str">
        <f>IF('1. Live'!CF250='check-Jul''26'!CB250,"",'1. Live'!CF250-'check-Jul''26'!CB250)</f>
        <v/>
      </c>
      <c r="CC232" s="25" t="str">
        <f>IF('1. Live'!CG250='check-Jul''26'!CC250,"",'1. Live'!CG250-'check-Jul''26'!CC250)</f>
        <v/>
      </c>
      <c r="CD232" s="25" t="str">
        <f>IF('1. Live'!CH250='check-Jul''26'!CD250,"",'1. Live'!CH250-'check-Jul''26'!CD250)</f>
        <v/>
      </c>
      <c r="CE232" s="25" t="str">
        <f>IF('1. Live'!CI250='check-Jul''26'!CE250,"",'1. Live'!CI250-'check-Jul''26'!CE250)</f>
        <v/>
      </c>
      <c r="CF232" s="25" t="str">
        <f>IF('1. Live'!CJ250='check-Jul''26'!CF250,"",'1. Live'!CJ250-'check-Jul''26'!CF250)</f>
        <v/>
      </c>
      <c r="CG232" s="25" t="str">
        <f>IF('1. Live'!CK250='check-Jul''26'!CG250,"",'1. Live'!CK250-'check-Jul''26'!CG250)</f>
        <v/>
      </c>
      <c r="CH232" s="25" t="str">
        <f>IF('1. Live'!CL250='check-Jul''26'!CH250,"",'1. Live'!CL250-'check-Jul''26'!CH250)</f>
        <v/>
      </c>
      <c r="CI232" s="25" t="str">
        <f>IF('1. Live'!CM250='check-Jul''26'!CI250,"",'1. Live'!CM250-'check-Jul''26'!CI250)</f>
        <v/>
      </c>
      <c r="CJ232" s="25" t="str">
        <f>IF('1. Live'!CN250='check-Jul''26'!CJ250,"",'1. Live'!CN250-'check-Jul''26'!CJ250)</f>
        <v/>
      </c>
      <c r="CK232" s="25" t="str">
        <f>IF('1. Live'!CO250='check-Jul''26'!CK250,"",'1. Live'!CO250-'check-Jul''26'!CK250)</f>
        <v/>
      </c>
      <c r="CL232" s="25" t="str">
        <f>IF('1. Live'!CP250='check-Jul''26'!CL250,"",'1. Live'!CP250-'check-Jul''26'!CL250)</f>
        <v/>
      </c>
      <c r="CM232" s="25" t="str">
        <f>IF('1. Live'!CQ250='check-Jul''26'!CM250,"",'1. Live'!CQ250-'check-Jul''26'!CM250)</f>
        <v/>
      </c>
      <c r="CN232" s="25" t="str">
        <f>IF('1. Live'!CR250='check-Jul''26'!CN250,"",'1. Live'!CR250-'check-Jul''26'!CN250)</f>
        <v/>
      </c>
      <c r="CO232" s="25" t="str">
        <f>IF('1. Live'!CS250='check-Jul''26'!CO250,"",'1. Live'!CS250-'check-Jul''26'!CO250)</f>
        <v/>
      </c>
      <c r="CP232" s="25" t="str">
        <f>IF('1. Live'!CT250='check-Jul''26'!CP250,"",'1. Live'!CT250-'check-Jul''26'!CP250)</f>
        <v/>
      </c>
      <c r="CQ232" s="25" t="str">
        <f>IF('1. Live'!CU250='check-Jul''26'!CQ250,"",'1. Live'!CU250-'check-Jul''26'!CQ250)</f>
        <v/>
      </c>
      <c r="CR232" s="25" t="str">
        <f>IF('1. Live'!CV250='check-Jul''26'!CR250,"",'1. Live'!CV250-'check-Jul''26'!CR250)</f>
        <v/>
      </c>
      <c r="CS232" s="25" t="str">
        <f>IF('1. Live'!CW250='check-Jul''26'!CS250,"",'1. Live'!CW250-'check-Jul''26'!CS250)</f>
        <v/>
      </c>
      <c r="CT232" s="25" t="str">
        <f>IF('1. Live'!CX250='check-Jul''26'!CT250,"",'1. Live'!CX250-'check-Jul''26'!CT250)</f>
        <v/>
      </c>
      <c r="CU232" s="25" t="str">
        <f>IF('1. Live'!CY250='check-Jul''26'!CU250,"",'1. Live'!CY250-'check-Jul''26'!CU250)</f>
        <v/>
      </c>
      <c r="CV232" s="25" t="str">
        <f>IF('1. Live'!CZ250='check-Jul''26'!CV250,"",'1. Live'!CZ250-'check-Jul''26'!CV250)</f>
        <v/>
      </c>
    </row>
    <row r="233" spans="17:100" x14ac:dyDescent="0.25">
      <c r="Q233" s="26" t="str">
        <f>IF('1. Live'!N251='check-Jul''26'!I251,"",'1. Live'!N251-'check-Jul''26'!I251)</f>
        <v/>
      </c>
      <c r="R233" s="26" t="str">
        <f>IF('1. Live'!O251='check-Jul''26'!J251,"",'1. Live'!O251-'check-Jul''26'!J251)</f>
        <v/>
      </c>
      <c r="S233" s="26" t="str">
        <f>IF('1. Live'!P251='check-Jul''26'!K251,"",'1. Live'!P251-'check-Jul''26'!K251)</f>
        <v/>
      </c>
      <c r="T233" s="26" t="str">
        <f>IF('1. Live'!Q251='check-Jul''26'!L251,"",'1. Live'!Q251-'check-Jul''26'!L251)</f>
        <v/>
      </c>
      <c r="U233" s="80" t="str">
        <f>IF('1. Live'!R251='check-Jul''26'!M251,"",'1. Live'!R251-'check-Jul''26'!M251)</f>
        <v/>
      </c>
      <c r="V233" s="26" t="str">
        <f>IF('1. Live'!S251='check-Jul''26'!N251,"",'1. Live'!S251-'check-Jul''26'!N251)</f>
        <v/>
      </c>
      <c r="W233" s="25" t="str">
        <f>IF('1. Live'!T251='check-Jul''26'!O251,"",'1. Live'!T251-'check-Jul''26'!O251)</f>
        <v/>
      </c>
      <c r="X233" s="25" t="str">
        <f>IF('1. Live'!U251='check-Jul''26'!Q251,"",'1. Live'!U251-'check-Jul''26'!Q251)</f>
        <v/>
      </c>
      <c r="Y233" s="25" t="str">
        <f>IF('1. Live'!V251='check-Jul''26'!R251,"",'1. Live'!V251-'check-Jul''26'!R251)</f>
        <v/>
      </c>
      <c r="Z233" s="25" t="str">
        <f>IF('1. Live'!W251='check-Jul''26'!S251,"",'1. Live'!W251-'check-Jul''26'!S251)</f>
        <v/>
      </c>
      <c r="AA233" s="25" t="str">
        <f>IF('1. Live'!X251='check-Jul''26'!T251,"",'1. Live'!X251-'check-Jul''26'!T251)</f>
        <v/>
      </c>
      <c r="AB233" s="25" t="str">
        <f>IF('1. Live'!AF251='check-Jul''26'!AB251,"",'1. Live'!AF251-'check-Jul''26'!AB251)</f>
        <v/>
      </c>
      <c r="AC233" s="25" t="str">
        <f>IF('1. Live'!AG251='check-Jul''26'!AC251,"",'1. Live'!AG251-'check-Jul''26'!AC251)</f>
        <v/>
      </c>
      <c r="AD233" s="25" t="str">
        <f>IF('1. Live'!AH251='check-Jul''26'!AD251,"",'1. Live'!AH251-'check-Jul''26'!AD251)</f>
        <v/>
      </c>
      <c r="AE233" s="25" t="str">
        <f>IF('1. Live'!AI251='check-Jul''26'!AE251,"",'1. Live'!AI251-'check-Jul''26'!AE251)</f>
        <v/>
      </c>
      <c r="AF233" s="25" t="str">
        <f>IF('1. Live'!AJ251='check-Jul''26'!AF251,"",'1. Live'!AJ251-'check-Jul''26'!AF251)</f>
        <v/>
      </c>
      <c r="AG233" s="25" t="str">
        <f>IF('1. Live'!AK251='check-Jul''26'!AG251,"",'1. Live'!AK251-'check-Jul''26'!AG251)</f>
        <v/>
      </c>
      <c r="AH233" s="25" t="str">
        <f>IF('1. Live'!AL251='check-Jul''26'!AH251,"",'1. Live'!AL251-'check-Jul''26'!AH251)</f>
        <v/>
      </c>
      <c r="AI233" s="25" t="str">
        <f>IF('1. Live'!AM251='check-Jul''26'!AI251,"",'1. Live'!AM251-'check-Jul''26'!AI251)</f>
        <v/>
      </c>
      <c r="AJ233" s="25" t="str">
        <f>IF('1. Live'!AN251='check-Jul''26'!AJ251,"",'1. Live'!AN251-'check-Jul''26'!AJ251)</f>
        <v/>
      </c>
      <c r="AK233" s="25" t="str">
        <f>IF('1. Live'!AO251='check-Jul''26'!AK251,"",'1. Live'!AO251-'check-Jul''26'!AK251)</f>
        <v/>
      </c>
      <c r="AL233" s="25" t="str">
        <f>IF('1. Live'!AP251='check-Jul''26'!AL251,"",'1. Live'!AP251-'check-Jul''26'!AL251)</f>
        <v/>
      </c>
      <c r="AM233" s="25" t="str">
        <f>IF('1. Live'!AQ251='check-Jul''26'!AM251,"",'1. Live'!AQ251-'check-Jul''26'!AM251)</f>
        <v/>
      </c>
      <c r="AN233" s="25" t="str">
        <f>IF('1. Live'!AR251='check-Jul''26'!AN251,"",'1. Live'!AR251-'check-Jul''26'!AN251)</f>
        <v/>
      </c>
      <c r="AO233" s="25" t="str">
        <f>IF('1. Live'!AS251='check-Jul''26'!AO251,"",'1. Live'!AS251-'check-Jul''26'!AO251)</f>
        <v/>
      </c>
      <c r="AP233" s="25" t="str">
        <f>IF('1. Live'!AT251='check-Jul''26'!AP251,"",'1. Live'!AT251-'check-Jul''26'!AP251)</f>
        <v/>
      </c>
      <c r="AQ233" s="25" t="str">
        <f>IF('1. Live'!AU251='check-Jul''26'!AQ251,"",'1. Live'!AU251-'check-Jul''26'!AQ251)</f>
        <v/>
      </c>
      <c r="AR233" s="25" t="str">
        <f>IF('1. Live'!AV251='check-Jul''26'!AR251,"",'1. Live'!AV251-'check-Jul''26'!AR251)</f>
        <v/>
      </c>
      <c r="AS233" s="25" t="str">
        <f>IF('1. Live'!AW251='check-Jul''26'!AS251,"",'1. Live'!AW251-'check-Jul''26'!AS251)</f>
        <v/>
      </c>
      <c r="AT233" s="25" t="str">
        <f>IF('1. Live'!AX251='check-Jul''26'!AT251,"",'1. Live'!AX251-'check-Jul''26'!AT251)</f>
        <v/>
      </c>
      <c r="AU233" s="25" t="str">
        <f>IF('1. Live'!AY251='check-Jul''26'!AU251,"",'1. Live'!AY251-'check-Jul''26'!AU251)</f>
        <v/>
      </c>
      <c r="AV233" s="25" t="str">
        <f>IF('1. Live'!AZ251='check-Jul''26'!AV251,"",'1. Live'!AZ251-'check-Jul''26'!AV251)</f>
        <v/>
      </c>
      <c r="AW233" s="25" t="str">
        <f>IF('1. Live'!BA251='check-Jul''26'!AW251,"",'1. Live'!BA251-'check-Jul''26'!AW251)</f>
        <v/>
      </c>
      <c r="AX233" s="25" t="str">
        <f>IF('1. Live'!BB251='check-Jul''26'!AX251,"",'1. Live'!BB251-'check-Jul''26'!AX251)</f>
        <v/>
      </c>
      <c r="AY233" s="25" t="str">
        <f>IF('1. Live'!BC251='check-Jul''26'!AY251,"",'1. Live'!BC251-'check-Jul''26'!AY251)</f>
        <v/>
      </c>
      <c r="AZ233" s="25" t="str">
        <f>IF('1. Live'!BD251='check-Jul''26'!AZ251,"",'1. Live'!BD251-'check-Jul''26'!AZ251)</f>
        <v/>
      </c>
      <c r="BA233" s="25" t="str">
        <f>IF('1. Live'!BE251='check-Jul''26'!BA251,"",'1. Live'!BE251-'check-Jul''26'!BA251)</f>
        <v/>
      </c>
      <c r="BB233" s="25" t="str">
        <f>IF('1. Live'!BF251='check-Jul''26'!BB251,"",'1. Live'!BF251-'check-Jul''26'!BB251)</f>
        <v/>
      </c>
      <c r="BC233" s="25" t="str">
        <f>IF('1. Live'!BG251='check-Jul''26'!BC251,"",'1. Live'!BG251-'check-Jul''26'!BC251)</f>
        <v/>
      </c>
      <c r="BD233" s="25" t="str">
        <f>IF('1. Live'!BH251='check-Jul''26'!BD251,"",'1. Live'!BH251-'check-Jul''26'!BD251)</f>
        <v/>
      </c>
      <c r="BE233" s="25" t="str">
        <f>IF('1. Live'!BI251='check-Jul''26'!BE251,"",'1. Live'!BI251-'check-Jul''26'!BE251)</f>
        <v/>
      </c>
      <c r="BF233" s="25" t="str">
        <f>IF('1. Live'!BJ251='check-Jul''26'!BF251,"",'1. Live'!BJ251-'check-Jul''26'!BF251)</f>
        <v/>
      </c>
      <c r="BG233" s="25" t="str">
        <f>IF('1. Live'!BK251='check-Jul''26'!BG251,"",'1. Live'!BK251-'check-Jul''26'!BG251)</f>
        <v/>
      </c>
      <c r="BH233" s="25" t="str">
        <f>IF('1. Live'!BL251='check-Jul''26'!BH251,"",'1. Live'!BL251-'check-Jul''26'!BH251)</f>
        <v/>
      </c>
      <c r="BI233" s="25" t="str">
        <f>IF('1. Live'!BM251='check-Jul''26'!BI251,"",'1. Live'!BM251-'check-Jul''26'!BI251)</f>
        <v/>
      </c>
      <c r="BJ233" s="25" t="str">
        <f>IF('1. Live'!BN251='check-Jul''26'!BJ251,"",'1. Live'!BN251-'check-Jul''26'!BJ251)</f>
        <v/>
      </c>
      <c r="BK233" s="25" t="str">
        <f>IF('1. Live'!BO251='check-Jul''26'!BK251,"",'1. Live'!BO251-'check-Jul''26'!BK251)</f>
        <v/>
      </c>
      <c r="BL233" s="25" t="str">
        <f>IF('1. Live'!BP251='check-Jul''26'!BL251,"",'1. Live'!BP251-'check-Jul''26'!BL251)</f>
        <v/>
      </c>
      <c r="BM233" s="25" t="str">
        <f>IF('1. Live'!BQ251='check-Jul''26'!BM251,"",'1. Live'!BQ251-'check-Jul''26'!BM251)</f>
        <v/>
      </c>
      <c r="BN233" s="25" t="str">
        <f>IF('1. Live'!BR251='check-Jul''26'!BN251,"",'1. Live'!BR251-'check-Jul''26'!BN251)</f>
        <v/>
      </c>
      <c r="BO233" s="25" t="str">
        <f>IF('1. Live'!BS251='check-Jul''26'!BO251,"",'1. Live'!BS251-'check-Jul''26'!BO251)</f>
        <v/>
      </c>
      <c r="BP233" s="25" t="str">
        <f>IF('1. Live'!BT251='check-Jul''26'!BP251,"",'1. Live'!BT251-'check-Jul''26'!BP251)</f>
        <v/>
      </c>
      <c r="BQ233" s="25" t="str">
        <f>IF('1. Live'!BU251='check-Jul''26'!BQ251,"",'1. Live'!BU251-'check-Jul''26'!BQ251)</f>
        <v/>
      </c>
      <c r="BR233" s="25" t="str">
        <f>IF('1. Live'!BV251='check-Jul''26'!BR251,"",'1. Live'!BV251-'check-Jul''26'!BR251)</f>
        <v/>
      </c>
      <c r="BS233" s="25" t="str">
        <f>IF('1. Live'!BW251='check-Jul''26'!BS251,"",'1. Live'!BW251-'check-Jul''26'!BS251)</f>
        <v/>
      </c>
      <c r="BT233" s="25" t="str">
        <f>IF('1. Live'!BX251='check-Jul''26'!BT251,"",'1. Live'!BX251-'check-Jul''26'!BT251)</f>
        <v/>
      </c>
      <c r="BU233" s="25" t="str">
        <f>IF('1. Live'!BY251='check-Jul''26'!BU251,"",'1. Live'!BY251-'check-Jul''26'!BU251)</f>
        <v/>
      </c>
      <c r="BV233" s="25" t="str">
        <f>IF('1. Live'!BZ251='check-Jul''26'!BV251,"",'1. Live'!BZ251-'check-Jul''26'!BV251)</f>
        <v/>
      </c>
      <c r="BW233" s="25" t="str">
        <f>IF('1. Live'!CA251='check-Jul''26'!BW251,"",'1. Live'!CA251-'check-Jul''26'!BW251)</f>
        <v/>
      </c>
      <c r="BX233" s="25" t="str">
        <f>IF('1. Live'!CB251='check-Jul''26'!BX251,"",'1. Live'!CB251-'check-Jul''26'!BX251)</f>
        <v/>
      </c>
      <c r="BY233" s="25" t="str">
        <f>IF('1. Live'!CC251='check-Jul''26'!BY251,"",'1. Live'!CC251-'check-Jul''26'!BY251)</f>
        <v/>
      </c>
      <c r="BZ233" s="25" t="str">
        <f>IF('1. Live'!CD251='check-Jul''26'!BZ251,"",'1. Live'!CD251-'check-Jul''26'!BZ251)</f>
        <v/>
      </c>
      <c r="CA233" s="25" t="str">
        <f>IF('1. Live'!CE251='check-Jul''26'!CA251,"",'1. Live'!CE251-'check-Jul''26'!CA251)</f>
        <v/>
      </c>
      <c r="CB233" s="25" t="str">
        <f>IF('1. Live'!CF251='check-Jul''26'!CB251,"",'1. Live'!CF251-'check-Jul''26'!CB251)</f>
        <v/>
      </c>
      <c r="CC233" s="25" t="str">
        <f>IF('1. Live'!CG251='check-Jul''26'!CC251,"",'1. Live'!CG251-'check-Jul''26'!CC251)</f>
        <v/>
      </c>
      <c r="CD233" s="25" t="str">
        <f>IF('1. Live'!CH251='check-Jul''26'!CD251,"",'1. Live'!CH251-'check-Jul''26'!CD251)</f>
        <v/>
      </c>
      <c r="CE233" s="25" t="str">
        <f>IF('1. Live'!CI251='check-Jul''26'!CE251,"",'1. Live'!CI251-'check-Jul''26'!CE251)</f>
        <v/>
      </c>
      <c r="CF233" s="25" t="str">
        <f>IF('1. Live'!CJ251='check-Jul''26'!CF251,"",'1. Live'!CJ251-'check-Jul''26'!CF251)</f>
        <v/>
      </c>
      <c r="CG233" s="25" t="str">
        <f>IF('1. Live'!CK251='check-Jul''26'!CG251,"",'1. Live'!CK251-'check-Jul''26'!CG251)</f>
        <v/>
      </c>
      <c r="CH233" s="25" t="str">
        <f>IF('1. Live'!CL251='check-Jul''26'!CH251,"",'1. Live'!CL251-'check-Jul''26'!CH251)</f>
        <v/>
      </c>
      <c r="CI233" s="25" t="str">
        <f>IF('1. Live'!CM251='check-Jul''26'!CI251,"",'1. Live'!CM251-'check-Jul''26'!CI251)</f>
        <v/>
      </c>
      <c r="CJ233" s="25" t="str">
        <f>IF('1. Live'!CN251='check-Jul''26'!CJ251,"",'1. Live'!CN251-'check-Jul''26'!CJ251)</f>
        <v/>
      </c>
      <c r="CK233" s="25" t="str">
        <f>IF('1. Live'!CO251='check-Jul''26'!CK251,"",'1. Live'!CO251-'check-Jul''26'!CK251)</f>
        <v/>
      </c>
      <c r="CL233" s="25" t="str">
        <f>IF('1. Live'!CP251='check-Jul''26'!CL251,"",'1. Live'!CP251-'check-Jul''26'!CL251)</f>
        <v/>
      </c>
      <c r="CM233" s="25" t="str">
        <f>IF('1. Live'!CQ251='check-Jul''26'!CM251,"",'1. Live'!CQ251-'check-Jul''26'!CM251)</f>
        <v/>
      </c>
      <c r="CN233" s="25" t="str">
        <f>IF('1. Live'!CR251='check-Jul''26'!CN251,"",'1. Live'!CR251-'check-Jul''26'!CN251)</f>
        <v/>
      </c>
      <c r="CO233" s="25" t="str">
        <f>IF('1. Live'!CS251='check-Jul''26'!CO251,"",'1. Live'!CS251-'check-Jul''26'!CO251)</f>
        <v/>
      </c>
      <c r="CP233" s="25" t="str">
        <f>IF('1. Live'!CT251='check-Jul''26'!CP251,"",'1. Live'!CT251-'check-Jul''26'!CP251)</f>
        <v/>
      </c>
      <c r="CQ233" s="25" t="str">
        <f>IF('1. Live'!CU251='check-Jul''26'!CQ251,"",'1. Live'!CU251-'check-Jul''26'!CQ251)</f>
        <v/>
      </c>
      <c r="CR233" s="25" t="str">
        <f>IF('1. Live'!CV251='check-Jul''26'!CR251,"",'1. Live'!CV251-'check-Jul''26'!CR251)</f>
        <v/>
      </c>
      <c r="CS233" s="25" t="str">
        <f>IF('1. Live'!CW251='check-Jul''26'!CS251,"",'1. Live'!CW251-'check-Jul''26'!CS251)</f>
        <v/>
      </c>
      <c r="CT233" s="25" t="str">
        <f>IF('1. Live'!CX251='check-Jul''26'!CT251,"",'1. Live'!CX251-'check-Jul''26'!CT251)</f>
        <v/>
      </c>
      <c r="CU233" s="25" t="str">
        <f>IF('1. Live'!CY251='check-Jul''26'!CU251,"",'1. Live'!CY251-'check-Jul''26'!CU251)</f>
        <v/>
      </c>
      <c r="CV233" s="25" t="str">
        <f>IF('1. Live'!CZ251='check-Jul''26'!CV251,"",'1. Live'!CZ251-'check-Jul''26'!CV251)</f>
        <v/>
      </c>
    </row>
    <row r="234" spans="17:100" x14ac:dyDescent="0.25">
      <c r="Q234" s="26" t="str">
        <f>IF('1. Live'!N252='check-Jul''26'!I252,"",'1. Live'!N252-'check-Jul''26'!I252)</f>
        <v/>
      </c>
      <c r="R234" s="26" t="str">
        <f>IF('1. Live'!O252='check-Jul''26'!J252,"",'1. Live'!O252-'check-Jul''26'!J252)</f>
        <v/>
      </c>
      <c r="S234" s="26" t="str">
        <f>IF('1. Live'!P252='check-Jul''26'!K252,"",'1. Live'!P252-'check-Jul''26'!K252)</f>
        <v/>
      </c>
      <c r="T234" s="26" t="str">
        <f>IF('1. Live'!Q252='check-Jul''26'!L252,"",'1. Live'!Q252-'check-Jul''26'!L252)</f>
        <v/>
      </c>
      <c r="U234" s="80" t="str">
        <f>IF('1. Live'!R252='check-Jul''26'!M252,"",'1. Live'!R252-'check-Jul''26'!M252)</f>
        <v/>
      </c>
      <c r="V234" s="26" t="str">
        <f>IF('1. Live'!S252='check-Jul''26'!N252,"",'1. Live'!S252-'check-Jul''26'!N252)</f>
        <v/>
      </c>
      <c r="W234" s="25" t="str">
        <f>IF('1. Live'!T252='check-Jul''26'!O252,"",'1. Live'!T252-'check-Jul''26'!O252)</f>
        <v/>
      </c>
      <c r="X234" s="25" t="str">
        <f>IF('1. Live'!U252='check-Jul''26'!Q252,"",'1. Live'!U252-'check-Jul''26'!Q252)</f>
        <v/>
      </c>
      <c r="Y234" s="25" t="str">
        <f>IF('1. Live'!V252='check-Jul''26'!R252,"",'1. Live'!V252-'check-Jul''26'!R252)</f>
        <v/>
      </c>
      <c r="Z234" s="25" t="str">
        <f>IF('1. Live'!W252='check-Jul''26'!S252,"",'1. Live'!W252-'check-Jul''26'!S252)</f>
        <v/>
      </c>
      <c r="AA234" s="25" t="str">
        <f>IF('1. Live'!X252='check-Jul''26'!T252,"",'1. Live'!X252-'check-Jul''26'!T252)</f>
        <v/>
      </c>
      <c r="AB234" s="25" t="str">
        <f>IF('1. Live'!AF252='check-Jul''26'!AB252,"",'1. Live'!AF252-'check-Jul''26'!AB252)</f>
        <v/>
      </c>
      <c r="AC234" s="25" t="str">
        <f>IF('1. Live'!AG252='check-Jul''26'!AC252,"",'1. Live'!AG252-'check-Jul''26'!AC252)</f>
        <v/>
      </c>
      <c r="AD234" s="25" t="str">
        <f>IF('1. Live'!AH252='check-Jul''26'!AD252,"",'1. Live'!AH252-'check-Jul''26'!AD252)</f>
        <v/>
      </c>
      <c r="AE234" s="25" t="str">
        <f>IF('1. Live'!AI252='check-Jul''26'!AE252,"",'1. Live'!AI252-'check-Jul''26'!AE252)</f>
        <v/>
      </c>
      <c r="AF234" s="25" t="str">
        <f>IF('1. Live'!AJ252='check-Jul''26'!AF252,"",'1. Live'!AJ252-'check-Jul''26'!AF252)</f>
        <v/>
      </c>
      <c r="AG234" s="25" t="str">
        <f>IF('1. Live'!AK252='check-Jul''26'!AG252,"",'1. Live'!AK252-'check-Jul''26'!AG252)</f>
        <v/>
      </c>
      <c r="AH234" s="25" t="str">
        <f>IF('1. Live'!AL252='check-Jul''26'!AH252,"",'1. Live'!AL252-'check-Jul''26'!AH252)</f>
        <v/>
      </c>
      <c r="AI234" s="25" t="str">
        <f>IF('1. Live'!AM252='check-Jul''26'!AI252,"",'1. Live'!AM252-'check-Jul''26'!AI252)</f>
        <v/>
      </c>
      <c r="AJ234" s="25" t="str">
        <f>IF('1. Live'!AN252='check-Jul''26'!AJ252,"",'1. Live'!AN252-'check-Jul''26'!AJ252)</f>
        <v/>
      </c>
      <c r="AK234" s="25" t="str">
        <f>IF('1. Live'!AO252='check-Jul''26'!AK252,"",'1. Live'!AO252-'check-Jul''26'!AK252)</f>
        <v/>
      </c>
      <c r="AL234" s="25" t="str">
        <f>IF('1. Live'!AP252='check-Jul''26'!AL252,"",'1. Live'!AP252-'check-Jul''26'!AL252)</f>
        <v/>
      </c>
      <c r="AM234" s="25" t="str">
        <f>IF('1. Live'!AQ252='check-Jul''26'!AM252,"",'1. Live'!AQ252-'check-Jul''26'!AM252)</f>
        <v/>
      </c>
      <c r="AN234" s="25" t="str">
        <f>IF('1. Live'!AR252='check-Jul''26'!AN252,"",'1. Live'!AR252-'check-Jul''26'!AN252)</f>
        <v/>
      </c>
      <c r="AO234" s="25" t="str">
        <f>IF('1. Live'!AS252='check-Jul''26'!AO252,"",'1. Live'!AS252-'check-Jul''26'!AO252)</f>
        <v/>
      </c>
      <c r="AP234" s="25" t="str">
        <f>IF('1. Live'!AT252='check-Jul''26'!AP252,"",'1. Live'!AT252-'check-Jul''26'!AP252)</f>
        <v/>
      </c>
      <c r="AQ234" s="25" t="str">
        <f>IF('1. Live'!AU252='check-Jul''26'!AQ252,"",'1. Live'!AU252-'check-Jul''26'!AQ252)</f>
        <v/>
      </c>
      <c r="AR234" s="25" t="str">
        <f>IF('1. Live'!AV252='check-Jul''26'!AR252,"",'1. Live'!AV252-'check-Jul''26'!AR252)</f>
        <v/>
      </c>
      <c r="AS234" s="25" t="str">
        <f>IF('1. Live'!AW252='check-Jul''26'!AS252,"",'1. Live'!AW252-'check-Jul''26'!AS252)</f>
        <v/>
      </c>
      <c r="AT234" s="25" t="str">
        <f>IF('1. Live'!AX252='check-Jul''26'!AT252,"",'1. Live'!AX252-'check-Jul''26'!AT252)</f>
        <v/>
      </c>
      <c r="AU234" s="25" t="str">
        <f>IF('1. Live'!AY252='check-Jul''26'!AU252,"",'1. Live'!AY252-'check-Jul''26'!AU252)</f>
        <v/>
      </c>
      <c r="AV234" s="25" t="str">
        <f>IF('1. Live'!AZ252='check-Jul''26'!AV252,"",'1. Live'!AZ252-'check-Jul''26'!AV252)</f>
        <v/>
      </c>
      <c r="AW234" s="25" t="str">
        <f>IF('1. Live'!BA252='check-Jul''26'!AW252,"",'1. Live'!BA252-'check-Jul''26'!AW252)</f>
        <v/>
      </c>
      <c r="AX234" s="25" t="str">
        <f>IF('1. Live'!BB252='check-Jul''26'!AX252,"",'1. Live'!BB252-'check-Jul''26'!AX252)</f>
        <v/>
      </c>
      <c r="AY234" s="25" t="str">
        <f>IF('1. Live'!BC252='check-Jul''26'!AY252,"",'1. Live'!BC252-'check-Jul''26'!AY252)</f>
        <v/>
      </c>
      <c r="AZ234" s="25" t="str">
        <f>IF('1. Live'!BD252='check-Jul''26'!AZ252,"",'1. Live'!BD252-'check-Jul''26'!AZ252)</f>
        <v/>
      </c>
      <c r="BA234" s="25" t="str">
        <f>IF('1. Live'!BE252='check-Jul''26'!BA252,"",'1. Live'!BE252-'check-Jul''26'!BA252)</f>
        <v/>
      </c>
      <c r="BB234" s="25" t="str">
        <f>IF('1. Live'!BF252='check-Jul''26'!BB252,"",'1. Live'!BF252-'check-Jul''26'!BB252)</f>
        <v/>
      </c>
      <c r="BC234" s="25" t="str">
        <f>IF('1. Live'!BG252='check-Jul''26'!BC252,"",'1. Live'!BG252-'check-Jul''26'!BC252)</f>
        <v/>
      </c>
      <c r="BD234" s="25" t="str">
        <f>IF('1. Live'!BH252='check-Jul''26'!BD252,"",'1. Live'!BH252-'check-Jul''26'!BD252)</f>
        <v/>
      </c>
      <c r="BE234" s="25" t="str">
        <f>IF('1. Live'!BI252='check-Jul''26'!BE252,"",'1. Live'!BI252-'check-Jul''26'!BE252)</f>
        <v/>
      </c>
      <c r="BF234" s="25" t="str">
        <f>IF('1. Live'!BJ252='check-Jul''26'!BF252,"",'1. Live'!BJ252-'check-Jul''26'!BF252)</f>
        <v/>
      </c>
      <c r="BG234" s="25" t="str">
        <f>IF('1. Live'!BK252='check-Jul''26'!BG252,"",'1. Live'!BK252-'check-Jul''26'!BG252)</f>
        <v/>
      </c>
      <c r="BH234" s="25" t="str">
        <f>IF('1. Live'!BL252='check-Jul''26'!BH252,"",'1. Live'!BL252-'check-Jul''26'!BH252)</f>
        <v/>
      </c>
      <c r="BI234" s="25" t="str">
        <f>IF('1. Live'!BM252='check-Jul''26'!BI252,"",'1. Live'!BM252-'check-Jul''26'!BI252)</f>
        <v/>
      </c>
      <c r="BJ234" s="25" t="str">
        <f>IF('1. Live'!BN252='check-Jul''26'!BJ252,"",'1. Live'!BN252-'check-Jul''26'!BJ252)</f>
        <v/>
      </c>
      <c r="BK234" s="25" t="str">
        <f>IF('1. Live'!BO252='check-Jul''26'!BK252,"",'1. Live'!BO252-'check-Jul''26'!BK252)</f>
        <v/>
      </c>
      <c r="BL234" s="25" t="str">
        <f>IF('1. Live'!BP252='check-Jul''26'!BL252,"",'1. Live'!BP252-'check-Jul''26'!BL252)</f>
        <v/>
      </c>
      <c r="BM234" s="25" t="str">
        <f>IF('1. Live'!BQ252='check-Jul''26'!BM252,"",'1. Live'!BQ252-'check-Jul''26'!BM252)</f>
        <v/>
      </c>
      <c r="BN234" s="25" t="str">
        <f>IF('1. Live'!BR252='check-Jul''26'!BN252,"",'1. Live'!BR252-'check-Jul''26'!BN252)</f>
        <v/>
      </c>
      <c r="BO234" s="25" t="str">
        <f>IF('1. Live'!BS252='check-Jul''26'!BO252,"",'1. Live'!BS252-'check-Jul''26'!BO252)</f>
        <v/>
      </c>
      <c r="BP234" s="25" t="str">
        <f>IF('1. Live'!BT252='check-Jul''26'!BP252,"",'1. Live'!BT252-'check-Jul''26'!BP252)</f>
        <v/>
      </c>
      <c r="BQ234" s="25" t="str">
        <f>IF('1. Live'!BU252='check-Jul''26'!BQ252,"",'1. Live'!BU252-'check-Jul''26'!BQ252)</f>
        <v/>
      </c>
      <c r="BR234" s="25" t="str">
        <f>IF('1. Live'!BV252='check-Jul''26'!BR252,"",'1. Live'!BV252-'check-Jul''26'!BR252)</f>
        <v/>
      </c>
      <c r="BS234" s="25" t="str">
        <f>IF('1. Live'!BW252='check-Jul''26'!BS252,"",'1. Live'!BW252-'check-Jul''26'!BS252)</f>
        <v/>
      </c>
      <c r="BT234" s="25" t="str">
        <f>IF('1. Live'!BX252='check-Jul''26'!BT252,"",'1. Live'!BX252-'check-Jul''26'!BT252)</f>
        <v/>
      </c>
      <c r="BU234" s="25" t="str">
        <f>IF('1. Live'!BY252='check-Jul''26'!BU252,"",'1. Live'!BY252-'check-Jul''26'!BU252)</f>
        <v/>
      </c>
      <c r="BV234" s="25" t="str">
        <f>IF('1. Live'!BZ252='check-Jul''26'!BV252,"",'1. Live'!BZ252-'check-Jul''26'!BV252)</f>
        <v/>
      </c>
      <c r="BW234" s="25" t="str">
        <f>IF('1. Live'!CA252='check-Jul''26'!BW252,"",'1. Live'!CA252-'check-Jul''26'!BW252)</f>
        <v/>
      </c>
      <c r="BX234" s="25" t="str">
        <f>IF('1. Live'!CB252='check-Jul''26'!BX252,"",'1. Live'!CB252-'check-Jul''26'!BX252)</f>
        <v/>
      </c>
      <c r="BY234" s="25" t="str">
        <f>IF('1. Live'!CC252='check-Jul''26'!BY252,"",'1. Live'!CC252-'check-Jul''26'!BY252)</f>
        <v/>
      </c>
      <c r="BZ234" s="25" t="str">
        <f>IF('1. Live'!CD252='check-Jul''26'!BZ252,"",'1. Live'!CD252-'check-Jul''26'!BZ252)</f>
        <v/>
      </c>
      <c r="CA234" s="25" t="str">
        <f>IF('1. Live'!CE252='check-Jul''26'!CA252,"",'1. Live'!CE252-'check-Jul''26'!CA252)</f>
        <v/>
      </c>
      <c r="CB234" s="25" t="str">
        <f>IF('1. Live'!CF252='check-Jul''26'!CB252,"",'1. Live'!CF252-'check-Jul''26'!CB252)</f>
        <v/>
      </c>
      <c r="CC234" s="25" t="str">
        <f>IF('1. Live'!CG252='check-Jul''26'!CC252,"",'1. Live'!CG252-'check-Jul''26'!CC252)</f>
        <v/>
      </c>
      <c r="CD234" s="25" t="str">
        <f>IF('1. Live'!CH252='check-Jul''26'!CD252,"",'1. Live'!CH252-'check-Jul''26'!CD252)</f>
        <v/>
      </c>
      <c r="CE234" s="25" t="str">
        <f>IF('1. Live'!CI252='check-Jul''26'!CE252,"",'1. Live'!CI252-'check-Jul''26'!CE252)</f>
        <v/>
      </c>
      <c r="CF234" s="25" t="str">
        <f>IF('1. Live'!CJ252='check-Jul''26'!CF252,"",'1. Live'!CJ252-'check-Jul''26'!CF252)</f>
        <v/>
      </c>
      <c r="CG234" s="25" t="str">
        <f>IF('1. Live'!CK252='check-Jul''26'!CG252,"",'1. Live'!CK252-'check-Jul''26'!CG252)</f>
        <v/>
      </c>
      <c r="CH234" s="25" t="str">
        <f>IF('1. Live'!CL252='check-Jul''26'!CH252,"",'1. Live'!CL252-'check-Jul''26'!CH252)</f>
        <v/>
      </c>
      <c r="CI234" s="25" t="str">
        <f>IF('1. Live'!CM252='check-Jul''26'!CI252,"",'1. Live'!CM252-'check-Jul''26'!CI252)</f>
        <v/>
      </c>
      <c r="CJ234" s="25" t="str">
        <f>IF('1. Live'!CN252='check-Jul''26'!CJ252,"",'1. Live'!CN252-'check-Jul''26'!CJ252)</f>
        <v/>
      </c>
      <c r="CK234" s="25" t="str">
        <f>IF('1. Live'!CO252='check-Jul''26'!CK252,"",'1. Live'!CO252-'check-Jul''26'!CK252)</f>
        <v/>
      </c>
      <c r="CL234" s="25" t="str">
        <f>IF('1. Live'!CP252='check-Jul''26'!CL252,"",'1. Live'!CP252-'check-Jul''26'!CL252)</f>
        <v/>
      </c>
      <c r="CM234" s="25" t="str">
        <f>IF('1. Live'!CQ252='check-Jul''26'!CM252,"",'1. Live'!CQ252-'check-Jul''26'!CM252)</f>
        <v/>
      </c>
      <c r="CN234" s="25" t="str">
        <f>IF('1. Live'!CR252='check-Jul''26'!CN252,"",'1. Live'!CR252-'check-Jul''26'!CN252)</f>
        <v/>
      </c>
      <c r="CO234" s="25" t="str">
        <f>IF('1. Live'!CS252='check-Jul''26'!CO252,"",'1. Live'!CS252-'check-Jul''26'!CO252)</f>
        <v/>
      </c>
      <c r="CP234" s="25" t="str">
        <f>IF('1. Live'!CT252='check-Jul''26'!CP252,"",'1. Live'!CT252-'check-Jul''26'!CP252)</f>
        <v/>
      </c>
      <c r="CQ234" s="25" t="str">
        <f>IF('1. Live'!CU252='check-Jul''26'!CQ252,"",'1. Live'!CU252-'check-Jul''26'!CQ252)</f>
        <v/>
      </c>
      <c r="CR234" s="25" t="str">
        <f>IF('1. Live'!CV252='check-Jul''26'!CR252,"",'1. Live'!CV252-'check-Jul''26'!CR252)</f>
        <v/>
      </c>
      <c r="CS234" s="25" t="str">
        <f>IF('1. Live'!CW252='check-Jul''26'!CS252,"",'1. Live'!CW252-'check-Jul''26'!CS252)</f>
        <v/>
      </c>
      <c r="CT234" s="25" t="str">
        <f>IF('1. Live'!CX252='check-Jul''26'!CT252,"",'1. Live'!CX252-'check-Jul''26'!CT252)</f>
        <v/>
      </c>
      <c r="CU234" s="25" t="str">
        <f>IF('1. Live'!CY252='check-Jul''26'!CU252,"",'1. Live'!CY252-'check-Jul''26'!CU252)</f>
        <v/>
      </c>
      <c r="CV234" s="25" t="str">
        <f>IF('1. Live'!CZ252='check-Jul''26'!CV252,"",'1. Live'!CZ252-'check-Jul''26'!CV252)</f>
        <v/>
      </c>
    </row>
    <row r="235" spans="17:100" x14ac:dyDescent="0.25">
      <c r="Q235" s="26" t="str">
        <f>IF('1. Live'!N253='check-Jul''26'!I253,"",'1. Live'!N253-'check-Jul''26'!I253)</f>
        <v/>
      </c>
      <c r="R235" s="26" t="str">
        <f>IF('1. Live'!O253='check-Jul''26'!J253,"",'1. Live'!O253-'check-Jul''26'!J253)</f>
        <v/>
      </c>
      <c r="S235" s="26" t="str">
        <f>IF('1. Live'!P253='check-Jul''26'!K253,"",'1. Live'!P253-'check-Jul''26'!K253)</f>
        <v/>
      </c>
      <c r="T235" s="26" t="str">
        <f>IF('1. Live'!Q253='check-Jul''26'!L253,"",'1. Live'!Q253-'check-Jul''26'!L253)</f>
        <v/>
      </c>
      <c r="U235" s="80" t="str">
        <f>IF('1. Live'!R253='check-Jul''26'!M253,"",'1. Live'!R253-'check-Jul''26'!M253)</f>
        <v/>
      </c>
      <c r="V235" s="26" t="str">
        <f>IF('1. Live'!S253='check-Jul''26'!N253,"",'1. Live'!S253-'check-Jul''26'!N253)</f>
        <v/>
      </c>
      <c r="W235" s="25" t="str">
        <f>IF('1. Live'!T253='check-Jul''26'!O253,"",'1. Live'!T253-'check-Jul''26'!O253)</f>
        <v/>
      </c>
      <c r="X235" s="25" t="str">
        <f>IF('1. Live'!U253='check-Jul''26'!Q253,"",'1. Live'!U253-'check-Jul''26'!Q253)</f>
        <v/>
      </c>
      <c r="Y235" s="25" t="str">
        <f>IF('1. Live'!V253='check-Jul''26'!R253,"",'1. Live'!V253-'check-Jul''26'!R253)</f>
        <v/>
      </c>
      <c r="Z235" s="25" t="str">
        <f>IF('1. Live'!W253='check-Jul''26'!S253,"",'1. Live'!W253-'check-Jul''26'!S253)</f>
        <v/>
      </c>
      <c r="AA235" s="25" t="str">
        <f>IF('1. Live'!X253='check-Jul''26'!T253,"",'1. Live'!X253-'check-Jul''26'!T253)</f>
        <v/>
      </c>
      <c r="AB235" s="25" t="str">
        <f>IF('1. Live'!AF253='check-Jul''26'!AB253,"",'1. Live'!AF253-'check-Jul''26'!AB253)</f>
        <v/>
      </c>
      <c r="AC235" s="25" t="str">
        <f>IF('1. Live'!AG253='check-Jul''26'!AC253,"",'1. Live'!AG253-'check-Jul''26'!AC253)</f>
        <v/>
      </c>
      <c r="AD235" s="25" t="str">
        <f>IF('1. Live'!AH253='check-Jul''26'!AD253,"",'1. Live'!AH253-'check-Jul''26'!AD253)</f>
        <v/>
      </c>
      <c r="AE235" s="25" t="str">
        <f>IF('1. Live'!AI253='check-Jul''26'!AE253,"",'1. Live'!AI253-'check-Jul''26'!AE253)</f>
        <v/>
      </c>
      <c r="AF235" s="25" t="str">
        <f>IF('1. Live'!AJ253='check-Jul''26'!AF253,"",'1. Live'!AJ253-'check-Jul''26'!AF253)</f>
        <v/>
      </c>
      <c r="AG235" s="25" t="str">
        <f>IF('1. Live'!AK253='check-Jul''26'!AG253,"",'1. Live'!AK253-'check-Jul''26'!AG253)</f>
        <v/>
      </c>
      <c r="AH235" s="25" t="str">
        <f>IF('1. Live'!AL253='check-Jul''26'!AH253,"",'1. Live'!AL253-'check-Jul''26'!AH253)</f>
        <v/>
      </c>
      <c r="AI235" s="25" t="str">
        <f>IF('1. Live'!AM253='check-Jul''26'!AI253,"",'1. Live'!AM253-'check-Jul''26'!AI253)</f>
        <v/>
      </c>
      <c r="AJ235" s="25" t="str">
        <f>IF('1. Live'!AN253='check-Jul''26'!AJ253,"",'1. Live'!AN253-'check-Jul''26'!AJ253)</f>
        <v/>
      </c>
      <c r="AK235" s="25" t="str">
        <f>IF('1. Live'!AO253='check-Jul''26'!AK253,"",'1. Live'!AO253-'check-Jul''26'!AK253)</f>
        <v/>
      </c>
      <c r="AL235" s="25" t="str">
        <f>IF('1. Live'!AP253='check-Jul''26'!AL253,"",'1. Live'!AP253-'check-Jul''26'!AL253)</f>
        <v/>
      </c>
      <c r="AM235" s="25" t="str">
        <f>IF('1. Live'!AQ253='check-Jul''26'!AM253,"",'1. Live'!AQ253-'check-Jul''26'!AM253)</f>
        <v/>
      </c>
      <c r="AN235" s="25" t="str">
        <f>IF('1. Live'!AR253='check-Jul''26'!AN253,"",'1. Live'!AR253-'check-Jul''26'!AN253)</f>
        <v/>
      </c>
      <c r="AO235" s="25" t="str">
        <f>IF('1. Live'!AS253='check-Jul''26'!AO253,"",'1. Live'!AS253-'check-Jul''26'!AO253)</f>
        <v/>
      </c>
      <c r="AP235" s="25" t="str">
        <f>IF('1. Live'!AT253='check-Jul''26'!AP253,"",'1. Live'!AT253-'check-Jul''26'!AP253)</f>
        <v/>
      </c>
      <c r="AQ235" s="25" t="str">
        <f>IF('1. Live'!AU253='check-Jul''26'!AQ253,"",'1. Live'!AU253-'check-Jul''26'!AQ253)</f>
        <v/>
      </c>
      <c r="AR235" s="25" t="str">
        <f>IF('1. Live'!AV253='check-Jul''26'!AR253,"",'1. Live'!AV253-'check-Jul''26'!AR253)</f>
        <v/>
      </c>
      <c r="AS235" s="25" t="str">
        <f>IF('1. Live'!AW253='check-Jul''26'!AS253,"",'1. Live'!AW253-'check-Jul''26'!AS253)</f>
        <v/>
      </c>
      <c r="AT235" s="25" t="str">
        <f>IF('1. Live'!AX253='check-Jul''26'!AT253,"",'1. Live'!AX253-'check-Jul''26'!AT253)</f>
        <v/>
      </c>
      <c r="AU235" s="25" t="str">
        <f>IF('1. Live'!AY253='check-Jul''26'!AU253,"",'1. Live'!AY253-'check-Jul''26'!AU253)</f>
        <v/>
      </c>
      <c r="AV235" s="25" t="str">
        <f>IF('1. Live'!AZ253='check-Jul''26'!AV253,"",'1. Live'!AZ253-'check-Jul''26'!AV253)</f>
        <v/>
      </c>
      <c r="AW235" s="25" t="str">
        <f>IF('1. Live'!BA253='check-Jul''26'!AW253,"",'1. Live'!BA253-'check-Jul''26'!AW253)</f>
        <v/>
      </c>
      <c r="AX235" s="25" t="str">
        <f>IF('1. Live'!BB253='check-Jul''26'!AX253,"",'1. Live'!BB253-'check-Jul''26'!AX253)</f>
        <v/>
      </c>
      <c r="AY235" s="25" t="str">
        <f>IF('1. Live'!BC253='check-Jul''26'!AY253,"",'1. Live'!BC253-'check-Jul''26'!AY253)</f>
        <v/>
      </c>
      <c r="AZ235" s="25" t="str">
        <f>IF('1. Live'!BD253='check-Jul''26'!AZ253,"",'1. Live'!BD253-'check-Jul''26'!AZ253)</f>
        <v/>
      </c>
      <c r="BA235" s="25" t="str">
        <f>IF('1. Live'!BE253='check-Jul''26'!BA253,"",'1. Live'!BE253-'check-Jul''26'!BA253)</f>
        <v/>
      </c>
      <c r="BB235" s="25" t="str">
        <f>IF('1. Live'!BF253='check-Jul''26'!BB253,"",'1. Live'!BF253-'check-Jul''26'!BB253)</f>
        <v/>
      </c>
      <c r="BC235" s="25" t="str">
        <f>IF('1. Live'!BG253='check-Jul''26'!BC253,"",'1. Live'!BG253-'check-Jul''26'!BC253)</f>
        <v/>
      </c>
      <c r="BD235" s="25" t="str">
        <f>IF('1. Live'!BH253='check-Jul''26'!BD253,"",'1. Live'!BH253-'check-Jul''26'!BD253)</f>
        <v/>
      </c>
      <c r="BE235" s="25" t="str">
        <f>IF('1. Live'!BI253='check-Jul''26'!BE253,"",'1. Live'!BI253-'check-Jul''26'!BE253)</f>
        <v/>
      </c>
      <c r="BF235" s="25" t="str">
        <f>IF('1. Live'!BJ253='check-Jul''26'!BF253,"",'1. Live'!BJ253-'check-Jul''26'!BF253)</f>
        <v/>
      </c>
      <c r="BG235" s="25" t="str">
        <f>IF('1. Live'!BK253='check-Jul''26'!BG253,"",'1. Live'!BK253-'check-Jul''26'!BG253)</f>
        <v/>
      </c>
      <c r="BH235" s="25" t="str">
        <f>IF('1. Live'!BL253='check-Jul''26'!BH253,"",'1. Live'!BL253-'check-Jul''26'!BH253)</f>
        <v/>
      </c>
      <c r="BI235" s="25" t="str">
        <f>IF('1. Live'!BM253='check-Jul''26'!BI253,"",'1. Live'!BM253-'check-Jul''26'!BI253)</f>
        <v/>
      </c>
      <c r="BJ235" s="25" t="str">
        <f>IF('1. Live'!BN253='check-Jul''26'!BJ253,"",'1. Live'!BN253-'check-Jul''26'!BJ253)</f>
        <v/>
      </c>
      <c r="BK235" s="25" t="str">
        <f>IF('1. Live'!BO253='check-Jul''26'!BK253,"",'1. Live'!BO253-'check-Jul''26'!BK253)</f>
        <v/>
      </c>
      <c r="BL235" s="25" t="str">
        <f>IF('1. Live'!BP253='check-Jul''26'!BL253,"",'1. Live'!BP253-'check-Jul''26'!BL253)</f>
        <v/>
      </c>
      <c r="BM235" s="25" t="str">
        <f>IF('1. Live'!BQ253='check-Jul''26'!BM253,"",'1. Live'!BQ253-'check-Jul''26'!BM253)</f>
        <v/>
      </c>
      <c r="BN235" s="25" t="str">
        <f>IF('1. Live'!BR253='check-Jul''26'!BN253,"",'1. Live'!BR253-'check-Jul''26'!BN253)</f>
        <v/>
      </c>
      <c r="BO235" s="25" t="str">
        <f>IF('1. Live'!BS253='check-Jul''26'!BO253,"",'1. Live'!BS253-'check-Jul''26'!BO253)</f>
        <v/>
      </c>
      <c r="BP235" s="25" t="str">
        <f>IF('1. Live'!BT253='check-Jul''26'!BP253,"",'1. Live'!BT253-'check-Jul''26'!BP253)</f>
        <v/>
      </c>
      <c r="BQ235" s="25" t="str">
        <f>IF('1. Live'!BU253='check-Jul''26'!BQ253,"",'1. Live'!BU253-'check-Jul''26'!BQ253)</f>
        <v/>
      </c>
      <c r="BR235" s="25" t="str">
        <f>IF('1. Live'!BV253='check-Jul''26'!BR253,"",'1. Live'!BV253-'check-Jul''26'!BR253)</f>
        <v/>
      </c>
      <c r="BS235" s="25" t="str">
        <f>IF('1. Live'!BW253='check-Jul''26'!BS253,"",'1. Live'!BW253-'check-Jul''26'!BS253)</f>
        <v/>
      </c>
      <c r="BT235" s="25" t="str">
        <f>IF('1. Live'!BX253='check-Jul''26'!BT253,"",'1. Live'!BX253-'check-Jul''26'!BT253)</f>
        <v/>
      </c>
      <c r="BU235" s="25" t="str">
        <f>IF('1. Live'!BY253='check-Jul''26'!BU253,"",'1. Live'!BY253-'check-Jul''26'!BU253)</f>
        <v/>
      </c>
      <c r="BV235" s="25" t="str">
        <f>IF('1. Live'!BZ253='check-Jul''26'!BV253,"",'1. Live'!BZ253-'check-Jul''26'!BV253)</f>
        <v/>
      </c>
      <c r="BW235" s="25" t="str">
        <f>IF('1. Live'!CA253='check-Jul''26'!BW253,"",'1. Live'!CA253-'check-Jul''26'!BW253)</f>
        <v/>
      </c>
      <c r="BX235" s="25" t="str">
        <f>IF('1. Live'!CB253='check-Jul''26'!BX253,"",'1. Live'!CB253-'check-Jul''26'!BX253)</f>
        <v/>
      </c>
      <c r="BY235" s="25" t="str">
        <f>IF('1. Live'!CC253='check-Jul''26'!BY253,"",'1. Live'!CC253-'check-Jul''26'!BY253)</f>
        <v/>
      </c>
      <c r="BZ235" s="25" t="str">
        <f>IF('1. Live'!CD253='check-Jul''26'!BZ253,"",'1. Live'!CD253-'check-Jul''26'!BZ253)</f>
        <v/>
      </c>
      <c r="CA235" s="25" t="str">
        <f>IF('1. Live'!CE253='check-Jul''26'!CA253,"",'1. Live'!CE253-'check-Jul''26'!CA253)</f>
        <v/>
      </c>
      <c r="CB235" s="25" t="str">
        <f>IF('1. Live'!CF253='check-Jul''26'!CB253,"",'1. Live'!CF253-'check-Jul''26'!CB253)</f>
        <v/>
      </c>
      <c r="CC235" s="25" t="str">
        <f>IF('1. Live'!CG253='check-Jul''26'!CC253,"",'1. Live'!CG253-'check-Jul''26'!CC253)</f>
        <v/>
      </c>
      <c r="CD235" s="25" t="str">
        <f>IF('1. Live'!CH253='check-Jul''26'!CD253,"",'1. Live'!CH253-'check-Jul''26'!CD253)</f>
        <v/>
      </c>
      <c r="CE235" s="25" t="str">
        <f>IF('1. Live'!CI253='check-Jul''26'!CE253,"",'1. Live'!CI253-'check-Jul''26'!CE253)</f>
        <v/>
      </c>
      <c r="CF235" s="25" t="str">
        <f>IF('1. Live'!CJ253='check-Jul''26'!CF253,"",'1. Live'!CJ253-'check-Jul''26'!CF253)</f>
        <v/>
      </c>
      <c r="CG235" s="25" t="str">
        <f>IF('1. Live'!CK253='check-Jul''26'!CG253,"",'1. Live'!CK253-'check-Jul''26'!CG253)</f>
        <v/>
      </c>
      <c r="CH235" s="25" t="str">
        <f>IF('1. Live'!CL253='check-Jul''26'!CH253,"",'1. Live'!CL253-'check-Jul''26'!CH253)</f>
        <v/>
      </c>
      <c r="CI235" s="25" t="str">
        <f>IF('1. Live'!CM253='check-Jul''26'!CI253,"",'1. Live'!CM253-'check-Jul''26'!CI253)</f>
        <v/>
      </c>
      <c r="CJ235" s="25" t="str">
        <f>IF('1. Live'!CN253='check-Jul''26'!CJ253,"",'1. Live'!CN253-'check-Jul''26'!CJ253)</f>
        <v/>
      </c>
      <c r="CK235" s="25" t="str">
        <f>IF('1. Live'!CO253='check-Jul''26'!CK253,"",'1. Live'!CO253-'check-Jul''26'!CK253)</f>
        <v/>
      </c>
      <c r="CL235" s="25" t="str">
        <f>IF('1. Live'!CP253='check-Jul''26'!CL253,"",'1. Live'!CP253-'check-Jul''26'!CL253)</f>
        <v/>
      </c>
      <c r="CM235" s="25" t="str">
        <f>IF('1. Live'!CQ253='check-Jul''26'!CM253,"",'1. Live'!CQ253-'check-Jul''26'!CM253)</f>
        <v/>
      </c>
      <c r="CN235" s="25" t="str">
        <f>IF('1. Live'!CR253='check-Jul''26'!CN253,"",'1. Live'!CR253-'check-Jul''26'!CN253)</f>
        <v/>
      </c>
      <c r="CO235" s="25" t="str">
        <f>IF('1. Live'!CS253='check-Jul''26'!CO253,"",'1. Live'!CS253-'check-Jul''26'!CO253)</f>
        <v/>
      </c>
      <c r="CP235" s="25" t="str">
        <f>IF('1. Live'!CT253='check-Jul''26'!CP253,"",'1. Live'!CT253-'check-Jul''26'!CP253)</f>
        <v/>
      </c>
      <c r="CQ235" s="25" t="str">
        <f>IF('1. Live'!CU253='check-Jul''26'!CQ253,"",'1. Live'!CU253-'check-Jul''26'!CQ253)</f>
        <v/>
      </c>
      <c r="CR235" s="25" t="str">
        <f>IF('1. Live'!CV253='check-Jul''26'!CR253,"",'1. Live'!CV253-'check-Jul''26'!CR253)</f>
        <v/>
      </c>
      <c r="CS235" s="25" t="str">
        <f>IF('1. Live'!CW253='check-Jul''26'!CS253,"",'1. Live'!CW253-'check-Jul''26'!CS253)</f>
        <v/>
      </c>
      <c r="CT235" s="25" t="str">
        <f>IF('1. Live'!CX253='check-Jul''26'!CT253,"",'1. Live'!CX253-'check-Jul''26'!CT253)</f>
        <v/>
      </c>
      <c r="CU235" s="25" t="str">
        <f>IF('1. Live'!CY253='check-Jul''26'!CU253,"",'1. Live'!CY253-'check-Jul''26'!CU253)</f>
        <v/>
      </c>
      <c r="CV235" s="25" t="str">
        <f>IF('1. Live'!CZ253='check-Jul''26'!CV253,"",'1. Live'!CZ253-'check-Jul''26'!CV253)</f>
        <v/>
      </c>
    </row>
    <row r="236" spans="17:100" x14ac:dyDescent="0.25">
      <c r="Q236" s="26" t="str">
        <f>IF('1. Live'!N254='check-Jul''26'!I254,"",'1. Live'!N254-'check-Jul''26'!I254)</f>
        <v/>
      </c>
      <c r="R236" s="26" t="str">
        <f>IF('1. Live'!O254='check-Jul''26'!J254,"",'1. Live'!O254-'check-Jul''26'!J254)</f>
        <v/>
      </c>
      <c r="S236" s="26" t="str">
        <f>IF('1. Live'!P254='check-Jul''26'!K254,"",'1. Live'!P254-'check-Jul''26'!K254)</f>
        <v/>
      </c>
      <c r="T236" s="26" t="str">
        <f>IF('1. Live'!Q254='check-Jul''26'!L254,"",'1. Live'!Q254-'check-Jul''26'!L254)</f>
        <v/>
      </c>
      <c r="U236" s="80" t="str">
        <f>IF('1. Live'!R254='check-Jul''26'!M254,"",'1. Live'!R254-'check-Jul''26'!M254)</f>
        <v/>
      </c>
      <c r="V236" s="26" t="str">
        <f>IF('1. Live'!S254='check-Jul''26'!N254,"",'1. Live'!S254-'check-Jul''26'!N254)</f>
        <v/>
      </c>
      <c r="W236" s="25" t="str">
        <f>IF('1. Live'!T254='check-Jul''26'!O254,"",'1. Live'!T254-'check-Jul''26'!O254)</f>
        <v/>
      </c>
      <c r="X236" s="25" t="str">
        <f>IF('1. Live'!U254='check-Jul''26'!Q254,"",'1. Live'!U254-'check-Jul''26'!Q254)</f>
        <v/>
      </c>
      <c r="Y236" s="25" t="str">
        <f>IF('1. Live'!V254='check-Jul''26'!R254,"",'1. Live'!V254-'check-Jul''26'!R254)</f>
        <v/>
      </c>
      <c r="Z236" s="25" t="str">
        <f>IF('1. Live'!W254='check-Jul''26'!S254,"",'1. Live'!W254-'check-Jul''26'!S254)</f>
        <v/>
      </c>
      <c r="AA236" s="25" t="str">
        <f>IF('1. Live'!X254='check-Jul''26'!T254,"",'1. Live'!X254-'check-Jul''26'!T254)</f>
        <v/>
      </c>
      <c r="AB236" s="25" t="str">
        <f>IF('1. Live'!AF254='check-Jul''26'!AB254,"",'1. Live'!AF254-'check-Jul''26'!AB254)</f>
        <v/>
      </c>
      <c r="AC236" s="25" t="str">
        <f>IF('1. Live'!AG254='check-Jul''26'!AC254,"",'1. Live'!AG254-'check-Jul''26'!AC254)</f>
        <v/>
      </c>
      <c r="AD236" s="25" t="str">
        <f>IF('1. Live'!AH254='check-Jul''26'!AD254,"",'1. Live'!AH254-'check-Jul''26'!AD254)</f>
        <v/>
      </c>
      <c r="AE236" s="25" t="str">
        <f>IF('1. Live'!AI254='check-Jul''26'!AE254,"",'1. Live'!AI254-'check-Jul''26'!AE254)</f>
        <v/>
      </c>
      <c r="AF236" s="25" t="str">
        <f>IF('1. Live'!AJ254='check-Jul''26'!AF254,"",'1. Live'!AJ254-'check-Jul''26'!AF254)</f>
        <v/>
      </c>
      <c r="AG236" s="25" t="str">
        <f>IF('1. Live'!AK254='check-Jul''26'!AG254,"",'1. Live'!AK254-'check-Jul''26'!AG254)</f>
        <v/>
      </c>
      <c r="AH236" s="25" t="str">
        <f>IF('1. Live'!AL254='check-Jul''26'!AH254,"",'1. Live'!AL254-'check-Jul''26'!AH254)</f>
        <v/>
      </c>
      <c r="AI236" s="25" t="str">
        <f>IF('1. Live'!AM254='check-Jul''26'!AI254,"",'1. Live'!AM254-'check-Jul''26'!AI254)</f>
        <v/>
      </c>
      <c r="AJ236" s="25" t="str">
        <f>IF('1. Live'!AN254='check-Jul''26'!AJ254,"",'1. Live'!AN254-'check-Jul''26'!AJ254)</f>
        <v/>
      </c>
      <c r="AK236" s="25" t="str">
        <f>IF('1. Live'!AO254='check-Jul''26'!AK254,"",'1. Live'!AO254-'check-Jul''26'!AK254)</f>
        <v/>
      </c>
      <c r="AL236" s="25" t="str">
        <f>IF('1. Live'!AP254='check-Jul''26'!AL254,"",'1. Live'!AP254-'check-Jul''26'!AL254)</f>
        <v/>
      </c>
      <c r="AM236" s="25" t="str">
        <f>IF('1. Live'!AQ254='check-Jul''26'!AM254,"",'1. Live'!AQ254-'check-Jul''26'!AM254)</f>
        <v/>
      </c>
      <c r="AN236" s="25" t="str">
        <f>IF('1. Live'!AR254='check-Jul''26'!AN254,"",'1. Live'!AR254-'check-Jul''26'!AN254)</f>
        <v/>
      </c>
      <c r="AO236" s="25" t="str">
        <f>IF('1. Live'!AS254='check-Jul''26'!AO254,"",'1. Live'!AS254-'check-Jul''26'!AO254)</f>
        <v/>
      </c>
      <c r="AP236" s="25" t="str">
        <f>IF('1. Live'!AT254='check-Jul''26'!AP254,"",'1. Live'!AT254-'check-Jul''26'!AP254)</f>
        <v/>
      </c>
      <c r="AQ236" s="25" t="str">
        <f>IF('1. Live'!AU254='check-Jul''26'!AQ254,"",'1. Live'!AU254-'check-Jul''26'!AQ254)</f>
        <v/>
      </c>
      <c r="AR236" s="25" t="str">
        <f>IF('1. Live'!AV254='check-Jul''26'!AR254,"",'1. Live'!AV254-'check-Jul''26'!AR254)</f>
        <v/>
      </c>
      <c r="AS236" s="25" t="str">
        <f>IF('1. Live'!AW254='check-Jul''26'!AS254,"",'1. Live'!AW254-'check-Jul''26'!AS254)</f>
        <v/>
      </c>
      <c r="AT236" s="25" t="str">
        <f>IF('1. Live'!AX254='check-Jul''26'!AT254,"",'1. Live'!AX254-'check-Jul''26'!AT254)</f>
        <v/>
      </c>
      <c r="AU236" s="25" t="str">
        <f>IF('1. Live'!AY254='check-Jul''26'!AU254,"",'1. Live'!AY254-'check-Jul''26'!AU254)</f>
        <v/>
      </c>
      <c r="AV236" s="25" t="str">
        <f>IF('1. Live'!AZ254='check-Jul''26'!AV254,"",'1. Live'!AZ254-'check-Jul''26'!AV254)</f>
        <v/>
      </c>
      <c r="AW236" s="25" t="str">
        <f>IF('1. Live'!BA254='check-Jul''26'!AW254,"",'1. Live'!BA254-'check-Jul''26'!AW254)</f>
        <v/>
      </c>
      <c r="AX236" s="25" t="str">
        <f>IF('1. Live'!BB254='check-Jul''26'!AX254,"",'1. Live'!BB254-'check-Jul''26'!AX254)</f>
        <v/>
      </c>
      <c r="AY236" s="25" t="str">
        <f>IF('1. Live'!BC254='check-Jul''26'!AY254,"",'1. Live'!BC254-'check-Jul''26'!AY254)</f>
        <v/>
      </c>
      <c r="AZ236" s="25" t="str">
        <f>IF('1. Live'!BD254='check-Jul''26'!AZ254,"",'1. Live'!BD254-'check-Jul''26'!AZ254)</f>
        <v/>
      </c>
      <c r="BA236" s="25" t="str">
        <f>IF('1. Live'!BE254='check-Jul''26'!BA254,"",'1. Live'!BE254-'check-Jul''26'!BA254)</f>
        <v/>
      </c>
      <c r="BB236" s="25" t="str">
        <f>IF('1. Live'!BF254='check-Jul''26'!BB254,"",'1. Live'!BF254-'check-Jul''26'!BB254)</f>
        <v/>
      </c>
      <c r="BC236" s="25" t="str">
        <f>IF('1. Live'!BG254='check-Jul''26'!BC254,"",'1. Live'!BG254-'check-Jul''26'!BC254)</f>
        <v/>
      </c>
      <c r="BD236" s="25" t="str">
        <f>IF('1. Live'!BH254='check-Jul''26'!BD254,"",'1. Live'!BH254-'check-Jul''26'!BD254)</f>
        <v/>
      </c>
      <c r="BE236" s="25" t="str">
        <f>IF('1. Live'!BI254='check-Jul''26'!BE254,"",'1. Live'!BI254-'check-Jul''26'!BE254)</f>
        <v/>
      </c>
      <c r="BF236" s="25" t="str">
        <f>IF('1. Live'!BJ254='check-Jul''26'!BF254,"",'1. Live'!BJ254-'check-Jul''26'!BF254)</f>
        <v/>
      </c>
      <c r="BG236" s="25" t="str">
        <f>IF('1. Live'!BK254='check-Jul''26'!BG254,"",'1. Live'!BK254-'check-Jul''26'!BG254)</f>
        <v/>
      </c>
      <c r="BH236" s="25" t="str">
        <f>IF('1. Live'!BL254='check-Jul''26'!BH254,"",'1. Live'!BL254-'check-Jul''26'!BH254)</f>
        <v/>
      </c>
      <c r="BI236" s="25" t="str">
        <f>IF('1. Live'!BM254='check-Jul''26'!BI254,"",'1. Live'!BM254-'check-Jul''26'!BI254)</f>
        <v/>
      </c>
      <c r="BJ236" s="25" t="str">
        <f>IF('1. Live'!BN254='check-Jul''26'!BJ254,"",'1. Live'!BN254-'check-Jul''26'!BJ254)</f>
        <v/>
      </c>
      <c r="BK236" s="25" t="str">
        <f>IF('1. Live'!BO254='check-Jul''26'!BK254,"",'1. Live'!BO254-'check-Jul''26'!BK254)</f>
        <v/>
      </c>
      <c r="BL236" s="25" t="str">
        <f>IF('1. Live'!BP254='check-Jul''26'!BL254,"",'1. Live'!BP254-'check-Jul''26'!BL254)</f>
        <v/>
      </c>
      <c r="BM236" s="25" t="str">
        <f>IF('1. Live'!BQ254='check-Jul''26'!BM254,"",'1. Live'!BQ254-'check-Jul''26'!BM254)</f>
        <v/>
      </c>
      <c r="BN236" s="25" t="str">
        <f>IF('1. Live'!BR254='check-Jul''26'!BN254,"",'1. Live'!BR254-'check-Jul''26'!BN254)</f>
        <v/>
      </c>
      <c r="BO236" s="25" t="str">
        <f>IF('1. Live'!BS254='check-Jul''26'!BO254,"",'1. Live'!BS254-'check-Jul''26'!BO254)</f>
        <v/>
      </c>
      <c r="BP236" s="25" t="str">
        <f>IF('1. Live'!BT254='check-Jul''26'!BP254,"",'1. Live'!BT254-'check-Jul''26'!BP254)</f>
        <v/>
      </c>
      <c r="BQ236" s="25" t="str">
        <f>IF('1. Live'!BU254='check-Jul''26'!BQ254,"",'1. Live'!BU254-'check-Jul''26'!BQ254)</f>
        <v/>
      </c>
      <c r="BR236" s="25" t="str">
        <f>IF('1. Live'!BV254='check-Jul''26'!BR254,"",'1. Live'!BV254-'check-Jul''26'!BR254)</f>
        <v/>
      </c>
      <c r="BS236" s="25" t="str">
        <f>IF('1. Live'!BW254='check-Jul''26'!BS254,"",'1. Live'!BW254-'check-Jul''26'!BS254)</f>
        <v/>
      </c>
      <c r="BT236" s="25" t="str">
        <f>IF('1. Live'!BX254='check-Jul''26'!BT254,"",'1. Live'!BX254-'check-Jul''26'!BT254)</f>
        <v/>
      </c>
      <c r="BU236" s="25" t="str">
        <f>IF('1. Live'!BY254='check-Jul''26'!BU254,"",'1. Live'!BY254-'check-Jul''26'!BU254)</f>
        <v/>
      </c>
      <c r="BV236" s="25" t="str">
        <f>IF('1. Live'!BZ254='check-Jul''26'!BV254,"",'1. Live'!BZ254-'check-Jul''26'!BV254)</f>
        <v/>
      </c>
      <c r="BW236" s="25" t="str">
        <f>IF('1. Live'!CA254='check-Jul''26'!BW254,"",'1. Live'!CA254-'check-Jul''26'!BW254)</f>
        <v/>
      </c>
      <c r="BX236" s="25" t="str">
        <f>IF('1. Live'!CB254='check-Jul''26'!BX254,"",'1. Live'!CB254-'check-Jul''26'!BX254)</f>
        <v/>
      </c>
      <c r="BY236" s="25" t="str">
        <f>IF('1. Live'!CC254='check-Jul''26'!BY254,"",'1. Live'!CC254-'check-Jul''26'!BY254)</f>
        <v/>
      </c>
      <c r="BZ236" s="25" t="str">
        <f>IF('1. Live'!CD254='check-Jul''26'!BZ254,"",'1. Live'!CD254-'check-Jul''26'!BZ254)</f>
        <v/>
      </c>
      <c r="CA236" s="25" t="str">
        <f>IF('1. Live'!CE254='check-Jul''26'!CA254,"",'1. Live'!CE254-'check-Jul''26'!CA254)</f>
        <v/>
      </c>
      <c r="CB236" s="25" t="str">
        <f>IF('1. Live'!CF254='check-Jul''26'!CB254,"",'1. Live'!CF254-'check-Jul''26'!CB254)</f>
        <v/>
      </c>
      <c r="CC236" s="25" t="str">
        <f>IF('1. Live'!CG254='check-Jul''26'!CC254,"",'1. Live'!CG254-'check-Jul''26'!CC254)</f>
        <v/>
      </c>
      <c r="CD236" s="25" t="str">
        <f>IF('1. Live'!CH254='check-Jul''26'!CD254,"",'1. Live'!CH254-'check-Jul''26'!CD254)</f>
        <v/>
      </c>
      <c r="CE236" s="25" t="str">
        <f>IF('1. Live'!CI254='check-Jul''26'!CE254,"",'1. Live'!CI254-'check-Jul''26'!CE254)</f>
        <v/>
      </c>
      <c r="CF236" s="25" t="str">
        <f>IF('1. Live'!CJ254='check-Jul''26'!CF254,"",'1. Live'!CJ254-'check-Jul''26'!CF254)</f>
        <v/>
      </c>
      <c r="CG236" s="25" t="str">
        <f>IF('1. Live'!CK254='check-Jul''26'!CG254,"",'1. Live'!CK254-'check-Jul''26'!CG254)</f>
        <v/>
      </c>
      <c r="CH236" s="25" t="str">
        <f>IF('1. Live'!CL254='check-Jul''26'!CH254,"",'1. Live'!CL254-'check-Jul''26'!CH254)</f>
        <v/>
      </c>
      <c r="CI236" s="25" t="str">
        <f>IF('1. Live'!CM254='check-Jul''26'!CI254,"",'1. Live'!CM254-'check-Jul''26'!CI254)</f>
        <v/>
      </c>
      <c r="CJ236" s="25" t="str">
        <f>IF('1. Live'!CN254='check-Jul''26'!CJ254,"",'1. Live'!CN254-'check-Jul''26'!CJ254)</f>
        <v/>
      </c>
      <c r="CK236" s="25" t="str">
        <f>IF('1. Live'!CO254='check-Jul''26'!CK254,"",'1. Live'!CO254-'check-Jul''26'!CK254)</f>
        <v/>
      </c>
      <c r="CL236" s="25" t="str">
        <f>IF('1. Live'!CP254='check-Jul''26'!CL254,"",'1. Live'!CP254-'check-Jul''26'!CL254)</f>
        <v/>
      </c>
      <c r="CM236" s="25" t="str">
        <f>IF('1. Live'!CQ254='check-Jul''26'!CM254,"",'1. Live'!CQ254-'check-Jul''26'!CM254)</f>
        <v/>
      </c>
      <c r="CN236" s="25" t="str">
        <f>IF('1. Live'!CR254='check-Jul''26'!CN254,"",'1. Live'!CR254-'check-Jul''26'!CN254)</f>
        <v/>
      </c>
      <c r="CO236" s="25" t="str">
        <f>IF('1. Live'!CS254='check-Jul''26'!CO254,"",'1. Live'!CS254-'check-Jul''26'!CO254)</f>
        <v/>
      </c>
      <c r="CP236" s="25" t="str">
        <f>IF('1. Live'!CT254='check-Jul''26'!CP254,"",'1. Live'!CT254-'check-Jul''26'!CP254)</f>
        <v/>
      </c>
      <c r="CQ236" s="25" t="str">
        <f>IF('1. Live'!CU254='check-Jul''26'!CQ254,"",'1. Live'!CU254-'check-Jul''26'!CQ254)</f>
        <v/>
      </c>
      <c r="CR236" s="25" t="str">
        <f>IF('1. Live'!CV254='check-Jul''26'!CR254,"",'1. Live'!CV254-'check-Jul''26'!CR254)</f>
        <v/>
      </c>
      <c r="CS236" s="25" t="str">
        <f>IF('1. Live'!CW254='check-Jul''26'!CS254,"",'1. Live'!CW254-'check-Jul''26'!CS254)</f>
        <v/>
      </c>
      <c r="CT236" s="25" t="str">
        <f>IF('1. Live'!CX254='check-Jul''26'!CT254,"",'1. Live'!CX254-'check-Jul''26'!CT254)</f>
        <v/>
      </c>
      <c r="CU236" s="25" t="str">
        <f>IF('1. Live'!CY254='check-Jul''26'!CU254,"",'1. Live'!CY254-'check-Jul''26'!CU254)</f>
        <v/>
      </c>
      <c r="CV236" s="25" t="str">
        <f>IF('1. Live'!CZ254='check-Jul''26'!CV254,"",'1. Live'!CZ254-'check-Jul''26'!CV254)</f>
        <v/>
      </c>
    </row>
    <row r="237" spans="17:100" x14ac:dyDescent="0.25">
      <c r="Q237" s="26" t="str">
        <f>IF('1. Live'!N255='check-Jul''26'!I255,"",'1. Live'!N255-'check-Jul''26'!I255)</f>
        <v/>
      </c>
      <c r="R237" s="26" t="str">
        <f>IF('1. Live'!O255='check-Jul''26'!J255,"",'1. Live'!O255-'check-Jul''26'!J255)</f>
        <v/>
      </c>
      <c r="S237" s="26" t="str">
        <f>IF('1. Live'!P255='check-Jul''26'!K255,"",'1. Live'!P255-'check-Jul''26'!K255)</f>
        <v/>
      </c>
      <c r="T237" s="26" t="str">
        <f>IF('1. Live'!Q255='check-Jul''26'!L255,"",'1. Live'!Q255-'check-Jul''26'!L255)</f>
        <v/>
      </c>
      <c r="U237" s="80" t="str">
        <f>IF('1. Live'!R255='check-Jul''26'!M255,"",'1. Live'!R255-'check-Jul''26'!M255)</f>
        <v/>
      </c>
      <c r="V237" s="26" t="str">
        <f>IF('1. Live'!S255='check-Jul''26'!N255,"",'1. Live'!S255-'check-Jul''26'!N255)</f>
        <v/>
      </c>
      <c r="W237" s="25" t="str">
        <f>IF('1. Live'!T255='check-Jul''26'!O255,"",'1. Live'!T255-'check-Jul''26'!O255)</f>
        <v/>
      </c>
      <c r="X237" s="25" t="str">
        <f>IF('1. Live'!U255='check-Jul''26'!Q255,"",'1. Live'!U255-'check-Jul''26'!Q255)</f>
        <v/>
      </c>
      <c r="Y237" s="25" t="str">
        <f>IF('1. Live'!V255='check-Jul''26'!R255,"",'1. Live'!V255-'check-Jul''26'!R255)</f>
        <v/>
      </c>
      <c r="Z237" s="25" t="str">
        <f>IF('1. Live'!W255='check-Jul''26'!S255,"",'1. Live'!W255-'check-Jul''26'!S255)</f>
        <v/>
      </c>
      <c r="AA237" s="25" t="str">
        <f>IF('1. Live'!X255='check-Jul''26'!T255,"",'1. Live'!X255-'check-Jul''26'!T255)</f>
        <v/>
      </c>
      <c r="AB237" s="25" t="str">
        <f>IF('1. Live'!AF255='check-Jul''26'!AB255,"",'1. Live'!AF255-'check-Jul''26'!AB255)</f>
        <v/>
      </c>
      <c r="AC237" s="25" t="str">
        <f>IF('1. Live'!AG255='check-Jul''26'!AC255,"",'1. Live'!AG255-'check-Jul''26'!AC255)</f>
        <v/>
      </c>
      <c r="AD237" s="25" t="str">
        <f>IF('1. Live'!AH255='check-Jul''26'!AD255,"",'1. Live'!AH255-'check-Jul''26'!AD255)</f>
        <v/>
      </c>
      <c r="AE237" s="25" t="str">
        <f>IF('1. Live'!AI255='check-Jul''26'!AE255,"",'1. Live'!AI255-'check-Jul''26'!AE255)</f>
        <v/>
      </c>
      <c r="AF237" s="25" t="str">
        <f>IF('1. Live'!AJ255='check-Jul''26'!AF255,"",'1. Live'!AJ255-'check-Jul''26'!AF255)</f>
        <v/>
      </c>
      <c r="AG237" s="25" t="str">
        <f>IF('1. Live'!AK255='check-Jul''26'!AG255,"",'1. Live'!AK255-'check-Jul''26'!AG255)</f>
        <v/>
      </c>
      <c r="AH237" s="25" t="str">
        <f>IF('1. Live'!AL255='check-Jul''26'!AH255,"",'1. Live'!AL255-'check-Jul''26'!AH255)</f>
        <v/>
      </c>
      <c r="AI237" s="25" t="str">
        <f>IF('1. Live'!AM255='check-Jul''26'!AI255,"",'1. Live'!AM255-'check-Jul''26'!AI255)</f>
        <v/>
      </c>
      <c r="AJ237" s="25" t="str">
        <f>IF('1. Live'!AN255='check-Jul''26'!AJ255,"",'1. Live'!AN255-'check-Jul''26'!AJ255)</f>
        <v/>
      </c>
      <c r="AK237" s="25" t="str">
        <f>IF('1. Live'!AO255='check-Jul''26'!AK255,"",'1. Live'!AO255-'check-Jul''26'!AK255)</f>
        <v/>
      </c>
      <c r="AL237" s="25" t="str">
        <f>IF('1. Live'!AP255='check-Jul''26'!AL255,"",'1. Live'!AP255-'check-Jul''26'!AL255)</f>
        <v/>
      </c>
      <c r="AM237" s="25" t="str">
        <f>IF('1. Live'!AQ255='check-Jul''26'!AM255,"",'1. Live'!AQ255-'check-Jul''26'!AM255)</f>
        <v/>
      </c>
      <c r="AN237" s="25" t="str">
        <f>IF('1. Live'!AR255='check-Jul''26'!AN255,"",'1. Live'!AR255-'check-Jul''26'!AN255)</f>
        <v/>
      </c>
      <c r="AO237" s="25" t="str">
        <f>IF('1. Live'!AS255='check-Jul''26'!AO255,"",'1. Live'!AS255-'check-Jul''26'!AO255)</f>
        <v/>
      </c>
      <c r="AP237" s="25" t="str">
        <f>IF('1. Live'!AT255='check-Jul''26'!AP255,"",'1. Live'!AT255-'check-Jul''26'!AP255)</f>
        <v/>
      </c>
      <c r="AQ237" s="25" t="str">
        <f>IF('1. Live'!AU255='check-Jul''26'!AQ255,"",'1. Live'!AU255-'check-Jul''26'!AQ255)</f>
        <v/>
      </c>
      <c r="AR237" s="25" t="str">
        <f>IF('1. Live'!AV255='check-Jul''26'!AR255,"",'1. Live'!AV255-'check-Jul''26'!AR255)</f>
        <v/>
      </c>
      <c r="AS237" s="25" t="str">
        <f>IF('1. Live'!AW255='check-Jul''26'!AS255,"",'1. Live'!AW255-'check-Jul''26'!AS255)</f>
        <v/>
      </c>
      <c r="AT237" s="25" t="str">
        <f>IF('1. Live'!AX255='check-Jul''26'!AT255,"",'1. Live'!AX255-'check-Jul''26'!AT255)</f>
        <v/>
      </c>
      <c r="AU237" s="25" t="str">
        <f>IF('1. Live'!AY255='check-Jul''26'!AU255,"",'1. Live'!AY255-'check-Jul''26'!AU255)</f>
        <v/>
      </c>
      <c r="AV237" s="25" t="str">
        <f>IF('1. Live'!AZ255='check-Jul''26'!AV255,"",'1. Live'!AZ255-'check-Jul''26'!AV255)</f>
        <v/>
      </c>
      <c r="AW237" s="25" t="str">
        <f>IF('1. Live'!BA255='check-Jul''26'!AW255,"",'1. Live'!BA255-'check-Jul''26'!AW255)</f>
        <v/>
      </c>
      <c r="AX237" s="25" t="str">
        <f>IF('1. Live'!BB255='check-Jul''26'!AX255,"",'1. Live'!BB255-'check-Jul''26'!AX255)</f>
        <v/>
      </c>
      <c r="AY237" s="25" t="str">
        <f>IF('1. Live'!BC255='check-Jul''26'!AY255,"",'1. Live'!BC255-'check-Jul''26'!AY255)</f>
        <v/>
      </c>
      <c r="AZ237" s="25" t="str">
        <f>IF('1. Live'!BD255='check-Jul''26'!AZ255,"",'1. Live'!BD255-'check-Jul''26'!AZ255)</f>
        <v/>
      </c>
      <c r="BA237" s="25" t="str">
        <f>IF('1. Live'!BE255='check-Jul''26'!BA255,"",'1. Live'!BE255-'check-Jul''26'!BA255)</f>
        <v/>
      </c>
      <c r="BB237" s="25" t="str">
        <f>IF('1. Live'!BF255='check-Jul''26'!BB255,"",'1. Live'!BF255-'check-Jul''26'!BB255)</f>
        <v/>
      </c>
      <c r="BC237" s="25" t="str">
        <f>IF('1. Live'!BG255='check-Jul''26'!BC255,"",'1. Live'!BG255-'check-Jul''26'!BC255)</f>
        <v/>
      </c>
      <c r="BD237" s="25" t="str">
        <f>IF('1. Live'!BH255='check-Jul''26'!BD255,"",'1. Live'!BH255-'check-Jul''26'!BD255)</f>
        <v/>
      </c>
      <c r="BE237" s="25" t="str">
        <f>IF('1. Live'!BI255='check-Jul''26'!BE255,"",'1. Live'!BI255-'check-Jul''26'!BE255)</f>
        <v/>
      </c>
      <c r="BF237" s="25" t="str">
        <f>IF('1. Live'!BJ255='check-Jul''26'!BF255,"",'1. Live'!BJ255-'check-Jul''26'!BF255)</f>
        <v/>
      </c>
      <c r="BG237" s="25" t="str">
        <f>IF('1. Live'!BK255='check-Jul''26'!BG255,"",'1. Live'!BK255-'check-Jul''26'!BG255)</f>
        <v/>
      </c>
      <c r="BH237" s="25" t="str">
        <f>IF('1. Live'!BL255='check-Jul''26'!BH255,"",'1. Live'!BL255-'check-Jul''26'!BH255)</f>
        <v/>
      </c>
      <c r="BI237" s="25" t="str">
        <f>IF('1. Live'!BM255='check-Jul''26'!BI255,"",'1. Live'!BM255-'check-Jul''26'!BI255)</f>
        <v/>
      </c>
      <c r="BJ237" s="25" t="str">
        <f>IF('1. Live'!BN255='check-Jul''26'!BJ255,"",'1. Live'!BN255-'check-Jul''26'!BJ255)</f>
        <v/>
      </c>
      <c r="BK237" s="25" t="str">
        <f>IF('1. Live'!BO255='check-Jul''26'!BK255,"",'1. Live'!BO255-'check-Jul''26'!BK255)</f>
        <v/>
      </c>
      <c r="BL237" s="25" t="str">
        <f>IF('1. Live'!BP255='check-Jul''26'!BL255,"",'1. Live'!BP255-'check-Jul''26'!BL255)</f>
        <v/>
      </c>
      <c r="BM237" s="25" t="str">
        <f>IF('1. Live'!BQ255='check-Jul''26'!BM255,"",'1. Live'!BQ255-'check-Jul''26'!BM255)</f>
        <v/>
      </c>
      <c r="BN237" s="25" t="str">
        <f>IF('1. Live'!BR255='check-Jul''26'!BN255,"",'1. Live'!BR255-'check-Jul''26'!BN255)</f>
        <v/>
      </c>
      <c r="BO237" s="25" t="str">
        <f>IF('1. Live'!BS255='check-Jul''26'!BO255,"",'1. Live'!BS255-'check-Jul''26'!BO255)</f>
        <v/>
      </c>
      <c r="BP237" s="25" t="str">
        <f>IF('1. Live'!BT255='check-Jul''26'!BP255,"",'1. Live'!BT255-'check-Jul''26'!BP255)</f>
        <v/>
      </c>
      <c r="BQ237" s="25" t="str">
        <f>IF('1. Live'!BU255='check-Jul''26'!BQ255,"",'1. Live'!BU255-'check-Jul''26'!BQ255)</f>
        <v/>
      </c>
      <c r="BR237" s="25" t="str">
        <f>IF('1. Live'!BV255='check-Jul''26'!BR255,"",'1. Live'!BV255-'check-Jul''26'!BR255)</f>
        <v/>
      </c>
      <c r="BS237" s="25" t="str">
        <f>IF('1. Live'!BW255='check-Jul''26'!BS255,"",'1. Live'!BW255-'check-Jul''26'!BS255)</f>
        <v/>
      </c>
      <c r="BT237" s="25" t="str">
        <f>IF('1. Live'!BX255='check-Jul''26'!BT255,"",'1. Live'!BX255-'check-Jul''26'!BT255)</f>
        <v/>
      </c>
      <c r="BU237" s="25" t="str">
        <f>IF('1. Live'!BY255='check-Jul''26'!BU255,"",'1. Live'!BY255-'check-Jul''26'!BU255)</f>
        <v/>
      </c>
      <c r="BV237" s="25" t="str">
        <f>IF('1. Live'!BZ255='check-Jul''26'!BV255,"",'1. Live'!BZ255-'check-Jul''26'!BV255)</f>
        <v/>
      </c>
      <c r="BW237" s="25" t="str">
        <f>IF('1. Live'!CA255='check-Jul''26'!BW255,"",'1. Live'!CA255-'check-Jul''26'!BW255)</f>
        <v/>
      </c>
      <c r="BX237" s="25" t="str">
        <f>IF('1. Live'!CB255='check-Jul''26'!BX255,"",'1. Live'!CB255-'check-Jul''26'!BX255)</f>
        <v/>
      </c>
      <c r="BY237" s="25" t="str">
        <f>IF('1. Live'!CC255='check-Jul''26'!BY255,"",'1. Live'!CC255-'check-Jul''26'!BY255)</f>
        <v/>
      </c>
      <c r="BZ237" s="25" t="str">
        <f>IF('1. Live'!CD255='check-Jul''26'!BZ255,"",'1. Live'!CD255-'check-Jul''26'!BZ255)</f>
        <v/>
      </c>
      <c r="CA237" s="25" t="str">
        <f>IF('1. Live'!CE255='check-Jul''26'!CA255,"",'1. Live'!CE255-'check-Jul''26'!CA255)</f>
        <v/>
      </c>
      <c r="CB237" s="25" t="str">
        <f>IF('1. Live'!CF255='check-Jul''26'!CB255,"",'1. Live'!CF255-'check-Jul''26'!CB255)</f>
        <v/>
      </c>
      <c r="CC237" s="25" t="str">
        <f>IF('1. Live'!CG255='check-Jul''26'!CC255,"",'1. Live'!CG255-'check-Jul''26'!CC255)</f>
        <v/>
      </c>
      <c r="CD237" s="25" t="str">
        <f>IF('1. Live'!CH255='check-Jul''26'!CD255,"",'1. Live'!CH255-'check-Jul''26'!CD255)</f>
        <v/>
      </c>
      <c r="CE237" s="25" t="str">
        <f>IF('1. Live'!CI255='check-Jul''26'!CE255,"",'1. Live'!CI255-'check-Jul''26'!CE255)</f>
        <v/>
      </c>
      <c r="CF237" s="25" t="str">
        <f>IF('1. Live'!CJ255='check-Jul''26'!CF255,"",'1. Live'!CJ255-'check-Jul''26'!CF255)</f>
        <v/>
      </c>
      <c r="CG237" s="25" t="str">
        <f>IF('1. Live'!CK255='check-Jul''26'!CG255,"",'1. Live'!CK255-'check-Jul''26'!CG255)</f>
        <v/>
      </c>
      <c r="CH237" s="25" t="str">
        <f>IF('1. Live'!CL255='check-Jul''26'!CH255,"",'1. Live'!CL255-'check-Jul''26'!CH255)</f>
        <v/>
      </c>
      <c r="CI237" s="25" t="str">
        <f>IF('1. Live'!CM255='check-Jul''26'!CI255,"",'1. Live'!CM255-'check-Jul''26'!CI255)</f>
        <v/>
      </c>
      <c r="CJ237" s="25" t="str">
        <f>IF('1. Live'!CN255='check-Jul''26'!CJ255,"",'1. Live'!CN255-'check-Jul''26'!CJ255)</f>
        <v/>
      </c>
      <c r="CK237" s="25" t="str">
        <f>IF('1. Live'!CO255='check-Jul''26'!CK255,"",'1. Live'!CO255-'check-Jul''26'!CK255)</f>
        <v/>
      </c>
      <c r="CL237" s="25" t="str">
        <f>IF('1. Live'!CP255='check-Jul''26'!CL255,"",'1. Live'!CP255-'check-Jul''26'!CL255)</f>
        <v/>
      </c>
      <c r="CM237" s="25" t="str">
        <f>IF('1. Live'!CQ255='check-Jul''26'!CM255,"",'1. Live'!CQ255-'check-Jul''26'!CM255)</f>
        <v/>
      </c>
      <c r="CN237" s="25" t="str">
        <f>IF('1. Live'!CR255='check-Jul''26'!CN255,"",'1. Live'!CR255-'check-Jul''26'!CN255)</f>
        <v/>
      </c>
      <c r="CO237" s="25" t="str">
        <f>IF('1. Live'!CS255='check-Jul''26'!CO255,"",'1. Live'!CS255-'check-Jul''26'!CO255)</f>
        <v/>
      </c>
      <c r="CP237" s="25" t="str">
        <f>IF('1. Live'!CT255='check-Jul''26'!CP255,"",'1. Live'!CT255-'check-Jul''26'!CP255)</f>
        <v/>
      </c>
      <c r="CQ237" s="25" t="str">
        <f>IF('1. Live'!CU255='check-Jul''26'!CQ255,"",'1. Live'!CU255-'check-Jul''26'!CQ255)</f>
        <v/>
      </c>
      <c r="CR237" s="25" t="str">
        <f>IF('1. Live'!CV255='check-Jul''26'!CR255,"",'1. Live'!CV255-'check-Jul''26'!CR255)</f>
        <v/>
      </c>
      <c r="CS237" s="25" t="str">
        <f>IF('1. Live'!CW255='check-Jul''26'!CS255,"",'1. Live'!CW255-'check-Jul''26'!CS255)</f>
        <v/>
      </c>
      <c r="CT237" s="25" t="str">
        <f>IF('1. Live'!CX255='check-Jul''26'!CT255,"",'1. Live'!CX255-'check-Jul''26'!CT255)</f>
        <v/>
      </c>
      <c r="CU237" s="25" t="str">
        <f>IF('1. Live'!CY255='check-Jul''26'!CU255,"",'1. Live'!CY255-'check-Jul''26'!CU255)</f>
        <v/>
      </c>
      <c r="CV237" s="25" t="str">
        <f>IF('1. Live'!CZ255='check-Jul''26'!CV255,"",'1. Live'!CZ255-'check-Jul''26'!CV255)</f>
        <v/>
      </c>
    </row>
    <row r="238" spans="17:100" x14ac:dyDescent="0.25">
      <c r="Q238" s="26" t="str">
        <f>IF('1. Live'!N256='check-Jul''26'!I256,"",'1. Live'!N256-'check-Jul''26'!I256)</f>
        <v/>
      </c>
      <c r="R238" s="26" t="str">
        <f>IF('1. Live'!O256='check-Jul''26'!J256,"",'1. Live'!O256-'check-Jul''26'!J256)</f>
        <v/>
      </c>
      <c r="S238" s="26" t="str">
        <f>IF('1. Live'!P256='check-Jul''26'!K256,"",'1. Live'!P256-'check-Jul''26'!K256)</f>
        <v/>
      </c>
      <c r="T238" s="26" t="str">
        <f>IF('1. Live'!Q256='check-Jul''26'!L256,"",'1. Live'!Q256-'check-Jul''26'!L256)</f>
        <v/>
      </c>
      <c r="U238" s="80" t="str">
        <f>IF('1. Live'!R256='check-Jul''26'!M256,"",'1. Live'!R256-'check-Jul''26'!M256)</f>
        <v/>
      </c>
      <c r="V238" s="26" t="str">
        <f>IF('1. Live'!S256='check-Jul''26'!N256,"",'1. Live'!S256-'check-Jul''26'!N256)</f>
        <v/>
      </c>
      <c r="W238" s="25" t="str">
        <f>IF('1. Live'!T256='check-Jul''26'!O256,"",'1. Live'!T256-'check-Jul''26'!O256)</f>
        <v/>
      </c>
      <c r="X238" s="25" t="str">
        <f>IF('1. Live'!U256='check-Jul''26'!Q256,"",'1. Live'!U256-'check-Jul''26'!Q256)</f>
        <v/>
      </c>
      <c r="Y238" s="25" t="str">
        <f>IF('1. Live'!V256='check-Jul''26'!R256,"",'1. Live'!V256-'check-Jul''26'!R256)</f>
        <v/>
      </c>
      <c r="Z238" s="25" t="str">
        <f>IF('1. Live'!W256='check-Jul''26'!S256,"",'1. Live'!W256-'check-Jul''26'!S256)</f>
        <v/>
      </c>
      <c r="AA238" s="25" t="str">
        <f>IF('1. Live'!X256='check-Jul''26'!T256,"",'1. Live'!X256-'check-Jul''26'!T256)</f>
        <v/>
      </c>
      <c r="AB238" s="25" t="str">
        <f>IF('1. Live'!AF256='check-Jul''26'!AB256,"",'1. Live'!AF256-'check-Jul''26'!AB256)</f>
        <v/>
      </c>
      <c r="AC238" s="25" t="str">
        <f>IF('1. Live'!AG256='check-Jul''26'!AC256,"",'1. Live'!AG256-'check-Jul''26'!AC256)</f>
        <v/>
      </c>
      <c r="AD238" s="25" t="str">
        <f>IF('1. Live'!AH256='check-Jul''26'!AD256,"",'1. Live'!AH256-'check-Jul''26'!AD256)</f>
        <v/>
      </c>
      <c r="AE238" s="25" t="str">
        <f>IF('1. Live'!AI256='check-Jul''26'!AE256,"",'1. Live'!AI256-'check-Jul''26'!AE256)</f>
        <v/>
      </c>
      <c r="AF238" s="25" t="str">
        <f>IF('1. Live'!AJ256='check-Jul''26'!AF256,"",'1. Live'!AJ256-'check-Jul''26'!AF256)</f>
        <v/>
      </c>
      <c r="AG238" s="25" t="str">
        <f>IF('1. Live'!AK256='check-Jul''26'!AG256,"",'1. Live'!AK256-'check-Jul''26'!AG256)</f>
        <v/>
      </c>
      <c r="AH238" s="25" t="str">
        <f>IF('1. Live'!AL256='check-Jul''26'!AH256,"",'1. Live'!AL256-'check-Jul''26'!AH256)</f>
        <v/>
      </c>
      <c r="AI238" s="25" t="str">
        <f>IF('1. Live'!AM256='check-Jul''26'!AI256,"",'1. Live'!AM256-'check-Jul''26'!AI256)</f>
        <v/>
      </c>
      <c r="AJ238" s="25" t="str">
        <f>IF('1. Live'!AN256='check-Jul''26'!AJ256,"",'1. Live'!AN256-'check-Jul''26'!AJ256)</f>
        <v/>
      </c>
      <c r="AK238" s="25" t="str">
        <f>IF('1. Live'!AO256='check-Jul''26'!AK256,"",'1. Live'!AO256-'check-Jul''26'!AK256)</f>
        <v/>
      </c>
      <c r="AL238" s="25" t="str">
        <f>IF('1. Live'!AP256='check-Jul''26'!AL256,"",'1. Live'!AP256-'check-Jul''26'!AL256)</f>
        <v/>
      </c>
      <c r="AM238" s="25" t="str">
        <f>IF('1. Live'!AQ256='check-Jul''26'!AM256,"",'1. Live'!AQ256-'check-Jul''26'!AM256)</f>
        <v/>
      </c>
      <c r="AN238" s="25" t="str">
        <f>IF('1. Live'!AR256='check-Jul''26'!AN256,"",'1. Live'!AR256-'check-Jul''26'!AN256)</f>
        <v/>
      </c>
      <c r="AO238" s="25" t="str">
        <f>IF('1. Live'!AS256='check-Jul''26'!AO256,"",'1. Live'!AS256-'check-Jul''26'!AO256)</f>
        <v/>
      </c>
      <c r="AP238" s="25" t="str">
        <f>IF('1. Live'!AT256='check-Jul''26'!AP256,"",'1. Live'!AT256-'check-Jul''26'!AP256)</f>
        <v/>
      </c>
      <c r="AQ238" s="25" t="str">
        <f>IF('1. Live'!AU256='check-Jul''26'!AQ256,"",'1. Live'!AU256-'check-Jul''26'!AQ256)</f>
        <v/>
      </c>
      <c r="AR238" s="25" t="str">
        <f>IF('1. Live'!AV256='check-Jul''26'!AR256,"",'1. Live'!AV256-'check-Jul''26'!AR256)</f>
        <v/>
      </c>
      <c r="AS238" s="25" t="str">
        <f>IF('1. Live'!AW256='check-Jul''26'!AS256,"",'1. Live'!AW256-'check-Jul''26'!AS256)</f>
        <v/>
      </c>
      <c r="AT238" s="25" t="str">
        <f>IF('1. Live'!AX256='check-Jul''26'!AT256,"",'1. Live'!AX256-'check-Jul''26'!AT256)</f>
        <v/>
      </c>
      <c r="AU238" s="25" t="str">
        <f>IF('1. Live'!AY256='check-Jul''26'!AU256,"",'1. Live'!AY256-'check-Jul''26'!AU256)</f>
        <v/>
      </c>
      <c r="AV238" s="25" t="str">
        <f>IF('1. Live'!AZ256='check-Jul''26'!AV256,"",'1. Live'!AZ256-'check-Jul''26'!AV256)</f>
        <v/>
      </c>
      <c r="AW238" s="25" t="str">
        <f>IF('1. Live'!BA256='check-Jul''26'!AW256,"",'1. Live'!BA256-'check-Jul''26'!AW256)</f>
        <v/>
      </c>
      <c r="AX238" s="25" t="str">
        <f>IF('1. Live'!BB256='check-Jul''26'!AX256,"",'1. Live'!BB256-'check-Jul''26'!AX256)</f>
        <v/>
      </c>
      <c r="AY238" s="25" t="str">
        <f>IF('1. Live'!BC256='check-Jul''26'!AY256,"",'1. Live'!BC256-'check-Jul''26'!AY256)</f>
        <v/>
      </c>
      <c r="AZ238" s="25" t="str">
        <f>IF('1. Live'!BD256='check-Jul''26'!AZ256,"",'1. Live'!BD256-'check-Jul''26'!AZ256)</f>
        <v/>
      </c>
      <c r="BA238" s="25" t="str">
        <f>IF('1. Live'!BE256='check-Jul''26'!BA256,"",'1. Live'!BE256-'check-Jul''26'!BA256)</f>
        <v/>
      </c>
      <c r="BB238" s="25" t="str">
        <f>IF('1. Live'!BF256='check-Jul''26'!BB256,"",'1. Live'!BF256-'check-Jul''26'!BB256)</f>
        <v/>
      </c>
      <c r="BC238" s="25" t="str">
        <f>IF('1. Live'!BG256='check-Jul''26'!BC256,"",'1. Live'!BG256-'check-Jul''26'!BC256)</f>
        <v/>
      </c>
      <c r="BD238" s="25" t="str">
        <f>IF('1. Live'!BH256='check-Jul''26'!BD256,"",'1. Live'!BH256-'check-Jul''26'!BD256)</f>
        <v/>
      </c>
      <c r="BE238" s="25" t="str">
        <f>IF('1. Live'!BI256='check-Jul''26'!BE256,"",'1. Live'!BI256-'check-Jul''26'!BE256)</f>
        <v/>
      </c>
      <c r="BF238" s="25" t="str">
        <f>IF('1. Live'!BJ256='check-Jul''26'!BF256,"",'1. Live'!BJ256-'check-Jul''26'!BF256)</f>
        <v/>
      </c>
      <c r="BG238" s="25" t="str">
        <f>IF('1. Live'!BK256='check-Jul''26'!BG256,"",'1. Live'!BK256-'check-Jul''26'!BG256)</f>
        <v/>
      </c>
      <c r="BH238" s="25" t="str">
        <f>IF('1. Live'!BL256='check-Jul''26'!BH256,"",'1. Live'!BL256-'check-Jul''26'!BH256)</f>
        <v/>
      </c>
      <c r="BI238" s="25" t="str">
        <f>IF('1. Live'!BM256='check-Jul''26'!BI256,"",'1. Live'!BM256-'check-Jul''26'!BI256)</f>
        <v/>
      </c>
      <c r="BJ238" s="25" t="str">
        <f>IF('1. Live'!BN256='check-Jul''26'!BJ256,"",'1. Live'!BN256-'check-Jul''26'!BJ256)</f>
        <v/>
      </c>
      <c r="BK238" s="25" t="str">
        <f>IF('1. Live'!BO256='check-Jul''26'!BK256,"",'1. Live'!BO256-'check-Jul''26'!BK256)</f>
        <v/>
      </c>
      <c r="BL238" s="25" t="str">
        <f>IF('1. Live'!BP256='check-Jul''26'!BL256,"",'1. Live'!BP256-'check-Jul''26'!BL256)</f>
        <v/>
      </c>
      <c r="BM238" s="25" t="str">
        <f>IF('1. Live'!BQ256='check-Jul''26'!BM256,"",'1. Live'!BQ256-'check-Jul''26'!BM256)</f>
        <v/>
      </c>
      <c r="BN238" s="25" t="str">
        <f>IF('1. Live'!BR256='check-Jul''26'!BN256,"",'1. Live'!BR256-'check-Jul''26'!BN256)</f>
        <v/>
      </c>
      <c r="BO238" s="25" t="str">
        <f>IF('1. Live'!BS256='check-Jul''26'!BO256,"",'1. Live'!BS256-'check-Jul''26'!BO256)</f>
        <v/>
      </c>
      <c r="BP238" s="25" t="str">
        <f>IF('1. Live'!BT256='check-Jul''26'!BP256,"",'1. Live'!BT256-'check-Jul''26'!BP256)</f>
        <v/>
      </c>
      <c r="BQ238" s="25" t="str">
        <f>IF('1. Live'!BU256='check-Jul''26'!BQ256,"",'1. Live'!BU256-'check-Jul''26'!BQ256)</f>
        <v/>
      </c>
      <c r="BR238" s="25" t="str">
        <f>IF('1. Live'!BV256='check-Jul''26'!BR256,"",'1. Live'!BV256-'check-Jul''26'!BR256)</f>
        <v/>
      </c>
      <c r="BS238" s="25" t="str">
        <f>IF('1. Live'!BW256='check-Jul''26'!BS256,"",'1. Live'!BW256-'check-Jul''26'!BS256)</f>
        <v/>
      </c>
      <c r="BT238" s="25" t="str">
        <f>IF('1. Live'!BX256='check-Jul''26'!BT256,"",'1. Live'!BX256-'check-Jul''26'!BT256)</f>
        <v/>
      </c>
      <c r="BU238" s="25" t="str">
        <f>IF('1. Live'!BY256='check-Jul''26'!BU256,"",'1. Live'!BY256-'check-Jul''26'!BU256)</f>
        <v/>
      </c>
      <c r="BV238" s="25" t="str">
        <f>IF('1. Live'!BZ256='check-Jul''26'!BV256,"",'1. Live'!BZ256-'check-Jul''26'!BV256)</f>
        <v/>
      </c>
      <c r="BW238" s="25" t="str">
        <f>IF('1. Live'!CA256='check-Jul''26'!BW256,"",'1. Live'!CA256-'check-Jul''26'!BW256)</f>
        <v/>
      </c>
      <c r="BX238" s="25" t="str">
        <f>IF('1. Live'!CB256='check-Jul''26'!BX256,"",'1. Live'!CB256-'check-Jul''26'!BX256)</f>
        <v/>
      </c>
      <c r="BY238" s="25" t="str">
        <f>IF('1. Live'!CC256='check-Jul''26'!BY256,"",'1. Live'!CC256-'check-Jul''26'!BY256)</f>
        <v/>
      </c>
      <c r="BZ238" s="25" t="str">
        <f>IF('1. Live'!CD256='check-Jul''26'!BZ256,"",'1. Live'!CD256-'check-Jul''26'!BZ256)</f>
        <v/>
      </c>
      <c r="CA238" s="25" t="str">
        <f>IF('1. Live'!CE256='check-Jul''26'!CA256,"",'1. Live'!CE256-'check-Jul''26'!CA256)</f>
        <v/>
      </c>
      <c r="CB238" s="25" t="str">
        <f>IF('1. Live'!CF256='check-Jul''26'!CB256,"",'1. Live'!CF256-'check-Jul''26'!CB256)</f>
        <v/>
      </c>
      <c r="CC238" s="25" t="str">
        <f>IF('1. Live'!CG256='check-Jul''26'!CC256,"",'1. Live'!CG256-'check-Jul''26'!CC256)</f>
        <v/>
      </c>
      <c r="CD238" s="25" t="str">
        <f>IF('1. Live'!CH256='check-Jul''26'!CD256,"",'1. Live'!CH256-'check-Jul''26'!CD256)</f>
        <v/>
      </c>
      <c r="CE238" s="25" t="str">
        <f>IF('1. Live'!CI256='check-Jul''26'!CE256,"",'1. Live'!CI256-'check-Jul''26'!CE256)</f>
        <v/>
      </c>
      <c r="CF238" s="25" t="str">
        <f>IF('1. Live'!CJ256='check-Jul''26'!CF256,"",'1. Live'!CJ256-'check-Jul''26'!CF256)</f>
        <v/>
      </c>
      <c r="CG238" s="25" t="str">
        <f>IF('1. Live'!CK256='check-Jul''26'!CG256,"",'1. Live'!CK256-'check-Jul''26'!CG256)</f>
        <v/>
      </c>
      <c r="CH238" s="25" t="str">
        <f>IF('1. Live'!CL256='check-Jul''26'!CH256,"",'1. Live'!CL256-'check-Jul''26'!CH256)</f>
        <v/>
      </c>
      <c r="CI238" s="25" t="str">
        <f>IF('1. Live'!CM256='check-Jul''26'!CI256,"",'1. Live'!CM256-'check-Jul''26'!CI256)</f>
        <v/>
      </c>
      <c r="CJ238" s="25" t="str">
        <f>IF('1. Live'!CN256='check-Jul''26'!CJ256,"",'1. Live'!CN256-'check-Jul''26'!CJ256)</f>
        <v/>
      </c>
      <c r="CK238" s="25" t="str">
        <f>IF('1. Live'!CO256='check-Jul''26'!CK256,"",'1. Live'!CO256-'check-Jul''26'!CK256)</f>
        <v/>
      </c>
      <c r="CL238" s="25" t="str">
        <f>IF('1. Live'!CP256='check-Jul''26'!CL256,"",'1. Live'!CP256-'check-Jul''26'!CL256)</f>
        <v/>
      </c>
      <c r="CM238" s="25" t="str">
        <f>IF('1. Live'!CQ256='check-Jul''26'!CM256,"",'1. Live'!CQ256-'check-Jul''26'!CM256)</f>
        <v/>
      </c>
      <c r="CN238" s="25" t="str">
        <f>IF('1. Live'!CR256='check-Jul''26'!CN256,"",'1. Live'!CR256-'check-Jul''26'!CN256)</f>
        <v/>
      </c>
      <c r="CO238" s="25" t="str">
        <f>IF('1. Live'!CS256='check-Jul''26'!CO256,"",'1. Live'!CS256-'check-Jul''26'!CO256)</f>
        <v/>
      </c>
      <c r="CP238" s="25" t="str">
        <f>IF('1. Live'!CT256='check-Jul''26'!CP256,"",'1. Live'!CT256-'check-Jul''26'!CP256)</f>
        <v/>
      </c>
      <c r="CQ238" s="25" t="str">
        <f>IF('1. Live'!CU256='check-Jul''26'!CQ256,"",'1. Live'!CU256-'check-Jul''26'!CQ256)</f>
        <v/>
      </c>
      <c r="CR238" s="25" t="str">
        <f>IF('1. Live'!CV256='check-Jul''26'!CR256,"",'1. Live'!CV256-'check-Jul''26'!CR256)</f>
        <v/>
      </c>
      <c r="CS238" s="25" t="str">
        <f>IF('1. Live'!CW256='check-Jul''26'!CS256,"",'1. Live'!CW256-'check-Jul''26'!CS256)</f>
        <v/>
      </c>
      <c r="CT238" s="25" t="str">
        <f>IF('1. Live'!CX256='check-Jul''26'!CT256,"",'1. Live'!CX256-'check-Jul''26'!CT256)</f>
        <v/>
      </c>
      <c r="CU238" s="25" t="str">
        <f>IF('1. Live'!CY256='check-Jul''26'!CU256,"",'1. Live'!CY256-'check-Jul''26'!CU256)</f>
        <v/>
      </c>
      <c r="CV238" s="25" t="str">
        <f>IF('1. Live'!CZ256='check-Jul''26'!CV256,"",'1. Live'!CZ256-'check-Jul''26'!CV256)</f>
        <v/>
      </c>
    </row>
    <row r="239" spans="17:100" x14ac:dyDescent="0.25">
      <c r="Q239" s="26" t="str">
        <f>IF('1. Live'!N257='check-Jul''26'!I257,"",'1. Live'!N257-'check-Jul''26'!I257)</f>
        <v/>
      </c>
      <c r="R239" s="26" t="str">
        <f>IF('1. Live'!O257='check-Jul''26'!J257,"",'1. Live'!O257-'check-Jul''26'!J257)</f>
        <v/>
      </c>
      <c r="S239" s="26" t="str">
        <f>IF('1. Live'!P257='check-Jul''26'!K257,"",'1. Live'!P257-'check-Jul''26'!K257)</f>
        <v/>
      </c>
      <c r="T239" s="26" t="str">
        <f>IF('1. Live'!Q257='check-Jul''26'!L257,"",'1. Live'!Q257-'check-Jul''26'!L257)</f>
        <v/>
      </c>
      <c r="U239" s="80" t="str">
        <f>IF('1. Live'!R257='check-Jul''26'!M257,"",'1. Live'!R257-'check-Jul''26'!M257)</f>
        <v/>
      </c>
      <c r="V239" s="26" t="str">
        <f>IF('1. Live'!S257='check-Jul''26'!N257,"",'1. Live'!S257-'check-Jul''26'!N257)</f>
        <v/>
      </c>
      <c r="W239" s="25" t="str">
        <f>IF('1. Live'!T257='check-Jul''26'!O257,"",'1. Live'!T257-'check-Jul''26'!O257)</f>
        <v/>
      </c>
      <c r="X239" s="25" t="str">
        <f>IF('1. Live'!U257='check-Jul''26'!Q257,"",'1. Live'!U257-'check-Jul''26'!Q257)</f>
        <v/>
      </c>
      <c r="Y239" s="25" t="str">
        <f>IF('1. Live'!V257='check-Jul''26'!R257,"",'1. Live'!V257-'check-Jul''26'!R257)</f>
        <v/>
      </c>
      <c r="Z239" s="25" t="str">
        <f>IF('1. Live'!W257='check-Jul''26'!S257,"",'1. Live'!W257-'check-Jul''26'!S257)</f>
        <v/>
      </c>
      <c r="AA239" s="25" t="str">
        <f>IF('1. Live'!X257='check-Jul''26'!T257,"",'1. Live'!X257-'check-Jul''26'!T257)</f>
        <v/>
      </c>
      <c r="AB239" s="25" t="str">
        <f>IF('1. Live'!AF257='check-Jul''26'!AB257,"",'1. Live'!AF257-'check-Jul''26'!AB257)</f>
        <v/>
      </c>
      <c r="AC239" s="25" t="str">
        <f>IF('1. Live'!AG257='check-Jul''26'!AC257,"",'1. Live'!AG257-'check-Jul''26'!AC257)</f>
        <v/>
      </c>
      <c r="AD239" s="25" t="str">
        <f>IF('1. Live'!AH257='check-Jul''26'!AD257,"",'1. Live'!AH257-'check-Jul''26'!AD257)</f>
        <v/>
      </c>
      <c r="AE239" s="25" t="str">
        <f>IF('1. Live'!AI257='check-Jul''26'!AE257,"",'1. Live'!AI257-'check-Jul''26'!AE257)</f>
        <v/>
      </c>
      <c r="AF239" s="25" t="str">
        <f>IF('1. Live'!AJ257='check-Jul''26'!AF257,"",'1. Live'!AJ257-'check-Jul''26'!AF257)</f>
        <v/>
      </c>
      <c r="AG239" s="25" t="str">
        <f>IF('1. Live'!AK257='check-Jul''26'!AG257,"",'1. Live'!AK257-'check-Jul''26'!AG257)</f>
        <v/>
      </c>
      <c r="AH239" s="25" t="str">
        <f>IF('1. Live'!AL257='check-Jul''26'!AH257,"",'1. Live'!AL257-'check-Jul''26'!AH257)</f>
        <v/>
      </c>
      <c r="AI239" s="25" t="str">
        <f>IF('1. Live'!AM257='check-Jul''26'!AI257,"",'1. Live'!AM257-'check-Jul''26'!AI257)</f>
        <v/>
      </c>
      <c r="AJ239" s="25" t="str">
        <f>IF('1. Live'!AN257='check-Jul''26'!AJ257,"",'1. Live'!AN257-'check-Jul''26'!AJ257)</f>
        <v/>
      </c>
      <c r="AK239" s="25" t="str">
        <f>IF('1. Live'!AO257='check-Jul''26'!AK257,"",'1. Live'!AO257-'check-Jul''26'!AK257)</f>
        <v/>
      </c>
      <c r="AL239" s="25" t="str">
        <f>IF('1. Live'!AP257='check-Jul''26'!AL257,"",'1. Live'!AP257-'check-Jul''26'!AL257)</f>
        <v/>
      </c>
      <c r="AM239" s="25" t="str">
        <f>IF('1. Live'!AQ257='check-Jul''26'!AM257,"",'1. Live'!AQ257-'check-Jul''26'!AM257)</f>
        <v/>
      </c>
      <c r="AN239" s="25" t="str">
        <f>IF('1. Live'!AR257='check-Jul''26'!AN257,"",'1. Live'!AR257-'check-Jul''26'!AN257)</f>
        <v/>
      </c>
      <c r="AO239" s="25" t="str">
        <f>IF('1. Live'!AS257='check-Jul''26'!AO257,"",'1. Live'!AS257-'check-Jul''26'!AO257)</f>
        <v/>
      </c>
      <c r="AP239" s="25" t="str">
        <f>IF('1. Live'!AT257='check-Jul''26'!AP257,"",'1. Live'!AT257-'check-Jul''26'!AP257)</f>
        <v/>
      </c>
      <c r="AQ239" s="25" t="str">
        <f>IF('1. Live'!AU257='check-Jul''26'!AQ257,"",'1. Live'!AU257-'check-Jul''26'!AQ257)</f>
        <v/>
      </c>
      <c r="AR239" s="25" t="str">
        <f>IF('1. Live'!AV257='check-Jul''26'!AR257,"",'1. Live'!AV257-'check-Jul''26'!AR257)</f>
        <v/>
      </c>
      <c r="AS239" s="25" t="str">
        <f>IF('1. Live'!AW257='check-Jul''26'!AS257,"",'1. Live'!AW257-'check-Jul''26'!AS257)</f>
        <v/>
      </c>
      <c r="AT239" s="25" t="str">
        <f>IF('1. Live'!AX257='check-Jul''26'!AT257,"",'1. Live'!AX257-'check-Jul''26'!AT257)</f>
        <v/>
      </c>
      <c r="AU239" s="25" t="str">
        <f>IF('1. Live'!AY257='check-Jul''26'!AU257,"",'1. Live'!AY257-'check-Jul''26'!AU257)</f>
        <v/>
      </c>
      <c r="AV239" s="25" t="str">
        <f>IF('1. Live'!AZ257='check-Jul''26'!AV257,"",'1. Live'!AZ257-'check-Jul''26'!AV257)</f>
        <v/>
      </c>
      <c r="AW239" s="25" t="str">
        <f>IF('1. Live'!BA257='check-Jul''26'!AW257,"",'1. Live'!BA257-'check-Jul''26'!AW257)</f>
        <v/>
      </c>
      <c r="AX239" s="25" t="str">
        <f>IF('1. Live'!BB257='check-Jul''26'!AX257,"",'1. Live'!BB257-'check-Jul''26'!AX257)</f>
        <v/>
      </c>
      <c r="AY239" s="25" t="str">
        <f>IF('1. Live'!BC257='check-Jul''26'!AY257,"",'1. Live'!BC257-'check-Jul''26'!AY257)</f>
        <v/>
      </c>
      <c r="AZ239" s="25" t="str">
        <f>IF('1. Live'!BD257='check-Jul''26'!AZ257,"",'1. Live'!BD257-'check-Jul''26'!AZ257)</f>
        <v/>
      </c>
      <c r="BA239" s="25" t="str">
        <f>IF('1. Live'!BE257='check-Jul''26'!BA257,"",'1. Live'!BE257-'check-Jul''26'!BA257)</f>
        <v/>
      </c>
      <c r="BB239" s="25" t="str">
        <f>IF('1. Live'!BF257='check-Jul''26'!BB257,"",'1. Live'!BF257-'check-Jul''26'!BB257)</f>
        <v/>
      </c>
      <c r="BC239" s="25" t="str">
        <f>IF('1. Live'!BG257='check-Jul''26'!BC257,"",'1. Live'!BG257-'check-Jul''26'!BC257)</f>
        <v/>
      </c>
      <c r="BD239" s="25" t="str">
        <f>IF('1. Live'!BH257='check-Jul''26'!BD257,"",'1. Live'!BH257-'check-Jul''26'!BD257)</f>
        <v/>
      </c>
      <c r="BE239" s="25" t="str">
        <f>IF('1. Live'!BI257='check-Jul''26'!BE257,"",'1. Live'!BI257-'check-Jul''26'!BE257)</f>
        <v/>
      </c>
      <c r="BF239" s="25" t="str">
        <f>IF('1. Live'!BJ257='check-Jul''26'!BF257,"",'1. Live'!BJ257-'check-Jul''26'!BF257)</f>
        <v/>
      </c>
      <c r="BG239" s="25" t="str">
        <f>IF('1. Live'!BK257='check-Jul''26'!BG257,"",'1. Live'!BK257-'check-Jul''26'!BG257)</f>
        <v/>
      </c>
      <c r="BH239" s="25" t="str">
        <f>IF('1. Live'!BL257='check-Jul''26'!BH257,"",'1. Live'!BL257-'check-Jul''26'!BH257)</f>
        <v/>
      </c>
      <c r="BI239" s="25" t="str">
        <f>IF('1. Live'!BM257='check-Jul''26'!BI257,"",'1. Live'!BM257-'check-Jul''26'!BI257)</f>
        <v/>
      </c>
      <c r="BJ239" s="25" t="str">
        <f>IF('1. Live'!BN257='check-Jul''26'!BJ257,"",'1. Live'!BN257-'check-Jul''26'!BJ257)</f>
        <v/>
      </c>
      <c r="BK239" s="25" t="str">
        <f>IF('1. Live'!BO257='check-Jul''26'!BK257,"",'1. Live'!BO257-'check-Jul''26'!BK257)</f>
        <v/>
      </c>
      <c r="BL239" s="25" t="str">
        <f>IF('1. Live'!BP257='check-Jul''26'!BL257,"",'1. Live'!BP257-'check-Jul''26'!BL257)</f>
        <v/>
      </c>
      <c r="BM239" s="25" t="str">
        <f>IF('1. Live'!BQ257='check-Jul''26'!BM257,"",'1. Live'!BQ257-'check-Jul''26'!BM257)</f>
        <v/>
      </c>
      <c r="BN239" s="25" t="str">
        <f>IF('1. Live'!BR257='check-Jul''26'!BN257,"",'1. Live'!BR257-'check-Jul''26'!BN257)</f>
        <v/>
      </c>
      <c r="BO239" s="25" t="str">
        <f>IF('1. Live'!BS257='check-Jul''26'!BO257,"",'1. Live'!BS257-'check-Jul''26'!BO257)</f>
        <v/>
      </c>
      <c r="BP239" s="25" t="str">
        <f>IF('1. Live'!BT257='check-Jul''26'!BP257,"",'1. Live'!BT257-'check-Jul''26'!BP257)</f>
        <v/>
      </c>
      <c r="BQ239" s="25" t="str">
        <f>IF('1. Live'!BU257='check-Jul''26'!BQ257,"",'1. Live'!BU257-'check-Jul''26'!BQ257)</f>
        <v/>
      </c>
      <c r="BR239" s="25" t="str">
        <f>IF('1. Live'!BV257='check-Jul''26'!BR257,"",'1. Live'!BV257-'check-Jul''26'!BR257)</f>
        <v/>
      </c>
      <c r="BS239" s="25" t="str">
        <f>IF('1. Live'!BW257='check-Jul''26'!BS257,"",'1. Live'!BW257-'check-Jul''26'!BS257)</f>
        <v/>
      </c>
      <c r="BT239" s="25" t="str">
        <f>IF('1. Live'!BX257='check-Jul''26'!BT257,"",'1. Live'!BX257-'check-Jul''26'!BT257)</f>
        <v/>
      </c>
      <c r="BU239" s="25" t="str">
        <f>IF('1. Live'!BY257='check-Jul''26'!BU257,"",'1. Live'!BY257-'check-Jul''26'!BU257)</f>
        <v/>
      </c>
      <c r="BV239" s="25" t="str">
        <f>IF('1. Live'!BZ257='check-Jul''26'!BV257,"",'1. Live'!BZ257-'check-Jul''26'!BV257)</f>
        <v/>
      </c>
      <c r="BW239" s="25" t="str">
        <f>IF('1. Live'!CA257='check-Jul''26'!BW257,"",'1. Live'!CA257-'check-Jul''26'!BW257)</f>
        <v/>
      </c>
      <c r="BX239" s="25" t="str">
        <f>IF('1. Live'!CB257='check-Jul''26'!BX257,"",'1. Live'!CB257-'check-Jul''26'!BX257)</f>
        <v/>
      </c>
      <c r="BY239" s="25" t="str">
        <f>IF('1. Live'!CC257='check-Jul''26'!BY257,"",'1. Live'!CC257-'check-Jul''26'!BY257)</f>
        <v/>
      </c>
      <c r="BZ239" s="25" t="str">
        <f>IF('1. Live'!CD257='check-Jul''26'!BZ257,"",'1. Live'!CD257-'check-Jul''26'!BZ257)</f>
        <v/>
      </c>
      <c r="CA239" s="25" t="str">
        <f>IF('1. Live'!CE257='check-Jul''26'!CA257,"",'1. Live'!CE257-'check-Jul''26'!CA257)</f>
        <v/>
      </c>
      <c r="CB239" s="25" t="str">
        <f>IF('1. Live'!CF257='check-Jul''26'!CB257,"",'1. Live'!CF257-'check-Jul''26'!CB257)</f>
        <v/>
      </c>
      <c r="CC239" s="25" t="str">
        <f>IF('1. Live'!CG257='check-Jul''26'!CC257,"",'1. Live'!CG257-'check-Jul''26'!CC257)</f>
        <v/>
      </c>
      <c r="CD239" s="25" t="str">
        <f>IF('1. Live'!CH257='check-Jul''26'!CD257,"",'1. Live'!CH257-'check-Jul''26'!CD257)</f>
        <v/>
      </c>
      <c r="CE239" s="25" t="str">
        <f>IF('1. Live'!CI257='check-Jul''26'!CE257,"",'1. Live'!CI257-'check-Jul''26'!CE257)</f>
        <v/>
      </c>
      <c r="CF239" s="25" t="str">
        <f>IF('1. Live'!CJ257='check-Jul''26'!CF257,"",'1. Live'!CJ257-'check-Jul''26'!CF257)</f>
        <v/>
      </c>
      <c r="CG239" s="25" t="str">
        <f>IF('1. Live'!CK257='check-Jul''26'!CG257,"",'1. Live'!CK257-'check-Jul''26'!CG257)</f>
        <v/>
      </c>
      <c r="CH239" s="25" t="str">
        <f>IF('1. Live'!CL257='check-Jul''26'!CH257,"",'1. Live'!CL257-'check-Jul''26'!CH257)</f>
        <v/>
      </c>
      <c r="CI239" s="25" t="str">
        <f>IF('1. Live'!CM257='check-Jul''26'!CI257,"",'1. Live'!CM257-'check-Jul''26'!CI257)</f>
        <v/>
      </c>
      <c r="CJ239" s="25" t="str">
        <f>IF('1. Live'!CN257='check-Jul''26'!CJ257,"",'1. Live'!CN257-'check-Jul''26'!CJ257)</f>
        <v/>
      </c>
      <c r="CK239" s="25" t="str">
        <f>IF('1. Live'!CO257='check-Jul''26'!CK257,"",'1. Live'!CO257-'check-Jul''26'!CK257)</f>
        <v/>
      </c>
      <c r="CL239" s="25" t="str">
        <f>IF('1. Live'!CP257='check-Jul''26'!CL257,"",'1. Live'!CP257-'check-Jul''26'!CL257)</f>
        <v/>
      </c>
      <c r="CM239" s="25" t="str">
        <f>IF('1. Live'!CQ257='check-Jul''26'!CM257,"",'1. Live'!CQ257-'check-Jul''26'!CM257)</f>
        <v/>
      </c>
      <c r="CN239" s="25" t="str">
        <f>IF('1. Live'!CR257='check-Jul''26'!CN257,"",'1. Live'!CR257-'check-Jul''26'!CN257)</f>
        <v/>
      </c>
      <c r="CO239" s="25" t="str">
        <f>IF('1. Live'!CS257='check-Jul''26'!CO257,"",'1. Live'!CS257-'check-Jul''26'!CO257)</f>
        <v/>
      </c>
      <c r="CP239" s="25" t="str">
        <f>IF('1. Live'!CT257='check-Jul''26'!CP257,"",'1. Live'!CT257-'check-Jul''26'!CP257)</f>
        <v/>
      </c>
      <c r="CQ239" s="25" t="str">
        <f>IF('1. Live'!CU257='check-Jul''26'!CQ257,"",'1. Live'!CU257-'check-Jul''26'!CQ257)</f>
        <v/>
      </c>
      <c r="CR239" s="25" t="str">
        <f>IF('1. Live'!CV257='check-Jul''26'!CR257,"",'1. Live'!CV257-'check-Jul''26'!CR257)</f>
        <v/>
      </c>
      <c r="CS239" s="25" t="str">
        <f>IF('1. Live'!CW257='check-Jul''26'!CS257,"",'1. Live'!CW257-'check-Jul''26'!CS257)</f>
        <v/>
      </c>
      <c r="CT239" s="25" t="str">
        <f>IF('1. Live'!CX257='check-Jul''26'!CT257,"",'1. Live'!CX257-'check-Jul''26'!CT257)</f>
        <v/>
      </c>
      <c r="CU239" s="25" t="str">
        <f>IF('1. Live'!CY257='check-Jul''26'!CU257,"",'1. Live'!CY257-'check-Jul''26'!CU257)</f>
        <v/>
      </c>
      <c r="CV239" s="25" t="str">
        <f>IF('1. Live'!CZ257='check-Jul''26'!CV257,"",'1. Live'!CZ257-'check-Jul''26'!CV257)</f>
        <v/>
      </c>
    </row>
    <row r="240" spans="17:100" x14ac:dyDescent="0.25">
      <c r="Q240" s="26" t="str">
        <f>IF('1. Live'!N258='check-Jul''26'!I258,"",'1. Live'!N258-'check-Jul''26'!I258)</f>
        <v/>
      </c>
      <c r="R240" s="26" t="str">
        <f>IF('1. Live'!O258='check-Jul''26'!J258,"",'1. Live'!O258-'check-Jul''26'!J258)</f>
        <v/>
      </c>
      <c r="S240" s="26" t="str">
        <f>IF('1. Live'!P258='check-Jul''26'!K258,"",'1. Live'!P258-'check-Jul''26'!K258)</f>
        <v/>
      </c>
      <c r="T240" s="26" t="str">
        <f>IF('1. Live'!Q258='check-Jul''26'!L258,"",'1. Live'!Q258-'check-Jul''26'!L258)</f>
        <v/>
      </c>
      <c r="U240" s="80" t="str">
        <f>IF('1. Live'!R258='check-Jul''26'!M258,"",'1. Live'!R258-'check-Jul''26'!M258)</f>
        <v/>
      </c>
      <c r="V240" s="26" t="str">
        <f>IF('1. Live'!S258='check-Jul''26'!N258,"",'1. Live'!S258-'check-Jul''26'!N258)</f>
        <v/>
      </c>
      <c r="W240" s="25" t="str">
        <f>IF('1. Live'!T258='check-Jul''26'!O258,"",'1. Live'!T258-'check-Jul''26'!O258)</f>
        <v/>
      </c>
      <c r="X240" s="25" t="str">
        <f>IF('1. Live'!U258='check-Jul''26'!Q258,"",'1. Live'!U258-'check-Jul''26'!Q258)</f>
        <v/>
      </c>
      <c r="Y240" s="25" t="str">
        <f>IF('1. Live'!V258='check-Jul''26'!R258,"",'1. Live'!V258-'check-Jul''26'!R258)</f>
        <v/>
      </c>
      <c r="Z240" s="25" t="str">
        <f>IF('1. Live'!W258='check-Jul''26'!S258,"",'1. Live'!W258-'check-Jul''26'!S258)</f>
        <v/>
      </c>
      <c r="AA240" s="25" t="str">
        <f>IF('1. Live'!X258='check-Jul''26'!T258,"",'1. Live'!X258-'check-Jul''26'!T258)</f>
        <v/>
      </c>
      <c r="AB240" s="25" t="str">
        <f>IF('1. Live'!AF258='check-Jul''26'!AB258,"",'1. Live'!AF258-'check-Jul''26'!AB258)</f>
        <v/>
      </c>
      <c r="AC240" s="25" t="str">
        <f>IF('1. Live'!AG258='check-Jul''26'!AC258,"",'1. Live'!AG258-'check-Jul''26'!AC258)</f>
        <v/>
      </c>
      <c r="AD240" s="25" t="str">
        <f>IF('1. Live'!AH258='check-Jul''26'!AD258,"",'1. Live'!AH258-'check-Jul''26'!AD258)</f>
        <v/>
      </c>
      <c r="AE240" s="25" t="str">
        <f>IF('1. Live'!AI258='check-Jul''26'!AE258,"",'1. Live'!AI258-'check-Jul''26'!AE258)</f>
        <v/>
      </c>
      <c r="AF240" s="25" t="str">
        <f>IF('1. Live'!AJ258='check-Jul''26'!AF258,"",'1. Live'!AJ258-'check-Jul''26'!AF258)</f>
        <v/>
      </c>
      <c r="AG240" s="25" t="str">
        <f>IF('1. Live'!AK258='check-Jul''26'!AG258,"",'1. Live'!AK258-'check-Jul''26'!AG258)</f>
        <v/>
      </c>
      <c r="AH240" s="25" t="str">
        <f>IF('1. Live'!AL258='check-Jul''26'!AH258,"",'1. Live'!AL258-'check-Jul''26'!AH258)</f>
        <v/>
      </c>
      <c r="AI240" s="25" t="str">
        <f>IF('1. Live'!AM258='check-Jul''26'!AI258,"",'1. Live'!AM258-'check-Jul''26'!AI258)</f>
        <v/>
      </c>
      <c r="AJ240" s="25" t="str">
        <f>IF('1. Live'!AN258='check-Jul''26'!AJ258,"",'1. Live'!AN258-'check-Jul''26'!AJ258)</f>
        <v/>
      </c>
      <c r="AK240" s="25" t="str">
        <f>IF('1. Live'!AO258='check-Jul''26'!AK258,"",'1. Live'!AO258-'check-Jul''26'!AK258)</f>
        <v/>
      </c>
      <c r="AL240" s="25" t="str">
        <f>IF('1. Live'!AP258='check-Jul''26'!AL258,"",'1. Live'!AP258-'check-Jul''26'!AL258)</f>
        <v/>
      </c>
      <c r="AM240" s="25" t="str">
        <f>IF('1. Live'!AQ258='check-Jul''26'!AM258,"",'1. Live'!AQ258-'check-Jul''26'!AM258)</f>
        <v/>
      </c>
      <c r="AN240" s="25" t="str">
        <f>IF('1. Live'!AR258='check-Jul''26'!AN258,"",'1. Live'!AR258-'check-Jul''26'!AN258)</f>
        <v/>
      </c>
      <c r="AO240" s="25" t="str">
        <f>IF('1. Live'!AS258='check-Jul''26'!AO258,"",'1. Live'!AS258-'check-Jul''26'!AO258)</f>
        <v/>
      </c>
      <c r="AP240" s="25" t="str">
        <f>IF('1. Live'!AT258='check-Jul''26'!AP258,"",'1. Live'!AT258-'check-Jul''26'!AP258)</f>
        <v/>
      </c>
      <c r="AQ240" s="25" t="str">
        <f>IF('1. Live'!AU258='check-Jul''26'!AQ258,"",'1. Live'!AU258-'check-Jul''26'!AQ258)</f>
        <v/>
      </c>
      <c r="AR240" s="25" t="str">
        <f>IF('1. Live'!AV258='check-Jul''26'!AR258,"",'1. Live'!AV258-'check-Jul''26'!AR258)</f>
        <v/>
      </c>
      <c r="AS240" s="25" t="str">
        <f>IF('1. Live'!AW258='check-Jul''26'!AS258,"",'1. Live'!AW258-'check-Jul''26'!AS258)</f>
        <v/>
      </c>
      <c r="AT240" s="25" t="str">
        <f>IF('1. Live'!AX258='check-Jul''26'!AT258,"",'1. Live'!AX258-'check-Jul''26'!AT258)</f>
        <v/>
      </c>
      <c r="AU240" s="25" t="str">
        <f>IF('1. Live'!AY258='check-Jul''26'!AU258,"",'1. Live'!AY258-'check-Jul''26'!AU258)</f>
        <v/>
      </c>
      <c r="AV240" s="25" t="str">
        <f>IF('1. Live'!AZ258='check-Jul''26'!AV258,"",'1. Live'!AZ258-'check-Jul''26'!AV258)</f>
        <v/>
      </c>
      <c r="AW240" s="25" t="str">
        <f>IF('1. Live'!BA258='check-Jul''26'!AW258,"",'1. Live'!BA258-'check-Jul''26'!AW258)</f>
        <v/>
      </c>
      <c r="AX240" s="25" t="str">
        <f>IF('1. Live'!BB258='check-Jul''26'!AX258,"",'1. Live'!BB258-'check-Jul''26'!AX258)</f>
        <v/>
      </c>
      <c r="AY240" s="25" t="str">
        <f>IF('1. Live'!BC258='check-Jul''26'!AY258,"",'1. Live'!BC258-'check-Jul''26'!AY258)</f>
        <v/>
      </c>
      <c r="AZ240" s="25" t="str">
        <f>IF('1. Live'!BD258='check-Jul''26'!AZ258,"",'1. Live'!BD258-'check-Jul''26'!AZ258)</f>
        <v/>
      </c>
      <c r="BA240" s="25" t="str">
        <f>IF('1. Live'!BE258='check-Jul''26'!BA258,"",'1. Live'!BE258-'check-Jul''26'!BA258)</f>
        <v/>
      </c>
      <c r="BB240" s="25" t="str">
        <f>IF('1. Live'!BF258='check-Jul''26'!BB258,"",'1. Live'!BF258-'check-Jul''26'!BB258)</f>
        <v/>
      </c>
      <c r="BC240" s="25" t="str">
        <f>IF('1. Live'!BG258='check-Jul''26'!BC258,"",'1. Live'!BG258-'check-Jul''26'!BC258)</f>
        <v/>
      </c>
      <c r="BD240" s="25" t="str">
        <f>IF('1. Live'!BH258='check-Jul''26'!BD258,"",'1. Live'!BH258-'check-Jul''26'!BD258)</f>
        <v/>
      </c>
      <c r="BE240" s="25" t="str">
        <f>IF('1. Live'!BI258='check-Jul''26'!BE258,"",'1. Live'!BI258-'check-Jul''26'!BE258)</f>
        <v/>
      </c>
      <c r="BF240" s="25" t="str">
        <f>IF('1. Live'!BJ258='check-Jul''26'!BF258,"",'1. Live'!BJ258-'check-Jul''26'!BF258)</f>
        <v/>
      </c>
      <c r="BG240" s="25" t="str">
        <f>IF('1. Live'!BK258='check-Jul''26'!BG258,"",'1. Live'!BK258-'check-Jul''26'!BG258)</f>
        <v/>
      </c>
      <c r="BH240" s="25" t="str">
        <f>IF('1. Live'!BL258='check-Jul''26'!BH258,"",'1. Live'!BL258-'check-Jul''26'!BH258)</f>
        <v/>
      </c>
      <c r="BI240" s="25" t="str">
        <f>IF('1. Live'!BM258='check-Jul''26'!BI258,"",'1. Live'!BM258-'check-Jul''26'!BI258)</f>
        <v/>
      </c>
      <c r="BJ240" s="25" t="str">
        <f>IF('1. Live'!BN258='check-Jul''26'!BJ258,"",'1. Live'!BN258-'check-Jul''26'!BJ258)</f>
        <v/>
      </c>
      <c r="BK240" s="25" t="str">
        <f>IF('1. Live'!BO258='check-Jul''26'!BK258,"",'1. Live'!BO258-'check-Jul''26'!BK258)</f>
        <v/>
      </c>
      <c r="BL240" s="25" t="str">
        <f>IF('1. Live'!BP258='check-Jul''26'!BL258,"",'1. Live'!BP258-'check-Jul''26'!BL258)</f>
        <v/>
      </c>
      <c r="BM240" s="25" t="str">
        <f>IF('1. Live'!BQ258='check-Jul''26'!BM258,"",'1. Live'!BQ258-'check-Jul''26'!BM258)</f>
        <v/>
      </c>
      <c r="BN240" s="25" t="str">
        <f>IF('1. Live'!BR258='check-Jul''26'!BN258,"",'1. Live'!BR258-'check-Jul''26'!BN258)</f>
        <v/>
      </c>
      <c r="BO240" s="25" t="str">
        <f>IF('1. Live'!BS258='check-Jul''26'!BO258,"",'1. Live'!BS258-'check-Jul''26'!BO258)</f>
        <v/>
      </c>
      <c r="BP240" s="25" t="str">
        <f>IF('1. Live'!BT258='check-Jul''26'!BP258,"",'1. Live'!BT258-'check-Jul''26'!BP258)</f>
        <v/>
      </c>
      <c r="BQ240" s="25" t="str">
        <f>IF('1. Live'!BU258='check-Jul''26'!BQ258,"",'1. Live'!BU258-'check-Jul''26'!BQ258)</f>
        <v/>
      </c>
      <c r="BR240" s="25" t="str">
        <f>IF('1. Live'!BV258='check-Jul''26'!BR258,"",'1. Live'!BV258-'check-Jul''26'!BR258)</f>
        <v/>
      </c>
      <c r="BS240" s="25" t="str">
        <f>IF('1. Live'!BW258='check-Jul''26'!BS258,"",'1. Live'!BW258-'check-Jul''26'!BS258)</f>
        <v/>
      </c>
      <c r="BT240" s="25" t="str">
        <f>IF('1. Live'!BX258='check-Jul''26'!BT258,"",'1. Live'!BX258-'check-Jul''26'!BT258)</f>
        <v/>
      </c>
      <c r="BU240" s="25" t="str">
        <f>IF('1. Live'!BY258='check-Jul''26'!BU258,"",'1. Live'!BY258-'check-Jul''26'!BU258)</f>
        <v/>
      </c>
      <c r="BV240" s="25" t="str">
        <f>IF('1. Live'!BZ258='check-Jul''26'!BV258,"",'1. Live'!BZ258-'check-Jul''26'!BV258)</f>
        <v/>
      </c>
      <c r="BW240" s="25" t="str">
        <f>IF('1. Live'!CA258='check-Jul''26'!BW258,"",'1. Live'!CA258-'check-Jul''26'!BW258)</f>
        <v/>
      </c>
      <c r="BX240" s="25" t="str">
        <f>IF('1. Live'!CB258='check-Jul''26'!BX258,"",'1. Live'!CB258-'check-Jul''26'!BX258)</f>
        <v/>
      </c>
      <c r="BY240" s="25" t="str">
        <f>IF('1. Live'!CC258='check-Jul''26'!BY258,"",'1. Live'!CC258-'check-Jul''26'!BY258)</f>
        <v/>
      </c>
      <c r="BZ240" s="25" t="str">
        <f>IF('1. Live'!CD258='check-Jul''26'!BZ258,"",'1. Live'!CD258-'check-Jul''26'!BZ258)</f>
        <v/>
      </c>
      <c r="CA240" s="25" t="str">
        <f>IF('1. Live'!CE258='check-Jul''26'!CA258,"",'1. Live'!CE258-'check-Jul''26'!CA258)</f>
        <v/>
      </c>
      <c r="CB240" s="25" t="str">
        <f>IF('1. Live'!CF258='check-Jul''26'!CB258,"",'1. Live'!CF258-'check-Jul''26'!CB258)</f>
        <v/>
      </c>
      <c r="CC240" s="25" t="str">
        <f>IF('1. Live'!CG258='check-Jul''26'!CC258,"",'1. Live'!CG258-'check-Jul''26'!CC258)</f>
        <v/>
      </c>
      <c r="CD240" s="25" t="str">
        <f>IF('1. Live'!CH258='check-Jul''26'!CD258,"",'1. Live'!CH258-'check-Jul''26'!CD258)</f>
        <v/>
      </c>
      <c r="CE240" s="25" t="str">
        <f>IF('1. Live'!CI258='check-Jul''26'!CE258,"",'1. Live'!CI258-'check-Jul''26'!CE258)</f>
        <v/>
      </c>
      <c r="CF240" s="25" t="str">
        <f>IF('1. Live'!CJ258='check-Jul''26'!CF258,"",'1. Live'!CJ258-'check-Jul''26'!CF258)</f>
        <v/>
      </c>
      <c r="CG240" s="25" t="str">
        <f>IF('1. Live'!CK258='check-Jul''26'!CG258,"",'1. Live'!CK258-'check-Jul''26'!CG258)</f>
        <v/>
      </c>
      <c r="CH240" s="25" t="str">
        <f>IF('1. Live'!CL258='check-Jul''26'!CH258,"",'1. Live'!CL258-'check-Jul''26'!CH258)</f>
        <v/>
      </c>
      <c r="CI240" s="25" t="str">
        <f>IF('1. Live'!CM258='check-Jul''26'!CI258,"",'1. Live'!CM258-'check-Jul''26'!CI258)</f>
        <v/>
      </c>
      <c r="CJ240" s="25" t="str">
        <f>IF('1. Live'!CN258='check-Jul''26'!CJ258,"",'1. Live'!CN258-'check-Jul''26'!CJ258)</f>
        <v/>
      </c>
      <c r="CK240" s="25" t="str">
        <f>IF('1. Live'!CO258='check-Jul''26'!CK258,"",'1. Live'!CO258-'check-Jul''26'!CK258)</f>
        <v/>
      </c>
      <c r="CL240" s="25" t="str">
        <f>IF('1. Live'!CP258='check-Jul''26'!CL258,"",'1. Live'!CP258-'check-Jul''26'!CL258)</f>
        <v/>
      </c>
      <c r="CM240" s="25" t="str">
        <f>IF('1. Live'!CQ258='check-Jul''26'!CM258,"",'1. Live'!CQ258-'check-Jul''26'!CM258)</f>
        <v/>
      </c>
      <c r="CN240" s="25" t="str">
        <f>IF('1. Live'!CR258='check-Jul''26'!CN258,"",'1. Live'!CR258-'check-Jul''26'!CN258)</f>
        <v/>
      </c>
      <c r="CO240" s="25" t="str">
        <f>IF('1. Live'!CS258='check-Jul''26'!CO258,"",'1. Live'!CS258-'check-Jul''26'!CO258)</f>
        <v/>
      </c>
      <c r="CP240" s="25" t="str">
        <f>IF('1. Live'!CT258='check-Jul''26'!CP258,"",'1. Live'!CT258-'check-Jul''26'!CP258)</f>
        <v/>
      </c>
      <c r="CQ240" s="25" t="str">
        <f>IF('1. Live'!CU258='check-Jul''26'!CQ258,"",'1. Live'!CU258-'check-Jul''26'!CQ258)</f>
        <v/>
      </c>
      <c r="CR240" s="25" t="str">
        <f>IF('1. Live'!CV258='check-Jul''26'!CR258,"",'1. Live'!CV258-'check-Jul''26'!CR258)</f>
        <v/>
      </c>
      <c r="CS240" s="25" t="str">
        <f>IF('1. Live'!CW258='check-Jul''26'!CS258,"",'1. Live'!CW258-'check-Jul''26'!CS258)</f>
        <v/>
      </c>
      <c r="CT240" s="25" t="str">
        <f>IF('1. Live'!CX258='check-Jul''26'!CT258,"",'1. Live'!CX258-'check-Jul''26'!CT258)</f>
        <v/>
      </c>
      <c r="CU240" s="25" t="str">
        <f>IF('1. Live'!CY258='check-Jul''26'!CU258,"",'1. Live'!CY258-'check-Jul''26'!CU258)</f>
        <v/>
      </c>
      <c r="CV240" s="25" t="str">
        <f>IF('1. Live'!CZ258='check-Jul''26'!CV258,"",'1. Live'!CZ258-'check-Jul''26'!CV258)</f>
        <v/>
      </c>
    </row>
    <row r="241" spans="17:100" x14ac:dyDescent="0.25">
      <c r="Q241" s="26" t="str">
        <f>IF('1. Live'!N259='check-Jul''26'!I259,"",'1. Live'!N259-'check-Jul''26'!I259)</f>
        <v/>
      </c>
      <c r="R241" s="26" t="str">
        <f>IF('1. Live'!O259='check-Jul''26'!J259,"",'1. Live'!O259-'check-Jul''26'!J259)</f>
        <v/>
      </c>
      <c r="S241" s="26" t="str">
        <f>IF('1. Live'!P259='check-Jul''26'!K259,"",'1. Live'!P259-'check-Jul''26'!K259)</f>
        <v/>
      </c>
      <c r="T241" s="26" t="str">
        <f>IF('1. Live'!Q259='check-Jul''26'!L259,"",'1. Live'!Q259-'check-Jul''26'!L259)</f>
        <v/>
      </c>
      <c r="U241" s="80" t="str">
        <f>IF('1. Live'!R259='check-Jul''26'!M259,"",'1. Live'!R259-'check-Jul''26'!M259)</f>
        <v/>
      </c>
      <c r="V241" s="26" t="str">
        <f>IF('1. Live'!S259='check-Jul''26'!N259,"",'1. Live'!S259-'check-Jul''26'!N259)</f>
        <v/>
      </c>
      <c r="W241" s="25" t="str">
        <f>IF('1. Live'!T259='check-Jul''26'!O259,"",'1. Live'!T259-'check-Jul''26'!O259)</f>
        <v/>
      </c>
      <c r="X241" s="25" t="str">
        <f>IF('1. Live'!U259='check-Jul''26'!Q259,"",'1. Live'!U259-'check-Jul''26'!Q259)</f>
        <v/>
      </c>
      <c r="Y241" s="25" t="str">
        <f>IF('1. Live'!V259='check-Jul''26'!R259,"",'1. Live'!V259-'check-Jul''26'!R259)</f>
        <v/>
      </c>
      <c r="Z241" s="25" t="str">
        <f>IF('1. Live'!W259='check-Jul''26'!S259,"",'1. Live'!W259-'check-Jul''26'!S259)</f>
        <v/>
      </c>
      <c r="AA241" s="25" t="str">
        <f>IF('1. Live'!X259='check-Jul''26'!T259,"",'1. Live'!X259-'check-Jul''26'!T259)</f>
        <v/>
      </c>
      <c r="AB241" s="25" t="str">
        <f>IF('1. Live'!AF259='check-Jul''26'!AB259,"",'1. Live'!AF259-'check-Jul''26'!AB259)</f>
        <v/>
      </c>
      <c r="AC241" s="25" t="str">
        <f>IF('1. Live'!AG259='check-Jul''26'!AC259,"",'1. Live'!AG259-'check-Jul''26'!AC259)</f>
        <v/>
      </c>
      <c r="AD241" s="25" t="str">
        <f>IF('1. Live'!AH259='check-Jul''26'!AD259,"",'1. Live'!AH259-'check-Jul''26'!AD259)</f>
        <v/>
      </c>
      <c r="AE241" s="25" t="str">
        <f>IF('1. Live'!AI259='check-Jul''26'!AE259,"",'1. Live'!AI259-'check-Jul''26'!AE259)</f>
        <v/>
      </c>
      <c r="AF241" s="25" t="str">
        <f>IF('1. Live'!AJ259='check-Jul''26'!AF259,"",'1. Live'!AJ259-'check-Jul''26'!AF259)</f>
        <v/>
      </c>
      <c r="AG241" s="25" t="str">
        <f>IF('1. Live'!AK259='check-Jul''26'!AG259,"",'1. Live'!AK259-'check-Jul''26'!AG259)</f>
        <v/>
      </c>
      <c r="AH241" s="25" t="str">
        <f>IF('1. Live'!AL259='check-Jul''26'!AH259,"",'1. Live'!AL259-'check-Jul''26'!AH259)</f>
        <v/>
      </c>
      <c r="AI241" s="25" t="str">
        <f>IF('1. Live'!AM259='check-Jul''26'!AI259,"",'1. Live'!AM259-'check-Jul''26'!AI259)</f>
        <v/>
      </c>
      <c r="AJ241" s="25" t="str">
        <f>IF('1. Live'!AN259='check-Jul''26'!AJ259,"",'1. Live'!AN259-'check-Jul''26'!AJ259)</f>
        <v/>
      </c>
      <c r="AK241" s="25" t="str">
        <f>IF('1. Live'!AO259='check-Jul''26'!AK259,"",'1. Live'!AO259-'check-Jul''26'!AK259)</f>
        <v/>
      </c>
      <c r="AL241" s="25" t="str">
        <f>IF('1. Live'!AP259='check-Jul''26'!AL259,"",'1. Live'!AP259-'check-Jul''26'!AL259)</f>
        <v/>
      </c>
      <c r="AM241" s="25" t="str">
        <f>IF('1. Live'!AQ259='check-Jul''26'!AM259,"",'1. Live'!AQ259-'check-Jul''26'!AM259)</f>
        <v/>
      </c>
      <c r="AN241" s="25" t="str">
        <f>IF('1. Live'!AR259='check-Jul''26'!AN259,"",'1. Live'!AR259-'check-Jul''26'!AN259)</f>
        <v/>
      </c>
      <c r="AO241" s="25" t="str">
        <f>IF('1. Live'!AS259='check-Jul''26'!AO259,"",'1. Live'!AS259-'check-Jul''26'!AO259)</f>
        <v/>
      </c>
      <c r="AP241" s="25" t="str">
        <f>IF('1. Live'!AT259='check-Jul''26'!AP259,"",'1. Live'!AT259-'check-Jul''26'!AP259)</f>
        <v/>
      </c>
      <c r="AQ241" s="25" t="str">
        <f>IF('1. Live'!AU259='check-Jul''26'!AQ259,"",'1. Live'!AU259-'check-Jul''26'!AQ259)</f>
        <v/>
      </c>
      <c r="AR241" s="25" t="str">
        <f>IF('1. Live'!AV259='check-Jul''26'!AR259,"",'1. Live'!AV259-'check-Jul''26'!AR259)</f>
        <v/>
      </c>
      <c r="AS241" s="25" t="str">
        <f>IF('1. Live'!AW259='check-Jul''26'!AS259,"",'1. Live'!AW259-'check-Jul''26'!AS259)</f>
        <v/>
      </c>
      <c r="AT241" s="25" t="str">
        <f>IF('1. Live'!AX259='check-Jul''26'!AT259,"",'1. Live'!AX259-'check-Jul''26'!AT259)</f>
        <v/>
      </c>
      <c r="AU241" s="25" t="str">
        <f>IF('1. Live'!AY259='check-Jul''26'!AU259,"",'1. Live'!AY259-'check-Jul''26'!AU259)</f>
        <v/>
      </c>
      <c r="AV241" s="25" t="str">
        <f>IF('1. Live'!AZ259='check-Jul''26'!AV259,"",'1. Live'!AZ259-'check-Jul''26'!AV259)</f>
        <v/>
      </c>
      <c r="AW241" s="25" t="str">
        <f>IF('1. Live'!BA259='check-Jul''26'!AW259,"",'1. Live'!BA259-'check-Jul''26'!AW259)</f>
        <v/>
      </c>
      <c r="AX241" s="25" t="str">
        <f>IF('1. Live'!BB259='check-Jul''26'!AX259,"",'1. Live'!BB259-'check-Jul''26'!AX259)</f>
        <v/>
      </c>
      <c r="AY241" s="25" t="str">
        <f>IF('1. Live'!BC259='check-Jul''26'!AY259,"",'1. Live'!BC259-'check-Jul''26'!AY259)</f>
        <v/>
      </c>
      <c r="AZ241" s="25" t="str">
        <f>IF('1. Live'!BD259='check-Jul''26'!AZ259,"",'1. Live'!BD259-'check-Jul''26'!AZ259)</f>
        <v/>
      </c>
      <c r="BA241" s="25" t="str">
        <f>IF('1. Live'!BE259='check-Jul''26'!BA259,"",'1. Live'!BE259-'check-Jul''26'!BA259)</f>
        <v/>
      </c>
      <c r="BB241" s="25" t="str">
        <f>IF('1. Live'!BF259='check-Jul''26'!BB259,"",'1. Live'!BF259-'check-Jul''26'!BB259)</f>
        <v/>
      </c>
      <c r="BC241" s="25" t="str">
        <f>IF('1. Live'!BG259='check-Jul''26'!BC259,"",'1. Live'!BG259-'check-Jul''26'!BC259)</f>
        <v/>
      </c>
      <c r="BD241" s="25" t="str">
        <f>IF('1. Live'!BH259='check-Jul''26'!BD259,"",'1. Live'!BH259-'check-Jul''26'!BD259)</f>
        <v/>
      </c>
      <c r="BE241" s="25" t="str">
        <f>IF('1. Live'!BI259='check-Jul''26'!BE259,"",'1. Live'!BI259-'check-Jul''26'!BE259)</f>
        <v/>
      </c>
      <c r="BF241" s="25" t="str">
        <f>IF('1. Live'!BJ259='check-Jul''26'!BF259,"",'1. Live'!BJ259-'check-Jul''26'!BF259)</f>
        <v/>
      </c>
      <c r="BG241" s="25" t="str">
        <f>IF('1. Live'!BK259='check-Jul''26'!BG259,"",'1. Live'!BK259-'check-Jul''26'!BG259)</f>
        <v/>
      </c>
      <c r="BH241" s="25" t="str">
        <f>IF('1. Live'!BL259='check-Jul''26'!BH259,"",'1. Live'!BL259-'check-Jul''26'!BH259)</f>
        <v/>
      </c>
      <c r="BI241" s="25" t="str">
        <f>IF('1. Live'!BM259='check-Jul''26'!BI259,"",'1. Live'!BM259-'check-Jul''26'!BI259)</f>
        <v/>
      </c>
      <c r="BJ241" s="25" t="str">
        <f>IF('1. Live'!BN259='check-Jul''26'!BJ259,"",'1. Live'!BN259-'check-Jul''26'!BJ259)</f>
        <v/>
      </c>
      <c r="BK241" s="25" t="str">
        <f>IF('1. Live'!BO259='check-Jul''26'!BK259,"",'1. Live'!BO259-'check-Jul''26'!BK259)</f>
        <v/>
      </c>
      <c r="BL241" s="25" t="str">
        <f>IF('1. Live'!BP259='check-Jul''26'!BL259,"",'1. Live'!BP259-'check-Jul''26'!BL259)</f>
        <v/>
      </c>
      <c r="BM241" s="25" t="str">
        <f>IF('1. Live'!BQ259='check-Jul''26'!BM259,"",'1. Live'!BQ259-'check-Jul''26'!BM259)</f>
        <v/>
      </c>
      <c r="BN241" s="25" t="str">
        <f>IF('1. Live'!BR259='check-Jul''26'!BN259,"",'1. Live'!BR259-'check-Jul''26'!BN259)</f>
        <v/>
      </c>
      <c r="BO241" s="25" t="str">
        <f>IF('1. Live'!BS259='check-Jul''26'!BO259,"",'1. Live'!BS259-'check-Jul''26'!BO259)</f>
        <v/>
      </c>
      <c r="BP241" s="25" t="str">
        <f>IF('1. Live'!BT259='check-Jul''26'!BP259,"",'1. Live'!BT259-'check-Jul''26'!BP259)</f>
        <v/>
      </c>
      <c r="BQ241" s="25" t="str">
        <f>IF('1. Live'!BU259='check-Jul''26'!BQ259,"",'1. Live'!BU259-'check-Jul''26'!BQ259)</f>
        <v/>
      </c>
      <c r="BR241" s="25" t="str">
        <f>IF('1. Live'!BV259='check-Jul''26'!BR259,"",'1. Live'!BV259-'check-Jul''26'!BR259)</f>
        <v/>
      </c>
      <c r="BS241" s="25" t="str">
        <f>IF('1. Live'!BW259='check-Jul''26'!BS259,"",'1. Live'!BW259-'check-Jul''26'!BS259)</f>
        <v/>
      </c>
      <c r="BT241" s="25" t="str">
        <f>IF('1. Live'!BX259='check-Jul''26'!BT259,"",'1. Live'!BX259-'check-Jul''26'!BT259)</f>
        <v/>
      </c>
      <c r="BU241" s="25" t="str">
        <f>IF('1. Live'!BY259='check-Jul''26'!BU259,"",'1. Live'!BY259-'check-Jul''26'!BU259)</f>
        <v/>
      </c>
      <c r="BV241" s="25" t="str">
        <f>IF('1. Live'!BZ259='check-Jul''26'!BV259,"",'1. Live'!BZ259-'check-Jul''26'!BV259)</f>
        <v/>
      </c>
      <c r="BW241" s="25" t="str">
        <f>IF('1. Live'!CA259='check-Jul''26'!BW259,"",'1. Live'!CA259-'check-Jul''26'!BW259)</f>
        <v/>
      </c>
      <c r="BX241" s="25" t="str">
        <f>IF('1. Live'!CB259='check-Jul''26'!BX259,"",'1. Live'!CB259-'check-Jul''26'!BX259)</f>
        <v/>
      </c>
      <c r="BY241" s="25" t="str">
        <f>IF('1. Live'!CC259='check-Jul''26'!BY259,"",'1. Live'!CC259-'check-Jul''26'!BY259)</f>
        <v/>
      </c>
      <c r="BZ241" s="25" t="str">
        <f>IF('1. Live'!CD259='check-Jul''26'!BZ259,"",'1. Live'!CD259-'check-Jul''26'!BZ259)</f>
        <v/>
      </c>
      <c r="CA241" s="25" t="str">
        <f>IF('1. Live'!CE259='check-Jul''26'!CA259,"",'1. Live'!CE259-'check-Jul''26'!CA259)</f>
        <v/>
      </c>
      <c r="CB241" s="25" t="str">
        <f>IF('1. Live'!CF259='check-Jul''26'!CB259,"",'1. Live'!CF259-'check-Jul''26'!CB259)</f>
        <v/>
      </c>
      <c r="CC241" s="25" t="str">
        <f>IF('1. Live'!CG259='check-Jul''26'!CC259,"",'1. Live'!CG259-'check-Jul''26'!CC259)</f>
        <v/>
      </c>
      <c r="CD241" s="25" t="str">
        <f>IF('1. Live'!CH259='check-Jul''26'!CD259,"",'1. Live'!CH259-'check-Jul''26'!CD259)</f>
        <v/>
      </c>
      <c r="CE241" s="25" t="str">
        <f>IF('1. Live'!CI259='check-Jul''26'!CE259,"",'1. Live'!CI259-'check-Jul''26'!CE259)</f>
        <v/>
      </c>
      <c r="CF241" s="25" t="str">
        <f>IF('1. Live'!CJ259='check-Jul''26'!CF259,"",'1. Live'!CJ259-'check-Jul''26'!CF259)</f>
        <v/>
      </c>
      <c r="CG241" s="25" t="str">
        <f>IF('1. Live'!CK259='check-Jul''26'!CG259,"",'1. Live'!CK259-'check-Jul''26'!CG259)</f>
        <v/>
      </c>
      <c r="CH241" s="25" t="str">
        <f>IF('1. Live'!CL259='check-Jul''26'!CH259,"",'1. Live'!CL259-'check-Jul''26'!CH259)</f>
        <v/>
      </c>
      <c r="CI241" s="25" t="str">
        <f>IF('1. Live'!CM259='check-Jul''26'!CI259,"",'1. Live'!CM259-'check-Jul''26'!CI259)</f>
        <v/>
      </c>
      <c r="CJ241" s="25" t="str">
        <f>IF('1. Live'!CN259='check-Jul''26'!CJ259,"",'1. Live'!CN259-'check-Jul''26'!CJ259)</f>
        <v/>
      </c>
      <c r="CK241" s="25" t="str">
        <f>IF('1. Live'!CO259='check-Jul''26'!CK259,"",'1. Live'!CO259-'check-Jul''26'!CK259)</f>
        <v/>
      </c>
      <c r="CL241" s="25" t="str">
        <f>IF('1. Live'!CP259='check-Jul''26'!CL259,"",'1. Live'!CP259-'check-Jul''26'!CL259)</f>
        <v/>
      </c>
      <c r="CM241" s="25" t="str">
        <f>IF('1. Live'!CQ259='check-Jul''26'!CM259,"",'1. Live'!CQ259-'check-Jul''26'!CM259)</f>
        <v/>
      </c>
      <c r="CN241" s="25" t="str">
        <f>IF('1. Live'!CR259='check-Jul''26'!CN259,"",'1. Live'!CR259-'check-Jul''26'!CN259)</f>
        <v/>
      </c>
      <c r="CO241" s="25" t="str">
        <f>IF('1. Live'!CS259='check-Jul''26'!CO259,"",'1. Live'!CS259-'check-Jul''26'!CO259)</f>
        <v/>
      </c>
      <c r="CP241" s="25" t="str">
        <f>IF('1. Live'!CT259='check-Jul''26'!CP259,"",'1. Live'!CT259-'check-Jul''26'!CP259)</f>
        <v/>
      </c>
      <c r="CQ241" s="25" t="str">
        <f>IF('1. Live'!CU259='check-Jul''26'!CQ259,"",'1. Live'!CU259-'check-Jul''26'!CQ259)</f>
        <v/>
      </c>
      <c r="CR241" s="25" t="str">
        <f>IF('1. Live'!CV259='check-Jul''26'!CR259,"",'1. Live'!CV259-'check-Jul''26'!CR259)</f>
        <v/>
      </c>
      <c r="CS241" s="25" t="str">
        <f>IF('1. Live'!CW259='check-Jul''26'!CS259,"",'1. Live'!CW259-'check-Jul''26'!CS259)</f>
        <v/>
      </c>
      <c r="CT241" s="25" t="str">
        <f>IF('1. Live'!CX259='check-Jul''26'!CT259,"",'1. Live'!CX259-'check-Jul''26'!CT259)</f>
        <v/>
      </c>
      <c r="CU241" s="25" t="str">
        <f>IF('1. Live'!CY259='check-Jul''26'!CU259,"",'1. Live'!CY259-'check-Jul''26'!CU259)</f>
        <v/>
      </c>
      <c r="CV241" s="25" t="str">
        <f>IF('1. Live'!CZ259='check-Jul''26'!CV259,"",'1. Live'!CZ259-'check-Jul''26'!CV259)</f>
        <v/>
      </c>
    </row>
    <row r="242" spans="17:100" x14ac:dyDescent="0.25">
      <c r="Q242" s="26" t="str">
        <f>IF('1. Live'!N260='check-Jul''26'!I260,"",'1. Live'!N260-'check-Jul''26'!I260)</f>
        <v/>
      </c>
      <c r="R242" s="26" t="str">
        <f>IF('1. Live'!O260='check-Jul''26'!J260,"",'1. Live'!O260-'check-Jul''26'!J260)</f>
        <v/>
      </c>
      <c r="S242" s="26" t="str">
        <f>IF('1. Live'!P260='check-Jul''26'!K260,"",'1. Live'!P260-'check-Jul''26'!K260)</f>
        <v/>
      </c>
      <c r="T242" s="26" t="str">
        <f>IF('1. Live'!Q260='check-Jul''26'!L260,"",'1. Live'!Q260-'check-Jul''26'!L260)</f>
        <v/>
      </c>
      <c r="U242" s="80" t="str">
        <f>IF('1. Live'!R260='check-Jul''26'!M260,"",'1. Live'!R260-'check-Jul''26'!M260)</f>
        <v/>
      </c>
      <c r="V242" s="26" t="str">
        <f>IF('1. Live'!S260='check-Jul''26'!N260,"",'1. Live'!S260-'check-Jul''26'!N260)</f>
        <v/>
      </c>
      <c r="W242" s="25" t="str">
        <f>IF('1. Live'!T260='check-Jul''26'!O260,"",'1. Live'!T260-'check-Jul''26'!O260)</f>
        <v/>
      </c>
      <c r="X242" s="25" t="str">
        <f>IF('1. Live'!U260='check-Jul''26'!Q260,"",'1. Live'!U260-'check-Jul''26'!Q260)</f>
        <v/>
      </c>
      <c r="Y242" s="25" t="str">
        <f>IF('1. Live'!V260='check-Jul''26'!R260,"",'1. Live'!V260-'check-Jul''26'!R260)</f>
        <v/>
      </c>
      <c r="Z242" s="25" t="str">
        <f>IF('1. Live'!W260='check-Jul''26'!S260,"",'1. Live'!W260-'check-Jul''26'!S260)</f>
        <v/>
      </c>
      <c r="AA242" s="25" t="str">
        <f>IF('1. Live'!X260='check-Jul''26'!T260,"",'1. Live'!X260-'check-Jul''26'!T260)</f>
        <v/>
      </c>
      <c r="AB242" s="25" t="str">
        <f>IF('1. Live'!AF260='check-Jul''26'!AB260,"",'1. Live'!AF260-'check-Jul''26'!AB260)</f>
        <v/>
      </c>
      <c r="AC242" s="25" t="str">
        <f>IF('1. Live'!AG260='check-Jul''26'!AC260,"",'1. Live'!AG260-'check-Jul''26'!AC260)</f>
        <v/>
      </c>
      <c r="AD242" s="25" t="str">
        <f>IF('1. Live'!AH260='check-Jul''26'!AD260,"",'1. Live'!AH260-'check-Jul''26'!AD260)</f>
        <v/>
      </c>
      <c r="AE242" s="25" t="str">
        <f>IF('1. Live'!AI260='check-Jul''26'!AE260,"",'1. Live'!AI260-'check-Jul''26'!AE260)</f>
        <v/>
      </c>
      <c r="AF242" s="25" t="str">
        <f>IF('1. Live'!AJ260='check-Jul''26'!AF260,"",'1. Live'!AJ260-'check-Jul''26'!AF260)</f>
        <v/>
      </c>
      <c r="AG242" s="25" t="str">
        <f>IF('1. Live'!AK260='check-Jul''26'!AG260,"",'1. Live'!AK260-'check-Jul''26'!AG260)</f>
        <v/>
      </c>
      <c r="AH242" s="25" t="str">
        <f>IF('1. Live'!AL260='check-Jul''26'!AH260,"",'1. Live'!AL260-'check-Jul''26'!AH260)</f>
        <v/>
      </c>
      <c r="AI242" s="25" t="str">
        <f>IF('1. Live'!AM260='check-Jul''26'!AI260,"",'1. Live'!AM260-'check-Jul''26'!AI260)</f>
        <v/>
      </c>
      <c r="AJ242" s="25" t="str">
        <f>IF('1. Live'!AN260='check-Jul''26'!AJ260,"",'1. Live'!AN260-'check-Jul''26'!AJ260)</f>
        <v/>
      </c>
      <c r="AK242" s="25" t="str">
        <f>IF('1. Live'!AO260='check-Jul''26'!AK260,"",'1. Live'!AO260-'check-Jul''26'!AK260)</f>
        <v/>
      </c>
      <c r="AL242" s="25" t="str">
        <f>IF('1. Live'!AP260='check-Jul''26'!AL260,"",'1. Live'!AP260-'check-Jul''26'!AL260)</f>
        <v/>
      </c>
      <c r="AM242" s="25" t="str">
        <f>IF('1. Live'!AQ260='check-Jul''26'!AM260,"",'1. Live'!AQ260-'check-Jul''26'!AM260)</f>
        <v/>
      </c>
      <c r="AN242" s="25" t="str">
        <f>IF('1. Live'!AR260='check-Jul''26'!AN260,"",'1. Live'!AR260-'check-Jul''26'!AN260)</f>
        <v/>
      </c>
      <c r="AO242" s="25" t="str">
        <f>IF('1. Live'!AS260='check-Jul''26'!AO260,"",'1. Live'!AS260-'check-Jul''26'!AO260)</f>
        <v/>
      </c>
      <c r="AP242" s="25" t="str">
        <f>IF('1. Live'!AT260='check-Jul''26'!AP260,"",'1. Live'!AT260-'check-Jul''26'!AP260)</f>
        <v/>
      </c>
      <c r="AQ242" s="25" t="str">
        <f>IF('1. Live'!AU260='check-Jul''26'!AQ260,"",'1. Live'!AU260-'check-Jul''26'!AQ260)</f>
        <v/>
      </c>
      <c r="AR242" s="25" t="str">
        <f>IF('1. Live'!AV260='check-Jul''26'!AR260,"",'1. Live'!AV260-'check-Jul''26'!AR260)</f>
        <v/>
      </c>
      <c r="AS242" s="25" t="str">
        <f>IF('1. Live'!AW260='check-Jul''26'!AS260,"",'1. Live'!AW260-'check-Jul''26'!AS260)</f>
        <v/>
      </c>
      <c r="AT242" s="25" t="str">
        <f>IF('1. Live'!AX260='check-Jul''26'!AT260,"",'1. Live'!AX260-'check-Jul''26'!AT260)</f>
        <v/>
      </c>
      <c r="AU242" s="25" t="str">
        <f>IF('1. Live'!AY260='check-Jul''26'!AU260,"",'1. Live'!AY260-'check-Jul''26'!AU260)</f>
        <v/>
      </c>
      <c r="AV242" s="25" t="str">
        <f>IF('1. Live'!AZ260='check-Jul''26'!AV260,"",'1. Live'!AZ260-'check-Jul''26'!AV260)</f>
        <v/>
      </c>
      <c r="AW242" s="25" t="str">
        <f>IF('1. Live'!BA260='check-Jul''26'!AW260,"",'1. Live'!BA260-'check-Jul''26'!AW260)</f>
        <v/>
      </c>
      <c r="AX242" s="25" t="str">
        <f>IF('1. Live'!BB260='check-Jul''26'!AX260,"",'1. Live'!BB260-'check-Jul''26'!AX260)</f>
        <v/>
      </c>
      <c r="AY242" s="25" t="str">
        <f>IF('1. Live'!BC260='check-Jul''26'!AY260,"",'1. Live'!BC260-'check-Jul''26'!AY260)</f>
        <v/>
      </c>
      <c r="AZ242" s="25" t="str">
        <f>IF('1. Live'!BD260='check-Jul''26'!AZ260,"",'1. Live'!BD260-'check-Jul''26'!AZ260)</f>
        <v/>
      </c>
      <c r="BA242" s="25" t="str">
        <f>IF('1. Live'!BE260='check-Jul''26'!BA260,"",'1. Live'!BE260-'check-Jul''26'!BA260)</f>
        <v/>
      </c>
      <c r="BB242" s="25" t="str">
        <f>IF('1. Live'!BF260='check-Jul''26'!BB260,"",'1. Live'!BF260-'check-Jul''26'!BB260)</f>
        <v/>
      </c>
      <c r="BC242" s="25" t="str">
        <f>IF('1. Live'!BG260='check-Jul''26'!BC260,"",'1. Live'!BG260-'check-Jul''26'!BC260)</f>
        <v/>
      </c>
      <c r="BD242" s="25" t="str">
        <f>IF('1. Live'!BH260='check-Jul''26'!BD260,"",'1. Live'!BH260-'check-Jul''26'!BD260)</f>
        <v/>
      </c>
      <c r="BE242" s="25" t="str">
        <f>IF('1. Live'!BI260='check-Jul''26'!BE260,"",'1. Live'!BI260-'check-Jul''26'!BE260)</f>
        <v/>
      </c>
      <c r="BF242" s="25" t="str">
        <f>IF('1. Live'!BJ260='check-Jul''26'!BF260,"",'1. Live'!BJ260-'check-Jul''26'!BF260)</f>
        <v/>
      </c>
      <c r="BG242" s="25" t="str">
        <f>IF('1. Live'!BK260='check-Jul''26'!BG260,"",'1. Live'!BK260-'check-Jul''26'!BG260)</f>
        <v/>
      </c>
      <c r="BH242" s="25" t="str">
        <f>IF('1. Live'!BL260='check-Jul''26'!BH260,"",'1. Live'!BL260-'check-Jul''26'!BH260)</f>
        <v/>
      </c>
      <c r="BI242" s="25" t="str">
        <f>IF('1. Live'!BM260='check-Jul''26'!BI260,"",'1. Live'!BM260-'check-Jul''26'!BI260)</f>
        <v/>
      </c>
      <c r="BJ242" s="25" t="str">
        <f>IF('1. Live'!BN260='check-Jul''26'!BJ260,"",'1. Live'!BN260-'check-Jul''26'!BJ260)</f>
        <v/>
      </c>
      <c r="BK242" s="25" t="str">
        <f>IF('1. Live'!BO260='check-Jul''26'!BK260,"",'1. Live'!BO260-'check-Jul''26'!BK260)</f>
        <v/>
      </c>
      <c r="BL242" s="25" t="str">
        <f>IF('1. Live'!BP260='check-Jul''26'!BL260,"",'1. Live'!BP260-'check-Jul''26'!BL260)</f>
        <v/>
      </c>
      <c r="BM242" s="25" t="str">
        <f>IF('1. Live'!BQ260='check-Jul''26'!BM260,"",'1. Live'!BQ260-'check-Jul''26'!BM260)</f>
        <v/>
      </c>
      <c r="BN242" s="25" t="str">
        <f>IF('1. Live'!BR260='check-Jul''26'!BN260,"",'1. Live'!BR260-'check-Jul''26'!BN260)</f>
        <v/>
      </c>
      <c r="BO242" s="25" t="str">
        <f>IF('1. Live'!BS260='check-Jul''26'!BO260,"",'1. Live'!BS260-'check-Jul''26'!BO260)</f>
        <v/>
      </c>
      <c r="BP242" s="25" t="str">
        <f>IF('1. Live'!BT260='check-Jul''26'!BP260,"",'1. Live'!BT260-'check-Jul''26'!BP260)</f>
        <v/>
      </c>
      <c r="BQ242" s="25" t="str">
        <f>IF('1. Live'!BU260='check-Jul''26'!BQ260,"",'1. Live'!BU260-'check-Jul''26'!BQ260)</f>
        <v/>
      </c>
      <c r="BR242" s="25" t="str">
        <f>IF('1. Live'!BV260='check-Jul''26'!BR260,"",'1. Live'!BV260-'check-Jul''26'!BR260)</f>
        <v/>
      </c>
      <c r="BS242" s="25" t="str">
        <f>IF('1. Live'!BW260='check-Jul''26'!BS260,"",'1. Live'!BW260-'check-Jul''26'!BS260)</f>
        <v/>
      </c>
      <c r="BT242" s="25" t="str">
        <f>IF('1. Live'!BX260='check-Jul''26'!BT260,"",'1. Live'!BX260-'check-Jul''26'!BT260)</f>
        <v/>
      </c>
      <c r="BU242" s="25" t="str">
        <f>IF('1. Live'!BY260='check-Jul''26'!BU260,"",'1. Live'!BY260-'check-Jul''26'!BU260)</f>
        <v/>
      </c>
      <c r="BV242" s="25" t="str">
        <f>IF('1. Live'!BZ260='check-Jul''26'!BV260,"",'1. Live'!BZ260-'check-Jul''26'!BV260)</f>
        <v/>
      </c>
      <c r="BW242" s="25" t="str">
        <f>IF('1. Live'!CA260='check-Jul''26'!BW260,"",'1. Live'!CA260-'check-Jul''26'!BW260)</f>
        <v/>
      </c>
      <c r="BX242" s="25" t="str">
        <f>IF('1. Live'!CB260='check-Jul''26'!BX260,"",'1. Live'!CB260-'check-Jul''26'!BX260)</f>
        <v/>
      </c>
      <c r="BY242" s="25" t="str">
        <f>IF('1. Live'!CC260='check-Jul''26'!BY260,"",'1. Live'!CC260-'check-Jul''26'!BY260)</f>
        <v/>
      </c>
      <c r="BZ242" s="25" t="str">
        <f>IF('1. Live'!CD260='check-Jul''26'!BZ260,"",'1. Live'!CD260-'check-Jul''26'!BZ260)</f>
        <v/>
      </c>
      <c r="CA242" s="25" t="str">
        <f>IF('1. Live'!CE260='check-Jul''26'!CA260,"",'1. Live'!CE260-'check-Jul''26'!CA260)</f>
        <v/>
      </c>
      <c r="CB242" s="25" t="str">
        <f>IF('1. Live'!CF260='check-Jul''26'!CB260,"",'1. Live'!CF260-'check-Jul''26'!CB260)</f>
        <v/>
      </c>
      <c r="CC242" s="25" t="str">
        <f>IF('1. Live'!CG260='check-Jul''26'!CC260,"",'1. Live'!CG260-'check-Jul''26'!CC260)</f>
        <v/>
      </c>
      <c r="CD242" s="25" t="str">
        <f>IF('1. Live'!CH260='check-Jul''26'!CD260,"",'1. Live'!CH260-'check-Jul''26'!CD260)</f>
        <v/>
      </c>
      <c r="CE242" s="25" t="str">
        <f>IF('1. Live'!CI260='check-Jul''26'!CE260,"",'1. Live'!CI260-'check-Jul''26'!CE260)</f>
        <v/>
      </c>
      <c r="CF242" s="25" t="str">
        <f>IF('1. Live'!CJ260='check-Jul''26'!CF260,"",'1. Live'!CJ260-'check-Jul''26'!CF260)</f>
        <v/>
      </c>
      <c r="CG242" s="25" t="str">
        <f>IF('1. Live'!CK260='check-Jul''26'!CG260,"",'1. Live'!CK260-'check-Jul''26'!CG260)</f>
        <v/>
      </c>
      <c r="CH242" s="25" t="str">
        <f>IF('1. Live'!CL260='check-Jul''26'!CH260,"",'1. Live'!CL260-'check-Jul''26'!CH260)</f>
        <v/>
      </c>
      <c r="CI242" s="25" t="str">
        <f>IF('1. Live'!CM260='check-Jul''26'!CI260,"",'1. Live'!CM260-'check-Jul''26'!CI260)</f>
        <v/>
      </c>
      <c r="CJ242" s="25" t="str">
        <f>IF('1. Live'!CN260='check-Jul''26'!CJ260,"",'1. Live'!CN260-'check-Jul''26'!CJ260)</f>
        <v/>
      </c>
      <c r="CK242" s="25" t="str">
        <f>IF('1. Live'!CO260='check-Jul''26'!CK260,"",'1. Live'!CO260-'check-Jul''26'!CK260)</f>
        <v/>
      </c>
      <c r="CL242" s="25" t="str">
        <f>IF('1. Live'!CP260='check-Jul''26'!CL260,"",'1. Live'!CP260-'check-Jul''26'!CL260)</f>
        <v/>
      </c>
      <c r="CM242" s="25" t="str">
        <f>IF('1. Live'!CQ260='check-Jul''26'!CM260,"",'1. Live'!CQ260-'check-Jul''26'!CM260)</f>
        <v/>
      </c>
      <c r="CN242" s="25" t="str">
        <f>IF('1. Live'!CR260='check-Jul''26'!CN260,"",'1. Live'!CR260-'check-Jul''26'!CN260)</f>
        <v/>
      </c>
      <c r="CO242" s="25" t="str">
        <f>IF('1. Live'!CS260='check-Jul''26'!CO260,"",'1. Live'!CS260-'check-Jul''26'!CO260)</f>
        <v/>
      </c>
      <c r="CP242" s="25" t="str">
        <f>IF('1. Live'!CT260='check-Jul''26'!CP260,"",'1. Live'!CT260-'check-Jul''26'!CP260)</f>
        <v/>
      </c>
      <c r="CQ242" s="25" t="str">
        <f>IF('1. Live'!CU260='check-Jul''26'!CQ260,"",'1. Live'!CU260-'check-Jul''26'!CQ260)</f>
        <v/>
      </c>
      <c r="CR242" s="25" t="str">
        <f>IF('1. Live'!CV260='check-Jul''26'!CR260,"",'1. Live'!CV260-'check-Jul''26'!CR260)</f>
        <v/>
      </c>
      <c r="CS242" s="25" t="str">
        <f>IF('1. Live'!CW260='check-Jul''26'!CS260,"",'1. Live'!CW260-'check-Jul''26'!CS260)</f>
        <v/>
      </c>
      <c r="CT242" s="25" t="str">
        <f>IF('1. Live'!CX260='check-Jul''26'!CT260,"",'1. Live'!CX260-'check-Jul''26'!CT260)</f>
        <v/>
      </c>
      <c r="CU242" s="25" t="str">
        <f>IF('1. Live'!CY260='check-Jul''26'!CU260,"",'1. Live'!CY260-'check-Jul''26'!CU260)</f>
        <v/>
      </c>
      <c r="CV242" s="25" t="str">
        <f>IF('1. Live'!CZ260='check-Jul''26'!CV260,"",'1. Live'!CZ260-'check-Jul''26'!CV260)</f>
        <v/>
      </c>
    </row>
    <row r="243" spans="17:100" x14ac:dyDescent="0.25">
      <c r="Q243" s="26" t="str">
        <f>IF('1. Live'!N261='check-Jul''26'!I261,"",'1. Live'!N261-'check-Jul''26'!I261)</f>
        <v/>
      </c>
      <c r="R243" s="26" t="str">
        <f>IF('1. Live'!O261='check-Jul''26'!J261,"",'1. Live'!O261-'check-Jul''26'!J261)</f>
        <v/>
      </c>
      <c r="S243" s="26" t="str">
        <f>IF('1. Live'!P261='check-Jul''26'!K261,"",'1. Live'!P261-'check-Jul''26'!K261)</f>
        <v/>
      </c>
      <c r="T243" s="26" t="str">
        <f>IF('1. Live'!Q261='check-Jul''26'!L261,"",'1. Live'!Q261-'check-Jul''26'!L261)</f>
        <v/>
      </c>
      <c r="U243" s="80" t="str">
        <f>IF('1. Live'!R261='check-Jul''26'!M261,"",'1. Live'!R261-'check-Jul''26'!M261)</f>
        <v/>
      </c>
      <c r="V243" s="26" t="str">
        <f>IF('1. Live'!S261='check-Jul''26'!N261,"",'1. Live'!S261-'check-Jul''26'!N261)</f>
        <v/>
      </c>
      <c r="W243" s="25" t="str">
        <f>IF('1. Live'!T261='check-Jul''26'!O261,"",'1. Live'!T261-'check-Jul''26'!O261)</f>
        <v/>
      </c>
      <c r="X243" s="25" t="str">
        <f>IF('1. Live'!U261='check-Jul''26'!Q261,"",'1. Live'!U261-'check-Jul''26'!Q261)</f>
        <v/>
      </c>
      <c r="Y243" s="25" t="str">
        <f>IF('1. Live'!V261='check-Jul''26'!R261,"",'1. Live'!V261-'check-Jul''26'!R261)</f>
        <v/>
      </c>
      <c r="Z243" s="25" t="str">
        <f>IF('1. Live'!W261='check-Jul''26'!S261,"",'1. Live'!W261-'check-Jul''26'!S261)</f>
        <v/>
      </c>
      <c r="AA243" s="25" t="str">
        <f>IF('1. Live'!X261='check-Jul''26'!T261,"",'1. Live'!X261-'check-Jul''26'!T261)</f>
        <v/>
      </c>
      <c r="AB243" s="25" t="str">
        <f>IF('1. Live'!AF261='check-Jul''26'!AB261,"",'1. Live'!AF261-'check-Jul''26'!AB261)</f>
        <v/>
      </c>
      <c r="AC243" s="25" t="str">
        <f>IF('1. Live'!AG261='check-Jul''26'!AC261,"",'1. Live'!AG261-'check-Jul''26'!AC261)</f>
        <v/>
      </c>
      <c r="AD243" s="25" t="str">
        <f>IF('1. Live'!AH261='check-Jul''26'!AD261,"",'1. Live'!AH261-'check-Jul''26'!AD261)</f>
        <v/>
      </c>
      <c r="AE243" s="25" t="str">
        <f>IF('1. Live'!AI261='check-Jul''26'!AE261,"",'1. Live'!AI261-'check-Jul''26'!AE261)</f>
        <v/>
      </c>
      <c r="AF243" s="25" t="str">
        <f>IF('1. Live'!AJ261='check-Jul''26'!AF261,"",'1. Live'!AJ261-'check-Jul''26'!AF261)</f>
        <v/>
      </c>
      <c r="AG243" s="25" t="str">
        <f>IF('1. Live'!AK261='check-Jul''26'!AG261,"",'1. Live'!AK261-'check-Jul''26'!AG261)</f>
        <v/>
      </c>
      <c r="AH243" s="25" t="str">
        <f>IF('1. Live'!AL261='check-Jul''26'!AH261,"",'1. Live'!AL261-'check-Jul''26'!AH261)</f>
        <v/>
      </c>
      <c r="AI243" s="25" t="str">
        <f>IF('1. Live'!AM261='check-Jul''26'!AI261,"",'1. Live'!AM261-'check-Jul''26'!AI261)</f>
        <v/>
      </c>
      <c r="AJ243" s="25" t="str">
        <f>IF('1. Live'!AN261='check-Jul''26'!AJ261,"",'1. Live'!AN261-'check-Jul''26'!AJ261)</f>
        <v/>
      </c>
      <c r="AK243" s="25" t="str">
        <f>IF('1. Live'!AO261='check-Jul''26'!AK261,"",'1. Live'!AO261-'check-Jul''26'!AK261)</f>
        <v/>
      </c>
      <c r="AL243" s="25" t="str">
        <f>IF('1. Live'!AP261='check-Jul''26'!AL261,"",'1. Live'!AP261-'check-Jul''26'!AL261)</f>
        <v/>
      </c>
      <c r="AM243" s="25" t="str">
        <f>IF('1. Live'!AQ261='check-Jul''26'!AM261,"",'1. Live'!AQ261-'check-Jul''26'!AM261)</f>
        <v/>
      </c>
      <c r="AN243" s="25" t="str">
        <f>IF('1. Live'!AR261='check-Jul''26'!AN261,"",'1. Live'!AR261-'check-Jul''26'!AN261)</f>
        <v/>
      </c>
      <c r="AO243" s="25" t="str">
        <f>IF('1. Live'!AS261='check-Jul''26'!AO261,"",'1. Live'!AS261-'check-Jul''26'!AO261)</f>
        <v/>
      </c>
      <c r="AP243" s="25" t="str">
        <f>IF('1. Live'!AT261='check-Jul''26'!AP261,"",'1. Live'!AT261-'check-Jul''26'!AP261)</f>
        <v/>
      </c>
      <c r="AQ243" s="25" t="str">
        <f>IF('1. Live'!AU261='check-Jul''26'!AQ261,"",'1. Live'!AU261-'check-Jul''26'!AQ261)</f>
        <v/>
      </c>
      <c r="AR243" s="25" t="str">
        <f>IF('1. Live'!AV261='check-Jul''26'!AR261,"",'1. Live'!AV261-'check-Jul''26'!AR261)</f>
        <v/>
      </c>
      <c r="AS243" s="25" t="str">
        <f>IF('1. Live'!AW261='check-Jul''26'!AS261,"",'1. Live'!AW261-'check-Jul''26'!AS261)</f>
        <v/>
      </c>
      <c r="AT243" s="25" t="str">
        <f>IF('1. Live'!AX261='check-Jul''26'!AT261,"",'1. Live'!AX261-'check-Jul''26'!AT261)</f>
        <v/>
      </c>
      <c r="AU243" s="25" t="str">
        <f>IF('1. Live'!AY261='check-Jul''26'!AU261,"",'1. Live'!AY261-'check-Jul''26'!AU261)</f>
        <v/>
      </c>
      <c r="AV243" s="25" t="str">
        <f>IF('1. Live'!AZ261='check-Jul''26'!AV261,"",'1. Live'!AZ261-'check-Jul''26'!AV261)</f>
        <v/>
      </c>
      <c r="AW243" s="25" t="str">
        <f>IF('1. Live'!BA261='check-Jul''26'!AW261,"",'1. Live'!BA261-'check-Jul''26'!AW261)</f>
        <v/>
      </c>
      <c r="AX243" s="25" t="str">
        <f>IF('1. Live'!BB261='check-Jul''26'!AX261,"",'1. Live'!BB261-'check-Jul''26'!AX261)</f>
        <v/>
      </c>
      <c r="AY243" s="25" t="str">
        <f>IF('1. Live'!BC261='check-Jul''26'!AY261,"",'1. Live'!BC261-'check-Jul''26'!AY261)</f>
        <v/>
      </c>
      <c r="AZ243" s="25" t="str">
        <f>IF('1. Live'!BD261='check-Jul''26'!AZ261,"",'1. Live'!BD261-'check-Jul''26'!AZ261)</f>
        <v/>
      </c>
      <c r="BA243" s="25" t="str">
        <f>IF('1. Live'!BE261='check-Jul''26'!BA261,"",'1. Live'!BE261-'check-Jul''26'!BA261)</f>
        <v/>
      </c>
      <c r="BB243" s="25" t="str">
        <f>IF('1. Live'!BF261='check-Jul''26'!BB261,"",'1. Live'!BF261-'check-Jul''26'!BB261)</f>
        <v/>
      </c>
      <c r="BC243" s="25" t="str">
        <f>IF('1. Live'!BG261='check-Jul''26'!BC261,"",'1. Live'!BG261-'check-Jul''26'!BC261)</f>
        <v/>
      </c>
      <c r="BD243" s="25" t="str">
        <f>IF('1. Live'!BH261='check-Jul''26'!BD261,"",'1. Live'!BH261-'check-Jul''26'!BD261)</f>
        <v/>
      </c>
      <c r="BE243" s="25" t="str">
        <f>IF('1. Live'!BI261='check-Jul''26'!BE261,"",'1. Live'!BI261-'check-Jul''26'!BE261)</f>
        <v/>
      </c>
      <c r="BF243" s="25" t="str">
        <f>IF('1. Live'!BJ261='check-Jul''26'!BF261,"",'1. Live'!BJ261-'check-Jul''26'!BF261)</f>
        <v/>
      </c>
      <c r="BG243" s="25" t="str">
        <f>IF('1. Live'!BK261='check-Jul''26'!BG261,"",'1. Live'!BK261-'check-Jul''26'!BG261)</f>
        <v/>
      </c>
      <c r="BH243" s="25" t="str">
        <f>IF('1. Live'!BL261='check-Jul''26'!BH261,"",'1. Live'!BL261-'check-Jul''26'!BH261)</f>
        <v/>
      </c>
      <c r="BI243" s="25" t="str">
        <f>IF('1. Live'!BM261='check-Jul''26'!BI261,"",'1. Live'!BM261-'check-Jul''26'!BI261)</f>
        <v/>
      </c>
      <c r="BJ243" s="25" t="str">
        <f>IF('1. Live'!BN261='check-Jul''26'!BJ261,"",'1. Live'!BN261-'check-Jul''26'!BJ261)</f>
        <v/>
      </c>
      <c r="BK243" s="25" t="str">
        <f>IF('1. Live'!BO261='check-Jul''26'!BK261,"",'1. Live'!BO261-'check-Jul''26'!BK261)</f>
        <v/>
      </c>
      <c r="BL243" s="25" t="str">
        <f>IF('1. Live'!BP261='check-Jul''26'!BL261,"",'1. Live'!BP261-'check-Jul''26'!BL261)</f>
        <v/>
      </c>
      <c r="BM243" s="25" t="str">
        <f>IF('1. Live'!BQ261='check-Jul''26'!BM261,"",'1. Live'!BQ261-'check-Jul''26'!BM261)</f>
        <v/>
      </c>
      <c r="BN243" s="25" t="str">
        <f>IF('1. Live'!BR261='check-Jul''26'!BN261,"",'1. Live'!BR261-'check-Jul''26'!BN261)</f>
        <v/>
      </c>
      <c r="BO243" s="25" t="str">
        <f>IF('1. Live'!BS261='check-Jul''26'!BO261,"",'1. Live'!BS261-'check-Jul''26'!BO261)</f>
        <v/>
      </c>
      <c r="BP243" s="25" t="str">
        <f>IF('1. Live'!BT261='check-Jul''26'!BP261,"",'1. Live'!BT261-'check-Jul''26'!BP261)</f>
        <v/>
      </c>
      <c r="BQ243" s="25" t="str">
        <f>IF('1. Live'!BU261='check-Jul''26'!BQ261,"",'1. Live'!BU261-'check-Jul''26'!BQ261)</f>
        <v/>
      </c>
      <c r="BR243" s="25" t="str">
        <f>IF('1. Live'!BV261='check-Jul''26'!BR261,"",'1. Live'!BV261-'check-Jul''26'!BR261)</f>
        <v/>
      </c>
      <c r="BS243" s="25" t="str">
        <f>IF('1. Live'!BW261='check-Jul''26'!BS261,"",'1. Live'!BW261-'check-Jul''26'!BS261)</f>
        <v/>
      </c>
      <c r="BT243" s="25" t="str">
        <f>IF('1. Live'!BX261='check-Jul''26'!BT261,"",'1. Live'!BX261-'check-Jul''26'!BT261)</f>
        <v/>
      </c>
      <c r="BU243" s="25" t="str">
        <f>IF('1. Live'!BY261='check-Jul''26'!BU261,"",'1. Live'!BY261-'check-Jul''26'!BU261)</f>
        <v/>
      </c>
      <c r="BV243" s="25" t="str">
        <f>IF('1. Live'!BZ261='check-Jul''26'!BV261,"",'1. Live'!BZ261-'check-Jul''26'!BV261)</f>
        <v/>
      </c>
      <c r="BW243" s="25" t="str">
        <f>IF('1. Live'!CA261='check-Jul''26'!BW261,"",'1. Live'!CA261-'check-Jul''26'!BW261)</f>
        <v/>
      </c>
      <c r="BX243" s="25" t="str">
        <f>IF('1. Live'!CB261='check-Jul''26'!BX261,"",'1. Live'!CB261-'check-Jul''26'!BX261)</f>
        <v/>
      </c>
      <c r="BY243" s="25" t="str">
        <f>IF('1. Live'!CC261='check-Jul''26'!BY261,"",'1. Live'!CC261-'check-Jul''26'!BY261)</f>
        <v/>
      </c>
      <c r="BZ243" s="25" t="str">
        <f>IF('1. Live'!CD261='check-Jul''26'!BZ261,"",'1. Live'!CD261-'check-Jul''26'!BZ261)</f>
        <v/>
      </c>
      <c r="CA243" s="25" t="str">
        <f>IF('1. Live'!CE261='check-Jul''26'!CA261,"",'1. Live'!CE261-'check-Jul''26'!CA261)</f>
        <v/>
      </c>
      <c r="CB243" s="25" t="str">
        <f>IF('1. Live'!CF261='check-Jul''26'!CB261,"",'1. Live'!CF261-'check-Jul''26'!CB261)</f>
        <v/>
      </c>
      <c r="CC243" s="25" t="str">
        <f>IF('1. Live'!CG261='check-Jul''26'!CC261,"",'1. Live'!CG261-'check-Jul''26'!CC261)</f>
        <v/>
      </c>
      <c r="CD243" s="25" t="str">
        <f>IF('1. Live'!CH261='check-Jul''26'!CD261,"",'1. Live'!CH261-'check-Jul''26'!CD261)</f>
        <v/>
      </c>
      <c r="CE243" s="25" t="str">
        <f>IF('1. Live'!CI261='check-Jul''26'!CE261,"",'1. Live'!CI261-'check-Jul''26'!CE261)</f>
        <v/>
      </c>
      <c r="CF243" s="25" t="str">
        <f>IF('1. Live'!CJ261='check-Jul''26'!CF261,"",'1. Live'!CJ261-'check-Jul''26'!CF261)</f>
        <v/>
      </c>
      <c r="CG243" s="25" t="str">
        <f>IF('1. Live'!CK261='check-Jul''26'!CG261,"",'1. Live'!CK261-'check-Jul''26'!CG261)</f>
        <v/>
      </c>
      <c r="CH243" s="25" t="str">
        <f>IF('1. Live'!CL261='check-Jul''26'!CH261,"",'1. Live'!CL261-'check-Jul''26'!CH261)</f>
        <v/>
      </c>
      <c r="CI243" s="25" t="str">
        <f>IF('1. Live'!CM261='check-Jul''26'!CI261,"",'1. Live'!CM261-'check-Jul''26'!CI261)</f>
        <v/>
      </c>
      <c r="CJ243" s="25" t="str">
        <f>IF('1. Live'!CN261='check-Jul''26'!CJ261,"",'1. Live'!CN261-'check-Jul''26'!CJ261)</f>
        <v/>
      </c>
      <c r="CK243" s="25" t="str">
        <f>IF('1. Live'!CO261='check-Jul''26'!CK261,"",'1. Live'!CO261-'check-Jul''26'!CK261)</f>
        <v/>
      </c>
      <c r="CL243" s="25" t="str">
        <f>IF('1. Live'!CP261='check-Jul''26'!CL261,"",'1. Live'!CP261-'check-Jul''26'!CL261)</f>
        <v/>
      </c>
      <c r="CM243" s="25" t="str">
        <f>IF('1. Live'!CQ261='check-Jul''26'!CM261,"",'1. Live'!CQ261-'check-Jul''26'!CM261)</f>
        <v/>
      </c>
      <c r="CN243" s="25" t="str">
        <f>IF('1. Live'!CR261='check-Jul''26'!CN261,"",'1. Live'!CR261-'check-Jul''26'!CN261)</f>
        <v/>
      </c>
      <c r="CO243" s="25" t="str">
        <f>IF('1. Live'!CS261='check-Jul''26'!CO261,"",'1. Live'!CS261-'check-Jul''26'!CO261)</f>
        <v/>
      </c>
      <c r="CP243" s="25" t="str">
        <f>IF('1. Live'!CT261='check-Jul''26'!CP261,"",'1. Live'!CT261-'check-Jul''26'!CP261)</f>
        <v/>
      </c>
      <c r="CQ243" s="25" t="str">
        <f>IF('1. Live'!CU261='check-Jul''26'!CQ261,"",'1. Live'!CU261-'check-Jul''26'!CQ261)</f>
        <v/>
      </c>
      <c r="CR243" s="25" t="str">
        <f>IF('1. Live'!CV261='check-Jul''26'!CR261,"",'1. Live'!CV261-'check-Jul''26'!CR261)</f>
        <v/>
      </c>
      <c r="CS243" s="25" t="str">
        <f>IF('1. Live'!CW261='check-Jul''26'!CS261,"",'1. Live'!CW261-'check-Jul''26'!CS261)</f>
        <v/>
      </c>
      <c r="CT243" s="25" t="str">
        <f>IF('1. Live'!CX261='check-Jul''26'!CT261,"",'1. Live'!CX261-'check-Jul''26'!CT261)</f>
        <v/>
      </c>
      <c r="CU243" s="25" t="str">
        <f>IF('1. Live'!CY261='check-Jul''26'!CU261,"",'1. Live'!CY261-'check-Jul''26'!CU261)</f>
        <v/>
      </c>
      <c r="CV243" s="25" t="str">
        <f>IF('1. Live'!CZ261='check-Jul''26'!CV261,"",'1. Live'!CZ261-'check-Jul''26'!CV261)</f>
        <v/>
      </c>
    </row>
    <row r="244" spans="17:100" x14ac:dyDescent="0.25">
      <c r="Q244" s="26" t="str">
        <f>IF('1. Live'!N262='check-Jul''26'!I262,"",'1. Live'!N262-'check-Jul''26'!I262)</f>
        <v/>
      </c>
      <c r="R244" s="26" t="str">
        <f>IF('1. Live'!O262='check-Jul''26'!J262,"",'1. Live'!O262-'check-Jul''26'!J262)</f>
        <v/>
      </c>
      <c r="S244" s="26" t="str">
        <f>IF('1. Live'!P262='check-Jul''26'!K262,"",'1. Live'!P262-'check-Jul''26'!K262)</f>
        <v/>
      </c>
      <c r="T244" s="26" t="str">
        <f>IF('1. Live'!Q262='check-Jul''26'!L262,"",'1. Live'!Q262-'check-Jul''26'!L262)</f>
        <v/>
      </c>
      <c r="U244" s="80" t="str">
        <f>IF('1. Live'!R262='check-Jul''26'!M262,"",'1. Live'!R262-'check-Jul''26'!M262)</f>
        <v/>
      </c>
      <c r="V244" s="26" t="str">
        <f>IF('1. Live'!S262='check-Jul''26'!N262,"",'1. Live'!S262-'check-Jul''26'!N262)</f>
        <v/>
      </c>
      <c r="W244" s="25" t="str">
        <f>IF('1. Live'!T262='check-Jul''26'!O262,"",'1. Live'!T262-'check-Jul''26'!O262)</f>
        <v/>
      </c>
      <c r="X244" s="25" t="str">
        <f>IF('1. Live'!U262='check-Jul''26'!Q262,"",'1. Live'!U262-'check-Jul''26'!Q262)</f>
        <v/>
      </c>
      <c r="Y244" s="25" t="str">
        <f>IF('1. Live'!V262='check-Jul''26'!R262,"",'1. Live'!V262-'check-Jul''26'!R262)</f>
        <v/>
      </c>
      <c r="Z244" s="25" t="str">
        <f>IF('1. Live'!W262='check-Jul''26'!S262,"",'1. Live'!W262-'check-Jul''26'!S262)</f>
        <v/>
      </c>
      <c r="AA244" s="25" t="str">
        <f>IF('1. Live'!X262='check-Jul''26'!T262,"",'1. Live'!X262-'check-Jul''26'!T262)</f>
        <v/>
      </c>
      <c r="AB244" s="25" t="str">
        <f>IF('1. Live'!AF262='check-Jul''26'!AB262,"",'1. Live'!AF262-'check-Jul''26'!AB262)</f>
        <v/>
      </c>
      <c r="AC244" s="25" t="str">
        <f>IF('1. Live'!AG262='check-Jul''26'!AC262,"",'1. Live'!AG262-'check-Jul''26'!AC262)</f>
        <v/>
      </c>
      <c r="AD244" s="25" t="str">
        <f>IF('1. Live'!AH262='check-Jul''26'!AD262,"",'1. Live'!AH262-'check-Jul''26'!AD262)</f>
        <v/>
      </c>
      <c r="AE244" s="25" t="str">
        <f>IF('1. Live'!AI262='check-Jul''26'!AE262,"",'1. Live'!AI262-'check-Jul''26'!AE262)</f>
        <v/>
      </c>
      <c r="AF244" s="25" t="str">
        <f>IF('1. Live'!AJ262='check-Jul''26'!AF262,"",'1. Live'!AJ262-'check-Jul''26'!AF262)</f>
        <v/>
      </c>
      <c r="AG244" s="25" t="str">
        <f>IF('1. Live'!AK262='check-Jul''26'!AG262,"",'1. Live'!AK262-'check-Jul''26'!AG262)</f>
        <v/>
      </c>
      <c r="AH244" s="25" t="str">
        <f>IF('1. Live'!AL262='check-Jul''26'!AH262,"",'1. Live'!AL262-'check-Jul''26'!AH262)</f>
        <v/>
      </c>
      <c r="AI244" s="25" t="str">
        <f>IF('1. Live'!AM262='check-Jul''26'!AI262,"",'1. Live'!AM262-'check-Jul''26'!AI262)</f>
        <v/>
      </c>
      <c r="AJ244" s="25" t="str">
        <f>IF('1. Live'!AN262='check-Jul''26'!AJ262,"",'1. Live'!AN262-'check-Jul''26'!AJ262)</f>
        <v/>
      </c>
      <c r="AK244" s="25" t="str">
        <f>IF('1. Live'!AO262='check-Jul''26'!AK262,"",'1. Live'!AO262-'check-Jul''26'!AK262)</f>
        <v/>
      </c>
      <c r="AL244" s="25" t="str">
        <f>IF('1. Live'!AP262='check-Jul''26'!AL262,"",'1. Live'!AP262-'check-Jul''26'!AL262)</f>
        <v/>
      </c>
      <c r="AM244" s="25" t="str">
        <f>IF('1. Live'!AQ262='check-Jul''26'!AM262,"",'1. Live'!AQ262-'check-Jul''26'!AM262)</f>
        <v/>
      </c>
      <c r="AN244" s="25" t="str">
        <f>IF('1. Live'!AR262='check-Jul''26'!AN262,"",'1. Live'!AR262-'check-Jul''26'!AN262)</f>
        <v/>
      </c>
      <c r="AO244" s="25" t="str">
        <f>IF('1. Live'!AS262='check-Jul''26'!AO262,"",'1. Live'!AS262-'check-Jul''26'!AO262)</f>
        <v/>
      </c>
      <c r="AP244" s="25" t="str">
        <f>IF('1. Live'!AT262='check-Jul''26'!AP262,"",'1. Live'!AT262-'check-Jul''26'!AP262)</f>
        <v/>
      </c>
      <c r="AQ244" s="25" t="str">
        <f>IF('1. Live'!AU262='check-Jul''26'!AQ262,"",'1. Live'!AU262-'check-Jul''26'!AQ262)</f>
        <v/>
      </c>
      <c r="AR244" s="25" t="str">
        <f>IF('1. Live'!AV262='check-Jul''26'!AR262,"",'1. Live'!AV262-'check-Jul''26'!AR262)</f>
        <v/>
      </c>
      <c r="AS244" s="25" t="str">
        <f>IF('1. Live'!AW262='check-Jul''26'!AS262,"",'1. Live'!AW262-'check-Jul''26'!AS262)</f>
        <v/>
      </c>
      <c r="AT244" s="25" t="str">
        <f>IF('1. Live'!AX262='check-Jul''26'!AT262,"",'1. Live'!AX262-'check-Jul''26'!AT262)</f>
        <v/>
      </c>
      <c r="AU244" s="25" t="str">
        <f>IF('1. Live'!AY262='check-Jul''26'!AU262,"",'1. Live'!AY262-'check-Jul''26'!AU262)</f>
        <v/>
      </c>
      <c r="AV244" s="25" t="str">
        <f>IF('1. Live'!AZ262='check-Jul''26'!AV262,"",'1. Live'!AZ262-'check-Jul''26'!AV262)</f>
        <v/>
      </c>
      <c r="AW244" s="25" t="str">
        <f>IF('1. Live'!BA262='check-Jul''26'!AW262,"",'1. Live'!BA262-'check-Jul''26'!AW262)</f>
        <v/>
      </c>
      <c r="AX244" s="25" t="str">
        <f>IF('1. Live'!BB262='check-Jul''26'!AX262,"",'1. Live'!BB262-'check-Jul''26'!AX262)</f>
        <v/>
      </c>
      <c r="AY244" s="25" t="str">
        <f>IF('1. Live'!BC262='check-Jul''26'!AY262,"",'1. Live'!BC262-'check-Jul''26'!AY262)</f>
        <v/>
      </c>
      <c r="AZ244" s="25" t="str">
        <f>IF('1. Live'!BD262='check-Jul''26'!AZ262,"",'1. Live'!BD262-'check-Jul''26'!AZ262)</f>
        <v/>
      </c>
      <c r="BA244" s="25" t="str">
        <f>IF('1. Live'!BE262='check-Jul''26'!BA262,"",'1. Live'!BE262-'check-Jul''26'!BA262)</f>
        <v/>
      </c>
      <c r="BB244" s="25" t="str">
        <f>IF('1. Live'!BF262='check-Jul''26'!BB262,"",'1. Live'!BF262-'check-Jul''26'!BB262)</f>
        <v/>
      </c>
      <c r="BC244" s="25" t="str">
        <f>IF('1. Live'!BG262='check-Jul''26'!BC262,"",'1. Live'!BG262-'check-Jul''26'!BC262)</f>
        <v/>
      </c>
      <c r="BD244" s="25" t="str">
        <f>IF('1. Live'!BH262='check-Jul''26'!BD262,"",'1. Live'!BH262-'check-Jul''26'!BD262)</f>
        <v/>
      </c>
      <c r="BE244" s="25" t="str">
        <f>IF('1. Live'!BI262='check-Jul''26'!BE262,"",'1. Live'!BI262-'check-Jul''26'!BE262)</f>
        <v/>
      </c>
      <c r="BF244" s="25" t="str">
        <f>IF('1. Live'!BJ262='check-Jul''26'!BF262,"",'1. Live'!BJ262-'check-Jul''26'!BF262)</f>
        <v/>
      </c>
      <c r="BG244" s="25" t="str">
        <f>IF('1. Live'!BK262='check-Jul''26'!BG262,"",'1. Live'!BK262-'check-Jul''26'!BG262)</f>
        <v/>
      </c>
      <c r="BH244" s="25" t="str">
        <f>IF('1. Live'!BL262='check-Jul''26'!BH262,"",'1. Live'!BL262-'check-Jul''26'!BH262)</f>
        <v/>
      </c>
      <c r="BI244" s="25" t="str">
        <f>IF('1. Live'!BM262='check-Jul''26'!BI262,"",'1. Live'!BM262-'check-Jul''26'!BI262)</f>
        <v/>
      </c>
      <c r="BJ244" s="25" t="str">
        <f>IF('1. Live'!BN262='check-Jul''26'!BJ262,"",'1. Live'!BN262-'check-Jul''26'!BJ262)</f>
        <v/>
      </c>
      <c r="BK244" s="25" t="str">
        <f>IF('1. Live'!BO262='check-Jul''26'!BK262,"",'1. Live'!BO262-'check-Jul''26'!BK262)</f>
        <v/>
      </c>
      <c r="BL244" s="25" t="str">
        <f>IF('1. Live'!BP262='check-Jul''26'!BL262,"",'1. Live'!BP262-'check-Jul''26'!BL262)</f>
        <v/>
      </c>
      <c r="BM244" s="25" t="str">
        <f>IF('1. Live'!BQ262='check-Jul''26'!BM262,"",'1. Live'!BQ262-'check-Jul''26'!BM262)</f>
        <v/>
      </c>
      <c r="BN244" s="25" t="str">
        <f>IF('1. Live'!BR262='check-Jul''26'!BN262,"",'1. Live'!BR262-'check-Jul''26'!BN262)</f>
        <v/>
      </c>
      <c r="BO244" s="25" t="str">
        <f>IF('1. Live'!BS262='check-Jul''26'!BO262,"",'1. Live'!BS262-'check-Jul''26'!BO262)</f>
        <v/>
      </c>
      <c r="BP244" s="25" t="str">
        <f>IF('1. Live'!BT262='check-Jul''26'!BP262,"",'1. Live'!BT262-'check-Jul''26'!BP262)</f>
        <v/>
      </c>
      <c r="BQ244" s="25" t="str">
        <f>IF('1. Live'!BU262='check-Jul''26'!BQ262,"",'1. Live'!BU262-'check-Jul''26'!BQ262)</f>
        <v/>
      </c>
      <c r="BR244" s="25" t="str">
        <f>IF('1. Live'!BV262='check-Jul''26'!BR262,"",'1. Live'!BV262-'check-Jul''26'!BR262)</f>
        <v/>
      </c>
      <c r="BS244" s="25" t="str">
        <f>IF('1. Live'!BW262='check-Jul''26'!BS262,"",'1. Live'!BW262-'check-Jul''26'!BS262)</f>
        <v/>
      </c>
      <c r="BT244" s="25" t="str">
        <f>IF('1. Live'!BX262='check-Jul''26'!BT262,"",'1. Live'!BX262-'check-Jul''26'!BT262)</f>
        <v/>
      </c>
      <c r="BU244" s="25" t="str">
        <f>IF('1. Live'!BY262='check-Jul''26'!BU262,"",'1. Live'!BY262-'check-Jul''26'!BU262)</f>
        <v/>
      </c>
      <c r="BV244" s="25" t="str">
        <f>IF('1. Live'!BZ262='check-Jul''26'!BV262,"",'1. Live'!BZ262-'check-Jul''26'!BV262)</f>
        <v/>
      </c>
      <c r="BW244" s="25" t="str">
        <f>IF('1. Live'!CA262='check-Jul''26'!BW262,"",'1. Live'!CA262-'check-Jul''26'!BW262)</f>
        <v/>
      </c>
      <c r="BX244" s="25" t="str">
        <f>IF('1. Live'!CB262='check-Jul''26'!BX262,"",'1. Live'!CB262-'check-Jul''26'!BX262)</f>
        <v/>
      </c>
      <c r="BY244" s="25" t="str">
        <f>IF('1. Live'!CC262='check-Jul''26'!BY262,"",'1. Live'!CC262-'check-Jul''26'!BY262)</f>
        <v/>
      </c>
      <c r="BZ244" s="25" t="str">
        <f>IF('1. Live'!CD262='check-Jul''26'!BZ262,"",'1. Live'!CD262-'check-Jul''26'!BZ262)</f>
        <v/>
      </c>
      <c r="CA244" s="25" t="str">
        <f>IF('1. Live'!CE262='check-Jul''26'!CA262,"",'1. Live'!CE262-'check-Jul''26'!CA262)</f>
        <v/>
      </c>
      <c r="CB244" s="25" t="str">
        <f>IF('1. Live'!CF262='check-Jul''26'!CB262,"",'1. Live'!CF262-'check-Jul''26'!CB262)</f>
        <v/>
      </c>
      <c r="CC244" s="25" t="str">
        <f>IF('1. Live'!CG262='check-Jul''26'!CC262,"",'1. Live'!CG262-'check-Jul''26'!CC262)</f>
        <v/>
      </c>
      <c r="CD244" s="25" t="str">
        <f>IF('1. Live'!CH262='check-Jul''26'!CD262,"",'1. Live'!CH262-'check-Jul''26'!CD262)</f>
        <v/>
      </c>
      <c r="CE244" s="25" t="str">
        <f>IF('1. Live'!CI262='check-Jul''26'!CE262,"",'1. Live'!CI262-'check-Jul''26'!CE262)</f>
        <v/>
      </c>
      <c r="CF244" s="25" t="str">
        <f>IF('1. Live'!CJ262='check-Jul''26'!CF262,"",'1. Live'!CJ262-'check-Jul''26'!CF262)</f>
        <v/>
      </c>
      <c r="CG244" s="25" t="str">
        <f>IF('1. Live'!CK262='check-Jul''26'!CG262,"",'1. Live'!CK262-'check-Jul''26'!CG262)</f>
        <v/>
      </c>
      <c r="CH244" s="25" t="str">
        <f>IF('1. Live'!CL262='check-Jul''26'!CH262,"",'1. Live'!CL262-'check-Jul''26'!CH262)</f>
        <v/>
      </c>
      <c r="CI244" s="25" t="str">
        <f>IF('1. Live'!CM262='check-Jul''26'!CI262,"",'1. Live'!CM262-'check-Jul''26'!CI262)</f>
        <v/>
      </c>
      <c r="CJ244" s="25" t="str">
        <f>IF('1. Live'!CN262='check-Jul''26'!CJ262,"",'1. Live'!CN262-'check-Jul''26'!CJ262)</f>
        <v/>
      </c>
      <c r="CK244" s="25" t="str">
        <f>IF('1. Live'!CO262='check-Jul''26'!CK262,"",'1. Live'!CO262-'check-Jul''26'!CK262)</f>
        <v/>
      </c>
      <c r="CL244" s="25" t="str">
        <f>IF('1. Live'!CP262='check-Jul''26'!CL262,"",'1. Live'!CP262-'check-Jul''26'!CL262)</f>
        <v/>
      </c>
      <c r="CM244" s="25" t="str">
        <f>IF('1. Live'!CQ262='check-Jul''26'!CM262,"",'1. Live'!CQ262-'check-Jul''26'!CM262)</f>
        <v/>
      </c>
      <c r="CN244" s="25" t="str">
        <f>IF('1. Live'!CR262='check-Jul''26'!CN262,"",'1. Live'!CR262-'check-Jul''26'!CN262)</f>
        <v/>
      </c>
      <c r="CO244" s="25" t="str">
        <f>IF('1. Live'!CS262='check-Jul''26'!CO262,"",'1. Live'!CS262-'check-Jul''26'!CO262)</f>
        <v/>
      </c>
      <c r="CP244" s="25" t="str">
        <f>IF('1. Live'!CT262='check-Jul''26'!CP262,"",'1. Live'!CT262-'check-Jul''26'!CP262)</f>
        <v/>
      </c>
      <c r="CQ244" s="25" t="str">
        <f>IF('1. Live'!CU262='check-Jul''26'!CQ262,"",'1. Live'!CU262-'check-Jul''26'!CQ262)</f>
        <v/>
      </c>
      <c r="CR244" s="25" t="str">
        <f>IF('1. Live'!CV262='check-Jul''26'!CR262,"",'1. Live'!CV262-'check-Jul''26'!CR262)</f>
        <v/>
      </c>
      <c r="CS244" s="25" t="str">
        <f>IF('1. Live'!CW262='check-Jul''26'!CS262,"",'1. Live'!CW262-'check-Jul''26'!CS262)</f>
        <v/>
      </c>
      <c r="CT244" s="25" t="str">
        <f>IF('1. Live'!CX262='check-Jul''26'!CT262,"",'1. Live'!CX262-'check-Jul''26'!CT262)</f>
        <v/>
      </c>
      <c r="CU244" s="25" t="str">
        <f>IF('1. Live'!CY262='check-Jul''26'!CU262,"",'1. Live'!CY262-'check-Jul''26'!CU262)</f>
        <v/>
      </c>
      <c r="CV244" s="25" t="str">
        <f>IF('1. Live'!CZ262='check-Jul''26'!CV262,"",'1. Live'!CZ262-'check-Jul''26'!CV262)</f>
        <v/>
      </c>
    </row>
    <row r="245" spans="17:100" x14ac:dyDescent="0.25">
      <c r="Q245" s="26" t="str">
        <f>IF('1. Live'!N263='check-Jul''26'!I263,"",'1. Live'!N263-'check-Jul''26'!I263)</f>
        <v/>
      </c>
      <c r="R245" s="26" t="str">
        <f>IF('1. Live'!O263='check-Jul''26'!J263,"",'1. Live'!O263-'check-Jul''26'!J263)</f>
        <v/>
      </c>
      <c r="S245" s="26" t="str">
        <f>IF('1. Live'!P263='check-Jul''26'!K263,"",'1. Live'!P263-'check-Jul''26'!K263)</f>
        <v/>
      </c>
      <c r="T245" s="26" t="str">
        <f>IF('1. Live'!Q263='check-Jul''26'!L263,"",'1. Live'!Q263-'check-Jul''26'!L263)</f>
        <v/>
      </c>
      <c r="U245" s="80" t="str">
        <f>IF('1. Live'!R263='check-Jul''26'!M263,"",'1. Live'!R263-'check-Jul''26'!M263)</f>
        <v/>
      </c>
      <c r="V245" s="26" t="str">
        <f>IF('1. Live'!S263='check-Jul''26'!N263,"",'1. Live'!S263-'check-Jul''26'!N263)</f>
        <v/>
      </c>
      <c r="W245" s="25" t="str">
        <f>IF('1. Live'!T263='check-Jul''26'!O263,"",'1. Live'!T263-'check-Jul''26'!O263)</f>
        <v/>
      </c>
      <c r="X245" s="25" t="str">
        <f>IF('1. Live'!U263='check-Jul''26'!Q263,"",'1. Live'!U263-'check-Jul''26'!Q263)</f>
        <v/>
      </c>
      <c r="Y245" s="25" t="str">
        <f>IF('1. Live'!V263='check-Jul''26'!R263,"",'1. Live'!V263-'check-Jul''26'!R263)</f>
        <v/>
      </c>
      <c r="Z245" s="25" t="str">
        <f>IF('1. Live'!W263='check-Jul''26'!S263,"",'1. Live'!W263-'check-Jul''26'!S263)</f>
        <v/>
      </c>
      <c r="AA245" s="25" t="str">
        <f>IF('1. Live'!X263='check-Jul''26'!T263,"",'1. Live'!X263-'check-Jul''26'!T263)</f>
        <v/>
      </c>
      <c r="AB245" s="25" t="str">
        <f>IF('1. Live'!AF263='check-Jul''26'!AB263,"",'1. Live'!AF263-'check-Jul''26'!AB263)</f>
        <v/>
      </c>
      <c r="AC245" s="25" t="str">
        <f>IF('1. Live'!AG263='check-Jul''26'!AC263,"",'1. Live'!AG263-'check-Jul''26'!AC263)</f>
        <v/>
      </c>
      <c r="AD245" s="25" t="str">
        <f>IF('1. Live'!AH263='check-Jul''26'!AD263,"",'1. Live'!AH263-'check-Jul''26'!AD263)</f>
        <v/>
      </c>
      <c r="AE245" s="25" t="str">
        <f>IF('1. Live'!AI263='check-Jul''26'!AE263,"",'1. Live'!AI263-'check-Jul''26'!AE263)</f>
        <v/>
      </c>
      <c r="AF245" s="25" t="str">
        <f>IF('1. Live'!AJ263='check-Jul''26'!AF263,"",'1. Live'!AJ263-'check-Jul''26'!AF263)</f>
        <v/>
      </c>
      <c r="AG245" s="25" t="str">
        <f>IF('1. Live'!AK263='check-Jul''26'!AG263,"",'1. Live'!AK263-'check-Jul''26'!AG263)</f>
        <v/>
      </c>
      <c r="AH245" s="25" t="str">
        <f>IF('1. Live'!AL263='check-Jul''26'!AH263,"",'1. Live'!AL263-'check-Jul''26'!AH263)</f>
        <v/>
      </c>
      <c r="AI245" s="25" t="str">
        <f>IF('1. Live'!AM263='check-Jul''26'!AI263,"",'1. Live'!AM263-'check-Jul''26'!AI263)</f>
        <v/>
      </c>
      <c r="AJ245" s="25" t="str">
        <f>IF('1. Live'!AN263='check-Jul''26'!AJ263,"",'1. Live'!AN263-'check-Jul''26'!AJ263)</f>
        <v/>
      </c>
      <c r="AK245" s="25" t="str">
        <f>IF('1. Live'!AO263='check-Jul''26'!AK263,"",'1. Live'!AO263-'check-Jul''26'!AK263)</f>
        <v/>
      </c>
      <c r="AL245" s="25" t="str">
        <f>IF('1. Live'!AP263='check-Jul''26'!AL263,"",'1. Live'!AP263-'check-Jul''26'!AL263)</f>
        <v/>
      </c>
      <c r="AM245" s="25" t="str">
        <f>IF('1. Live'!AQ263='check-Jul''26'!AM263,"",'1. Live'!AQ263-'check-Jul''26'!AM263)</f>
        <v/>
      </c>
      <c r="AN245" s="25" t="str">
        <f>IF('1. Live'!AR263='check-Jul''26'!AN263,"",'1. Live'!AR263-'check-Jul''26'!AN263)</f>
        <v/>
      </c>
      <c r="AO245" s="25" t="str">
        <f>IF('1. Live'!AS263='check-Jul''26'!AO263,"",'1. Live'!AS263-'check-Jul''26'!AO263)</f>
        <v/>
      </c>
      <c r="AP245" s="25" t="str">
        <f>IF('1. Live'!AT263='check-Jul''26'!AP263,"",'1. Live'!AT263-'check-Jul''26'!AP263)</f>
        <v/>
      </c>
      <c r="AQ245" s="25" t="str">
        <f>IF('1. Live'!AU263='check-Jul''26'!AQ263,"",'1. Live'!AU263-'check-Jul''26'!AQ263)</f>
        <v/>
      </c>
      <c r="AR245" s="25" t="str">
        <f>IF('1. Live'!AV263='check-Jul''26'!AR263,"",'1. Live'!AV263-'check-Jul''26'!AR263)</f>
        <v/>
      </c>
      <c r="AS245" s="25" t="str">
        <f>IF('1. Live'!AW263='check-Jul''26'!AS263,"",'1. Live'!AW263-'check-Jul''26'!AS263)</f>
        <v/>
      </c>
      <c r="AT245" s="25" t="str">
        <f>IF('1. Live'!AX263='check-Jul''26'!AT263,"",'1. Live'!AX263-'check-Jul''26'!AT263)</f>
        <v/>
      </c>
      <c r="AU245" s="25" t="str">
        <f>IF('1. Live'!AY263='check-Jul''26'!AU263,"",'1. Live'!AY263-'check-Jul''26'!AU263)</f>
        <v/>
      </c>
      <c r="AV245" s="25" t="str">
        <f>IF('1. Live'!AZ263='check-Jul''26'!AV263,"",'1. Live'!AZ263-'check-Jul''26'!AV263)</f>
        <v/>
      </c>
      <c r="AW245" s="25" t="str">
        <f>IF('1. Live'!BA263='check-Jul''26'!AW263,"",'1. Live'!BA263-'check-Jul''26'!AW263)</f>
        <v/>
      </c>
      <c r="AX245" s="25" t="str">
        <f>IF('1. Live'!BB263='check-Jul''26'!AX263,"",'1. Live'!BB263-'check-Jul''26'!AX263)</f>
        <v/>
      </c>
      <c r="AY245" s="25" t="str">
        <f>IF('1. Live'!BC263='check-Jul''26'!AY263,"",'1. Live'!BC263-'check-Jul''26'!AY263)</f>
        <v/>
      </c>
      <c r="AZ245" s="25" t="str">
        <f>IF('1. Live'!BD263='check-Jul''26'!AZ263,"",'1. Live'!BD263-'check-Jul''26'!AZ263)</f>
        <v/>
      </c>
      <c r="BA245" s="25" t="str">
        <f>IF('1. Live'!BE263='check-Jul''26'!BA263,"",'1. Live'!BE263-'check-Jul''26'!BA263)</f>
        <v/>
      </c>
      <c r="BB245" s="25" t="str">
        <f>IF('1. Live'!BF263='check-Jul''26'!BB263,"",'1. Live'!BF263-'check-Jul''26'!BB263)</f>
        <v/>
      </c>
      <c r="BC245" s="25" t="str">
        <f>IF('1. Live'!BG263='check-Jul''26'!BC263,"",'1. Live'!BG263-'check-Jul''26'!BC263)</f>
        <v/>
      </c>
      <c r="BD245" s="25" t="str">
        <f>IF('1. Live'!BH263='check-Jul''26'!BD263,"",'1. Live'!BH263-'check-Jul''26'!BD263)</f>
        <v/>
      </c>
      <c r="BE245" s="25" t="str">
        <f>IF('1. Live'!BI263='check-Jul''26'!BE263,"",'1. Live'!BI263-'check-Jul''26'!BE263)</f>
        <v/>
      </c>
      <c r="BF245" s="25" t="str">
        <f>IF('1. Live'!BJ263='check-Jul''26'!BF263,"",'1. Live'!BJ263-'check-Jul''26'!BF263)</f>
        <v/>
      </c>
      <c r="BG245" s="25" t="str">
        <f>IF('1. Live'!BK263='check-Jul''26'!BG263,"",'1. Live'!BK263-'check-Jul''26'!BG263)</f>
        <v/>
      </c>
      <c r="BH245" s="25" t="str">
        <f>IF('1. Live'!BL263='check-Jul''26'!BH263,"",'1. Live'!BL263-'check-Jul''26'!BH263)</f>
        <v/>
      </c>
      <c r="BI245" s="25" t="str">
        <f>IF('1. Live'!BM263='check-Jul''26'!BI263,"",'1. Live'!BM263-'check-Jul''26'!BI263)</f>
        <v/>
      </c>
      <c r="BJ245" s="25" t="str">
        <f>IF('1. Live'!BN263='check-Jul''26'!BJ263,"",'1. Live'!BN263-'check-Jul''26'!BJ263)</f>
        <v/>
      </c>
      <c r="BK245" s="25" t="str">
        <f>IF('1. Live'!BO263='check-Jul''26'!BK263,"",'1. Live'!BO263-'check-Jul''26'!BK263)</f>
        <v/>
      </c>
      <c r="BL245" s="25" t="str">
        <f>IF('1. Live'!BP263='check-Jul''26'!BL263,"",'1. Live'!BP263-'check-Jul''26'!BL263)</f>
        <v/>
      </c>
      <c r="BM245" s="25" t="str">
        <f>IF('1. Live'!BQ263='check-Jul''26'!BM263,"",'1. Live'!BQ263-'check-Jul''26'!BM263)</f>
        <v/>
      </c>
      <c r="BN245" s="25" t="str">
        <f>IF('1. Live'!BR263='check-Jul''26'!BN263,"",'1. Live'!BR263-'check-Jul''26'!BN263)</f>
        <v/>
      </c>
      <c r="BO245" s="25" t="str">
        <f>IF('1. Live'!BS263='check-Jul''26'!BO263,"",'1. Live'!BS263-'check-Jul''26'!BO263)</f>
        <v/>
      </c>
      <c r="BP245" s="25" t="str">
        <f>IF('1. Live'!BT263='check-Jul''26'!BP263,"",'1. Live'!BT263-'check-Jul''26'!BP263)</f>
        <v/>
      </c>
      <c r="BQ245" s="25" t="str">
        <f>IF('1. Live'!BU263='check-Jul''26'!BQ263,"",'1. Live'!BU263-'check-Jul''26'!BQ263)</f>
        <v/>
      </c>
      <c r="BR245" s="25" t="str">
        <f>IF('1. Live'!BV263='check-Jul''26'!BR263,"",'1. Live'!BV263-'check-Jul''26'!BR263)</f>
        <v/>
      </c>
      <c r="BS245" s="25" t="str">
        <f>IF('1. Live'!BW263='check-Jul''26'!BS263,"",'1. Live'!BW263-'check-Jul''26'!BS263)</f>
        <v/>
      </c>
      <c r="BT245" s="25" t="str">
        <f>IF('1. Live'!BX263='check-Jul''26'!BT263,"",'1. Live'!BX263-'check-Jul''26'!BT263)</f>
        <v/>
      </c>
      <c r="BU245" s="25" t="str">
        <f>IF('1. Live'!BY263='check-Jul''26'!BU263,"",'1. Live'!BY263-'check-Jul''26'!BU263)</f>
        <v/>
      </c>
      <c r="BV245" s="25" t="str">
        <f>IF('1. Live'!BZ263='check-Jul''26'!BV263,"",'1. Live'!BZ263-'check-Jul''26'!BV263)</f>
        <v/>
      </c>
      <c r="BW245" s="25" t="str">
        <f>IF('1. Live'!CA263='check-Jul''26'!BW263,"",'1. Live'!CA263-'check-Jul''26'!BW263)</f>
        <v/>
      </c>
      <c r="BX245" s="25" t="str">
        <f>IF('1. Live'!CB263='check-Jul''26'!BX263,"",'1. Live'!CB263-'check-Jul''26'!BX263)</f>
        <v/>
      </c>
      <c r="BY245" s="25" t="str">
        <f>IF('1. Live'!CC263='check-Jul''26'!BY263,"",'1. Live'!CC263-'check-Jul''26'!BY263)</f>
        <v/>
      </c>
      <c r="BZ245" s="25" t="str">
        <f>IF('1. Live'!CD263='check-Jul''26'!BZ263,"",'1. Live'!CD263-'check-Jul''26'!BZ263)</f>
        <v/>
      </c>
      <c r="CA245" s="25" t="str">
        <f>IF('1. Live'!CE263='check-Jul''26'!CA263,"",'1. Live'!CE263-'check-Jul''26'!CA263)</f>
        <v/>
      </c>
      <c r="CB245" s="25" t="str">
        <f>IF('1. Live'!CF263='check-Jul''26'!CB263,"",'1. Live'!CF263-'check-Jul''26'!CB263)</f>
        <v/>
      </c>
      <c r="CC245" s="25" t="str">
        <f>IF('1. Live'!CG263='check-Jul''26'!CC263,"",'1. Live'!CG263-'check-Jul''26'!CC263)</f>
        <v/>
      </c>
      <c r="CD245" s="25" t="str">
        <f>IF('1. Live'!CH263='check-Jul''26'!CD263,"",'1. Live'!CH263-'check-Jul''26'!CD263)</f>
        <v/>
      </c>
      <c r="CE245" s="25" t="str">
        <f>IF('1. Live'!CI263='check-Jul''26'!CE263,"",'1. Live'!CI263-'check-Jul''26'!CE263)</f>
        <v/>
      </c>
      <c r="CF245" s="25" t="str">
        <f>IF('1. Live'!CJ263='check-Jul''26'!CF263,"",'1. Live'!CJ263-'check-Jul''26'!CF263)</f>
        <v/>
      </c>
      <c r="CG245" s="25" t="str">
        <f>IF('1. Live'!CK263='check-Jul''26'!CG263,"",'1. Live'!CK263-'check-Jul''26'!CG263)</f>
        <v/>
      </c>
      <c r="CH245" s="25" t="str">
        <f>IF('1. Live'!CL263='check-Jul''26'!CH263,"",'1. Live'!CL263-'check-Jul''26'!CH263)</f>
        <v/>
      </c>
      <c r="CI245" s="25" t="str">
        <f>IF('1. Live'!CM263='check-Jul''26'!CI263,"",'1. Live'!CM263-'check-Jul''26'!CI263)</f>
        <v/>
      </c>
      <c r="CJ245" s="25" t="str">
        <f>IF('1. Live'!CN263='check-Jul''26'!CJ263,"",'1. Live'!CN263-'check-Jul''26'!CJ263)</f>
        <v/>
      </c>
      <c r="CK245" s="25" t="str">
        <f>IF('1. Live'!CO263='check-Jul''26'!CK263,"",'1. Live'!CO263-'check-Jul''26'!CK263)</f>
        <v/>
      </c>
      <c r="CL245" s="25" t="str">
        <f>IF('1. Live'!CP263='check-Jul''26'!CL263,"",'1. Live'!CP263-'check-Jul''26'!CL263)</f>
        <v/>
      </c>
      <c r="CM245" s="25" t="str">
        <f>IF('1. Live'!CQ263='check-Jul''26'!CM263,"",'1. Live'!CQ263-'check-Jul''26'!CM263)</f>
        <v/>
      </c>
      <c r="CN245" s="25" t="str">
        <f>IF('1. Live'!CR263='check-Jul''26'!CN263,"",'1. Live'!CR263-'check-Jul''26'!CN263)</f>
        <v/>
      </c>
      <c r="CO245" s="25" t="str">
        <f>IF('1. Live'!CS263='check-Jul''26'!CO263,"",'1. Live'!CS263-'check-Jul''26'!CO263)</f>
        <v/>
      </c>
      <c r="CP245" s="25" t="str">
        <f>IF('1. Live'!CT263='check-Jul''26'!CP263,"",'1. Live'!CT263-'check-Jul''26'!CP263)</f>
        <v/>
      </c>
      <c r="CQ245" s="25" t="str">
        <f>IF('1. Live'!CU263='check-Jul''26'!CQ263,"",'1. Live'!CU263-'check-Jul''26'!CQ263)</f>
        <v/>
      </c>
      <c r="CR245" s="25" t="str">
        <f>IF('1. Live'!CV263='check-Jul''26'!CR263,"",'1. Live'!CV263-'check-Jul''26'!CR263)</f>
        <v/>
      </c>
      <c r="CS245" s="25" t="str">
        <f>IF('1. Live'!CW263='check-Jul''26'!CS263,"",'1. Live'!CW263-'check-Jul''26'!CS263)</f>
        <v/>
      </c>
      <c r="CT245" s="25" t="str">
        <f>IF('1. Live'!CX263='check-Jul''26'!CT263,"",'1. Live'!CX263-'check-Jul''26'!CT263)</f>
        <v/>
      </c>
      <c r="CU245" s="25" t="str">
        <f>IF('1. Live'!CY263='check-Jul''26'!CU263,"",'1. Live'!CY263-'check-Jul''26'!CU263)</f>
        <v/>
      </c>
      <c r="CV245" s="25" t="str">
        <f>IF('1. Live'!CZ263='check-Jul''26'!CV263,"",'1. Live'!CZ263-'check-Jul''26'!CV263)</f>
        <v/>
      </c>
    </row>
    <row r="246" spans="17:100" x14ac:dyDescent="0.25">
      <c r="Q246" s="26" t="str">
        <f>IF('1. Live'!N264='check-Jul''26'!I264,"",'1. Live'!N264-'check-Jul''26'!I264)</f>
        <v/>
      </c>
      <c r="R246" s="26" t="str">
        <f>IF('1. Live'!O264='check-Jul''26'!J264,"",'1. Live'!O264-'check-Jul''26'!J264)</f>
        <v/>
      </c>
      <c r="S246" s="26" t="str">
        <f>IF('1. Live'!P264='check-Jul''26'!K264,"",'1. Live'!P264-'check-Jul''26'!K264)</f>
        <v/>
      </c>
      <c r="T246" s="26" t="str">
        <f>IF('1. Live'!Q264='check-Jul''26'!L264,"",'1. Live'!Q264-'check-Jul''26'!L264)</f>
        <v/>
      </c>
      <c r="U246" s="80" t="str">
        <f>IF('1. Live'!R264='check-Jul''26'!M264,"",'1. Live'!R264-'check-Jul''26'!M264)</f>
        <v/>
      </c>
      <c r="V246" s="26" t="str">
        <f>IF('1. Live'!S264='check-Jul''26'!N264,"",'1. Live'!S264-'check-Jul''26'!N264)</f>
        <v/>
      </c>
      <c r="W246" s="25" t="str">
        <f>IF('1. Live'!T264='check-Jul''26'!O264,"",'1. Live'!T264-'check-Jul''26'!O264)</f>
        <v/>
      </c>
      <c r="X246" s="25" t="str">
        <f>IF('1. Live'!U264='check-Jul''26'!Q264,"",'1. Live'!U264-'check-Jul''26'!Q264)</f>
        <v/>
      </c>
      <c r="Y246" s="25" t="str">
        <f>IF('1. Live'!V264='check-Jul''26'!R264,"",'1. Live'!V264-'check-Jul''26'!R264)</f>
        <v/>
      </c>
      <c r="Z246" s="25" t="str">
        <f>IF('1. Live'!W264='check-Jul''26'!S264,"",'1. Live'!W264-'check-Jul''26'!S264)</f>
        <v/>
      </c>
      <c r="AA246" s="25" t="str">
        <f>IF('1. Live'!X264='check-Jul''26'!T264,"",'1. Live'!X264-'check-Jul''26'!T264)</f>
        <v/>
      </c>
      <c r="AB246" s="25" t="str">
        <f>IF('1. Live'!AF264='check-Jul''26'!AB264,"",'1. Live'!AF264-'check-Jul''26'!AB264)</f>
        <v/>
      </c>
      <c r="AC246" s="25" t="str">
        <f>IF('1. Live'!AG264='check-Jul''26'!AC264,"",'1. Live'!AG264-'check-Jul''26'!AC264)</f>
        <v/>
      </c>
      <c r="AD246" s="25" t="str">
        <f>IF('1. Live'!AH264='check-Jul''26'!AD264,"",'1. Live'!AH264-'check-Jul''26'!AD264)</f>
        <v/>
      </c>
      <c r="AE246" s="25" t="str">
        <f>IF('1. Live'!AI264='check-Jul''26'!AE264,"",'1. Live'!AI264-'check-Jul''26'!AE264)</f>
        <v/>
      </c>
      <c r="AF246" s="25" t="str">
        <f>IF('1. Live'!AJ264='check-Jul''26'!AF264,"",'1. Live'!AJ264-'check-Jul''26'!AF264)</f>
        <v/>
      </c>
      <c r="AG246" s="25" t="str">
        <f>IF('1. Live'!AK264='check-Jul''26'!AG264,"",'1. Live'!AK264-'check-Jul''26'!AG264)</f>
        <v/>
      </c>
      <c r="AH246" s="25" t="str">
        <f>IF('1. Live'!AL264='check-Jul''26'!AH264,"",'1. Live'!AL264-'check-Jul''26'!AH264)</f>
        <v/>
      </c>
      <c r="AI246" s="25" t="str">
        <f>IF('1. Live'!AM264='check-Jul''26'!AI264,"",'1. Live'!AM264-'check-Jul''26'!AI264)</f>
        <v/>
      </c>
      <c r="AJ246" s="25" t="str">
        <f>IF('1. Live'!AN264='check-Jul''26'!AJ264,"",'1. Live'!AN264-'check-Jul''26'!AJ264)</f>
        <v/>
      </c>
      <c r="AK246" s="25" t="str">
        <f>IF('1. Live'!AO264='check-Jul''26'!AK264,"",'1. Live'!AO264-'check-Jul''26'!AK264)</f>
        <v/>
      </c>
      <c r="AL246" s="25" t="str">
        <f>IF('1. Live'!AP264='check-Jul''26'!AL264,"",'1. Live'!AP264-'check-Jul''26'!AL264)</f>
        <v/>
      </c>
      <c r="AM246" s="25" t="str">
        <f>IF('1. Live'!AQ264='check-Jul''26'!AM264,"",'1. Live'!AQ264-'check-Jul''26'!AM264)</f>
        <v/>
      </c>
      <c r="AN246" s="25" t="str">
        <f>IF('1. Live'!AR264='check-Jul''26'!AN264,"",'1. Live'!AR264-'check-Jul''26'!AN264)</f>
        <v/>
      </c>
      <c r="AO246" s="25" t="str">
        <f>IF('1. Live'!AS264='check-Jul''26'!AO264,"",'1. Live'!AS264-'check-Jul''26'!AO264)</f>
        <v/>
      </c>
      <c r="AP246" s="25" t="str">
        <f>IF('1. Live'!AT264='check-Jul''26'!AP264,"",'1. Live'!AT264-'check-Jul''26'!AP264)</f>
        <v/>
      </c>
      <c r="AQ246" s="25" t="str">
        <f>IF('1. Live'!AU264='check-Jul''26'!AQ264,"",'1. Live'!AU264-'check-Jul''26'!AQ264)</f>
        <v/>
      </c>
      <c r="AR246" s="25" t="str">
        <f>IF('1. Live'!AV264='check-Jul''26'!AR264,"",'1. Live'!AV264-'check-Jul''26'!AR264)</f>
        <v/>
      </c>
      <c r="AS246" s="25" t="str">
        <f>IF('1. Live'!AW264='check-Jul''26'!AS264,"",'1. Live'!AW264-'check-Jul''26'!AS264)</f>
        <v/>
      </c>
      <c r="AT246" s="25" t="str">
        <f>IF('1. Live'!AX264='check-Jul''26'!AT264,"",'1. Live'!AX264-'check-Jul''26'!AT264)</f>
        <v/>
      </c>
      <c r="AU246" s="25" t="str">
        <f>IF('1. Live'!AY264='check-Jul''26'!AU264,"",'1. Live'!AY264-'check-Jul''26'!AU264)</f>
        <v/>
      </c>
      <c r="AV246" s="25" t="str">
        <f>IF('1. Live'!AZ264='check-Jul''26'!AV264,"",'1. Live'!AZ264-'check-Jul''26'!AV264)</f>
        <v/>
      </c>
      <c r="AW246" s="25" t="str">
        <f>IF('1. Live'!BA264='check-Jul''26'!AW264,"",'1. Live'!BA264-'check-Jul''26'!AW264)</f>
        <v/>
      </c>
      <c r="AX246" s="25" t="str">
        <f>IF('1. Live'!BB264='check-Jul''26'!AX264,"",'1. Live'!BB264-'check-Jul''26'!AX264)</f>
        <v/>
      </c>
      <c r="AY246" s="25" t="str">
        <f>IF('1. Live'!BC264='check-Jul''26'!AY264,"",'1. Live'!BC264-'check-Jul''26'!AY264)</f>
        <v/>
      </c>
      <c r="AZ246" s="25" t="str">
        <f>IF('1. Live'!BD264='check-Jul''26'!AZ264,"",'1. Live'!BD264-'check-Jul''26'!AZ264)</f>
        <v/>
      </c>
      <c r="BA246" s="25" t="str">
        <f>IF('1. Live'!BE264='check-Jul''26'!BA264,"",'1. Live'!BE264-'check-Jul''26'!BA264)</f>
        <v/>
      </c>
      <c r="BB246" s="25" t="str">
        <f>IF('1. Live'!BF264='check-Jul''26'!BB264,"",'1. Live'!BF264-'check-Jul''26'!BB264)</f>
        <v/>
      </c>
      <c r="BC246" s="25" t="str">
        <f>IF('1. Live'!BG264='check-Jul''26'!BC264,"",'1. Live'!BG264-'check-Jul''26'!BC264)</f>
        <v/>
      </c>
      <c r="BD246" s="25" t="str">
        <f>IF('1. Live'!BH264='check-Jul''26'!BD264,"",'1. Live'!BH264-'check-Jul''26'!BD264)</f>
        <v/>
      </c>
      <c r="BE246" s="25" t="str">
        <f>IF('1. Live'!BI264='check-Jul''26'!BE264,"",'1. Live'!BI264-'check-Jul''26'!BE264)</f>
        <v/>
      </c>
      <c r="BF246" s="25" t="str">
        <f>IF('1. Live'!BJ264='check-Jul''26'!BF264,"",'1. Live'!BJ264-'check-Jul''26'!BF264)</f>
        <v/>
      </c>
      <c r="BG246" s="25" t="str">
        <f>IF('1. Live'!BK264='check-Jul''26'!BG264,"",'1. Live'!BK264-'check-Jul''26'!BG264)</f>
        <v/>
      </c>
      <c r="BH246" s="25" t="str">
        <f>IF('1. Live'!BL264='check-Jul''26'!BH264,"",'1. Live'!BL264-'check-Jul''26'!BH264)</f>
        <v/>
      </c>
      <c r="BI246" s="25" t="str">
        <f>IF('1. Live'!BM264='check-Jul''26'!BI264,"",'1. Live'!BM264-'check-Jul''26'!BI264)</f>
        <v/>
      </c>
      <c r="BJ246" s="25" t="str">
        <f>IF('1. Live'!BN264='check-Jul''26'!BJ264,"",'1. Live'!BN264-'check-Jul''26'!BJ264)</f>
        <v/>
      </c>
      <c r="BK246" s="25" t="str">
        <f>IF('1. Live'!BO264='check-Jul''26'!BK264,"",'1. Live'!BO264-'check-Jul''26'!BK264)</f>
        <v/>
      </c>
      <c r="BL246" s="25" t="str">
        <f>IF('1. Live'!BP264='check-Jul''26'!BL264,"",'1. Live'!BP264-'check-Jul''26'!BL264)</f>
        <v/>
      </c>
      <c r="BM246" s="25" t="str">
        <f>IF('1. Live'!BQ264='check-Jul''26'!BM264,"",'1. Live'!BQ264-'check-Jul''26'!BM264)</f>
        <v/>
      </c>
      <c r="BN246" s="25" t="str">
        <f>IF('1. Live'!BR264='check-Jul''26'!BN264,"",'1. Live'!BR264-'check-Jul''26'!BN264)</f>
        <v/>
      </c>
      <c r="BO246" s="25" t="str">
        <f>IF('1. Live'!BS264='check-Jul''26'!BO264,"",'1. Live'!BS264-'check-Jul''26'!BO264)</f>
        <v/>
      </c>
      <c r="BP246" s="25" t="str">
        <f>IF('1. Live'!BT264='check-Jul''26'!BP264,"",'1. Live'!BT264-'check-Jul''26'!BP264)</f>
        <v/>
      </c>
      <c r="BQ246" s="25" t="str">
        <f>IF('1. Live'!BU264='check-Jul''26'!BQ264,"",'1. Live'!BU264-'check-Jul''26'!BQ264)</f>
        <v/>
      </c>
      <c r="BR246" s="25" t="str">
        <f>IF('1. Live'!BV264='check-Jul''26'!BR264,"",'1. Live'!BV264-'check-Jul''26'!BR264)</f>
        <v/>
      </c>
      <c r="BS246" s="25" t="str">
        <f>IF('1. Live'!BW264='check-Jul''26'!BS264,"",'1. Live'!BW264-'check-Jul''26'!BS264)</f>
        <v/>
      </c>
      <c r="BT246" s="25" t="str">
        <f>IF('1. Live'!BX264='check-Jul''26'!BT264,"",'1. Live'!BX264-'check-Jul''26'!BT264)</f>
        <v/>
      </c>
      <c r="BU246" s="25" t="str">
        <f>IF('1. Live'!BY264='check-Jul''26'!BU264,"",'1. Live'!BY264-'check-Jul''26'!BU264)</f>
        <v/>
      </c>
      <c r="BV246" s="25" t="str">
        <f>IF('1. Live'!BZ264='check-Jul''26'!BV264,"",'1. Live'!BZ264-'check-Jul''26'!BV264)</f>
        <v/>
      </c>
      <c r="BW246" s="25" t="str">
        <f>IF('1. Live'!CA264='check-Jul''26'!BW264,"",'1. Live'!CA264-'check-Jul''26'!BW264)</f>
        <v/>
      </c>
      <c r="BX246" s="25" t="str">
        <f>IF('1. Live'!CB264='check-Jul''26'!BX264,"",'1. Live'!CB264-'check-Jul''26'!BX264)</f>
        <v/>
      </c>
      <c r="BY246" s="25" t="str">
        <f>IF('1. Live'!CC264='check-Jul''26'!BY264,"",'1. Live'!CC264-'check-Jul''26'!BY264)</f>
        <v/>
      </c>
      <c r="BZ246" s="25" t="str">
        <f>IF('1. Live'!CD264='check-Jul''26'!BZ264,"",'1. Live'!CD264-'check-Jul''26'!BZ264)</f>
        <v/>
      </c>
      <c r="CA246" s="25" t="str">
        <f>IF('1. Live'!CE264='check-Jul''26'!CA264,"",'1. Live'!CE264-'check-Jul''26'!CA264)</f>
        <v/>
      </c>
      <c r="CB246" s="25" t="str">
        <f>IF('1. Live'!CF264='check-Jul''26'!CB264,"",'1. Live'!CF264-'check-Jul''26'!CB264)</f>
        <v/>
      </c>
      <c r="CC246" s="25" t="str">
        <f>IF('1. Live'!CG264='check-Jul''26'!CC264,"",'1. Live'!CG264-'check-Jul''26'!CC264)</f>
        <v/>
      </c>
      <c r="CD246" s="25" t="str">
        <f>IF('1. Live'!CH264='check-Jul''26'!CD264,"",'1. Live'!CH264-'check-Jul''26'!CD264)</f>
        <v/>
      </c>
      <c r="CE246" s="25" t="str">
        <f>IF('1. Live'!CI264='check-Jul''26'!CE264,"",'1. Live'!CI264-'check-Jul''26'!CE264)</f>
        <v/>
      </c>
      <c r="CF246" s="25" t="str">
        <f>IF('1. Live'!CJ264='check-Jul''26'!CF264,"",'1. Live'!CJ264-'check-Jul''26'!CF264)</f>
        <v/>
      </c>
      <c r="CG246" s="25" t="str">
        <f>IF('1. Live'!CK264='check-Jul''26'!CG264,"",'1. Live'!CK264-'check-Jul''26'!CG264)</f>
        <v/>
      </c>
      <c r="CH246" s="25" t="str">
        <f>IF('1. Live'!CL264='check-Jul''26'!CH264,"",'1. Live'!CL264-'check-Jul''26'!CH264)</f>
        <v/>
      </c>
      <c r="CI246" s="25" t="str">
        <f>IF('1. Live'!CM264='check-Jul''26'!CI264,"",'1. Live'!CM264-'check-Jul''26'!CI264)</f>
        <v/>
      </c>
      <c r="CJ246" s="25" t="str">
        <f>IF('1. Live'!CN264='check-Jul''26'!CJ264,"",'1. Live'!CN264-'check-Jul''26'!CJ264)</f>
        <v/>
      </c>
      <c r="CK246" s="25" t="str">
        <f>IF('1. Live'!CO264='check-Jul''26'!CK264,"",'1. Live'!CO264-'check-Jul''26'!CK264)</f>
        <v/>
      </c>
      <c r="CL246" s="25" t="str">
        <f>IF('1. Live'!CP264='check-Jul''26'!CL264,"",'1. Live'!CP264-'check-Jul''26'!CL264)</f>
        <v/>
      </c>
      <c r="CM246" s="25" t="str">
        <f>IF('1. Live'!CQ264='check-Jul''26'!CM264,"",'1. Live'!CQ264-'check-Jul''26'!CM264)</f>
        <v/>
      </c>
      <c r="CN246" s="25" t="str">
        <f>IF('1. Live'!CR264='check-Jul''26'!CN264,"",'1. Live'!CR264-'check-Jul''26'!CN264)</f>
        <v/>
      </c>
      <c r="CO246" s="25" t="str">
        <f>IF('1. Live'!CS264='check-Jul''26'!CO264,"",'1. Live'!CS264-'check-Jul''26'!CO264)</f>
        <v/>
      </c>
      <c r="CP246" s="25" t="str">
        <f>IF('1. Live'!CT264='check-Jul''26'!CP264,"",'1. Live'!CT264-'check-Jul''26'!CP264)</f>
        <v/>
      </c>
      <c r="CQ246" s="25" t="str">
        <f>IF('1. Live'!CU264='check-Jul''26'!CQ264,"",'1. Live'!CU264-'check-Jul''26'!CQ264)</f>
        <v/>
      </c>
      <c r="CR246" s="25" t="str">
        <f>IF('1. Live'!CV264='check-Jul''26'!CR264,"",'1. Live'!CV264-'check-Jul''26'!CR264)</f>
        <v/>
      </c>
      <c r="CS246" s="25" t="str">
        <f>IF('1. Live'!CW264='check-Jul''26'!CS264,"",'1. Live'!CW264-'check-Jul''26'!CS264)</f>
        <v/>
      </c>
      <c r="CT246" s="25" t="str">
        <f>IF('1. Live'!CX264='check-Jul''26'!CT264,"",'1. Live'!CX264-'check-Jul''26'!CT264)</f>
        <v/>
      </c>
      <c r="CU246" s="25" t="str">
        <f>IF('1. Live'!CY264='check-Jul''26'!CU264,"",'1. Live'!CY264-'check-Jul''26'!CU264)</f>
        <v/>
      </c>
      <c r="CV246" s="25" t="str">
        <f>IF('1. Live'!CZ264='check-Jul''26'!CV264,"",'1. Live'!CZ264-'check-Jul''26'!CV264)</f>
        <v/>
      </c>
    </row>
    <row r="247" spans="17:100" x14ac:dyDescent="0.25">
      <c r="Q247" s="26" t="str">
        <f>IF('1. Live'!N265='check-Jul''26'!I265,"",'1. Live'!N265-'check-Jul''26'!I265)</f>
        <v/>
      </c>
      <c r="R247" s="26" t="str">
        <f>IF('1. Live'!O265='check-Jul''26'!J265,"",'1. Live'!O265-'check-Jul''26'!J265)</f>
        <v/>
      </c>
      <c r="S247" s="26" t="str">
        <f>IF('1. Live'!P265='check-Jul''26'!K265,"",'1. Live'!P265-'check-Jul''26'!K265)</f>
        <v/>
      </c>
      <c r="T247" s="26" t="str">
        <f>IF('1. Live'!Q265='check-Jul''26'!L265,"",'1. Live'!Q265-'check-Jul''26'!L265)</f>
        <v/>
      </c>
      <c r="U247" s="80" t="str">
        <f>IF('1. Live'!R265='check-Jul''26'!M265,"",'1. Live'!R265-'check-Jul''26'!M265)</f>
        <v/>
      </c>
      <c r="V247" s="26" t="str">
        <f>IF('1. Live'!S265='check-Jul''26'!N265,"",'1. Live'!S265-'check-Jul''26'!N265)</f>
        <v/>
      </c>
      <c r="W247" s="25" t="str">
        <f>IF('1. Live'!T265='check-Jul''26'!O265,"",'1. Live'!T265-'check-Jul''26'!O265)</f>
        <v/>
      </c>
      <c r="X247" s="25" t="str">
        <f>IF('1. Live'!U265='check-Jul''26'!Q265,"",'1. Live'!U265-'check-Jul''26'!Q265)</f>
        <v/>
      </c>
      <c r="Y247" s="25" t="str">
        <f>IF('1. Live'!V265='check-Jul''26'!R265,"",'1. Live'!V265-'check-Jul''26'!R265)</f>
        <v/>
      </c>
      <c r="Z247" s="25" t="str">
        <f>IF('1. Live'!W265='check-Jul''26'!S265,"",'1. Live'!W265-'check-Jul''26'!S265)</f>
        <v/>
      </c>
      <c r="AA247" s="25" t="str">
        <f>IF('1. Live'!X265='check-Jul''26'!T265,"",'1. Live'!X265-'check-Jul''26'!T265)</f>
        <v/>
      </c>
      <c r="AB247" s="25" t="str">
        <f>IF('1. Live'!AF265='check-Jul''26'!AB265,"",'1. Live'!AF265-'check-Jul''26'!AB265)</f>
        <v/>
      </c>
      <c r="AC247" s="25" t="str">
        <f>IF('1. Live'!AG265='check-Jul''26'!AC265,"",'1. Live'!AG265-'check-Jul''26'!AC265)</f>
        <v/>
      </c>
      <c r="AD247" s="25" t="str">
        <f>IF('1. Live'!AH265='check-Jul''26'!AD265,"",'1. Live'!AH265-'check-Jul''26'!AD265)</f>
        <v/>
      </c>
      <c r="AE247" s="25" t="str">
        <f>IF('1. Live'!AI265='check-Jul''26'!AE265,"",'1. Live'!AI265-'check-Jul''26'!AE265)</f>
        <v/>
      </c>
      <c r="AF247" s="25" t="str">
        <f>IF('1. Live'!AJ265='check-Jul''26'!AF265,"",'1. Live'!AJ265-'check-Jul''26'!AF265)</f>
        <v/>
      </c>
      <c r="AG247" s="25" t="str">
        <f>IF('1. Live'!AK265='check-Jul''26'!AG265,"",'1. Live'!AK265-'check-Jul''26'!AG265)</f>
        <v/>
      </c>
      <c r="AH247" s="25" t="str">
        <f>IF('1. Live'!AL265='check-Jul''26'!AH265,"",'1. Live'!AL265-'check-Jul''26'!AH265)</f>
        <v/>
      </c>
      <c r="AI247" s="25" t="str">
        <f>IF('1. Live'!AM265='check-Jul''26'!AI265,"",'1. Live'!AM265-'check-Jul''26'!AI265)</f>
        <v/>
      </c>
      <c r="AJ247" s="25" t="str">
        <f>IF('1. Live'!AN265='check-Jul''26'!AJ265,"",'1. Live'!AN265-'check-Jul''26'!AJ265)</f>
        <v/>
      </c>
      <c r="AK247" s="25" t="str">
        <f>IF('1. Live'!AO265='check-Jul''26'!AK265,"",'1. Live'!AO265-'check-Jul''26'!AK265)</f>
        <v/>
      </c>
      <c r="AL247" s="25" t="str">
        <f>IF('1. Live'!AP265='check-Jul''26'!AL265,"",'1. Live'!AP265-'check-Jul''26'!AL265)</f>
        <v/>
      </c>
      <c r="AM247" s="25" t="str">
        <f>IF('1. Live'!AQ265='check-Jul''26'!AM265,"",'1. Live'!AQ265-'check-Jul''26'!AM265)</f>
        <v/>
      </c>
      <c r="AN247" s="25" t="str">
        <f>IF('1. Live'!AR265='check-Jul''26'!AN265,"",'1. Live'!AR265-'check-Jul''26'!AN265)</f>
        <v/>
      </c>
      <c r="AO247" s="25" t="str">
        <f>IF('1. Live'!AS265='check-Jul''26'!AO265,"",'1. Live'!AS265-'check-Jul''26'!AO265)</f>
        <v/>
      </c>
      <c r="AP247" s="25" t="str">
        <f>IF('1. Live'!AT265='check-Jul''26'!AP265,"",'1. Live'!AT265-'check-Jul''26'!AP265)</f>
        <v/>
      </c>
      <c r="AQ247" s="25" t="str">
        <f>IF('1. Live'!AU265='check-Jul''26'!AQ265,"",'1. Live'!AU265-'check-Jul''26'!AQ265)</f>
        <v/>
      </c>
      <c r="AR247" s="25" t="str">
        <f>IF('1. Live'!AV265='check-Jul''26'!AR265,"",'1. Live'!AV265-'check-Jul''26'!AR265)</f>
        <v/>
      </c>
      <c r="AS247" s="25" t="str">
        <f>IF('1. Live'!AW265='check-Jul''26'!AS265,"",'1. Live'!AW265-'check-Jul''26'!AS265)</f>
        <v/>
      </c>
      <c r="AT247" s="25" t="str">
        <f>IF('1. Live'!AX265='check-Jul''26'!AT265,"",'1. Live'!AX265-'check-Jul''26'!AT265)</f>
        <v/>
      </c>
      <c r="AU247" s="25" t="str">
        <f>IF('1. Live'!AY265='check-Jul''26'!AU265,"",'1. Live'!AY265-'check-Jul''26'!AU265)</f>
        <v/>
      </c>
      <c r="AV247" s="25" t="str">
        <f>IF('1. Live'!AZ265='check-Jul''26'!AV265,"",'1. Live'!AZ265-'check-Jul''26'!AV265)</f>
        <v/>
      </c>
      <c r="AW247" s="25" t="str">
        <f>IF('1. Live'!BA265='check-Jul''26'!AW265,"",'1. Live'!BA265-'check-Jul''26'!AW265)</f>
        <v/>
      </c>
      <c r="AX247" s="25" t="str">
        <f>IF('1. Live'!BB265='check-Jul''26'!AX265,"",'1. Live'!BB265-'check-Jul''26'!AX265)</f>
        <v/>
      </c>
      <c r="AY247" s="25" t="str">
        <f>IF('1. Live'!BC265='check-Jul''26'!AY265,"",'1. Live'!BC265-'check-Jul''26'!AY265)</f>
        <v/>
      </c>
      <c r="AZ247" s="25" t="str">
        <f>IF('1. Live'!BD265='check-Jul''26'!AZ265,"",'1. Live'!BD265-'check-Jul''26'!AZ265)</f>
        <v/>
      </c>
      <c r="BA247" s="25" t="str">
        <f>IF('1. Live'!BE265='check-Jul''26'!BA265,"",'1. Live'!BE265-'check-Jul''26'!BA265)</f>
        <v/>
      </c>
      <c r="BB247" s="25" t="str">
        <f>IF('1. Live'!BF265='check-Jul''26'!BB265,"",'1. Live'!BF265-'check-Jul''26'!BB265)</f>
        <v/>
      </c>
      <c r="BC247" s="25" t="str">
        <f>IF('1. Live'!BG265='check-Jul''26'!BC265,"",'1. Live'!BG265-'check-Jul''26'!BC265)</f>
        <v/>
      </c>
      <c r="BD247" s="25" t="str">
        <f>IF('1. Live'!BH265='check-Jul''26'!BD265,"",'1. Live'!BH265-'check-Jul''26'!BD265)</f>
        <v/>
      </c>
      <c r="BE247" s="25" t="str">
        <f>IF('1. Live'!BI265='check-Jul''26'!BE265,"",'1. Live'!BI265-'check-Jul''26'!BE265)</f>
        <v/>
      </c>
      <c r="BF247" s="25" t="str">
        <f>IF('1. Live'!BJ265='check-Jul''26'!BF265,"",'1. Live'!BJ265-'check-Jul''26'!BF265)</f>
        <v/>
      </c>
      <c r="BG247" s="25" t="str">
        <f>IF('1. Live'!BK265='check-Jul''26'!BG265,"",'1. Live'!BK265-'check-Jul''26'!BG265)</f>
        <v/>
      </c>
      <c r="BH247" s="25" t="str">
        <f>IF('1. Live'!BL265='check-Jul''26'!BH265,"",'1. Live'!BL265-'check-Jul''26'!BH265)</f>
        <v/>
      </c>
      <c r="BI247" s="25" t="str">
        <f>IF('1. Live'!BM265='check-Jul''26'!BI265,"",'1. Live'!BM265-'check-Jul''26'!BI265)</f>
        <v/>
      </c>
      <c r="BJ247" s="25" t="str">
        <f>IF('1. Live'!BN265='check-Jul''26'!BJ265,"",'1. Live'!BN265-'check-Jul''26'!BJ265)</f>
        <v/>
      </c>
      <c r="BK247" s="25" t="str">
        <f>IF('1. Live'!BO265='check-Jul''26'!BK265,"",'1. Live'!BO265-'check-Jul''26'!BK265)</f>
        <v/>
      </c>
      <c r="BL247" s="25" t="str">
        <f>IF('1. Live'!BP265='check-Jul''26'!BL265,"",'1. Live'!BP265-'check-Jul''26'!BL265)</f>
        <v/>
      </c>
      <c r="BM247" s="25" t="str">
        <f>IF('1. Live'!BQ265='check-Jul''26'!BM265,"",'1. Live'!BQ265-'check-Jul''26'!BM265)</f>
        <v/>
      </c>
      <c r="BN247" s="25" t="str">
        <f>IF('1. Live'!BR265='check-Jul''26'!BN265,"",'1. Live'!BR265-'check-Jul''26'!BN265)</f>
        <v/>
      </c>
      <c r="BO247" s="25" t="str">
        <f>IF('1. Live'!BS265='check-Jul''26'!BO265,"",'1. Live'!BS265-'check-Jul''26'!BO265)</f>
        <v/>
      </c>
      <c r="BP247" s="25" t="str">
        <f>IF('1. Live'!BT265='check-Jul''26'!BP265,"",'1. Live'!BT265-'check-Jul''26'!BP265)</f>
        <v/>
      </c>
      <c r="BQ247" s="25" t="str">
        <f>IF('1. Live'!BU265='check-Jul''26'!BQ265,"",'1. Live'!BU265-'check-Jul''26'!BQ265)</f>
        <v/>
      </c>
      <c r="BR247" s="25" t="str">
        <f>IF('1. Live'!BV265='check-Jul''26'!BR265,"",'1. Live'!BV265-'check-Jul''26'!BR265)</f>
        <v/>
      </c>
      <c r="BS247" s="25" t="str">
        <f>IF('1. Live'!BW265='check-Jul''26'!BS265,"",'1. Live'!BW265-'check-Jul''26'!BS265)</f>
        <v/>
      </c>
      <c r="BT247" s="25" t="str">
        <f>IF('1. Live'!BX265='check-Jul''26'!BT265,"",'1. Live'!BX265-'check-Jul''26'!BT265)</f>
        <v/>
      </c>
      <c r="BU247" s="25" t="str">
        <f>IF('1. Live'!BY265='check-Jul''26'!BU265,"",'1. Live'!BY265-'check-Jul''26'!BU265)</f>
        <v/>
      </c>
      <c r="BV247" s="25" t="str">
        <f>IF('1. Live'!BZ265='check-Jul''26'!BV265,"",'1. Live'!BZ265-'check-Jul''26'!BV265)</f>
        <v/>
      </c>
      <c r="BW247" s="25" t="str">
        <f>IF('1. Live'!CA265='check-Jul''26'!BW265,"",'1. Live'!CA265-'check-Jul''26'!BW265)</f>
        <v/>
      </c>
      <c r="BX247" s="25" t="str">
        <f>IF('1. Live'!CB265='check-Jul''26'!BX265,"",'1. Live'!CB265-'check-Jul''26'!BX265)</f>
        <v/>
      </c>
      <c r="BY247" s="25" t="str">
        <f>IF('1. Live'!CC265='check-Jul''26'!BY265,"",'1. Live'!CC265-'check-Jul''26'!BY265)</f>
        <v/>
      </c>
      <c r="BZ247" s="25" t="str">
        <f>IF('1. Live'!CD265='check-Jul''26'!BZ265,"",'1. Live'!CD265-'check-Jul''26'!BZ265)</f>
        <v/>
      </c>
      <c r="CA247" s="25" t="str">
        <f>IF('1. Live'!CE265='check-Jul''26'!CA265,"",'1. Live'!CE265-'check-Jul''26'!CA265)</f>
        <v/>
      </c>
      <c r="CB247" s="25" t="str">
        <f>IF('1. Live'!CF265='check-Jul''26'!CB265,"",'1. Live'!CF265-'check-Jul''26'!CB265)</f>
        <v/>
      </c>
      <c r="CC247" s="25" t="str">
        <f>IF('1. Live'!CG265='check-Jul''26'!CC265,"",'1. Live'!CG265-'check-Jul''26'!CC265)</f>
        <v/>
      </c>
      <c r="CD247" s="25" t="str">
        <f>IF('1. Live'!CH265='check-Jul''26'!CD265,"",'1. Live'!CH265-'check-Jul''26'!CD265)</f>
        <v/>
      </c>
      <c r="CE247" s="25" t="str">
        <f>IF('1. Live'!CI265='check-Jul''26'!CE265,"",'1. Live'!CI265-'check-Jul''26'!CE265)</f>
        <v/>
      </c>
      <c r="CF247" s="25" t="str">
        <f>IF('1. Live'!CJ265='check-Jul''26'!CF265,"",'1. Live'!CJ265-'check-Jul''26'!CF265)</f>
        <v/>
      </c>
      <c r="CG247" s="25" t="str">
        <f>IF('1. Live'!CK265='check-Jul''26'!CG265,"",'1. Live'!CK265-'check-Jul''26'!CG265)</f>
        <v/>
      </c>
      <c r="CH247" s="25" t="str">
        <f>IF('1. Live'!CL265='check-Jul''26'!CH265,"",'1. Live'!CL265-'check-Jul''26'!CH265)</f>
        <v/>
      </c>
      <c r="CI247" s="25" t="str">
        <f>IF('1. Live'!CM265='check-Jul''26'!CI265,"",'1. Live'!CM265-'check-Jul''26'!CI265)</f>
        <v/>
      </c>
      <c r="CJ247" s="25" t="str">
        <f>IF('1. Live'!CN265='check-Jul''26'!CJ265,"",'1. Live'!CN265-'check-Jul''26'!CJ265)</f>
        <v/>
      </c>
      <c r="CK247" s="25" t="str">
        <f>IF('1. Live'!CO265='check-Jul''26'!CK265,"",'1. Live'!CO265-'check-Jul''26'!CK265)</f>
        <v/>
      </c>
      <c r="CL247" s="25" t="str">
        <f>IF('1. Live'!CP265='check-Jul''26'!CL265,"",'1. Live'!CP265-'check-Jul''26'!CL265)</f>
        <v/>
      </c>
      <c r="CM247" s="25" t="str">
        <f>IF('1. Live'!CQ265='check-Jul''26'!CM265,"",'1. Live'!CQ265-'check-Jul''26'!CM265)</f>
        <v/>
      </c>
      <c r="CN247" s="25" t="str">
        <f>IF('1. Live'!CR265='check-Jul''26'!CN265,"",'1. Live'!CR265-'check-Jul''26'!CN265)</f>
        <v/>
      </c>
      <c r="CO247" s="25" t="str">
        <f>IF('1. Live'!CS265='check-Jul''26'!CO265,"",'1. Live'!CS265-'check-Jul''26'!CO265)</f>
        <v/>
      </c>
      <c r="CP247" s="25" t="str">
        <f>IF('1. Live'!CT265='check-Jul''26'!CP265,"",'1. Live'!CT265-'check-Jul''26'!CP265)</f>
        <v/>
      </c>
      <c r="CQ247" s="25" t="str">
        <f>IF('1. Live'!CU265='check-Jul''26'!CQ265,"",'1. Live'!CU265-'check-Jul''26'!CQ265)</f>
        <v/>
      </c>
      <c r="CR247" s="25" t="str">
        <f>IF('1. Live'!CV265='check-Jul''26'!CR265,"",'1. Live'!CV265-'check-Jul''26'!CR265)</f>
        <v/>
      </c>
      <c r="CS247" s="25" t="str">
        <f>IF('1. Live'!CW265='check-Jul''26'!CS265,"",'1. Live'!CW265-'check-Jul''26'!CS265)</f>
        <v/>
      </c>
      <c r="CT247" s="25" t="str">
        <f>IF('1. Live'!CX265='check-Jul''26'!CT265,"",'1. Live'!CX265-'check-Jul''26'!CT265)</f>
        <v/>
      </c>
      <c r="CU247" s="25" t="str">
        <f>IF('1. Live'!CY265='check-Jul''26'!CU265,"",'1. Live'!CY265-'check-Jul''26'!CU265)</f>
        <v/>
      </c>
      <c r="CV247" s="25" t="str">
        <f>IF('1. Live'!CZ265='check-Jul''26'!CV265,"",'1. Live'!CZ265-'check-Jul''26'!CV265)</f>
        <v/>
      </c>
    </row>
    <row r="248" spans="17:100" x14ac:dyDescent="0.25">
      <c r="Q248" s="26" t="str">
        <f>IF('1. Live'!N266='check-Jul''26'!I266,"",'1. Live'!N266-'check-Jul''26'!I266)</f>
        <v/>
      </c>
      <c r="R248" s="26" t="str">
        <f>IF('1. Live'!O266='check-Jul''26'!J266,"",'1. Live'!O266-'check-Jul''26'!J266)</f>
        <v/>
      </c>
      <c r="S248" s="26" t="str">
        <f>IF('1. Live'!P266='check-Jul''26'!K266,"",'1. Live'!P266-'check-Jul''26'!K266)</f>
        <v/>
      </c>
      <c r="T248" s="26" t="str">
        <f>IF('1. Live'!Q266='check-Jul''26'!L266,"",'1. Live'!Q266-'check-Jul''26'!L266)</f>
        <v/>
      </c>
      <c r="U248" s="80" t="str">
        <f>IF('1. Live'!R266='check-Jul''26'!M266,"",'1. Live'!R266-'check-Jul''26'!M266)</f>
        <v/>
      </c>
      <c r="V248" s="26" t="str">
        <f>IF('1. Live'!S266='check-Jul''26'!N266,"",'1. Live'!S266-'check-Jul''26'!N266)</f>
        <v/>
      </c>
      <c r="W248" s="25" t="str">
        <f>IF('1. Live'!T266='check-Jul''26'!O266,"",'1. Live'!T266-'check-Jul''26'!O266)</f>
        <v/>
      </c>
      <c r="X248" s="25" t="str">
        <f>IF('1. Live'!U266='check-Jul''26'!Q266,"",'1. Live'!U266-'check-Jul''26'!Q266)</f>
        <v/>
      </c>
      <c r="Y248" s="25" t="str">
        <f>IF('1. Live'!V266='check-Jul''26'!R266,"",'1. Live'!V266-'check-Jul''26'!R266)</f>
        <v/>
      </c>
      <c r="Z248" s="25" t="str">
        <f>IF('1. Live'!W266='check-Jul''26'!S266,"",'1. Live'!W266-'check-Jul''26'!S266)</f>
        <v/>
      </c>
      <c r="AA248" s="25" t="str">
        <f>IF('1. Live'!X266='check-Jul''26'!T266,"",'1. Live'!X266-'check-Jul''26'!T266)</f>
        <v/>
      </c>
      <c r="AB248" s="25" t="str">
        <f>IF('1. Live'!AF266='check-Jul''26'!AB266,"",'1. Live'!AF266-'check-Jul''26'!AB266)</f>
        <v/>
      </c>
      <c r="AC248" s="25" t="str">
        <f>IF('1. Live'!AG266='check-Jul''26'!AC266,"",'1. Live'!AG266-'check-Jul''26'!AC266)</f>
        <v/>
      </c>
      <c r="AD248" s="25" t="str">
        <f>IF('1. Live'!AH266='check-Jul''26'!AD266,"",'1. Live'!AH266-'check-Jul''26'!AD266)</f>
        <v/>
      </c>
      <c r="AE248" s="25" t="str">
        <f>IF('1. Live'!AI266='check-Jul''26'!AE266,"",'1. Live'!AI266-'check-Jul''26'!AE266)</f>
        <v/>
      </c>
      <c r="AF248" s="25" t="str">
        <f>IF('1. Live'!AJ266='check-Jul''26'!AF266,"",'1. Live'!AJ266-'check-Jul''26'!AF266)</f>
        <v/>
      </c>
      <c r="AG248" s="25" t="str">
        <f>IF('1. Live'!AK266='check-Jul''26'!AG266,"",'1. Live'!AK266-'check-Jul''26'!AG266)</f>
        <v/>
      </c>
      <c r="AH248" s="25" t="str">
        <f>IF('1. Live'!AL266='check-Jul''26'!AH266,"",'1. Live'!AL266-'check-Jul''26'!AH266)</f>
        <v/>
      </c>
      <c r="AI248" s="25" t="str">
        <f>IF('1. Live'!AM266='check-Jul''26'!AI266,"",'1. Live'!AM266-'check-Jul''26'!AI266)</f>
        <v/>
      </c>
      <c r="AJ248" s="25" t="str">
        <f>IF('1. Live'!AN266='check-Jul''26'!AJ266,"",'1. Live'!AN266-'check-Jul''26'!AJ266)</f>
        <v/>
      </c>
      <c r="AK248" s="25" t="str">
        <f>IF('1. Live'!AO266='check-Jul''26'!AK266,"",'1. Live'!AO266-'check-Jul''26'!AK266)</f>
        <v/>
      </c>
      <c r="AL248" s="25" t="str">
        <f>IF('1. Live'!AP266='check-Jul''26'!AL266,"",'1. Live'!AP266-'check-Jul''26'!AL266)</f>
        <v/>
      </c>
      <c r="AM248" s="25" t="str">
        <f>IF('1. Live'!AQ266='check-Jul''26'!AM266,"",'1. Live'!AQ266-'check-Jul''26'!AM266)</f>
        <v/>
      </c>
      <c r="AN248" s="25" t="str">
        <f>IF('1. Live'!AR266='check-Jul''26'!AN266,"",'1. Live'!AR266-'check-Jul''26'!AN266)</f>
        <v/>
      </c>
      <c r="AO248" s="25" t="str">
        <f>IF('1. Live'!AS266='check-Jul''26'!AO266,"",'1. Live'!AS266-'check-Jul''26'!AO266)</f>
        <v/>
      </c>
      <c r="AP248" s="25" t="str">
        <f>IF('1. Live'!AT266='check-Jul''26'!AP266,"",'1. Live'!AT266-'check-Jul''26'!AP266)</f>
        <v/>
      </c>
      <c r="AQ248" s="25" t="str">
        <f>IF('1. Live'!AU266='check-Jul''26'!AQ266,"",'1. Live'!AU266-'check-Jul''26'!AQ266)</f>
        <v/>
      </c>
      <c r="AR248" s="25" t="str">
        <f>IF('1. Live'!AV266='check-Jul''26'!AR266,"",'1. Live'!AV266-'check-Jul''26'!AR266)</f>
        <v/>
      </c>
      <c r="AS248" s="25" t="str">
        <f>IF('1. Live'!AW266='check-Jul''26'!AS266,"",'1. Live'!AW266-'check-Jul''26'!AS266)</f>
        <v/>
      </c>
      <c r="AT248" s="25" t="str">
        <f>IF('1. Live'!AX266='check-Jul''26'!AT266,"",'1. Live'!AX266-'check-Jul''26'!AT266)</f>
        <v/>
      </c>
      <c r="AU248" s="25" t="str">
        <f>IF('1. Live'!AY266='check-Jul''26'!AU266,"",'1. Live'!AY266-'check-Jul''26'!AU266)</f>
        <v/>
      </c>
      <c r="AV248" s="25" t="str">
        <f>IF('1. Live'!AZ266='check-Jul''26'!AV266,"",'1. Live'!AZ266-'check-Jul''26'!AV266)</f>
        <v/>
      </c>
      <c r="AW248" s="25" t="str">
        <f>IF('1. Live'!BA266='check-Jul''26'!AW266,"",'1. Live'!BA266-'check-Jul''26'!AW266)</f>
        <v/>
      </c>
      <c r="AX248" s="25" t="str">
        <f>IF('1. Live'!BB266='check-Jul''26'!AX266,"",'1. Live'!BB266-'check-Jul''26'!AX266)</f>
        <v/>
      </c>
      <c r="AY248" s="25" t="str">
        <f>IF('1. Live'!BC266='check-Jul''26'!AY266,"",'1. Live'!BC266-'check-Jul''26'!AY266)</f>
        <v/>
      </c>
      <c r="AZ248" s="25" t="str">
        <f>IF('1. Live'!BD266='check-Jul''26'!AZ266,"",'1. Live'!BD266-'check-Jul''26'!AZ266)</f>
        <v/>
      </c>
      <c r="BA248" s="25" t="str">
        <f>IF('1. Live'!BE266='check-Jul''26'!BA266,"",'1. Live'!BE266-'check-Jul''26'!BA266)</f>
        <v/>
      </c>
      <c r="BB248" s="25" t="str">
        <f>IF('1. Live'!BF266='check-Jul''26'!BB266,"",'1. Live'!BF266-'check-Jul''26'!BB266)</f>
        <v/>
      </c>
      <c r="BC248" s="25" t="str">
        <f>IF('1. Live'!BG266='check-Jul''26'!BC266,"",'1. Live'!BG266-'check-Jul''26'!BC266)</f>
        <v/>
      </c>
      <c r="BD248" s="25" t="str">
        <f>IF('1. Live'!BH266='check-Jul''26'!BD266,"",'1. Live'!BH266-'check-Jul''26'!BD266)</f>
        <v/>
      </c>
      <c r="BE248" s="25" t="str">
        <f>IF('1. Live'!BI266='check-Jul''26'!BE266,"",'1. Live'!BI266-'check-Jul''26'!BE266)</f>
        <v/>
      </c>
      <c r="BF248" s="25" t="str">
        <f>IF('1. Live'!BJ266='check-Jul''26'!BF266,"",'1. Live'!BJ266-'check-Jul''26'!BF266)</f>
        <v/>
      </c>
      <c r="BG248" s="25" t="str">
        <f>IF('1. Live'!BK266='check-Jul''26'!BG266,"",'1. Live'!BK266-'check-Jul''26'!BG266)</f>
        <v/>
      </c>
      <c r="BH248" s="25" t="str">
        <f>IF('1. Live'!BL266='check-Jul''26'!BH266,"",'1. Live'!BL266-'check-Jul''26'!BH266)</f>
        <v/>
      </c>
      <c r="BI248" s="25" t="str">
        <f>IF('1. Live'!BM266='check-Jul''26'!BI266,"",'1. Live'!BM266-'check-Jul''26'!BI266)</f>
        <v/>
      </c>
      <c r="BJ248" s="25" t="str">
        <f>IF('1. Live'!BN266='check-Jul''26'!BJ266,"",'1. Live'!BN266-'check-Jul''26'!BJ266)</f>
        <v/>
      </c>
      <c r="BK248" s="25" t="str">
        <f>IF('1. Live'!BO266='check-Jul''26'!BK266,"",'1. Live'!BO266-'check-Jul''26'!BK266)</f>
        <v/>
      </c>
      <c r="BL248" s="25" t="str">
        <f>IF('1. Live'!BP266='check-Jul''26'!BL266,"",'1. Live'!BP266-'check-Jul''26'!BL266)</f>
        <v/>
      </c>
      <c r="BM248" s="25" t="str">
        <f>IF('1. Live'!BQ266='check-Jul''26'!BM266,"",'1. Live'!BQ266-'check-Jul''26'!BM266)</f>
        <v/>
      </c>
      <c r="BN248" s="25" t="str">
        <f>IF('1. Live'!BR266='check-Jul''26'!BN266,"",'1. Live'!BR266-'check-Jul''26'!BN266)</f>
        <v/>
      </c>
      <c r="BO248" s="25" t="str">
        <f>IF('1. Live'!BS266='check-Jul''26'!BO266,"",'1. Live'!BS266-'check-Jul''26'!BO266)</f>
        <v/>
      </c>
      <c r="BP248" s="25" t="str">
        <f>IF('1. Live'!BT266='check-Jul''26'!BP266,"",'1. Live'!BT266-'check-Jul''26'!BP266)</f>
        <v/>
      </c>
      <c r="BQ248" s="25" t="str">
        <f>IF('1. Live'!BU266='check-Jul''26'!BQ266,"",'1. Live'!BU266-'check-Jul''26'!BQ266)</f>
        <v/>
      </c>
      <c r="BR248" s="25" t="str">
        <f>IF('1. Live'!BV266='check-Jul''26'!BR266,"",'1. Live'!BV266-'check-Jul''26'!BR266)</f>
        <v/>
      </c>
      <c r="BS248" s="25" t="str">
        <f>IF('1. Live'!BW266='check-Jul''26'!BS266,"",'1. Live'!BW266-'check-Jul''26'!BS266)</f>
        <v/>
      </c>
      <c r="BT248" s="25" t="str">
        <f>IF('1. Live'!BX266='check-Jul''26'!BT266,"",'1. Live'!BX266-'check-Jul''26'!BT266)</f>
        <v/>
      </c>
      <c r="BU248" s="25" t="str">
        <f>IF('1. Live'!BY266='check-Jul''26'!BU266,"",'1. Live'!BY266-'check-Jul''26'!BU266)</f>
        <v/>
      </c>
      <c r="BV248" s="25" t="str">
        <f>IF('1. Live'!BZ266='check-Jul''26'!BV266,"",'1. Live'!BZ266-'check-Jul''26'!BV266)</f>
        <v/>
      </c>
      <c r="BW248" s="25" t="str">
        <f>IF('1. Live'!CA266='check-Jul''26'!BW266,"",'1. Live'!CA266-'check-Jul''26'!BW266)</f>
        <v/>
      </c>
      <c r="BX248" s="25" t="str">
        <f>IF('1. Live'!CB266='check-Jul''26'!BX266,"",'1. Live'!CB266-'check-Jul''26'!BX266)</f>
        <v/>
      </c>
      <c r="BY248" s="25" t="str">
        <f>IF('1. Live'!CC266='check-Jul''26'!BY266,"",'1. Live'!CC266-'check-Jul''26'!BY266)</f>
        <v/>
      </c>
      <c r="BZ248" s="25" t="str">
        <f>IF('1. Live'!CD266='check-Jul''26'!BZ266,"",'1. Live'!CD266-'check-Jul''26'!BZ266)</f>
        <v/>
      </c>
      <c r="CA248" s="25" t="str">
        <f>IF('1. Live'!CE266='check-Jul''26'!CA266,"",'1. Live'!CE266-'check-Jul''26'!CA266)</f>
        <v/>
      </c>
      <c r="CB248" s="25" t="str">
        <f>IF('1. Live'!CF266='check-Jul''26'!CB266,"",'1. Live'!CF266-'check-Jul''26'!CB266)</f>
        <v/>
      </c>
      <c r="CC248" s="25" t="str">
        <f>IF('1. Live'!CG266='check-Jul''26'!CC266,"",'1. Live'!CG266-'check-Jul''26'!CC266)</f>
        <v/>
      </c>
      <c r="CD248" s="25" t="str">
        <f>IF('1. Live'!CH266='check-Jul''26'!CD266,"",'1. Live'!CH266-'check-Jul''26'!CD266)</f>
        <v/>
      </c>
      <c r="CE248" s="25" t="str">
        <f>IF('1. Live'!CI266='check-Jul''26'!CE266,"",'1. Live'!CI266-'check-Jul''26'!CE266)</f>
        <v/>
      </c>
      <c r="CF248" s="25" t="str">
        <f>IF('1. Live'!CJ266='check-Jul''26'!CF266,"",'1. Live'!CJ266-'check-Jul''26'!CF266)</f>
        <v/>
      </c>
      <c r="CG248" s="25" t="str">
        <f>IF('1. Live'!CK266='check-Jul''26'!CG266,"",'1. Live'!CK266-'check-Jul''26'!CG266)</f>
        <v/>
      </c>
      <c r="CH248" s="25" t="str">
        <f>IF('1. Live'!CL266='check-Jul''26'!CH266,"",'1. Live'!CL266-'check-Jul''26'!CH266)</f>
        <v/>
      </c>
      <c r="CI248" s="25" t="str">
        <f>IF('1. Live'!CM266='check-Jul''26'!CI266,"",'1. Live'!CM266-'check-Jul''26'!CI266)</f>
        <v/>
      </c>
      <c r="CJ248" s="25" t="str">
        <f>IF('1. Live'!CN266='check-Jul''26'!CJ266,"",'1. Live'!CN266-'check-Jul''26'!CJ266)</f>
        <v/>
      </c>
      <c r="CK248" s="25" t="str">
        <f>IF('1. Live'!CO266='check-Jul''26'!CK266,"",'1. Live'!CO266-'check-Jul''26'!CK266)</f>
        <v/>
      </c>
      <c r="CL248" s="25" t="str">
        <f>IF('1. Live'!CP266='check-Jul''26'!CL266,"",'1. Live'!CP266-'check-Jul''26'!CL266)</f>
        <v/>
      </c>
      <c r="CM248" s="25" t="str">
        <f>IF('1. Live'!CQ266='check-Jul''26'!CM266,"",'1. Live'!CQ266-'check-Jul''26'!CM266)</f>
        <v/>
      </c>
      <c r="CN248" s="25" t="str">
        <f>IF('1. Live'!CR266='check-Jul''26'!CN266,"",'1. Live'!CR266-'check-Jul''26'!CN266)</f>
        <v/>
      </c>
      <c r="CO248" s="25" t="str">
        <f>IF('1. Live'!CS266='check-Jul''26'!CO266,"",'1. Live'!CS266-'check-Jul''26'!CO266)</f>
        <v/>
      </c>
      <c r="CP248" s="25" t="str">
        <f>IF('1. Live'!CT266='check-Jul''26'!CP266,"",'1. Live'!CT266-'check-Jul''26'!CP266)</f>
        <v/>
      </c>
      <c r="CQ248" s="25" t="str">
        <f>IF('1. Live'!CU266='check-Jul''26'!CQ266,"",'1. Live'!CU266-'check-Jul''26'!CQ266)</f>
        <v/>
      </c>
      <c r="CR248" s="25" t="str">
        <f>IF('1. Live'!CV266='check-Jul''26'!CR266,"",'1. Live'!CV266-'check-Jul''26'!CR266)</f>
        <v/>
      </c>
      <c r="CS248" s="25" t="str">
        <f>IF('1. Live'!CW266='check-Jul''26'!CS266,"",'1. Live'!CW266-'check-Jul''26'!CS266)</f>
        <v/>
      </c>
      <c r="CT248" s="25" t="str">
        <f>IF('1. Live'!CX266='check-Jul''26'!CT266,"",'1. Live'!CX266-'check-Jul''26'!CT266)</f>
        <v/>
      </c>
      <c r="CU248" s="25" t="str">
        <f>IF('1. Live'!CY266='check-Jul''26'!CU266,"",'1. Live'!CY266-'check-Jul''26'!CU266)</f>
        <v/>
      </c>
      <c r="CV248" s="25" t="str">
        <f>IF('1. Live'!CZ266='check-Jul''26'!CV266,"",'1. Live'!CZ266-'check-Jul''26'!CV266)</f>
        <v/>
      </c>
    </row>
    <row r="249" spans="17:100" x14ac:dyDescent="0.25">
      <c r="Q249" s="26" t="str">
        <f>IF('1. Live'!N267='check-Jul''26'!I267,"",'1. Live'!N267-'check-Jul''26'!I267)</f>
        <v/>
      </c>
      <c r="R249" s="26" t="str">
        <f>IF('1. Live'!O267='check-Jul''26'!J267,"",'1. Live'!O267-'check-Jul''26'!J267)</f>
        <v/>
      </c>
      <c r="S249" s="26" t="str">
        <f>IF('1. Live'!P267='check-Jul''26'!K267,"",'1. Live'!P267-'check-Jul''26'!K267)</f>
        <v/>
      </c>
      <c r="T249" s="26" t="str">
        <f>IF('1. Live'!Q267='check-Jul''26'!L267,"",'1. Live'!Q267-'check-Jul''26'!L267)</f>
        <v/>
      </c>
      <c r="U249" s="80" t="str">
        <f>IF('1. Live'!R267='check-Jul''26'!M267,"",'1. Live'!R267-'check-Jul''26'!M267)</f>
        <v/>
      </c>
      <c r="V249" s="26" t="str">
        <f>IF('1. Live'!S267='check-Jul''26'!N267,"",'1. Live'!S267-'check-Jul''26'!N267)</f>
        <v/>
      </c>
      <c r="W249" s="25" t="str">
        <f>IF('1. Live'!T267='check-Jul''26'!O267,"",'1. Live'!T267-'check-Jul''26'!O267)</f>
        <v/>
      </c>
      <c r="X249" s="25" t="str">
        <f>IF('1. Live'!U267='check-Jul''26'!Q267,"",'1. Live'!U267-'check-Jul''26'!Q267)</f>
        <v/>
      </c>
      <c r="Y249" s="25" t="str">
        <f>IF('1. Live'!V267='check-Jul''26'!R267,"",'1. Live'!V267-'check-Jul''26'!R267)</f>
        <v/>
      </c>
      <c r="Z249" s="25" t="str">
        <f>IF('1. Live'!W267='check-Jul''26'!S267,"",'1. Live'!W267-'check-Jul''26'!S267)</f>
        <v/>
      </c>
      <c r="AA249" s="25" t="str">
        <f>IF('1. Live'!X267='check-Jul''26'!T267,"",'1. Live'!X267-'check-Jul''26'!T267)</f>
        <v/>
      </c>
      <c r="AB249" s="25" t="str">
        <f>IF('1. Live'!AF267='check-Jul''26'!AB267,"",'1. Live'!AF267-'check-Jul''26'!AB267)</f>
        <v/>
      </c>
      <c r="AC249" s="25" t="str">
        <f>IF('1. Live'!AG267='check-Jul''26'!AC267,"",'1. Live'!AG267-'check-Jul''26'!AC267)</f>
        <v/>
      </c>
      <c r="AD249" s="25" t="str">
        <f>IF('1. Live'!AH267='check-Jul''26'!AD267,"",'1. Live'!AH267-'check-Jul''26'!AD267)</f>
        <v/>
      </c>
      <c r="AE249" s="25" t="str">
        <f>IF('1. Live'!AI267='check-Jul''26'!AE267,"",'1. Live'!AI267-'check-Jul''26'!AE267)</f>
        <v/>
      </c>
      <c r="AF249" s="25" t="str">
        <f>IF('1. Live'!AJ267='check-Jul''26'!AF267,"",'1. Live'!AJ267-'check-Jul''26'!AF267)</f>
        <v/>
      </c>
      <c r="AG249" s="25" t="str">
        <f>IF('1. Live'!AK267='check-Jul''26'!AG267,"",'1. Live'!AK267-'check-Jul''26'!AG267)</f>
        <v/>
      </c>
      <c r="AH249" s="25" t="str">
        <f>IF('1. Live'!AL267='check-Jul''26'!AH267,"",'1. Live'!AL267-'check-Jul''26'!AH267)</f>
        <v/>
      </c>
      <c r="AI249" s="25" t="str">
        <f>IF('1. Live'!AM267='check-Jul''26'!AI267,"",'1. Live'!AM267-'check-Jul''26'!AI267)</f>
        <v/>
      </c>
      <c r="AJ249" s="25" t="str">
        <f>IF('1. Live'!AN267='check-Jul''26'!AJ267,"",'1. Live'!AN267-'check-Jul''26'!AJ267)</f>
        <v/>
      </c>
      <c r="AK249" s="25" t="str">
        <f>IF('1. Live'!AO267='check-Jul''26'!AK267,"",'1. Live'!AO267-'check-Jul''26'!AK267)</f>
        <v/>
      </c>
      <c r="AL249" s="25" t="str">
        <f>IF('1. Live'!AP267='check-Jul''26'!AL267,"",'1. Live'!AP267-'check-Jul''26'!AL267)</f>
        <v/>
      </c>
      <c r="AM249" s="25" t="str">
        <f>IF('1. Live'!AQ267='check-Jul''26'!AM267,"",'1. Live'!AQ267-'check-Jul''26'!AM267)</f>
        <v/>
      </c>
      <c r="AN249" s="25" t="str">
        <f>IF('1. Live'!AR267='check-Jul''26'!AN267,"",'1. Live'!AR267-'check-Jul''26'!AN267)</f>
        <v/>
      </c>
      <c r="AO249" s="25" t="str">
        <f>IF('1. Live'!AS267='check-Jul''26'!AO267,"",'1. Live'!AS267-'check-Jul''26'!AO267)</f>
        <v/>
      </c>
      <c r="AP249" s="25" t="str">
        <f>IF('1. Live'!AT267='check-Jul''26'!AP267,"",'1. Live'!AT267-'check-Jul''26'!AP267)</f>
        <v/>
      </c>
      <c r="AQ249" s="25" t="str">
        <f>IF('1. Live'!AU267='check-Jul''26'!AQ267,"",'1. Live'!AU267-'check-Jul''26'!AQ267)</f>
        <v/>
      </c>
      <c r="AR249" s="25" t="str">
        <f>IF('1. Live'!AV267='check-Jul''26'!AR267,"",'1. Live'!AV267-'check-Jul''26'!AR267)</f>
        <v/>
      </c>
      <c r="AS249" s="25" t="str">
        <f>IF('1. Live'!AW267='check-Jul''26'!AS267,"",'1. Live'!AW267-'check-Jul''26'!AS267)</f>
        <v/>
      </c>
      <c r="AT249" s="25" t="str">
        <f>IF('1. Live'!AX267='check-Jul''26'!AT267,"",'1. Live'!AX267-'check-Jul''26'!AT267)</f>
        <v/>
      </c>
      <c r="AU249" s="25" t="str">
        <f>IF('1. Live'!AY267='check-Jul''26'!AU267,"",'1. Live'!AY267-'check-Jul''26'!AU267)</f>
        <v/>
      </c>
      <c r="AV249" s="25" t="str">
        <f>IF('1. Live'!AZ267='check-Jul''26'!AV267,"",'1. Live'!AZ267-'check-Jul''26'!AV267)</f>
        <v/>
      </c>
      <c r="AW249" s="25" t="str">
        <f>IF('1. Live'!BA267='check-Jul''26'!AW267,"",'1. Live'!BA267-'check-Jul''26'!AW267)</f>
        <v/>
      </c>
      <c r="AX249" s="25" t="str">
        <f>IF('1. Live'!BB267='check-Jul''26'!AX267,"",'1. Live'!BB267-'check-Jul''26'!AX267)</f>
        <v/>
      </c>
      <c r="AY249" s="25" t="str">
        <f>IF('1. Live'!BC267='check-Jul''26'!AY267,"",'1. Live'!BC267-'check-Jul''26'!AY267)</f>
        <v/>
      </c>
      <c r="AZ249" s="25" t="str">
        <f>IF('1. Live'!BD267='check-Jul''26'!AZ267,"",'1. Live'!BD267-'check-Jul''26'!AZ267)</f>
        <v/>
      </c>
      <c r="BA249" s="25" t="str">
        <f>IF('1. Live'!BE267='check-Jul''26'!BA267,"",'1. Live'!BE267-'check-Jul''26'!BA267)</f>
        <v/>
      </c>
      <c r="BB249" s="25" t="str">
        <f>IF('1. Live'!BF267='check-Jul''26'!BB267,"",'1. Live'!BF267-'check-Jul''26'!BB267)</f>
        <v/>
      </c>
      <c r="BC249" s="25" t="str">
        <f>IF('1. Live'!BG267='check-Jul''26'!BC267,"",'1. Live'!BG267-'check-Jul''26'!BC267)</f>
        <v/>
      </c>
      <c r="BD249" s="25" t="str">
        <f>IF('1. Live'!BH267='check-Jul''26'!BD267,"",'1. Live'!BH267-'check-Jul''26'!BD267)</f>
        <v/>
      </c>
      <c r="BE249" s="25" t="str">
        <f>IF('1. Live'!BI267='check-Jul''26'!BE267,"",'1. Live'!BI267-'check-Jul''26'!BE267)</f>
        <v/>
      </c>
      <c r="BF249" s="25" t="str">
        <f>IF('1. Live'!BJ267='check-Jul''26'!BF267,"",'1. Live'!BJ267-'check-Jul''26'!BF267)</f>
        <v/>
      </c>
      <c r="BG249" s="25" t="str">
        <f>IF('1. Live'!BK267='check-Jul''26'!BG267,"",'1. Live'!BK267-'check-Jul''26'!BG267)</f>
        <v/>
      </c>
      <c r="BH249" s="25" t="str">
        <f>IF('1. Live'!BL267='check-Jul''26'!BH267,"",'1. Live'!BL267-'check-Jul''26'!BH267)</f>
        <v/>
      </c>
      <c r="BI249" s="25" t="str">
        <f>IF('1. Live'!BM267='check-Jul''26'!BI267,"",'1. Live'!BM267-'check-Jul''26'!BI267)</f>
        <v/>
      </c>
      <c r="BJ249" s="25" t="str">
        <f>IF('1. Live'!BN267='check-Jul''26'!BJ267,"",'1. Live'!BN267-'check-Jul''26'!BJ267)</f>
        <v/>
      </c>
      <c r="BK249" s="25" t="str">
        <f>IF('1. Live'!BO267='check-Jul''26'!BK267,"",'1. Live'!BO267-'check-Jul''26'!BK267)</f>
        <v/>
      </c>
      <c r="BL249" s="25" t="str">
        <f>IF('1. Live'!BP267='check-Jul''26'!BL267,"",'1. Live'!BP267-'check-Jul''26'!BL267)</f>
        <v/>
      </c>
      <c r="BM249" s="25" t="str">
        <f>IF('1. Live'!BQ267='check-Jul''26'!BM267,"",'1. Live'!BQ267-'check-Jul''26'!BM267)</f>
        <v/>
      </c>
      <c r="BN249" s="25" t="str">
        <f>IF('1. Live'!BR267='check-Jul''26'!BN267,"",'1. Live'!BR267-'check-Jul''26'!BN267)</f>
        <v/>
      </c>
      <c r="BO249" s="25" t="str">
        <f>IF('1. Live'!BS267='check-Jul''26'!BO267,"",'1. Live'!BS267-'check-Jul''26'!BO267)</f>
        <v/>
      </c>
      <c r="BP249" s="25" t="str">
        <f>IF('1. Live'!BT267='check-Jul''26'!BP267,"",'1. Live'!BT267-'check-Jul''26'!BP267)</f>
        <v/>
      </c>
      <c r="BQ249" s="25" t="str">
        <f>IF('1. Live'!BU267='check-Jul''26'!BQ267,"",'1. Live'!BU267-'check-Jul''26'!BQ267)</f>
        <v/>
      </c>
      <c r="BR249" s="25" t="str">
        <f>IF('1. Live'!BV267='check-Jul''26'!BR267,"",'1. Live'!BV267-'check-Jul''26'!BR267)</f>
        <v/>
      </c>
      <c r="BS249" s="25" t="str">
        <f>IF('1. Live'!BW267='check-Jul''26'!BS267,"",'1. Live'!BW267-'check-Jul''26'!BS267)</f>
        <v/>
      </c>
      <c r="BT249" s="25" t="str">
        <f>IF('1. Live'!BX267='check-Jul''26'!BT267,"",'1. Live'!BX267-'check-Jul''26'!BT267)</f>
        <v/>
      </c>
      <c r="BU249" s="25" t="str">
        <f>IF('1. Live'!BY267='check-Jul''26'!BU267,"",'1. Live'!BY267-'check-Jul''26'!BU267)</f>
        <v/>
      </c>
      <c r="BV249" s="25" t="str">
        <f>IF('1. Live'!BZ267='check-Jul''26'!BV267,"",'1. Live'!BZ267-'check-Jul''26'!BV267)</f>
        <v/>
      </c>
      <c r="BW249" s="25" t="str">
        <f>IF('1. Live'!CA267='check-Jul''26'!BW267,"",'1. Live'!CA267-'check-Jul''26'!BW267)</f>
        <v/>
      </c>
      <c r="BX249" s="25" t="str">
        <f>IF('1. Live'!CB267='check-Jul''26'!BX267,"",'1. Live'!CB267-'check-Jul''26'!BX267)</f>
        <v/>
      </c>
      <c r="BY249" s="25" t="str">
        <f>IF('1. Live'!CC267='check-Jul''26'!BY267,"",'1. Live'!CC267-'check-Jul''26'!BY267)</f>
        <v/>
      </c>
      <c r="BZ249" s="25" t="str">
        <f>IF('1. Live'!CD267='check-Jul''26'!BZ267,"",'1. Live'!CD267-'check-Jul''26'!BZ267)</f>
        <v/>
      </c>
      <c r="CA249" s="25" t="str">
        <f>IF('1. Live'!CE267='check-Jul''26'!CA267,"",'1. Live'!CE267-'check-Jul''26'!CA267)</f>
        <v/>
      </c>
      <c r="CB249" s="25" t="str">
        <f>IF('1. Live'!CF267='check-Jul''26'!CB267,"",'1. Live'!CF267-'check-Jul''26'!CB267)</f>
        <v/>
      </c>
      <c r="CC249" s="25" t="str">
        <f>IF('1. Live'!CG267='check-Jul''26'!CC267,"",'1. Live'!CG267-'check-Jul''26'!CC267)</f>
        <v/>
      </c>
      <c r="CD249" s="25" t="str">
        <f>IF('1. Live'!CH267='check-Jul''26'!CD267,"",'1. Live'!CH267-'check-Jul''26'!CD267)</f>
        <v/>
      </c>
      <c r="CE249" s="25" t="str">
        <f>IF('1. Live'!CI267='check-Jul''26'!CE267,"",'1. Live'!CI267-'check-Jul''26'!CE267)</f>
        <v/>
      </c>
      <c r="CF249" s="25" t="str">
        <f>IF('1. Live'!CJ267='check-Jul''26'!CF267,"",'1. Live'!CJ267-'check-Jul''26'!CF267)</f>
        <v/>
      </c>
      <c r="CG249" s="25" t="str">
        <f>IF('1. Live'!CK267='check-Jul''26'!CG267,"",'1. Live'!CK267-'check-Jul''26'!CG267)</f>
        <v/>
      </c>
      <c r="CH249" s="25" t="str">
        <f>IF('1. Live'!CL267='check-Jul''26'!CH267,"",'1. Live'!CL267-'check-Jul''26'!CH267)</f>
        <v/>
      </c>
      <c r="CI249" s="25" t="str">
        <f>IF('1. Live'!CM267='check-Jul''26'!CI267,"",'1. Live'!CM267-'check-Jul''26'!CI267)</f>
        <v/>
      </c>
      <c r="CJ249" s="25" t="str">
        <f>IF('1. Live'!CN267='check-Jul''26'!CJ267,"",'1. Live'!CN267-'check-Jul''26'!CJ267)</f>
        <v/>
      </c>
      <c r="CK249" s="25" t="str">
        <f>IF('1. Live'!CO267='check-Jul''26'!CK267,"",'1. Live'!CO267-'check-Jul''26'!CK267)</f>
        <v/>
      </c>
      <c r="CL249" s="25" t="str">
        <f>IF('1. Live'!CP267='check-Jul''26'!CL267,"",'1. Live'!CP267-'check-Jul''26'!CL267)</f>
        <v/>
      </c>
      <c r="CM249" s="25" t="str">
        <f>IF('1. Live'!CQ267='check-Jul''26'!CM267,"",'1. Live'!CQ267-'check-Jul''26'!CM267)</f>
        <v/>
      </c>
      <c r="CN249" s="25" t="str">
        <f>IF('1. Live'!CR267='check-Jul''26'!CN267,"",'1. Live'!CR267-'check-Jul''26'!CN267)</f>
        <v/>
      </c>
      <c r="CO249" s="25" t="str">
        <f>IF('1. Live'!CS267='check-Jul''26'!CO267,"",'1. Live'!CS267-'check-Jul''26'!CO267)</f>
        <v/>
      </c>
      <c r="CP249" s="25" t="str">
        <f>IF('1. Live'!CT267='check-Jul''26'!CP267,"",'1. Live'!CT267-'check-Jul''26'!CP267)</f>
        <v/>
      </c>
      <c r="CQ249" s="25" t="str">
        <f>IF('1. Live'!CU267='check-Jul''26'!CQ267,"",'1. Live'!CU267-'check-Jul''26'!CQ267)</f>
        <v/>
      </c>
      <c r="CR249" s="25" t="str">
        <f>IF('1. Live'!CV267='check-Jul''26'!CR267,"",'1. Live'!CV267-'check-Jul''26'!CR267)</f>
        <v/>
      </c>
      <c r="CS249" s="25" t="str">
        <f>IF('1. Live'!CW267='check-Jul''26'!CS267,"",'1. Live'!CW267-'check-Jul''26'!CS267)</f>
        <v/>
      </c>
      <c r="CT249" s="25" t="str">
        <f>IF('1. Live'!CX267='check-Jul''26'!CT267,"",'1. Live'!CX267-'check-Jul''26'!CT267)</f>
        <v/>
      </c>
      <c r="CU249" s="25" t="str">
        <f>IF('1. Live'!CY267='check-Jul''26'!CU267,"",'1. Live'!CY267-'check-Jul''26'!CU267)</f>
        <v/>
      </c>
      <c r="CV249" s="25" t="str">
        <f>IF('1. Live'!CZ267='check-Jul''26'!CV267,"",'1. Live'!CZ267-'check-Jul''26'!CV267)</f>
        <v/>
      </c>
    </row>
    <row r="250" spans="17:100" x14ac:dyDescent="0.25">
      <c r="Q250" s="26" t="str">
        <f>IF('1. Live'!N268='check-Jul''26'!I268,"",'1. Live'!N268-'check-Jul''26'!I268)</f>
        <v/>
      </c>
      <c r="R250" s="26" t="str">
        <f>IF('1. Live'!O268='check-Jul''26'!J268,"",'1. Live'!O268-'check-Jul''26'!J268)</f>
        <v/>
      </c>
      <c r="S250" s="26" t="str">
        <f>IF('1. Live'!P268='check-Jul''26'!K268,"",'1. Live'!P268-'check-Jul''26'!K268)</f>
        <v/>
      </c>
      <c r="T250" s="26" t="str">
        <f>IF('1. Live'!Q268='check-Jul''26'!L268,"",'1. Live'!Q268-'check-Jul''26'!L268)</f>
        <v/>
      </c>
      <c r="U250" s="80" t="str">
        <f>IF('1. Live'!R268='check-Jul''26'!M268,"",'1. Live'!R268-'check-Jul''26'!M268)</f>
        <v/>
      </c>
      <c r="V250" s="26" t="str">
        <f>IF('1. Live'!S268='check-Jul''26'!N268,"",'1. Live'!S268-'check-Jul''26'!N268)</f>
        <v/>
      </c>
      <c r="W250" s="25" t="str">
        <f>IF('1. Live'!T268='check-Jul''26'!O268,"",'1. Live'!T268-'check-Jul''26'!O268)</f>
        <v/>
      </c>
      <c r="X250" s="25" t="str">
        <f>IF('1. Live'!U268='check-Jul''26'!Q268,"",'1. Live'!U268-'check-Jul''26'!Q268)</f>
        <v/>
      </c>
      <c r="Y250" s="25" t="str">
        <f>IF('1. Live'!V268='check-Jul''26'!R268,"",'1. Live'!V268-'check-Jul''26'!R268)</f>
        <v/>
      </c>
      <c r="Z250" s="25" t="str">
        <f>IF('1. Live'!W268='check-Jul''26'!S268,"",'1. Live'!W268-'check-Jul''26'!S268)</f>
        <v/>
      </c>
      <c r="AA250" s="25" t="str">
        <f>IF('1. Live'!X268='check-Jul''26'!T268,"",'1. Live'!X268-'check-Jul''26'!T268)</f>
        <v/>
      </c>
      <c r="AB250" s="25" t="str">
        <f>IF('1. Live'!AF268='check-Jul''26'!AB268,"",'1. Live'!AF268-'check-Jul''26'!AB268)</f>
        <v/>
      </c>
      <c r="AC250" s="25" t="str">
        <f>IF('1. Live'!AG268='check-Jul''26'!AC268,"",'1. Live'!AG268-'check-Jul''26'!AC268)</f>
        <v/>
      </c>
      <c r="AD250" s="25" t="str">
        <f>IF('1. Live'!AH268='check-Jul''26'!AD268,"",'1. Live'!AH268-'check-Jul''26'!AD268)</f>
        <v/>
      </c>
      <c r="AE250" s="25" t="str">
        <f>IF('1. Live'!AI268='check-Jul''26'!AE268,"",'1. Live'!AI268-'check-Jul''26'!AE268)</f>
        <v/>
      </c>
      <c r="AF250" s="25" t="str">
        <f>IF('1. Live'!AJ268='check-Jul''26'!AF268,"",'1. Live'!AJ268-'check-Jul''26'!AF268)</f>
        <v/>
      </c>
      <c r="AG250" s="25" t="str">
        <f>IF('1. Live'!AK268='check-Jul''26'!AG268,"",'1. Live'!AK268-'check-Jul''26'!AG268)</f>
        <v/>
      </c>
      <c r="AH250" s="25" t="str">
        <f>IF('1. Live'!AL268='check-Jul''26'!AH268,"",'1. Live'!AL268-'check-Jul''26'!AH268)</f>
        <v/>
      </c>
      <c r="AI250" s="25" t="str">
        <f>IF('1. Live'!AM268='check-Jul''26'!AI268,"",'1. Live'!AM268-'check-Jul''26'!AI268)</f>
        <v/>
      </c>
      <c r="AJ250" s="25" t="str">
        <f>IF('1. Live'!AN268='check-Jul''26'!AJ268,"",'1. Live'!AN268-'check-Jul''26'!AJ268)</f>
        <v/>
      </c>
      <c r="AK250" s="25" t="str">
        <f>IF('1. Live'!AO268='check-Jul''26'!AK268,"",'1. Live'!AO268-'check-Jul''26'!AK268)</f>
        <v/>
      </c>
      <c r="AL250" s="25" t="str">
        <f>IF('1. Live'!AP268='check-Jul''26'!AL268,"",'1. Live'!AP268-'check-Jul''26'!AL268)</f>
        <v/>
      </c>
      <c r="AM250" s="25" t="str">
        <f>IF('1. Live'!AQ268='check-Jul''26'!AM268,"",'1. Live'!AQ268-'check-Jul''26'!AM268)</f>
        <v/>
      </c>
      <c r="AN250" s="25" t="str">
        <f>IF('1. Live'!AR268='check-Jul''26'!AN268,"",'1. Live'!AR268-'check-Jul''26'!AN268)</f>
        <v/>
      </c>
      <c r="AO250" s="25" t="str">
        <f>IF('1. Live'!AS268='check-Jul''26'!AO268,"",'1. Live'!AS268-'check-Jul''26'!AO268)</f>
        <v/>
      </c>
      <c r="AP250" s="25" t="str">
        <f>IF('1. Live'!AT268='check-Jul''26'!AP268,"",'1. Live'!AT268-'check-Jul''26'!AP268)</f>
        <v/>
      </c>
      <c r="AQ250" s="25" t="str">
        <f>IF('1. Live'!AU268='check-Jul''26'!AQ268,"",'1. Live'!AU268-'check-Jul''26'!AQ268)</f>
        <v/>
      </c>
      <c r="AR250" s="25" t="str">
        <f>IF('1. Live'!AV268='check-Jul''26'!AR268,"",'1. Live'!AV268-'check-Jul''26'!AR268)</f>
        <v/>
      </c>
      <c r="AS250" s="25" t="str">
        <f>IF('1. Live'!AW268='check-Jul''26'!AS268,"",'1. Live'!AW268-'check-Jul''26'!AS268)</f>
        <v/>
      </c>
      <c r="AT250" s="25" t="str">
        <f>IF('1. Live'!AX268='check-Jul''26'!AT268,"",'1. Live'!AX268-'check-Jul''26'!AT268)</f>
        <v/>
      </c>
      <c r="AU250" s="25" t="str">
        <f>IF('1. Live'!AY268='check-Jul''26'!AU268,"",'1. Live'!AY268-'check-Jul''26'!AU268)</f>
        <v/>
      </c>
      <c r="AV250" s="25" t="str">
        <f>IF('1. Live'!AZ268='check-Jul''26'!AV268,"",'1. Live'!AZ268-'check-Jul''26'!AV268)</f>
        <v/>
      </c>
      <c r="AW250" s="25" t="str">
        <f>IF('1. Live'!BA268='check-Jul''26'!AW268,"",'1. Live'!BA268-'check-Jul''26'!AW268)</f>
        <v/>
      </c>
      <c r="AX250" s="25" t="str">
        <f>IF('1. Live'!BB268='check-Jul''26'!AX268,"",'1. Live'!BB268-'check-Jul''26'!AX268)</f>
        <v/>
      </c>
      <c r="AY250" s="25" t="str">
        <f>IF('1. Live'!BC268='check-Jul''26'!AY268,"",'1. Live'!BC268-'check-Jul''26'!AY268)</f>
        <v/>
      </c>
      <c r="AZ250" s="25" t="str">
        <f>IF('1. Live'!BD268='check-Jul''26'!AZ268,"",'1. Live'!BD268-'check-Jul''26'!AZ268)</f>
        <v/>
      </c>
      <c r="BA250" s="25" t="str">
        <f>IF('1. Live'!BE268='check-Jul''26'!BA268,"",'1. Live'!BE268-'check-Jul''26'!BA268)</f>
        <v/>
      </c>
      <c r="BB250" s="25" t="str">
        <f>IF('1. Live'!BF268='check-Jul''26'!BB268,"",'1. Live'!BF268-'check-Jul''26'!BB268)</f>
        <v/>
      </c>
      <c r="BC250" s="25" t="str">
        <f>IF('1. Live'!BG268='check-Jul''26'!BC268,"",'1. Live'!BG268-'check-Jul''26'!BC268)</f>
        <v/>
      </c>
      <c r="BD250" s="25" t="str">
        <f>IF('1. Live'!BH268='check-Jul''26'!BD268,"",'1. Live'!BH268-'check-Jul''26'!BD268)</f>
        <v/>
      </c>
      <c r="BE250" s="25" t="str">
        <f>IF('1. Live'!BI268='check-Jul''26'!BE268,"",'1. Live'!BI268-'check-Jul''26'!BE268)</f>
        <v/>
      </c>
      <c r="BF250" s="25" t="str">
        <f>IF('1. Live'!BJ268='check-Jul''26'!BF268,"",'1. Live'!BJ268-'check-Jul''26'!BF268)</f>
        <v/>
      </c>
      <c r="BG250" s="25" t="str">
        <f>IF('1. Live'!BK268='check-Jul''26'!BG268,"",'1. Live'!BK268-'check-Jul''26'!BG268)</f>
        <v/>
      </c>
      <c r="BH250" s="25" t="str">
        <f>IF('1. Live'!BL268='check-Jul''26'!BH268,"",'1. Live'!BL268-'check-Jul''26'!BH268)</f>
        <v/>
      </c>
      <c r="BI250" s="25" t="str">
        <f>IF('1. Live'!BM268='check-Jul''26'!BI268,"",'1. Live'!BM268-'check-Jul''26'!BI268)</f>
        <v/>
      </c>
      <c r="BJ250" s="25" t="str">
        <f>IF('1. Live'!BN268='check-Jul''26'!BJ268,"",'1. Live'!BN268-'check-Jul''26'!BJ268)</f>
        <v/>
      </c>
      <c r="BK250" s="25" t="str">
        <f>IF('1. Live'!BO268='check-Jul''26'!BK268,"",'1. Live'!BO268-'check-Jul''26'!BK268)</f>
        <v/>
      </c>
      <c r="BL250" s="25" t="str">
        <f>IF('1. Live'!BP268='check-Jul''26'!BL268,"",'1. Live'!BP268-'check-Jul''26'!BL268)</f>
        <v/>
      </c>
      <c r="BM250" s="25" t="str">
        <f>IF('1. Live'!BQ268='check-Jul''26'!BM268,"",'1. Live'!BQ268-'check-Jul''26'!BM268)</f>
        <v/>
      </c>
      <c r="BN250" s="25" t="str">
        <f>IF('1. Live'!BR268='check-Jul''26'!BN268,"",'1. Live'!BR268-'check-Jul''26'!BN268)</f>
        <v/>
      </c>
      <c r="BO250" s="25" t="str">
        <f>IF('1. Live'!BS268='check-Jul''26'!BO268,"",'1. Live'!BS268-'check-Jul''26'!BO268)</f>
        <v/>
      </c>
      <c r="BP250" s="25" t="str">
        <f>IF('1. Live'!BT268='check-Jul''26'!BP268,"",'1. Live'!BT268-'check-Jul''26'!BP268)</f>
        <v/>
      </c>
      <c r="BQ250" s="25" t="str">
        <f>IF('1. Live'!BU268='check-Jul''26'!BQ268,"",'1. Live'!BU268-'check-Jul''26'!BQ268)</f>
        <v/>
      </c>
      <c r="BR250" s="25" t="str">
        <f>IF('1. Live'!BV268='check-Jul''26'!BR268,"",'1. Live'!BV268-'check-Jul''26'!BR268)</f>
        <v/>
      </c>
      <c r="BS250" s="25" t="str">
        <f>IF('1. Live'!BW268='check-Jul''26'!BS268,"",'1. Live'!BW268-'check-Jul''26'!BS268)</f>
        <v/>
      </c>
      <c r="BT250" s="25" t="str">
        <f>IF('1. Live'!BX268='check-Jul''26'!BT268,"",'1. Live'!BX268-'check-Jul''26'!BT268)</f>
        <v/>
      </c>
      <c r="BU250" s="25" t="str">
        <f>IF('1. Live'!BY268='check-Jul''26'!BU268,"",'1. Live'!BY268-'check-Jul''26'!BU268)</f>
        <v/>
      </c>
      <c r="BV250" s="25" t="str">
        <f>IF('1. Live'!BZ268='check-Jul''26'!BV268,"",'1. Live'!BZ268-'check-Jul''26'!BV268)</f>
        <v/>
      </c>
      <c r="BW250" s="25" t="str">
        <f>IF('1. Live'!CA268='check-Jul''26'!BW268,"",'1. Live'!CA268-'check-Jul''26'!BW268)</f>
        <v/>
      </c>
      <c r="BX250" s="25" t="str">
        <f>IF('1. Live'!CB268='check-Jul''26'!BX268,"",'1. Live'!CB268-'check-Jul''26'!BX268)</f>
        <v/>
      </c>
      <c r="BY250" s="25" t="str">
        <f>IF('1. Live'!CC268='check-Jul''26'!BY268,"",'1. Live'!CC268-'check-Jul''26'!BY268)</f>
        <v/>
      </c>
      <c r="BZ250" s="25" t="str">
        <f>IF('1. Live'!CD268='check-Jul''26'!BZ268,"",'1. Live'!CD268-'check-Jul''26'!BZ268)</f>
        <v/>
      </c>
      <c r="CA250" s="25" t="str">
        <f>IF('1. Live'!CE268='check-Jul''26'!CA268,"",'1. Live'!CE268-'check-Jul''26'!CA268)</f>
        <v/>
      </c>
      <c r="CB250" s="25" t="str">
        <f>IF('1. Live'!CF268='check-Jul''26'!CB268,"",'1. Live'!CF268-'check-Jul''26'!CB268)</f>
        <v/>
      </c>
      <c r="CC250" s="25" t="str">
        <f>IF('1. Live'!CG268='check-Jul''26'!CC268,"",'1. Live'!CG268-'check-Jul''26'!CC268)</f>
        <v/>
      </c>
      <c r="CD250" s="25" t="str">
        <f>IF('1. Live'!CH268='check-Jul''26'!CD268,"",'1. Live'!CH268-'check-Jul''26'!CD268)</f>
        <v/>
      </c>
      <c r="CE250" s="25" t="str">
        <f>IF('1. Live'!CI268='check-Jul''26'!CE268,"",'1. Live'!CI268-'check-Jul''26'!CE268)</f>
        <v/>
      </c>
      <c r="CF250" s="25" t="str">
        <f>IF('1. Live'!CJ268='check-Jul''26'!CF268,"",'1. Live'!CJ268-'check-Jul''26'!CF268)</f>
        <v/>
      </c>
      <c r="CG250" s="25" t="str">
        <f>IF('1. Live'!CK268='check-Jul''26'!CG268,"",'1. Live'!CK268-'check-Jul''26'!CG268)</f>
        <v/>
      </c>
      <c r="CH250" s="25" t="str">
        <f>IF('1. Live'!CL268='check-Jul''26'!CH268,"",'1. Live'!CL268-'check-Jul''26'!CH268)</f>
        <v/>
      </c>
      <c r="CI250" s="25" t="str">
        <f>IF('1. Live'!CM268='check-Jul''26'!CI268,"",'1. Live'!CM268-'check-Jul''26'!CI268)</f>
        <v/>
      </c>
      <c r="CJ250" s="25" t="str">
        <f>IF('1. Live'!CN268='check-Jul''26'!CJ268,"",'1. Live'!CN268-'check-Jul''26'!CJ268)</f>
        <v/>
      </c>
      <c r="CK250" s="25" t="str">
        <f>IF('1. Live'!CO268='check-Jul''26'!CK268,"",'1. Live'!CO268-'check-Jul''26'!CK268)</f>
        <v/>
      </c>
      <c r="CL250" s="25" t="str">
        <f>IF('1. Live'!CP268='check-Jul''26'!CL268,"",'1. Live'!CP268-'check-Jul''26'!CL268)</f>
        <v/>
      </c>
      <c r="CM250" s="25" t="str">
        <f>IF('1. Live'!CQ268='check-Jul''26'!CM268,"",'1. Live'!CQ268-'check-Jul''26'!CM268)</f>
        <v/>
      </c>
      <c r="CN250" s="25" t="str">
        <f>IF('1. Live'!CR268='check-Jul''26'!CN268,"",'1. Live'!CR268-'check-Jul''26'!CN268)</f>
        <v/>
      </c>
      <c r="CO250" s="25" t="str">
        <f>IF('1. Live'!CS268='check-Jul''26'!CO268,"",'1. Live'!CS268-'check-Jul''26'!CO268)</f>
        <v/>
      </c>
      <c r="CP250" s="25" t="str">
        <f>IF('1. Live'!CT268='check-Jul''26'!CP268,"",'1. Live'!CT268-'check-Jul''26'!CP268)</f>
        <v/>
      </c>
      <c r="CQ250" s="25" t="str">
        <f>IF('1. Live'!CU268='check-Jul''26'!CQ268,"",'1. Live'!CU268-'check-Jul''26'!CQ268)</f>
        <v/>
      </c>
      <c r="CR250" s="25" t="str">
        <f>IF('1. Live'!CV268='check-Jul''26'!CR268,"",'1. Live'!CV268-'check-Jul''26'!CR268)</f>
        <v/>
      </c>
      <c r="CS250" s="25" t="str">
        <f>IF('1. Live'!CW268='check-Jul''26'!CS268,"",'1. Live'!CW268-'check-Jul''26'!CS268)</f>
        <v/>
      </c>
      <c r="CT250" s="25" t="str">
        <f>IF('1. Live'!CX268='check-Jul''26'!CT268,"",'1. Live'!CX268-'check-Jul''26'!CT268)</f>
        <v/>
      </c>
      <c r="CU250" s="25" t="str">
        <f>IF('1. Live'!CY268='check-Jul''26'!CU268,"",'1. Live'!CY268-'check-Jul''26'!CU268)</f>
        <v/>
      </c>
      <c r="CV250" s="25" t="str">
        <f>IF('1. Live'!CZ268='check-Jul''26'!CV268,"",'1. Live'!CZ268-'check-Jul''26'!CV268)</f>
        <v/>
      </c>
    </row>
    <row r="251" spans="17:100" x14ac:dyDescent="0.25">
      <c r="Q251" s="26" t="str">
        <f>IF('1. Live'!N269='check-Jul''26'!I269,"",'1. Live'!N269-'check-Jul''26'!I269)</f>
        <v/>
      </c>
      <c r="R251" s="26" t="str">
        <f>IF('1. Live'!O269='check-Jul''26'!J269,"",'1. Live'!O269-'check-Jul''26'!J269)</f>
        <v/>
      </c>
      <c r="S251" s="26" t="str">
        <f>IF('1. Live'!P269='check-Jul''26'!K269,"",'1. Live'!P269-'check-Jul''26'!K269)</f>
        <v/>
      </c>
      <c r="T251" s="26" t="str">
        <f>IF('1. Live'!Q269='check-Jul''26'!L269,"",'1. Live'!Q269-'check-Jul''26'!L269)</f>
        <v/>
      </c>
      <c r="U251" s="80" t="str">
        <f>IF('1. Live'!R269='check-Jul''26'!M269,"",'1. Live'!R269-'check-Jul''26'!M269)</f>
        <v/>
      </c>
      <c r="V251" s="26" t="str">
        <f>IF('1. Live'!S269='check-Jul''26'!N269,"",'1. Live'!S269-'check-Jul''26'!N269)</f>
        <v/>
      </c>
      <c r="W251" s="25" t="str">
        <f>IF('1. Live'!T269='check-Jul''26'!O269,"",'1. Live'!T269-'check-Jul''26'!O269)</f>
        <v/>
      </c>
      <c r="X251" s="25" t="str">
        <f>IF('1. Live'!U269='check-Jul''26'!Q269,"",'1. Live'!U269-'check-Jul''26'!Q269)</f>
        <v/>
      </c>
      <c r="Y251" s="25" t="str">
        <f>IF('1. Live'!V269='check-Jul''26'!R269,"",'1. Live'!V269-'check-Jul''26'!R269)</f>
        <v/>
      </c>
      <c r="Z251" s="25" t="str">
        <f>IF('1. Live'!W269='check-Jul''26'!S269,"",'1. Live'!W269-'check-Jul''26'!S269)</f>
        <v/>
      </c>
      <c r="AA251" s="25" t="str">
        <f>IF('1. Live'!X269='check-Jul''26'!T269,"",'1. Live'!X269-'check-Jul''26'!T269)</f>
        <v/>
      </c>
      <c r="AB251" s="25" t="str">
        <f>IF('1. Live'!AF269='check-Jul''26'!AB269,"",'1. Live'!AF269-'check-Jul''26'!AB269)</f>
        <v/>
      </c>
      <c r="AC251" s="25" t="str">
        <f>IF('1. Live'!AG269='check-Jul''26'!AC269,"",'1. Live'!AG269-'check-Jul''26'!AC269)</f>
        <v/>
      </c>
      <c r="AD251" s="25" t="str">
        <f>IF('1. Live'!AH269='check-Jul''26'!AD269,"",'1. Live'!AH269-'check-Jul''26'!AD269)</f>
        <v/>
      </c>
      <c r="AE251" s="25" t="str">
        <f>IF('1. Live'!AI269='check-Jul''26'!AE269,"",'1. Live'!AI269-'check-Jul''26'!AE269)</f>
        <v/>
      </c>
      <c r="AF251" s="25" t="str">
        <f>IF('1. Live'!AJ269='check-Jul''26'!AF269,"",'1. Live'!AJ269-'check-Jul''26'!AF269)</f>
        <v/>
      </c>
      <c r="AG251" s="25" t="str">
        <f>IF('1. Live'!AK269='check-Jul''26'!AG269,"",'1. Live'!AK269-'check-Jul''26'!AG269)</f>
        <v/>
      </c>
      <c r="AH251" s="25" t="str">
        <f>IF('1. Live'!AL269='check-Jul''26'!AH269,"",'1. Live'!AL269-'check-Jul''26'!AH269)</f>
        <v/>
      </c>
      <c r="AI251" s="25" t="str">
        <f>IF('1. Live'!AM269='check-Jul''26'!AI269,"",'1. Live'!AM269-'check-Jul''26'!AI269)</f>
        <v/>
      </c>
      <c r="AJ251" s="25" t="str">
        <f>IF('1. Live'!AN269='check-Jul''26'!AJ269,"",'1. Live'!AN269-'check-Jul''26'!AJ269)</f>
        <v/>
      </c>
      <c r="AK251" s="25" t="str">
        <f>IF('1. Live'!AO269='check-Jul''26'!AK269,"",'1. Live'!AO269-'check-Jul''26'!AK269)</f>
        <v/>
      </c>
      <c r="AL251" s="25" t="str">
        <f>IF('1. Live'!AP269='check-Jul''26'!AL269,"",'1. Live'!AP269-'check-Jul''26'!AL269)</f>
        <v/>
      </c>
      <c r="AM251" s="25" t="str">
        <f>IF('1. Live'!AQ269='check-Jul''26'!AM269,"",'1. Live'!AQ269-'check-Jul''26'!AM269)</f>
        <v/>
      </c>
      <c r="AN251" s="25" t="str">
        <f>IF('1. Live'!AR269='check-Jul''26'!AN269,"",'1. Live'!AR269-'check-Jul''26'!AN269)</f>
        <v/>
      </c>
      <c r="AO251" s="25" t="str">
        <f>IF('1. Live'!AS269='check-Jul''26'!AO269,"",'1. Live'!AS269-'check-Jul''26'!AO269)</f>
        <v/>
      </c>
      <c r="AP251" s="25" t="str">
        <f>IF('1. Live'!AT269='check-Jul''26'!AP269,"",'1. Live'!AT269-'check-Jul''26'!AP269)</f>
        <v/>
      </c>
      <c r="AQ251" s="25" t="str">
        <f>IF('1. Live'!AU269='check-Jul''26'!AQ269,"",'1. Live'!AU269-'check-Jul''26'!AQ269)</f>
        <v/>
      </c>
      <c r="AR251" s="25" t="str">
        <f>IF('1. Live'!AV269='check-Jul''26'!AR269,"",'1. Live'!AV269-'check-Jul''26'!AR269)</f>
        <v/>
      </c>
      <c r="AS251" s="25" t="str">
        <f>IF('1. Live'!AW269='check-Jul''26'!AS269,"",'1. Live'!AW269-'check-Jul''26'!AS269)</f>
        <v/>
      </c>
      <c r="AT251" s="25" t="str">
        <f>IF('1. Live'!AX269='check-Jul''26'!AT269,"",'1. Live'!AX269-'check-Jul''26'!AT269)</f>
        <v/>
      </c>
      <c r="AU251" s="25" t="str">
        <f>IF('1. Live'!AY269='check-Jul''26'!AU269,"",'1. Live'!AY269-'check-Jul''26'!AU269)</f>
        <v/>
      </c>
      <c r="AV251" s="25" t="str">
        <f>IF('1. Live'!AZ269='check-Jul''26'!AV269,"",'1. Live'!AZ269-'check-Jul''26'!AV269)</f>
        <v/>
      </c>
      <c r="AW251" s="25" t="str">
        <f>IF('1. Live'!BA269='check-Jul''26'!AW269,"",'1. Live'!BA269-'check-Jul''26'!AW269)</f>
        <v/>
      </c>
      <c r="AX251" s="25" t="str">
        <f>IF('1. Live'!BB269='check-Jul''26'!AX269,"",'1. Live'!BB269-'check-Jul''26'!AX269)</f>
        <v/>
      </c>
      <c r="AY251" s="25" t="str">
        <f>IF('1. Live'!BC269='check-Jul''26'!AY269,"",'1. Live'!BC269-'check-Jul''26'!AY269)</f>
        <v/>
      </c>
      <c r="AZ251" s="25" t="str">
        <f>IF('1. Live'!BD269='check-Jul''26'!AZ269,"",'1. Live'!BD269-'check-Jul''26'!AZ269)</f>
        <v/>
      </c>
      <c r="BA251" s="25" t="str">
        <f>IF('1. Live'!BE269='check-Jul''26'!BA269,"",'1. Live'!BE269-'check-Jul''26'!BA269)</f>
        <v/>
      </c>
      <c r="BB251" s="25" t="str">
        <f>IF('1. Live'!BF269='check-Jul''26'!BB269,"",'1. Live'!BF269-'check-Jul''26'!BB269)</f>
        <v/>
      </c>
      <c r="BC251" s="25" t="str">
        <f>IF('1. Live'!BG269='check-Jul''26'!BC269,"",'1. Live'!BG269-'check-Jul''26'!BC269)</f>
        <v/>
      </c>
      <c r="BD251" s="25" t="str">
        <f>IF('1. Live'!BH269='check-Jul''26'!BD269,"",'1. Live'!BH269-'check-Jul''26'!BD269)</f>
        <v/>
      </c>
      <c r="BE251" s="25" t="str">
        <f>IF('1. Live'!BI269='check-Jul''26'!BE269,"",'1. Live'!BI269-'check-Jul''26'!BE269)</f>
        <v/>
      </c>
      <c r="BF251" s="25" t="str">
        <f>IF('1. Live'!BJ269='check-Jul''26'!BF269,"",'1. Live'!BJ269-'check-Jul''26'!BF269)</f>
        <v/>
      </c>
      <c r="BG251" s="25" t="str">
        <f>IF('1. Live'!BK269='check-Jul''26'!BG269,"",'1. Live'!BK269-'check-Jul''26'!BG269)</f>
        <v/>
      </c>
      <c r="BH251" s="25" t="str">
        <f>IF('1. Live'!BL269='check-Jul''26'!BH269,"",'1. Live'!BL269-'check-Jul''26'!BH269)</f>
        <v/>
      </c>
      <c r="BI251" s="25" t="str">
        <f>IF('1. Live'!BM269='check-Jul''26'!BI269,"",'1. Live'!BM269-'check-Jul''26'!BI269)</f>
        <v/>
      </c>
      <c r="BJ251" s="25" t="str">
        <f>IF('1. Live'!BN269='check-Jul''26'!BJ269,"",'1. Live'!BN269-'check-Jul''26'!BJ269)</f>
        <v/>
      </c>
      <c r="BK251" s="25" t="str">
        <f>IF('1. Live'!BO269='check-Jul''26'!BK269,"",'1. Live'!BO269-'check-Jul''26'!BK269)</f>
        <v/>
      </c>
      <c r="BL251" s="25" t="str">
        <f>IF('1. Live'!BP269='check-Jul''26'!BL269,"",'1. Live'!BP269-'check-Jul''26'!BL269)</f>
        <v/>
      </c>
      <c r="BM251" s="25" t="str">
        <f>IF('1. Live'!BQ269='check-Jul''26'!BM269,"",'1. Live'!BQ269-'check-Jul''26'!BM269)</f>
        <v/>
      </c>
      <c r="BN251" s="25" t="str">
        <f>IF('1. Live'!BR269='check-Jul''26'!BN269,"",'1. Live'!BR269-'check-Jul''26'!BN269)</f>
        <v/>
      </c>
      <c r="BO251" s="25" t="str">
        <f>IF('1. Live'!BS269='check-Jul''26'!BO269,"",'1. Live'!BS269-'check-Jul''26'!BO269)</f>
        <v/>
      </c>
      <c r="BP251" s="25" t="str">
        <f>IF('1. Live'!BT269='check-Jul''26'!BP269,"",'1. Live'!BT269-'check-Jul''26'!BP269)</f>
        <v/>
      </c>
      <c r="BQ251" s="25" t="str">
        <f>IF('1. Live'!BU269='check-Jul''26'!BQ269,"",'1. Live'!BU269-'check-Jul''26'!BQ269)</f>
        <v/>
      </c>
      <c r="BR251" s="25" t="str">
        <f>IF('1. Live'!BV269='check-Jul''26'!BR269,"",'1. Live'!BV269-'check-Jul''26'!BR269)</f>
        <v/>
      </c>
      <c r="BS251" s="25" t="str">
        <f>IF('1. Live'!BW269='check-Jul''26'!BS269,"",'1. Live'!BW269-'check-Jul''26'!BS269)</f>
        <v/>
      </c>
      <c r="BT251" s="25" t="str">
        <f>IF('1. Live'!BX269='check-Jul''26'!BT269,"",'1. Live'!BX269-'check-Jul''26'!BT269)</f>
        <v/>
      </c>
      <c r="BU251" s="25" t="str">
        <f>IF('1. Live'!BY269='check-Jul''26'!BU269,"",'1. Live'!BY269-'check-Jul''26'!BU269)</f>
        <v/>
      </c>
      <c r="BV251" s="25" t="str">
        <f>IF('1. Live'!BZ269='check-Jul''26'!BV269,"",'1. Live'!BZ269-'check-Jul''26'!BV269)</f>
        <v/>
      </c>
      <c r="BW251" s="25" t="str">
        <f>IF('1. Live'!CA269='check-Jul''26'!BW269,"",'1. Live'!CA269-'check-Jul''26'!BW269)</f>
        <v/>
      </c>
      <c r="BX251" s="25" t="str">
        <f>IF('1. Live'!CB269='check-Jul''26'!BX269,"",'1. Live'!CB269-'check-Jul''26'!BX269)</f>
        <v/>
      </c>
      <c r="BY251" s="25" t="str">
        <f>IF('1. Live'!CC269='check-Jul''26'!BY269,"",'1. Live'!CC269-'check-Jul''26'!BY269)</f>
        <v/>
      </c>
      <c r="BZ251" s="25" t="str">
        <f>IF('1. Live'!CD269='check-Jul''26'!BZ269,"",'1. Live'!CD269-'check-Jul''26'!BZ269)</f>
        <v/>
      </c>
      <c r="CA251" s="25" t="str">
        <f>IF('1. Live'!CE269='check-Jul''26'!CA269,"",'1. Live'!CE269-'check-Jul''26'!CA269)</f>
        <v/>
      </c>
      <c r="CB251" s="25" t="str">
        <f>IF('1. Live'!CF269='check-Jul''26'!CB269,"",'1. Live'!CF269-'check-Jul''26'!CB269)</f>
        <v/>
      </c>
      <c r="CC251" s="25" t="str">
        <f>IF('1. Live'!CG269='check-Jul''26'!CC269,"",'1. Live'!CG269-'check-Jul''26'!CC269)</f>
        <v/>
      </c>
      <c r="CD251" s="25" t="str">
        <f>IF('1. Live'!CH269='check-Jul''26'!CD269,"",'1. Live'!CH269-'check-Jul''26'!CD269)</f>
        <v/>
      </c>
      <c r="CE251" s="25" t="str">
        <f>IF('1. Live'!CI269='check-Jul''26'!CE269,"",'1. Live'!CI269-'check-Jul''26'!CE269)</f>
        <v/>
      </c>
      <c r="CF251" s="25" t="str">
        <f>IF('1. Live'!CJ269='check-Jul''26'!CF269,"",'1. Live'!CJ269-'check-Jul''26'!CF269)</f>
        <v/>
      </c>
      <c r="CG251" s="25" t="str">
        <f>IF('1. Live'!CK269='check-Jul''26'!CG269,"",'1. Live'!CK269-'check-Jul''26'!CG269)</f>
        <v/>
      </c>
      <c r="CH251" s="25" t="str">
        <f>IF('1. Live'!CL269='check-Jul''26'!CH269,"",'1. Live'!CL269-'check-Jul''26'!CH269)</f>
        <v/>
      </c>
      <c r="CI251" s="25" t="str">
        <f>IF('1. Live'!CM269='check-Jul''26'!CI269,"",'1. Live'!CM269-'check-Jul''26'!CI269)</f>
        <v/>
      </c>
      <c r="CJ251" s="25" t="str">
        <f>IF('1. Live'!CN269='check-Jul''26'!CJ269,"",'1. Live'!CN269-'check-Jul''26'!CJ269)</f>
        <v/>
      </c>
      <c r="CK251" s="25" t="str">
        <f>IF('1. Live'!CO269='check-Jul''26'!CK269,"",'1. Live'!CO269-'check-Jul''26'!CK269)</f>
        <v/>
      </c>
      <c r="CL251" s="25" t="str">
        <f>IF('1. Live'!CP269='check-Jul''26'!CL269,"",'1. Live'!CP269-'check-Jul''26'!CL269)</f>
        <v/>
      </c>
      <c r="CM251" s="25" t="str">
        <f>IF('1. Live'!CQ269='check-Jul''26'!CM269,"",'1. Live'!CQ269-'check-Jul''26'!CM269)</f>
        <v/>
      </c>
      <c r="CN251" s="25" t="str">
        <f>IF('1. Live'!CR269='check-Jul''26'!CN269,"",'1. Live'!CR269-'check-Jul''26'!CN269)</f>
        <v/>
      </c>
      <c r="CO251" s="25" t="str">
        <f>IF('1. Live'!CS269='check-Jul''26'!CO269,"",'1. Live'!CS269-'check-Jul''26'!CO269)</f>
        <v/>
      </c>
      <c r="CP251" s="25" t="str">
        <f>IF('1. Live'!CT269='check-Jul''26'!CP269,"",'1. Live'!CT269-'check-Jul''26'!CP269)</f>
        <v/>
      </c>
      <c r="CQ251" s="25" t="str">
        <f>IF('1. Live'!CU269='check-Jul''26'!CQ269,"",'1. Live'!CU269-'check-Jul''26'!CQ269)</f>
        <v/>
      </c>
      <c r="CR251" s="25" t="str">
        <f>IF('1. Live'!CV269='check-Jul''26'!CR269,"",'1. Live'!CV269-'check-Jul''26'!CR269)</f>
        <v/>
      </c>
      <c r="CS251" s="25" t="str">
        <f>IF('1. Live'!CW269='check-Jul''26'!CS269,"",'1. Live'!CW269-'check-Jul''26'!CS269)</f>
        <v/>
      </c>
      <c r="CT251" s="25" t="str">
        <f>IF('1. Live'!CX269='check-Jul''26'!CT269,"",'1. Live'!CX269-'check-Jul''26'!CT269)</f>
        <v/>
      </c>
      <c r="CU251" s="25" t="str">
        <f>IF('1. Live'!CY269='check-Jul''26'!CU269,"",'1. Live'!CY269-'check-Jul''26'!CU269)</f>
        <v/>
      </c>
      <c r="CV251" s="25" t="str">
        <f>IF('1. Live'!CZ269='check-Jul''26'!CV269,"",'1. Live'!CZ269-'check-Jul''26'!CV269)</f>
        <v/>
      </c>
    </row>
    <row r="252" spans="17:100" x14ac:dyDescent="0.25">
      <c r="Q252" s="26" t="str">
        <f>IF('1. Live'!N270='check-Jul''26'!I270,"",'1. Live'!N270-'check-Jul''26'!I270)</f>
        <v/>
      </c>
      <c r="R252" s="26" t="str">
        <f>IF('1. Live'!O270='check-Jul''26'!J270,"",'1. Live'!O270-'check-Jul''26'!J270)</f>
        <v/>
      </c>
      <c r="S252" s="26" t="str">
        <f>IF('1. Live'!P270='check-Jul''26'!K270,"",'1. Live'!P270-'check-Jul''26'!K270)</f>
        <v/>
      </c>
      <c r="T252" s="26" t="str">
        <f>IF('1. Live'!Q270='check-Jul''26'!L270,"",'1. Live'!Q270-'check-Jul''26'!L270)</f>
        <v/>
      </c>
      <c r="U252" s="80" t="str">
        <f>IF('1. Live'!R270='check-Jul''26'!M270,"",'1. Live'!R270-'check-Jul''26'!M270)</f>
        <v/>
      </c>
      <c r="V252" s="26" t="str">
        <f>IF('1. Live'!S270='check-Jul''26'!N270,"",'1. Live'!S270-'check-Jul''26'!N270)</f>
        <v/>
      </c>
      <c r="W252" s="25" t="str">
        <f>IF('1. Live'!T270='check-Jul''26'!O270,"",'1. Live'!T270-'check-Jul''26'!O270)</f>
        <v/>
      </c>
      <c r="X252" s="25" t="str">
        <f>IF('1. Live'!U270='check-Jul''26'!Q270,"",'1. Live'!U270-'check-Jul''26'!Q270)</f>
        <v/>
      </c>
      <c r="Y252" s="25" t="str">
        <f>IF('1. Live'!V270='check-Jul''26'!R270,"",'1. Live'!V270-'check-Jul''26'!R270)</f>
        <v/>
      </c>
      <c r="Z252" s="25" t="str">
        <f>IF('1. Live'!W270='check-Jul''26'!S270,"",'1. Live'!W270-'check-Jul''26'!S270)</f>
        <v/>
      </c>
      <c r="AA252" s="25" t="str">
        <f>IF('1. Live'!X270='check-Jul''26'!T270,"",'1. Live'!X270-'check-Jul''26'!T270)</f>
        <v/>
      </c>
      <c r="AB252" s="25" t="str">
        <f>IF('1. Live'!AF270='check-Jul''26'!AB270,"",'1. Live'!AF270-'check-Jul''26'!AB270)</f>
        <v/>
      </c>
      <c r="AC252" s="25" t="str">
        <f>IF('1. Live'!AG270='check-Jul''26'!AC270,"",'1. Live'!AG270-'check-Jul''26'!AC270)</f>
        <v/>
      </c>
      <c r="AD252" s="25" t="str">
        <f>IF('1. Live'!AH270='check-Jul''26'!AD270,"",'1. Live'!AH270-'check-Jul''26'!AD270)</f>
        <v/>
      </c>
      <c r="AE252" s="25" t="str">
        <f>IF('1. Live'!AI270='check-Jul''26'!AE270,"",'1. Live'!AI270-'check-Jul''26'!AE270)</f>
        <v/>
      </c>
      <c r="AF252" s="25" t="str">
        <f>IF('1. Live'!AJ270='check-Jul''26'!AF270,"",'1. Live'!AJ270-'check-Jul''26'!AF270)</f>
        <v/>
      </c>
      <c r="AG252" s="25" t="str">
        <f>IF('1. Live'!AK270='check-Jul''26'!AG270,"",'1. Live'!AK270-'check-Jul''26'!AG270)</f>
        <v/>
      </c>
      <c r="AH252" s="25" t="str">
        <f>IF('1. Live'!AL270='check-Jul''26'!AH270,"",'1. Live'!AL270-'check-Jul''26'!AH270)</f>
        <v/>
      </c>
      <c r="AI252" s="25" t="str">
        <f>IF('1. Live'!AM270='check-Jul''26'!AI270,"",'1. Live'!AM270-'check-Jul''26'!AI270)</f>
        <v/>
      </c>
      <c r="AJ252" s="25" t="str">
        <f>IF('1. Live'!AN270='check-Jul''26'!AJ270,"",'1. Live'!AN270-'check-Jul''26'!AJ270)</f>
        <v/>
      </c>
      <c r="AK252" s="25" t="str">
        <f>IF('1. Live'!AO270='check-Jul''26'!AK270,"",'1. Live'!AO270-'check-Jul''26'!AK270)</f>
        <v/>
      </c>
      <c r="AL252" s="25" t="str">
        <f>IF('1. Live'!AP270='check-Jul''26'!AL270,"",'1. Live'!AP270-'check-Jul''26'!AL270)</f>
        <v/>
      </c>
      <c r="AM252" s="25" t="str">
        <f>IF('1. Live'!AQ270='check-Jul''26'!AM270,"",'1. Live'!AQ270-'check-Jul''26'!AM270)</f>
        <v/>
      </c>
      <c r="AN252" s="25" t="str">
        <f>IF('1. Live'!AR270='check-Jul''26'!AN270,"",'1. Live'!AR270-'check-Jul''26'!AN270)</f>
        <v/>
      </c>
      <c r="AO252" s="25" t="str">
        <f>IF('1. Live'!AS270='check-Jul''26'!AO270,"",'1. Live'!AS270-'check-Jul''26'!AO270)</f>
        <v/>
      </c>
      <c r="AP252" s="25" t="str">
        <f>IF('1. Live'!AT270='check-Jul''26'!AP270,"",'1. Live'!AT270-'check-Jul''26'!AP270)</f>
        <v/>
      </c>
      <c r="AQ252" s="25" t="str">
        <f>IF('1. Live'!AU270='check-Jul''26'!AQ270,"",'1. Live'!AU270-'check-Jul''26'!AQ270)</f>
        <v/>
      </c>
      <c r="AR252" s="25" t="str">
        <f>IF('1. Live'!AV270='check-Jul''26'!AR270,"",'1. Live'!AV270-'check-Jul''26'!AR270)</f>
        <v/>
      </c>
      <c r="AS252" s="25" t="str">
        <f>IF('1. Live'!AW270='check-Jul''26'!AS270,"",'1. Live'!AW270-'check-Jul''26'!AS270)</f>
        <v/>
      </c>
      <c r="AT252" s="25" t="str">
        <f>IF('1. Live'!AX270='check-Jul''26'!AT270,"",'1. Live'!AX270-'check-Jul''26'!AT270)</f>
        <v/>
      </c>
      <c r="AU252" s="25" t="str">
        <f>IF('1. Live'!AY270='check-Jul''26'!AU270,"",'1. Live'!AY270-'check-Jul''26'!AU270)</f>
        <v/>
      </c>
      <c r="AV252" s="25" t="str">
        <f>IF('1. Live'!AZ270='check-Jul''26'!AV270,"",'1. Live'!AZ270-'check-Jul''26'!AV270)</f>
        <v/>
      </c>
      <c r="AW252" s="25" t="str">
        <f>IF('1. Live'!BA270='check-Jul''26'!AW270,"",'1. Live'!BA270-'check-Jul''26'!AW270)</f>
        <v/>
      </c>
      <c r="AX252" s="25" t="str">
        <f>IF('1. Live'!BB270='check-Jul''26'!AX270,"",'1. Live'!BB270-'check-Jul''26'!AX270)</f>
        <v/>
      </c>
      <c r="AY252" s="25" t="str">
        <f>IF('1. Live'!BC270='check-Jul''26'!AY270,"",'1. Live'!BC270-'check-Jul''26'!AY270)</f>
        <v/>
      </c>
      <c r="AZ252" s="25" t="str">
        <f>IF('1. Live'!BD270='check-Jul''26'!AZ270,"",'1. Live'!BD270-'check-Jul''26'!AZ270)</f>
        <v/>
      </c>
      <c r="BA252" s="25" t="str">
        <f>IF('1. Live'!BE270='check-Jul''26'!BA270,"",'1. Live'!BE270-'check-Jul''26'!BA270)</f>
        <v/>
      </c>
      <c r="BB252" s="25" t="str">
        <f>IF('1. Live'!BF270='check-Jul''26'!BB270,"",'1. Live'!BF270-'check-Jul''26'!BB270)</f>
        <v/>
      </c>
      <c r="BC252" s="25" t="str">
        <f>IF('1. Live'!BG270='check-Jul''26'!BC270,"",'1. Live'!BG270-'check-Jul''26'!BC270)</f>
        <v/>
      </c>
      <c r="BD252" s="25" t="str">
        <f>IF('1. Live'!BH270='check-Jul''26'!BD270,"",'1. Live'!BH270-'check-Jul''26'!BD270)</f>
        <v/>
      </c>
      <c r="BE252" s="25" t="str">
        <f>IF('1. Live'!BI270='check-Jul''26'!BE270,"",'1. Live'!BI270-'check-Jul''26'!BE270)</f>
        <v/>
      </c>
      <c r="BF252" s="25" t="str">
        <f>IF('1. Live'!BJ270='check-Jul''26'!BF270,"",'1. Live'!BJ270-'check-Jul''26'!BF270)</f>
        <v/>
      </c>
      <c r="BG252" s="25" t="str">
        <f>IF('1. Live'!BK270='check-Jul''26'!BG270,"",'1. Live'!BK270-'check-Jul''26'!BG270)</f>
        <v/>
      </c>
      <c r="BH252" s="25" t="str">
        <f>IF('1. Live'!BL270='check-Jul''26'!BH270,"",'1. Live'!BL270-'check-Jul''26'!BH270)</f>
        <v/>
      </c>
      <c r="BI252" s="25" t="str">
        <f>IF('1. Live'!BM270='check-Jul''26'!BI270,"",'1. Live'!BM270-'check-Jul''26'!BI270)</f>
        <v/>
      </c>
      <c r="BJ252" s="25" t="str">
        <f>IF('1. Live'!BN270='check-Jul''26'!BJ270,"",'1. Live'!BN270-'check-Jul''26'!BJ270)</f>
        <v/>
      </c>
      <c r="BK252" s="25" t="str">
        <f>IF('1. Live'!BO270='check-Jul''26'!BK270,"",'1. Live'!BO270-'check-Jul''26'!BK270)</f>
        <v/>
      </c>
      <c r="BL252" s="25" t="str">
        <f>IF('1. Live'!BP270='check-Jul''26'!BL270,"",'1. Live'!BP270-'check-Jul''26'!BL270)</f>
        <v/>
      </c>
      <c r="BM252" s="25" t="str">
        <f>IF('1. Live'!BQ270='check-Jul''26'!BM270,"",'1. Live'!BQ270-'check-Jul''26'!BM270)</f>
        <v/>
      </c>
      <c r="BN252" s="25" t="str">
        <f>IF('1. Live'!BR270='check-Jul''26'!BN270,"",'1. Live'!BR270-'check-Jul''26'!BN270)</f>
        <v/>
      </c>
      <c r="BO252" s="25" t="str">
        <f>IF('1. Live'!BS270='check-Jul''26'!BO270,"",'1. Live'!BS270-'check-Jul''26'!BO270)</f>
        <v/>
      </c>
      <c r="BP252" s="25" t="str">
        <f>IF('1. Live'!BT270='check-Jul''26'!BP270,"",'1. Live'!BT270-'check-Jul''26'!BP270)</f>
        <v/>
      </c>
      <c r="BQ252" s="25" t="str">
        <f>IF('1. Live'!BU270='check-Jul''26'!BQ270,"",'1. Live'!BU270-'check-Jul''26'!BQ270)</f>
        <v/>
      </c>
      <c r="BR252" s="25" t="str">
        <f>IF('1. Live'!BV270='check-Jul''26'!BR270,"",'1. Live'!BV270-'check-Jul''26'!BR270)</f>
        <v/>
      </c>
      <c r="BS252" s="25" t="str">
        <f>IF('1. Live'!BW270='check-Jul''26'!BS270,"",'1. Live'!BW270-'check-Jul''26'!BS270)</f>
        <v/>
      </c>
      <c r="BT252" s="25" t="str">
        <f>IF('1. Live'!BX270='check-Jul''26'!BT270,"",'1. Live'!BX270-'check-Jul''26'!BT270)</f>
        <v/>
      </c>
      <c r="BU252" s="25" t="str">
        <f>IF('1. Live'!BY270='check-Jul''26'!BU270,"",'1. Live'!BY270-'check-Jul''26'!BU270)</f>
        <v/>
      </c>
      <c r="BV252" s="25" t="str">
        <f>IF('1. Live'!BZ270='check-Jul''26'!BV270,"",'1. Live'!BZ270-'check-Jul''26'!BV270)</f>
        <v/>
      </c>
      <c r="BW252" s="25" t="str">
        <f>IF('1. Live'!CA270='check-Jul''26'!BW270,"",'1. Live'!CA270-'check-Jul''26'!BW270)</f>
        <v/>
      </c>
      <c r="BX252" s="25" t="str">
        <f>IF('1. Live'!CB270='check-Jul''26'!BX270,"",'1. Live'!CB270-'check-Jul''26'!BX270)</f>
        <v/>
      </c>
      <c r="BY252" s="25" t="str">
        <f>IF('1. Live'!CC270='check-Jul''26'!BY270,"",'1. Live'!CC270-'check-Jul''26'!BY270)</f>
        <v/>
      </c>
      <c r="BZ252" s="25" t="str">
        <f>IF('1. Live'!CD270='check-Jul''26'!BZ270,"",'1. Live'!CD270-'check-Jul''26'!BZ270)</f>
        <v/>
      </c>
      <c r="CA252" s="25" t="str">
        <f>IF('1. Live'!CE270='check-Jul''26'!CA270,"",'1. Live'!CE270-'check-Jul''26'!CA270)</f>
        <v/>
      </c>
      <c r="CB252" s="25" t="str">
        <f>IF('1. Live'!CF270='check-Jul''26'!CB270,"",'1. Live'!CF270-'check-Jul''26'!CB270)</f>
        <v/>
      </c>
      <c r="CC252" s="25" t="str">
        <f>IF('1. Live'!CG270='check-Jul''26'!CC270,"",'1. Live'!CG270-'check-Jul''26'!CC270)</f>
        <v/>
      </c>
      <c r="CD252" s="25" t="str">
        <f>IF('1. Live'!CH270='check-Jul''26'!CD270,"",'1. Live'!CH270-'check-Jul''26'!CD270)</f>
        <v/>
      </c>
      <c r="CE252" s="25" t="str">
        <f>IF('1. Live'!CI270='check-Jul''26'!CE270,"",'1. Live'!CI270-'check-Jul''26'!CE270)</f>
        <v/>
      </c>
      <c r="CF252" s="25" t="str">
        <f>IF('1. Live'!CJ270='check-Jul''26'!CF270,"",'1. Live'!CJ270-'check-Jul''26'!CF270)</f>
        <v/>
      </c>
      <c r="CG252" s="25" t="str">
        <f>IF('1. Live'!CK270='check-Jul''26'!CG270,"",'1. Live'!CK270-'check-Jul''26'!CG270)</f>
        <v/>
      </c>
      <c r="CH252" s="25" t="str">
        <f>IF('1. Live'!CL270='check-Jul''26'!CH270,"",'1. Live'!CL270-'check-Jul''26'!CH270)</f>
        <v/>
      </c>
      <c r="CI252" s="25" t="str">
        <f>IF('1. Live'!CM270='check-Jul''26'!CI270,"",'1. Live'!CM270-'check-Jul''26'!CI270)</f>
        <v/>
      </c>
      <c r="CJ252" s="25" t="str">
        <f>IF('1. Live'!CN270='check-Jul''26'!CJ270,"",'1. Live'!CN270-'check-Jul''26'!CJ270)</f>
        <v/>
      </c>
      <c r="CK252" s="25" t="str">
        <f>IF('1. Live'!CO270='check-Jul''26'!CK270,"",'1. Live'!CO270-'check-Jul''26'!CK270)</f>
        <v/>
      </c>
      <c r="CL252" s="25" t="str">
        <f>IF('1. Live'!CP270='check-Jul''26'!CL270,"",'1. Live'!CP270-'check-Jul''26'!CL270)</f>
        <v/>
      </c>
      <c r="CM252" s="25" t="str">
        <f>IF('1. Live'!CQ270='check-Jul''26'!CM270,"",'1. Live'!CQ270-'check-Jul''26'!CM270)</f>
        <v/>
      </c>
      <c r="CN252" s="25" t="str">
        <f>IF('1. Live'!CR270='check-Jul''26'!CN270,"",'1. Live'!CR270-'check-Jul''26'!CN270)</f>
        <v/>
      </c>
      <c r="CO252" s="25" t="str">
        <f>IF('1. Live'!CS270='check-Jul''26'!CO270,"",'1. Live'!CS270-'check-Jul''26'!CO270)</f>
        <v/>
      </c>
      <c r="CP252" s="25" t="str">
        <f>IF('1. Live'!CT270='check-Jul''26'!CP270,"",'1. Live'!CT270-'check-Jul''26'!CP270)</f>
        <v/>
      </c>
      <c r="CQ252" s="25" t="str">
        <f>IF('1. Live'!CU270='check-Jul''26'!CQ270,"",'1. Live'!CU270-'check-Jul''26'!CQ270)</f>
        <v/>
      </c>
      <c r="CR252" s="25" t="str">
        <f>IF('1. Live'!CV270='check-Jul''26'!CR270,"",'1. Live'!CV270-'check-Jul''26'!CR270)</f>
        <v/>
      </c>
      <c r="CS252" s="25" t="str">
        <f>IF('1. Live'!CW270='check-Jul''26'!CS270,"",'1. Live'!CW270-'check-Jul''26'!CS270)</f>
        <v/>
      </c>
      <c r="CT252" s="25" t="str">
        <f>IF('1. Live'!CX270='check-Jul''26'!CT270,"",'1. Live'!CX270-'check-Jul''26'!CT270)</f>
        <v/>
      </c>
      <c r="CU252" s="25" t="str">
        <f>IF('1. Live'!CY270='check-Jul''26'!CU270,"",'1. Live'!CY270-'check-Jul''26'!CU270)</f>
        <v/>
      </c>
      <c r="CV252" s="25" t="str">
        <f>IF('1. Live'!CZ270='check-Jul''26'!CV270,"",'1. Live'!CZ270-'check-Jul''26'!CV270)</f>
        <v/>
      </c>
    </row>
    <row r="253" spans="17:100" x14ac:dyDescent="0.25">
      <c r="Q253" s="26" t="str">
        <f>IF('1. Live'!N271='check-Jul''26'!I271,"",'1. Live'!N271-'check-Jul''26'!I271)</f>
        <v/>
      </c>
      <c r="R253" s="26" t="str">
        <f>IF('1. Live'!O271='check-Jul''26'!J271,"",'1. Live'!O271-'check-Jul''26'!J271)</f>
        <v/>
      </c>
      <c r="S253" s="26" t="str">
        <f>IF('1. Live'!P271='check-Jul''26'!K271,"",'1. Live'!P271-'check-Jul''26'!K271)</f>
        <v/>
      </c>
      <c r="T253" s="26" t="str">
        <f>IF('1. Live'!Q271='check-Jul''26'!L271,"",'1. Live'!Q271-'check-Jul''26'!L271)</f>
        <v/>
      </c>
      <c r="U253" s="80" t="str">
        <f>IF('1. Live'!R271='check-Jul''26'!M271,"",'1. Live'!R271-'check-Jul''26'!M271)</f>
        <v/>
      </c>
      <c r="V253" s="26" t="str">
        <f>IF('1. Live'!S271='check-Jul''26'!N271,"",'1. Live'!S271-'check-Jul''26'!N271)</f>
        <v/>
      </c>
      <c r="W253" s="25" t="str">
        <f>IF('1. Live'!T271='check-Jul''26'!O271,"",'1. Live'!T271-'check-Jul''26'!O271)</f>
        <v/>
      </c>
      <c r="X253" s="25" t="str">
        <f>IF('1. Live'!U271='check-Jul''26'!Q271,"",'1. Live'!U271-'check-Jul''26'!Q271)</f>
        <v/>
      </c>
      <c r="Y253" s="25" t="str">
        <f>IF('1. Live'!V271='check-Jul''26'!R271,"",'1. Live'!V271-'check-Jul''26'!R271)</f>
        <v/>
      </c>
      <c r="Z253" s="25" t="str">
        <f>IF('1. Live'!W271='check-Jul''26'!S271,"",'1. Live'!W271-'check-Jul''26'!S271)</f>
        <v/>
      </c>
      <c r="AA253" s="25" t="str">
        <f>IF('1. Live'!X271='check-Jul''26'!T271,"",'1. Live'!X271-'check-Jul''26'!T271)</f>
        <v/>
      </c>
      <c r="AB253" s="25" t="str">
        <f>IF('1. Live'!AF271='check-Jul''26'!AB271,"",'1. Live'!AF271-'check-Jul''26'!AB271)</f>
        <v/>
      </c>
      <c r="AC253" s="25" t="str">
        <f>IF('1. Live'!AG271='check-Jul''26'!AC271,"",'1. Live'!AG271-'check-Jul''26'!AC271)</f>
        <v/>
      </c>
      <c r="AD253" s="25" t="str">
        <f>IF('1. Live'!AH271='check-Jul''26'!AD271,"",'1. Live'!AH271-'check-Jul''26'!AD271)</f>
        <v/>
      </c>
      <c r="AE253" s="25" t="str">
        <f>IF('1. Live'!AI271='check-Jul''26'!AE271,"",'1. Live'!AI271-'check-Jul''26'!AE271)</f>
        <v/>
      </c>
      <c r="AF253" s="25" t="str">
        <f>IF('1. Live'!AJ271='check-Jul''26'!AF271,"",'1. Live'!AJ271-'check-Jul''26'!AF271)</f>
        <v/>
      </c>
      <c r="AG253" s="25" t="str">
        <f>IF('1. Live'!AK271='check-Jul''26'!AG271,"",'1. Live'!AK271-'check-Jul''26'!AG271)</f>
        <v/>
      </c>
      <c r="AH253" s="25" t="str">
        <f>IF('1. Live'!AL271='check-Jul''26'!AH271,"",'1. Live'!AL271-'check-Jul''26'!AH271)</f>
        <v/>
      </c>
      <c r="AI253" s="25" t="str">
        <f>IF('1. Live'!AM271='check-Jul''26'!AI271,"",'1. Live'!AM271-'check-Jul''26'!AI271)</f>
        <v/>
      </c>
      <c r="AJ253" s="25" t="str">
        <f>IF('1. Live'!AN271='check-Jul''26'!AJ271,"",'1. Live'!AN271-'check-Jul''26'!AJ271)</f>
        <v/>
      </c>
      <c r="AK253" s="25" t="str">
        <f>IF('1. Live'!AO271='check-Jul''26'!AK271,"",'1. Live'!AO271-'check-Jul''26'!AK271)</f>
        <v/>
      </c>
      <c r="AL253" s="25" t="str">
        <f>IF('1. Live'!AP271='check-Jul''26'!AL271,"",'1. Live'!AP271-'check-Jul''26'!AL271)</f>
        <v/>
      </c>
      <c r="AM253" s="25" t="str">
        <f>IF('1. Live'!AQ271='check-Jul''26'!AM271,"",'1. Live'!AQ271-'check-Jul''26'!AM271)</f>
        <v/>
      </c>
      <c r="AN253" s="25" t="str">
        <f>IF('1. Live'!AR271='check-Jul''26'!AN271,"",'1. Live'!AR271-'check-Jul''26'!AN271)</f>
        <v/>
      </c>
      <c r="AO253" s="25" t="str">
        <f>IF('1. Live'!AS271='check-Jul''26'!AO271,"",'1. Live'!AS271-'check-Jul''26'!AO271)</f>
        <v/>
      </c>
      <c r="AP253" s="25" t="str">
        <f>IF('1. Live'!AT271='check-Jul''26'!AP271,"",'1. Live'!AT271-'check-Jul''26'!AP271)</f>
        <v/>
      </c>
      <c r="AQ253" s="25" t="str">
        <f>IF('1. Live'!AU271='check-Jul''26'!AQ271,"",'1. Live'!AU271-'check-Jul''26'!AQ271)</f>
        <v/>
      </c>
      <c r="AR253" s="25" t="str">
        <f>IF('1. Live'!AV271='check-Jul''26'!AR271,"",'1. Live'!AV271-'check-Jul''26'!AR271)</f>
        <v/>
      </c>
      <c r="AS253" s="25" t="str">
        <f>IF('1. Live'!AW271='check-Jul''26'!AS271,"",'1. Live'!AW271-'check-Jul''26'!AS271)</f>
        <v/>
      </c>
      <c r="AT253" s="25" t="str">
        <f>IF('1. Live'!AX271='check-Jul''26'!AT271,"",'1. Live'!AX271-'check-Jul''26'!AT271)</f>
        <v/>
      </c>
      <c r="AU253" s="25" t="str">
        <f>IF('1. Live'!AY271='check-Jul''26'!AU271,"",'1. Live'!AY271-'check-Jul''26'!AU271)</f>
        <v/>
      </c>
      <c r="AV253" s="25" t="str">
        <f>IF('1. Live'!AZ271='check-Jul''26'!AV271,"",'1. Live'!AZ271-'check-Jul''26'!AV271)</f>
        <v/>
      </c>
      <c r="AW253" s="25" t="str">
        <f>IF('1. Live'!BA271='check-Jul''26'!AW271,"",'1. Live'!BA271-'check-Jul''26'!AW271)</f>
        <v/>
      </c>
      <c r="AX253" s="25" t="str">
        <f>IF('1. Live'!BB271='check-Jul''26'!AX271,"",'1. Live'!BB271-'check-Jul''26'!AX271)</f>
        <v/>
      </c>
      <c r="AY253" s="25" t="str">
        <f>IF('1. Live'!BC271='check-Jul''26'!AY271,"",'1. Live'!BC271-'check-Jul''26'!AY271)</f>
        <v/>
      </c>
      <c r="AZ253" s="25" t="str">
        <f>IF('1. Live'!BD271='check-Jul''26'!AZ271,"",'1. Live'!BD271-'check-Jul''26'!AZ271)</f>
        <v/>
      </c>
      <c r="BA253" s="25" t="str">
        <f>IF('1. Live'!BE271='check-Jul''26'!BA271,"",'1. Live'!BE271-'check-Jul''26'!BA271)</f>
        <v/>
      </c>
      <c r="BB253" s="25" t="str">
        <f>IF('1. Live'!BF271='check-Jul''26'!BB271,"",'1. Live'!BF271-'check-Jul''26'!BB271)</f>
        <v/>
      </c>
      <c r="BC253" s="25" t="str">
        <f>IF('1. Live'!BG271='check-Jul''26'!BC271,"",'1. Live'!BG271-'check-Jul''26'!BC271)</f>
        <v/>
      </c>
      <c r="BD253" s="25" t="str">
        <f>IF('1. Live'!BH271='check-Jul''26'!BD271,"",'1. Live'!BH271-'check-Jul''26'!BD271)</f>
        <v/>
      </c>
      <c r="BE253" s="25" t="str">
        <f>IF('1. Live'!BI271='check-Jul''26'!BE271,"",'1. Live'!BI271-'check-Jul''26'!BE271)</f>
        <v/>
      </c>
      <c r="BF253" s="25" t="str">
        <f>IF('1. Live'!BJ271='check-Jul''26'!BF271,"",'1. Live'!BJ271-'check-Jul''26'!BF271)</f>
        <v/>
      </c>
      <c r="BG253" s="25" t="str">
        <f>IF('1. Live'!BK271='check-Jul''26'!BG271,"",'1. Live'!BK271-'check-Jul''26'!BG271)</f>
        <v/>
      </c>
      <c r="BH253" s="25" t="str">
        <f>IF('1. Live'!BL271='check-Jul''26'!BH271,"",'1. Live'!BL271-'check-Jul''26'!BH271)</f>
        <v/>
      </c>
      <c r="BI253" s="25" t="str">
        <f>IF('1. Live'!BM271='check-Jul''26'!BI271,"",'1. Live'!BM271-'check-Jul''26'!BI271)</f>
        <v/>
      </c>
      <c r="BJ253" s="25" t="str">
        <f>IF('1. Live'!BN271='check-Jul''26'!BJ271,"",'1. Live'!BN271-'check-Jul''26'!BJ271)</f>
        <v/>
      </c>
      <c r="BK253" s="25" t="str">
        <f>IF('1. Live'!BO271='check-Jul''26'!BK271,"",'1. Live'!BO271-'check-Jul''26'!BK271)</f>
        <v/>
      </c>
      <c r="BL253" s="25" t="str">
        <f>IF('1. Live'!BP271='check-Jul''26'!BL271,"",'1. Live'!BP271-'check-Jul''26'!BL271)</f>
        <v/>
      </c>
      <c r="BM253" s="25" t="str">
        <f>IF('1. Live'!BQ271='check-Jul''26'!BM271,"",'1. Live'!BQ271-'check-Jul''26'!BM271)</f>
        <v/>
      </c>
      <c r="BN253" s="25" t="str">
        <f>IF('1. Live'!BR271='check-Jul''26'!BN271,"",'1. Live'!BR271-'check-Jul''26'!BN271)</f>
        <v/>
      </c>
      <c r="BO253" s="25" t="str">
        <f>IF('1. Live'!BS271='check-Jul''26'!BO271,"",'1. Live'!BS271-'check-Jul''26'!BO271)</f>
        <v/>
      </c>
      <c r="BP253" s="25" t="str">
        <f>IF('1. Live'!BT271='check-Jul''26'!BP271,"",'1. Live'!BT271-'check-Jul''26'!BP271)</f>
        <v/>
      </c>
      <c r="BQ253" s="25" t="str">
        <f>IF('1. Live'!BU271='check-Jul''26'!BQ271,"",'1. Live'!BU271-'check-Jul''26'!BQ271)</f>
        <v/>
      </c>
      <c r="BR253" s="25" t="str">
        <f>IF('1. Live'!BV271='check-Jul''26'!BR271,"",'1. Live'!BV271-'check-Jul''26'!BR271)</f>
        <v/>
      </c>
      <c r="BS253" s="25" t="str">
        <f>IF('1. Live'!BW271='check-Jul''26'!BS271,"",'1. Live'!BW271-'check-Jul''26'!BS271)</f>
        <v/>
      </c>
      <c r="BT253" s="25" t="str">
        <f>IF('1. Live'!BX271='check-Jul''26'!BT271,"",'1. Live'!BX271-'check-Jul''26'!BT271)</f>
        <v/>
      </c>
      <c r="BU253" s="25" t="str">
        <f>IF('1. Live'!BY271='check-Jul''26'!BU271,"",'1. Live'!BY271-'check-Jul''26'!BU271)</f>
        <v/>
      </c>
      <c r="BV253" s="25" t="str">
        <f>IF('1. Live'!BZ271='check-Jul''26'!BV271,"",'1. Live'!BZ271-'check-Jul''26'!BV271)</f>
        <v/>
      </c>
      <c r="BW253" s="25" t="str">
        <f>IF('1. Live'!CA271='check-Jul''26'!BW271,"",'1. Live'!CA271-'check-Jul''26'!BW271)</f>
        <v/>
      </c>
      <c r="BX253" s="25" t="str">
        <f>IF('1. Live'!CB271='check-Jul''26'!BX271,"",'1. Live'!CB271-'check-Jul''26'!BX271)</f>
        <v/>
      </c>
      <c r="BY253" s="25" t="str">
        <f>IF('1. Live'!CC271='check-Jul''26'!BY271,"",'1. Live'!CC271-'check-Jul''26'!BY271)</f>
        <v/>
      </c>
      <c r="BZ253" s="25" t="str">
        <f>IF('1. Live'!CD271='check-Jul''26'!BZ271,"",'1. Live'!CD271-'check-Jul''26'!BZ271)</f>
        <v/>
      </c>
      <c r="CA253" s="25" t="str">
        <f>IF('1. Live'!CE271='check-Jul''26'!CA271,"",'1. Live'!CE271-'check-Jul''26'!CA271)</f>
        <v/>
      </c>
      <c r="CB253" s="25" t="str">
        <f>IF('1. Live'!CF271='check-Jul''26'!CB271,"",'1. Live'!CF271-'check-Jul''26'!CB271)</f>
        <v/>
      </c>
      <c r="CC253" s="25" t="str">
        <f>IF('1. Live'!CG271='check-Jul''26'!CC271,"",'1. Live'!CG271-'check-Jul''26'!CC271)</f>
        <v/>
      </c>
      <c r="CD253" s="25" t="str">
        <f>IF('1. Live'!CH271='check-Jul''26'!CD271,"",'1. Live'!CH271-'check-Jul''26'!CD271)</f>
        <v/>
      </c>
      <c r="CE253" s="25" t="str">
        <f>IF('1. Live'!CI271='check-Jul''26'!CE271,"",'1. Live'!CI271-'check-Jul''26'!CE271)</f>
        <v/>
      </c>
      <c r="CF253" s="25" t="str">
        <f>IF('1. Live'!CJ271='check-Jul''26'!CF271,"",'1. Live'!CJ271-'check-Jul''26'!CF271)</f>
        <v/>
      </c>
      <c r="CG253" s="25" t="str">
        <f>IF('1. Live'!CK271='check-Jul''26'!CG271,"",'1. Live'!CK271-'check-Jul''26'!CG271)</f>
        <v/>
      </c>
      <c r="CH253" s="25" t="str">
        <f>IF('1. Live'!CL271='check-Jul''26'!CH271,"",'1. Live'!CL271-'check-Jul''26'!CH271)</f>
        <v/>
      </c>
      <c r="CI253" s="25" t="str">
        <f>IF('1. Live'!CM271='check-Jul''26'!CI271,"",'1. Live'!CM271-'check-Jul''26'!CI271)</f>
        <v/>
      </c>
      <c r="CJ253" s="25" t="str">
        <f>IF('1. Live'!CN271='check-Jul''26'!CJ271,"",'1. Live'!CN271-'check-Jul''26'!CJ271)</f>
        <v/>
      </c>
      <c r="CK253" s="25" t="str">
        <f>IF('1. Live'!CO271='check-Jul''26'!CK271,"",'1. Live'!CO271-'check-Jul''26'!CK271)</f>
        <v/>
      </c>
      <c r="CL253" s="25" t="str">
        <f>IF('1. Live'!CP271='check-Jul''26'!CL271,"",'1. Live'!CP271-'check-Jul''26'!CL271)</f>
        <v/>
      </c>
      <c r="CM253" s="25" t="str">
        <f>IF('1. Live'!CQ271='check-Jul''26'!CM271,"",'1. Live'!CQ271-'check-Jul''26'!CM271)</f>
        <v/>
      </c>
      <c r="CN253" s="25" t="str">
        <f>IF('1. Live'!CR271='check-Jul''26'!CN271,"",'1. Live'!CR271-'check-Jul''26'!CN271)</f>
        <v/>
      </c>
      <c r="CO253" s="25" t="str">
        <f>IF('1. Live'!CS271='check-Jul''26'!CO271,"",'1. Live'!CS271-'check-Jul''26'!CO271)</f>
        <v/>
      </c>
      <c r="CP253" s="25" t="str">
        <f>IF('1. Live'!CT271='check-Jul''26'!CP271,"",'1. Live'!CT271-'check-Jul''26'!CP271)</f>
        <v/>
      </c>
      <c r="CQ253" s="25" t="str">
        <f>IF('1. Live'!CU271='check-Jul''26'!CQ271,"",'1. Live'!CU271-'check-Jul''26'!CQ271)</f>
        <v/>
      </c>
      <c r="CR253" s="25" t="str">
        <f>IF('1. Live'!CV271='check-Jul''26'!CR271,"",'1. Live'!CV271-'check-Jul''26'!CR271)</f>
        <v/>
      </c>
      <c r="CS253" s="25" t="str">
        <f>IF('1. Live'!CW271='check-Jul''26'!CS271,"",'1. Live'!CW271-'check-Jul''26'!CS271)</f>
        <v/>
      </c>
      <c r="CT253" s="25" t="str">
        <f>IF('1. Live'!CX271='check-Jul''26'!CT271,"",'1. Live'!CX271-'check-Jul''26'!CT271)</f>
        <v/>
      </c>
      <c r="CU253" s="25" t="str">
        <f>IF('1. Live'!CY271='check-Jul''26'!CU271,"",'1. Live'!CY271-'check-Jul''26'!CU271)</f>
        <v/>
      </c>
      <c r="CV253" s="25" t="str">
        <f>IF('1. Live'!CZ271='check-Jul''26'!CV271,"",'1. Live'!CZ271-'check-Jul''26'!CV271)</f>
        <v/>
      </c>
    </row>
    <row r="254" spans="17:100" x14ac:dyDescent="0.25">
      <c r="Q254" s="26" t="str">
        <f>IF('1. Live'!N272='check-Jul''26'!I272,"",'1. Live'!N272-'check-Jul''26'!I272)</f>
        <v/>
      </c>
      <c r="R254" s="26" t="str">
        <f>IF('1. Live'!O272='check-Jul''26'!J272,"",'1. Live'!O272-'check-Jul''26'!J272)</f>
        <v/>
      </c>
      <c r="S254" s="26" t="str">
        <f>IF('1. Live'!P272='check-Jul''26'!K272,"",'1. Live'!P272-'check-Jul''26'!K272)</f>
        <v/>
      </c>
      <c r="T254" s="26" t="str">
        <f>IF('1. Live'!Q272='check-Jul''26'!L272,"",'1. Live'!Q272-'check-Jul''26'!L272)</f>
        <v/>
      </c>
      <c r="U254" s="80" t="str">
        <f>IF('1. Live'!R272='check-Jul''26'!M272,"",'1. Live'!R272-'check-Jul''26'!M272)</f>
        <v/>
      </c>
      <c r="V254" s="26" t="str">
        <f>IF('1. Live'!S272='check-Jul''26'!N272,"",'1. Live'!S272-'check-Jul''26'!N272)</f>
        <v/>
      </c>
      <c r="W254" s="25" t="str">
        <f>IF('1. Live'!T272='check-Jul''26'!O272,"",'1. Live'!T272-'check-Jul''26'!O272)</f>
        <v/>
      </c>
      <c r="X254" s="25" t="str">
        <f>IF('1. Live'!U272='check-Jul''26'!Q272,"",'1. Live'!U272-'check-Jul''26'!Q272)</f>
        <v/>
      </c>
      <c r="Y254" s="25" t="str">
        <f>IF('1. Live'!V272='check-Jul''26'!R272,"",'1. Live'!V272-'check-Jul''26'!R272)</f>
        <v/>
      </c>
      <c r="Z254" s="25" t="str">
        <f>IF('1. Live'!W272='check-Jul''26'!S272,"",'1. Live'!W272-'check-Jul''26'!S272)</f>
        <v/>
      </c>
      <c r="AA254" s="25" t="str">
        <f>IF('1. Live'!X272='check-Jul''26'!T272,"",'1. Live'!X272-'check-Jul''26'!T272)</f>
        <v/>
      </c>
      <c r="AB254" s="25" t="str">
        <f>IF('1. Live'!AF272='check-Jul''26'!AB272,"",'1. Live'!AF272-'check-Jul''26'!AB272)</f>
        <v/>
      </c>
      <c r="AC254" s="25" t="str">
        <f>IF('1. Live'!AG272='check-Jul''26'!AC272,"",'1. Live'!AG272-'check-Jul''26'!AC272)</f>
        <v/>
      </c>
      <c r="AD254" s="25" t="str">
        <f>IF('1. Live'!AH272='check-Jul''26'!AD272,"",'1. Live'!AH272-'check-Jul''26'!AD272)</f>
        <v/>
      </c>
      <c r="AE254" s="25" t="str">
        <f>IF('1. Live'!AI272='check-Jul''26'!AE272,"",'1. Live'!AI272-'check-Jul''26'!AE272)</f>
        <v/>
      </c>
      <c r="AF254" s="25" t="str">
        <f>IF('1. Live'!AJ272='check-Jul''26'!AF272,"",'1. Live'!AJ272-'check-Jul''26'!AF272)</f>
        <v/>
      </c>
      <c r="AG254" s="25" t="str">
        <f>IF('1. Live'!AK272='check-Jul''26'!AG272,"",'1. Live'!AK272-'check-Jul''26'!AG272)</f>
        <v/>
      </c>
      <c r="AH254" s="25" t="str">
        <f>IF('1. Live'!AL272='check-Jul''26'!AH272,"",'1. Live'!AL272-'check-Jul''26'!AH272)</f>
        <v/>
      </c>
      <c r="AI254" s="25" t="str">
        <f>IF('1. Live'!AM272='check-Jul''26'!AI272,"",'1. Live'!AM272-'check-Jul''26'!AI272)</f>
        <v/>
      </c>
      <c r="AJ254" s="25" t="str">
        <f>IF('1. Live'!AN272='check-Jul''26'!AJ272,"",'1. Live'!AN272-'check-Jul''26'!AJ272)</f>
        <v/>
      </c>
      <c r="AK254" s="25" t="str">
        <f>IF('1. Live'!AO272='check-Jul''26'!AK272,"",'1. Live'!AO272-'check-Jul''26'!AK272)</f>
        <v/>
      </c>
      <c r="AL254" s="25" t="str">
        <f>IF('1. Live'!AP272='check-Jul''26'!AL272,"",'1. Live'!AP272-'check-Jul''26'!AL272)</f>
        <v/>
      </c>
      <c r="AM254" s="25" t="str">
        <f>IF('1. Live'!AQ272='check-Jul''26'!AM272,"",'1. Live'!AQ272-'check-Jul''26'!AM272)</f>
        <v/>
      </c>
      <c r="AN254" s="25" t="str">
        <f>IF('1. Live'!AR272='check-Jul''26'!AN272,"",'1. Live'!AR272-'check-Jul''26'!AN272)</f>
        <v/>
      </c>
      <c r="AO254" s="25" t="str">
        <f>IF('1. Live'!AS272='check-Jul''26'!AO272,"",'1. Live'!AS272-'check-Jul''26'!AO272)</f>
        <v/>
      </c>
      <c r="AP254" s="25" t="str">
        <f>IF('1. Live'!AT272='check-Jul''26'!AP272,"",'1. Live'!AT272-'check-Jul''26'!AP272)</f>
        <v/>
      </c>
      <c r="AQ254" s="25" t="str">
        <f>IF('1. Live'!AU272='check-Jul''26'!AQ272,"",'1. Live'!AU272-'check-Jul''26'!AQ272)</f>
        <v/>
      </c>
      <c r="AR254" s="25" t="str">
        <f>IF('1. Live'!AV272='check-Jul''26'!AR272,"",'1. Live'!AV272-'check-Jul''26'!AR272)</f>
        <v/>
      </c>
      <c r="AS254" s="25" t="str">
        <f>IF('1. Live'!AW272='check-Jul''26'!AS272,"",'1. Live'!AW272-'check-Jul''26'!AS272)</f>
        <v/>
      </c>
      <c r="AT254" s="25" t="str">
        <f>IF('1. Live'!AX272='check-Jul''26'!AT272,"",'1. Live'!AX272-'check-Jul''26'!AT272)</f>
        <v/>
      </c>
      <c r="AU254" s="25" t="str">
        <f>IF('1. Live'!AY272='check-Jul''26'!AU272,"",'1. Live'!AY272-'check-Jul''26'!AU272)</f>
        <v/>
      </c>
      <c r="AV254" s="25" t="str">
        <f>IF('1. Live'!AZ272='check-Jul''26'!AV272,"",'1. Live'!AZ272-'check-Jul''26'!AV272)</f>
        <v/>
      </c>
      <c r="AW254" s="25" t="str">
        <f>IF('1. Live'!BA272='check-Jul''26'!AW272,"",'1. Live'!BA272-'check-Jul''26'!AW272)</f>
        <v/>
      </c>
      <c r="AX254" s="25" t="str">
        <f>IF('1. Live'!BB272='check-Jul''26'!AX272,"",'1. Live'!BB272-'check-Jul''26'!AX272)</f>
        <v/>
      </c>
      <c r="AY254" s="25" t="str">
        <f>IF('1. Live'!BC272='check-Jul''26'!AY272,"",'1. Live'!BC272-'check-Jul''26'!AY272)</f>
        <v/>
      </c>
      <c r="AZ254" s="25" t="str">
        <f>IF('1. Live'!BD272='check-Jul''26'!AZ272,"",'1. Live'!BD272-'check-Jul''26'!AZ272)</f>
        <v/>
      </c>
      <c r="BA254" s="25" t="str">
        <f>IF('1. Live'!BE272='check-Jul''26'!BA272,"",'1. Live'!BE272-'check-Jul''26'!BA272)</f>
        <v/>
      </c>
      <c r="BB254" s="25" t="str">
        <f>IF('1. Live'!BF272='check-Jul''26'!BB272,"",'1. Live'!BF272-'check-Jul''26'!BB272)</f>
        <v/>
      </c>
      <c r="BC254" s="25" t="str">
        <f>IF('1. Live'!BG272='check-Jul''26'!BC272,"",'1. Live'!BG272-'check-Jul''26'!BC272)</f>
        <v/>
      </c>
      <c r="BD254" s="25" t="str">
        <f>IF('1. Live'!BH272='check-Jul''26'!BD272,"",'1. Live'!BH272-'check-Jul''26'!BD272)</f>
        <v/>
      </c>
      <c r="BE254" s="25" t="str">
        <f>IF('1. Live'!BI272='check-Jul''26'!BE272,"",'1. Live'!BI272-'check-Jul''26'!BE272)</f>
        <v/>
      </c>
      <c r="BF254" s="25" t="str">
        <f>IF('1. Live'!BJ272='check-Jul''26'!BF272,"",'1. Live'!BJ272-'check-Jul''26'!BF272)</f>
        <v/>
      </c>
      <c r="BG254" s="25" t="str">
        <f>IF('1. Live'!BK272='check-Jul''26'!BG272,"",'1. Live'!BK272-'check-Jul''26'!BG272)</f>
        <v/>
      </c>
      <c r="BH254" s="25" t="str">
        <f>IF('1. Live'!BL272='check-Jul''26'!BH272,"",'1. Live'!BL272-'check-Jul''26'!BH272)</f>
        <v/>
      </c>
      <c r="BI254" s="25" t="str">
        <f>IF('1. Live'!BM272='check-Jul''26'!BI272,"",'1. Live'!BM272-'check-Jul''26'!BI272)</f>
        <v/>
      </c>
      <c r="BJ254" s="25" t="str">
        <f>IF('1. Live'!BN272='check-Jul''26'!BJ272,"",'1. Live'!BN272-'check-Jul''26'!BJ272)</f>
        <v/>
      </c>
      <c r="BK254" s="25" t="str">
        <f>IF('1. Live'!BO272='check-Jul''26'!BK272,"",'1. Live'!BO272-'check-Jul''26'!BK272)</f>
        <v/>
      </c>
      <c r="BL254" s="25" t="str">
        <f>IF('1. Live'!BP272='check-Jul''26'!BL272,"",'1. Live'!BP272-'check-Jul''26'!BL272)</f>
        <v/>
      </c>
      <c r="BM254" s="25" t="str">
        <f>IF('1. Live'!BQ272='check-Jul''26'!BM272,"",'1. Live'!BQ272-'check-Jul''26'!BM272)</f>
        <v/>
      </c>
      <c r="BN254" s="25" t="str">
        <f>IF('1. Live'!BR272='check-Jul''26'!BN272,"",'1. Live'!BR272-'check-Jul''26'!BN272)</f>
        <v/>
      </c>
      <c r="BO254" s="25" t="str">
        <f>IF('1. Live'!BS272='check-Jul''26'!BO272,"",'1. Live'!BS272-'check-Jul''26'!BO272)</f>
        <v/>
      </c>
      <c r="BP254" s="25" t="str">
        <f>IF('1. Live'!BT272='check-Jul''26'!BP272,"",'1. Live'!BT272-'check-Jul''26'!BP272)</f>
        <v/>
      </c>
      <c r="BQ254" s="25" t="str">
        <f>IF('1. Live'!BU272='check-Jul''26'!BQ272,"",'1. Live'!BU272-'check-Jul''26'!BQ272)</f>
        <v/>
      </c>
      <c r="BR254" s="25" t="str">
        <f>IF('1. Live'!BV272='check-Jul''26'!BR272,"",'1. Live'!BV272-'check-Jul''26'!BR272)</f>
        <v/>
      </c>
      <c r="BS254" s="25" t="str">
        <f>IF('1. Live'!BW272='check-Jul''26'!BS272,"",'1. Live'!BW272-'check-Jul''26'!BS272)</f>
        <v/>
      </c>
      <c r="BT254" s="25" t="str">
        <f>IF('1. Live'!BX272='check-Jul''26'!BT272,"",'1. Live'!BX272-'check-Jul''26'!BT272)</f>
        <v/>
      </c>
      <c r="BU254" s="25" t="str">
        <f>IF('1. Live'!BY272='check-Jul''26'!BU272,"",'1. Live'!BY272-'check-Jul''26'!BU272)</f>
        <v/>
      </c>
      <c r="BV254" s="25" t="str">
        <f>IF('1. Live'!BZ272='check-Jul''26'!BV272,"",'1. Live'!BZ272-'check-Jul''26'!BV272)</f>
        <v/>
      </c>
      <c r="BW254" s="25" t="str">
        <f>IF('1. Live'!CA272='check-Jul''26'!BW272,"",'1. Live'!CA272-'check-Jul''26'!BW272)</f>
        <v/>
      </c>
      <c r="BX254" s="25" t="str">
        <f>IF('1. Live'!CB272='check-Jul''26'!BX272,"",'1. Live'!CB272-'check-Jul''26'!BX272)</f>
        <v/>
      </c>
      <c r="BY254" s="25" t="str">
        <f>IF('1. Live'!CC272='check-Jul''26'!BY272,"",'1. Live'!CC272-'check-Jul''26'!BY272)</f>
        <v/>
      </c>
      <c r="BZ254" s="25" t="str">
        <f>IF('1. Live'!CD272='check-Jul''26'!BZ272,"",'1. Live'!CD272-'check-Jul''26'!BZ272)</f>
        <v/>
      </c>
      <c r="CA254" s="25" t="str">
        <f>IF('1. Live'!CE272='check-Jul''26'!CA272,"",'1. Live'!CE272-'check-Jul''26'!CA272)</f>
        <v/>
      </c>
      <c r="CB254" s="25" t="str">
        <f>IF('1. Live'!CF272='check-Jul''26'!CB272,"",'1. Live'!CF272-'check-Jul''26'!CB272)</f>
        <v/>
      </c>
      <c r="CC254" s="25" t="str">
        <f>IF('1. Live'!CG272='check-Jul''26'!CC272,"",'1. Live'!CG272-'check-Jul''26'!CC272)</f>
        <v/>
      </c>
      <c r="CD254" s="25" t="str">
        <f>IF('1. Live'!CH272='check-Jul''26'!CD272,"",'1. Live'!CH272-'check-Jul''26'!CD272)</f>
        <v/>
      </c>
      <c r="CE254" s="25" t="str">
        <f>IF('1. Live'!CI272='check-Jul''26'!CE272,"",'1. Live'!CI272-'check-Jul''26'!CE272)</f>
        <v/>
      </c>
      <c r="CF254" s="25" t="str">
        <f>IF('1. Live'!CJ272='check-Jul''26'!CF272,"",'1. Live'!CJ272-'check-Jul''26'!CF272)</f>
        <v/>
      </c>
      <c r="CG254" s="25" t="str">
        <f>IF('1. Live'!CK272='check-Jul''26'!CG272,"",'1. Live'!CK272-'check-Jul''26'!CG272)</f>
        <v/>
      </c>
      <c r="CH254" s="25" t="str">
        <f>IF('1. Live'!CL272='check-Jul''26'!CH272,"",'1. Live'!CL272-'check-Jul''26'!CH272)</f>
        <v/>
      </c>
      <c r="CI254" s="25" t="str">
        <f>IF('1. Live'!CM272='check-Jul''26'!CI272,"",'1. Live'!CM272-'check-Jul''26'!CI272)</f>
        <v/>
      </c>
      <c r="CJ254" s="25" t="str">
        <f>IF('1. Live'!CN272='check-Jul''26'!CJ272,"",'1. Live'!CN272-'check-Jul''26'!CJ272)</f>
        <v/>
      </c>
      <c r="CK254" s="25" t="str">
        <f>IF('1. Live'!CO272='check-Jul''26'!CK272,"",'1. Live'!CO272-'check-Jul''26'!CK272)</f>
        <v/>
      </c>
      <c r="CL254" s="25" t="str">
        <f>IF('1. Live'!CP272='check-Jul''26'!CL272,"",'1. Live'!CP272-'check-Jul''26'!CL272)</f>
        <v/>
      </c>
      <c r="CM254" s="25" t="str">
        <f>IF('1. Live'!CQ272='check-Jul''26'!CM272,"",'1. Live'!CQ272-'check-Jul''26'!CM272)</f>
        <v/>
      </c>
      <c r="CN254" s="25" t="str">
        <f>IF('1. Live'!CR272='check-Jul''26'!CN272,"",'1. Live'!CR272-'check-Jul''26'!CN272)</f>
        <v/>
      </c>
      <c r="CO254" s="25" t="str">
        <f>IF('1. Live'!CS272='check-Jul''26'!CO272,"",'1. Live'!CS272-'check-Jul''26'!CO272)</f>
        <v/>
      </c>
      <c r="CP254" s="25" t="str">
        <f>IF('1. Live'!CT272='check-Jul''26'!CP272,"",'1. Live'!CT272-'check-Jul''26'!CP272)</f>
        <v/>
      </c>
      <c r="CQ254" s="25" t="str">
        <f>IF('1. Live'!CU272='check-Jul''26'!CQ272,"",'1. Live'!CU272-'check-Jul''26'!CQ272)</f>
        <v/>
      </c>
      <c r="CR254" s="25" t="str">
        <f>IF('1. Live'!CV272='check-Jul''26'!CR272,"",'1. Live'!CV272-'check-Jul''26'!CR272)</f>
        <v/>
      </c>
      <c r="CS254" s="25" t="str">
        <f>IF('1. Live'!CW272='check-Jul''26'!CS272,"",'1. Live'!CW272-'check-Jul''26'!CS272)</f>
        <v/>
      </c>
      <c r="CT254" s="25" t="str">
        <f>IF('1. Live'!CX272='check-Jul''26'!CT272,"",'1. Live'!CX272-'check-Jul''26'!CT272)</f>
        <v/>
      </c>
      <c r="CU254" s="25" t="str">
        <f>IF('1. Live'!CY272='check-Jul''26'!CU272,"",'1. Live'!CY272-'check-Jul''26'!CU272)</f>
        <v/>
      </c>
      <c r="CV254" s="25" t="str">
        <f>IF('1. Live'!CZ272='check-Jul''26'!CV272,"",'1. Live'!CZ272-'check-Jul''26'!CV272)</f>
        <v/>
      </c>
    </row>
    <row r="255" spans="17:100" x14ac:dyDescent="0.25">
      <c r="Q255" s="26" t="str">
        <f>IF('1. Live'!N273='check-Jul''26'!I273,"",'1. Live'!N273-'check-Jul''26'!I273)</f>
        <v/>
      </c>
      <c r="R255" s="26" t="str">
        <f>IF('1. Live'!O273='check-Jul''26'!J273,"",'1. Live'!O273-'check-Jul''26'!J273)</f>
        <v/>
      </c>
      <c r="S255" s="26" t="str">
        <f>IF('1. Live'!P273='check-Jul''26'!K273,"",'1. Live'!P273-'check-Jul''26'!K273)</f>
        <v/>
      </c>
      <c r="T255" s="26" t="str">
        <f>IF('1. Live'!Q273='check-Jul''26'!L273,"",'1. Live'!Q273-'check-Jul''26'!L273)</f>
        <v/>
      </c>
      <c r="U255" s="80" t="str">
        <f>IF('1. Live'!R273='check-Jul''26'!M273,"",'1. Live'!R273-'check-Jul''26'!M273)</f>
        <v/>
      </c>
      <c r="V255" s="26" t="str">
        <f>IF('1. Live'!S273='check-Jul''26'!N273,"",'1. Live'!S273-'check-Jul''26'!N273)</f>
        <v/>
      </c>
      <c r="W255" s="25" t="str">
        <f>IF('1. Live'!T273='check-Jul''26'!O273,"",'1. Live'!T273-'check-Jul''26'!O273)</f>
        <v/>
      </c>
      <c r="X255" s="25" t="str">
        <f>IF('1. Live'!U273='check-Jul''26'!Q273,"",'1. Live'!U273-'check-Jul''26'!Q273)</f>
        <v/>
      </c>
      <c r="Y255" s="25" t="str">
        <f>IF('1. Live'!V273='check-Jul''26'!R273,"",'1. Live'!V273-'check-Jul''26'!R273)</f>
        <v/>
      </c>
      <c r="Z255" s="25" t="str">
        <f>IF('1. Live'!W273='check-Jul''26'!S273,"",'1. Live'!W273-'check-Jul''26'!S273)</f>
        <v/>
      </c>
      <c r="AA255" s="25" t="str">
        <f>IF('1. Live'!X273='check-Jul''26'!T273,"",'1. Live'!X273-'check-Jul''26'!T273)</f>
        <v/>
      </c>
      <c r="AB255" s="25" t="str">
        <f>IF('1. Live'!AF273='check-Jul''26'!AB273,"",'1. Live'!AF273-'check-Jul''26'!AB273)</f>
        <v/>
      </c>
      <c r="AC255" s="25" t="str">
        <f>IF('1. Live'!AG273='check-Jul''26'!AC273,"",'1. Live'!AG273-'check-Jul''26'!AC273)</f>
        <v/>
      </c>
      <c r="AD255" s="25" t="str">
        <f>IF('1. Live'!AH273='check-Jul''26'!AD273,"",'1. Live'!AH273-'check-Jul''26'!AD273)</f>
        <v/>
      </c>
      <c r="AE255" s="25" t="str">
        <f>IF('1. Live'!AI273='check-Jul''26'!AE273,"",'1. Live'!AI273-'check-Jul''26'!AE273)</f>
        <v/>
      </c>
      <c r="AF255" s="25" t="str">
        <f>IF('1. Live'!AJ273='check-Jul''26'!AF273,"",'1. Live'!AJ273-'check-Jul''26'!AF273)</f>
        <v/>
      </c>
      <c r="AG255" s="25" t="str">
        <f>IF('1. Live'!AK273='check-Jul''26'!AG273,"",'1. Live'!AK273-'check-Jul''26'!AG273)</f>
        <v/>
      </c>
      <c r="AH255" s="25" t="str">
        <f>IF('1. Live'!AL273='check-Jul''26'!AH273,"",'1. Live'!AL273-'check-Jul''26'!AH273)</f>
        <v/>
      </c>
      <c r="AI255" s="25" t="str">
        <f>IF('1. Live'!AM273='check-Jul''26'!AI273,"",'1. Live'!AM273-'check-Jul''26'!AI273)</f>
        <v/>
      </c>
      <c r="AJ255" s="25" t="str">
        <f>IF('1. Live'!AN273='check-Jul''26'!AJ273,"",'1. Live'!AN273-'check-Jul''26'!AJ273)</f>
        <v/>
      </c>
      <c r="AK255" s="25" t="str">
        <f>IF('1. Live'!AO273='check-Jul''26'!AK273,"",'1. Live'!AO273-'check-Jul''26'!AK273)</f>
        <v/>
      </c>
      <c r="AL255" s="25" t="str">
        <f>IF('1. Live'!AP273='check-Jul''26'!AL273,"",'1. Live'!AP273-'check-Jul''26'!AL273)</f>
        <v/>
      </c>
      <c r="AM255" s="25" t="str">
        <f>IF('1. Live'!AQ273='check-Jul''26'!AM273,"",'1. Live'!AQ273-'check-Jul''26'!AM273)</f>
        <v/>
      </c>
      <c r="AN255" s="25" t="str">
        <f>IF('1. Live'!AR273='check-Jul''26'!AN273,"",'1. Live'!AR273-'check-Jul''26'!AN273)</f>
        <v/>
      </c>
      <c r="AO255" s="25" t="str">
        <f>IF('1. Live'!AS273='check-Jul''26'!AO273,"",'1. Live'!AS273-'check-Jul''26'!AO273)</f>
        <v/>
      </c>
      <c r="AP255" s="25" t="str">
        <f>IF('1. Live'!AT273='check-Jul''26'!AP273,"",'1. Live'!AT273-'check-Jul''26'!AP273)</f>
        <v/>
      </c>
      <c r="AQ255" s="25" t="str">
        <f>IF('1. Live'!AU273='check-Jul''26'!AQ273,"",'1. Live'!AU273-'check-Jul''26'!AQ273)</f>
        <v/>
      </c>
      <c r="AR255" s="25" t="str">
        <f>IF('1. Live'!AV273='check-Jul''26'!AR273,"",'1. Live'!AV273-'check-Jul''26'!AR273)</f>
        <v/>
      </c>
      <c r="AS255" s="25" t="str">
        <f>IF('1. Live'!AW273='check-Jul''26'!AS273,"",'1. Live'!AW273-'check-Jul''26'!AS273)</f>
        <v/>
      </c>
      <c r="AT255" s="25" t="str">
        <f>IF('1. Live'!AX273='check-Jul''26'!AT273,"",'1. Live'!AX273-'check-Jul''26'!AT273)</f>
        <v/>
      </c>
      <c r="AU255" s="25" t="str">
        <f>IF('1. Live'!AY273='check-Jul''26'!AU273,"",'1. Live'!AY273-'check-Jul''26'!AU273)</f>
        <v/>
      </c>
      <c r="AV255" s="25" t="str">
        <f>IF('1. Live'!AZ273='check-Jul''26'!AV273,"",'1. Live'!AZ273-'check-Jul''26'!AV273)</f>
        <v/>
      </c>
      <c r="AW255" s="25" t="str">
        <f>IF('1. Live'!BA273='check-Jul''26'!AW273,"",'1. Live'!BA273-'check-Jul''26'!AW273)</f>
        <v/>
      </c>
      <c r="AX255" s="25" t="str">
        <f>IF('1. Live'!BB273='check-Jul''26'!AX273,"",'1. Live'!BB273-'check-Jul''26'!AX273)</f>
        <v/>
      </c>
      <c r="AY255" s="25" t="str">
        <f>IF('1. Live'!BC273='check-Jul''26'!AY273,"",'1. Live'!BC273-'check-Jul''26'!AY273)</f>
        <v/>
      </c>
      <c r="AZ255" s="25" t="str">
        <f>IF('1. Live'!BD273='check-Jul''26'!AZ273,"",'1. Live'!BD273-'check-Jul''26'!AZ273)</f>
        <v/>
      </c>
      <c r="BA255" s="25" t="str">
        <f>IF('1. Live'!BE273='check-Jul''26'!BA273,"",'1. Live'!BE273-'check-Jul''26'!BA273)</f>
        <v/>
      </c>
      <c r="BB255" s="25" t="str">
        <f>IF('1. Live'!BF273='check-Jul''26'!BB273,"",'1. Live'!BF273-'check-Jul''26'!BB273)</f>
        <v/>
      </c>
      <c r="BC255" s="25" t="str">
        <f>IF('1. Live'!BG273='check-Jul''26'!BC273,"",'1. Live'!BG273-'check-Jul''26'!BC273)</f>
        <v/>
      </c>
      <c r="BD255" s="25" t="str">
        <f>IF('1. Live'!BH273='check-Jul''26'!BD273,"",'1. Live'!BH273-'check-Jul''26'!BD273)</f>
        <v/>
      </c>
      <c r="BE255" s="25" t="str">
        <f>IF('1. Live'!BI273='check-Jul''26'!BE273,"",'1. Live'!BI273-'check-Jul''26'!BE273)</f>
        <v/>
      </c>
      <c r="BF255" s="25" t="str">
        <f>IF('1. Live'!BJ273='check-Jul''26'!BF273,"",'1. Live'!BJ273-'check-Jul''26'!BF273)</f>
        <v/>
      </c>
      <c r="BG255" s="25" t="str">
        <f>IF('1. Live'!BK273='check-Jul''26'!BG273,"",'1. Live'!BK273-'check-Jul''26'!BG273)</f>
        <v/>
      </c>
      <c r="BH255" s="25" t="str">
        <f>IF('1. Live'!BL273='check-Jul''26'!BH273,"",'1. Live'!BL273-'check-Jul''26'!BH273)</f>
        <v/>
      </c>
      <c r="BI255" s="25" t="str">
        <f>IF('1. Live'!BM273='check-Jul''26'!BI273,"",'1. Live'!BM273-'check-Jul''26'!BI273)</f>
        <v/>
      </c>
      <c r="BJ255" s="25" t="str">
        <f>IF('1. Live'!BN273='check-Jul''26'!BJ273,"",'1. Live'!BN273-'check-Jul''26'!BJ273)</f>
        <v/>
      </c>
      <c r="BK255" s="25" t="str">
        <f>IF('1. Live'!BO273='check-Jul''26'!BK273,"",'1. Live'!BO273-'check-Jul''26'!BK273)</f>
        <v/>
      </c>
      <c r="BL255" s="25" t="str">
        <f>IF('1. Live'!BP273='check-Jul''26'!BL273,"",'1. Live'!BP273-'check-Jul''26'!BL273)</f>
        <v/>
      </c>
      <c r="BM255" s="25" t="str">
        <f>IF('1. Live'!BQ273='check-Jul''26'!BM273,"",'1. Live'!BQ273-'check-Jul''26'!BM273)</f>
        <v/>
      </c>
      <c r="BN255" s="25" t="str">
        <f>IF('1. Live'!BR273='check-Jul''26'!BN273,"",'1. Live'!BR273-'check-Jul''26'!BN273)</f>
        <v/>
      </c>
      <c r="BO255" s="25" t="str">
        <f>IF('1. Live'!BS273='check-Jul''26'!BO273,"",'1. Live'!BS273-'check-Jul''26'!BO273)</f>
        <v/>
      </c>
      <c r="BP255" s="25" t="str">
        <f>IF('1. Live'!BT273='check-Jul''26'!BP273,"",'1. Live'!BT273-'check-Jul''26'!BP273)</f>
        <v/>
      </c>
      <c r="BQ255" s="25" t="str">
        <f>IF('1. Live'!BU273='check-Jul''26'!BQ273,"",'1. Live'!BU273-'check-Jul''26'!BQ273)</f>
        <v/>
      </c>
      <c r="BR255" s="25" t="str">
        <f>IF('1. Live'!BV273='check-Jul''26'!BR273,"",'1. Live'!BV273-'check-Jul''26'!BR273)</f>
        <v/>
      </c>
      <c r="BS255" s="25" t="str">
        <f>IF('1. Live'!BW273='check-Jul''26'!BS273,"",'1. Live'!BW273-'check-Jul''26'!BS273)</f>
        <v/>
      </c>
      <c r="BT255" s="25" t="str">
        <f>IF('1. Live'!BX273='check-Jul''26'!BT273,"",'1. Live'!BX273-'check-Jul''26'!BT273)</f>
        <v/>
      </c>
      <c r="BU255" s="25" t="str">
        <f>IF('1. Live'!BY273='check-Jul''26'!BU273,"",'1. Live'!BY273-'check-Jul''26'!BU273)</f>
        <v/>
      </c>
      <c r="BV255" s="25" t="str">
        <f>IF('1. Live'!BZ273='check-Jul''26'!BV273,"",'1. Live'!BZ273-'check-Jul''26'!BV273)</f>
        <v/>
      </c>
      <c r="BW255" s="25" t="str">
        <f>IF('1. Live'!CA273='check-Jul''26'!BW273,"",'1. Live'!CA273-'check-Jul''26'!BW273)</f>
        <v/>
      </c>
      <c r="BX255" s="25" t="str">
        <f>IF('1. Live'!CB273='check-Jul''26'!BX273,"",'1. Live'!CB273-'check-Jul''26'!BX273)</f>
        <v/>
      </c>
      <c r="BY255" s="25" t="str">
        <f>IF('1. Live'!CC273='check-Jul''26'!BY273,"",'1. Live'!CC273-'check-Jul''26'!BY273)</f>
        <v/>
      </c>
      <c r="BZ255" s="25" t="str">
        <f>IF('1. Live'!CD273='check-Jul''26'!BZ273,"",'1. Live'!CD273-'check-Jul''26'!BZ273)</f>
        <v/>
      </c>
      <c r="CA255" s="25" t="str">
        <f>IF('1. Live'!CE273='check-Jul''26'!CA273,"",'1. Live'!CE273-'check-Jul''26'!CA273)</f>
        <v/>
      </c>
      <c r="CB255" s="25" t="str">
        <f>IF('1. Live'!CF273='check-Jul''26'!CB273,"",'1. Live'!CF273-'check-Jul''26'!CB273)</f>
        <v/>
      </c>
      <c r="CC255" s="25" t="str">
        <f>IF('1. Live'!CG273='check-Jul''26'!CC273,"",'1. Live'!CG273-'check-Jul''26'!CC273)</f>
        <v/>
      </c>
      <c r="CD255" s="25" t="str">
        <f>IF('1. Live'!CH273='check-Jul''26'!CD273,"",'1. Live'!CH273-'check-Jul''26'!CD273)</f>
        <v/>
      </c>
      <c r="CE255" s="25" t="str">
        <f>IF('1. Live'!CI273='check-Jul''26'!CE273,"",'1. Live'!CI273-'check-Jul''26'!CE273)</f>
        <v/>
      </c>
      <c r="CF255" s="25" t="str">
        <f>IF('1. Live'!CJ273='check-Jul''26'!CF273,"",'1. Live'!CJ273-'check-Jul''26'!CF273)</f>
        <v/>
      </c>
      <c r="CG255" s="25" t="str">
        <f>IF('1. Live'!CK273='check-Jul''26'!CG273,"",'1. Live'!CK273-'check-Jul''26'!CG273)</f>
        <v/>
      </c>
      <c r="CH255" s="25" t="str">
        <f>IF('1. Live'!CL273='check-Jul''26'!CH273,"",'1. Live'!CL273-'check-Jul''26'!CH273)</f>
        <v/>
      </c>
      <c r="CI255" s="25" t="str">
        <f>IF('1. Live'!CM273='check-Jul''26'!CI273,"",'1. Live'!CM273-'check-Jul''26'!CI273)</f>
        <v/>
      </c>
      <c r="CJ255" s="25" t="str">
        <f>IF('1. Live'!CN273='check-Jul''26'!CJ273,"",'1. Live'!CN273-'check-Jul''26'!CJ273)</f>
        <v/>
      </c>
      <c r="CK255" s="25" t="str">
        <f>IF('1. Live'!CO273='check-Jul''26'!CK273,"",'1. Live'!CO273-'check-Jul''26'!CK273)</f>
        <v/>
      </c>
      <c r="CL255" s="25" t="str">
        <f>IF('1. Live'!CP273='check-Jul''26'!CL273,"",'1. Live'!CP273-'check-Jul''26'!CL273)</f>
        <v/>
      </c>
      <c r="CM255" s="25" t="str">
        <f>IF('1. Live'!CQ273='check-Jul''26'!CM273,"",'1. Live'!CQ273-'check-Jul''26'!CM273)</f>
        <v/>
      </c>
      <c r="CN255" s="25" t="str">
        <f>IF('1. Live'!CR273='check-Jul''26'!CN273,"",'1. Live'!CR273-'check-Jul''26'!CN273)</f>
        <v/>
      </c>
      <c r="CO255" s="25" t="str">
        <f>IF('1. Live'!CS273='check-Jul''26'!CO273,"",'1. Live'!CS273-'check-Jul''26'!CO273)</f>
        <v/>
      </c>
      <c r="CP255" s="25" t="str">
        <f>IF('1. Live'!CT273='check-Jul''26'!CP273,"",'1. Live'!CT273-'check-Jul''26'!CP273)</f>
        <v/>
      </c>
      <c r="CQ255" s="25" t="str">
        <f>IF('1. Live'!CU273='check-Jul''26'!CQ273,"",'1. Live'!CU273-'check-Jul''26'!CQ273)</f>
        <v/>
      </c>
      <c r="CR255" s="25" t="str">
        <f>IF('1. Live'!CV273='check-Jul''26'!CR273,"",'1. Live'!CV273-'check-Jul''26'!CR273)</f>
        <v/>
      </c>
      <c r="CS255" s="25" t="str">
        <f>IF('1. Live'!CW273='check-Jul''26'!CS273,"",'1. Live'!CW273-'check-Jul''26'!CS273)</f>
        <v/>
      </c>
      <c r="CT255" s="25" t="str">
        <f>IF('1. Live'!CX273='check-Jul''26'!CT273,"",'1. Live'!CX273-'check-Jul''26'!CT273)</f>
        <v/>
      </c>
      <c r="CU255" s="25" t="str">
        <f>IF('1. Live'!CY273='check-Jul''26'!CU273,"",'1. Live'!CY273-'check-Jul''26'!CU273)</f>
        <v/>
      </c>
      <c r="CV255" s="25" t="str">
        <f>IF('1. Live'!CZ273='check-Jul''26'!CV273,"",'1. Live'!CZ273-'check-Jul''26'!CV273)</f>
        <v/>
      </c>
    </row>
    <row r="256" spans="17:100" x14ac:dyDescent="0.25">
      <c r="Q256" s="26" t="str">
        <f>IF('1. Live'!N274='check-Jul''26'!I274,"",'1. Live'!N274-'check-Jul''26'!I274)</f>
        <v/>
      </c>
      <c r="R256" s="26" t="str">
        <f>IF('1. Live'!O274='check-Jul''26'!J274,"",'1. Live'!O274-'check-Jul''26'!J274)</f>
        <v/>
      </c>
      <c r="S256" s="26" t="str">
        <f>IF('1. Live'!P274='check-Jul''26'!K274,"",'1. Live'!P274-'check-Jul''26'!K274)</f>
        <v/>
      </c>
      <c r="T256" s="26" t="str">
        <f>IF('1. Live'!Q274='check-Jul''26'!L274,"",'1. Live'!Q274-'check-Jul''26'!L274)</f>
        <v/>
      </c>
      <c r="U256" s="80" t="str">
        <f>IF('1. Live'!R274='check-Jul''26'!M274,"",'1. Live'!R274-'check-Jul''26'!M274)</f>
        <v/>
      </c>
      <c r="V256" s="26" t="str">
        <f>IF('1. Live'!S274='check-Jul''26'!N274,"",'1. Live'!S274-'check-Jul''26'!N274)</f>
        <v/>
      </c>
      <c r="W256" s="25" t="str">
        <f>IF('1. Live'!T274='check-Jul''26'!O274,"",'1. Live'!T274-'check-Jul''26'!O274)</f>
        <v/>
      </c>
      <c r="X256" s="25" t="str">
        <f>IF('1. Live'!U274='check-Jul''26'!Q274,"",'1. Live'!U274-'check-Jul''26'!Q274)</f>
        <v/>
      </c>
      <c r="Y256" s="25" t="str">
        <f>IF('1. Live'!V274='check-Jul''26'!R274,"",'1. Live'!V274-'check-Jul''26'!R274)</f>
        <v/>
      </c>
      <c r="Z256" s="25" t="str">
        <f>IF('1. Live'!W274='check-Jul''26'!S274,"",'1. Live'!W274-'check-Jul''26'!S274)</f>
        <v/>
      </c>
      <c r="AA256" s="25" t="str">
        <f>IF('1. Live'!X274='check-Jul''26'!T274,"",'1. Live'!X274-'check-Jul''26'!T274)</f>
        <v/>
      </c>
      <c r="AB256" s="25" t="str">
        <f>IF('1. Live'!AF274='check-Jul''26'!AB274,"",'1. Live'!AF274-'check-Jul''26'!AB274)</f>
        <v/>
      </c>
      <c r="AC256" s="25" t="str">
        <f>IF('1. Live'!AG274='check-Jul''26'!AC274,"",'1. Live'!AG274-'check-Jul''26'!AC274)</f>
        <v/>
      </c>
      <c r="AD256" s="25" t="str">
        <f>IF('1. Live'!AH274='check-Jul''26'!AD274,"",'1. Live'!AH274-'check-Jul''26'!AD274)</f>
        <v/>
      </c>
      <c r="AE256" s="25" t="str">
        <f>IF('1. Live'!AI274='check-Jul''26'!AE274,"",'1. Live'!AI274-'check-Jul''26'!AE274)</f>
        <v/>
      </c>
      <c r="AF256" s="25" t="str">
        <f>IF('1. Live'!AJ274='check-Jul''26'!AF274,"",'1. Live'!AJ274-'check-Jul''26'!AF274)</f>
        <v/>
      </c>
      <c r="AG256" s="25" t="str">
        <f>IF('1. Live'!AK274='check-Jul''26'!AG274,"",'1. Live'!AK274-'check-Jul''26'!AG274)</f>
        <v/>
      </c>
      <c r="AH256" s="25" t="str">
        <f>IF('1. Live'!AL274='check-Jul''26'!AH274,"",'1. Live'!AL274-'check-Jul''26'!AH274)</f>
        <v/>
      </c>
      <c r="AI256" s="25" t="str">
        <f>IF('1. Live'!AM274='check-Jul''26'!AI274,"",'1. Live'!AM274-'check-Jul''26'!AI274)</f>
        <v/>
      </c>
      <c r="AJ256" s="25" t="str">
        <f>IF('1. Live'!AN274='check-Jul''26'!AJ274,"",'1. Live'!AN274-'check-Jul''26'!AJ274)</f>
        <v/>
      </c>
      <c r="AK256" s="25" t="str">
        <f>IF('1. Live'!AO274='check-Jul''26'!AK274,"",'1. Live'!AO274-'check-Jul''26'!AK274)</f>
        <v/>
      </c>
      <c r="AL256" s="25" t="str">
        <f>IF('1. Live'!AP274='check-Jul''26'!AL274,"",'1. Live'!AP274-'check-Jul''26'!AL274)</f>
        <v/>
      </c>
      <c r="AM256" s="25" t="str">
        <f>IF('1. Live'!AQ274='check-Jul''26'!AM274,"",'1. Live'!AQ274-'check-Jul''26'!AM274)</f>
        <v/>
      </c>
      <c r="AN256" s="25" t="str">
        <f>IF('1. Live'!AR274='check-Jul''26'!AN274,"",'1. Live'!AR274-'check-Jul''26'!AN274)</f>
        <v/>
      </c>
      <c r="AO256" s="25" t="str">
        <f>IF('1. Live'!AS274='check-Jul''26'!AO274,"",'1. Live'!AS274-'check-Jul''26'!AO274)</f>
        <v/>
      </c>
      <c r="AP256" s="25" t="str">
        <f>IF('1. Live'!AT274='check-Jul''26'!AP274,"",'1. Live'!AT274-'check-Jul''26'!AP274)</f>
        <v/>
      </c>
      <c r="AQ256" s="25" t="str">
        <f>IF('1. Live'!AU274='check-Jul''26'!AQ274,"",'1. Live'!AU274-'check-Jul''26'!AQ274)</f>
        <v/>
      </c>
      <c r="AR256" s="25" t="str">
        <f>IF('1. Live'!AV274='check-Jul''26'!AR274,"",'1. Live'!AV274-'check-Jul''26'!AR274)</f>
        <v/>
      </c>
      <c r="AS256" s="25" t="str">
        <f>IF('1. Live'!AW274='check-Jul''26'!AS274,"",'1. Live'!AW274-'check-Jul''26'!AS274)</f>
        <v/>
      </c>
      <c r="AT256" s="25" t="str">
        <f>IF('1. Live'!AX274='check-Jul''26'!AT274,"",'1. Live'!AX274-'check-Jul''26'!AT274)</f>
        <v/>
      </c>
      <c r="AU256" s="25" t="str">
        <f>IF('1. Live'!AY274='check-Jul''26'!AU274,"",'1. Live'!AY274-'check-Jul''26'!AU274)</f>
        <v/>
      </c>
      <c r="AV256" s="25" t="str">
        <f>IF('1. Live'!AZ274='check-Jul''26'!AV274,"",'1. Live'!AZ274-'check-Jul''26'!AV274)</f>
        <v/>
      </c>
      <c r="AW256" s="25" t="str">
        <f>IF('1. Live'!BA274='check-Jul''26'!AW274,"",'1. Live'!BA274-'check-Jul''26'!AW274)</f>
        <v/>
      </c>
      <c r="AX256" s="25" t="str">
        <f>IF('1. Live'!BB274='check-Jul''26'!AX274,"",'1. Live'!BB274-'check-Jul''26'!AX274)</f>
        <v/>
      </c>
      <c r="AY256" s="25" t="str">
        <f>IF('1. Live'!BC274='check-Jul''26'!AY274,"",'1. Live'!BC274-'check-Jul''26'!AY274)</f>
        <v/>
      </c>
      <c r="AZ256" s="25" t="str">
        <f>IF('1. Live'!BD274='check-Jul''26'!AZ274,"",'1. Live'!BD274-'check-Jul''26'!AZ274)</f>
        <v/>
      </c>
      <c r="BA256" s="25" t="str">
        <f>IF('1. Live'!BE274='check-Jul''26'!BA274,"",'1. Live'!BE274-'check-Jul''26'!BA274)</f>
        <v/>
      </c>
      <c r="BB256" s="25" t="str">
        <f>IF('1. Live'!BF274='check-Jul''26'!BB274,"",'1. Live'!BF274-'check-Jul''26'!BB274)</f>
        <v/>
      </c>
      <c r="BC256" s="25" t="str">
        <f>IF('1. Live'!BG274='check-Jul''26'!BC274,"",'1. Live'!BG274-'check-Jul''26'!BC274)</f>
        <v/>
      </c>
      <c r="BD256" s="25" t="str">
        <f>IF('1. Live'!BH274='check-Jul''26'!BD274,"",'1. Live'!BH274-'check-Jul''26'!BD274)</f>
        <v/>
      </c>
      <c r="BE256" s="25" t="str">
        <f>IF('1. Live'!BI274='check-Jul''26'!BE274,"",'1. Live'!BI274-'check-Jul''26'!BE274)</f>
        <v/>
      </c>
      <c r="BF256" s="25" t="str">
        <f>IF('1. Live'!BJ274='check-Jul''26'!BF274,"",'1. Live'!BJ274-'check-Jul''26'!BF274)</f>
        <v/>
      </c>
      <c r="BG256" s="25" t="str">
        <f>IF('1. Live'!BK274='check-Jul''26'!BG274,"",'1. Live'!BK274-'check-Jul''26'!BG274)</f>
        <v/>
      </c>
      <c r="BH256" s="25" t="str">
        <f>IF('1. Live'!BL274='check-Jul''26'!BH274,"",'1. Live'!BL274-'check-Jul''26'!BH274)</f>
        <v/>
      </c>
      <c r="BI256" s="25" t="str">
        <f>IF('1. Live'!BM274='check-Jul''26'!BI274,"",'1. Live'!BM274-'check-Jul''26'!BI274)</f>
        <v/>
      </c>
      <c r="BJ256" s="25" t="str">
        <f>IF('1. Live'!BN274='check-Jul''26'!BJ274,"",'1. Live'!BN274-'check-Jul''26'!BJ274)</f>
        <v/>
      </c>
      <c r="BK256" s="25" t="str">
        <f>IF('1. Live'!BO274='check-Jul''26'!BK274,"",'1. Live'!BO274-'check-Jul''26'!BK274)</f>
        <v/>
      </c>
      <c r="BL256" s="25" t="str">
        <f>IF('1. Live'!BP274='check-Jul''26'!BL274,"",'1. Live'!BP274-'check-Jul''26'!BL274)</f>
        <v/>
      </c>
      <c r="BM256" s="25" t="str">
        <f>IF('1. Live'!BQ274='check-Jul''26'!BM274,"",'1. Live'!BQ274-'check-Jul''26'!BM274)</f>
        <v/>
      </c>
      <c r="BN256" s="25" t="str">
        <f>IF('1. Live'!BR274='check-Jul''26'!BN274,"",'1. Live'!BR274-'check-Jul''26'!BN274)</f>
        <v/>
      </c>
      <c r="BO256" s="25" t="str">
        <f>IF('1. Live'!BS274='check-Jul''26'!BO274,"",'1. Live'!BS274-'check-Jul''26'!BO274)</f>
        <v/>
      </c>
      <c r="BP256" s="25" t="str">
        <f>IF('1. Live'!BT274='check-Jul''26'!BP274,"",'1. Live'!BT274-'check-Jul''26'!BP274)</f>
        <v/>
      </c>
      <c r="BQ256" s="25" t="str">
        <f>IF('1. Live'!BU274='check-Jul''26'!BQ274,"",'1. Live'!BU274-'check-Jul''26'!BQ274)</f>
        <v/>
      </c>
      <c r="BR256" s="25" t="str">
        <f>IF('1. Live'!BV274='check-Jul''26'!BR274,"",'1. Live'!BV274-'check-Jul''26'!BR274)</f>
        <v/>
      </c>
      <c r="BS256" s="25" t="str">
        <f>IF('1. Live'!BW274='check-Jul''26'!BS274,"",'1. Live'!BW274-'check-Jul''26'!BS274)</f>
        <v/>
      </c>
      <c r="BT256" s="25" t="str">
        <f>IF('1. Live'!BX274='check-Jul''26'!BT274,"",'1. Live'!BX274-'check-Jul''26'!BT274)</f>
        <v/>
      </c>
      <c r="BU256" s="25" t="str">
        <f>IF('1. Live'!BY274='check-Jul''26'!BU274,"",'1. Live'!BY274-'check-Jul''26'!BU274)</f>
        <v/>
      </c>
      <c r="BV256" s="25" t="str">
        <f>IF('1. Live'!BZ274='check-Jul''26'!BV274,"",'1. Live'!BZ274-'check-Jul''26'!BV274)</f>
        <v/>
      </c>
      <c r="BW256" s="25" t="str">
        <f>IF('1. Live'!CA274='check-Jul''26'!BW274,"",'1. Live'!CA274-'check-Jul''26'!BW274)</f>
        <v/>
      </c>
      <c r="BX256" s="25" t="str">
        <f>IF('1. Live'!CB274='check-Jul''26'!BX274,"",'1. Live'!CB274-'check-Jul''26'!BX274)</f>
        <v/>
      </c>
      <c r="BY256" s="25" t="str">
        <f>IF('1. Live'!CC274='check-Jul''26'!BY274,"",'1. Live'!CC274-'check-Jul''26'!BY274)</f>
        <v/>
      </c>
      <c r="BZ256" s="25" t="str">
        <f>IF('1. Live'!CD274='check-Jul''26'!BZ274,"",'1. Live'!CD274-'check-Jul''26'!BZ274)</f>
        <v/>
      </c>
      <c r="CA256" s="25" t="str">
        <f>IF('1. Live'!CE274='check-Jul''26'!CA274,"",'1. Live'!CE274-'check-Jul''26'!CA274)</f>
        <v/>
      </c>
      <c r="CB256" s="25" t="str">
        <f>IF('1. Live'!CF274='check-Jul''26'!CB274,"",'1. Live'!CF274-'check-Jul''26'!CB274)</f>
        <v/>
      </c>
      <c r="CC256" s="25" t="str">
        <f>IF('1. Live'!CG274='check-Jul''26'!CC274,"",'1. Live'!CG274-'check-Jul''26'!CC274)</f>
        <v/>
      </c>
      <c r="CD256" s="25" t="str">
        <f>IF('1. Live'!CH274='check-Jul''26'!CD274,"",'1. Live'!CH274-'check-Jul''26'!CD274)</f>
        <v/>
      </c>
      <c r="CE256" s="25" t="str">
        <f>IF('1. Live'!CI274='check-Jul''26'!CE274,"",'1. Live'!CI274-'check-Jul''26'!CE274)</f>
        <v/>
      </c>
      <c r="CF256" s="25" t="str">
        <f>IF('1. Live'!CJ274='check-Jul''26'!CF274,"",'1. Live'!CJ274-'check-Jul''26'!CF274)</f>
        <v/>
      </c>
      <c r="CG256" s="25" t="str">
        <f>IF('1. Live'!CK274='check-Jul''26'!CG274,"",'1. Live'!CK274-'check-Jul''26'!CG274)</f>
        <v/>
      </c>
      <c r="CH256" s="25" t="str">
        <f>IF('1. Live'!CL274='check-Jul''26'!CH274,"",'1. Live'!CL274-'check-Jul''26'!CH274)</f>
        <v/>
      </c>
      <c r="CI256" s="25" t="str">
        <f>IF('1. Live'!CM274='check-Jul''26'!CI274,"",'1. Live'!CM274-'check-Jul''26'!CI274)</f>
        <v/>
      </c>
      <c r="CJ256" s="25" t="str">
        <f>IF('1. Live'!CN274='check-Jul''26'!CJ274,"",'1. Live'!CN274-'check-Jul''26'!CJ274)</f>
        <v/>
      </c>
      <c r="CK256" s="25" t="str">
        <f>IF('1. Live'!CO274='check-Jul''26'!CK274,"",'1. Live'!CO274-'check-Jul''26'!CK274)</f>
        <v/>
      </c>
      <c r="CL256" s="25" t="str">
        <f>IF('1. Live'!CP274='check-Jul''26'!CL274,"",'1. Live'!CP274-'check-Jul''26'!CL274)</f>
        <v/>
      </c>
      <c r="CM256" s="25" t="str">
        <f>IF('1. Live'!CQ274='check-Jul''26'!CM274,"",'1. Live'!CQ274-'check-Jul''26'!CM274)</f>
        <v/>
      </c>
      <c r="CN256" s="25" t="str">
        <f>IF('1. Live'!CR274='check-Jul''26'!CN274,"",'1. Live'!CR274-'check-Jul''26'!CN274)</f>
        <v/>
      </c>
      <c r="CO256" s="25" t="str">
        <f>IF('1. Live'!CS274='check-Jul''26'!CO274,"",'1. Live'!CS274-'check-Jul''26'!CO274)</f>
        <v/>
      </c>
      <c r="CP256" s="25" t="str">
        <f>IF('1. Live'!CT274='check-Jul''26'!CP274,"",'1. Live'!CT274-'check-Jul''26'!CP274)</f>
        <v/>
      </c>
      <c r="CQ256" s="25" t="str">
        <f>IF('1. Live'!CU274='check-Jul''26'!CQ274,"",'1. Live'!CU274-'check-Jul''26'!CQ274)</f>
        <v/>
      </c>
      <c r="CR256" s="25" t="str">
        <f>IF('1. Live'!CV274='check-Jul''26'!CR274,"",'1. Live'!CV274-'check-Jul''26'!CR274)</f>
        <v/>
      </c>
      <c r="CS256" s="25" t="str">
        <f>IF('1. Live'!CW274='check-Jul''26'!CS274,"",'1. Live'!CW274-'check-Jul''26'!CS274)</f>
        <v/>
      </c>
      <c r="CT256" s="25" t="str">
        <f>IF('1. Live'!CX274='check-Jul''26'!CT274,"",'1. Live'!CX274-'check-Jul''26'!CT274)</f>
        <v/>
      </c>
      <c r="CU256" s="25" t="str">
        <f>IF('1. Live'!CY274='check-Jul''26'!CU274,"",'1. Live'!CY274-'check-Jul''26'!CU274)</f>
        <v/>
      </c>
      <c r="CV256" s="25" t="str">
        <f>IF('1. Live'!CZ274='check-Jul''26'!CV274,"",'1. Live'!CZ274-'check-Jul''26'!CV274)</f>
        <v/>
      </c>
    </row>
    <row r="257" spans="17:100" x14ac:dyDescent="0.25">
      <c r="Q257" s="26" t="str">
        <f>IF('1. Live'!N275='check-Jul''26'!I275,"",'1. Live'!N275-'check-Jul''26'!I275)</f>
        <v/>
      </c>
      <c r="R257" s="26" t="str">
        <f>IF('1. Live'!O275='check-Jul''26'!J275,"",'1. Live'!O275-'check-Jul''26'!J275)</f>
        <v/>
      </c>
      <c r="S257" s="26" t="str">
        <f>IF('1. Live'!P275='check-Jul''26'!K275,"",'1. Live'!P275-'check-Jul''26'!K275)</f>
        <v/>
      </c>
      <c r="T257" s="26" t="str">
        <f>IF('1. Live'!Q275='check-Jul''26'!L275,"",'1. Live'!Q275-'check-Jul''26'!L275)</f>
        <v/>
      </c>
      <c r="U257" s="80" t="str">
        <f>IF('1. Live'!R275='check-Jul''26'!M275,"",'1. Live'!R275-'check-Jul''26'!M275)</f>
        <v/>
      </c>
      <c r="V257" s="26" t="str">
        <f>IF('1. Live'!S275='check-Jul''26'!N275,"",'1. Live'!S275-'check-Jul''26'!N275)</f>
        <v/>
      </c>
      <c r="W257" s="25" t="str">
        <f>IF('1. Live'!T275='check-Jul''26'!O275,"",'1. Live'!T275-'check-Jul''26'!O275)</f>
        <v/>
      </c>
      <c r="X257" s="25" t="str">
        <f>IF('1. Live'!U275='check-Jul''26'!Q275,"",'1. Live'!U275-'check-Jul''26'!Q275)</f>
        <v/>
      </c>
      <c r="Y257" s="25" t="str">
        <f>IF('1. Live'!V275='check-Jul''26'!R275,"",'1. Live'!V275-'check-Jul''26'!R275)</f>
        <v/>
      </c>
      <c r="Z257" s="25" t="str">
        <f>IF('1. Live'!W275='check-Jul''26'!S275,"",'1. Live'!W275-'check-Jul''26'!S275)</f>
        <v/>
      </c>
      <c r="AA257" s="25" t="str">
        <f>IF('1. Live'!X275='check-Jul''26'!T275,"",'1. Live'!X275-'check-Jul''26'!T275)</f>
        <v/>
      </c>
      <c r="AB257" s="25" t="str">
        <f>IF('1. Live'!AF275='check-Jul''26'!AB275,"",'1. Live'!AF275-'check-Jul''26'!AB275)</f>
        <v/>
      </c>
      <c r="AC257" s="25" t="str">
        <f>IF('1. Live'!AG275='check-Jul''26'!AC275,"",'1. Live'!AG275-'check-Jul''26'!AC275)</f>
        <v/>
      </c>
      <c r="AD257" s="25" t="str">
        <f>IF('1. Live'!AH275='check-Jul''26'!AD275,"",'1. Live'!AH275-'check-Jul''26'!AD275)</f>
        <v/>
      </c>
      <c r="AE257" s="25" t="str">
        <f>IF('1. Live'!AI275='check-Jul''26'!AE275,"",'1. Live'!AI275-'check-Jul''26'!AE275)</f>
        <v/>
      </c>
      <c r="AF257" s="25" t="str">
        <f>IF('1. Live'!AJ275='check-Jul''26'!AF275,"",'1. Live'!AJ275-'check-Jul''26'!AF275)</f>
        <v/>
      </c>
      <c r="AG257" s="25" t="str">
        <f>IF('1. Live'!AK275='check-Jul''26'!AG275,"",'1. Live'!AK275-'check-Jul''26'!AG275)</f>
        <v/>
      </c>
      <c r="AH257" s="25" t="str">
        <f>IF('1. Live'!AL275='check-Jul''26'!AH275,"",'1. Live'!AL275-'check-Jul''26'!AH275)</f>
        <v/>
      </c>
      <c r="AI257" s="25" t="str">
        <f>IF('1. Live'!AM275='check-Jul''26'!AI275,"",'1. Live'!AM275-'check-Jul''26'!AI275)</f>
        <v/>
      </c>
      <c r="AJ257" s="25" t="str">
        <f>IF('1. Live'!AN275='check-Jul''26'!AJ275,"",'1. Live'!AN275-'check-Jul''26'!AJ275)</f>
        <v/>
      </c>
      <c r="AK257" s="25" t="str">
        <f>IF('1. Live'!AO275='check-Jul''26'!AK275,"",'1. Live'!AO275-'check-Jul''26'!AK275)</f>
        <v/>
      </c>
      <c r="AL257" s="25" t="str">
        <f>IF('1. Live'!AP275='check-Jul''26'!AL275,"",'1. Live'!AP275-'check-Jul''26'!AL275)</f>
        <v/>
      </c>
      <c r="AM257" s="25" t="str">
        <f>IF('1. Live'!AQ275='check-Jul''26'!AM275,"",'1. Live'!AQ275-'check-Jul''26'!AM275)</f>
        <v/>
      </c>
      <c r="AN257" s="25" t="str">
        <f>IF('1. Live'!AR275='check-Jul''26'!AN275,"",'1. Live'!AR275-'check-Jul''26'!AN275)</f>
        <v/>
      </c>
      <c r="AO257" s="25" t="str">
        <f>IF('1. Live'!AS275='check-Jul''26'!AO275,"",'1. Live'!AS275-'check-Jul''26'!AO275)</f>
        <v/>
      </c>
      <c r="AP257" s="25" t="str">
        <f>IF('1. Live'!AT275='check-Jul''26'!AP275,"",'1. Live'!AT275-'check-Jul''26'!AP275)</f>
        <v/>
      </c>
      <c r="AQ257" s="25" t="str">
        <f>IF('1. Live'!AU275='check-Jul''26'!AQ275,"",'1. Live'!AU275-'check-Jul''26'!AQ275)</f>
        <v/>
      </c>
      <c r="AR257" s="25" t="str">
        <f>IF('1. Live'!AV275='check-Jul''26'!AR275,"",'1. Live'!AV275-'check-Jul''26'!AR275)</f>
        <v/>
      </c>
      <c r="AS257" s="25" t="str">
        <f>IF('1. Live'!AW275='check-Jul''26'!AS275,"",'1. Live'!AW275-'check-Jul''26'!AS275)</f>
        <v/>
      </c>
      <c r="AT257" s="25" t="str">
        <f>IF('1. Live'!AX275='check-Jul''26'!AT275,"",'1. Live'!AX275-'check-Jul''26'!AT275)</f>
        <v/>
      </c>
      <c r="AU257" s="25" t="str">
        <f>IF('1. Live'!AY275='check-Jul''26'!AU275,"",'1. Live'!AY275-'check-Jul''26'!AU275)</f>
        <v/>
      </c>
      <c r="AV257" s="25" t="str">
        <f>IF('1. Live'!AZ275='check-Jul''26'!AV275,"",'1. Live'!AZ275-'check-Jul''26'!AV275)</f>
        <v/>
      </c>
      <c r="AW257" s="25" t="str">
        <f>IF('1. Live'!BA275='check-Jul''26'!AW275,"",'1. Live'!BA275-'check-Jul''26'!AW275)</f>
        <v/>
      </c>
      <c r="AX257" s="25" t="str">
        <f>IF('1. Live'!BB275='check-Jul''26'!AX275,"",'1. Live'!BB275-'check-Jul''26'!AX275)</f>
        <v/>
      </c>
      <c r="AY257" s="25" t="str">
        <f>IF('1. Live'!BC275='check-Jul''26'!AY275,"",'1. Live'!BC275-'check-Jul''26'!AY275)</f>
        <v/>
      </c>
      <c r="AZ257" s="25" t="str">
        <f>IF('1. Live'!BD275='check-Jul''26'!AZ275,"",'1. Live'!BD275-'check-Jul''26'!AZ275)</f>
        <v/>
      </c>
      <c r="BA257" s="25" t="str">
        <f>IF('1. Live'!BE275='check-Jul''26'!BA275,"",'1. Live'!BE275-'check-Jul''26'!BA275)</f>
        <v/>
      </c>
      <c r="BB257" s="25" t="str">
        <f>IF('1. Live'!BF275='check-Jul''26'!BB275,"",'1. Live'!BF275-'check-Jul''26'!BB275)</f>
        <v/>
      </c>
      <c r="BC257" s="25" t="str">
        <f>IF('1. Live'!BG275='check-Jul''26'!BC275,"",'1. Live'!BG275-'check-Jul''26'!BC275)</f>
        <v/>
      </c>
      <c r="BD257" s="25" t="str">
        <f>IF('1. Live'!BH275='check-Jul''26'!BD275,"",'1. Live'!BH275-'check-Jul''26'!BD275)</f>
        <v/>
      </c>
      <c r="BE257" s="25" t="str">
        <f>IF('1. Live'!BI275='check-Jul''26'!BE275,"",'1. Live'!BI275-'check-Jul''26'!BE275)</f>
        <v/>
      </c>
      <c r="BF257" s="25" t="str">
        <f>IF('1. Live'!BJ275='check-Jul''26'!BF275,"",'1. Live'!BJ275-'check-Jul''26'!BF275)</f>
        <v/>
      </c>
      <c r="BG257" s="25" t="str">
        <f>IF('1. Live'!BK275='check-Jul''26'!BG275,"",'1. Live'!BK275-'check-Jul''26'!BG275)</f>
        <v/>
      </c>
      <c r="BH257" s="25" t="str">
        <f>IF('1. Live'!BL275='check-Jul''26'!BH275,"",'1. Live'!BL275-'check-Jul''26'!BH275)</f>
        <v/>
      </c>
      <c r="BI257" s="25" t="str">
        <f>IF('1. Live'!BM275='check-Jul''26'!BI275,"",'1. Live'!BM275-'check-Jul''26'!BI275)</f>
        <v/>
      </c>
      <c r="BJ257" s="25" t="str">
        <f>IF('1. Live'!BN275='check-Jul''26'!BJ275,"",'1. Live'!BN275-'check-Jul''26'!BJ275)</f>
        <v/>
      </c>
      <c r="BK257" s="25" t="str">
        <f>IF('1. Live'!BO275='check-Jul''26'!BK275,"",'1. Live'!BO275-'check-Jul''26'!BK275)</f>
        <v/>
      </c>
      <c r="BL257" s="25" t="str">
        <f>IF('1. Live'!BP275='check-Jul''26'!BL275,"",'1. Live'!BP275-'check-Jul''26'!BL275)</f>
        <v/>
      </c>
      <c r="BM257" s="25" t="str">
        <f>IF('1. Live'!BQ275='check-Jul''26'!BM275,"",'1. Live'!BQ275-'check-Jul''26'!BM275)</f>
        <v/>
      </c>
      <c r="BN257" s="25" t="str">
        <f>IF('1. Live'!BR275='check-Jul''26'!BN275,"",'1. Live'!BR275-'check-Jul''26'!BN275)</f>
        <v/>
      </c>
      <c r="BO257" s="25" t="str">
        <f>IF('1. Live'!BS275='check-Jul''26'!BO275,"",'1. Live'!BS275-'check-Jul''26'!BO275)</f>
        <v/>
      </c>
      <c r="BP257" s="25" t="str">
        <f>IF('1. Live'!BT275='check-Jul''26'!BP275,"",'1. Live'!BT275-'check-Jul''26'!BP275)</f>
        <v/>
      </c>
      <c r="BQ257" s="25" t="str">
        <f>IF('1. Live'!BU275='check-Jul''26'!BQ275,"",'1. Live'!BU275-'check-Jul''26'!BQ275)</f>
        <v/>
      </c>
      <c r="BR257" s="25" t="str">
        <f>IF('1. Live'!BV275='check-Jul''26'!BR275,"",'1. Live'!BV275-'check-Jul''26'!BR275)</f>
        <v/>
      </c>
      <c r="BS257" s="25" t="str">
        <f>IF('1. Live'!BW275='check-Jul''26'!BS275,"",'1. Live'!BW275-'check-Jul''26'!BS275)</f>
        <v/>
      </c>
      <c r="BT257" s="25" t="str">
        <f>IF('1. Live'!BX275='check-Jul''26'!BT275,"",'1. Live'!BX275-'check-Jul''26'!BT275)</f>
        <v/>
      </c>
      <c r="BU257" s="25" t="str">
        <f>IF('1. Live'!BY275='check-Jul''26'!BU275,"",'1. Live'!BY275-'check-Jul''26'!BU275)</f>
        <v/>
      </c>
      <c r="BV257" s="25" t="str">
        <f>IF('1. Live'!BZ275='check-Jul''26'!BV275,"",'1. Live'!BZ275-'check-Jul''26'!BV275)</f>
        <v/>
      </c>
      <c r="BW257" s="25" t="str">
        <f>IF('1. Live'!CA275='check-Jul''26'!BW275,"",'1. Live'!CA275-'check-Jul''26'!BW275)</f>
        <v/>
      </c>
      <c r="BX257" s="25" t="str">
        <f>IF('1. Live'!CB275='check-Jul''26'!BX275,"",'1. Live'!CB275-'check-Jul''26'!BX275)</f>
        <v/>
      </c>
      <c r="BY257" s="25" t="str">
        <f>IF('1. Live'!CC275='check-Jul''26'!BY275,"",'1. Live'!CC275-'check-Jul''26'!BY275)</f>
        <v/>
      </c>
      <c r="BZ257" s="25" t="str">
        <f>IF('1. Live'!CD275='check-Jul''26'!BZ275,"",'1. Live'!CD275-'check-Jul''26'!BZ275)</f>
        <v/>
      </c>
      <c r="CA257" s="25" t="str">
        <f>IF('1. Live'!CE275='check-Jul''26'!CA275,"",'1. Live'!CE275-'check-Jul''26'!CA275)</f>
        <v/>
      </c>
      <c r="CB257" s="25" t="str">
        <f>IF('1. Live'!CF275='check-Jul''26'!CB275,"",'1. Live'!CF275-'check-Jul''26'!CB275)</f>
        <v/>
      </c>
      <c r="CC257" s="25" t="str">
        <f>IF('1. Live'!CG275='check-Jul''26'!CC275,"",'1. Live'!CG275-'check-Jul''26'!CC275)</f>
        <v/>
      </c>
      <c r="CD257" s="25" t="str">
        <f>IF('1. Live'!CH275='check-Jul''26'!CD275,"",'1. Live'!CH275-'check-Jul''26'!CD275)</f>
        <v/>
      </c>
      <c r="CE257" s="25" t="str">
        <f>IF('1. Live'!CI275='check-Jul''26'!CE275,"",'1. Live'!CI275-'check-Jul''26'!CE275)</f>
        <v/>
      </c>
      <c r="CF257" s="25" t="str">
        <f>IF('1. Live'!CJ275='check-Jul''26'!CF275,"",'1. Live'!CJ275-'check-Jul''26'!CF275)</f>
        <v/>
      </c>
      <c r="CG257" s="25" t="str">
        <f>IF('1. Live'!CK275='check-Jul''26'!CG275,"",'1. Live'!CK275-'check-Jul''26'!CG275)</f>
        <v/>
      </c>
      <c r="CH257" s="25" t="str">
        <f>IF('1. Live'!CL275='check-Jul''26'!CH275,"",'1. Live'!CL275-'check-Jul''26'!CH275)</f>
        <v/>
      </c>
      <c r="CI257" s="25" t="str">
        <f>IF('1. Live'!CM275='check-Jul''26'!CI275,"",'1. Live'!CM275-'check-Jul''26'!CI275)</f>
        <v/>
      </c>
      <c r="CJ257" s="25" t="str">
        <f>IF('1. Live'!CN275='check-Jul''26'!CJ275,"",'1. Live'!CN275-'check-Jul''26'!CJ275)</f>
        <v/>
      </c>
      <c r="CK257" s="25" t="str">
        <f>IF('1. Live'!CO275='check-Jul''26'!CK275,"",'1. Live'!CO275-'check-Jul''26'!CK275)</f>
        <v/>
      </c>
      <c r="CL257" s="25" t="str">
        <f>IF('1. Live'!CP275='check-Jul''26'!CL275,"",'1. Live'!CP275-'check-Jul''26'!CL275)</f>
        <v/>
      </c>
      <c r="CM257" s="25" t="str">
        <f>IF('1. Live'!CQ275='check-Jul''26'!CM275,"",'1. Live'!CQ275-'check-Jul''26'!CM275)</f>
        <v/>
      </c>
      <c r="CN257" s="25" t="str">
        <f>IF('1. Live'!CR275='check-Jul''26'!CN275,"",'1. Live'!CR275-'check-Jul''26'!CN275)</f>
        <v/>
      </c>
      <c r="CO257" s="25" t="str">
        <f>IF('1. Live'!CS275='check-Jul''26'!CO275,"",'1. Live'!CS275-'check-Jul''26'!CO275)</f>
        <v/>
      </c>
      <c r="CP257" s="25" t="str">
        <f>IF('1. Live'!CT275='check-Jul''26'!CP275,"",'1. Live'!CT275-'check-Jul''26'!CP275)</f>
        <v/>
      </c>
      <c r="CQ257" s="25" t="str">
        <f>IF('1. Live'!CU275='check-Jul''26'!CQ275,"",'1. Live'!CU275-'check-Jul''26'!CQ275)</f>
        <v/>
      </c>
      <c r="CR257" s="25" t="str">
        <f>IF('1. Live'!CV275='check-Jul''26'!CR275,"",'1. Live'!CV275-'check-Jul''26'!CR275)</f>
        <v/>
      </c>
      <c r="CS257" s="25" t="str">
        <f>IF('1. Live'!CW275='check-Jul''26'!CS275,"",'1. Live'!CW275-'check-Jul''26'!CS275)</f>
        <v/>
      </c>
      <c r="CT257" s="25" t="str">
        <f>IF('1. Live'!CX275='check-Jul''26'!CT275,"",'1. Live'!CX275-'check-Jul''26'!CT275)</f>
        <v/>
      </c>
      <c r="CU257" s="25" t="str">
        <f>IF('1. Live'!CY275='check-Jul''26'!CU275,"",'1. Live'!CY275-'check-Jul''26'!CU275)</f>
        <v/>
      </c>
      <c r="CV257" s="25" t="str">
        <f>IF('1. Live'!CZ275='check-Jul''26'!CV275,"",'1. Live'!CZ275-'check-Jul''26'!CV275)</f>
        <v/>
      </c>
    </row>
    <row r="258" spans="17:100" x14ac:dyDescent="0.25">
      <c r="Q258" s="26" t="str">
        <f>IF('1. Live'!N276='check-Jul''26'!I276,"",'1. Live'!N276-'check-Jul''26'!I276)</f>
        <v/>
      </c>
      <c r="R258" s="26" t="str">
        <f>IF('1. Live'!O276='check-Jul''26'!J276,"",'1. Live'!O276-'check-Jul''26'!J276)</f>
        <v/>
      </c>
      <c r="S258" s="26" t="str">
        <f>IF('1. Live'!P276='check-Jul''26'!K276,"",'1. Live'!P276-'check-Jul''26'!K276)</f>
        <v/>
      </c>
      <c r="T258" s="26" t="str">
        <f>IF('1. Live'!Q276='check-Jul''26'!L276,"",'1. Live'!Q276-'check-Jul''26'!L276)</f>
        <v/>
      </c>
      <c r="U258" s="80" t="str">
        <f>IF('1. Live'!R276='check-Jul''26'!M276,"",'1. Live'!R276-'check-Jul''26'!M276)</f>
        <v/>
      </c>
      <c r="V258" s="26" t="str">
        <f>IF('1. Live'!S276='check-Jul''26'!N276,"",'1. Live'!S276-'check-Jul''26'!N276)</f>
        <v/>
      </c>
      <c r="W258" s="25" t="str">
        <f>IF('1. Live'!T276='check-Jul''26'!O276,"",'1. Live'!T276-'check-Jul''26'!O276)</f>
        <v/>
      </c>
      <c r="X258" s="25" t="str">
        <f>IF('1. Live'!U276='check-Jul''26'!Q276,"",'1. Live'!U276-'check-Jul''26'!Q276)</f>
        <v/>
      </c>
      <c r="Y258" s="25" t="str">
        <f>IF('1. Live'!V276='check-Jul''26'!R276,"",'1. Live'!V276-'check-Jul''26'!R276)</f>
        <v/>
      </c>
      <c r="Z258" s="25" t="str">
        <f>IF('1. Live'!W276='check-Jul''26'!S276,"",'1. Live'!W276-'check-Jul''26'!S276)</f>
        <v/>
      </c>
      <c r="AA258" s="25" t="str">
        <f>IF('1. Live'!X276='check-Jul''26'!T276,"",'1. Live'!X276-'check-Jul''26'!T276)</f>
        <v/>
      </c>
      <c r="AB258" s="25" t="str">
        <f>IF('1. Live'!AF276='check-Jul''26'!AB276,"",'1. Live'!AF276-'check-Jul''26'!AB276)</f>
        <v/>
      </c>
      <c r="AC258" s="25" t="str">
        <f>IF('1. Live'!AG276='check-Jul''26'!AC276,"",'1. Live'!AG276-'check-Jul''26'!AC276)</f>
        <v/>
      </c>
      <c r="AD258" s="25" t="str">
        <f>IF('1. Live'!AH276='check-Jul''26'!AD276,"",'1. Live'!AH276-'check-Jul''26'!AD276)</f>
        <v/>
      </c>
      <c r="AE258" s="25" t="str">
        <f>IF('1. Live'!AI276='check-Jul''26'!AE276,"",'1. Live'!AI276-'check-Jul''26'!AE276)</f>
        <v/>
      </c>
      <c r="AF258" s="25" t="str">
        <f>IF('1. Live'!AJ276='check-Jul''26'!AF276,"",'1. Live'!AJ276-'check-Jul''26'!AF276)</f>
        <v/>
      </c>
      <c r="AG258" s="25" t="str">
        <f>IF('1. Live'!AK276='check-Jul''26'!AG276,"",'1. Live'!AK276-'check-Jul''26'!AG276)</f>
        <v/>
      </c>
      <c r="AH258" s="25" t="str">
        <f>IF('1. Live'!AL276='check-Jul''26'!AH276,"",'1. Live'!AL276-'check-Jul''26'!AH276)</f>
        <v/>
      </c>
      <c r="AI258" s="25" t="str">
        <f>IF('1. Live'!AM276='check-Jul''26'!AI276,"",'1. Live'!AM276-'check-Jul''26'!AI276)</f>
        <v/>
      </c>
      <c r="AJ258" s="25" t="str">
        <f>IF('1. Live'!AN276='check-Jul''26'!AJ276,"",'1. Live'!AN276-'check-Jul''26'!AJ276)</f>
        <v/>
      </c>
      <c r="AK258" s="25" t="str">
        <f>IF('1. Live'!AO276='check-Jul''26'!AK276,"",'1. Live'!AO276-'check-Jul''26'!AK276)</f>
        <v/>
      </c>
      <c r="AL258" s="25" t="str">
        <f>IF('1. Live'!AP276='check-Jul''26'!AL276,"",'1. Live'!AP276-'check-Jul''26'!AL276)</f>
        <v/>
      </c>
      <c r="AM258" s="25" t="str">
        <f>IF('1. Live'!AQ276='check-Jul''26'!AM276,"",'1. Live'!AQ276-'check-Jul''26'!AM276)</f>
        <v/>
      </c>
      <c r="AN258" s="25" t="str">
        <f>IF('1. Live'!AR276='check-Jul''26'!AN276,"",'1. Live'!AR276-'check-Jul''26'!AN276)</f>
        <v/>
      </c>
      <c r="AO258" s="25" t="str">
        <f>IF('1. Live'!AS276='check-Jul''26'!AO276,"",'1. Live'!AS276-'check-Jul''26'!AO276)</f>
        <v/>
      </c>
      <c r="AP258" s="25" t="str">
        <f>IF('1. Live'!AT276='check-Jul''26'!AP276,"",'1. Live'!AT276-'check-Jul''26'!AP276)</f>
        <v/>
      </c>
      <c r="AQ258" s="25" t="str">
        <f>IF('1. Live'!AU276='check-Jul''26'!AQ276,"",'1. Live'!AU276-'check-Jul''26'!AQ276)</f>
        <v/>
      </c>
      <c r="AR258" s="25" t="str">
        <f>IF('1. Live'!AV276='check-Jul''26'!AR276,"",'1. Live'!AV276-'check-Jul''26'!AR276)</f>
        <v/>
      </c>
      <c r="AS258" s="25" t="str">
        <f>IF('1. Live'!AW276='check-Jul''26'!AS276,"",'1. Live'!AW276-'check-Jul''26'!AS276)</f>
        <v/>
      </c>
      <c r="AT258" s="25" t="str">
        <f>IF('1. Live'!AX276='check-Jul''26'!AT276,"",'1. Live'!AX276-'check-Jul''26'!AT276)</f>
        <v/>
      </c>
      <c r="AU258" s="25" t="str">
        <f>IF('1. Live'!AY276='check-Jul''26'!AU276,"",'1. Live'!AY276-'check-Jul''26'!AU276)</f>
        <v/>
      </c>
      <c r="AV258" s="25" t="str">
        <f>IF('1. Live'!AZ276='check-Jul''26'!AV276,"",'1. Live'!AZ276-'check-Jul''26'!AV276)</f>
        <v/>
      </c>
      <c r="AW258" s="25" t="str">
        <f>IF('1. Live'!BA276='check-Jul''26'!AW276,"",'1. Live'!BA276-'check-Jul''26'!AW276)</f>
        <v/>
      </c>
      <c r="AX258" s="25" t="str">
        <f>IF('1. Live'!BB276='check-Jul''26'!AX276,"",'1. Live'!BB276-'check-Jul''26'!AX276)</f>
        <v/>
      </c>
      <c r="AY258" s="25" t="str">
        <f>IF('1. Live'!BC276='check-Jul''26'!AY276,"",'1. Live'!BC276-'check-Jul''26'!AY276)</f>
        <v/>
      </c>
      <c r="AZ258" s="25" t="str">
        <f>IF('1. Live'!BD276='check-Jul''26'!AZ276,"",'1. Live'!BD276-'check-Jul''26'!AZ276)</f>
        <v/>
      </c>
      <c r="BA258" s="25" t="str">
        <f>IF('1. Live'!BE276='check-Jul''26'!BA276,"",'1. Live'!BE276-'check-Jul''26'!BA276)</f>
        <v/>
      </c>
      <c r="BB258" s="25" t="str">
        <f>IF('1. Live'!BF276='check-Jul''26'!BB276,"",'1. Live'!BF276-'check-Jul''26'!BB276)</f>
        <v/>
      </c>
      <c r="BC258" s="25" t="str">
        <f>IF('1. Live'!BG276='check-Jul''26'!BC276,"",'1. Live'!BG276-'check-Jul''26'!BC276)</f>
        <v/>
      </c>
      <c r="BD258" s="25" t="str">
        <f>IF('1. Live'!BH276='check-Jul''26'!BD276,"",'1. Live'!BH276-'check-Jul''26'!BD276)</f>
        <v/>
      </c>
      <c r="BE258" s="25" t="str">
        <f>IF('1. Live'!BI276='check-Jul''26'!BE276,"",'1. Live'!BI276-'check-Jul''26'!BE276)</f>
        <v/>
      </c>
      <c r="BF258" s="25" t="str">
        <f>IF('1. Live'!BJ276='check-Jul''26'!BF276,"",'1. Live'!BJ276-'check-Jul''26'!BF276)</f>
        <v/>
      </c>
      <c r="BG258" s="25" t="str">
        <f>IF('1. Live'!BK276='check-Jul''26'!BG276,"",'1. Live'!BK276-'check-Jul''26'!BG276)</f>
        <v/>
      </c>
      <c r="BH258" s="25" t="str">
        <f>IF('1. Live'!BL276='check-Jul''26'!BH276,"",'1. Live'!BL276-'check-Jul''26'!BH276)</f>
        <v/>
      </c>
      <c r="BI258" s="25" t="str">
        <f>IF('1. Live'!BM276='check-Jul''26'!BI276,"",'1. Live'!BM276-'check-Jul''26'!BI276)</f>
        <v/>
      </c>
      <c r="BJ258" s="25" t="str">
        <f>IF('1. Live'!BN276='check-Jul''26'!BJ276,"",'1. Live'!BN276-'check-Jul''26'!BJ276)</f>
        <v/>
      </c>
      <c r="BK258" s="25" t="str">
        <f>IF('1. Live'!BO276='check-Jul''26'!BK276,"",'1. Live'!BO276-'check-Jul''26'!BK276)</f>
        <v/>
      </c>
      <c r="BL258" s="25" t="str">
        <f>IF('1. Live'!BP276='check-Jul''26'!BL276,"",'1. Live'!BP276-'check-Jul''26'!BL276)</f>
        <v/>
      </c>
      <c r="BM258" s="25" t="str">
        <f>IF('1. Live'!BQ276='check-Jul''26'!BM276,"",'1. Live'!BQ276-'check-Jul''26'!BM276)</f>
        <v/>
      </c>
      <c r="BN258" s="25" t="str">
        <f>IF('1. Live'!BR276='check-Jul''26'!BN276,"",'1. Live'!BR276-'check-Jul''26'!BN276)</f>
        <v/>
      </c>
      <c r="BO258" s="25" t="str">
        <f>IF('1. Live'!BS276='check-Jul''26'!BO276,"",'1. Live'!BS276-'check-Jul''26'!BO276)</f>
        <v/>
      </c>
      <c r="BP258" s="25" t="str">
        <f>IF('1. Live'!BT276='check-Jul''26'!BP276,"",'1. Live'!BT276-'check-Jul''26'!BP276)</f>
        <v/>
      </c>
      <c r="BQ258" s="25" t="str">
        <f>IF('1. Live'!BU276='check-Jul''26'!BQ276,"",'1. Live'!BU276-'check-Jul''26'!BQ276)</f>
        <v/>
      </c>
      <c r="BR258" s="25" t="str">
        <f>IF('1. Live'!BV276='check-Jul''26'!BR276,"",'1. Live'!BV276-'check-Jul''26'!BR276)</f>
        <v/>
      </c>
      <c r="BS258" s="25" t="str">
        <f>IF('1. Live'!BW276='check-Jul''26'!BS276,"",'1. Live'!BW276-'check-Jul''26'!BS276)</f>
        <v/>
      </c>
      <c r="BT258" s="25" t="str">
        <f>IF('1. Live'!BX276='check-Jul''26'!BT276,"",'1. Live'!BX276-'check-Jul''26'!BT276)</f>
        <v/>
      </c>
      <c r="BU258" s="25" t="str">
        <f>IF('1. Live'!BY276='check-Jul''26'!BU276,"",'1. Live'!BY276-'check-Jul''26'!BU276)</f>
        <v/>
      </c>
      <c r="BV258" s="25" t="str">
        <f>IF('1. Live'!BZ276='check-Jul''26'!BV276,"",'1. Live'!BZ276-'check-Jul''26'!BV276)</f>
        <v/>
      </c>
      <c r="BW258" s="25" t="str">
        <f>IF('1. Live'!CA276='check-Jul''26'!BW276,"",'1. Live'!CA276-'check-Jul''26'!BW276)</f>
        <v/>
      </c>
      <c r="BX258" s="25" t="str">
        <f>IF('1. Live'!CB276='check-Jul''26'!BX276,"",'1. Live'!CB276-'check-Jul''26'!BX276)</f>
        <v/>
      </c>
      <c r="BY258" s="25" t="str">
        <f>IF('1. Live'!CC276='check-Jul''26'!BY276,"",'1. Live'!CC276-'check-Jul''26'!BY276)</f>
        <v/>
      </c>
      <c r="BZ258" s="25" t="str">
        <f>IF('1. Live'!CD276='check-Jul''26'!BZ276,"",'1. Live'!CD276-'check-Jul''26'!BZ276)</f>
        <v/>
      </c>
      <c r="CA258" s="25" t="str">
        <f>IF('1. Live'!CE276='check-Jul''26'!CA276,"",'1. Live'!CE276-'check-Jul''26'!CA276)</f>
        <v/>
      </c>
      <c r="CB258" s="25" t="str">
        <f>IF('1. Live'!CF276='check-Jul''26'!CB276,"",'1. Live'!CF276-'check-Jul''26'!CB276)</f>
        <v/>
      </c>
      <c r="CC258" s="25" t="str">
        <f>IF('1. Live'!CG276='check-Jul''26'!CC276,"",'1. Live'!CG276-'check-Jul''26'!CC276)</f>
        <v/>
      </c>
      <c r="CD258" s="25" t="str">
        <f>IF('1. Live'!CH276='check-Jul''26'!CD276,"",'1. Live'!CH276-'check-Jul''26'!CD276)</f>
        <v/>
      </c>
      <c r="CE258" s="25" t="str">
        <f>IF('1. Live'!CI276='check-Jul''26'!CE276,"",'1. Live'!CI276-'check-Jul''26'!CE276)</f>
        <v/>
      </c>
      <c r="CF258" s="25" t="str">
        <f>IF('1. Live'!CJ276='check-Jul''26'!CF276,"",'1. Live'!CJ276-'check-Jul''26'!CF276)</f>
        <v/>
      </c>
      <c r="CG258" s="25" t="str">
        <f>IF('1. Live'!CK276='check-Jul''26'!CG276,"",'1. Live'!CK276-'check-Jul''26'!CG276)</f>
        <v/>
      </c>
      <c r="CH258" s="25" t="str">
        <f>IF('1. Live'!CL276='check-Jul''26'!CH276,"",'1. Live'!CL276-'check-Jul''26'!CH276)</f>
        <v/>
      </c>
      <c r="CI258" s="25" t="str">
        <f>IF('1. Live'!CM276='check-Jul''26'!CI276,"",'1. Live'!CM276-'check-Jul''26'!CI276)</f>
        <v/>
      </c>
      <c r="CJ258" s="25" t="str">
        <f>IF('1. Live'!CN276='check-Jul''26'!CJ276,"",'1. Live'!CN276-'check-Jul''26'!CJ276)</f>
        <v/>
      </c>
      <c r="CK258" s="25" t="str">
        <f>IF('1. Live'!CO276='check-Jul''26'!CK276,"",'1. Live'!CO276-'check-Jul''26'!CK276)</f>
        <v/>
      </c>
      <c r="CL258" s="25" t="str">
        <f>IF('1. Live'!CP276='check-Jul''26'!CL276,"",'1. Live'!CP276-'check-Jul''26'!CL276)</f>
        <v/>
      </c>
      <c r="CM258" s="25" t="str">
        <f>IF('1. Live'!CQ276='check-Jul''26'!CM276,"",'1. Live'!CQ276-'check-Jul''26'!CM276)</f>
        <v/>
      </c>
      <c r="CN258" s="25" t="str">
        <f>IF('1. Live'!CR276='check-Jul''26'!CN276,"",'1. Live'!CR276-'check-Jul''26'!CN276)</f>
        <v/>
      </c>
      <c r="CO258" s="25" t="str">
        <f>IF('1. Live'!CS276='check-Jul''26'!CO276,"",'1. Live'!CS276-'check-Jul''26'!CO276)</f>
        <v/>
      </c>
      <c r="CP258" s="25" t="str">
        <f>IF('1. Live'!CT276='check-Jul''26'!CP276,"",'1. Live'!CT276-'check-Jul''26'!CP276)</f>
        <v/>
      </c>
      <c r="CQ258" s="25" t="str">
        <f>IF('1. Live'!CU276='check-Jul''26'!CQ276,"",'1. Live'!CU276-'check-Jul''26'!CQ276)</f>
        <v/>
      </c>
      <c r="CR258" s="25" t="str">
        <f>IF('1. Live'!CV276='check-Jul''26'!CR276,"",'1. Live'!CV276-'check-Jul''26'!CR276)</f>
        <v/>
      </c>
      <c r="CS258" s="25" t="str">
        <f>IF('1. Live'!CW276='check-Jul''26'!CS276,"",'1. Live'!CW276-'check-Jul''26'!CS276)</f>
        <v/>
      </c>
      <c r="CT258" s="25" t="str">
        <f>IF('1. Live'!CX276='check-Jul''26'!CT276,"",'1. Live'!CX276-'check-Jul''26'!CT276)</f>
        <v/>
      </c>
      <c r="CU258" s="25" t="str">
        <f>IF('1. Live'!CY276='check-Jul''26'!CU276,"",'1. Live'!CY276-'check-Jul''26'!CU276)</f>
        <v/>
      </c>
      <c r="CV258" s="25" t="str">
        <f>IF('1. Live'!CZ276='check-Jul''26'!CV276,"",'1. Live'!CZ276-'check-Jul''26'!CV276)</f>
        <v/>
      </c>
    </row>
    <row r="259" spans="17:100" x14ac:dyDescent="0.25">
      <c r="Q259" s="26" t="str">
        <f>IF('1. Live'!N277='check-Jul''26'!I277,"",'1. Live'!N277-'check-Jul''26'!I277)</f>
        <v/>
      </c>
      <c r="R259" s="26" t="str">
        <f>IF('1. Live'!O277='check-Jul''26'!J277,"",'1. Live'!O277-'check-Jul''26'!J277)</f>
        <v/>
      </c>
      <c r="S259" s="26" t="str">
        <f>IF('1. Live'!P277='check-Jul''26'!K277,"",'1. Live'!P277-'check-Jul''26'!K277)</f>
        <v/>
      </c>
      <c r="T259" s="26" t="str">
        <f>IF('1. Live'!Q277='check-Jul''26'!L277,"",'1. Live'!Q277-'check-Jul''26'!L277)</f>
        <v/>
      </c>
      <c r="U259" s="80" t="str">
        <f>IF('1. Live'!R277='check-Jul''26'!M277,"",'1. Live'!R277-'check-Jul''26'!M277)</f>
        <v/>
      </c>
      <c r="V259" s="26" t="str">
        <f>IF('1. Live'!S277='check-Jul''26'!N277,"",'1. Live'!S277-'check-Jul''26'!N277)</f>
        <v/>
      </c>
      <c r="W259" s="25" t="str">
        <f>IF('1. Live'!T277='check-Jul''26'!O277,"",'1. Live'!T277-'check-Jul''26'!O277)</f>
        <v/>
      </c>
      <c r="X259" s="25" t="str">
        <f>IF('1. Live'!U277='check-Jul''26'!Q277,"",'1. Live'!U277-'check-Jul''26'!Q277)</f>
        <v/>
      </c>
      <c r="Y259" s="25" t="str">
        <f>IF('1. Live'!V277='check-Jul''26'!R277,"",'1. Live'!V277-'check-Jul''26'!R277)</f>
        <v/>
      </c>
      <c r="Z259" s="25" t="str">
        <f>IF('1. Live'!W277='check-Jul''26'!S277,"",'1. Live'!W277-'check-Jul''26'!S277)</f>
        <v/>
      </c>
      <c r="AA259" s="25" t="str">
        <f>IF('1. Live'!X277='check-Jul''26'!T277,"",'1. Live'!X277-'check-Jul''26'!T277)</f>
        <v/>
      </c>
      <c r="AB259" s="25" t="str">
        <f>IF('1. Live'!AF277='check-Jul''26'!AB277,"",'1. Live'!AF277-'check-Jul''26'!AB277)</f>
        <v/>
      </c>
      <c r="AC259" s="25" t="str">
        <f>IF('1. Live'!AG277='check-Jul''26'!AC277,"",'1. Live'!AG277-'check-Jul''26'!AC277)</f>
        <v/>
      </c>
      <c r="AD259" s="25" t="str">
        <f>IF('1. Live'!AH277='check-Jul''26'!AD277,"",'1. Live'!AH277-'check-Jul''26'!AD277)</f>
        <v/>
      </c>
      <c r="AE259" s="25" t="str">
        <f>IF('1. Live'!AI277='check-Jul''26'!AE277,"",'1. Live'!AI277-'check-Jul''26'!AE277)</f>
        <v/>
      </c>
      <c r="AF259" s="25" t="str">
        <f>IF('1. Live'!AJ277='check-Jul''26'!AF277,"",'1. Live'!AJ277-'check-Jul''26'!AF277)</f>
        <v/>
      </c>
      <c r="AG259" s="25" t="str">
        <f>IF('1. Live'!AK277='check-Jul''26'!AG277,"",'1. Live'!AK277-'check-Jul''26'!AG277)</f>
        <v/>
      </c>
      <c r="AH259" s="25" t="str">
        <f>IF('1. Live'!AL277='check-Jul''26'!AH277,"",'1. Live'!AL277-'check-Jul''26'!AH277)</f>
        <v/>
      </c>
      <c r="AI259" s="25" t="str">
        <f>IF('1. Live'!AM277='check-Jul''26'!AI277,"",'1. Live'!AM277-'check-Jul''26'!AI277)</f>
        <v/>
      </c>
      <c r="AJ259" s="25" t="str">
        <f>IF('1. Live'!AN277='check-Jul''26'!AJ277,"",'1. Live'!AN277-'check-Jul''26'!AJ277)</f>
        <v/>
      </c>
      <c r="AK259" s="25" t="str">
        <f>IF('1. Live'!AO277='check-Jul''26'!AK277,"",'1. Live'!AO277-'check-Jul''26'!AK277)</f>
        <v/>
      </c>
      <c r="AL259" s="25" t="str">
        <f>IF('1. Live'!AP277='check-Jul''26'!AL277,"",'1. Live'!AP277-'check-Jul''26'!AL277)</f>
        <v/>
      </c>
      <c r="AM259" s="25" t="str">
        <f>IF('1. Live'!AQ277='check-Jul''26'!AM277,"",'1. Live'!AQ277-'check-Jul''26'!AM277)</f>
        <v/>
      </c>
      <c r="AN259" s="25" t="str">
        <f>IF('1. Live'!AR277='check-Jul''26'!AN277,"",'1. Live'!AR277-'check-Jul''26'!AN277)</f>
        <v/>
      </c>
      <c r="AO259" s="25" t="str">
        <f>IF('1. Live'!AS277='check-Jul''26'!AO277,"",'1. Live'!AS277-'check-Jul''26'!AO277)</f>
        <v/>
      </c>
      <c r="AP259" s="25" t="str">
        <f>IF('1. Live'!AT277='check-Jul''26'!AP277,"",'1. Live'!AT277-'check-Jul''26'!AP277)</f>
        <v/>
      </c>
      <c r="AQ259" s="25" t="str">
        <f>IF('1. Live'!AU277='check-Jul''26'!AQ277,"",'1. Live'!AU277-'check-Jul''26'!AQ277)</f>
        <v/>
      </c>
      <c r="AR259" s="25" t="str">
        <f>IF('1. Live'!AV277='check-Jul''26'!AR277,"",'1. Live'!AV277-'check-Jul''26'!AR277)</f>
        <v/>
      </c>
      <c r="AS259" s="25" t="str">
        <f>IF('1. Live'!AW277='check-Jul''26'!AS277,"",'1. Live'!AW277-'check-Jul''26'!AS277)</f>
        <v/>
      </c>
      <c r="AT259" s="25" t="str">
        <f>IF('1. Live'!AX277='check-Jul''26'!AT277,"",'1. Live'!AX277-'check-Jul''26'!AT277)</f>
        <v/>
      </c>
      <c r="AU259" s="25" t="str">
        <f>IF('1. Live'!AY277='check-Jul''26'!AU277,"",'1. Live'!AY277-'check-Jul''26'!AU277)</f>
        <v/>
      </c>
      <c r="AV259" s="25" t="str">
        <f>IF('1. Live'!AZ277='check-Jul''26'!AV277,"",'1. Live'!AZ277-'check-Jul''26'!AV277)</f>
        <v/>
      </c>
      <c r="AW259" s="25" t="str">
        <f>IF('1. Live'!BA277='check-Jul''26'!AW277,"",'1. Live'!BA277-'check-Jul''26'!AW277)</f>
        <v/>
      </c>
      <c r="AX259" s="25" t="str">
        <f>IF('1. Live'!BB277='check-Jul''26'!AX277,"",'1. Live'!BB277-'check-Jul''26'!AX277)</f>
        <v/>
      </c>
      <c r="AY259" s="25" t="str">
        <f>IF('1. Live'!BC277='check-Jul''26'!AY277,"",'1. Live'!BC277-'check-Jul''26'!AY277)</f>
        <v/>
      </c>
      <c r="AZ259" s="25" t="str">
        <f>IF('1. Live'!BD277='check-Jul''26'!AZ277,"",'1. Live'!BD277-'check-Jul''26'!AZ277)</f>
        <v/>
      </c>
      <c r="BA259" s="25" t="str">
        <f>IF('1. Live'!BE277='check-Jul''26'!BA277,"",'1. Live'!BE277-'check-Jul''26'!BA277)</f>
        <v/>
      </c>
      <c r="BB259" s="25" t="str">
        <f>IF('1. Live'!BF277='check-Jul''26'!BB277,"",'1. Live'!BF277-'check-Jul''26'!BB277)</f>
        <v/>
      </c>
      <c r="BC259" s="25" t="str">
        <f>IF('1. Live'!BG277='check-Jul''26'!BC277,"",'1. Live'!BG277-'check-Jul''26'!BC277)</f>
        <v/>
      </c>
      <c r="BD259" s="25" t="str">
        <f>IF('1. Live'!BH277='check-Jul''26'!BD277,"",'1. Live'!BH277-'check-Jul''26'!BD277)</f>
        <v/>
      </c>
      <c r="BE259" s="25" t="str">
        <f>IF('1. Live'!BI277='check-Jul''26'!BE277,"",'1. Live'!BI277-'check-Jul''26'!BE277)</f>
        <v/>
      </c>
      <c r="BF259" s="25" t="str">
        <f>IF('1. Live'!BJ277='check-Jul''26'!BF277,"",'1. Live'!BJ277-'check-Jul''26'!BF277)</f>
        <v/>
      </c>
      <c r="BG259" s="25" t="str">
        <f>IF('1. Live'!BK277='check-Jul''26'!BG277,"",'1. Live'!BK277-'check-Jul''26'!BG277)</f>
        <v/>
      </c>
      <c r="BH259" s="25" t="str">
        <f>IF('1. Live'!BL277='check-Jul''26'!BH277,"",'1. Live'!BL277-'check-Jul''26'!BH277)</f>
        <v/>
      </c>
      <c r="BI259" s="25" t="str">
        <f>IF('1. Live'!BM277='check-Jul''26'!BI277,"",'1. Live'!BM277-'check-Jul''26'!BI277)</f>
        <v/>
      </c>
      <c r="BJ259" s="25" t="str">
        <f>IF('1. Live'!BN277='check-Jul''26'!BJ277,"",'1. Live'!BN277-'check-Jul''26'!BJ277)</f>
        <v/>
      </c>
      <c r="BK259" s="25" t="str">
        <f>IF('1. Live'!BO277='check-Jul''26'!BK277,"",'1. Live'!BO277-'check-Jul''26'!BK277)</f>
        <v/>
      </c>
      <c r="BL259" s="25" t="str">
        <f>IF('1. Live'!BP277='check-Jul''26'!BL277,"",'1. Live'!BP277-'check-Jul''26'!BL277)</f>
        <v/>
      </c>
      <c r="BM259" s="25" t="str">
        <f>IF('1. Live'!BQ277='check-Jul''26'!BM277,"",'1. Live'!BQ277-'check-Jul''26'!BM277)</f>
        <v/>
      </c>
      <c r="BN259" s="25" t="str">
        <f>IF('1. Live'!BR277='check-Jul''26'!BN277,"",'1. Live'!BR277-'check-Jul''26'!BN277)</f>
        <v/>
      </c>
      <c r="BO259" s="25" t="str">
        <f>IF('1. Live'!BS277='check-Jul''26'!BO277,"",'1. Live'!BS277-'check-Jul''26'!BO277)</f>
        <v/>
      </c>
      <c r="BP259" s="25" t="str">
        <f>IF('1. Live'!BT277='check-Jul''26'!BP277,"",'1. Live'!BT277-'check-Jul''26'!BP277)</f>
        <v/>
      </c>
      <c r="BQ259" s="25" t="str">
        <f>IF('1. Live'!BU277='check-Jul''26'!BQ277,"",'1. Live'!BU277-'check-Jul''26'!BQ277)</f>
        <v/>
      </c>
      <c r="BR259" s="25" t="str">
        <f>IF('1. Live'!BV277='check-Jul''26'!BR277,"",'1. Live'!BV277-'check-Jul''26'!BR277)</f>
        <v/>
      </c>
      <c r="BS259" s="25" t="str">
        <f>IF('1. Live'!BW277='check-Jul''26'!BS277,"",'1. Live'!BW277-'check-Jul''26'!BS277)</f>
        <v/>
      </c>
      <c r="BT259" s="25" t="str">
        <f>IF('1. Live'!BX277='check-Jul''26'!BT277,"",'1. Live'!BX277-'check-Jul''26'!BT277)</f>
        <v/>
      </c>
      <c r="BU259" s="25" t="str">
        <f>IF('1. Live'!BY277='check-Jul''26'!BU277,"",'1. Live'!BY277-'check-Jul''26'!BU277)</f>
        <v/>
      </c>
      <c r="BV259" s="25" t="str">
        <f>IF('1. Live'!BZ277='check-Jul''26'!BV277,"",'1. Live'!BZ277-'check-Jul''26'!BV277)</f>
        <v/>
      </c>
      <c r="BW259" s="25" t="str">
        <f>IF('1. Live'!CA277='check-Jul''26'!BW277,"",'1. Live'!CA277-'check-Jul''26'!BW277)</f>
        <v/>
      </c>
      <c r="BX259" s="25" t="str">
        <f>IF('1. Live'!CB277='check-Jul''26'!BX277,"",'1. Live'!CB277-'check-Jul''26'!BX277)</f>
        <v/>
      </c>
      <c r="BY259" s="25" t="str">
        <f>IF('1. Live'!CC277='check-Jul''26'!BY277,"",'1. Live'!CC277-'check-Jul''26'!BY277)</f>
        <v/>
      </c>
      <c r="BZ259" s="25" t="str">
        <f>IF('1. Live'!CD277='check-Jul''26'!BZ277,"",'1. Live'!CD277-'check-Jul''26'!BZ277)</f>
        <v/>
      </c>
      <c r="CA259" s="25" t="str">
        <f>IF('1. Live'!CE277='check-Jul''26'!CA277,"",'1. Live'!CE277-'check-Jul''26'!CA277)</f>
        <v/>
      </c>
      <c r="CB259" s="25" t="str">
        <f>IF('1. Live'!CF277='check-Jul''26'!CB277,"",'1. Live'!CF277-'check-Jul''26'!CB277)</f>
        <v/>
      </c>
      <c r="CC259" s="25" t="str">
        <f>IF('1. Live'!CG277='check-Jul''26'!CC277,"",'1. Live'!CG277-'check-Jul''26'!CC277)</f>
        <v/>
      </c>
      <c r="CD259" s="25" t="str">
        <f>IF('1. Live'!CH277='check-Jul''26'!CD277,"",'1. Live'!CH277-'check-Jul''26'!CD277)</f>
        <v/>
      </c>
      <c r="CE259" s="25" t="str">
        <f>IF('1. Live'!CI277='check-Jul''26'!CE277,"",'1. Live'!CI277-'check-Jul''26'!CE277)</f>
        <v/>
      </c>
      <c r="CF259" s="25" t="str">
        <f>IF('1. Live'!CJ277='check-Jul''26'!CF277,"",'1. Live'!CJ277-'check-Jul''26'!CF277)</f>
        <v/>
      </c>
      <c r="CG259" s="25" t="str">
        <f>IF('1. Live'!CK277='check-Jul''26'!CG277,"",'1. Live'!CK277-'check-Jul''26'!CG277)</f>
        <v/>
      </c>
      <c r="CH259" s="25" t="str">
        <f>IF('1. Live'!CL277='check-Jul''26'!CH277,"",'1. Live'!CL277-'check-Jul''26'!CH277)</f>
        <v/>
      </c>
      <c r="CI259" s="25" t="str">
        <f>IF('1. Live'!CM277='check-Jul''26'!CI277,"",'1. Live'!CM277-'check-Jul''26'!CI277)</f>
        <v/>
      </c>
      <c r="CJ259" s="25" t="str">
        <f>IF('1. Live'!CN277='check-Jul''26'!CJ277,"",'1. Live'!CN277-'check-Jul''26'!CJ277)</f>
        <v/>
      </c>
      <c r="CK259" s="25" t="str">
        <f>IF('1. Live'!CO277='check-Jul''26'!CK277,"",'1. Live'!CO277-'check-Jul''26'!CK277)</f>
        <v/>
      </c>
      <c r="CL259" s="25" t="str">
        <f>IF('1. Live'!CP277='check-Jul''26'!CL277,"",'1. Live'!CP277-'check-Jul''26'!CL277)</f>
        <v/>
      </c>
      <c r="CM259" s="25" t="str">
        <f>IF('1. Live'!CQ277='check-Jul''26'!CM277,"",'1. Live'!CQ277-'check-Jul''26'!CM277)</f>
        <v/>
      </c>
      <c r="CN259" s="25" t="str">
        <f>IF('1. Live'!CR277='check-Jul''26'!CN277,"",'1. Live'!CR277-'check-Jul''26'!CN277)</f>
        <v/>
      </c>
      <c r="CO259" s="25" t="str">
        <f>IF('1. Live'!CS277='check-Jul''26'!CO277,"",'1. Live'!CS277-'check-Jul''26'!CO277)</f>
        <v/>
      </c>
      <c r="CP259" s="25" t="str">
        <f>IF('1. Live'!CT277='check-Jul''26'!CP277,"",'1. Live'!CT277-'check-Jul''26'!CP277)</f>
        <v/>
      </c>
      <c r="CQ259" s="25" t="str">
        <f>IF('1. Live'!CU277='check-Jul''26'!CQ277,"",'1. Live'!CU277-'check-Jul''26'!CQ277)</f>
        <v/>
      </c>
      <c r="CR259" s="25" t="str">
        <f>IF('1. Live'!CV277='check-Jul''26'!CR277,"",'1. Live'!CV277-'check-Jul''26'!CR277)</f>
        <v/>
      </c>
      <c r="CS259" s="25" t="str">
        <f>IF('1. Live'!CW277='check-Jul''26'!CS277,"",'1. Live'!CW277-'check-Jul''26'!CS277)</f>
        <v/>
      </c>
      <c r="CT259" s="25" t="str">
        <f>IF('1. Live'!CX277='check-Jul''26'!CT277,"",'1. Live'!CX277-'check-Jul''26'!CT277)</f>
        <v/>
      </c>
      <c r="CU259" s="25" t="str">
        <f>IF('1. Live'!CY277='check-Jul''26'!CU277,"",'1. Live'!CY277-'check-Jul''26'!CU277)</f>
        <v/>
      </c>
      <c r="CV259" s="25" t="str">
        <f>IF('1. Live'!CZ277='check-Jul''26'!CV277,"",'1. Live'!CZ277-'check-Jul''26'!CV277)</f>
        <v/>
      </c>
    </row>
    <row r="260" spans="17:100" x14ac:dyDescent="0.25">
      <c r="Q260" s="26" t="str">
        <f>IF('1. Live'!N278='check-Jul''26'!I278,"",'1. Live'!N278-'check-Jul''26'!I278)</f>
        <v/>
      </c>
      <c r="R260" s="26" t="str">
        <f>IF('1. Live'!O278='check-Jul''26'!J278,"",'1. Live'!O278-'check-Jul''26'!J278)</f>
        <v/>
      </c>
      <c r="S260" s="26" t="str">
        <f>IF('1. Live'!P278='check-Jul''26'!K278,"",'1. Live'!P278-'check-Jul''26'!K278)</f>
        <v/>
      </c>
      <c r="T260" s="26" t="str">
        <f>IF('1. Live'!Q278='check-Jul''26'!L278,"",'1. Live'!Q278-'check-Jul''26'!L278)</f>
        <v/>
      </c>
      <c r="U260" s="80" t="str">
        <f>IF('1. Live'!R278='check-Jul''26'!M278,"",'1. Live'!R278-'check-Jul''26'!M278)</f>
        <v/>
      </c>
      <c r="V260" s="26" t="str">
        <f>IF('1. Live'!S278='check-Jul''26'!N278,"",'1. Live'!S278-'check-Jul''26'!N278)</f>
        <v/>
      </c>
      <c r="W260" s="25" t="str">
        <f>IF('1. Live'!T278='check-Jul''26'!O278,"",'1. Live'!T278-'check-Jul''26'!O278)</f>
        <v/>
      </c>
      <c r="X260" s="25" t="str">
        <f>IF('1. Live'!U278='check-Jul''26'!Q278,"",'1. Live'!U278-'check-Jul''26'!Q278)</f>
        <v/>
      </c>
      <c r="Y260" s="25" t="str">
        <f>IF('1. Live'!V278='check-Jul''26'!R278,"",'1. Live'!V278-'check-Jul''26'!R278)</f>
        <v/>
      </c>
      <c r="Z260" s="25" t="str">
        <f>IF('1. Live'!W278='check-Jul''26'!S278,"",'1. Live'!W278-'check-Jul''26'!S278)</f>
        <v/>
      </c>
      <c r="AA260" s="25" t="str">
        <f>IF('1. Live'!X278='check-Jul''26'!T278,"",'1. Live'!X278-'check-Jul''26'!T278)</f>
        <v/>
      </c>
      <c r="AB260" s="25" t="str">
        <f>IF('1. Live'!AF278='check-Jul''26'!AB278,"",'1. Live'!AF278-'check-Jul''26'!AB278)</f>
        <v/>
      </c>
      <c r="AC260" s="25" t="str">
        <f>IF('1. Live'!AG278='check-Jul''26'!AC278,"",'1. Live'!AG278-'check-Jul''26'!AC278)</f>
        <v/>
      </c>
      <c r="AD260" s="25" t="str">
        <f>IF('1. Live'!AH278='check-Jul''26'!AD278,"",'1. Live'!AH278-'check-Jul''26'!AD278)</f>
        <v/>
      </c>
      <c r="AE260" s="25" t="str">
        <f>IF('1. Live'!AI278='check-Jul''26'!AE278,"",'1. Live'!AI278-'check-Jul''26'!AE278)</f>
        <v/>
      </c>
      <c r="AF260" s="25" t="str">
        <f>IF('1. Live'!AJ278='check-Jul''26'!AF278,"",'1. Live'!AJ278-'check-Jul''26'!AF278)</f>
        <v/>
      </c>
      <c r="AG260" s="25" t="str">
        <f>IF('1. Live'!AK278='check-Jul''26'!AG278,"",'1. Live'!AK278-'check-Jul''26'!AG278)</f>
        <v/>
      </c>
      <c r="AH260" s="25" t="str">
        <f>IF('1. Live'!AL278='check-Jul''26'!AH278,"",'1. Live'!AL278-'check-Jul''26'!AH278)</f>
        <v/>
      </c>
      <c r="AI260" s="25" t="str">
        <f>IF('1. Live'!AM278='check-Jul''26'!AI278,"",'1. Live'!AM278-'check-Jul''26'!AI278)</f>
        <v/>
      </c>
      <c r="AJ260" s="25" t="str">
        <f>IF('1. Live'!AN278='check-Jul''26'!AJ278,"",'1. Live'!AN278-'check-Jul''26'!AJ278)</f>
        <v/>
      </c>
      <c r="AK260" s="25" t="str">
        <f>IF('1. Live'!AO278='check-Jul''26'!AK278,"",'1. Live'!AO278-'check-Jul''26'!AK278)</f>
        <v/>
      </c>
      <c r="AL260" s="25" t="str">
        <f>IF('1. Live'!AP278='check-Jul''26'!AL278,"",'1. Live'!AP278-'check-Jul''26'!AL278)</f>
        <v/>
      </c>
      <c r="AM260" s="25" t="str">
        <f>IF('1. Live'!AQ278='check-Jul''26'!AM278,"",'1. Live'!AQ278-'check-Jul''26'!AM278)</f>
        <v/>
      </c>
      <c r="AN260" s="25" t="str">
        <f>IF('1. Live'!AR278='check-Jul''26'!AN278,"",'1. Live'!AR278-'check-Jul''26'!AN278)</f>
        <v/>
      </c>
      <c r="AO260" s="25" t="str">
        <f>IF('1. Live'!AS278='check-Jul''26'!AO278,"",'1. Live'!AS278-'check-Jul''26'!AO278)</f>
        <v/>
      </c>
      <c r="AP260" s="25" t="str">
        <f>IF('1. Live'!AT278='check-Jul''26'!AP278,"",'1. Live'!AT278-'check-Jul''26'!AP278)</f>
        <v/>
      </c>
      <c r="AQ260" s="25" t="str">
        <f>IF('1. Live'!AU278='check-Jul''26'!AQ278,"",'1. Live'!AU278-'check-Jul''26'!AQ278)</f>
        <v/>
      </c>
      <c r="AR260" s="25" t="str">
        <f>IF('1. Live'!AV278='check-Jul''26'!AR278,"",'1. Live'!AV278-'check-Jul''26'!AR278)</f>
        <v/>
      </c>
      <c r="AS260" s="25" t="str">
        <f>IF('1. Live'!AW278='check-Jul''26'!AS278,"",'1. Live'!AW278-'check-Jul''26'!AS278)</f>
        <v/>
      </c>
      <c r="AT260" s="25" t="str">
        <f>IF('1. Live'!AX278='check-Jul''26'!AT278,"",'1. Live'!AX278-'check-Jul''26'!AT278)</f>
        <v/>
      </c>
      <c r="AU260" s="25" t="str">
        <f>IF('1. Live'!AY278='check-Jul''26'!AU278,"",'1. Live'!AY278-'check-Jul''26'!AU278)</f>
        <v/>
      </c>
      <c r="AV260" s="25" t="str">
        <f>IF('1. Live'!AZ278='check-Jul''26'!AV278,"",'1. Live'!AZ278-'check-Jul''26'!AV278)</f>
        <v/>
      </c>
      <c r="AW260" s="25" t="str">
        <f>IF('1. Live'!BA278='check-Jul''26'!AW278,"",'1. Live'!BA278-'check-Jul''26'!AW278)</f>
        <v/>
      </c>
      <c r="AX260" s="25" t="str">
        <f>IF('1. Live'!BB278='check-Jul''26'!AX278,"",'1. Live'!BB278-'check-Jul''26'!AX278)</f>
        <v/>
      </c>
      <c r="AY260" s="25" t="str">
        <f>IF('1. Live'!BC278='check-Jul''26'!AY278,"",'1. Live'!BC278-'check-Jul''26'!AY278)</f>
        <v/>
      </c>
      <c r="AZ260" s="25" t="str">
        <f>IF('1. Live'!BD278='check-Jul''26'!AZ278,"",'1. Live'!BD278-'check-Jul''26'!AZ278)</f>
        <v/>
      </c>
      <c r="BA260" s="25" t="str">
        <f>IF('1. Live'!BE278='check-Jul''26'!BA278,"",'1. Live'!BE278-'check-Jul''26'!BA278)</f>
        <v/>
      </c>
      <c r="BB260" s="25" t="str">
        <f>IF('1. Live'!BF278='check-Jul''26'!BB278,"",'1. Live'!BF278-'check-Jul''26'!BB278)</f>
        <v/>
      </c>
      <c r="BC260" s="25" t="str">
        <f>IF('1. Live'!BG278='check-Jul''26'!BC278,"",'1. Live'!BG278-'check-Jul''26'!BC278)</f>
        <v/>
      </c>
      <c r="BD260" s="25" t="str">
        <f>IF('1. Live'!BH278='check-Jul''26'!BD278,"",'1. Live'!BH278-'check-Jul''26'!BD278)</f>
        <v/>
      </c>
      <c r="BE260" s="25" t="str">
        <f>IF('1. Live'!BI278='check-Jul''26'!BE278,"",'1. Live'!BI278-'check-Jul''26'!BE278)</f>
        <v/>
      </c>
      <c r="BF260" s="25" t="str">
        <f>IF('1. Live'!BJ278='check-Jul''26'!BF278,"",'1. Live'!BJ278-'check-Jul''26'!BF278)</f>
        <v/>
      </c>
      <c r="BG260" s="25" t="str">
        <f>IF('1. Live'!BK278='check-Jul''26'!BG278,"",'1. Live'!BK278-'check-Jul''26'!BG278)</f>
        <v/>
      </c>
      <c r="BH260" s="25" t="str">
        <f>IF('1. Live'!BL278='check-Jul''26'!BH278,"",'1. Live'!BL278-'check-Jul''26'!BH278)</f>
        <v/>
      </c>
      <c r="BI260" s="25" t="str">
        <f>IF('1. Live'!BM278='check-Jul''26'!BI278,"",'1. Live'!BM278-'check-Jul''26'!BI278)</f>
        <v/>
      </c>
      <c r="BJ260" s="25" t="str">
        <f>IF('1. Live'!BN278='check-Jul''26'!BJ278,"",'1. Live'!BN278-'check-Jul''26'!BJ278)</f>
        <v/>
      </c>
      <c r="BK260" s="25" t="str">
        <f>IF('1. Live'!BO278='check-Jul''26'!BK278,"",'1. Live'!BO278-'check-Jul''26'!BK278)</f>
        <v/>
      </c>
      <c r="BL260" s="25" t="str">
        <f>IF('1. Live'!BP278='check-Jul''26'!BL278,"",'1. Live'!BP278-'check-Jul''26'!BL278)</f>
        <v/>
      </c>
      <c r="BM260" s="25" t="str">
        <f>IF('1. Live'!BQ278='check-Jul''26'!BM278,"",'1. Live'!BQ278-'check-Jul''26'!BM278)</f>
        <v/>
      </c>
      <c r="BN260" s="25" t="str">
        <f>IF('1. Live'!BR278='check-Jul''26'!BN278,"",'1. Live'!BR278-'check-Jul''26'!BN278)</f>
        <v/>
      </c>
      <c r="BO260" s="25" t="str">
        <f>IF('1. Live'!BS278='check-Jul''26'!BO278,"",'1. Live'!BS278-'check-Jul''26'!BO278)</f>
        <v/>
      </c>
      <c r="BP260" s="25" t="str">
        <f>IF('1. Live'!BT278='check-Jul''26'!BP278,"",'1. Live'!BT278-'check-Jul''26'!BP278)</f>
        <v/>
      </c>
      <c r="BQ260" s="25" t="str">
        <f>IF('1. Live'!BU278='check-Jul''26'!BQ278,"",'1. Live'!BU278-'check-Jul''26'!BQ278)</f>
        <v/>
      </c>
      <c r="BR260" s="25" t="str">
        <f>IF('1. Live'!BV278='check-Jul''26'!BR278,"",'1. Live'!BV278-'check-Jul''26'!BR278)</f>
        <v/>
      </c>
      <c r="BS260" s="25" t="str">
        <f>IF('1. Live'!BW278='check-Jul''26'!BS278,"",'1. Live'!BW278-'check-Jul''26'!BS278)</f>
        <v/>
      </c>
      <c r="BT260" s="25" t="str">
        <f>IF('1. Live'!BX278='check-Jul''26'!BT278,"",'1. Live'!BX278-'check-Jul''26'!BT278)</f>
        <v/>
      </c>
      <c r="BU260" s="25" t="str">
        <f>IF('1. Live'!BY278='check-Jul''26'!BU278,"",'1. Live'!BY278-'check-Jul''26'!BU278)</f>
        <v/>
      </c>
      <c r="BV260" s="25" t="str">
        <f>IF('1. Live'!BZ278='check-Jul''26'!BV278,"",'1. Live'!BZ278-'check-Jul''26'!BV278)</f>
        <v/>
      </c>
      <c r="BW260" s="25" t="str">
        <f>IF('1. Live'!CA278='check-Jul''26'!BW278,"",'1. Live'!CA278-'check-Jul''26'!BW278)</f>
        <v/>
      </c>
      <c r="BX260" s="25" t="str">
        <f>IF('1. Live'!CB278='check-Jul''26'!BX278,"",'1. Live'!CB278-'check-Jul''26'!BX278)</f>
        <v/>
      </c>
      <c r="BY260" s="25" t="str">
        <f>IF('1. Live'!CC278='check-Jul''26'!BY278,"",'1. Live'!CC278-'check-Jul''26'!BY278)</f>
        <v/>
      </c>
      <c r="BZ260" s="25" t="str">
        <f>IF('1. Live'!CD278='check-Jul''26'!BZ278,"",'1. Live'!CD278-'check-Jul''26'!BZ278)</f>
        <v/>
      </c>
      <c r="CA260" s="25" t="str">
        <f>IF('1. Live'!CE278='check-Jul''26'!CA278,"",'1. Live'!CE278-'check-Jul''26'!CA278)</f>
        <v/>
      </c>
      <c r="CB260" s="25" t="str">
        <f>IF('1. Live'!CF278='check-Jul''26'!CB278,"",'1. Live'!CF278-'check-Jul''26'!CB278)</f>
        <v/>
      </c>
      <c r="CC260" s="25" t="str">
        <f>IF('1. Live'!CG278='check-Jul''26'!CC278,"",'1. Live'!CG278-'check-Jul''26'!CC278)</f>
        <v/>
      </c>
      <c r="CD260" s="25" t="str">
        <f>IF('1. Live'!CH278='check-Jul''26'!CD278,"",'1. Live'!CH278-'check-Jul''26'!CD278)</f>
        <v/>
      </c>
      <c r="CE260" s="25" t="str">
        <f>IF('1. Live'!CI278='check-Jul''26'!CE278,"",'1. Live'!CI278-'check-Jul''26'!CE278)</f>
        <v/>
      </c>
      <c r="CF260" s="25" t="str">
        <f>IF('1. Live'!CJ278='check-Jul''26'!CF278,"",'1. Live'!CJ278-'check-Jul''26'!CF278)</f>
        <v/>
      </c>
      <c r="CG260" s="25" t="str">
        <f>IF('1. Live'!CK278='check-Jul''26'!CG278,"",'1. Live'!CK278-'check-Jul''26'!CG278)</f>
        <v/>
      </c>
      <c r="CH260" s="25" t="str">
        <f>IF('1. Live'!CL278='check-Jul''26'!CH278,"",'1. Live'!CL278-'check-Jul''26'!CH278)</f>
        <v/>
      </c>
      <c r="CI260" s="25" t="str">
        <f>IF('1. Live'!CM278='check-Jul''26'!CI278,"",'1. Live'!CM278-'check-Jul''26'!CI278)</f>
        <v/>
      </c>
      <c r="CJ260" s="25" t="str">
        <f>IF('1. Live'!CN278='check-Jul''26'!CJ278,"",'1. Live'!CN278-'check-Jul''26'!CJ278)</f>
        <v/>
      </c>
      <c r="CK260" s="25" t="str">
        <f>IF('1. Live'!CO278='check-Jul''26'!CK278,"",'1. Live'!CO278-'check-Jul''26'!CK278)</f>
        <v/>
      </c>
      <c r="CL260" s="25" t="str">
        <f>IF('1. Live'!CP278='check-Jul''26'!CL278,"",'1. Live'!CP278-'check-Jul''26'!CL278)</f>
        <v/>
      </c>
      <c r="CM260" s="25" t="str">
        <f>IF('1. Live'!CQ278='check-Jul''26'!CM278,"",'1. Live'!CQ278-'check-Jul''26'!CM278)</f>
        <v/>
      </c>
      <c r="CN260" s="25" t="str">
        <f>IF('1. Live'!CR278='check-Jul''26'!CN278,"",'1. Live'!CR278-'check-Jul''26'!CN278)</f>
        <v/>
      </c>
      <c r="CO260" s="25" t="str">
        <f>IF('1. Live'!CS278='check-Jul''26'!CO278,"",'1. Live'!CS278-'check-Jul''26'!CO278)</f>
        <v/>
      </c>
      <c r="CP260" s="25" t="str">
        <f>IF('1. Live'!CT278='check-Jul''26'!CP278,"",'1. Live'!CT278-'check-Jul''26'!CP278)</f>
        <v/>
      </c>
      <c r="CQ260" s="25" t="str">
        <f>IF('1. Live'!CU278='check-Jul''26'!CQ278,"",'1. Live'!CU278-'check-Jul''26'!CQ278)</f>
        <v/>
      </c>
      <c r="CR260" s="25" t="str">
        <f>IF('1. Live'!CV278='check-Jul''26'!CR278,"",'1. Live'!CV278-'check-Jul''26'!CR278)</f>
        <v/>
      </c>
      <c r="CS260" s="25" t="str">
        <f>IF('1. Live'!CW278='check-Jul''26'!CS278,"",'1. Live'!CW278-'check-Jul''26'!CS278)</f>
        <v/>
      </c>
      <c r="CT260" s="25" t="str">
        <f>IF('1. Live'!CX278='check-Jul''26'!CT278,"",'1. Live'!CX278-'check-Jul''26'!CT278)</f>
        <v/>
      </c>
      <c r="CU260" s="25" t="str">
        <f>IF('1. Live'!CY278='check-Jul''26'!CU278,"",'1. Live'!CY278-'check-Jul''26'!CU278)</f>
        <v/>
      </c>
      <c r="CV260" s="25" t="str">
        <f>IF('1. Live'!CZ278='check-Jul''26'!CV278,"",'1. Live'!CZ278-'check-Jul''26'!CV278)</f>
        <v/>
      </c>
    </row>
    <row r="261" spans="17:100" x14ac:dyDescent="0.25">
      <c r="Q261" s="26" t="str">
        <f>IF('1. Live'!N279='check-Jul''26'!I279,"",'1. Live'!N279-'check-Jul''26'!I279)</f>
        <v/>
      </c>
      <c r="R261" s="26" t="str">
        <f>IF('1. Live'!O279='check-Jul''26'!J279,"",'1. Live'!O279-'check-Jul''26'!J279)</f>
        <v/>
      </c>
      <c r="S261" s="26" t="str">
        <f>IF('1. Live'!P279='check-Jul''26'!K279,"",'1. Live'!P279-'check-Jul''26'!K279)</f>
        <v/>
      </c>
      <c r="T261" s="26" t="str">
        <f>IF('1. Live'!Q279='check-Jul''26'!L279,"",'1. Live'!Q279-'check-Jul''26'!L279)</f>
        <v/>
      </c>
      <c r="U261" s="80" t="str">
        <f>IF('1. Live'!R279='check-Jul''26'!M279,"",'1. Live'!R279-'check-Jul''26'!M279)</f>
        <v/>
      </c>
      <c r="V261" s="26" t="str">
        <f>IF('1. Live'!S279='check-Jul''26'!N279,"",'1. Live'!S279-'check-Jul''26'!N279)</f>
        <v/>
      </c>
      <c r="W261" s="25" t="str">
        <f>IF('1. Live'!T279='check-Jul''26'!O279,"",'1. Live'!T279-'check-Jul''26'!O279)</f>
        <v/>
      </c>
      <c r="X261" s="25" t="str">
        <f>IF('1. Live'!U279='check-Jul''26'!Q279,"",'1. Live'!U279-'check-Jul''26'!Q279)</f>
        <v/>
      </c>
      <c r="Y261" s="25" t="str">
        <f>IF('1. Live'!V279='check-Jul''26'!R279,"",'1. Live'!V279-'check-Jul''26'!R279)</f>
        <v/>
      </c>
      <c r="Z261" s="25" t="str">
        <f>IF('1. Live'!W279='check-Jul''26'!S279,"",'1. Live'!W279-'check-Jul''26'!S279)</f>
        <v/>
      </c>
      <c r="AA261" s="25" t="str">
        <f>IF('1. Live'!X279='check-Jul''26'!T279,"",'1. Live'!X279-'check-Jul''26'!T279)</f>
        <v/>
      </c>
      <c r="AB261" s="25" t="str">
        <f>IF('1. Live'!AF279='check-Jul''26'!AB279,"",'1. Live'!AF279-'check-Jul''26'!AB279)</f>
        <v/>
      </c>
      <c r="AC261" s="25" t="str">
        <f>IF('1. Live'!AG279='check-Jul''26'!AC279,"",'1. Live'!AG279-'check-Jul''26'!AC279)</f>
        <v/>
      </c>
      <c r="AD261" s="25" t="str">
        <f>IF('1. Live'!AH279='check-Jul''26'!AD279,"",'1. Live'!AH279-'check-Jul''26'!AD279)</f>
        <v/>
      </c>
      <c r="AE261" s="25" t="str">
        <f>IF('1. Live'!AI279='check-Jul''26'!AE279,"",'1. Live'!AI279-'check-Jul''26'!AE279)</f>
        <v/>
      </c>
      <c r="AF261" s="25" t="str">
        <f>IF('1. Live'!AJ279='check-Jul''26'!AF279,"",'1. Live'!AJ279-'check-Jul''26'!AF279)</f>
        <v/>
      </c>
      <c r="AG261" s="25" t="str">
        <f>IF('1. Live'!AK279='check-Jul''26'!AG279,"",'1. Live'!AK279-'check-Jul''26'!AG279)</f>
        <v/>
      </c>
      <c r="AH261" s="25" t="str">
        <f>IF('1. Live'!AL279='check-Jul''26'!AH279,"",'1. Live'!AL279-'check-Jul''26'!AH279)</f>
        <v/>
      </c>
      <c r="AI261" s="25" t="str">
        <f>IF('1. Live'!AM279='check-Jul''26'!AI279,"",'1. Live'!AM279-'check-Jul''26'!AI279)</f>
        <v/>
      </c>
      <c r="AJ261" s="25" t="str">
        <f>IF('1. Live'!AN279='check-Jul''26'!AJ279,"",'1. Live'!AN279-'check-Jul''26'!AJ279)</f>
        <v/>
      </c>
      <c r="AK261" s="25" t="str">
        <f>IF('1. Live'!AO279='check-Jul''26'!AK279,"",'1. Live'!AO279-'check-Jul''26'!AK279)</f>
        <v/>
      </c>
      <c r="AL261" s="25" t="str">
        <f>IF('1. Live'!AP279='check-Jul''26'!AL279,"",'1. Live'!AP279-'check-Jul''26'!AL279)</f>
        <v/>
      </c>
      <c r="AM261" s="25" t="str">
        <f>IF('1. Live'!AQ279='check-Jul''26'!AM279,"",'1. Live'!AQ279-'check-Jul''26'!AM279)</f>
        <v/>
      </c>
      <c r="AN261" s="25" t="str">
        <f>IF('1. Live'!AR279='check-Jul''26'!AN279,"",'1. Live'!AR279-'check-Jul''26'!AN279)</f>
        <v/>
      </c>
      <c r="AO261" s="25" t="str">
        <f>IF('1. Live'!AS279='check-Jul''26'!AO279,"",'1. Live'!AS279-'check-Jul''26'!AO279)</f>
        <v/>
      </c>
      <c r="AP261" s="25" t="str">
        <f>IF('1. Live'!AT279='check-Jul''26'!AP279,"",'1. Live'!AT279-'check-Jul''26'!AP279)</f>
        <v/>
      </c>
      <c r="AQ261" s="25" t="str">
        <f>IF('1. Live'!AU279='check-Jul''26'!AQ279,"",'1. Live'!AU279-'check-Jul''26'!AQ279)</f>
        <v/>
      </c>
      <c r="AR261" s="25" t="str">
        <f>IF('1. Live'!AV279='check-Jul''26'!AR279,"",'1. Live'!AV279-'check-Jul''26'!AR279)</f>
        <v/>
      </c>
      <c r="AS261" s="25" t="str">
        <f>IF('1. Live'!AW279='check-Jul''26'!AS279,"",'1. Live'!AW279-'check-Jul''26'!AS279)</f>
        <v/>
      </c>
      <c r="AT261" s="25" t="str">
        <f>IF('1. Live'!AX279='check-Jul''26'!AT279,"",'1. Live'!AX279-'check-Jul''26'!AT279)</f>
        <v/>
      </c>
      <c r="AU261" s="25" t="str">
        <f>IF('1. Live'!AY279='check-Jul''26'!AU279,"",'1. Live'!AY279-'check-Jul''26'!AU279)</f>
        <v/>
      </c>
      <c r="AV261" s="25" t="str">
        <f>IF('1. Live'!AZ279='check-Jul''26'!AV279,"",'1. Live'!AZ279-'check-Jul''26'!AV279)</f>
        <v/>
      </c>
      <c r="AW261" s="25" t="str">
        <f>IF('1. Live'!BA279='check-Jul''26'!AW279,"",'1. Live'!BA279-'check-Jul''26'!AW279)</f>
        <v/>
      </c>
      <c r="AX261" s="25" t="str">
        <f>IF('1. Live'!BB279='check-Jul''26'!AX279,"",'1. Live'!BB279-'check-Jul''26'!AX279)</f>
        <v/>
      </c>
      <c r="AY261" s="25" t="str">
        <f>IF('1. Live'!BC279='check-Jul''26'!AY279,"",'1. Live'!BC279-'check-Jul''26'!AY279)</f>
        <v/>
      </c>
      <c r="AZ261" s="25" t="str">
        <f>IF('1. Live'!BD279='check-Jul''26'!AZ279,"",'1. Live'!BD279-'check-Jul''26'!AZ279)</f>
        <v/>
      </c>
      <c r="BA261" s="25" t="str">
        <f>IF('1. Live'!BE279='check-Jul''26'!BA279,"",'1. Live'!BE279-'check-Jul''26'!BA279)</f>
        <v/>
      </c>
      <c r="BB261" s="25" t="str">
        <f>IF('1. Live'!BF279='check-Jul''26'!BB279,"",'1. Live'!BF279-'check-Jul''26'!BB279)</f>
        <v/>
      </c>
      <c r="BC261" s="25" t="str">
        <f>IF('1. Live'!BG279='check-Jul''26'!BC279,"",'1. Live'!BG279-'check-Jul''26'!BC279)</f>
        <v/>
      </c>
      <c r="BD261" s="25" t="str">
        <f>IF('1. Live'!BH279='check-Jul''26'!BD279,"",'1. Live'!BH279-'check-Jul''26'!BD279)</f>
        <v/>
      </c>
      <c r="BE261" s="25" t="str">
        <f>IF('1. Live'!BI279='check-Jul''26'!BE279,"",'1. Live'!BI279-'check-Jul''26'!BE279)</f>
        <v/>
      </c>
      <c r="BF261" s="25" t="str">
        <f>IF('1. Live'!BJ279='check-Jul''26'!BF279,"",'1. Live'!BJ279-'check-Jul''26'!BF279)</f>
        <v/>
      </c>
      <c r="BG261" s="25" t="str">
        <f>IF('1. Live'!BK279='check-Jul''26'!BG279,"",'1. Live'!BK279-'check-Jul''26'!BG279)</f>
        <v/>
      </c>
      <c r="BH261" s="25" t="str">
        <f>IF('1. Live'!BL279='check-Jul''26'!BH279,"",'1. Live'!BL279-'check-Jul''26'!BH279)</f>
        <v/>
      </c>
      <c r="BI261" s="25" t="str">
        <f>IF('1. Live'!BM279='check-Jul''26'!BI279,"",'1. Live'!BM279-'check-Jul''26'!BI279)</f>
        <v/>
      </c>
      <c r="BJ261" s="25" t="str">
        <f>IF('1. Live'!BN279='check-Jul''26'!BJ279,"",'1. Live'!BN279-'check-Jul''26'!BJ279)</f>
        <v/>
      </c>
      <c r="BK261" s="25" t="str">
        <f>IF('1. Live'!BO279='check-Jul''26'!BK279,"",'1. Live'!BO279-'check-Jul''26'!BK279)</f>
        <v/>
      </c>
      <c r="BL261" s="25" t="str">
        <f>IF('1. Live'!BP279='check-Jul''26'!BL279,"",'1. Live'!BP279-'check-Jul''26'!BL279)</f>
        <v/>
      </c>
      <c r="BM261" s="25" t="str">
        <f>IF('1. Live'!BQ279='check-Jul''26'!BM279,"",'1. Live'!BQ279-'check-Jul''26'!BM279)</f>
        <v/>
      </c>
      <c r="BN261" s="25" t="str">
        <f>IF('1. Live'!BR279='check-Jul''26'!BN279,"",'1. Live'!BR279-'check-Jul''26'!BN279)</f>
        <v/>
      </c>
      <c r="BO261" s="25" t="str">
        <f>IF('1. Live'!BS279='check-Jul''26'!BO279,"",'1. Live'!BS279-'check-Jul''26'!BO279)</f>
        <v/>
      </c>
      <c r="BP261" s="25" t="str">
        <f>IF('1. Live'!BT279='check-Jul''26'!BP279,"",'1. Live'!BT279-'check-Jul''26'!BP279)</f>
        <v/>
      </c>
      <c r="BQ261" s="25" t="str">
        <f>IF('1. Live'!BU279='check-Jul''26'!BQ279,"",'1. Live'!BU279-'check-Jul''26'!BQ279)</f>
        <v/>
      </c>
      <c r="BR261" s="25" t="str">
        <f>IF('1. Live'!BV279='check-Jul''26'!BR279,"",'1. Live'!BV279-'check-Jul''26'!BR279)</f>
        <v/>
      </c>
      <c r="BS261" s="25" t="str">
        <f>IF('1. Live'!BW279='check-Jul''26'!BS279,"",'1. Live'!BW279-'check-Jul''26'!BS279)</f>
        <v/>
      </c>
      <c r="BT261" s="25" t="str">
        <f>IF('1. Live'!BX279='check-Jul''26'!BT279,"",'1. Live'!BX279-'check-Jul''26'!BT279)</f>
        <v/>
      </c>
      <c r="BU261" s="25" t="str">
        <f>IF('1. Live'!BY279='check-Jul''26'!BU279,"",'1. Live'!BY279-'check-Jul''26'!BU279)</f>
        <v/>
      </c>
      <c r="BV261" s="25" t="str">
        <f>IF('1. Live'!BZ279='check-Jul''26'!BV279,"",'1. Live'!BZ279-'check-Jul''26'!BV279)</f>
        <v/>
      </c>
      <c r="BW261" s="25" t="str">
        <f>IF('1. Live'!CA279='check-Jul''26'!BW279,"",'1. Live'!CA279-'check-Jul''26'!BW279)</f>
        <v/>
      </c>
      <c r="BX261" s="25" t="str">
        <f>IF('1. Live'!CB279='check-Jul''26'!BX279,"",'1. Live'!CB279-'check-Jul''26'!BX279)</f>
        <v/>
      </c>
      <c r="BY261" s="25" t="str">
        <f>IF('1. Live'!CC279='check-Jul''26'!BY279,"",'1. Live'!CC279-'check-Jul''26'!BY279)</f>
        <v/>
      </c>
      <c r="BZ261" s="25" t="str">
        <f>IF('1. Live'!CD279='check-Jul''26'!BZ279,"",'1. Live'!CD279-'check-Jul''26'!BZ279)</f>
        <v/>
      </c>
      <c r="CA261" s="25" t="str">
        <f>IF('1. Live'!CE279='check-Jul''26'!CA279,"",'1. Live'!CE279-'check-Jul''26'!CA279)</f>
        <v/>
      </c>
      <c r="CB261" s="25" t="str">
        <f>IF('1. Live'!CF279='check-Jul''26'!CB279,"",'1. Live'!CF279-'check-Jul''26'!CB279)</f>
        <v/>
      </c>
      <c r="CC261" s="25" t="str">
        <f>IF('1. Live'!CG279='check-Jul''26'!CC279,"",'1. Live'!CG279-'check-Jul''26'!CC279)</f>
        <v/>
      </c>
      <c r="CD261" s="25" t="str">
        <f>IF('1. Live'!CH279='check-Jul''26'!CD279,"",'1. Live'!CH279-'check-Jul''26'!CD279)</f>
        <v/>
      </c>
      <c r="CE261" s="25" t="str">
        <f>IF('1. Live'!CI279='check-Jul''26'!CE279,"",'1. Live'!CI279-'check-Jul''26'!CE279)</f>
        <v/>
      </c>
      <c r="CF261" s="25" t="str">
        <f>IF('1. Live'!CJ279='check-Jul''26'!CF279,"",'1. Live'!CJ279-'check-Jul''26'!CF279)</f>
        <v/>
      </c>
      <c r="CG261" s="25" t="str">
        <f>IF('1. Live'!CK279='check-Jul''26'!CG279,"",'1. Live'!CK279-'check-Jul''26'!CG279)</f>
        <v/>
      </c>
      <c r="CH261" s="25" t="str">
        <f>IF('1. Live'!CL279='check-Jul''26'!CH279,"",'1. Live'!CL279-'check-Jul''26'!CH279)</f>
        <v/>
      </c>
      <c r="CI261" s="25" t="str">
        <f>IF('1. Live'!CM279='check-Jul''26'!CI279,"",'1. Live'!CM279-'check-Jul''26'!CI279)</f>
        <v/>
      </c>
      <c r="CJ261" s="25" t="str">
        <f>IF('1. Live'!CN279='check-Jul''26'!CJ279,"",'1. Live'!CN279-'check-Jul''26'!CJ279)</f>
        <v/>
      </c>
      <c r="CK261" s="25" t="str">
        <f>IF('1. Live'!CO279='check-Jul''26'!CK279,"",'1. Live'!CO279-'check-Jul''26'!CK279)</f>
        <v/>
      </c>
      <c r="CL261" s="25" t="str">
        <f>IF('1. Live'!CP279='check-Jul''26'!CL279,"",'1. Live'!CP279-'check-Jul''26'!CL279)</f>
        <v/>
      </c>
      <c r="CM261" s="25" t="str">
        <f>IF('1. Live'!CQ279='check-Jul''26'!CM279,"",'1. Live'!CQ279-'check-Jul''26'!CM279)</f>
        <v/>
      </c>
      <c r="CN261" s="25" t="str">
        <f>IF('1. Live'!CR279='check-Jul''26'!CN279,"",'1. Live'!CR279-'check-Jul''26'!CN279)</f>
        <v/>
      </c>
      <c r="CO261" s="25" t="str">
        <f>IF('1. Live'!CS279='check-Jul''26'!CO279,"",'1. Live'!CS279-'check-Jul''26'!CO279)</f>
        <v/>
      </c>
      <c r="CP261" s="25" t="str">
        <f>IF('1. Live'!CT279='check-Jul''26'!CP279,"",'1. Live'!CT279-'check-Jul''26'!CP279)</f>
        <v/>
      </c>
      <c r="CQ261" s="25" t="str">
        <f>IF('1. Live'!CU279='check-Jul''26'!CQ279,"",'1. Live'!CU279-'check-Jul''26'!CQ279)</f>
        <v/>
      </c>
      <c r="CR261" s="25" t="str">
        <f>IF('1. Live'!CV279='check-Jul''26'!CR279,"",'1. Live'!CV279-'check-Jul''26'!CR279)</f>
        <v/>
      </c>
      <c r="CS261" s="25" t="str">
        <f>IF('1. Live'!CW279='check-Jul''26'!CS279,"",'1. Live'!CW279-'check-Jul''26'!CS279)</f>
        <v/>
      </c>
      <c r="CT261" s="25" t="str">
        <f>IF('1. Live'!CX279='check-Jul''26'!CT279,"",'1. Live'!CX279-'check-Jul''26'!CT279)</f>
        <v/>
      </c>
      <c r="CU261" s="25" t="str">
        <f>IF('1. Live'!CY279='check-Jul''26'!CU279,"",'1. Live'!CY279-'check-Jul''26'!CU279)</f>
        <v/>
      </c>
      <c r="CV261" s="25" t="str">
        <f>IF('1. Live'!CZ279='check-Jul''26'!CV279,"",'1. Live'!CZ279-'check-Jul''26'!CV279)</f>
        <v/>
      </c>
    </row>
    <row r="262" spans="17:100" x14ac:dyDescent="0.25">
      <c r="Q262" s="26" t="str">
        <f>IF('1. Live'!N280='check-Jul''26'!I280,"",'1. Live'!N280-'check-Jul''26'!I280)</f>
        <v/>
      </c>
      <c r="R262" s="26" t="str">
        <f>IF('1. Live'!O280='check-Jul''26'!J280,"",'1. Live'!O280-'check-Jul''26'!J280)</f>
        <v/>
      </c>
      <c r="S262" s="26" t="str">
        <f>IF('1. Live'!P280='check-Jul''26'!K280,"",'1. Live'!P280-'check-Jul''26'!K280)</f>
        <v/>
      </c>
      <c r="T262" s="26" t="str">
        <f>IF('1. Live'!Q280='check-Jul''26'!L280,"",'1. Live'!Q280-'check-Jul''26'!L280)</f>
        <v/>
      </c>
      <c r="U262" s="80" t="str">
        <f>IF('1. Live'!R280='check-Jul''26'!M280,"",'1. Live'!R280-'check-Jul''26'!M280)</f>
        <v/>
      </c>
      <c r="V262" s="26" t="str">
        <f>IF('1. Live'!S280='check-Jul''26'!N280,"",'1. Live'!S280-'check-Jul''26'!N280)</f>
        <v/>
      </c>
      <c r="W262" s="25" t="str">
        <f>IF('1. Live'!T280='check-Jul''26'!O280,"",'1. Live'!T280-'check-Jul''26'!O280)</f>
        <v/>
      </c>
      <c r="X262" s="25" t="str">
        <f>IF('1. Live'!U280='check-Jul''26'!Q280,"",'1. Live'!U280-'check-Jul''26'!Q280)</f>
        <v/>
      </c>
      <c r="Y262" s="25" t="str">
        <f>IF('1. Live'!V280='check-Jul''26'!R280,"",'1. Live'!V280-'check-Jul''26'!R280)</f>
        <v/>
      </c>
      <c r="Z262" s="25" t="str">
        <f>IF('1. Live'!W280='check-Jul''26'!S280,"",'1. Live'!W280-'check-Jul''26'!S280)</f>
        <v/>
      </c>
      <c r="AA262" s="25" t="str">
        <f>IF('1. Live'!X280='check-Jul''26'!T280,"",'1. Live'!X280-'check-Jul''26'!T280)</f>
        <v/>
      </c>
      <c r="AB262" s="25" t="str">
        <f>IF('1. Live'!AF280='check-Jul''26'!AB280,"",'1. Live'!AF280-'check-Jul''26'!AB280)</f>
        <v/>
      </c>
      <c r="AC262" s="25" t="str">
        <f>IF('1. Live'!AG280='check-Jul''26'!AC280,"",'1. Live'!AG280-'check-Jul''26'!AC280)</f>
        <v/>
      </c>
      <c r="AD262" s="25" t="str">
        <f>IF('1. Live'!AH280='check-Jul''26'!AD280,"",'1. Live'!AH280-'check-Jul''26'!AD280)</f>
        <v/>
      </c>
      <c r="AE262" s="25" t="str">
        <f>IF('1. Live'!AI280='check-Jul''26'!AE280,"",'1. Live'!AI280-'check-Jul''26'!AE280)</f>
        <v/>
      </c>
      <c r="AF262" s="25" t="str">
        <f>IF('1. Live'!AJ280='check-Jul''26'!AF280,"",'1. Live'!AJ280-'check-Jul''26'!AF280)</f>
        <v/>
      </c>
      <c r="AG262" s="25" t="str">
        <f>IF('1. Live'!AK280='check-Jul''26'!AG280,"",'1. Live'!AK280-'check-Jul''26'!AG280)</f>
        <v/>
      </c>
      <c r="AH262" s="25" t="str">
        <f>IF('1. Live'!AL280='check-Jul''26'!AH280,"",'1. Live'!AL280-'check-Jul''26'!AH280)</f>
        <v/>
      </c>
      <c r="AI262" s="25" t="str">
        <f>IF('1. Live'!AM280='check-Jul''26'!AI280,"",'1. Live'!AM280-'check-Jul''26'!AI280)</f>
        <v/>
      </c>
      <c r="AJ262" s="25" t="str">
        <f>IF('1. Live'!AN280='check-Jul''26'!AJ280,"",'1. Live'!AN280-'check-Jul''26'!AJ280)</f>
        <v/>
      </c>
      <c r="AK262" s="25" t="str">
        <f>IF('1. Live'!AO280='check-Jul''26'!AK280,"",'1. Live'!AO280-'check-Jul''26'!AK280)</f>
        <v/>
      </c>
      <c r="AL262" s="25" t="str">
        <f>IF('1. Live'!AP280='check-Jul''26'!AL280,"",'1. Live'!AP280-'check-Jul''26'!AL280)</f>
        <v/>
      </c>
      <c r="AM262" s="25" t="str">
        <f>IF('1. Live'!AQ280='check-Jul''26'!AM280,"",'1. Live'!AQ280-'check-Jul''26'!AM280)</f>
        <v/>
      </c>
      <c r="AN262" s="25" t="str">
        <f>IF('1. Live'!AR280='check-Jul''26'!AN280,"",'1. Live'!AR280-'check-Jul''26'!AN280)</f>
        <v/>
      </c>
      <c r="AO262" s="25" t="str">
        <f>IF('1. Live'!AS280='check-Jul''26'!AO280,"",'1. Live'!AS280-'check-Jul''26'!AO280)</f>
        <v/>
      </c>
      <c r="AP262" s="25" t="str">
        <f>IF('1. Live'!AT280='check-Jul''26'!AP280,"",'1. Live'!AT280-'check-Jul''26'!AP280)</f>
        <v/>
      </c>
      <c r="AQ262" s="25" t="str">
        <f>IF('1. Live'!AU280='check-Jul''26'!AQ280,"",'1. Live'!AU280-'check-Jul''26'!AQ280)</f>
        <v/>
      </c>
      <c r="AR262" s="25" t="str">
        <f>IF('1. Live'!AV280='check-Jul''26'!AR280,"",'1. Live'!AV280-'check-Jul''26'!AR280)</f>
        <v/>
      </c>
      <c r="AS262" s="25" t="str">
        <f>IF('1. Live'!AW280='check-Jul''26'!AS280,"",'1. Live'!AW280-'check-Jul''26'!AS280)</f>
        <v/>
      </c>
      <c r="AT262" s="25" t="str">
        <f>IF('1. Live'!AX280='check-Jul''26'!AT280,"",'1. Live'!AX280-'check-Jul''26'!AT280)</f>
        <v/>
      </c>
      <c r="AU262" s="25" t="str">
        <f>IF('1. Live'!AY280='check-Jul''26'!AU280,"",'1. Live'!AY280-'check-Jul''26'!AU280)</f>
        <v/>
      </c>
      <c r="AV262" s="25" t="str">
        <f>IF('1. Live'!AZ280='check-Jul''26'!AV280,"",'1. Live'!AZ280-'check-Jul''26'!AV280)</f>
        <v/>
      </c>
      <c r="AW262" s="25" t="str">
        <f>IF('1. Live'!BA280='check-Jul''26'!AW280,"",'1. Live'!BA280-'check-Jul''26'!AW280)</f>
        <v/>
      </c>
      <c r="AX262" s="25" t="str">
        <f>IF('1. Live'!BB280='check-Jul''26'!AX280,"",'1. Live'!BB280-'check-Jul''26'!AX280)</f>
        <v/>
      </c>
      <c r="AY262" s="25" t="str">
        <f>IF('1. Live'!BC280='check-Jul''26'!AY280,"",'1. Live'!BC280-'check-Jul''26'!AY280)</f>
        <v/>
      </c>
      <c r="AZ262" s="25" t="str">
        <f>IF('1. Live'!BD280='check-Jul''26'!AZ280,"",'1. Live'!BD280-'check-Jul''26'!AZ280)</f>
        <v/>
      </c>
      <c r="BA262" s="25" t="str">
        <f>IF('1. Live'!BE280='check-Jul''26'!BA280,"",'1. Live'!BE280-'check-Jul''26'!BA280)</f>
        <v/>
      </c>
      <c r="BB262" s="25" t="str">
        <f>IF('1. Live'!BF280='check-Jul''26'!BB280,"",'1. Live'!BF280-'check-Jul''26'!BB280)</f>
        <v/>
      </c>
      <c r="BC262" s="25" t="str">
        <f>IF('1. Live'!BG280='check-Jul''26'!BC280,"",'1. Live'!BG280-'check-Jul''26'!BC280)</f>
        <v/>
      </c>
      <c r="BD262" s="25" t="str">
        <f>IF('1. Live'!BH280='check-Jul''26'!BD280,"",'1. Live'!BH280-'check-Jul''26'!BD280)</f>
        <v/>
      </c>
      <c r="BE262" s="25" t="str">
        <f>IF('1. Live'!BI280='check-Jul''26'!BE280,"",'1. Live'!BI280-'check-Jul''26'!BE280)</f>
        <v/>
      </c>
      <c r="BF262" s="25" t="str">
        <f>IF('1. Live'!BJ280='check-Jul''26'!BF280,"",'1. Live'!BJ280-'check-Jul''26'!BF280)</f>
        <v/>
      </c>
      <c r="BG262" s="25" t="str">
        <f>IF('1. Live'!BK280='check-Jul''26'!BG280,"",'1. Live'!BK280-'check-Jul''26'!BG280)</f>
        <v/>
      </c>
      <c r="BH262" s="25" t="str">
        <f>IF('1. Live'!BL280='check-Jul''26'!BH280,"",'1. Live'!BL280-'check-Jul''26'!BH280)</f>
        <v/>
      </c>
      <c r="BI262" s="25" t="str">
        <f>IF('1. Live'!BM280='check-Jul''26'!BI280,"",'1. Live'!BM280-'check-Jul''26'!BI280)</f>
        <v/>
      </c>
      <c r="BJ262" s="25" t="str">
        <f>IF('1. Live'!BN280='check-Jul''26'!BJ280,"",'1. Live'!BN280-'check-Jul''26'!BJ280)</f>
        <v/>
      </c>
      <c r="BK262" s="25" t="str">
        <f>IF('1. Live'!BO280='check-Jul''26'!BK280,"",'1. Live'!BO280-'check-Jul''26'!BK280)</f>
        <v/>
      </c>
      <c r="BL262" s="25" t="str">
        <f>IF('1. Live'!BP280='check-Jul''26'!BL280,"",'1. Live'!BP280-'check-Jul''26'!BL280)</f>
        <v/>
      </c>
      <c r="BM262" s="25" t="str">
        <f>IF('1. Live'!BQ280='check-Jul''26'!BM280,"",'1. Live'!BQ280-'check-Jul''26'!BM280)</f>
        <v/>
      </c>
      <c r="BN262" s="25" t="str">
        <f>IF('1. Live'!BR280='check-Jul''26'!BN280,"",'1. Live'!BR280-'check-Jul''26'!BN280)</f>
        <v/>
      </c>
      <c r="BO262" s="25" t="str">
        <f>IF('1. Live'!BS280='check-Jul''26'!BO280,"",'1. Live'!BS280-'check-Jul''26'!BO280)</f>
        <v/>
      </c>
      <c r="BP262" s="25" t="str">
        <f>IF('1. Live'!BT280='check-Jul''26'!BP280,"",'1. Live'!BT280-'check-Jul''26'!BP280)</f>
        <v/>
      </c>
      <c r="BQ262" s="25" t="str">
        <f>IF('1. Live'!BU280='check-Jul''26'!BQ280,"",'1. Live'!BU280-'check-Jul''26'!BQ280)</f>
        <v/>
      </c>
      <c r="BR262" s="25" t="str">
        <f>IF('1. Live'!BV280='check-Jul''26'!BR280,"",'1. Live'!BV280-'check-Jul''26'!BR280)</f>
        <v/>
      </c>
      <c r="BS262" s="25" t="str">
        <f>IF('1. Live'!BW280='check-Jul''26'!BS280,"",'1. Live'!BW280-'check-Jul''26'!BS280)</f>
        <v/>
      </c>
      <c r="BT262" s="25" t="str">
        <f>IF('1. Live'!BX280='check-Jul''26'!BT280,"",'1. Live'!BX280-'check-Jul''26'!BT280)</f>
        <v/>
      </c>
      <c r="BU262" s="25" t="str">
        <f>IF('1. Live'!BY280='check-Jul''26'!BU280,"",'1. Live'!BY280-'check-Jul''26'!BU280)</f>
        <v/>
      </c>
      <c r="BV262" s="25" t="str">
        <f>IF('1. Live'!BZ280='check-Jul''26'!BV280,"",'1. Live'!BZ280-'check-Jul''26'!BV280)</f>
        <v/>
      </c>
      <c r="BW262" s="25" t="str">
        <f>IF('1. Live'!CA280='check-Jul''26'!BW280,"",'1. Live'!CA280-'check-Jul''26'!BW280)</f>
        <v/>
      </c>
      <c r="BX262" s="25" t="str">
        <f>IF('1. Live'!CB280='check-Jul''26'!BX280,"",'1. Live'!CB280-'check-Jul''26'!BX280)</f>
        <v/>
      </c>
      <c r="BY262" s="25" t="str">
        <f>IF('1. Live'!CC280='check-Jul''26'!BY280,"",'1. Live'!CC280-'check-Jul''26'!BY280)</f>
        <v/>
      </c>
      <c r="BZ262" s="25" t="str">
        <f>IF('1. Live'!CD280='check-Jul''26'!BZ280,"",'1. Live'!CD280-'check-Jul''26'!BZ280)</f>
        <v/>
      </c>
      <c r="CA262" s="25" t="str">
        <f>IF('1. Live'!CE280='check-Jul''26'!CA280,"",'1. Live'!CE280-'check-Jul''26'!CA280)</f>
        <v/>
      </c>
      <c r="CB262" s="25" t="str">
        <f>IF('1. Live'!CF280='check-Jul''26'!CB280,"",'1. Live'!CF280-'check-Jul''26'!CB280)</f>
        <v/>
      </c>
      <c r="CC262" s="25" t="str">
        <f>IF('1. Live'!CG280='check-Jul''26'!CC280,"",'1. Live'!CG280-'check-Jul''26'!CC280)</f>
        <v/>
      </c>
      <c r="CD262" s="25" t="str">
        <f>IF('1. Live'!CH280='check-Jul''26'!CD280,"",'1. Live'!CH280-'check-Jul''26'!CD280)</f>
        <v/>
      </c>
      <c r="CE262" s="25" t="str">
        <f>IF('1. Live'!CI280='check-Jul''26'!CE280,"",'1. Live'!CI280-'check-Jul''26'!CE280)</f>
        <v/>
      </c>
      <c r="CF262" s="25" t="str">
        <f>IF('1. Live'!CJ280='check-Jul''26'!CF280,"",'1. Live'!CJ280-'check-Jul''26'!CF280)</f>
        <v/>
      </c>
      <c r="CG262" s="25" t="str">
        <f>IF('1. Live'!CK280='check-Jul''26'!CG280,"",'1. Live'!CK280-'check-Jul''26'!CG280)</f>
        <v/>
      </c>
      <c r="CH262" s="25" t="str">
        <f>IF('1. Live'!CL280='check-Jul''26'!CH280,"",'1. Live'!CL280-'check-Jul''26'!CH280)</f>
        <v/>
      </c>
      <c r="CI262" s="25" t="str">
        <f>IF('1. Live'!CM280='check-Jul''26'!CI280,"",'1. Live'!CM280-'check-Jul''26'!CI280)</f>
        <v/>
      </c>
      <c r="CJ262" s="25" t="str">
        <f>IF('1. Live'!CN280='check-Jul''26'!CJ280,"",'1. Live'!CN280-'check-Jul''26'!CJ280)</f>
        <v/>
      </c>
      <c r="CK262" s="25" t="str">
        <f>IF('1. Live'!CO280='check-Jul''26'!CK280,"",'1. Live'!CO280-'check-Jul''26'!CK280)</f>
        <v/>
      </c>
      <c r="CL262" s="25" t="str">
        <f>IF('1. Live'!CP280='check-Jul''26'!CL280,"",'1. Live'!CP280-'check-Jul''26'!CL280)</f>
        <v/>
      </c>
      <c r="CM262" s="25" t="str">
        <f>IF('1. Live'!CQ280='check-Jul''26'!CM280,"",'1. Live'!CQ280-'check-Jul''26'!CM280)</f>
        <v/>
      </c>
      <c r="CN262" s="25" t="str">
        <f>IF('1. Live'!CR280='check-Jul''26'!CN280,"",'1. Live'!CR280-'check-Jul''26'!CN280)</f>
        <v/>
      </c>
      <c r="CO262" s="25" t="str">
        <f>IF('1. Live'!CS280='check-Jul''26'!CO280,"",'1. Live'!CS280-'check-Jul''26'!CO280)</f>
        <v/>
      </c>
      <c r="CP262" s="25" t="str">
        <f>IF('1. Live'!CT280='check-Jul''26'!CP280,"",'1. Live'!CT280-'check-Jul''26'!CP280)</f>
        <v/>
      </c>
      <c r="CQ262" s="25" t="str">
        <f>IF('1. Live'!CU280='check-Jul''26'!CQ280,"",'1. Live'!CU280-'check-Jul''26'!CQ280)</f>
        <v/>
      </c>
      <c r="CR262" s="25" t="str">
        <f>IF('1. Live'!CV280='check-Jul''26'!CR280,"",'1. Live'!CV280-'check-Jul''26'!CR280)</f>
        <v/>
      </c>
      <c r="CS262" s="25" t="str">
        <f>IF('1. Live'!CW280='check-Jul''26'!CS280,"",'1. Live'!CW280-'check-Jul''26'!CS280)</f>
        <v/>
      </c>
      <c r="CT262" s="25" t="str">
        <f>IF('1. Live'!CX280='check-Jul''26'!CT280,"",'1. Live'!CX280-'check-Jul''26'!CT280)</f>
        <v/>
      </c>
      <c r="CU262" s="25" t="str">
        <f>IF('1. Live'!CY280='check-Jul''26'!CU280,"",'1. Live'!CY280-'check-Jul''26'!CU280)</f>
        <v/>
      </c>
      <c r="CV262" s="25" t="str">
        <f>IF('1. Live'!CZ280='check-Jul''26'!CV280,"",'1. Live'!CZ280-'check-Jul''26'!CV280)</f>
        <v/>
      </c>
    </row>
    <row r="263" spans="17:100" x14ac:dyDescent="0.25">
      <c r="Q263" s="26" t="str">
        <f>IF('1. Live'!N281='check-Jul''26'!I281,"",'1. Live'!N281-'check-Jul''26'!I281)</f>
        <v/>
      </c>
      <c r="R263" s="26" t="str">
        <f>IF('1. Live'!O281='check-Jul''26'!J281,"",'1. Live'!O281-'check-Jul''26'!J281)</f>
        <v/>
      </c>
      <c r="S263" s="26" t="str">
        <f>IF('1. Live'!P281='check-Jul''26'!K281,"",'1. Live'!P281-'check-Jul''26'!K281)</f>
        <v/>
      </c>
      <c r="T263" s="26" t="str">
        <f>IF('1. Live'!Q281='check-Jul''26'!L281,"",'1. Live'!Q281-'check-Jul''26'!L281)</f>
        <v/>
      </c>
      <c r="U263" s="80" t="str">
        <f>IF('1. Live'!R281='check-Jul''26'!M281,"",'1. Live'!R281-'check-Jul''26'!M281)</f>
        <v/>
      </c>
      <c r="V263" s="26" t="str">
        <f>IF('1. Live'!S281='check-Jul''26'!N281,"",'1. Live'!S281-'check-Jul''26'!N281)</f>
        <v/>
      </c>
      <c r="W263" s="25" t="str">
        <f>IF('1. Live'!T281='check-Jul''26'!O281,"",'1. Live'!T281-'check-Jul''26'!O281)</f>
        <v/>
      </c>
      <c r="X263" s="25" t="str">
        <f>IF('1. Live'!U281='check-Jul''26'!Q281,"",'1. Live'!U281-'check-Jul''26'!Q281)</f>
        <v/>
      </c>
      <c r="Y263" s="25" t="str">
        <f>IF('1. Live'!V281='check-Jul''26'!R281,"",'1. Live'!V281-'check-Jul''26'!R281)</f>
        <v/>
      </c>
      <c r="Z263" s="25" t="str">
        <f>IF('1. Live'!W281='check-Jul''26'!S281,"",'1. Live'!W281-'check-Jul''26'!S281)</f>
        <v/>
      </c>
      <c r="AA263" s="25" t="str">
        <f>IF('1. Live'!X281='check-Jul''26'!T281,"",'1. Live'!X281-'check-Jul''26'!T281)</f>
        <v/>
      </c>
      <c r="AB263" s="25" t="str">
        <f>IF('1. Live'!AF281='check-Jul''26'!AB281,"",'1. Live'!AF281-'check-Jul''26'!AB281)</f>
        <v/>
      </c>
      <c r="AC263" s="25" t="str">
        <f>IF('1. Live'!AG281='check-Jul''26'!AC281,"",'1. Live'!AG281-'check-Jul''26'!AC281)</f>
        <v/>
      </c>
      <c r="AD263" s="25" t="str">
        <f>IF('1. Live'!AH281='check-Jul''26'!AD281,"",'1. Live'!AH281-'check-Jul''26'!AD281)</f>
        <v/>
      </c>
      <c r="AE263" s="25" t="str">
        <f>IF('1. Live'!AI281='check-Jul''26'!AE281,"",'1. Live'!AI281-'check-Jul''26'!AE281)</f>
        <v/>
      </c>
      <c r="AF263" s="25" t="str">
        <f>IF('1. Live'!AJ281='check-Jul''26'!AF281,"",'1. Live'!AJ281-'check-Jul''26'!AF281)</f>
        <v/>
      </c>
      <c r="AG263" s="25" t="str">
        <f>IF('1. Live'!AK281='check-Jul''26'!AG281,"",'1. Live'!AK281-'check-Jul''26'!AG281)</f>
        <v/>
      </c>
      <c r="AH263" s="25" t="str">
        <f>IF('1. Live'!AL281='check-Jul''26'!AH281,"",'1. Live'!AL281-'check-Jul''26'!AH281)</f>
        <v/>
      </c>
      <c r="AI263" s="25" t="str">
        <f>IF('1. Live'!AM281='check-Jul''26'!AI281,"",'1. Live'!AM281-'check-Jul''26'!AI281)</f>
        <v/>
      </c>
      <c r="AJ263" s="25" t="str">
        <f>IF('1. Live'!AN281='check-Jul''26'!AJ281,"",'1. Live'!AN281-'check-Jul''26'!AJ281)</f>
        <v/>
      </c>
      <c r="AK263" s="25" t="str">
        <f>IF('1. Live'!AO281='check-Jul''26'!AK281,"",'1. Live'!AO281-'check-Jul''26'!AK281)</f>
        <v/>
      </c>
      <c r="AL263" s="25" t="str">
        <f>IF('1. Live'!AP281='check-Jul''26'!AL281,"",'1. Live'!AP281-'check-Jul''26'!AL281)</f>
        <v/>
      </c>
      <c r="AM263" s="25" t="str">
        <f>IF('1. Live'!AQ281='check-Jul''26'!AM281,"",'1. Live'!AQ281-'check-Jul''26'!AM281)</f>
        <v/>
      </c>
      <c r="AN263" s="25" t="str">
        <f>IF('1. Live'!AR281='check-Jul''26'!AN281,"",'1. Live'!AR281-'check-Jul''26'!AN281)</f>
        <v/>
      </c>
      <c r="AO263" s="25" t="str">
        <f>IF('1. Live'!AS281='check-Jul''26'!AO281,"",'1. Live'!AS281-'check-Jul''26'!AO281)</f>
        <v/>
      </c>
      <c r="AP263" s="25" t="str">
        <f>IF('1. Live'!AT281='check-Jul''26'!AP281,"",'1. Live'!AT281-'check-Jul''26'!AP281)</f>
        <v/>
      </c>
      <c r="AQ263" s="25" t="str">
        <f>IF('1. Live'!AU281='check-Jul''26'!AQ281,"",'1. Live'!AU281-'check-Jul''26'!AQ281)</f>
        <v/>
      </c>
      <c r="AR263" s="25" t="str">
        <f>IF('1. Live'!AV281='check-Jul''26'!AR281,"",'1. Live'!AV281-'check-Jul''26'!AR281)</f>
        <v/>
      </c>
      <c r="AS263" s="25" t="str">
        <f>IF('1. Live'!AW281='check-Jul''26'!AS281,"",'1. Live'!AW281-'check-Jul''26'!AS281)</f>
        <v/>
      </c>
      <c r="AT263" s="25" t="str">
        <f>IF('1. Live'!AX281='check-Jul''26'!AT281,"",'1. Live'!AX281-'check-Jul''26'!AT281)</f>
        <v/>
      </c>
      <c r="AU263" s="25" t="str">
        <f>IF('1. Live'!AY281='check-Jul''26'!AU281,"",'1. Live'!AY281-'check-Jul''26'!AU281)</f>
        <v/>
      </c>
      <c r="AV263" s="25" t="str">
        <f>IF('1. Live'!AZ281='check-Jul''26'!AV281,"",'1. Live'!AZ281-'check-Jul''26'!AV281)</f>
        <v/>
      </c>
      <c r="AW263" s="25" t="str">
        <f>IF('1. Live'!BA281='check-Jul''26'!AW281,"",'1. Live'!BA281-'check-Jul''26'!AW281)</f>
        <v/>
      </c>
      <c r="AX263" s="25" t="str">
        <f>IF('1. Live'!BB281='check-Jul''26'!AX281,"",'1. Live'!BB281-'check-Jul''26'!AX281)</f>
        <v/>
      </c>
      <c r="AY263" s="25" t="str">
        <f>IF('1. Live'!BC281='check-Jul''26'!AY281,"",'1. Live'!BC281-'check-Jul''26'!AY281)</f>
        <v/>
      </c>
      <c r="AZ263" s="25" t="str">
        <f>IF('1. Live'!BD281='check-Jul''26'!AZ281,"",'1. Live'!BD281-'check-Jul''26'!AZ281)</f>
        <v/>
      </c>
      <c r="BA263" s="25" t="str">
        <f>IF('1. Live'!BE281='check-Jul''26'!BA281,"",'1. Live'!BE281-'check-Jul''26'!BA281)</f>
        <v/>
      </c>
      <c r="BB263" s="25" t="str">
        <f>IF('1. Live'!BF281='check-Jul''26'!BB281,"",'1. Live'!BF281-'check-Jul''26'!BB281)</f>
        <v/>
      </c>
      <c r="BC263" s="25" t="str">
        <f>IF('1. Live'!BG281='check-Jul''26'!BC281,"",'1. Live'!BG281-'check-Jul''26'!BC281)</f>
        <v/>
      </c>
      <c r="BD263" s="25" t="str">
        <f>IF('1. Live'!BH281='check-Jul''26'!BD281,"",'1. Live'!BH281-'check-Jul''26'!BD281)</f>
        <v/>
      </c>
      <c r="BE263" s="25" t="str">
        <f>IF('1. Live'!BI281='check-Jul''26'!BE281,"",'1. Live'!BI281-'check-Jul''26'!BE281)</f>
        <v/>
      </c>
      <c r="BF263" s="25" t="str">
        <f>IF('1. Live'!BJ281='check-Jul''26'!BF281,"",'1. Live'!BJ281-'check-Jul''26'!BF281)</f>
        <v/>
      </c>
      <c r="BG263" s="25" t="str">
        <f>IF('1. Live'!BK281='check-Jul''26'!BG281,"",'1. Live'!BK281-'check-Jul''26'!BG281)</f>
        <v/>
      </c>
      <c r="BH263" s="25" t="str">
        <f>IF('1. Live'!BL281='check-Jul''26'!BH281,"",'1. Live'!BL281-'check-Jul''26'!BH281)</f>
        <v/>
      </c>
      <c r="BI263" s="25" t="str">
        <f>IF('1. Live'!BM281='check-Jul''26'!BI281,"",'1. Live'!BM281-'check-Jul''26'!BI281)</f>
        <v/>
      </c>
      <c r="BJ263" s="25" t="str">
        <f>IF('1. Live'!BN281='check-Jul''26'!BJ281,"",'1. Live'!BN281-'check-Jul''26'!BJ281)</f>
        <v/>
      </c>
      <c r="BK263" s="25" t="str">
        <f>IF('1. Live'!BO281='check-Jul''26'!BK281,"",'1. Live'!BO281-'check-Jul''26'!BK281)</f>
        <v/>
      </c>
      <c r="BL263" s="25" t="str">
        <f>IF('1. Live'!BP281='check-Jul''26'!BL281,"",'1. Live'!BP281-'check-Jul''26'!BL281)</f>
        <v/>
      </c>
      <c r="BM263" s="25" t="str">
        <f>IF('1. Live'!BQ281='check-Jul''26'!BM281,"",'1. Live'!BQ281-'check-Jul''26'!BM281)</f>
        <v/>
      </c>
      <c r="BN263" s="25" t="str">
        <f>IF('1. Live'!BR281='check-Jul''26'!BN281,"",'1. Live'!BR281-'check-Jul''26'!BN281)</f>
        <v/>
      </c>
      <c r="BO263" s="25" t="str">
        <f>IF('1. Live'!BS281='check-Jul''26'!BO281,"",'1. Live'!BS281-'check-Jul''26'!BO281)</f>
        <v/>
      </c>
      <c r="BP263" s="25" t="str">
        <f>IF('1. Live'!BT281='check-Jul''26'!BP281,"",'1. Live'!BT281-'check-Jul''26'!BP281)</f>
        <v/>
      </c>
      <c r="BQ263" s="25" t="str">
        <f>IF('1. Live'!BU281='check-Jul''26'!BQ281,"",'1. Live'!BU281-'check-Jul''26'!BQ281)</f>
        <v/>
      </c>
      <c r="BR263" s="25" t="str">
        <f>IF('1. Live'!BV281='check-Jul''26'!BR281,"",'1. Live'!BV281-'check-Jul''26'!BR281)</f>
        <v/>
      </c>
      <c r="BS263" s="25" t="str">
        <f>IF('1. Live'!BW281='check-Jul''26'!BS281,"",'1. Live'!BW281-'check-Jul''26'!BS281)</f>
        <v/>
      </c>
      <c r="BT263" s="25" t="str">
        <f>IF('1. Live'!BX281='check-Jul''26'!BT281,"",'1. Live'!BX281-'check-Jul''26'!BT281)</f>
        <v/>
      </c>
      <c r="BU263" s="25" t="str">
        <f>IF('1. Live'!BY281='check-Jul''26'!BU281,"",'1. Live'!BY281-'check-Jul''26'!BU281)</f>
        <v/>
      </c>
      <c r="BV263" s="25" t="str">
        <f>IF('1. Live'!BZ281='check-Jul''26'!BV281,"",'1. Live'!BZ281-'check-Jul''26'!BV281)</f>
        <v/>
      </c>
      <c r="BW263" s="25" t="str">
        <f>IF('1. Live'!CA281='check-Jul''26'!BW281,"",'1. Live'!CA281-'check-Jul''26'!BW281)</f>
        <v/>
      </c>
      <c r="BX263" s="25" t="str">
        <f>IF('1. Live'!CB281='check-Jul''26'!BX281,"",'1. Live'!CB281-'check-Jul''26'!BX281)</f>
        <v/>
      </c>
      <c r="BY263" s="25" t="str">
        <f>IF('1. Live'!CC281='check-Jul''26'!BY281,"",'1. Live'!CC281-'check-Jul''26'!BY281)</f>
        <v/>
      </c>
      <c r="BZ263" s="25" t="str">
        <f>IF('1. Live'!CD281='check-Jul''26'!BZ281,"",'1. Live'!CD281-'check-Jul''26'!BZ281)</f>
        <v/>
      </c>
      <c r="CA263" s="25" t="str">
        <f>IF('1. Live'!CE281='check-Jul''26'!CA281,"",'1. Live'!CE281-'check-Jul''26'!CA281)</f>
        <v/>
      </c>
      <c r="CB263" s="25" t="str">
        <f>IF('1. Live'!CF281='check-Jul''26'!CB281,"",'1. Live'!CF281-'check-Jul''26'!CB281)</f>
        <v/>
      </c>
      <c r="CC263" s="25" t="str">
        <f>IF('1. Live'!CG281='check-Jul''26'!CC281,"",'1. Live'!CG281-'check-Jul''26'!CC281)</f>
        <v/>
      </c>
      <c r="CD263" s="25" t="str">
        <f>IF('1. Live'!CH281='check-Jul''26'!CD281,"",'1. Live'!CH281-'check-Jul''26'!CD281)</f>
        <v/>
      </c>
      <c r="CE263" s="25" t="str">
        <f>IF('1. Live'!CI281='check-Jul''26'!CE281,"",'1. Live'!CI281-'check-Jul''26'!CE281)</f>
        <v/>
      </c>
      <c r="CF263" s="25" t="str">
        <f>IF('1. Live'!CJ281='check-Jul''26'!CF281,"",'1. Live'!CJ281-'check-Jul''26'!CF281)</f>
        <v/>
      </c>
      <c r="CG263" s="25" t="str">
        <f>IF('1. Live'!CK281='check-Jul''26'!CG281,"",'1. Live'!CK281-'check-Jul''26'!CG281)</f>
        <v/>
      </c>
      <c r="CH263" s="25" t="str">
        <f>IF('1. Live'!CL281='check-Jul''26'!CH281,"",'1. Live'!CL281-'check-Jul''26'!CH281)</f>
        <v/>
      </c>
      <c r="CI263" s="25" t="str">
        <f>IF('1. Live'!CM281='check-Jul''26'!CI281,"",'1. Live'!CM281-'check-Jul''26'!CI281)</f>
        <v/>
      </c>
      <c r="CJ263" s="25" t="str">
        <f>IF('1. Live'!CN281='check-Jul''26'!CJ281,"",'1. Live'!CN281-'check-Jul''26'!CJ281)</f>
        <v/>
      </c>
      <c r="CK263" s="25" t="str">
        <f>IF('1. Live'!CO281='check-Jul''26'!CK281,"",'1. Live'!CO281-'check-Jul''26'!CK281)</f>
        <v/>
      </c>
      <c r="CL263" s="25" t="str">
        <f>IF('1. Live'!CP281='check-Jul''26'!CL281,"",'1. Live'!CP281-'check-Jul''26'!CL281)</f>
        <v/>
      </c>
      <c r="CM263" s="25" t="str">
        <f>IF('1. Live'!CQ281='check-Jul''26'!CM281,"",'1. Live'!CQ281-'check-Jul''26'!CM281)</f>
        <v/>
      </c>
      <c r="CN263" s="25" t="str">
        <f>IF('1. Live'!CR281='check-Jul''26'!CN281,"",'1. Live'!CR281-'check-Jul''26'!CN281)</f>
        <v/>
      </c>
      <c r="CO263" s="25" t="str">
        <f>IF('1. Live'!CS281='check-Jul''26'!CO281,"",'1. Live'!CS281-'check-Jul''26'!CO281)</f>
        <v/>
      </c>
      <c r="CP263" s="25" t="str">
        <f>IF('1. Live'!CT281='check-Jul''26'!CP281,"",'1. Live'!CT281-'check-Jul''26'!CP281)</f>
        <v/>
      </c>
      <c r="CQ263" s="25" t="str">
        <f>IF('1. Live'!CU281='check-Jul''26'!CQ281,"",'1. Live'!CU281-'check-Jul''26'!CQ281)</f>
        <v/>
      </c>
      <c r="CR263" s="25" t="str">
        <f>IF('1. Live'!CV281='check-Jul''26'!CR281,"",'1. Live'!CV281-'check-Jul''26'!CR281)</f>
        <v/>
      </c>
      <c r="CS263" s="25" t="str">
        <f>IF('1. Live'!CW281='check-Jul''26'!CS281,"",'1. Live'!CW281-'check-Jul''26'!CS281)</f>
        <v/>
      </c>
      <c r="CT263" s="25" t="str">
        <f>IF('1. Live'!CX281='check-Jul''26'!CT281,"",'1. Live'!CX281-'check-Jul''26'!CT281)</f>
        <v/>
      </c>
      <c r="CU263" s="25" t="str">
        <f>IF('1. Live'!CY281='check-Jul''26'!CU281,"",'1. Live'!CY281-'check-Jul''26'!CU281)</f>
        <v/>
      </c>
      <c r="CV263" s="25" t="str">
        <f>IF('1. Live'!CZ281='check-Jul''26'!CV281,"",'1. Live'!CZ281-'check-Jul''26'!CV281)</f>
        <v/>
      </c>
    </row>
    <row r="264" spans="17:100" x14ac:dyDescent="0.25">
      <c r="Q264" s="26" t="str">
        <f>IF('1. Live'!N282='check-Jul''26'!I282,"",'1. Live'!N282-'check-Jul''26'!I282)</f>
        <v/>
      </c>
      <c r="R264" s="26" t="str">
        <f>IF('1. Live'!O282='check-Jul''26'!J282,"",'1. Live'!O282-'check-Jul''26'!J282)</f>
        <v/>
      </c>
      <c r="S264" s="26" t="str">
        <f>IF('1. Live'!P282='check-Jul''26'!K282,"",'1. Live'!P282-'check-Jul''26'!K282)</f>
        <v/>
      </c>
      <c r="T264" s="26" t="str">
        <f>IF('1. Live'!Q282='check-Jul''26'!L282,"",'1. Live'!Q282-'check-Jul''26'!L282)</f>
        <v/>
      </c>
      <c r="U264" s="80" t="str">
        <f>IF('1. Live'!R282='check-Jul''26'!M282,"",'1. Live'!R282-'check-Jul''26'!M282)</f>
        <v/>
      </c>
      <c r="V264" s="26" t="str">
        <f>IF('1. Live'!S282='check-Jul''26'!N282,"",'1. Live'!S282-'check-Jul''26'!N282)</f>
        <v/>
      </c>
      <c r="W264" s="25" t="str">
        <f>IF('1. Live'!T282='check-Jul''26'!O282,"",'1. Live'!T282-'check-Jul''26'!O282)</f>
        <v/>
      </c>
      <c r="X264" s="25" t="str">
        <f>IF('1. Live'!U282='check-Jul''26'!Q282,"",'1. Live'!U282-'check-Jul''26'!Q282)</f>
        <v/>
      </c>
      <c r="Y264" s="25" t="str">
        <f>IF('1. Live'!V282='check-Jul''26'!R282,"",'1. Live'!V282-'check-Jul''26'!R282)</f>
        <v/>
      </c>
      <c r="Z264" s="25" t="str">
        <f>IF('1. Live'!W282='check-Jul''26'!S282,"",'1. Live'!W282-'check-Jul''26'!S282)</f>
        <v/>
      </c>
      <c r="AA264" s="25" t="str">
        <f>IF('1. Live'!X282='check-Jul''26'!T282,"",'1. Live'!X282-'check-Jul''26'!T282)</f>
        <v/>
      </c>
      <c r="AB264" s="25" t="str">
        <f>IF('1. Live'!AF282='check-Jul''26'!AB282,"",'1. Live'!AF282-'check-Jul''26'!AB282)</f>
        <v/>
      </c>
      <c r="AC264" s="25" t="str">
        <f>IF('1. Live'!AG282='check-Jul''26'!AC282,"",'1. Live'!AG282-'check-Jul''26'!AC282)</f>
        <v/>
      </c>
      <c r="AD264" s="25" t="str">
        <f>IF('1. Live'!AH282='check-Jul''26'!AD282,"",'1. Live'!AH282-'check-Jul''26'!AD282)</f>
        <v/>
      </c>
      <c r="AE264" s="25" t="str">
        <f>IF('1. Live'!AI282='check-Jul''26'!AE282,"",'1. Live'!AI282-'check-Jul''26'!AE282)</f>
        <v/>
      </c>
      <c r="AF264" s="25" t="str">
        <f>IF('1. Live'!AJ282='check-Jul''26'!AF282,"",'1. Live'!AJ282-'check-Jul''26'!AF282)</f>
        <v/>
      </c>
      <c r="AG264" s="25" t="str">
        <f>IF('1. Live'!AK282='check-Jul''26'!AG282,"",'1. Live'!AK282-'check-Jul''26'!AG282)</f>
        <v/>
      </c>
      <c r="AH264" s="25" t="str">
        <f>IF('1. Live'!AL282='check-Jul''26'!AH282,"",'1. Live'!AL282-'check-Jul''26'!AH282)</f>
        <v/>
      </c>
      <c r="AI264" s="25" t="str">
        <f>IF('1. Live'!AM282='check-Jul''26'!AI282,"",'1. Live'!AM282-'check-Jul''26'!AI282)</f>
        <v/>
      </c>
      <c r="AJ264" s="25" t="str">
        <f>IF('1. Live'!AN282='check-Jul''26'!AJ282,"",'1. Live'!AN282-'check-Jul''26'!AJ282)</f>
        <v/>
      </c>
      <c r="AK264" s="25" t="str">
        <f>IF('1. Live'!AO282='check-Jul''26'!AK282,"",'1. Live'!AO282-'check-Jul''26'!AK282)</f>
        <v/>
      </c>
      <c r="AL264" s="25" t="str">
        <f>IF('1. Live'!AP282='check-Jul''26'!AL282,"",'1. Live'!AP282-'check-Jul''26'!AL282)</f>
        <v/>
      </c>
      <c r="AM264" s="25" t="str">
        <f>IF('1. Live'!AQ282='check-Jul''26'!AM282,"",'1. Live'!AQ282-'check-Jul''26'!AM282)</f>
        <v/>
      </c>
      <c r="AN264" s="25" t="str">
        <f>IF('1. Live'!AR282='check-Jul''26'!AN282,"",'1. Live'!AR282-'check-Jul''26'!AN282)</f>
        <v/>
      </c>
      <c r="AO264" s="25" t="str">
        <f>IF('1. Live'!AS282='check-Jul''26'!AO282,"",'1. Live'!AS282-'check-Jul''26'!AO282)</f>
        <v/>
      </c>
      <c r="AP264" s="25" t="str">
        <f>IF('1. Live'!AT282='check-Jul''26'!AP282,"",'1. Live'!AT282-'check-Jul''26'!AP282)</f>
        <v/>
      </c>
      <c r="AQ264" s="25" t="str">
        <f>IF('1. Live'!AU282='check-Jul''26'!AQ282,"",'1. Live'!AU282-'check-Jul''26'!AQ282)</f>
        <v/>
      </c>
      <c r="AR264" s="25" t="str">
        <f>IF('1. Live'!AV282='check-Jul''26'!AR282,"",'1. Live'!AV282-'check-Jul''26'!AR282)</f>
        <v/>
      </c>
      <c r="AS264" s="25" t="str">
        <f>IF('1. Live'!AW282='check-Jul''26'!AS282,"",'1. Live'!AW282-'check-Jul''26'!AS282)</f>
        <v/>
      </c>
      <c r="AT264" s="25" t="str">
        <f>IF('1. Live'!AX282='check-Jul''26'!AT282,"",'1. Live'!AX282-'check-Jul''26'!AT282)</f>
        <v/>
      </c>
      <c r="AU264" s="25" t="str">
        <f>IF('1. Live'!AY282='check-Jul''26'!AU282,"",'1. Live'!AY282-'check-Jul''26'!AU282)</f>
        <v/>
      </c>
      <c r="AV264" s="25" t="str">
        <f>IF('1. Live'!AZ282='check-Jul''26'!AV282,"",'1. Live'!AZ282-'check-Jul''26'!AV282)</f>
        <v/>
      </c>
      <c r="AW264" s="25" t="str">
        <f>IF('1. Live'!BA282='check-Jul''26'!AW282,"",'1. Live'!BA282-'check-Jul''26'!AW282)</f>
        <v/>
      </c>
      <c r="AX264" s="25" t="str">
        <f>IF('1. Live'!BB282='check-Jul''26'!AX282,"",'1. Live'!BB282-'check-Jul''26'!AX282)</f>
        <v/>
      </c>
      <c r="AY264" s="25" t="str">
        <f>IF('1. Live'!BC282='check-Jul''26'!AY282,"",'1. Live'!BC282-'check-Jul''26'!AY282)</f>
        <v/>
      </c>
      <c r="AZ264" s="25" t="str">
        <f>IF('1. Live'!BD282='check-Jul''26'!AZ282,"",'1. Live'!BD282-'check-Jul''26'!AZ282)</f>
        <v/>
      </c>
      <c r="BA264" s="25" t="str">
        <f>IF('1. Live'!BE282='check-Jul''26'!BA282,"",'1. Live'!BE282-'check-Jul''26'!BA282)</f>
        <v/>
      </c>
      <c r="BB264" s="25" t="str">
        <f>IF('1. Live'!BF282='check-Jul''26'!BB282,"",'1. Live'!BF282-'check-Jul''26'!BB282)</f>
        <v/>
      </c>
      <c r="BC264" s="25" t="str">
        <f>IF('1. Live'!BG282='check-Jul''26'!BC282,"",'1. Live'!BG282-'check-Jul''26'!BC282)</f>
        <v/>
      </c>
      <c r="BD264" s="25" t="str">
        <f>IF('1. Live'!BH282='check-Jul''26'!BD282,"",'1. Live'!BH282-'check-Jul''26'!BD282)</f>
        <v/>
      </c>
      <c r="BE264" s="25" t="str">
        <f>IF('1. Live'!BI282='check-Jul''26'!BE282,"",'1. Live'!BI282-'check-Jul''26'!BE282)</f>
        <v/>
      </c>
      <c r="BF264" s="25" t="str">
        <f>IF('1. Live'!BJ282='check-Jul''26'!BF282,"",'1. Live'!BJ282-'check-Jul''26'!BF282)</f>
        <v/>
      </c>
      <c r="BG264" s="25" t="str">
        <f>IF('1. Live'!BK282='check-Jul''26'!BG282,"",'1. Live'!BK282-'check-Jul''26'!BG282)</f>
        <v/>
      </c>
      <c r="BH264" s="25" t="str">
        <f>IF('1. Live'!BL282='check-Jul''26'!BH282,"",'1. Live'!BL282-'check-Jul''26'!BH282)</f>
        <v/>
      </c>
      <c r="BI264" s="25" t="str">
        <f>IF('1. Live'!BM282='check-Jul''26'!BI282,"",'1. Live'!BM282-'check-Jul''26'!BI282)</f>
        <v/>
      </c>
      <c r="BJ264" s="25" t="str">
        <f>IF('1. Live'!BN282='check-Jul''26'!BJ282,"",'1. Live'!BN282-'check-Jul''26'!BJ282)</f>
        <v/>
      </c>
      <c r="BK264" s="25" t="str">
        <f>IF('1. Live'!BO282='check-Jul''26'!BK282,"",'1. Live'!BO282-'check-Jul''26'!BK282)</f>
        <v/>
      </c>
      <c r="BL264" s="25" t="str">
        <f>IF('1. Live'!BP282='check-Jul''26'!BL282,"",'1. Live'!BP282-'check-Jul''26'!BL282)</f>
        <v/>
      </c>
      <c r="BM264" s="25" t="str">
        <f>IF('1. Live'!BQ282='check-Jul''26'!BM282,"",'1. Live'!BQ282-'check-Jul''26'!BM282)</f>
        <v/>
      </c>
      <c r="BN264" s="25" t="str">
        <f>IF('1. Live'!BR282='check-Jul''26'!BN282,"",'1. Live'!BR282-'check-Jul''26'!BN282)</f>
        <v/>
      </c>
      <c r="BO264" s="25" t="str">
        <f>IF('1. Live'!BS282='check-Jul''26'!BO282,"",'1. Live'!BS282-'check-Jul''26'!BO282)</f>
        <v/>
      </c>
      <c r="BP264" s="25" t="str">
        <f>IF('1. Live'!BT282='check-Jul''26'!BP282,"",'1. Live'!BT282-'check-Jul''26'!BP282)</f>
        <v/>
      </c>
      <c r="BQ264" s="25" t="str">
        <f>IF('1. Live'!BU282='check-Jul''26'!BQ282,"",'1. Live'!BU282-'check-Jul''26'!BQ282)</f>
        <v/>
      </c>
      <c r="BR264" s="25" t="str">
        <f>IF('1. Live'!BV282='check-Jul''26'!BR282,"",'1. Live'!BV282-'check-Jul''26'!BR282)</f>
        <v/>
      </c>
      <c r="BS264" s="25" t="str">
        <f>IF('1. Live'!BW282='check-Jul''26'!BS282,"",'1. Live'!BW282-'check-Jul''26'!BS282)</f>
        <v/>
      </c>
      <c r="BT264" s="25" t="str">
        <f>IF('1. Live'!BX282='check-Jul''26'!BT282,"",'1. Live'!BX282-'check-Jul''26'!BT282)</f>
        <v/>
      </c>
      <c r="BU264" s="25" t="str">
        <f>IF('1. Live'!BY282='check-Jul''26'!BU282,"",'1. Live'!BY282-'check-Jul''26'!BU282)</f>
        <v/>
      </c>
      <c r="BV264" s="25" t="str">
        <f>IF('1. Live'!BZ282='check-Jul''26'!BV282,"",'1. Live'!BZ282-'check-Jul''26'!BV282)</f>
        <v/>
      </c>
      <c r="BW264" s="25" t="str">
        <f>IF('1. Live'!CA282='check-Jul''26'!BW282,"",'1. Live'!CA282-'check-Jul''26'!BW282)</f>
        <v/>
      </c>
      <c r="BX264" s="25" t="str">
        <f>IF('1. Live'!CB282='check-Jul''26'!BX282,"",'1. Live'!CB282-'check-Jul''26'!BX282)</f>
        <v/>
      </c>
      <c r="BY264" s="25" t="str">
        <f>IF('1. Live'!CC282='check-Jul''26'!BY282,"",'1. Live'!CC282-'check-Jul''26'!BY282)</f>
        <v/>
      </c>
      <c r="BZ264" s="25" t="str">
        <f>IF('1. Live'!CD282='check-Jul''26'!BZ282,"",'1. Live'!CD282-'check-Jul''26'!BZ282)</f>
        <v/>
      </c>
      <c r="CA264" s="25" t="str">
        <f>IF('1. Live'!CE282='check-Jul''26'!CA282,"",'1. Live'!CE282-'check-Jul''26'!CA282)</f>
        <v/>
      </c>
      <c r="CB264" s="25" t="str">
        <f>IF('1. Live'!CF282='check-Jul''26'!CB282,"",'1. Live'!CF282-'check-Jul''26'!CB282)</f>
        <v/>
      </c>
      <c r="CC264" s="25" t="str">
        <f>IF('1. Live'!CG282='check-Jul''26'!CC282,"",'1. Live'!CG282-'check-Jul''26'!CC282)</f>
        <v/>
      </c>
      <c r="CD264" s="25" t="str">
        <f>IF('1. Live'!CH282='check-Jul''26'!CD282,"",'1. Live'!CH282-'check-Jul''26'!CD282)</f>
        <v/>
      </c>
      <c r="CE264" s="25" t="str">
        <f>IF('1. Live'!CI282='check-Jul''26'!CE282,"",'1. Live'!CI282-'check-Jul''26'!CE282)</f>
        <v/>
      </c>
      <c r="CF264" s="25" t="str">
        <f>IF('1. Live'!CJ282='check-Jul''26'!CF282,"",'1. Live'!CJ282-'check-Jul''26'!CF282)</f>
        <v/>
      </c>
      <c r="CG264" s="25" t="str">
        <f>IF('1. Live'!CK282='check-Jul''26'!CG282,"",'1. Live'!CK282-'check-Jul''26'!CG282)</f>
        <v/>
      </c>
      <c r="CH264" s="25" t="str">
        <f>IF('1. Live'!CL282='check-Jul''26'!CH282,"",'1. Live'!CL282-'check-Jul''26'!CH282)</f>
        <v/>
      </c>
      <c r="CI264" s="25" t="str">
        <f>IF('1. Live'!CM282='check-Jul''26'!CI282,"",'1. Live'!CM282-'check-Jul''26'!CI282)</f>
        <v/>
      </c>
      <c r="CJ264" s="25" t="str">
        <f>IF('1. Live'!CN282='check-Jul''26'!CJ282,"",'1. Live'!CN282-'check-Jul''26'!CJ282)</f>
        <v/>
      </c>
      <c r="CK264" s="25" t="str">
        <f>IF('1. Live'!CO282='check-Jul''26'!CK282,"",'1. Live'!CO282-'check-Jul''26'!CK282)</f>
        <v/>
      </c>
      <c r="CL264" s="25" t="str">
        <f>IF('1. Live'!CP282='check-Jul''26'!CL282,"",'1. Live'!CP282-'check-Jul''26'!CL282)</f>
        <v/>
      </c>
      <c r="CM264" s="25" t="str">
        <f>IF('1. Live'!CQ282='check-Jul''26'!CM282,"",'1. Live'!CQ282-'check-Jul''26'!CM282)</f>
        <v/>
      </c>
      <c r="CN264" s="25" t="str">
        <f>IF('1. Live'!CR282='check-Jul''26'!CN282,"",'1. Live'!CR282-'check-Jul''26'!CN282)</f>
        <v/>
      </c>
      <c r="CO264" s="25" t="str">
        <f>IF('1. Live'!CS282='check-Jul''26'!CO282,"",'1. Live'!CS282-'check-Jul''26'!CO282)</f>
        <v/>
      </c>
      <c r="CP264" s="25" t="str">
        <f>IF('1. Live'!CT282='check-Jul''26'!CP282,"",'1. Live'!CT282-'check-Jul''26'!CP282)</f>
        <v/>
      </c>
      <c r="CQ264" s="25" t="str">
        <f>IF('1. Live'!CU282='check-Jul''26'!CQ282,"",'1. Live'!CU282-'check-Jul''26'!CQ282)</f>
        <v/>
      </c>
      <c r="CR264" s="25" t="str">
        <f>IF('1. Live'!CV282='check-Jul''26'!CR282,"",'1. Live'!CV282-'check-Jul''26'!CR282)</f>
        <v/>
      </c>
      <c r="CS264" s="25" t="str">
        <f>IF('1. Live'!CW282='check-Jul''26'!CS282,"",'1. Live'!CW282-'check-Jul''26'!CS282)</f>
        <v/>
      </c>
      <c r="CT264" s="25" t="str">
        <f>IF('1. Live'!CX282='check-Jul''26'!CT282,"",'1. Live'!CX282-'check-Jul''26'!CT282)</f>
        <v/>
      </c>
      <c r="CU264" s="25" t="str">
        <f>IF('1. Live'!CY282='check-Jul''26'!CU282,"",'1. Live'!CY282-'check-Jul''26'!CU282)</f>
        <v/>
      </c>
      <c r="CV264" s="25" t="str">
        <f>IF('1. Live'!CZ282='check-Jul''26'!CV282,"",'1. Live'!CZ282-'check-Jul''26'!CV282)</f>
        <v/>
      </c>
    </row>
    <row r="265" spans="17:100" x14ac:dyDescent="0.25">
      <c r="Q265" s="26" t="str">
        <f>IF('1. Live'!N283='check-Jul''26'!I283,"",'1. Live'!N283-'check-Jul''26'!I283)</f>
        <v/>
      </c>
      <c r="R265" s="26" t="str">
        <f>IF('1. Live'!O283='check-Jul''26'!J283,"",'1. Live'!O283-'check-Jul''26'!J283)</f>
        <v/>
      </c>
      <c r="S265" s="26" t="str">
        <f>IF('1. Live'!P283='check-Jul''26'!K283,"",'1. Live'!P283-'check-Jul''26'!K283)</f>
        <v/>
      </c>
      <c r="T265" s="26" t="str">
        <f>IF('1. Live'!Q283='check-Jul''26'!L283,"",'1. Live'!Q283-'check-Jul''26'!L283)</f>
        <v/>
      </c>
      <c r="U265" s="80" t="str">
        <f>IF('1. Live'!R283='check-Jul''26'!M283,"",'1. Live'!R283-'check-Jul''26'!M283)</f>
        <v/>
      </c>
      <c r="V265" s="26" t="str">
        <f>IF('1. Live'!S283='check-Jul''26'!N283,"",'1. Live'!S283-'check-Jul''26'!N283)</f>
        <v/>
      </c>
      <c r="W265" s="25" t="str">
        <f>IF('1. Live'!T283='check-Jul''26'!O283,"",'1. Live'!T283-'check-Jul''26'!O283)</f>
        <v/>
      </c>
      <c r="X265" s="25" t="str">
        <f>IF('1. Live'!U283='check-Jul''26'!Q283,"",'1. Live'!U283-'check-Jul''26'!Q283)</f>
        <v/>
      </c>
      <c r="Y265" s="25" t="str">
        <f>IF('1. Live'!V283='check-Jul''26'!R283,"",'1. Live'!V283-'check-Jul''26'!R283)</f>
        <v/>
      </c>
      <c r="Z265" s="25" t="str">
        <f>IF('1. Live'!W283='check-Jul''26'!S283,"",'1. Live'!W283-'check-Jul''26'!S283)</f>
        <v/>
      </c>
      <c r="AA265" s="25" t="str">
        <f>IF('1. Live'!X283='check-Jul''26'!T283,"",'1. Live'!X283-'check-Jul''26'!T283)</f>
        <v/>
      </c>
      <c r="AB265" s="25" t="str">
        <f>IF('1. Live'!AF283='check-Jul''26'!AB283,"",'1. Live'!AF283-'check-Jul''26'!AB283)</f>
        <v/>
      </c>
      <c r="AC265" s="25" t="str">
        <f>IF('1. Live'!AG283='check-Jul''26'!AC283,"",'1. Live'!AG283-'check-Jul''26'!AC283)</f>
        <v/>
      </c>
      <c r="AD265" s="25" t="str">
        <f>IF('1. Live'!AH283='check-Jul''26'!AD283,"",'1. Live'!AH283-'check-Jul''26'!AD283)</f>
        <v/>
      </c>
      <c r="AE265" s="25" t="str">
        <f>IF('1. Live'!AI283='check-Jul''26'!AE283,"",'1. Live'!AI283-'check-Jul''26'!AE283)</f>
        <v/>
      </c>
      <c r="AF265" s="25" t="str">
        <f>IF('1. Live'!AJ283='check-Jul''26'!AF283,"",'1. Live'!AJ283-'check-Jul''26'!AF283)</f>
        <v/>
      </c>
      <c r="AG265" s="25" t="str">
        <f>IF('1. Live'!AK283='check-Jul''26'!AG283,"",'1. Live'!AK283-'check-Jul''26'!AG283)</f>
        <v/>
      </c>
      <c r="AH265" s="25" t="str">
        <f>IF('1. Live'!AL283='check-Jul''26'!AH283,"",'1. Live'!AL283-'check-Jul''26'!AH283)</f>
        <v/>
      </c>
      <c r="AI265" s="25" t="str">
        <f>IF('1. Live'!AM283='check-Jul''26'!AI283,"",'1. Live'!AM283-'check-Jul''26'!AI283)</f>
        <v/>
      </c>
      <c r="AJ265" s="25" t="str">
        <f>IF('1. Live'!AN283='check-Jul''26'!AJ283,"",'1. Live'!AN283-'check-Jul''26'!AJ283)</f>
        <v/>
      </c>
      <c r="AK265" s="25" t="str">
        <f>IF('1. Live'!AO283='check-Jul''26'!AK283,"",'1. Live'!AO283-'check-Jul''26'!AK283)</f>
        <v/>
      </c>
      <c r="AL265" s="25" t="str">
        <f>IF('1. Live'!AP283='check-Jul''26'!AL283,"",'1. Live'!AP283-'check-Jul''26'!AL283)</f>
        <v/>
      </c>
      <c r="AM265" s="25" t="str">
        <f>IF('1. Live'!AQ283='check-Jul''26'!AM283,"",'1. Live'!AQ283-'check-Jul''26'!AM283)</f>
        <v/>
      </c>
      <c r="AN265" s="25" t="str">
        <f>IF('1. Live'!AR283='check-Jul''26'!AN283,"",'1. Live'!AR283-'check-Jul''26'!AN283)</f>
        <v/>
      </c>
      <c r="AO265" s="25" t="str">
        <f>IF('1. Live'!AS283='check-Jul''26'!AO283,"",'1. Live'!AS283-'check-Jul''26'!AO283)</f>
        <v/>
      </c>
      <c r="AP265" s="25" t="str">
        <f>IF('1. Live'!AT283='check-Jul''26'!AP283,"",'1. Live'!AT283-'check-Jul''26'!AP283)</f>
        <v/>
      </c>
      <c r="AQ265" s="25" t="str">
        <f>IF('1. Live'!AU283='check-Jul''26'!AQ283,"",'1. Live'!AU283-'check-Jul''26'!AQ283)</f>
        <v/>
      </c>
      <c r="AR265" s="25" t="str">
        <f>IF('1. Live'!AV283='check-Jul''26'!AR283,"",'1. Live'!AV283-'check-Jul''26'!AR283)</f>
        <v/>
      </c>
      <c r="AS265" s="25" t="str">
        <f>IF('1. Live'!AW283='check-Jul''26'!AS283,"",'1. Live'!AW283-'check-Jul''26'!AS283)</f>
        <v/>
      </c>
      <c r="AT265" s="25" t="str">
        <f>IF('1. Live'!AX283='check-Jul''26'!AT283,"",'1. Live'!AX283-'check-Jul''26'!AT283)</f>
        <v/>
      </c>
      <c r="AU265" s="25" t="str">
        <f>IF('1. Live'!AY283='check-Jul''26'!AU283,"",'1. Live'!AY283-'check-Jul''26'!AU283)</f>
        <v/>
      </c>
      <c r="AV265" s="25" t="str">
        <f>IF('1. Live'!AZ283='check-Jul''26'!AV283,"",'1. Live'!AZ283-'check-Jul''26'!AV283)</f>
        <v/>
      </c>
      <c r="AW265" s="25" t="str">
        <f>IF('1. Live'!BA283='check-Jul''26'!AW283,"",'1. Live'!BA283-'check-Jul''26'!AW283)</f>
        <v/>
      </c>
      <c r="AX265" s="25" t="str">
        <f>IF('1. Live'!BB283='check-Jul''26'!AX283,"",'1. Live'!BB283-'check-Jul''26'!AX283)</f>
        <v/>
      </c>
      <c r="AY265" s="25" t="str">
        <f>IF('1. Live'!BC283='check-Jul''26'!AY283,"",'1. Live'!BC283-'check-Jul''26'!AY283)</f>
        <v/>
      </c>
      <c r="AZ265" s="25" t="str">
        <f>IF('1. Live'!BD283='check-Jul''26'!AZ283,"",'1. Live'!BD283-'check-Jul''26'!AZ283)</f>
        <v/>
      </c>
      <c r="BA265" s="25" t="str">
        <f>IF('1. Live'!BE283='check-Jul''26'!BA283,"",'1. Live'!BE283-'check-Jul''26'!BA283)</f>
        <v/>
      </c>
      <c r="BB265" s="25" t="str">
        <f>IF('1. Live'!BF283='check-Jul''26'!BB283,"",'1. Live'!BF283-'check-Jul''26'!BB283)</f>
        <v/>
      </c>
      <c r="BC265" s="25" t="str">
        <f>IF('1. Live'!BG283='check-Jul''26'!BC283,"",'1. Live'!BG283-'check-Jul''26'!BC283)</f>
        <v/>
      </c>
      <c r="BD265" s="25" t="str">
        <f>IF('1. Live'!BH283='check-Jul''26'!BD283,"",'1. Live'!BH283-'check-Jul''26'!BD283)</f>
        <v/>
      </c>
      <c r="BE265" s="25" t="str">
        <f>IF('1. Live'!BI283='check-Jul''26'!BE283,"",'1. Live'!BI283-'check-Jul''26'!BE283)</f>
        <v/>
      </c>
      <c r="BF265" s="25" t="str">
        <f>IF('1. Live'!BJ283='check-Jul''26'!BF283,"",'1. Live'!BJ283-'check-Jul''26'!BF283)</f>
        <v/>
      </c>
      <c r="BG265" s="25" t="str">
        <f>IF('1. Live'!BK283='check-Jul''26'!BG283,"",'1. Live'!BK283-'check-Jul''26'!BG283)</f>
        <v/>
      </c>
      <c r="BH265" s="25" t="str">
        <f>IF('1. Live'!BL283='check-Jul''26'!BH283,"",'1. Live'!BL283-'check-Jul''26'!BH283)</f>
        <v/>
      </c>
      <c r="BI265" s="25" t="str">
        <f>IF('1. Live'!BM283='check-Jul''26'!BI283,"",'1. Live'!BM283-'check-Jul''26'!BI283)</f>
        <v/>
      </c>
      <c r="BJ265" s="25" t="str">
        <f>IF('1. Live'!BN283='check-Jul''26'!BJ283,"",'1. Live'!BN283-'check-Jul''26'!BJ283)</f>
        <v/>
      </c>
      <c r="BK265" s="25" t="str">
        <f>IF('1. Live'!BO283='check-Jul''26'!BK283,"",'1. Live'!BO283-'check-Jul''26'!BK283)</f>
        <v/>
      </c>
      <c r="BL265" s="25" t="str">
        <f>IF('1. Live'!BP283='check-Jul''26'!BL283,"",'1. Live'!BP283-'check-Jul''26'!BL283)</f>
        <v/>
      </c>
      <c r="BM265" s="25" t="str">
        <f>IF('1. Live'!BQ283='check-Jul''26'!BM283,"",'1. Live'!BQ283-'check-Jul''26'!BM283)</f>
        <v/>
      </c>
      <c r="BN265" s="25" t="str">
        <f>IF('1. Live'!BR283='check-Jul''26'!BN283,"",'1. Live'!BR283-'check-Jul''26'!BN283)</f>
        <v/>
      </c>
      <c r="BO265" s="25" t="str">
        <f>IF('1. Live'!BS283='check-Jul''26'!BO283,"",'1. Live'!BS283-'check-Jul''26'!BO283)</f>
        <v/>
      </c>
      <c r="BP265" s="25" t="str">
        <f>IF('1. Live'!BT283='check-Jul''26'!BP283,"",'1. Live'!BT283-'check-Jul''26'!BP283)</f>
        <v/>
      </c>
      <c r="BQ265" s="25" t="str">
        <f>IF('1. Live'!BU283='check-Jul''26'!BQ283,"",'1. Live'!BU283-'check-Jul''26'!BQ283)</f>
        <v/>
      </c>
      <c r="BR265" s="25" t="str">
        <f>IF('1. Live'!BV283='check-Jul''26'!BR283,"",'1. Live'!BV283-'check-Jul''26'!BR283)</f>
        <v/>
      </c>
      <c r="BS265" s="25" t="str">
        <f>IF('1. Live'!BW283='check-Jul''26'!BS283,"",'1. Live'!BW283-'check-Jul''26'!BS283)</f>
        <v/>
      </c>
      <c r="BT265" s="25" t="str">
        <f>IF('1. Live'!BX283='check-Jul''26'!BT283,"",'1. Live'!BX283-'check-Jul''26'!BT283)</f>
        <v/>
      </c>
      <c r="BU265" s="25" t="str">
        <f>IF('1. Live'!BY283='check-Jul''26'!BU283,"",'1. Live'!BY283-'check-Jul''26'!BU283)</f>
        <v/>
      </c>
      <c r="BV265" s="25" t="str">
        <f>IF('1. Live'!BZ283='check-Jul''26'!BV283,"",'1. Live'!BZ283-'check-Jul''26'!BV283)</f>
        <v/>
      </c>
      <c r="BW265" s="25" t="str">
        <f>IF('1. Live'!CA283='check-Jul''26'!BW283,"",'1. Live'!CA283-'check-Jul''26'!BW283)</f>
        <v/>
      </c>
      <c r="BX265" s="25" t="str">
        <f>IF('1. Live'!CB283='check-Jul''26'!BX283,"",'1. Live'!CB283-'check-Jul''26'!BX283)</f>
        <v/>
      </c>
      <c r="BY265" s="25" t="str">
        <f>IF('1. Live'!CC283='check-Jul''26'!BY283,"",'1. Live'!CC283-'check-Jul''26'!BY283)</f>
        <v/>
      </c>
      <c r="BZ265" s="25" t="str">
        <f>IF('1. Live'!CD283='check-Jul''26'!BZ283,"",'1. Live'!CD283-'check-Jul''26'!BZ283)</f>
        <v/>
      </c>
      <c r="CA265" s="25" t="str">
        <f>IF('1. Live'!CE283='check-Jul''26'!CA283,"",'1. Live'!CE283-'check-Jul''26'!CA283)</f>
        <v/>
      </c>
      <c r="CB265" s="25" t="str">
        <f>IF('1. Live'!CF283='check-Jul''26'!CB283,"",'1. Live'!CF283-'check-Jul''26'!CB283)</f>
        <v/>
      </c>
      <c r="CC265" s="25" t="str">
        <f>IF('1. Live'!CG283='check-Jul''26'!CC283,"",'1. Live'!CG283-'check-Jul''26'!CC283)</f>
        <v/>
      </c>
      <c r="CD265" s="25" t="str">
        <f>IF('1. Live'!CH283='check-Jul''26'!CD283,"",'1. Live'!CH283-'check-Jul''26'!CD283)</f>
        <v/>
      </c>
      <c r="CE265" s="25" t="str">
        <f>IF('1. Live'!CI283='check-Jul''26'!CE283,"",'1. Live'!CI283-'check-Jul''26'!CE283)</f>
        <v/>
      </c>
      <c r="CF265" s="25" t="str">
        <f>IF('1. Live'!CJ283='check-Jul''26'!CF283,"",'1. Live'!CJ283-'check-Jul''26'!CF283)</f>
        <v/>
      </c>
      <c r="CG265" s="25" t="str">
        <f>IF('1. Live'!CK283='check-Jul''26'!CG283,"",'1. Live'!CK283-'check-Jul''26'!CG283)</f>
        <v/>
      </c>
      <c r="CH265" s="25" t="str">
        <f>IF('1. Live'!CL283='check-Jul''26'!CH283,"",'1. Live'!CL283-'check-Jul''26'!CH283)</f>
        <v/>
      </c>
      <c r="CI265" s="25" t="str">
        <f>IF('1. Live'!CM283='check-Jul''26'!CI283,"",'1. Live'!CM283-'check-Jul''26'!CI283)</f>
        <v/>
      </c>
      <c r="CJ265" s="25" t="str">
        <f>IF('1. Live'!CN283='check-Jul''26'!CJ283,"",'1. Live'!CN283-'check-Jul''26'!CJ283)</f>
        <v/>
      </c>
      <c r="CK265" s="25" t="str">
        <f>IF('1. Live'!CO283='check-Jul''26'!CK283,"",'1. Live'!CO283-'check-Jul''26'!CK283)</f>
        <v/>
      </c>
      <c r="CL265" s="25" t="str">
        <f>IF('1. Live'!CP283='check-Jul''26'!CL283,"",'1. Live'!CP283-'check-Jul''26'!CL283)</f>
        <v/>
      </c>
      <c r="CM265" s="25" t="str">
        <f>IF('1. Live'!CQ283='check-Jul''26'!CM283,"",'1. Live'!CQ283-'check-Jul''26'!CM283)</f>
        <v/>
      </c>
      <c r="CN265" s="25" t="str">
        <f>IF('1. Live'!CR283='check-Jul''26'!CN283,"",'1. Live'!CR283-'check-Jul''26'!CN283)</f>
        <v/>
      </c>
      <c r="CO265" s="25" t="str">
        <f>IF('1. Live'!CS283='check-Jul''26'!CO283,"",'1. Live'!CS283-'check-Jul''26'!CO283)</f>
        <v/>
      </c>
      <c r="CP265" s="25" t="str">
        <f>IF('1. Live'!CT283='check-Jul''26'!CP283,"",'1. Live'!CT283-'check-Jul''26'!CP283)</f>
        <v/>
      </c>
      <c r="CQ265" s="25" t="str">
        <f>IF('1. Live'!CU283='check-Jul''26'!CQ283,"",'1. Live'!CU283-'check-Jul''26'!CQ283)</f>
        <v/>
      </c>
      <c r="CR265" s="25" t="str">
        <f>IF('1. Live'!CV283='check-Jul''26'!CR283,"",'1. Live'!CV283-'check-Jul''26'!CR283)</f>
        <v/>
      </c>
      <c r="CS265" s="25" t="str">
        <f>IF('1. Live'!CW283='check-Jul''26'!CS283,"",'1. Live'!CW283-'check-Jul''26'!CS283)</f>
        <v/>
      </c>
      <c r="CT265" s="25" t="str">
        <f>IF('1. Live'!CX283='check-Jul''26'!CT283,"",'1. Live'!CX283-'check-Jul''26'!CT283)</f>
        <v/>
      </c>
      <c r="CU265" s="25" t="str">
        <f>IF('1. Live'!CY283='check-Jul''26'!CU283,"",'1. Live'!CY283-'check-Jul''26'!CU283)</f>
        <v/>
      </c>
      <c r="CV265" s="25" t="str">
        <f>IF('1. Live'!CZ283='check-Jul''26'!CV283,"",'1. Live'!CZ283-'check-Jul''26'!CV283)</f>
        <v/>
      </c>
    </row>
    <row r="266" spans="17:100" x14ac:dyDescent="0.25">
      <c r="Q266" s="26" t="str">
        <f>IF('1. Live'!N284='check-Jul''26'!I284,"",'1. Live'!N284-'check-Jul''26'!I284)</f>
        <v/>
      </c>
      <c r="R266" s="26" t="str">
        <f>IF('1. Live'!O284='check-Jul''26'!J284,"",'1. Live'!O284-'check-Jul''26'!J284)</f>
        <v/>
      </c>
      <c r="S266" s="26" t="str">
        <f>IF('1. Live'!P284='check-Jul''26'!K284,"",'1. Live'!P284-'check-Jul''26'!K284)</f>
        <v/>
      </c>
      <c r="T266" s="26" t="str">
        <f>IF('1. Live'!Q284='check-Jul''26'!L284,"",'1. Live'!Q284-'check-Jul''26'!L284)</f>
        <v/>
      </c>
      <c r="U266" s="80" t="str">
        <f>IF('1. Live'!R284='check-Jul''26'!M284,"",'1. Live'!R284-'check-Jul''26'!M284)</f>
        <v/>
      </c>
      <c r="V266" s="26" t="str">
        <f>IF('1. Live'!S284='check-Jul''26'!N284,"",'1. Live'!S284-'check-Jul''26'!N284)</f>
        <v/>
      </c>
      <c r="W266" s="25" t="str">
        <f>IF('1. Live'!T284='check-Jul''26'!O284,"",'1. Live'!T284-'check-Jul''26'!O284)</f>
        <v/>
      </c>
      <c r="X266" s="25" t="str">
        <f>IF('1. Live'!U284='check-Jul''26'!Q284,"",'1. Live'!U284-'check-Jul''26'!Q284)</f>
        <v/>
      </c>
      <c r="Y266" s="25" t="str">
        <f>IF('1. Live'!V284='check-Jul''26'!R284,"",'1. Live'!V284-'check-Jul''26'!R284)</f>
        <v/>
      </c>
      <c r="Z266" s="25" t="str">
        <f>IF('1. Live'!W284='check-Jul''26'!S284,"",'1. Live'!W284-'check-Jul''26'!S284)</f>
        <v/>
      </c>
      <c r="AA266" s="25" t="str">
        <f>IF('1. Live'!X284='check-Jul''26'!T284,"",'1. Live'!X284-'check-Jul''26'!T284)</f>
        <v/>
      </c>
      <c r="AB266" s="25" t="str">
        <f>IF('1. Live'!AF284='check-Jul''26'!AB284,"",'1. Live'!AF284-'check-Jul''26'!AB284)</f>
        <v/>
      </c>
      <c r="AC266" s="25" t="str">
        <f>IF('1. Live'!AG284='check-Jul''26'!AC284,"",'1. Live'!AG284-'check-Jul''26'!AC284)</f>
        <v/>
      </c>
      <c r="AD266" s="25" t="str">
        <f>IF('1. Live'!AH284='check-Jul''26'!AD284,"",'1. Live'!AH284-'check-Jul''26'!AD284)</f>
        <v/>
      </c>
      <c r="AE266" s="25" t="str">
        <f>IF('1. Live'!AI284='check-Jul''26'!AE284,"",'1. Live'!AI284-'check-Jul''26'!AE284)</f>
        <v/>
      </c>
      <c r="AF266" s="25" t="str">
        <f>IF('1. Live'!AJ284='check-Jul''26'!AF284,"",'1. Live'!AJ284-'check-Jul''26'!AF284)</f>
        <v/>
      </c>
      <c r="AG266" s="25" t="str">
        <f>IF('1. Live'!AK284='check-Jul''26'!AG284,"",'1. Live'!AK284-'check-Jul''26'!AG284)</f>
        <v/>
      </c>
      <c r="AH266" s="25" t="str">
        <f>IF('1. Live'!AL284='check-Jul''26'!AH284,"",'1. Live'!AL284-'check-Jul''26'!AH284)</f>
        <v/>
      </c>
      <c r="AI266" s="25" t="str">
        <f>IF('1. Live'!AM284='check-Jul''26'!AI284,"",'1. Live'!AM284-'check-Jul''26'!AI284)</f>
        <v/>
      </c>
      <c r="AJ266" s="25" t="str">
        <f>IF('1. Live'!AN284='check-Jul''26'!AJ284,"",'1. Live'!AN284-'check-Jul''26'!AJ284)</f>
        <v/>
      </c>
      <c r="AK266" s="25" t="str">
        <f>IF('1. Live'!AO284='check-Jul''26'!AK284,"",'1. Live'!AO284-'check-Jul''26'!AK284)</f>
        <v/>
      </c>
      <c r="AL266" s="25" t="str">
        <f>IF('1. Live'!AP284='check-Jul''26'!AL284,"",'1. Live'!AP284-'check-Jul''26'!AL284)</f>
        <v/>
      </c>
      <c r="AM266" s="25" t="str">
        <f>IF('1. Live'!AQ284='check-Jul''26'!AM284,"",'1. Live'!AQ284-'check-Jul''26'!AM284)</f>
        <v/>
      </c>
      <c r="AN266" s="25" t="str">
        <f>IF('1. Live'!AR284='check-Jul''26'!AN284,"",'1. Live'!AR284-'check-Jul''26'!AN284)</f>
        <v/>
      </c>
      <c r="AO266" s="25" t="str">
        <f>IF('1. Live'!AS284='check-Jul''26'!AO284,"",'1. Live'!AS284-'check-Jul''26'!AO284)</f>
        <v/>
      </c>
      <c r="AP266" s="25" t="str">
        <f>IF('1. Live'!AT284='check-Jul''26'!AP284,"",'1. Live'!AT284-'check-Jul''26'!AP284)</f>
        <v/>
      </c>
      <c r="AQ266" s="25" t="str">
        <f>IF('1. Live'!AU284='check-Jul''26'!AQ284,"",'1. Live'!AU284-'check-Jul''26'!AQ284)</f>
        <v/>
      </c>
      <c r="AR266" s="25" t="str">
        <f>IF('1. Live'!AV284='check-Jul''26'!AR284,"",'1. Live'!AV284-'check-Jul''26'!AR284)</f>
        <v/>
      </c>
      <c r="AS266" s="25" t="str">
        <f>IF('1. Live'!AW284='check-Jul''26'!AS284,"",'1. Live'!AW284-'check-Jul''26'!AS284)</f>
        <v/>
      </c>
      <c r="AT266" s="25" t="str">
        <f>IF('1. Live'!AX284='check-Jul''26'!AT284,"",'1. Live'!AX284-'check-Jul''26'!AT284)</f>
        <v/>
      </c>
      <c r="AU266" s="25" t="str">
        <f>IF('1. Live'!AY284='check-Jul''26'!AU284,"",'1. Live'!AY284-'check-Jul''26'!AU284)</f>
        <v/>
      </c>
      <c r="AV266" s="25" t="str">
        <f>IF('1. Live'!AZ284='check-Jul''26'!AV284,"",'1. Live'!AZ284-'check-Jul''26'!AV284)</f>
        <v/>
      </c>
      <c r="AW266" s="25" t="str">
        <f>IF('1. Live'!BA284='check-Jul''26'!AW284,"",'1. Live'!BA284-'check-Jul''26'!AW284)</f>
        <v/>
      </c>
      <c r="AX266" s="25" t="str">
        <f>IF('1. Live'!BB284='check-Jul''26'!AX284,"",'1. Live'!BB284-'check-Jul''26'!AX284)</f>
        <v/>
      </c>
      <c r="AY266" s="25" t="str">
        <f>IF('1. Live'!BC284='check-Jul''26'!AY284,"",'1. Live'!BC284-'check-Jul''26'!AY284)</f>
        <v/>
      </c>
      <c r="AZ266" s="25" t="str">
        <f>IF('1. Live'!BD284='check-Jul''26'!AZ284,"",'1. Live'!BD284-'check-Jul''26'!AZ284)</f>
        <v/>
      </c>
      <c r="BA266" s="25" t="str">
        <f>IF('1. Live'!BE284='check-Jul''26'!BA284,"",'1. Live'!BE284-'check-Jul''26'!BA284)</f>
        <v/>
      </c>
      <c r="BB266" s="25" t="str">
        <f>IF('1. Live'!BF284='check-Jul''26'!BB284,"",'1. Live'!BF284-'check-Jul''26'!BB284)</f>
        <v/>
      </c>
      <c r="BC266" s="25" t="str">
        <f>IF('1. Live'!BG284='check-Jul''26'!BC284,"",'1. Live'!BG284-'check-Jul''26'!BC284)</f>
        <v/>
      </c>
      <c r="BD266" s="25" t="str">
        <f>IF('1. Live'!BH284='check-Jul''26'!BD284,"",'1. Live'!BH284-'check-Jul''26'!BD284)</f>
        <v/>
      </c>
      <c r="BE266" s="25" t="str">
        <f>IF('1. Live'!BI284='check-Jul''26'!BE284,"",'1. Live'!BI284-'check-Jul''26'!BE284)</f>
        <v/>
      </c>
      <c r="BF266" s="25" t="str">
        <f>IF('1. Live'!BJ284='check-Jul''26'!BF284,"",'1. Live'!BJ284-'check-Jul''26'!BF284)</f>
        <v/>
      </c>
      <c r="BG266" s="25" t="str">
        <f>IF('1. Live'!BK284='check-Jul''26'!BG284,"",'1. Live'!BK284-'check-Jul''26'!BG284)</f>
        <v/>
      </c>
      <c r="BH266" s="25" t="str">
        <f>IF('1. Live'!BL284='check-Jul''26'!BH284,"",'1. Live'!BL284-'check-Jul''26'!BH284)</f>
        <v/>
      </c>
      <c r="BI266" s="25" t="str">
        <f>IF('1. Live'!BM284='check-Jul''26'!BI284,"",'1. Live'!BM284-'check-Jul''26'!BI284)</f>
        <v/>
      </c>
      <c r="BJ266" s="25" t="str">
        <f>IF('1. Live'!BN284='check-Jul''26'!BJ284,"",'1. Live'!BN284-'check-Jul''26'!BJ284)</f>
        <v/>
      </c>
      <c r="BK266" s="25" t="str">
        <f>IF('1. Live'!BO284='check-Jul''26'!BK284,"",'1. Live'!BO284-'check-Jul''26'!BK284)</f>
        <v/>
      </c>
      <c r="BL266" s="25" t="str">
        <f>IF('1. Live'!BP284='check-Jul''26'!BL284,"",'1. Live'!BP284-'check-Jul''26'!BL284)</f>
        <v/>
      </c>
      <c r="BM266" s="25" t="str">
        <f>IF('1. Live'!BQ284='check-Jul''26'!BM284,"",'1. Live'!BQ284-'check-Jul''26'!BM284)</f>
        <v/>
      </c>
      <c r="BN266" s="25" t="str">
        <f>IF('1. Live'!BR284='check-Jul''26'!BN284,"",'1. Live'!BR284-'check-Jul''26'!BN284)</f>
        <v/>
      </c>
      <c r="BO266" s="25" t="str">
        <f>IF('1. Live'!BS284='check-Jul''26'!BO284,"",'1. Live'!BS284-'check-Jul''26'!BO284)</f>
        <v/>
      </c>
      <c r="BP266" s="25" t="str">
        <f>IF('1. Live'!BT284='check-Jul''26'!BP284,"",'1. Live'!BT284-'check-Jul''26'!BP284)</f>
        <v/>
      </c>
      <c r="BQ266" s="25" t="str">
        <f>IF('1. Live'!BU284='check-Jul''26'!BQ284,"",'1. Live'!BU284-'check-Jul''26'!BQ284)</f>
        <v/>
      </c>
      <c r="BR266" s="25" t="str">
        <f>IF('1. Live'!BV284='check-Jul''26'!BR284,"",'1. Live'!BV284-'check-Jul''26'!BR284)</f>
        <v/>
      </c>
      <c r="BS266" s="25" t="str">
        <f>IF('1. Live'!BW284='check-Jul''26'!BS284,"",'1. Live'!BW284-'check-Jul''26'!BS284)</f>
        <v/>
      </c>
      <c r="BT266" s="25" t="str">
        <f>IF('1. Live'!BX284='check-Jul''26'!BT284,"",'1. Live'!BX284-'check-Jul''26'!BT284)</f>
        <v/>
      </c>
      <c r="BU266" s="25" t="str">
        <f>IF('1. Live'!BY284='check-Jul''26'!BU284,"",'1. Live'!BY284-'check-Jul''26'!BU284)</f>
        <v/>
      </c>
      <c r="BV266" s="25" t="str">
        <f>IF('1. Live'!BZ284='check-Jul''26'!BV284,"",'1. Live'!BZ284-'check-Jul''26'!BV284)</f>
        <v/>
      </c>
      <c r="BW266" s="25" t="str">
        <f>IF('1. Live'!CA284='check-Jul''26'!BW284,"",'1. Live'!CA284-'check-Jul''26'!BW284)</f>
        <v/>
      </c>
      <c r="BX266" s="25" t="str">
        <f>IF('1. Live'!CB284='check-Jul''26'!BX284,"",'1. Live'!CB284-'check-Jul''26'!BX284)</f>
        <v/>
      </c>
      <c r="BY266" s="25" t="str">
        <f>IF('1. Live'!CC284='check-Jul''26'!BY284,"",'1. Live'!CC284-'check-Jul''26'!BY284)</f>
        <v/>
      </c>
      <c r="BZ266" s="25" t="str">
        <f>IF('1. Live'!CD284='check-Jul''26'!BZ284,"",'1. Live'!CD284-'check-Jul''26'!BZ284)</f>
        <v/>
      </c>
      <c r="CA266" s="25" t="str">
        <f>IF('1. Live'!CE284='check-Jul''26'!CA284,"",'1. Live'!CE284-'check-Jul''26'!CA284)</f>
        <v/>
      </c>
      <c r="CB266" s="25" t="str">
        <f>IF('1. Live'!CF284='check-Jul''26'!CB284,"",'1. Live'!CF284-'check-Jul''26'!CB284)</f>
        <v/>
      </c>
      <c r="CC266" s="25" t="str">
        <f>IF('1. Live'!CG284='check-Jul''26'!CC284,"",'1. Live'!CG284-'check-Jul''26'!CC284)</f>
        <v/>
      </c>
      <c r="CD266" s="25" t="str">
        <f>IF('1. Live'!CH284='check-Jul''26'!CD284,"",'1. Live'!CH284-'check-Jul''26'!CD284)</f>
        <v/>
      </c>
      <c r="CE266" s="25" t="str">
        <f>IF('1. Live'!CI284='check-Jul''26'!CE284,"",'1. Live'!CI284-'check-Jul''26'!CE284)</f>
        <v/>
      </c>
      <c r="CF266" s="25" t="str">
        <f>IF('1. Live'!CJ284='check-Jul''26'!CF284,"",'1. Live'!CJ284-'check-Jul''26'!CF284)</f>
        <v/>
      </c>
      <c r="CG266" s="25" t="str">
        <f>IF('1. Live'!CK284='check-Jul''26'!CG284,"",'1. Live'!CK284-'check-Jul''26'!CG284)</f>
        <v/>
      </c>
      <c r="CH266" s="25" t="str">
        <f>IF('1. Live'!CL284='check-Jul''26'!CH284,"",'1. Live'!CL284-'check-Jul''26'!CH284)</f>
        <v/>
      </c>
      <c r="CI266" s="25" t="str">
        <f>IF('1. Live'!CM284='check-Jul''26'!CI284,"",'1. Live'!CM284-'check-Jul''26'!CI284)</f>
        <v/>
      </c>
      <c r="CJ266" s="25" t="str">
        <f>IF('1. Live'!CN284='check-Jul''26'!CJ284,"",'1. Live'!CN284-'check-Jul''26'!CJ284)</f>
        <v/>
      </c>
      <c r="CK266" s="25" t="str">
        <f>IF('1. Live'!CO284='check-Jul''26'!CK284,"",'1. Live'!CO284-'check-Jul''26'!CK284)</f>
        <v/>
      </c>
      <c r="CL266" s="25" t="str">
        <f>IF('1. Live'!CP284='check-Jul''26'!CL284,"",'1. Live'!CP284-'check-Jul''26'!CL284)</f>
        <v/>
      </c>
      <c r="CM266" s="25" t="str">
        <f>IF('1. Live'!CQ284='check-Jul''26'!CM284,"",'1. Live'!CQ284-'check-Jul''26'!CM284)</f>
        <v/>
      </c>
      <c r="CN266" s="25" t="str">
        <f>IF('1. Live'!CR284='check-Jul''26'!CN284,"",'1. Live'!CR284-'check-Jul''26'!CN284)</f>
        <v/>
      </c>
      <c r="CO266" s="25" t="str">
        <f>IF('1. Live'!CS284='check-Jul''26'!CO284,"",'1. Live'!CS284-'check-Jul''26'!CO284)</f>
        <v/>
      </c>
      <c r="CP266" s="25" t="str">
        <f>IF('1. Live'!CT284='check-Jul''26'!CP284,"",'1. Live'!CT284-'check-Jul''26'!CP284)</f>
        <v/>
      </c>
      <c r="CQ266" s="25" t="str">
        <f>IF('1. Live'!CU284='check-Jul''26'!CQ284,"",'1. Live'!CU284-'check-Jul''26'!CQ284)</f>
        <v/>
      </c>
      <c r="CR266" s="25" t="str">
        <f>IF('1. Live'!CV284='check-Jul''26'!CR284,"",'1. Live'!CV284-'check-Jul''26'!CR284)</f>
        <v/>
      </c>
      <c r="CS266" s="25" t="str">
        <f>IF('1. Live'!CW284='check-Jul''26'!CS284,"",'1. Live'!CW284-'check-Jul''26'!CS284)</f>
        <v/>
      </c>
      <c r="CT266" s="25" t="str">
        <f>IF('1. Live'!CX284='check-Jul''26'!CT284,"",'1. Live'!CX284-'check-Jul''26'!CT284)</f>
        <v/>
      </c>
      <c r="CU266" s="25" t="str">
        <f>IF('1. Live'!CY284='check-Jul''26'!CU284,"",'1. Live'!CY284-'check-Jul''26'!CU284)</f>
        <v/>
      </c>
      <c r="CV266" s="25" t="str">
        <f>IF('1. Live'!CZ284='check-Jul''26'!CV284,"",'1. Live'!CZ284-'check-Jul''26'!CV284)</f>
        <v/>
      </c>
    </row>
    <row r="267" spans="17:100" x14ac:dyDescent="0.25">
      <c r="Q267" s="26" t="str">
        <f>IF('1. Live'!N285='check-Jul''26'!I285,"",'1. Live'!N285-'check-Jul''26'!I285)</f>
        <v/>
      </c>
      <c r="R267" s="26" t="str">
        <f>IF('1. Live'!O285='check-Jul''26'!J285,"",'1. Live'!O285-'check-Jul''26'!J285)</f>
        <v/>
      </c>
      <c r="S267" s="26" t="str">
        <f>IF('1. Live'!P285='check-Jul''26'!K285,"",'1. Live'!P285-'check-Jul''26'!K285)</f>
        <v/>
      </c>
      <c r="T267" s="26" t="str">
        <f>IF('1. Live'!Q285='check-Jul''26'!L285,"",'1. Live'!Q285-'check-Jul''26'!L285)</f>
        <v/>
      </c>
      <c r="U267" s="80" t="str">
        <f>IF('1. Live'!R285='check-Jul''26'!M285,"",'1. Live'!R285-'check-Jul''26'!M285)</f>
        <v/>
      </c>
      <c r="V267" s="26" t="str">
        <f>IF('1. Live'!S285='check-Jul''26'!N285,"",'1. Live'!S285-'check-Jul''26'!N285)</f>
        <v/>
      </c>
      <c r="W267" s="25" t="str">
        <f>IF('1. Live'!T285='check-Jul''26'!O285,"",'1. Live'!T285-'check-Jul''26'!O285)</f>
        <v/>
      </c>
      <c r="X267" s="25" t="str">
        <f>IF('1. Live'!U285='check-Jul''26'!Q285,"",'1. Live'!U285-'check-Jul''26'!Q285)</f>
        <v/>
      </c>
      <c r="Y267" s="25" t="str">
        <f>IF('1. Live'!V285='check-Jul''26'!R285,"",'1. Live'!V285-'check-Jul''26'!R285)</f>
        <v/>
      </c>
      <c r="Z267" s="25" t="str">
        <f>IF('1. Live'!W285='check-Jul''26'!S285,"",'1. Live'!W285-'check-Jul''26'!S285)</f>
        <v/>
      </c>
      <c r="AA267" s="25" t="str">
        <f>IF('1. Live'!X285='check-Jul''26'!T285,"",'1. Live'!X285-'check-Jul''26'!T285)</f>
        <v/>
      </c>
      <c r="AB267" s="25" t="str">
        <f>IF('1. Live'!AF285='check-Jul''26'!AB285,"",'1. Live'!AF285-'check-Jul''26'!AB285)</f>
        <v/>
      </c>
      <c r="AC267" s="25" t="str">
        <f>IF('1. Live'!AG285='check-Jul''26'!AC285,"",'1. Live'!AG285-'check-Jul''26'!AC285)</f>
        <v/>
      </c>
      <c r="AD267" s="25" t="str">
        <f>IF('1. Live'!AH285='check-Jul''26'!AD285,"",'1. Live'!AH285-'check-Jul''26'!AD285)</f>
        <v/>
      </c>
      <c r="AE267" s="25" t="str">
        <f>IF('1. Live'!AI285='check-Jul''26'!AE285,"",'1. Live'!AI285-'check-Jul''26'!AE285)</f>
        <v/>
      </c>
      <c r="AF267" s="25" t="str">
        <f>IF('1. Live'!AJ285='check-Jul''26'!AF285,"",'1. Live'!AJ285-'check-Jul''26'!AF285)</f>
        <v/>
      </c>
      <c r="AG267" s="25" t="str">
        <f>IF('1. Live'!AK285='check-Jul''26'!AG285,"",'1. Live'!AK285-'check-Jul''26'!AG285)</f>
        <v/>
      </c>
      <c r="AH267" s="25" t="str">
        <f>IF('1. Live'!AL285='check-Jul''26'!AH285,"",'1. Live'!AL285-'check-Jul''26'!AH285)</f>
        <v/>
      </c>
      <c r="AI267" s="25" t="str">
        <f>IF('1. Live'!AM285='check-Jul''26'!AI285,"",'1. Live'!AM285-'check-Jul''26'!AI285)</f>
        <v/>
      </c>
      <c r="AJ267" s="25" t="str">
        <f>IF('1. Live'!AN285='check-Jul''26'!AJ285,"",'1. Live'!AN285-'check-Jul''26'!AJ285)</f>
        <v/>
      </c>
      <c r="AK267" s="25" t="str">
        <f>IF('1. Live'!AO285='check-Jul''26'!AK285,"",'1. Live'!AO285-'check-Jul''26'!AK285)</f>
        <v/>
      </c>
      <c r="AL267" s="25" t="str">
        <f>IF('1. Live'!AP285='check-Jul''26'!AL285,"",'1. Live'!AP285-'check-Jul''26'!AL285)</f>
        <v/>
      </c>
      <c r="AM267" s="25" t="str">
        <f>IF('1. Live'!AQ285='check-Jul''26'!AM285,"",'1. Live'!AQ285-'check-Jul''26'!AM285)</f>
        <v/>
      </c>
      <c r="AN267" s="25" t="str">
        <f>IF('1. Live'!AR285='check-Jul''26'!AN285,"",'1. Live'!AR285-'check-Jul''26'!AN285)</f>
        <v/>
      </c>
      <c r="AO267" s="25" t="str">
        <f>IF('1. Live'!AS285='check-Jul''26'!AO285,"",'1. Live'!AS285-'check-Jul''26'!AO285)</f>
        <v/>
      </c>
      <c r="AP267" s="25" t="str">
        <f>IF('1. Live'!AT285='check-Jul''26'!AP285,"",'1. Live'!AT285-'check-Jul''26'!AP285)</f>
        <v/>
      </c>
      <c r="AQ267" s="25" t="str">
        <f>IF('1. Live'!AU285='check-Jul''26'!AQ285,"",'1. Live'!AU285-'check-Jul''26'!AQ285)</f>
        <v/>
      </c>
      <c r="AR267" s="25" t="str">
        <f>IF('1. Live'!AV285='check-Jul''26'!AR285,"",'1. Live'!AV285-'check-Jul''26'!AR285)</f>
        <v/>
      </c>
      <c r="AS267" s="25" t="str">
        <f>IF('1. Live'!AW285='check-Jul''26'!AS285,"",'1. Live'!AW285-'check-Jul''26'!AS285)</f>
        <v/>
      </c>
      <c r="AT267" s="25" t="str">
        <f>IF('1. Live'!AX285='check-Jul''26'!AT285,"",'1. Live'!AX285-'check-Jul''26'!AT285)</f>
        <v/>
      </c>
      <c r="AU267" s="25" t="str">
        <f>IF('1. Live'!AY285='check-Jul''26'!AU285,"",'1. Live'!AY285-'check-Jul''26'!AU285)</f>
        <v/>
      </c>
      <c r="AV267" s="25" t="str">
        <f>IF('1. Live'!AZ285='check-Jul''26'!AV285,"",'1. Live'!AZ285-'check-Jul''26'!AV285)</f>
        <v/>
      </c>
      <c r="AW267" s="25" t="str">
        <f>IF('1. Live'!BA285='check-Jul''26'!AW285,"",'1. Live'!BA285-'check-Jul''26'!AW285)</f>
        <v/>
      </c>
      <c r="AX267" s="25" t="str">
        <f>IF('1. Live'!BB285='check-Jul''26'!AX285,"",'1. Live'!BB285-'check-Jul''26'!AX285)</f>
        <v/>
      </c>
      <c r="AY267" s="25" t="str">
        <f>IF('1. Live'!BC285='check-Jul''26'!AY285,"",'1. Live'!BC285-'check-Jul''26'!AY285)</f>
        <v/>
      </c>
      <c r="AZ267" s="25" t="str">
        <f>IF('1. Live'!BD285='check-Jul''26'!AZ285,"",'1. Live'!BD285-'check-Jul''26'!AZ285)</f>
        <v/>
      </c>
      <c r="BA267" s="25" t="str">
        <f>IF('1. Live'!BE285='check-Jul''26'!BA285,"",'1. Live'!BE285-'check-Jul''26'!BA285)</f>
        <v/>
      </c>
      <c r="BB267" s="25" t="str">
        <f>IF('1. Live'!BF285='check-Jul''26'!BB285,"",'1. Live'!BF285-'check-Jul''26'!BB285)</f>
        <v/>
      </c>
      <c r="BC267" s="25" t="str">
        <f>IF('1. Live'!BG285='check-Jul''26'!BC285,"",'1. Live'!BG285-'check-Jul''26'!BC285)</f>
        <v/>
      </c>
      <c r="BD267" s="25" t="str">
        <f>IF('1. Live'!BH285='check-Jul''26'!BD285,"",'1. Live'!BH285-'check-Jul''26'!BD285)</f>
        <v/>
      </c>
      <c r="BE267" s="25" t="str">
        <f>IF('1. Live'!BI285='check-Jul''26'!BE285,"",'1. Live'!BI285-'check-Jul''26'!BE285)</f>
        <v/>
      </c>
      <c r="BF267" s="25" t="str">
        <f>IF('1. Live'!BJ285='check-Jul''26'!BF285,"",'1. Live'!BJ285-'check-Jul''26'!BF285)</f>
        <v/>
      </c>
      <c r="BG267" s="25" t="str">
        <f>IF('1. Live'!BK285='check-Jul''26'!BG285,"",'1. Live'!BK285-'check-Jul''26'!BG285)</f>
        <v/>
      </c>
      <c r="BH267" s="25" t="str">
        <f>IF('1. Live'!BL285='check-Jul''26'!BH285,"",'1. Live'!BL285-'check-Jul''26'!BH285)</f>
        <v/>
      </c>
      <c r="BI267" s="25" t="str">
        <f>IF('1. Live'!BM285='check-Jul''26'!BI285,"",'1. Live'!BM285-'check-Jul''26'!BI285)</f>
        <v/>
      </c>
      <c r="BJ267" s="25" t="str">
        <f>IF('1. Live'!BN285='check-Jul''26'!BJ285,"",'1. Live'!BN285-'check-Jul''26'!BJ285)</f>
        <v/>
      </c>
      <c r="BK267" s="25" t="str">
        <f>IF('1. Live'!BO285='check-Jul''26'!BK285,"",'1. Live'!BO285-'check-Jul''26'!BK285)</f>
        <v/>
      </c>
      <c r="BL267" s="25" t="str">
        <f>IF('1. Live'!BP285='check-Jul''26'!BL285,"",'1. Live'!BP285-'check-Jul''26'!BL285)</f>
        <v/>
      </c>
      <c r="BM267" s="25" t="str">
        <f>IF('1. Live'!BQ285='check-Jul''26'!BM285,"",'1. Live'!BQ285-'check-Jul''26'!BM285)</f>
        <v/>
      </c>
      <c r="BN267" s="25" t="str">
        <f>IF('1. Live'!BR285='check-Jul''26'!BN285,"",'1. Live'!BR285-'check-Jul''26'!BN285)</f>
        <v/>
      </c>
      <c r="BO267" s="25" t="str">
        <f>IF('1. Live'!BS285='check-Jul''26'!BO285,"",'1. Live'!BS285-'check-Jul''26'!BO285)</f>
        <v/>
      </c>
      <c r="BP267" s="25" t="str">
        <f>IF('1. Live'!BT285='check-Jul''26'!BP285,"",'1. Live'!BT285-'check-Jul''26'!BP285)</f>
        <v/>
      </c>
      <c r="BQ267" s="25" t="str">
        <f>IF('1. Live'!BU285='check-Jul''26'!BQ285,"",'1. Live'!BU285-'check-Jul''26'!BQ285)</f>
        <v/>
      </c>
      <c r="BR267" s="25" t="str">
        <f>IF('1. Live'!BV285='check-Jul''26'!BR285,"",'1. Live'!BV285-'check-Jul''26'!BR285)</f>
        <v/>
      </c>
      <c r="BS267" s="25" t="str">
        <f>IF('1. Live'!BW285='check-Jul''26'!BS285,"",'1. Live'!BW285-'check-Jul''26'!BS285)</f>
        <v/>
      </c>
      <c r="BT267" s="25" t="str">
        <f>IF('1. Live'!BX285='check-Jul''26'!BT285,"",'1. Live'!BX285-'check-Jul''26'!BT285)</f>
        <v/>
      </c>
      <c r="BU267" s="25" t="str">
        <f>IF('1. Live'!BY285='check-Jul''26'!BU285,"",'1. Live'!BY285-'check-Jul''26'!BU285)</f>
        <v/>
      </c>
      <c r="BV267" s="25" t="str">
        <f>IF('1. Live'!BZ285='check-Jul''26'!BV285,"",'1. Live'!BZ285-'check-Jul''26'!BV285)</f>
        <v/>
      </c>
      <c r="BW267" s="25" t="str">
        <f>IF('1. Live'!CA285='check-Jul''26'!BW285,"",'1. Live'!CA285-'check-Jul''26'!BW285)</f>
        <v/>
      </c>
      <c r="BX267" s="25" t="str">
        <f>IF('1. Live'!CB285='check-Jul''26'!BX285,"",'1. Live'!CB285-'check-Jul''26'!BX285)</f>
        <v/>
      </c>
      <c r="BY267" s="25" t="str">
        <f>IF('1. Live'!CC285='check-Jul''26'!BY285,"",'1. Live'!CC285-'check-Jul''26'!BY285)</f>
        <v/>
      </c>
      <c r="BZ267" s="25" t="str">
        <f>IF('1. Live'!CD285='check-Jul''26'!BZ285,"",'1. Live'!CD285-'check-Jul''26'!BZ285)</f>
        <v/>
      </c>
      <c r="CA267" s="25" t="str">
        <f>IF('1. Live'!CE285='check-Jul''26'!CA285,"",'1. Live'!CE285-'check-Jul''26'!CA285)</f>
        <v/>
      </c>
      <c r="CB267" s="25" t="str">
        <f>IF('1. Live'!CF285='check-Jul''26'!CB285,"",'1. Live'!CF285-'check-Jul''26'!CB285)</f>
        <v/>
      </c>
      <c r="CC267" s="25" t="str">
        <f>IF('1. Live'!CG285='check-Jul''26'!CC285,"",'1. Live'!CG285-'check-Jul''26'!CC285)</f>
        <v/>
      </c>
      <c r="CD267" s="25" t="str">
        <f>IF('1. Live'!CH285='check-Jul''26'!CD285,"",'1. Live'!CH285-'check-Jul''26'!CD285)</f>
        <v/>
      </c>
      <c r="CE267" s="25" t="str">
        <f>IF('1. Live'!CI285='check-Jul''26'!CE285,"",'1. Live'!CI285-'check-Jul''26'!CE285)</f>
        <v/>
      </c>
      <c r="CF267" s="25" t="str">
        <f>IF('1. Live'!CJ285='check-Jul''26'!CF285,"",'1. Live'!CJ285-'check-Jul''26'!CF285)</f>
        <v/>
      </c>
      <c r="CG267" s="25" t="str">
        <f>IF('1. Live'!CK285='check-Jul''26'!CG285,"",'1. Live'!CK285-'check-Jul''26'!CG285)</f>
        <v/>
      </c>
      <c r="CH267" s="25" t="str">
        <f>IF('1. Live'!CL285='check-Jul''26'!CH285,"",'1. Live'!CL285-'check-Jul''26'!CH285)</f>
        <v/>
      </c>
      <c r="CI267" s="25" t="str">
        <f>IF('1. Live'!CM285='check-Jul''26'!CI285,"",'1. Live'!CM285-'check-Jul''26'!CI285)</f>
        <v/>
      </c>
      <c r="CJ267" s="25" t="str">
        <f>IF('1. Live'!CN285='check-Jul''26'!CJ285,"",'1. Live'!CN285-'check-Jul''26'!CJ285)</f>
        <v/>
      </c>
      <c r="CK267" s="25" t="str">
        <f>IF('1. Live'!CO285='check-Jul''26'!CK285,"",'1. Live'!CO285-'check-Jul''26'!CK285)</f>
        <v/>
      </c>
      <c r="CL267" s="25" t="str">
        <f>IF('1. Live'!CP285='check-Jul''26'!CL285,"",'1. Live'!CP285-'check-Jul''26'!CL285)</f>
        <v/>
      </c>
      <c r="CM267" s="25" t="str">
        <f>IF('1. Live'!CQ285='check-Jul''26'!CM285,"",'1. Live'!CQ285-'check-Jul''26'!CM285)</f>
        <v/>
      </c>
      <c r="CN267" s="25" t="str">
        <f>IF('1. Live'!CR285='check-Jul''26'!CN285,"",'1. Live'!CR285-'check-Jul''26'!CN285)</f>
        <v/>
      </c>
      <c r="CO267" s="25" t="str">
        <f>IF('1. Live'!CS285='check-Jul''26'!CO285,"",'1. Live'!CS285-'check-Jul''26'!CO285)</f>
        <v/>
      </c>
      <c r="CP267" s="25" t="str">
        <f>IF('1. Live'!CT285='check-Jul''26'!CP285,"",'1. Live'!CT285-'check-Jul''26'!CP285)</f>
        <v/>
      </c>
      <c r="CQ267" s="25" t="str">
        <f>IF('1. Live'!CU285='check-Jul''26'!CQ285,"",'1. Live'!CU285-'check-Jul''26'!CQ285)</f>
        <v/>
      </c>
      <c r="CR267" s="25" t="str">
        <f>IF('1. Live'!CV285='check-Jul''26'!CR285,"",'1. Live'!CV285-'check-Jul''26'!CR285)</f>
        <v/>
      </c>
      <c r="CS267" s="25" t="str">
        <f>IF('1. Live'!CW285='check-Jul''26'!CS285,"",'1. Live'!CW285-'check-Jul''26'!CS285)</f>
        <v/>
      </c>
      <c r="CT267" s="25" t="str">
        <f>IF('1. Live'!CX285='check-Jul''26'!CT285,"",'1. Live'!CX285-'check-Jul''26'!CT285)</f>
        <v/>
      </c>
      <c r="CU267" s="25" t="str">
        <f>IF('1. Live'!CY285='check-Jul''26'!CU285,"",'1. Live'!CY285-'check-Jul''26'!CU285)</f>
        <v/>
      </c>
      <c r="CV267" s="25" t="str">
        <f>IF('1. Live'!CZ285='check-Jul''26'!CV285,"",'1. Live'!CZ285-'check-Jul''26'!CV285)</f>
        <v/>
      </c>
    </row>
    <row r="268" spans="17:100" x14ac:dyDescent="0.25">
      <c r="Q268" s="26" t="str">
        <f>IF('1. Live'!N286='check-Jul''26'!I286,"",'1. Live'!N286-'check-Jul''26'!I286)</f>
        <v/>
      </c>
      <c r="R268" s="26" t="str">
        <f>IF('1. Live'!O286='check-Jul''26'!J286,"",'1. Live'!O286-'check-Jul''26'!J286)</f>
        <v/>
      </c>
      <c r="S268" s="26" t="str">
        <f>IF('1. Live'!P286='check-Jul''26'!K286,"",'1. Live'!P286-'check-Jul''26'!K286)</f>
        <v/>
      </c>
      <c r="T268" s="26" t="str">
        <f>IF('1. Live'!Q286='check-Jul''26'!L286,"",'1. Live'!Q286-'check-Jul''26'!L286)</f>
        <v/>
      </c>
      <c r="U268" s="80" t="str">
        <f>IF('1. Live'!R286='check-Jul''26'!M286,"",'1. Live'!R286-'check-Jul''26'!M286)</f>
        <v/>
      </c>
      <c r="V268" s="26" t="str">
        <f>IF('1. Live'!S286='check-Jul''26'!N286,"",'1. Live'!S286-'check-Jul''26'!N286)</f>
        <v/>
      </c>
      <c r="W268" s="25" t="str">
        <f>IF('1. Live'!T286='check-Jul''26'!O286,"",'1. Live'!T286-'check-Jul''26'!O286)</f>
        <v/>
      </c>
      <c r="X268" s="25" t="str">
        <f>IF('1. Live'!U286='check-Jul''26'!Q286,"",'1. Live'!U286-'check-Jul''26'!Q286)</f>
        <v/>
      </c>
      <c r="Y268" s="25" t="str">
        <f>IF('1. Live'!V286='check-Jul''26'!R286,"",'1. Live'!V286-'check-Jul''26'!R286)</f>
        <v/>
      </c>
      <c r="Z268" s="25" t="str">
        <f>IF('1. Live'!W286='check-Jul''26'!S286,"",'1. Live'!W286-'check-Jul''26'!S286)</f>
        <v/>
      </c>
      <c r="AA268" s="25" t="str">
        <f>IF('1. Live'!X286='check-Jul''26'!T286,"",'1. Live'!X286-'check-Jul''26'!T286)</f>
        <v/>
      </c>
      <c r="AB268" s="25" t="str">
        <f>IF('1. Live'!AF286='check-Jul''26'!AB286,"",'1. Live'!AF286-'check-Jul''26'!AB286)</f>
        <v/>
      </c>
      <c r="AC268" s="25" t="str">
        <f>IF('1. Live'!AG286='check-Jul''26'!AC286,"",'1. Live'!AG286-'check-Jul''26'!AC286)</f>
        <v/>
      </c>
      <c r="AD268" s="25" t="str">
        <f>IF('1. Live'!AH286='check-Jul''26'!AD286,"",'1. Live'!AH286-'check-Jul''26'!AD286)</f>
        <v/>
      </c>
      <c r="AE268" s="25" t="str">
        <f>IF('1. Live'!AI286='check-Jul''26'!AE286,"",'1. Live'!AI286-'check-Jul''26'!AE286)</f>
        <v/>
      </c>
      <c r="AF268" s="25" t="str">
        <f>IF('1. Live'!AJ286='check-Jul''26'!AF286,"",'1. Live'!AJ286-'check-Jul''26'!AF286)</f>
        <v/>
      </c>
      <c r="AG268" s="25" t="str">
        <f>IF('1. Live'!AK286='check-Jul''26'!AG286,"",'1. Live'!AK286-'check-Jul''26'!AG286)</f>
        <v/>
      </c>
      <c r="AH268" s="25" t="str">
        <f>IF('1. Live'!AL286='check-Jul''26'!AH286,"",'1. Live'!AL286-'check-Jul''26'!AH286)</f>
        <v/>
      </c>
      <c r="AI268" s="25" t="str">
        <f>IF('1. Live'!AM286='check-Jul''26'!AI286,"",'1. Live'!AM286-'check-Jul''26'!AI286)</f>
        <v/>
      </c>
      <c r="AJ268" s="25" t="str">
        <f>IF('1. Live'!AN286='check-Jul''26'!AJ286,"",'1. Live'!AN286-'check-Jul''26'!AJ286)</f>
        <v/>
      </c>
      <c r="AK268" s="25" t="str">
        <f>IF('1. Live'!AO286='check-Jul''26'!AK286,"",'1. Live'!AO286-'check-Jul''26'!AK286)</f>
        <v/>
      </c>
      <c r="AL268" s="25" t="str">
        <f>IF('1. Live'!AP286='check-Jul''26'!AL286,"",'1. Live'!AP286-'check-Jul''26'!AL286)</f>
        <v/>
      </c>
      <c r="AM268" s="25" t="str">
        <f>IF('1. Live'!AQ286='check-Jul''26'!AM286,"",'1. Live'!AQ286-'check-Jul''26'!AM286)</f>
        <v/>
      </c>
      <c r="AN268" s="25" t="str">
        <f>IF('1. Live'!AR286='check-Jul''26'!AN286,"",'1. Live'!AR286-'check-Jul''26'!AN286)</f>
        <v/>
      </c>
      <c r="AO268" s="25" t="str">
        <f>IF('1. Live'!AS286='check-Jul''26'!AO286,"",'1. Live'!AS286-'check-Jul''26'!AO286)</f>
        <v/>
      </c>
      <c r="AP268" s="25" t="str">
        <f>IF('1. Live'!AT286='check-Jul''26'!AP286,"",'1. Live'!AT286-'check-Jul''26'!AP286)</f>
        <v/>
      </c>
      <c r="AQ268" s="25" t="str">
        <f>IF('1. Live'!AU286='check-Jul''26'!AQ286,"",'1. Live'!AU286-'check-Jul''26'!AQ286)</f>
        <v/>
      </c>
      <c r="AR268" s="25" t="str">
        <f>IF('1. Live'!AV286='check-Jul''26'!AR286,"",'1. Live'!AV286-'check-Jul''26'!AR286)</f>
        <v/>
      </c>
      <c r="AS268" s="25" t="str">
        <f>IF('1. Live'!AW286='check-Jul''26'!AS286,"",'1. Live'!AW286-'check-Jul''26'!AS286)</f>
        <v/>
      </c>
      <c r="AT268" s="25" t="str">
        <f>IF('1. Live'!AX286='check-Jul''26'!AT286,"",'1. Live'!AX286-'check-Jul''26'!AT286)</f>
        <v/>
      </c>
      <c r="AU268" s="25" t="str">
        <f>IF('1. Live'!AY286='check-Jul''26'!AU286,"",'1. Live'!AY286-'check-Jul''26'!AU286)</f>
        <v/>
      </c>
      <c r="AV268" s="25" t="str">
        <f>IF('1. Live'!AZ286='check-Jul''26'!AV286,"",'1. Live'!AZ286-'check-Jul''26'!AV286)</f>
        <v/>
      </c>
      <c r="AW268" s="25" t="str">
        <f>IF('1. Live'!BA286='check-Jul''26'!AW286,"",'1. Live'!BA286-'check-Jul''26'!AW286)</f>
        <v/>
      </c>
      <c r="AX268" s="25" t="str">
        <f>IF('1. Live'!BB286='check-Jul''26'!AX286,"",'1. Live'!BB286-'check-Jul''26'!AX286)</f>
        <v/>
      </c>
      <c r="AY268" s="25" t="str">
        <f>IF('1. Live'!BC286='check-Jul''26'!AY286,"",'1. Live'!BC286-'check-Jul''26'!AY286)</f>
        <v/>
      </c>
      <c r="AZ268" s="25" t="str">
        <f>IF('1. Live'!BD286='check-Jul''26'!AZ286,"",'1. Live'!BD286-'check-Jul''26'!AZ286)</f>
        <v/>
      </c>
      <c r="BA268" s="25" t="str">
        <f>IF('1. Live'!BE286='check-Jul''26'!BA286,"",'1. Live'!BE286-'check-Jul''26'!BA286)</f>
        <v/>
      </c>
      <c r="BB268" s="25" t="str">
        <f>IF('1. Live'!BF286='check-Jul''26'!BB286,"",'1. Live'!BF286-'check-Jul''26'!BB286)</f>
        <v/>
      </c>
      <c r="BC268" s="25" t="str">
        <f>IF('1. Live'!BG286='check-Jul''26'!BC286,"",'1. Live'!BG286-'check-Jul''26'!BC286)</f>
        <v/>
      </c>
      <c r="BD268" s="25" t="str">
        <f>IF('1. Live'!BH286='check-Jul''26'!BD286,"",'1. Live'!BH286-'check-Jul''26'!BD286)</f>
        <v/>
      </c>
      <c r="BE268" s="25" t="str">
        <f>IF('1. Live'!BI286='check-Jul''26'!BE286,"",'1. Live'!BI286-'check-Jul''26'!BE286)</f>
        <v/>
      </c>
      <c r="BF268" s="25" t="str">
        <f>IF('1. Live'!BJ286='check-Jul''26'!BF286,"",'1. Live'!BJ286-'check-Jul''26'!BF286)</f>
        <v/>
      </c>
      <c r="BG268" s="25" t="str">
        <f>IF('1. Live'!BK286='check-Jul''26'!BG286,"",'1. Live'!BK286-'check-Jul''26'!BG286)</f>
        <v/>
      </c>
      <c r="BH268" s="25" t="str">
        <f>IF('1. Live'!BL286='check-Jul''26'!BH286,"",'1. Live'!BL286-'check-Jul''26'!BH286)</f>
        <v/>
      </c>
      <c r="BI268" s="25" t="str">
        <f>IF('1. Live'!BM286='check-Jul''26'!BI286,"",'1. Live'!BM286-'check-Jul''26'!BI286)</f>
        <v/>
      </c>
      <c r="BJ268" s="25" t="str">
        <f>IF('1. Live'!BN286='check-Jul''26'!BJ286,"",'1. Live'!BN286-'check-Jul''26'!BJ286)</f>
        <v/>
      </c>
      <c r="BK268" s="25" t="str">
        <f>IF('1. Live'!BO286='check-Jul''26'!BK286,"",'1. Live'!BO286-'check-Jul''26'!BK286)</f>
        <v/>
      </c>
      <c r="BL268" s="25" t="str">
        <f>IF('1. Live'!BP286='check-Jul''26'!BL286,"",'1. Live'!BP286-'check-Jul''26'!BL286)</f>
        <v/>
      </c>
      <c r="BM268" s="25" t="str">
        <f>IF('1. Live'!BQ286='check-Jul''26'!BM286,"",'1. Live'!BQ286-'check-Jul''26'!BM286)</f>
        <v/>
      </c>
      <c r="BN268" s="25" t="str">
        <f>IF('1. Live'!BR286='check-Jul''26'!BN286,"",'1. Live'!BR286-'check-Jul''26'!BN286)</f>
        <v/>
      </c>
      <c r="BO268" s="25" t="str">
        <f>IF('1. Live'!BS286='check-Jul''26'!BO286,"",'1. Live'!BS286-'check-Jul''26'!BO286)</f>
        <v/>
      </c>
      <c r="BP268" s="25" t="str">
        <f>IF('1. Live'!BT286='check-Jul''26'!BP286,"",'1. Live'!BT286-'check-Jul''26'!BP286)</f>
        <v/>
      </c>
      <c r="BQ268" s="25" t="str">
        <f>IF('1. Live'!BU286='check-Jul''26'!BQ286,"",'1. Live'!BU286-'check-Jul''26'!BQ286)</f>
        <v/>
      </c>
      <c r="BR268" s="25" t="str">
        <f>IF('1. Live'!BV286='check-Jul''26'!BR286,"",'1. Live'!BV286-'check-Jul''26'!BR286)</f>
        <v/>
      </c>
      <c r="BS268" s="25" t="str">
        <f>IF('1. Live'!BW286='check-Jul''26'!BS286,"",'1. Live'!BW286-'check-Jul''26'!BS286)</f>
        <v/>
      </c>
      <c r="BT268" s="25" t="str">
        <f>IF('1. Live'!BX286='check-Jul''26'!BT286,"",'1. Live'!BX286-'check-Jul''26'!BT286)</f>
        <v/>
      </c>
      <c r="BU268" s="25" t="str">
        <f>IF('1. Live'!BY286='check-Jul''26'!BU286,"",'1. Live'!BY286-'check-Jul''26'!BU286)</f>
        <v/>
      </c>
      <c r="BV268" s="25" t="str">
        <f>IF('1. Live'!BZ286='check-Jul''26'!BV286,"",'1. Live'!BZ286-'check-Jul''26'!BV286)</f>
        <v/>
      </c>
      <c r="BW268" s="25" t="str">
        <f>IF('1. Live'!CA286='check-Jul''26'!BW286,"",'1. Live'!CA286-'check-Jul''26'!BW286)</f>
        <v/>
      </c>
      <c r="BX268" s="25" t="str">
        <f>IF('1. Live'!CB286='check-Jul''26'!BX286,"",'1. Live'!CB286-'check-Jul''26'!BX286)</f>
        <v/>
      </c>
      <c r="BY268" s="25" t="str">
        <f>IF('1. Live'!CC286='check-Jul''26'!BY286,"",'1. Live'!CC286-'check-Jul''26'!BY286)</f>
        <v/>
      </c>
      <c r="BZ268" s="25" t="str">
        <f>IF('1. Live'!CD286='check-Jul''26'!BZ286,"",'1. Live'!CD286-'check-Jul''26'!BZ286)</f>
        <v/>
      </c>
      <c r="CA268" s="25" t="str">
        <f>IF('1. Live'!CE286='check-Jul''26'!CA286,"",'1. Live'!CE286-'check-Jul''26'!CA286)</f>
        <v/>
      </c>
      <c r="CB268" s="25" t="str">
        <f>IF('1. Live'!CF286='check-Jul''26'!CB286,"",'1. Live'!CF286-'check-Jul''26'!CB286)</f>
        <v/>
      </c>
      <c r="CC268" s="25" t="str">
        <f>IF('1. Live'!CG286='check-Jul''26'!CC286,"",'1. Live'!CG286-'check-Jul''26'!CC286)</f>
        <v/>
      </c>
      <c r="CD268" s="25" t="str">
        <f>IF('1. Live'!CH286='check-Jul''26'!CD286,"",'1. Live'!CH286-'check-Jul''26'!CD286)</f>
        <v/>
      </c>
      <c r="CE268" s="25" t="str">
        <f>IF('1. Live'!CI286='check-Jul''26'!CE286,"",'1. Live'!CI286-'check-Jul''26'!CE286)</f>
        <v/>
      </c>
      <c r="CF268" s="25" t="str">
        <f>IF('1. Live'!CJ286='check-Jul''26'!CF286,"",'1. Live'!CJ286-'check-Jul''26'!CF286)</f>
        <v/>
      </c>
      <c r="CG268" s="25" t="str">
        <f>IF('1. Live'!CK286='check-Jul''26'!CG286,"",'1. Live'!CK286-'check-Jul''26'!CG286)</f>
        <v/>
      </c>
      <c r="CH268" s="25" t="str">
        <f>IF('1. Live'!CL286='check-Jul''26'!CH286,"",'1. Live'!CL286-'check-Jul''26'!CH286)</f>
        <v/>
      </c>
      <c r="CI268" s="25" t="str">
        <f>IF('1. Live'!CM286='check-Jul''26'!CI286,"",'1. Live'!CM286-'check-Jul''26'!CI286)</f>
        <v/>
      </c>
      <c r="CJ268" s="25" t="str">
        <f>IF('1. Live'!CN286='check-Jul''26'!CJ286,"",'1. Live'!CN286-'check-Jul''26'!CJ286)</f>
        <v/>
      </c>
      <c r="CK268" s="25" t="str">
        <f>IF('1. Live'!CO286='check-Jul''26'!CK286,"",'1. Live'!CO286-'check-Jul''26'!CK286)</f>
        <v/>
      </c>
      <c r="CL268" s="25" t="str">
        <f>IF('1. Live'!CP286='check-Jul''26'!CL286,"",'1. Live'!CP286-'check-Jul''26'!CL286)</f>
        <v/>
      </c>
      <c r="CM268" s="25" t="str">
        <f>IF('1. Live'!CQ286='check-Jul''26'!CM286,"",'1. Live'!CQ286-'check-Jul''26'!CM286)</f>
        <v/>
      </c>
      <c r="CN268" s="25" t="str">
        <f>IF('1. Live'!CR286='check-Jul''26'!CN286,"",'1. Live'!CR286-'check-Jul''26'!CN286)</f>
        <v/>
      </c>
      <c r="CO268" s="25" t="str">
        <f>IF('1. Live'!CS286='check-Jul''26'!CO286,"",'1. Live'!CS286-'check-Jul''26'!CO286)</f>
        <v/>
      </c>
      <c r="CP268" s="25" t="str">
        <f>IF('1. Live'!CT286='check-Jul''26'!CP286,"",'1. Live'!CT286-'check-Jul''26'!CP286)</f>
        <v/>
      </c>
      <c r="CQ268" s="25" t="str">
        <f>IF('1. Live'!CU286='check-Jul''26'!CQ286,"",'1. Live'!CU286-'check-Jul''26'!CQ286)</f>
        <v/>
      </c>
      <c r="CR268" s="25" t="str">
        <f>IF('1. Live'!CV286='check-Jul''26'!CR286,"",'1. Live'!CV286-'check-Jul''26'!CR286)</f>
        <v/>
      </c>
      <c r="CS268" s="25" t="str">
        <f>IF('1. Live'!CW286='check-Jul''26'!CS286,"",'1. Live'!CW286-'check-Jul''26'!CS286)</f>
        <v/>
      </c>
      <c r="CT268" s="25" t="str">
        <f>IF('1. Live'!CX286='check-Jul''26'!CT286,"",'1. Live'!CX286-'check-Jul''26'!CT286)</f>
        <v/>
      </c>
      <c r="CU268" s="25" t="str">
        <f>IF('1. Live'!CY286='check-Jul''26'!CU286,"",'1. Live'!CY286-'check-Jul''26'!CU286)</f>
        <v/>
      </c>
      <c r="CV268" s="25" t="str">
        <f>IF('1. Live'!CZ286='check-Jul''26'!CV286,"",'1. Live'!CZ286-'check-Jul''26'!CV286)</f>
        <v/>
      </c>
    </row>
    <row r="269" spans="17:100" x14ac:dyDescent="0.25">
      <c r="Q269" s="26" t="str">
        <f>IF('1. Live'!N287='check-Jul''26'!I287,"",'1. Live'!N287-'check-Jul''26'!I287)</f>
        <v/>
      </c>
      <c r="R269" s="26" t="str">
        <f>IF('1. Live'!O287='check-Jul''26'!J287,"",'1. Live'!O287-'check-Jul''26'!J287)</f>
        <v/>
      </c>
      <c r="S269" s="26" t="str">
        <f>IF('1. Live'!P287='check-Jul''26'!K287,"",'1. Live'!P287-'check-Jul''26'!K287)</f>
        <v/>
      </c>
      <c r="T269" s="26" t="str">
        <f>IF('1. Live'!Q287='check-Jul''26'!L287,"",'1. Live'!Q287-'check-Jul''26'!L287)</f>
        <v/>
      </c>
      <c r="U269" s="80" t="str">
        <f>IF('1. Live'!R287='check-Jul''26'!M287,"",'1. Live'!R287-'check-Jul''26'!M287)</f>
        <v/>
      </c>
      <c r="V269" s="26" t="str">
        <f>IF('1. Live'!S287='check-Jul''26'!N287,"",'1. Live'!S287-'check-Jul''26'!N287)</f>
        <v/>
      </c>
      <c r="W269" s="25" t="str">
        <f>IF('1. Live'!T287='check-Jul''26'!O287,"",'1. Live'!T287-'check-Jul''26'!O287)</f>
        <v/>
      </c>
      <c r="X269" s="25" t="str">
        <f>IF('1. Live'!U287='check-Jul''26'!Q287,"",'1. Live'!U287-'check-Jul''26'!Q287)</f>
        <v/>
      </c>
      <c r="Y269" s="25" t="str">
        <f>IF('1. Live'!V287='check-Jul''26'!R287,"",'1. Live'!V287-'check-Jul''26'!R287)</f>
        <v/>
      </c>
      <c r="Z269" s="25" t="str">
        <f>IF('1. Live'!W287='check-Jul''26'!S287,"",'1. Live'!W287-'check-Jul''26'!S287)</f>
        <v/>
      </c>
      <c r="AA269" s="25" t="str">
        <f>IF('1. Live'!X287='check-Jul''26'!T287,"",'1. Live'!X287-'check-Jul''26'!T287)</f>
        <v/>
      </c>
      <c r="AB269" s="25" t="str">
        <f>IF('1. Live'!AF287='check-Jul''26'!AB287,"",'1. Live'!AF287-'check-Jul''26'!AB287)</f>
        <v/>
      </c>
      <c r="AC269" s="25" t="str">
        <f>IF('1. Live'!AG287='check-Jul''26'!AC287,"",'1. Live'!AG287-'check-Jul''26'!AC287)</f>
        <v/>
      </c>
      <c r="AD269" s="25" t="str">
        <f>IF('1. Live'!AH287='check-Jul''26'!AD287,"",'1. Live'!AH287-'check-Jul''26'!AD287)</f>
        <v/>
      </c>
      <c r="AE269" s="25" t="str">
        <f>IF('1. Live'!AI287='check-Jul''26'!AE287,"",'1. Live'!AI287-'check-Jul''26'!AE287)</f>
        <v/>
      </c>
      <c r="AF269" s="25" t="str">
        <f>IF('1. Live'!AJ287='check-Jul''26'!AF287,"",'1. Live'!AJ287-'check-Jul''26'!AF287)</f>
        <v/>
      </c>
      <c r="AG269" s="25" t="str">
        <f>IF('1. Live'!AK287='check-Jul''26'!AG287,"",'1. Live'!AK287-'check-Jul''26'!AG287)</f>
        <v/>
      </c>
      <c r="AH269" s="25" t="str">
        <f>IF('1. Live'!AL287='check-Jul''26'!AH287,"",'1. Live'!AL287-'check-Jul''26'!AH287)</f>
        <v/>
      </c>
      <c r="AI269" s="25" t="str">
        <f>IF('1. Live'!AM287='check-Jul''26'!AI287,"",'1. Live'!AM287-'check-Jul''26'!AI287)</f>
        <v/>
      </c>
      <c r="AJ269" s="25" t="str">
        <f>IF('1. Live'!AN287='check-Jul''26'!AJ287,"",'1. Live'!AN287-'check-Jul''26'!AJ287)</f>
        <v/>
      </c>
      <c r="AK269" s="25" t="str">
        <f>IF('1. Live'!AO287='check-Jul''26'!AK287,"",'1. Live'!AO287-'check-Jul''26'!AK287)</f>
        <v/>
      </c>
      <c r="AL269" s="25" t="str">
        <f>IF('1. Live'!AP287='check-Jul''26'!AL287,"",'1. Live'!AP287-'check-Jul''26'!AL287)</f>
        <v/>
      </c>
      <c r="AM269" s="25" t="str">
        <f>IF('1. Live'!AQ287='check-Jul''26'!AM287,"",'1. Live'!AQ287-'check-Jul''26'!AM287)</f>
        <v/>
      </c>
      <c r="AN269" s="25" t="str">
        <f>IF('1. Live'!AR287='check-Jul''26'!AN287,"",'1. Live'!AR287-'check-Jul''26'!AN287)</f>
        <v/>
      </c>
      <c r="AO269" s="25" t="str">
        <f>IF('1. Live'!AS287='check-Jul''26'!AO287,"",'1. Live'!AS287-'check-Jul''26'!AO287)</f>
        <v/>
      </c>
      <c r="AP269" s="25" t="str">
        <f>IF('1. Live'!AT287='check-Jul''26'!AP287,"",'1. Live'!AT287-'check-Jul''26'!AP287)</f>
        <v/>
      </c>
      <c r="AQ269" s="25" t="str">
        <f>IF('1. Live'!AU287='check-Jul''26'!AQ287,"",'1. Live'!AU287-'check-Jul''26'!AQ287)</f>
        <v/>
      </c>
      <c r="AR269" s="25" t="str">
        <f>IF('1. Live'!AV287='check-Jul''26'!AR287,"",'1. Live'!AV287-'check-Jul''26'!AR287)</f>
        <v/>
      </c>
      <c r="AS269" s="25" t="str">
        <f>IF('1. Live'!AW287='check-Jul''26'!AS287,"",'1. Live'!AW287-'check-Jul''26'!AS287)</f>
        <v/>
      </c>
      <c r="AT269" s="25" t="str">
        <f>IF('1. Live'!AX287='check-Jul''26'!AT287,"",'1. Live'!AX287-'check-Jul''26'!AT287)</f>
        <v/>
      </c>
      <c r="AU269" s="25" t="str">
        <f>IF('1. Live'!AY287='check-Jul''26'!AU287,"",'1. Live'!AY287-'check-Jul''26'!AU287)</f>
        <v/>
      </c>
      <c r="AV269" s="25" t="str">
        <f>IF('1. Live'!AZ287='check-Jul''26'!AV287,"",'1. Live'!AZ287-'check-Jul''26'!AV287)</f>
        <v/>
      </c>
      <c r="AW269" s="25" t="str">
        <f>IF('1. Live'!BA287='check-Jul''26'!AW287,"",'1. Live'!BA287-'check-Jul''26'!AW287)</f>
        <v/>
      </c>
      <c r="AX269" s="25" t="str">
        <f>IF('1. Live'!BB287='check-Jul''26'!AX287,"",'1. Live'!BB287-'check-Jul''26'!AX287)</f>
        <v/>
      </c>
      <c r="AY269" s="25" t="str">
        <f>IF('1. Live'!BC287='check-Jul''26'!AY287,"",'1. Live'!BC287-'check-Jul''26'!AY287)</f>
        <v/>
      </c>
      <c r="AZ269" s="25" t="str">
        <f>IF('1. Live'!BD287='check-Jul''26'!AZ287,"",'1. Live'!BD287-'check-Jul''26'!AZ287)</f>
        <v/>
      </c>
      <c r="BA269" s="25" t="str">
        <f>IF('1. Live'!BE287='check-Jul''26'!BA287,"",'1. Live'!BE287-'check-Jul''26'!BA287)</f>
        <v/>
      </c>
      <c r="BB269" s="25" t="str">
        <f>IF('1. Live'!BF287='check-Jul''26'!BB287,"",'1. Live'!BF287-'check-Jul''26'!BB287)</f>
        <v/>
      </c>
      <c r="BC269" s="25" t="str">
        <f>IF('1. Live'!BG287='check-Jul''26'!BC287,"",'1. Live'!BG287-'check-Jul''26'!BC287)</f>
        <v/>
      </c>
      <c r="BD269" s="25" t="str">
        <f>IF('1. Live'!BH287='check-Jul''26'!BD287,"",'1. Live'!BH287-'check-Jul''26'!BD287)</f>
        <v/>
      </c>
      <c r="BE269" s="25" t="str">
        <f>IF('1. Live'!BI287='check-Jul''26'!BE287,"",'1. Live'!BI287-'check-Jul''26'!BE287)</f>
        <v/>
      </c>
      <c r="BF269" s="25" t="str">
        <f>IF('1. Live'!BJ287='check-Jul''26'!BF287,"",'1. Live'!BJ287-'check-Jul''26'!BF287)</f>
        <v/>
      </c>
      <c r="BG269" s="25" t="str">
        <f>IF('1. Live'!BK287='check-Jul''26'!BG287,"",'1. Live'!BK287-'check-Jul''26'!BG287)</f>
        <v/>
      </c>
      <c r="BH269" s="25" t="str">
        <f>IF('1. Live'!BL287='check-Jul''26'!BH287,"",'1. Live'!BL287-'check-Jul''26'!BH287)</f>
        <v/>
      </c>
      <c r="BI269" s="25" t="str">
        <f>IF('1. Live'!BM287='check-Jul''26'!BI287,"",'1. Live'!BM287-'check-Jul''26'!BI287)</f>
        <v/>
      </c>
      <c r="BJ269" s="25" t="str">
        <f>IF('1. Live'!BN287='check-Jul''26'!BJ287,"",'1. Live'!BN287-'check-Jul''26'!BJ287)</f>
        <v/>
      </c>
      <c r="BK269" s="25" t="str">
        <f>IF('1. Live'!BO287='check-Jul''26'!BK287,"",'1. Live'!BO287-'check-Jul''26'!BK287)</f>
        <v/>
      </c>
      <c r="BL269" s="25" t="str">
        <f>IF('1. Live'!BP287='check-Jul''26'!BL287,"",'1. Live'!BP287-'check-Jul''26'!BL287)</f>
        <v/>
      </c>
      <c r="BM269" s="25" t="str">
        <f>IF('1. Live'!BQ287='check-Jul''26'!BM287,"",'1. Live'!BQ287-'check-Jul''26'!BM287)</f>
        <v/>
      </c>
      <c r="BN269" s="25" t="str">
        <f>IF('1. Live'!BR287='check-Jul''26'!BN287,"",'1. Live'!BR287-'check-Jul''26'!BN287)</f>
        <v/>
      </c>
      <c r="BO269" s="25" t="str">
        <f>IF('1. Live'!BS287='check-Jul''26'!BO287,"",'1. Live'!BS287-'check-Jul''26'!BO287)</f>
        <v/>
      </c>
      <c r="BP269" s="25" t="str">
        <f>IF('1. Live'!BT287='check-Jul''26'!BP287,"",'1. Live'!BT287-'check-Jul''26'!BP287)</f>
        <v/>
      </c>
      <c r="BQ269" s="25" t="str">
        <f>IF('1. Live'!BU287='check-Jul''26'!BQ287,"",'1. Live'!BU287-'check-Jul''26'!BQ287)</f>
        <v/>
      </c>
      <c r="BR269" s="25" t="str">
        <f>IF('1. Live'!BV287='check-Jul''26'!BR287,"",'1. Live'!BV287-'check-Jul''26'!BR287)</f>
        <v/>
      </c>
      <c r="BS269" s="25" t="str">
        <f>IF('1. Live'!BW287='check-Jul''26'!BS287,"",'1. Live'!BW287-'check-Jul''26'!BS287)</f>
        <v/>
      </c>
      <c r="BT269" s="25" t="str">
        <f>IF('1. Live'!BX287='check-Jul''26'!BT287,"",'1. Live'!BX287-'check-Jul''26'!BT287)</f>
        <v/>
      </c>
      <c r="BU269" s="25" t="str">
        <f>IF('1. Live'!BY287='check-Jul''26'!BU287,"",'1. Live'!BY287-'check-Jul''26'!BU287)</f>
        <v/>
      </c>
      <c r="BV269" s="25" t="str">
        <f>IF('1. Live'!BZ287='check-Jul''26'!BV287,"",'1. Live'!BZ287-'check-Jul''26'!BV287)</f>
        <v/>
      </c>
      <c r="BW269" s="25" t="str">
        <f>IF('1. Live'!CA287='check-Jul''26'!BW287,"",'1. Live'!CA287-'check-Jul''26'!BW287)</f>
        <v/>
      </c>
      <c r="BX269" s="25" t="str">
        <f>IF('1. Live'!CB287='check-Jul''26'!BX287,"",'1. Live'!CB287-'check-Jul''26'!BX287)</f>
        <v/>
      </c>
      <c r="BY269" s="25" t="str">
        <f>IF('1. Live'!CC287='check-Jul''26'!BY287,"",'1. Live'!CC287-'check-Jul''26'!BY287)</f>
        <v/>
      </c>
      <c r="BZ269" s="25" t="str">
        <f>IF('1. Live'!CD287='check-Jul''26'!BZ287,"",'1. Live'!CD287-'check-Jul''26'!BZ287)</f>
        <v/>
      </c>
      <c r="CA269" s="25" t="str">
        <f>IF('1. Live'!CE287='check-Jul''26'!CA287,"",'1. Live'!CE287-'check-Jul''26'!CA287)</f>
        <v/>
      </c>
      <c r="CB269" s="25" t="str">
        <f>IF('1. Live'!CF287='check-Jul''26'!CB287,"",'1. Live'!CF287-'check-Jul''26'!CB287)</f>
        <v/>
      </c>
      <c r="CC269" s="25" t="str">
        <f>IF('1. Live'!CG287='check-Jul''26'!CC287,"",'1. Live'!CG287-'check-Jul''26'!CC287)</f>
        <v/>
      </c>
      <c r="CD269" s="25" t="str">
        <f>IF('1. Live'!CH287='check-Jul''26'!CD287,"",'1. Live'!CH287-'check-Jul''26'!CD287)</f>
        <v/>
      </c>
      <c r="CE269" s="25" t="str">
        <f>IF('1. Live'!CI287='check-Jul''26'!CE287,"",'1. Live'!CI287-'check-Jul''26'!CE287)</f>
        <v/>
      </c>
      <c r="CF269" s="25" t="str">
        <f>IF('1. Live'!CJ287='check-Jul''26'!CF287,"",'1. Live'!CJ287-'check-Jul''26'!CF287)</f>
        <v/>
      </c>
      <c r="CG269" s="25" t="str">
        <f>IF('1. Live'!CK287='check-Jul''26'!CG287,"",'1. Live'!CK287-'check-Jul''26'!CG287)</f>
        <v/>
      </c>
      <c r="CH269" s="25" t="str">
        <f>IF('1. Live'!CL287='check-Jul''26'!CH287,"",'1. Live'!CL287-'check-Jul''26'!CH287)</f>
        <v/>
      </c>
      <c r="CI269" s="25" t="str">
        <f>IF('1. Live'!CM287='check-Jul''26'!CI287,"",'1. Live'!CM287-'check-Jul''26'!CI287)</f>
        <v/>
      </c>
      <c r="CJ269" s="25" t="str">
        <f>IF('1. Live'!CN287='check-Jul''26'!CJ287,"",'1. Live'!CN287-'check-Jul''26'!CJ287)</f>
        <v/>
      </c>
      <c r="CK269" s="25" t="str">
        <f>IF('1. Live'!CO287='check-Jul''26'!CK287,"",'1. Live'!CO287-'check-Jul''26'!CK287)</f>
        <v/>
      </c>
      <c r="CL269" s="25" t="str">
        <f>IF('1. Live'!CP287='check-Jul''26'!CL287,"",'1. Live'!CP287-'check-Jul''26'!CL287)</f>
        <v/>
      </c>
      <c r="CM269" s="25" t="str">
        <f>IF('1. Live'!CQ287='check-Jul''26'!CM287,"",'1. Live'!CQ287-'check-Jul''26'!CM287)</f>
        <v/>
      </c>
      <c r="CN269" s="25" t="str">
        <f>IF('1. Live'!CR287='check-Jul''26'!CN287,"",'1. Live'!CR287-'check-Jul''26'!CN287)</f>
        <v/>
      </c>
      <c r="CO269" s="25" t="str">
        <f>IF('1. Live'!CS287='check-Jul''26'!CO287,"",'1. Live'!CS287-'check-Jul''26'!CO287)</f>
        <v/>
      </c>
      <c r="CP269" s="25" t="str">
        <f>IF('1. Live'!CT287='check-Jul''26'!CP287,"",'1. Live'!CT287-'check-Jul''26'!CP287)</f>
        <v/>
      </c>
      <c r="CQ269" s="25" t="str">
        <f>IF('1. Live'!CU287='check-Jul''26'!CQ287,"",'1. Live'!CU287-'check-Jul''26'!CQ287)</f>
        <v/>
      </c>
      <c r="CR269" s="25" t="str">
        <f>IF('1. Live'!CV287='check-Jul''26'!CR287,"",'1. Live'!CV287-'check-Jul''26'!CR287)</f>
        <v/>
      </c>
      <c r="CS269" s="25" t="str">
        <f>IF('1. Live'!CW287='check-Jul''26'!CS287,"",'1. Live'!CW287-'check-Jul''26'!CS287)</f>
        <v/>
      </c>
      <c r="CT269" s="25" t="str">
        <f>IF('1. Live'!CX287='check-Jul''26'!CT287,"",'1. Live'!CX287-'check-Jul''26'!CT287)</f>
        <v/>
      </c>
      <c r="CU269" s="25" t="str">
        <f>IF('1. Live'!CY287='check-Jul''26'!CU287,"",'1. Live'!CY287-'check-Jul''26'!CU287)</f>
        <v/>
      </c>
      <c r="CV269" s="25" t="str">
        <f>IF('1. Live'!CZ287='check-Jul''26'!CV287,"",'1. Live'!CZ287-'check-Jul''26'!CV287)</f>
        <v/>
      </c>
    </row>
    <row r="270" spans="17:100" x14ac:dyDescent="0.25">
      <c r="Q270" s="26" t="str">
        <f>IF('1. Live'!N288='check-Jul''26'!I288,"",'1. Live'!N288-'check-Jul''26'!I288)</f>
        <v/>
      </c>
      <c r="R270" s="26" t="str">
        <f>IF('1. Live'!O288='check-Jul''26'!J288,"",'1. Live'!O288-'check-Jul''26'!J288)</f>
        <v/>
      </c>
      <c r="S270" s="26" t="str">
        <f>IF('1. Live'!P288='check-Jul''26'!K288,"",'1. Live'!P288-'check-Jul''26'!K288)</f>
        <v/>
      </c>
      <c r="T270" s="26" t="str">
        <f>IF('1. Live'!Q288='check-Jul''26'!L288,"",'1. Live'!Q288-'check-Jul''26'!L288)</f>
        <v/>
      </c>
      <c r="U270" s="80" t="str">
        <f>IF('1. Live'!R288='check-Jul''26'!M288,"",'1. Live'!R288-'check-Jul''26'!M288)</f>
        <v/>
      </c>
      <c r="V270" s="26" t="str">
        <f>IF('1. Live'!S288='check-Jul''26'!N288,"",'1. Live'!S288-'check-Jul''26'!N288)</f>
        <v/>
      </c>
      <c r="W270" s="25" t="str">
        <f>IF('1. Live'!T288='check-Jul''26'!O288,"",'1. Live'!T288-'check-Jul''26'!O288)</f>
        <v/>
      </c>
      <c r="X270" s="25" t="str">
        <f>IF('1. Live'!U288='check-Jul''26'!Q288,"",'1. Live'!U288-'check-Jul''26'!Q288)</f>
        <v/>
      </c>
      <c r="Y270" s="25" t="str">
        <f>IF('1. Live'!V288='check-Jul''26'!R288,"",'1. Live'!V288-'check-Jul''26'!R288)</f>
        <v/>
      </c>
      <c r="Z270" s="25" t="str">
        <f>IF('1. Live'!W288='check-Jul''26'!S288,"",'1. Live'!W288-'check-Jul''26'!S288)</f>
        <v/>
      </c>
      <c r="AA270" s="25" t="str">
        <f>IF('1. Live'!X288='check-Jul''26'!T288,"",'1. Live'!X288-'check-Jul''26'!T288)</f>
        <v/>
      </c>
      <c r="AB270" s="25" t="str">
        <f>IF('1. Live'!AF288='check-Jul''26'!AB288,"",'1. Live'!AF288-'check-Jul''26'!AB288)</f>
        <v/>
      </c>
      <c r="AC270" s="25" t="str">
        <f>IF('1. Live'!AG288='check-Jul''26'!AC288,"",'1. Live'!AG288-'check-Jul''26'!AC288)</f>
        <v/>
      </c>
      <c r="AD270" s="25" t="str">
        <f>IF('1. Live'!AH288='check-Jul''26'!AD288,"",'1. Live'!AH288-'check-Jul''26'!AD288)</f>
        <v/>
      </c>
      <c r="AE270" s="25" t="str">
        <f>IF('1. Live'!AI288='check-Jul''26'!AE288,"",'1. Live'!AI288-'check-Jul''26'!AE288)</f>
        <v/>
      </c>
      <c r="AF270" s="25" t="str">
        <f>IF('1. Live'!AJ288='check-Jul''26'!AF288,"",'1. Live'!AJ288-'check-Jul''26'!AF288)</f>
        <v/>
      </c>
      <c r="AG270" s="25" t="str">
        <f>IF('1. Live'!AK288='check-Jul''26'!AG288,"",'1. Live'!AK288-'check-Jul''26'!AG288)</f>
        <v/>
      </c>
      <c r="AH270" s="25" t="str">
        <f>IF('1. Live'!AL288='check-Jul''26'!AH288,"",'1. Live'!AL288-'check-Jul''26'!AH288)</f>
        <v/>
      </c>
      <c r="AI270" s="25" t="str">
        <f>IF('1. Live'!AM288='check-Jul''26'!AI288,"",'1. Live'!AM288-'check-Jul''26'!AI288)</f>
        <v/>
      </c>
      <c r="AJ270" s="25" t="str">
        <f>IF('1. Live'!AN288='check-Jul''26'!AJ288,"",'1. Live'!AN288-'check-Jul''26'!AJ288)</f>
        <v/>
      </c>
      <c r="AK270" s="25" t="str">
        <f>IF('1. Live'!AO288='check-Jul''26'!AK288,"",'1. Live'!AO288-'check-Jul''26'!AK288)</f>
        <v/>
      </c>
      <c r="AL270" s="25" t="str">
        <f>IF('1. Live'!AP288='check-Jul''26'!AL288,"",'1. Live'!AP288-'check-Jul''26'!AL288)</f>
        <v/>
      </c>
      <c r="AM270" s="25" t="str">
        <f>IF('1. Live'!AQ288='check-Jul''26'!AM288,"",'1. Live'!AQ288-'check-Jul''26'!AM288)</f>
        <v/>
      </c>
      <c r="AN270" s="25" t="str">
        <f>IF('1. Live'!AR288='check-Jul''26'!AN288,"",'1. Live'!AR288-'check-Jul''26'!AN288)</f>
        <v/>
      </c>
      <c r="AO270" s="25" t="str">
        <f>IF('1. Live'!AS288='check-Jul''26'!AO288,"",'1. Live'!AS288-'check-Jul''26'!AO288)</f>
        <v/>
      </c>
      <c r="AP270" s="25" t="str">
        <f>IF('1. Live'!AT288='check-Jul''26'!AP288,"",'1. Live'!AT288-'check-Jul''26'!AP288)</f>
        <v/>
      </c>
      <c r="AQ270" s="25" t="str">
        <f>IF('1. Live'!AU288='check-Jul''26'!AQ288,"",'1. Live'!AU288-'check-Jul''26'!AQ288)</f>
        <v/>
      </c>
      <c r="AR270" s="25" t="str">
        <f>IF('1. Live'!AV288='check-Jul''26'!AR288,"",'1. Live'!AV288-'check-Jul''26'!AR288)</f>
        <v/>
      </c>
      <c r="AS270" s="25" t="str">
        <f>IF('1. Live'!AW288='check-Jul''26'!AS288,"",'1. Live'!AW288-'check-Jul''26'!AS288)</f>
        <v/>
      </c>
      <c r="AT270" s="25" t="str">
        <f>IF('1. Live'!AX288='check-Jul''26'!AT288,"",'1. Live'!AX288-'check-Jul''26'!AT288)</f>
        <v/>
      </c>
      <c r="AU270" s="25" t="str">
        <f>IF('1. Live'!AY288='check-Jul''26'!AU288,"",'1. Live'!AY288-'check-Jul''26'!AU288)</f>
        <v/>
      </c>
      <c r="AV270" s="25" t="str">
        <f>IF('1. Live'!AZ288='check-Jul''26'!AV288,"",'1. Live'!AZ288-'check-Jul''26'!AV288)</f>
        <v/>
      </c>
      <c r="AW270" s="25" t="str">
        <f>IF('1. Live'!BA288='check-Jul''26'!AW288,"",'1. Live'!BA288-'check-Jul''26'!AW288)</f>
        <v/>
      </c>
      <c r="AX270" s="25" t="str">
        <f>IF('1. Live'!BB288='check-Jul''26'!AX288,"",'1. Live'!BB288-'check-Jul''26'!AX288)</f>
        <v/>
      </c>
      <c r="AY270" s="25" t="str">
        <f>IF('1. Live'!BC288='check-Jul''26'!AY288,"",'1. Live'!BC288-'check-Jul''26'!AY288)</f>
        <v/>
      </c>
      <c r="AZ270" s="25" t="str">
        <f>IF('1. Live'!BD288='check-Jul''26'!AZ288,"",'1. Live'!BD288-'check-Jul''26'!AZ288)</f>
        <v/>
      </c>
      <c r="BA270" s="25" t="str">
        <f>IF('1. Live'!BE288='check-Jul''26'!BA288,"",'1. Live'!BE288-'check-Jul''26'!BA288)</f>
        <v/>
      </c>
      <c r="BB270" s="25" t="str">
        <f>IF('1. Live'!BF288='check-Jul''26'!BB288,"",'1. Live'!BF288-'check-Jul''26'!BB288)</f>
        <v/>
      </c>
      <c r="BC270" s="25" t="str">
        <f>IF('1. Live'!BG288='check-Jul''26'!BC288,"",'1. Live'!BG288-'check-Jul''26'!BC288)</f>
        <v/>
      </c>
      <c r="BD270" s="25" t="str">
        <f>IF('1. Live'!BH288='check-Jul''26'!BD288,"",'1. Live'!BH288-'check-Jul''26'!BD288)</f>
        <v/>
      </c>
      <c r="BE270" s="25" t="str">
        <f>IF('1. Live'!BI288='check-Jul''26'!BE288,"",'1. Live'!BI288-'check-Jul''26'!BE288)</f>
        <v/>
      </c>
      <c r="BF270" s="25" t="str">
        <f>IF('1. Live'!BJ288='check-Jul''26'!BF288,"",'1. Live'!BJ288-'check-Jul''26'!BF288)</f>
        <v/>
      </c>
      <c r="BG270" s="25" t="str">
        <f>IF('1. Live'!BK288='check-Jul''26'!BG288,"",'1. Live'!BK288-'check-Jul''26'!BG288)</f>
        <v/>
      </c>
      <c r="BH270" s="25" t="str">
        <f>IF('1. Live'!BL288='check-Jul''26'!BH288,"",'1. Live'!BL288-'check-Jul''26'!BH288)</f>
        <v/>
      </c>
      <c r="BI270" s="25" t="str">
        <f>IF('1. Live'!BM288='check-Jul''26'!BI288,"",'1. Live'!BM288-'check-Jul''26'!BI288)</f>
        <v/>
      </c>
      <c r="BJ270" s="25" t="str">
        <f>IF('1. Live'!BN288='check-Jul''26'!BJ288,"",'1. Live'!BN288-'check-Jul''26'!BJ288)</f>
        <v/>
      </c>
      <c r="BK270" s="25" t="str">
        <f>IF('1. Live'!BO288='check-Jul''26'!BK288,"",'1. Live'!BO288-'check-Jul''26'!BK288)</f>
        <v/>
      </c>
      <c r="BL270" s="25" t="str">
        <f>IF('1. Live'!BP288='check-Jul''26'!BL288,"",'1. Live'!BP288-'check-Jul''26'!BL288)</f>
        <v/>
      </c>
      <c r="BM270" s="25" t="str">
        <f>IF('1. Live'!BQ288='check-Jul''26'!BM288,"",'1. Live'!BQ288-'check-Jul''26'!BM288)</f>
        <v/>
      </c>
      <c r="BN270" s="25" t="str">
        <f>IF('1. Live'!BR288='check-Jul''26'!BN288,"",'1. Live'!BR288-'check-Jul''26'!BN288)</f>
        <v/>
      </c>
      <c r="BO270" s="25" t="str">
        <f>IF('1. Live'!BS288='check-Jul''26'!BO288,"",'1. Live'!BS288-'check-Jul''26'!BO288)</f>
        <v/>
      </c>
      <c r="BP270" s="25" t="str">
        <f>IF('1. Live'!BT288='check-Jul''26'!BP288,"",'1. Live'!BT288-'check-Jul''26'!BP288)</f>
        <v/>
      </c>
      <c r="BQ270" s="25" t="str">
        <f>IF('1. Live'!BU288='check-Jul''26'!BQ288,"",'1. Live'!BU288-'check-Jul''26'!BQ288)</f>
        <v/>
      </c>
      <c r="BR270" s="25" t="str">
        <f>IF('1. Live'!BV288='check-Jul''26'!BR288,"",'1. Live'!BV288-'check-Jul''26'!BR288)</f>
        <v/>
      </c>
      <c r="BS270" s="25" t="str">
        <f>IF('1. Live'!BW288='check-Jul''26'!BS288,"",'1. Live'!BW288-'check-Jul''26'!BS288)</f>
        <v/>
      </c>
      <c r="BT270" s="25" t="str">
        <f>IF('1. Live'!BX288='check-Jul''26'!BT288,"",'1. Live'!BX288-'check-Jul''26'!BT288)</f>
        <v/>
      </c>
      <c r="BU270" s="25" t="str">
        <f>IF('1. Live'!BY288='check-Jul''26'!BU288,"",'1. Live'!BY288-'check-Jul''26'!BU288)</f>
        <v/>
      </c>
      <c r="BV270" s="25" t="str">
        <f>IF('1. Live'!BZ288='check-Jul''26'!BV288,"",'1. Live'!BZ288-'check-Jul''26'!BV288)</f>
        <v/>
      </c>
      <c r="BW270" s="25" t="str">
        <f>IF('1. Live'!CA288='check-Jul''26'!BW288,"",'1. Live'!CA288-'check-Jul''26'!BW288)</f>
        <v/>
      </c>
      <c r="BX270" s="25" t="str">
        <f>IF('1. Live'!CB288='check-Jul''26'!BX288,"",'1. Live'!CB288-'check-Jul''26'!BX288)</f>
        <v/>
      </c>
      <c r="BY270" s="25" t="str">
        <f>IF('1. Live'!CC288='check-Jul''26'!BY288,"",'1. Live'!CC288-'check-Jul''26'!BY288)</f>
        <v/>
      </c>
      <c r="BZ270" s="25" t="str">
        <f>IF('1. Live'!CD288='check-Jul''26'!BZ288,"",'1. Live'!CD288-'check-Jul''26'!BZ288)</f>
        <v/>
      </c>
      <c r="CA270" s="25" t="str">
        <f>IF('1. Live'!CE288='check-Jul''26'!CA288,"",'1. Live'!CE288-'check-Jul''26'!CA288)</f>
        <v/>
      </c>
      <c r="CB270" s="25" t="str">
        <f>IF('1. Live'!CF288='check-Jul''26'!CB288,"",'1. Live'!CF288-'check-Jul''26'!CB288)</f>
        <v/>
      </c>
      <c r="CC270" s="25" t="str">
        <f>IF('1. Live'!CG288='check-Jul''26'!CC288,"",'1. Live'!CG288-'check-Jul''26'!CC288)</f>
        <v/>
      </c>
      <c r="CD270" s="25" t="str">
        <f>IF('1. Live'!CH288='check-Jul''26'!CD288,"",'1. Live'!CH288-'check-Jul''26'!CD288)</f>
        <v/>
      </c>
      <c r="CE270" s="25" t="str">
        <f>IF('1. Live'!CI288='check-Jul''26'!CE288,"",'1. Live'!CI288-'check-Jul''26'!CE288)</f>
        <v/>
      </c>
      <c r="CF270" s="25" t="str">
        <f>IF('1. Live'!CJ288='check-Jul''26'!CF288,"",'1. Live'!CJ288-'check-Jul''26'!CF288)</f>
        <v/>
      </c>
      <c r="CG270" s="25" t="str">
        <f>IF('1. Live'!CK288='check-Jul''26'!CG288,"",'1. Live'!CK288-'check-Jul''26'!CG288)</f>
        <v/>
      </c>
      <c r="CH270" s="25" t="str">
        <f>IF('1. Live'!CL288='check-Jul''26'!CH288,"",'1. Live'!CL288-'check-Jul''26'!CH288)</f>
        <v/>
      </c>
      <c r="CI270" s="25" t="str">
        <f>IF('1. Live'!CM288='check-Jul''26'!CI288,"",'1. Live'!CM288-'check-Jul''26'!CI288)</f>
        <v/>
      </c>
      <c r="CJ270" s="25" t="str">
        <f>IF('1. Live'!CN288='check-Jul''26'!CJ288,"",'1. Live'!CN288-'check-Jul''26'!CJ288)</f>
        <v/>
      </c>
      <c r="CK270" s="25" t="str">
        <f>IF('1. Live'!CO288='check-Jul''26'!CK288,"",'1. Live'!CO288-'check-Jul''26'!CK288)</f>
        <v/>
      </c>
      <c r="CL270" s="25" t="str">
        <f>IF('1. Live'!CP288='check-Jul''26'!CL288,"",'1. Live'!CP288-'check-Jul''26'!CL288)</f>
        <v/>
      </c>
      <c r="CM270" s="25" t="str">
        <f>IF('1. Live'!CQ288='check-Jul''26'!CM288,"",'1. Live'!CQ288-'check-Jul''26'!CM288)</f>
        <v/>
      </c>
      <c r="CN270" s="25" t="str">
        <f>IF('1. Live'!CR288='check-Jul''26'!CN288,"",'1. Live'!CR288-'check-Jul''26'!CN288)</f>
        <v/>
      </c>
      <c r="CO270" s="25" t="str">
        <f>IF('1. Live'!CS288='check-Jul''26'!CO288,"",'1. Live'!CS288-'check-Jul''26'!CO288)</f>
        <v/>
      </c>
      <c r="CP270" s="25" t="str">
        <f>IF('1. Live'!CT288='check-Jul''26'!CP288,"",'1. Live'!CT288-'check-Jul''26'!CP288)</f>
        <v/>
      </c>
      <c r="CQ270" s="25" t="str">
        <f>IF('1. Live'!CU288='check-Jul''26'!CQ288,"",'1. Live'!CU288-'check-Jul''26'!CQ288)</f>
        <v/>
      </c>
      <c r="CR270" s="25" t="str">
        <f>IF('1. Live'!CV288='check-Jul''26'!CR288,"",'1. Live'!CV288-'check-Jul''26'!CR288)</f>
        <v/>
      </c>
      <c r="CS270" s="25" t="str">
        <f>IF('1. Live'!CW288='check-Jul''26'!CS288,"",'1. Live'!CW288-'check-Jul''26'!CS288)</f>
        <v/>
      </c>
      <c r="CT270" s="25" t="str">
        <f>IF('1. Live'!CX288='check-Jul''26'!CT288,"",'1. Live'!CX288-'check-Jul''26'!CT288)</f>
        <v/>
      </c>
      <c r="CU270" s="25" t="str">
        <f>IF('1. Live'!CY288='check-Jul''26'!CU288,"",'1. Live'!CY288-'check-Jul''26'!CU288)</f>
        <v/>
      </c>
      <c r="CV270" s="25" t="str">
        <f>IF('1. Live'!CZ288='check-Jul''26'!CV288,"",'1. Live'!CZ288-'check-Jul''26'!CV288)</f>
        <v/>
      </c>
    </row>
    <row r="271" spans="17:100" x14ac:dyDescent="0.25">
      <c r="Q271" s="26" t="str">
        <f>IF('1. Live'!N289='check-Jul''26'!I289,"",'1. Live'!N289-'check-Jul''26'!I289)</f>
        <v/>
      </c>
      <c r="R271" s="26" t="str">
        <f>IF('1. Live'!O289='check-Jul''26'!J289,"",'1. Live'!O289-'check-Jul''26'!J289)</f>
        <v/>
      </c>
      <c r="S271" s="26" t="str">
        <f>IF('1. Live'!P289='check-Jul''26'!K289,"",'1. Live'!P289-'check-Jul''26'!K289)</f>
        <v/>
      </c>
      <c r="T271" s="26" t="str">
        <f>IF('1. Live'!Q289='check-Jul''26'!L289,"",'1. Live'!Q289-'check-Jul''26'!L289)</f>
        <v/>
      </c>
      <c r="U271" s="80" t="str">
        <f>IF('1. Live'!R289='check-Jul''26'!M289,"",'1. Live'!R289-'check-Jul''26'!M289)</f>
        <v/>
      </c>
      <c r="V271" s="26" t="str">
        <f>IF('1. Live'!S289='check-Jul''26'!N289,"",'1. Live'!S289-'check-Jul''26'!N289)</f>
        <v/>
      </c>
      <c r="W271" s="25" t="str">
        <f>IF('1. Live'!T289='check-Jul''26'!O289,"",'1. Live'!T289-'check-Jul''26'!O289)</f>
        <v/>
      </c>
      <c r="X271" s="25" t="str">
        <f>IF('1. Live'!U289='check-Jul''26'!Q289,"",'1. Live'!U289-'check-Jul''26'!Q289)</f>
        <v/>
      </c>
      <c r="Y271" s="25" t="str">
        <f>IF('1. Live'!V289='check-Jul''26'!R289,"",'1. Live'!V289-'check-Jul''26'!R289)</f>
        <v/>
      </c>
      <c r="Z271" s="25" t="str">
        <f>IF('1. Live'!W289='check-Jul''26'!S289,"",'1. Live'!W289-'check-Jul''26'!S289)</f>
        <v/>
      </c>
      <c r="AA271" s="25" t="str">
        <f>IF('1. Live'!X289='check-Jul''26'!T289,"",'1. Live'!X289-'check-Jul''26'!T289)</f>
        <v/>
      </c>
      <c r="AB271" s="25" t="str">
        <f>IF('1. Live'!AF289='check-Jul''26'!AB289,"",'1. Live'!AF289-'check-Jul''26'!AB289)</f>
        <v/>
      </c>
      <c r="AC271" s="25" t="str">
        <f>IF('1. Live'!AG289='check-Jul''26'!AC289,"",'1. Live'!AG289-'check-Jul''26'!AC289)</f>
        <v/>
      </c>
      <c r="AD271" s="25" t="str">
        <f>IF('1. Live'!AH289='check-Jul''26'!AD289,"",'1. Live'!AH289-'check-Jul''26'!AD289)</f>
        <v/>
      </c>
      <c r="AE271" s="25" t="str">
        <f>IF('1. Live'!AI289='check-Jul''26'!AE289,"",'1. Live'!AI289-'check-Jul''26'!AE289)</f>
        <v/>
      </c>
      <c r="AF271" s="25" t="str">
        <f>IF('1. Live'!AJ289='check-Jul''26'!AF289,"",'1. Live'!AJ289-'check-Jul''26'!AF289)</f>
        <v/>
      </c>
      <c r="AG271" s="25" t="str">
        <f>IF('1. Live'!AK289='check-Jul''26'!AG289,"",'1. Live'!AK289-'check-Jul''26'!AG289)</f>
        <v/>
      </c>
      <c r="AH271" s="25" t="str">
        <f>IF('1. Live'!AL289='check-Jul''26'!AH289,"",'1. Live'!AL289-'check-Jul''26'!AH289)</f>
        <v/>
      </c>
      <c r="AI271" s="25" t="str">
        <f>IF('1. Live'!AM289='check-Jul''26'!AI289,"",'1. Live'!AM289-'check-Jul''26'!AI289)</f>
        <v/>
      </c>
      <c r="AJ271" s="25" t="str">
        <f>IF('1. Live'!AN289='check-Jul''26'!AJ289,"",'1. Live'!AN289-'check-Jul''26'!AJ289)</f>
        <v/>
      </c>
      <c r="AK271" s="25" t="str">
        <f>IF('1. Live'!AO289='check-Jul''26'!AK289,"",'1. Live'!AO289-'check-Jul''26'!AK289)</f>
        <v/>
      </c>
      <c r="AL271" s="25" t="str">
        <f>IF('1. Live'!AP289='check-Jul''26'!AL289,"",'1. Live'!AP289-'check-Jul''26'!AL289)</f>
        <v/>
      </c>
      <c r="AM271" s="25" t="str">
        <f>IF('1. Live'!AQ289='check-Jul''26'!AM289,"",'1. Live'!AQ289-'check-Jul''26'!AM289)</f>
        <v/>
      </c>
      <c r="AN271" s="25" t="str">
        <f>IF('1. Live'!AR289='check-Jul''26'!AN289,"",'1. Live'!AR289-'check-Jul''26'!AN289)</f>
        <v/>
      </c>
      <c r="AO271" s="25" t="str">
        <f>IF('1. Live'!AS289='check-Jul''26'!AO289,"",'1. Live'!AS289-'check-Jul''26'!AO289)</f>
        <v/>
      </c>
      <c r="AP271" s="25" t="str">
        <f>IF('1. Live'!AT289='check-Jul''26'!AP289,"",'1. Live'!AT289-'check-Jul''26'!AP289)</f>
        <v/>
      </c>
      <c r="AQ271" s="25" t="str">
        <f>IF('1. Live'!AU289='check-Jul''26'!AQ289,"",'1. Live'!AU289-'check-Jul''26'!AQ289)</f>
        <v/>
      </c>
      <c r="AR271" s="25" t="str">
        <f>IF('1. Live'!AV289='check-Jul''26'!AR289,"",'1. Live'!AV289-'check-Jul''26'!AR289)</f>
        <v/>
      </c>
      <c r="AS271" s="25" t="str">
        <f>IF('1. Live'!AW289='check-Jul''26'!AS289,"",'1. Live'!AW289-'check-Jul''26'!AS289)</f>
        <v/>
      </c>
      <c r="AT271" s="25" t="str">
        <f>IF('1. Live'!AX289='check-Jul''26'!AT289,"",'1. Live'!AX289-'check-Jul''26'!AT289)</f>
        <v/>
      </c>
      <c r="AU271" s="25" t="str">
        <f>IF('1. Live'!AY289='check-Jul''26'!AU289,"",'1. Live'!AY289-'check-Jul''26'!AU289)</f>
        <v/>
      </c>
      <c r="AV271" s="25" t="str">
        <f>IF('1. Live'!AZ289='check-Jul''26'!AV289,"",'1. Live'!AZ289-'check-Jul''26'!AV289)</f>
        <v/>
      </c>
      <c r="AW271" s="25" t="str">
        <f>IF('1. Live'!BA289='check-Jul''26'!AW289,"",'1. Live'!BA289-'check-Jul''26'!AW289)</f>
        <v/>
      </c>
      <c r="AX271" s="25" t="str">
        <f>IF('1. Live'!BB289='check-Jul''26'!AX289,"",'1. Live'!BB289-'check-Jul''26'!AX289)</f>
        <v/>
      </c>
      <c r="AY271" s="25" t="str">
        <f>IF('1. Live'!BC289='check-Jul''26'!AY289,"",'1. Live'!BC289-'check-Jul''26'!AY289)</f>
        <v/>
      </c>
      <c r="AZ271" s="25" t="str">
        <f>IF('1. Live'!BD289='check-Jul''26'!AZ289,"",'1. Live'!BD289-'check-Jul''26'!AZ289)</f>
        <v/>
      </c>
      <c r="BA271" s="25" t="str">
        <f>IF('1. Live'!BE289='check-Jul''26'!BA289,"",'1. Live'!BE289-'check-Jul''26'!BA289)</f>
        <v/>
      </c>
      <c r="BB271" s="25" t="str">
        <f>IF('1. Live'!BF289='check-Jul''26'!BB289,"",'1. Live'!BF289-'check-Jul''26'!BB289)</f>
        <v/>
      </c>
      <c r="BC271" s="25" t="str">
        <f>IF('1. Live'!BG289='check-Jul''26'!BC289,"",'1. Live'!BG289-'check-Jul''26'!BC289)</f>
        <v/>
      </c>
      <c r="BD271" s="25" t="str">
        <f>IF('1. Live'!BH289='check-Jul''26'!BD289,"",'1. Live'!BH289-'check-Jul''26'!BD289)</f>
        <v/>
      </c>
      <c r="BE271" s="25" t="str">
        <f>IF('1. Live'!BI289='check-Jul''26'!BE289,"",'1. Live'!BI289-'check-Jul''26'!BE289)</f>
        <v/>
      </c>
      <c r="BF271" s="25" t="str">
        <f>IF('1. Live'!BJ289='check-Jul''26'!BF289,"",'1. Live'!BJ289-'check-Jul''26'!BF289)</f>
        <v/>
      </c>
      <c r="BG271" s="25" t="str">
        <f>IF('1. Live'!BK289='check-Jul''26'!BG289,"",'1. Live'!BK289-'check-Jul''26'!BG289)</f>
        <v/>
      </c>
      <c r="BH271" s="25" t="str">
        <f>IF('1. Live'!BL289='check-Jul''26'!BH289,"",'1. Live'!BL289-'check-Jul''26'!BH289)</f>
        <v/>
      </c>
      <c r="BI271" s="25" t="str">
        <f>IF('1. Live'!BM289='check-Jul''26'!BI289,"",'1. Live'!BM289-'check-Jul''26'!BI289)</f>
        <v/>
      </c>
      <c r="BJ271" s="25" t="str">
        <f>IF('1. Live'!BN289='check-Jul''26'!BJ289,"",'1. Live'!BN289-'check-Jul''26'!BJ289)</f>
        <v/>
      </c>
      <c r="BK271" s="25" t="str">
        <f>IF('1. Live'!BO289='check-Jul''26'!BK289,"",'1. Live'!BO289-'check-Jul''26'!BK289)</f>
        <v/>
      </c>
      <c r="BL271" s="25" t="str">
        <f>IF('1. Live'!BP289='check-Jul''26'!BL289,"",'1. Live'!BP289-'check-Jul''26'!BL289)</f>
        <v/>
      </c>
      <c r="BM271" s="25" t="str">
        <f>IF('1. Live'!BQ289='check-Jul''26'!BM289,"",'1. Live'!BQ289-'check-Jul''26'!BM289)</f>
        <v/>
      </c>
      <c r="BN271" s="25" t="str">
        <f>IF('1. Live'!BR289='check-Jul''26'!BN289,"",'1. Live'!BR289-'check-Jul''26'!BN289)</f>
        <v/>
      </c>
      <c r="BO271" s="25" t="str">
        <f>IF('1. Live'!BS289='check-Jul''26'!BO289,"",'1. Live'!BS289-'check-Jul''26'!BO289)</f>
        <v/>
      </c>
      <c r="BP271" s="25" t="str">
        <f>IF('1. Live'!BT289='check-Jul''26'!BP289,"",'1. Live'!BT289-'check-Jul''26'!BP289)</f>
        <v/>
      </c>
      <c r="BQ271" s="25" t="str">
        <f>IF('1. Live'!BU289='check-Jul''26'!BQ289,"",'1. Live'!BU289-'check-Jul''26'!BQ289)</f>
        <v/>
      </c>
      <c r="BR271" s="25" t="str">
        <f>IF('1. Live'!BV289='check-Jul''26'!BR289,"",'1. Live'!BV289-'check-Jul''26'!BR289)</f>
        <v/>
      </c>
      <c r="BS271" s="25" t="str">
        <f>IF('1. Live'!BW289='check-Jul''26'!BS289,"",'1. Live'!BW289-'check-Jul''26'!BS289)</f>
        <v/>
      </c>
      <c r="BT271" s="25" t="str">
        <f>IF('1. Live'!BX289='check-Jul''26'!BT289,"",'1. Live'!BX289-'check-Jul''26'!BT289)</f>
        <v/>
      </c>
      <c r="BU271" s="25" t="str">
        <f>IF('1. Live'!BY289='check-Jul''26'!BU289,"",'1. Live'!BY289-'check-Jul''26'!BU289)</f>
        <v/>
      </c>
      <c r="BV271" s="25" t="str">
        <f>IF('1. Live'!BZ289='check-Jul''26'!BV289,"",'1. Live'!BZ289-'check-Jul''26'!BV289)</f>
        <v/>
      </c>
      <c r="BW271" s="25" t="str">
        <f>IF('1. Live'!CA289='check-Jul''26'!BW289,"",'1. Live'!CA289-'check-Jul''26'!BW289)</f>
        <v/>
      </c>
      <c r="BX271" s="25" t="str">
        <f>IF('1. Live'!CB289='check-Jul''26'!BX289,"",'1. Live'!CB289-'check-Jul''26'!BX289)</f>
        <v/>
      </c>
      <c r="BY271" s="25" t="str">
        <f>IF('1. Live'!CC289='check-Jul''26'!BY289,"",'1. Live'!CC289-'check-Jul''26'!BY289)</f>
        <v/>
      </c>
      <c r="BZ271" s="25" t="str">
        <f>IF('1. Live'!CD289='check-Jul''26'!BZ289,"",'1. Live'!CD289-'check-Jul''26'!BZ289)</f>
        <v/>
      </c>
      <c r="CA271" s="25" t="str">
        <f>IF('1. Live'!CE289='check-Jul''26'!CA289,"",'1. Live'!CE289-'check-Jul''26'!CA289)</f>
        <v/>
      </c>
      <c r="CB271" s="25" t="str">
        <f>IF('1. Live'!CF289='check-Jul''26'!CB289,"",'1. Live'!CF289-'check-Jul''26'!CB289)</f>
        <v/>
      </c>
      <c r="CC271" s="25" t="str">
        <f>IF('1. Live'!CG289='check-Jul''26'!CC289,"",'1. Live'!CG289-'check-Jul''26'!CC289)</f>
        <v/>
      </c>
      <c r="CD271" s="25" t="str">
        <f>IF('1. Live'!CH289='check-Jul''26'!CD289,"",'1. Live'!CH289-'check-Jul''26'!CD289)</f>
        <v/>
      </c>
      <c r="CE271" s="25" t="str">
        <f>IF('1. Live'!CI289='check-Jul''26'!CE289,"",'1. Live'!CI289-'check-Jul''26'!CE289)</f>
        <v/>
      </c>
      <c r="CF271" s="25" t="str">
        <f>IF('1. Live'!CJ289='check-Jul''26'!CF289,"",'1. Live'!CJ289-'check-Jul''26'!CF289)</f>
        <v/>
      </c>
      <c r="CG271" s="25" t="str">
        <f>IF('1. Live'!CK289='check-Jul''26'!CG289,"",'1. Live'!CK289-'check-Jul''26'!CG289)</f>
        <v/>
      </c>
      <c r="CH271" s="25" t="str">
        <f>IF('1. Live'!CL289='check-Jul''26'!CH289,"",'1. Live'!CL289-'check-Jul''26'!CH289)</f>
        <v/>
      </c>
      <c r="CI271" s="25" t="str">
        <f>IF('1. Live'!CM289='check-Jul''26'!CI289,"",'1. Live'!CM289-'check-Jul''26'!CI289)</f>
        <v/>
      </c>
      <c r="CJ271" s="25" t="str">
        <f>IF('1. Live'!CN289='check-Jul''26'!CJ289,"",'1. Live'!CN289-'check-Jul''26'!CJ289)</f>
        <v/>
      </c>
      <c r="CK271" s="25" t="str">
        <f>IF('1. Live'!CO289='check-Jul''26'!CK289,"",'1. Live'!CO289-'check-Jul''26'!CK289)</f>
        <v/>
      </c>
      <c r="CL271" s="25" t="str">
        <f>IF('1. Live'!CP289='check-Jul''26'!CL289,"",'1. Live'!CP289-'check-Jul''26'!CL289)</f>
        <v/>
      </c>
      <c r="CM271" s="25" t="str">
        <f>IF('1. Live'!CQ289='check-Jul''26'!CM289,"",'1. Live'!CQ289-'check-Jul''26'!CM289)</f>
        <v/>
      </c>
      <c r="CN271" s="25" t="str">
        <f>IF('1. Live'!CR289='check-Jul''26'!CN289,"",'1. Live'!CR289-'check-Jul''26'!CN289)</f>
        <v/>
      </c>
      <c r="CO271" s="25" t="str">
        <f>IF('1. Live'!CS289='check-Jul''26'!CO289,"",'1. Live'!CS289-'check-Jul''26'!CO289)</f>
        <v/>
      </c>
      <c r="CP271" s="25" t="str">
        <f>IF('1. Live'!CT289='check-Jul''26'!CP289,"",'1. Live'!CT289-'check-Jul''26'!CP289)</f>
        <v/>
      </c>
      <c r="CQ271" s="25" t="str">
        <f>IF('1. Live'!CU289='check-Jul''26'!CQ289,"",'1. Live'!CU289-'check-Jul''26'!CQ289)</f>
        <v/>
      </c>
      <c r="CR271" s="25" t="str">
        <f>IF('1. Live'!CV289='check-Jul''26'!CR289,"",'1. Live'!CV289-'check-Jul''26'!CR289)</f>
        <v/>
      </c>
      <c r="CS271" s="25" t="str">
        <f>IF('1. Live'!CW289='check-Jul''26'!CS289,"",'1. Live'!CW289-'check-Jul''26'!CS289)</f>
        <v/>
      </c>
      <c r="CT271" s="25" t="str">
        <f>IF('1. Live'!CX289='check-Jul''26'!CT289,"",'1. Live'!CX289-'check-Jul''26'!CT289)</f>
        <v/>
      </c>
      <c r="CU271" s="25" t="str">
        <f>IF('1. Live'!CY289='check-Jul''26'!CU289,"",'1. Live'!CY289-'check-Jul''26'!CU289)</f>
        <v/>
      </c>
      <c r="CV271" s="25" t="str">
        <f>IF('1. Live'!CZ289='check-Jul''26'!CV289,"",'1. Live'!CZ289-'check-Jul''26'!CV289)</f>
        <v/>
      </c>
    </row>
    <row r="272" spans="17:100" x14ac:dyDescent="0.25">
      <c r="Q272" s="26" t="str">
        <f>IF('1. Live'!N290='check-Jul''26'!I290,"",'1. Live'!N290-'check-Jul''26'!I290)</f>
        <v/>
      </c>
      <c r="R272" s="26" t="str">
        <f>IF('1. Live'!O290='check-Jul''26'!J290,"",'1. Live'!O290-'check-Jul''26'!J290)</f>
        <v/>
      </c>
      <c r="S272" s="26" t="str">
        <f>IF('1. Live'!P290='check-Jul''26'!K290,"",'1. Live'!P290-'check-Jul''26'!K290)</f>
        <v/>
      </c>
      <c r="T272" s="26" t="str">
        <f>IF('1. Live'!Q290='check-Jul''26'!L290,"",'1. Live'!Q290-'check-Jul''26'!L290)</f>
        <v/>
      </c>
      <c r="U272" s="80" t="str">
        <f>IF('1. Live'!R290='check-Jul''26'!M290,"",'1. Live'!R290-'check-Jul''26'!M290)</f>
        <v/>
      </c>
      <c r="V272" s="26" t="str">
        <f>IF('1. Live'!S290='check-Jul''26'!N290,"",'1. Live'!S290-'check-Jul''26'!N290)</f>
        <v/>
      </c>
      <c r="W272" s="25" t="str">
        <f>IF('1. Live'!T290='check-Jul''26'!O290,"",'1. Live'!T290-'check-Jul''26'!O290)</f>
        <v/>
      </c>
      <c r="X272" s="25" t="str">
        <f>IF('1. Live'!U290='check-Jul''26'!Q290,"",'1. Live'!U290-'check-Jul''26'!Q290)</f>
        <v/>
      </c>
      <c r="Y272" s="25" t="str">
        <f>IF('1. Live'!V290='check-Jul''26'!R290,"",'1. Live'!V290-'check-Jul''26'!R290)</f>
        <v/>
      </c>
      <c r="Z272" s="25" t="str">
        <f>IF('1. Live'!W290='check-Jul''26'!S290,"",'1. Live'!W290-'check-Jul''26'!S290)</f>
        <v/>
      </c>
      <c r="AA272" s="25" t="str">
        <f>IF('1. Live'!X290='check-Jul''26'!T290,"",'1. Live'!X290-'check-Jul''26'!T290)</f>
        <v/>
      </c>
      <c r="AB272" s="25" t="str">
        <f>IF('1. Live'!AF290='check-Jul''26'!AB290,"",'1. Live'!AF290-'check-Jul''26'!AB290)</f>
        <v/>
      </c>
      <c r="AC272" s="25" t="str">
        <f>IF('1. Live'!AG290='check-Jul''26'!AC290,"",'1. Live'!AG290-'check-Jul''26'!AC290)</f>
        <v/>
      </c>
      <c r="AD272" s="25" t="str">
        <f>IF('1. Live'!AH290='check-Jul''26'!AD290,"",'1. Live'!AH290-'check-Jul''26'!AD290)</f>
        <v/>
      </c>
      <c r="AE272" s="25" t="str">
        <f>IF('1. Live'!AI290='check-Jul''26'!AE290,"",'1. Live'!AI290-'check-Jul''26'!AE290)</f>
        <v/>
      </c>
      <c r="AF272" s="25" t="str">
        <f>IF('1. Live'!AJ290='check-Jul''26'!AF290,"",'1. Live'!AJ290-'check-Jul''26'!AF290)</f>
        <v/>
      </c>
      <c r="AG272" s="25" t="str">
        <f>IF('1. Live'!AK290='check-Jul''26'!AG290,"",'1. Live'!AK290-'check-Jul''26'!AG290)</f>
        <v/>
      </c>
      <c r="AH272" s="25" t="str">
        <f>IF('1. Live'!AL290='check-Jul''26'!AH290,"",'1. Live'!AL290-'check-Jul''26'!AH290)</f>
        <v/>
      </c>
      <c r="AI272" s="25" t="str">
        <f>IF('1. Live'!AM290='check-Jul''26'!AI290,"",'1. Live'!AM290-'check-Jul''26'!AI290)</f>
        <v/>
      </c>
      <c r="AJ272" s="25" t="str">
        <f>IF('1. Live'!AN290='check-Jul''26'!AJ290,"",'1. Live'!AN290-'check-Jul''26'!AJ290)</f>
        <v/>
      </c>
      <c r="AK272" s="25" t="str">
        <f>IF('1. Live'!AO290='check-Jul''26'!AK290,"",'1. Live'!AO290-'check-Jul''26'!AK290)</f>
        <v/>
      </c>
      <c r="AL272" s="25" t="str">
        <f>IF('1. Live'!AP290='check-Jul''26'!AL290,"",'1. Live'!AP290-'check-Jul''26'!AL290)</f>
        <v/>
      </c>
      <c r="AM272" s="25" t="str">
        <f>IF('1. Live'!AQ290='check-Jul''26'!AM290,"",'1. Live'!AQ290-'check-Jul''26'!AM290)</f>
        <v/>
      </c>
      <c r="AN272" s="25" t="str">
        <f>IF('1. Live'!AR290='check-Jul''26'!AN290,"",'1. Live'!AR290-'check-Jul''26'!AN290)</f>
        <v/>
      </c>
      <c r="AO272" s="25" t="str">
        <f>IF('1. Live'!AS290='check-Jul''26'!AO290,"",'1. Live'!AS290-'check-Jul''26'!AO290)</f>
        <v/>
      </c>
      <c r="AP272" s="25" t="str">
        <f>IF('1. Live'!AT290='check-Jul''26'!AP290,"",'1. Live'!AT290-'check-Jul''26'!AP290)</f>
        <v/>
      </c>
      <c r="AQ272" s="25" t="str">
        <f>IF('1. Live'!AU290='check-Jul''26'!AQ290,"",'1. Live'!AU290-'check-Jul''26'!AQ290)</f>
        <v/>
      </c>
      <c r="AR272" s="25" t="str">
        <f>IF('1. Live'!AV290='check-Jul''26'!AR290,"",'1. Live'!AV290-'check-Jul''26'!AR290)</f>
        <v/>
      </c>
      <c r="AS272" s="25" t="str">
        <f>IF('1. Live'!AW290='check-Jul''26'!AS290,"",'1. Live'!AW290-'check-Jul''26'!AS290)</f>
        <v/>
      </c>
      <c r="AT272" s="25" t="str">
        <f>IF('1. Live'!AX290='check-Jul''26'!AT290,"",'1. Live'!AX290-'check-Jul''26'!AT290)</f>
        <v/>
      </c>
      <c r="AU272" s="25" t="str">
        <f>IF('1. Live'!AY290='check-Jul''26'!AU290,"",'1. Live'!AY290-'check-Jul''26'!AU290)</f>
        <v/>
      </c>
      <c r="AV272" s="25" t="str">
        <f>IF('1. Live'!AZ290='check-Jul''26'!AV290,"",'1. Live'!AZ290-'check-Jul''26'!AV290)</f>
        <v/>
      </c>
      <c r="AW272" s="25" t="str">
        <f>IF('1. Live'!BA290='check-Jul''26'!AW290,"",'1. Live'!BA290-'check-Jul''26'!AW290)</f>
        <v/>
      </c>
      <c r="AX272" s="25" t="str">
        <f>IF('1. Live'!BB290='check-Jul''26'!AX290,"",'1. Live'!BB290-'check-Jul''26'!AX290)</f>
        <v/>
      </c>
      <c r="AY272" s="25" t="str">
        <f>IF('1. Live'!BC290='check-Jul''26'!AY290,"",'1. Live'!BC290-'check-Jul''26'!AY290)</f>
        <v/>
      </c>
      <c r="AZ272" s="25" t="str">
        <f>IF('1. Live'!BD290='check-Jul''26'!AZ290,"",'1. Live'!BD290-'check-Jul''26'!AZ290)</f>
        <v/>
      </c>
      <c r="BA272" s="25" t="str">
        <f>IF('1. Live'!BE290='check-Jul''26'!BA290,"",'1. Live'!BE290-'check-Jul''26'!BA290)</f>
        <v/>
      </c>
      <c r="BB272" s="25" t="str">
        <f>IF('1. Live'!BF290='check-Jul''26'!BB290,"",'1. Live'!BF290-'check-Jul''26'!BB290)</f>
        <v/>
      </c>
      <c r="BC272" s="25" t="str">
        <f>IF('1. Live'!BG290='check-Jul''26'!BC290,"",'1. Live'!BG290-'check-Jul''26'!BC290)</f>
        <v/>
      </c>
      <c r="BD272" s="25" t="str">
        <f>IF('1. Live'!BH290='check-Jul''26'!BD290,"",'1. Live'!BH290-'check-Jul''26'!BD290)</f>
        <v/>
      </c>
      <c r="BE272" s="25" t="str">
        <f>IF('1. Live'!BI290='check-Jul''26'!BE290,"",'1. Live'!BI290-'check-Jul''26'!BE290)</f>
        <v/>
      </c>
      <c r="BF272" s="25" t="str">
        <f>IF('1. Live'!BJ290='check-Jul''26'!BF290,"",'1. Live'!BJ290-'check-Jul''26'!BF290)</f>
        <v/>
      </c>
      <c r="BG272" s="25" t="str">
        <f>IF('1. Live'!BK290='check-Jul''26'!BG290,"",'1. Live'!BK290-'check-Jul''26'!BG290)</f>
        <v/>
      </c>
      <c r="BH272" s="25" t="str">
        <f>IF('1. Live'!BL290='check-Jul''26'!BH290,"",'1. Live'!BL290-'check-Jul''26'!BH290)</f>
        <v/>
      </c>
      <c r="BI272" s="25" t="str">
        <f>IF('1. Live'!BM290='check-Jul''26'!BI290,"",'1. Live'!BM290-'check-Jul''26'!BI290)</f>
        <v/>
      </c>
      <c r="BJ272" s="25" t="str">
        <f>IF('1. Live'!BN290='check-Jul''26'!BJ290,"",'1. Live'!BN290-'check-Jul''26'!BJ290)</f>
        <v/>
      </c>
      <c r="BK272" s="25" t="str">
        <f>IF('1. Live'!BO290='check-Jul''26'!BK290,"",'1. Live'!BO290-'check-Jul''26'!BK290)</f>
        <v/>
      </c>
      <c r="BL272" s="25" t="str">
        <f>IF('1. Live'!BP290='check-Jul''26'!BL290,"",'1. Live'!BP290-'check-Jul''26'!BL290)</f>
        <v/>
      </c>
      <c r="BM272" s="25" t="str">
        <f>IF('1. Live'!BQ290='check-Jul''26'!BM290,"",'1. Live'!BQ290-'check-Jul''26'!BM290)</f>
        <v/>
      </c>
      <c r="BN272" s="25" t="str">
        <f>IF('1. Live'!BR290='check-Jul''26'!BN290,"",'1. Live'!BR290-'check-Jul''26'!BN290)</f>
        <v/>
      </c>
      <c r="BO272" s="25" t="str">
        <f>IF('1. Live'!BS290='check-Jul''26'!BO290,"",'1. Live'!BS290-'check-Jul''26'!BO290)</f>
        <v/>
      </c>
      <c r="BP272" s="25" t="str">
        <f>IF('1. Live'!BT290='check-Jul''26'!BP290,"",'1. Live'!BT290-'check-Jul''26'!BP290)</f>
        <v/>
      </c>
      <c r="BQ272" s="25" t="str">
        <f>IF('1. Live'!BU290='check-Jul''26'!BQ290,"",'1. Live'!BU290-'check-Jul''26'!BQ290)</f>
        <v/>
      </c>
      <c r="BR272" s="25" t="str">
        <f>IF('1. Live'!BV290='check-Jul''26'!BR290,"",'1. Live'!BV290-'check-Jul''26'!BR290)</f>
        <v/>
      </c>
      <c r="BS272" s="25" t="str">
        <f>IF('1. Live'!BW290='check-Jul''26'!BS290,"",'1. Live'!BW290-'check-Jul''26'!BS290)</f>
        <v/>
      </c>
      <c r="BT272" s="25" t="str">
        <f>IF('1. Live'!BX290='check-Jul''26'!BT290,"",'1. Live'!BX290-'check-Jul''26'!BT290)</f>
        <v/>
      </c>
      <c r="BU272" s="25" t="str">
        <f>IF('1. Live'!BY290='check-Jul''26'!BU290,"",'1. Live'!BY290-'check-Jul''26'!BU290)</f>
        <v/>
      </c>
      <c r="BV272" s="25" t="str">
        <f>IF('1. Live'!BZ290='check-Jul''26'!BV290,"",'1. Live'!BZ290-'check-Jul''26'!BV290)</f>
        <v/>
      </c>
      <c r="BW272" s="25" t="str">
        <f>IF('1. Live'!CA290='check-Jul''26'!BW290,"",'1. Live'!CA290-'check-Jul''26'!BW290)</f>
        <v/>
      </c>
      <c r="BX272" s="25" t="str">
        <f>IF('1. Live'!CB290='check-Jul''26'!BX290,"",'1. Live'!CB290-'check-Jul''26'!BX290)</f>
        <v/>
      </c>
      <c r="BY272" s="25" t="str">
        <f>IF('1. Live'!CC290='check-Jul''26'!BY290,"",'1. Live'!CC290-'check-Jul''26'!BY290)</f>
        <v/>
      </c>
      <c r="BZ272" s="25" t="str">
        <f>IF('1. Live'!CD290='check-Jul''26'!BZ290,"",'1. Live'!CD290-'check-Jul''26'!BZ290)</f>
        <v/>
      </c>
      <c r="CA272" s="25" t="str">
        <f>IF('1. Live'!CE290='check-Jul''26'!CA290,"",'1. Live'!CE290-'check-Jul''26'!CA290)</f>
        <v/>
      </c>
      <c r="CB272" s="25" t="str">
        <f>IF('1. Live'!CF290='check-Jul''26'!CB290,"",'1. Live'!CF290-'check-Jul''26'!CB290)</f>
        <v/>
      </c>
      <c r="CC272" s="25" t="str">
        <f>IF('1. Live'!CG290='check-Jul''26'!CC290,"",'1. Live'!CG290-'check-Jul''26'!CC290)</f>
        <v/>
      </c>
      <c r="CD272" s="25" t="str">
        <f>IF('1. Live'!CH290='check-Jul''26'!CD290,"",'1. Live'!CH290-'check-Jul''26'!CD290)</f>
        <v/>
      </c>
      <c r="CE272" s="25" t="str">
        <f>IF('1. Live'!CI290='check-Jul''26'!CE290,"",'1. Live'!CI290-'check-Jul''26'!CE290)</f>
        <v/>
      </c>
      <c r="CF272" s="25" t="str">
        <f>IF('1. Live'!CJ290='check-Jul''26'!CF290,"",'1. Live'!CJ290-'check-Jul''26'!CF290)</f>
        <v/>
      </c>
      <c r="CG272" s="25" t="str">
        <f>IF('1. Live'!CK290='check-Jul''26'!CG290,"",'1. Live'!CK290-'check-Jul''26'!CG290)</f>
        <v/>
      </c>
      <c r="CH272" s="25" t="str">
        <f>IF('1. Live'!CL290='check-Jul''26'!CH290,"",'1. Live'!CL290-'check-Jul''26'!CH290)</f>
        <v/>
      </c>
      <c r="CI272" s="25" t="str">
        <f>IF('1. Live'!CM290='check-Jul''26'!CI290,"",'1. Live'!CM290-'check-Jul''26'!CI290)</f>
        <v/>
      </c>
      <c r="CJ272" s="25" t="str">
        <f>IF('1. Live'!CN290='check-Jul''26'!CJ290,"",'1. Live'!CN290-'check-Jul''26'!CJ290)</f>
        <v/>
      </c>
      <c r="CK272" s="25" t="str">
        <f>IF('1. Live'!CO290='check-Jul''26'!CK290,"",'1. Live'!CO290-'check-Jul''26'!CK290)</f>
        <v/>
      </c>
      <c r="CL272" s="25" t="str">
        <f>IF('1. Live'!CP290='check-Jul''26'!CL290,"",'1. Live'!CP290-'check-Jul''26'!CL290)</f>
        <v/>
      </c>
      <c r="CM272" s="25" t="str">
        <f>IF('1. Live'!CQ290='check-Jul''26'!CM290,"",'1. Live'!CQ290-'check-Jul''26'!CM290)</f>
        <v/>
      </c>
      <c r="CN272" s="25" t="str">
        <f>IF('1. Live'!CR290='check-Jul''26'!CN290,"",'1. Live'!CR290-'check-Jul''26'!CN290)</f>
        <v/>
      </c>
      <c r="CO272" s="25" t="str">
        <f>IF('1. Live'!CS290='check-Jul''26'!CO290,"",'1. Live'!CS290-'check-Jul''26'!CO290)</f>
        <v/>
      </c>
      <c r="CP272" s="25" t="str">
        <f>IF('1. Live'!CT290='check-Jul''26'!CP290,"",'1. Live'!CT290-'check-Jul''26'!CP290)</f>
        <v/>
      </c>
      <c r="CQ272" s="25" t="str">
        <f>IF('1. Live'!CU290='check-Jul''26'!CQ290,"",'1. Live'!CU290-'check-Jul''26'!CQ290)</f>
        <v/>
      </c>
      <c r="CR272" s="25" t="str">
        <f>IF('1. Live'!CV290='check-Jul''26'!CR290,"",'1. Live'!CV290-'check-Jul''26'!CR290)</f>
        <v/>
      </c>
      <c r="CS272" s="25" t="str">
        <f>IF('1. Live'!CW290='check-Jul''26'!CS290,"",'1. Live'!CW290-'check-Jul''26'!CS290)</f>
        <v/>
      </c>
      <c r="CT272" s="25" t="str">
        <f>IF('1. Live'!CX290='check-Jul''26'!CT290,"",'1. Live'!CX290-'check-Jul''26'!CT290)</f>
        <v/>
      </c>
      <c r="CU272" s="25" t="str">
        <f>IF('1. Live'!CY290='check-Jul''26'!CU290,"",'1. Live'!CY290-'check-Jul''26'!CU290)</f>
        <v/>
      </c>
      <c r="CV272" s="25" t="str">
        <f>IF('1. Live'!CZ290='check-Jul''26'!CV290,"",'1. Live'!CZ290-'check-Jul''26'!CV290)</f>
        <v/>
      </c>
    </row>
    <row r="273" spans="17:100" x14ac:dyDescent="0.25">
      <c r="Q273" s="26" t="str">
        <f>IF('1. Live'!N291='check-Jul''26'!I291,"",'1. Live'!N291-'check-Jul''26'!I291)</f>
        <v/>
      </c>
      <c r="R273" s="26" t="str">
        <f>IF('1. Live'!O291='check-Jul''26'!J291,"",'1. Live'!O291-'check-Jul''26'!J291)</f>
        <v/>
      </c>
      <c r="S273" s="26" t="str">
        <f>IF('1. Live'!P291='check-Jul''26'!K291,"",'1. Live'!P291-'check-Jul''26'!K291)</f>
        <v/>
      </c>
      <c r="T273" s="26" t="str">
        <f>IF('1. Live'!Q291='check-Jul''26'!L291,"",'1. Live'!Q291-'check-Jul''26'!L291)</f>
        <v/>
      </c>
      <c r="U273" s="80" t="str">
        <f>IF('1. Live'!R291='check-Jul''26'!M291,"",'1. Live'!R291-'check-Jul''26'!M291)</f>
        <v/>
      </c>
      <c r="V273" s="26" t="str">
        <f>IF('1. Live'!S291='check-Jul''26'!N291,"",'1. Live'!S291-'check-Jul''26'!N291)</f>
        <v/>
      </c>
      <c r="W273" s="25" t="str">
        <f>IF('1. Live'!T291='check-Jul''26'!O291,"",'1. Live'!T291-'check-Jul''26'!O291)</f>
        <v/>
      </c>
      <c r="X273" s="25" t="str">
        <f>IF('1. Live'!U291='check-Jul''26'!Q291,"",'1. Live'!U291-'check-Jul''26'!Q291)</f>
        <v/>
      </c>
      <c r="Y273" s="25" t="str">
        <f>IF('1. Live'!V291='check-Jul''26'!R291,"",'1. Live'!V291-'check-Jul''26'!R291)</f>
        <v/>
      </c>
      <c r="Z273" s="25" t="str">
        <f>IF('1. Live'!W291='check-Jul''26'!S291,"",'1. Live'!W291-'check-Jul''26'!S291)</f>
        <v/>
      </c>
      <c r="AA273" s="25" t="str">
        <f>IF('1. Live'!X291='check-Jul''26'!T291,"",'1. Live'!X291-'check-Jul''26'!T291)</f>
        <v/>
      </c>
      <c r="AB273" s="25" t="str">
        <f>IF('1. Live'!AF291='check-Jul''26'!AB291,"",'1. Live'!AF291-'check-Jul''26'!AB291)</f>
        <v/>
      </c>
      <c r="AC273" s="25" t="str">
        <f>IF('1. Live'!AG291='check-Jul''26'!AC291,"",'1. Live'!AG291-'check-Jul''26'!AC291)</f>
        <v/>
      </c>
      <c r="AD273" s="25" t="str">
        <f>IF('1. Live'!AH291='check-Jul''26'!AD291,"",'1. Live'!AH291-'check-Jul''26'!AD291)</f>
        <v/>
      </c>
      <c r="AE273" s="25" t="str">
        <f>IF('1. Live'!AI291='check-Jul''26'!AE291,"",'1. Live'!AI291-'check-Jul''26'!AE291)</f>
        <v/>
      </c>
      <c r="AF273" s="25" t="str">
        <f>IF('1. Live'!AJ291='check-Jul''26'!AF291,"",'1. Live'!AJ291-'check-Jul''26'!AF291)</f>
        <v/>
      </c>
      <c r="AG273" s="25" t="str">
        <f>IF('1. Live'!AK291='check-Jul''26'!AG291,"",'1. Live'!AK291-'check-Jul''26'!AG291)</f>
        <v/>
      </c>
      <c r="AH273" s="25" t="str">
        <f>IF('1. Live'!AL291='check-Jul''26'!AH291,"",'1. Live'!AL291-'check-Jul''26'!AH291)</f>
        <v/>
      </c>
      <c r="AI273" s="25" t="str">
        <f>IF('1. Live'!AM291='check-Jul''26'!AI291,"",'1. Live'!AM291-'check-Jul''26'!AI291)</f>
        <v/>
      </c>
      <c r="AJ273" s="25" t="str">
        <f>IF('1. Live'!AN291='check-Jul''26'!AJ291,"",'1. Live'!AN291-'check-Jul''26'!AJ291)</f>
        <v/>
      </c>
      <c r="AK273" s="25" t="str">
        <f>IF('1. Live'!AO291='check-Jul''26'!AK291,"",'1. Live'!AO291-'check-Jul''26'!AK291)</f>
        <v/>
      </c>
      <c r="AL273" s="25" t="str">
        <f>IF('1. Live'!AP291='check-Jul''26'!AL291,"",'1. Live'!AP291-'check-Jul''26'!AL291)</f>
        <v/>
      </c>
      <c r="AM273" s="25" t="str">
        <f>IF('1. Live'!AQ291='check-Jul''26'!AM291,"",'1. Live'!AQ291-'check-Jul''26'!AM291)</f>
        <v/>
      </c>
      <c r="AN273" s="25" t="str">
        <f>IF('1. Live'!AR291='check-Jul''26'!AN291,"",'1. Live'!AR291-'check-Jul''26'!AN291)</f>
        <v/>
      </c>
      <c r="AO273" s="25" t="str">
        <f>IF('1. Live'!AS291='check-Jul''26'!AO291,"",'1. Live'!AS291-'check-Jul''26'!AO291)</f>
        <v/>
      </c>
      <c r="AP273" s="25" t="str">
        <f>IF('1. Live'!AT291='check-Jul''26'!AP291,"",'1. Live'!AT291-'check-Jul''26'!AP291)</f>
        <v/>
      </c>
      <c r="AQ273" s="25" t="str">
        <f>IF('1. Live'!AU291='check-Jul''26'!AQ291,"",'1. Live'!AU291-'check-Jul''26'!AQ291)</f>
        <v/>
      </c>
      <c r="AR273" s="25" t="str">
        <f>IF('1. Live'!AV291='check-Jul''26'!AR291,"",'1. Live'!AV291-'check-Jul''26'!AR291)</f>
        <v/>
      </c>
      <c r="AS273" s="25" t="str">
        <f>IF('1. Live'!AW291='check-Jul''26'!AS291,"",'1. Live'!AW291-'check-Jul''26'!AS291)</f>
        <v/>
      </c>
      <c r="AT273" s="25" t="str">
        <f>IF('1. Live'!AX291='check-Jul''26'!AT291,"",'1. Live'!AX291-'check-Jul''26'!AT291)</f>
        <v/>
      </c>
      <c r="AU273" s="25" t="str">
        <f>IF('1. Live'!AY291='check-Jul''26'!AU291,"",'1. Live'!AY291-'check-Jul''26'!AU291)</f>
        <v/>
      </c>
      <c r="AV273" s="25" t="str">
        <f>IF('1. Live'!AZ291='check-Jul''26'!AV291,"",'1. Live'!AZ291-'check-Jul''26'!AV291)</f>
        <v/>
      </c>
      <c r="AW273" s="25" t="str">
        <f>IF('1. Live'!BA291='check-Jul''26'!AW291,"",'1. Live'!BA291-'check-Jul''26'!AW291)</f>
        <v/>
      </c>
      <c r="AX273" s="25" t="str">
        <f>IF('1. Live'!BB291='check-Jul''26'!AX291,"",'1. Live'!BB291-'check-Jul''26'!AX291)</f>
        <v/>
      </c>
      <c r="AY273" s="25" t="str">
        <f>IF('1. Live'!BC291='check-Jul''26'!AY291,"",'1. Live'!BC291-'check-Jul''26'!AY291)</f>
        <v/>
      </c>
      <c r="AZ273" s="25" t="str">
        <f>IF('1. Live'!BD291='check-Jul''26'!AZ291,"",'1. Live'!BD291-'check-Jul''26'!AZ291)</f>
        <v/>
      </c>
      <c r="BA273" s="25" t="str">
        <f>IF('1. Live'!BE291='check-Jul''26'!BA291,"",'1. Live'!BE291-'check-Jul''26'!BA291)</f>
        <v/>
      </c>
      <c r="BB273" s="25" t="str">
        <f>IF('1. Live'!BF291='check-Jul''26'!BB291,"",'1. Live'!BF291-'check-Jul''26'!BB291)</f>
        <v/>
      </c>
      <c r="BC273" s="25" t="str">
        <f>IF('1. Live'!BG291='check-Jul''26'!BC291,"",'1. Live'!BG291-'check-Jul''26'!BC291)</f>
        <v/>
      </c>
      <c r="BD273" s="25" t="str">
        <f>IF('1. Live'!BH291='check-Jul''26'!BD291,"",'1. Live'!BH291-'check-Jul''26'!BD291)</f>
        <v/>
      </c>
      <c r="BE273" s="25" t="str">
        <f>IF('1. Live'!BI291='check-Jul''26'!BE291,"",'1. Live'!BI291-'check-Jul''26'!BE291)</f>
        <v/>
      </c>
      <c r="BF273" s="25" t="str">
        <f>IF('1. Live'!BJ291='check-Jul''26'!BF291,"",'1. Live'!BJ291-'check-Jul''26'!BF291)</f>
        <v/>
      </c>
      <c r="BG273" s="25" t="str">
        <f>IF('1. Live'!BK291='check-Jul''26'!BG291,"",'1. Live'!BK291-'check-Jul''26'!BG291)</f>
        <v/>
      </c>
      <c r="BH273" s="25" t="str">
        <f>IF('1. Live'!BL291='check-Jul''26'!BH291,"",'1. Live'!BL291-'check-Jul''26'!BH291)</f>
        <v/>
      </c>
      <c r="BI273" s="25" t="str">
        <f>IF('1. Live'!BM291='check-Jul''26'!BI291,"",'1. Live'!BM291-'check-Jul''26'!BI291)</f>
        <v/>
      </c>
      <c r="BJ273" s="25" t="str">
        <f>IF('1. Live'!BN291='check-Jul''26'!BJ291,"",'1. Live'!BN291-'check-Jul''26'!BJ291)</f>
        <v/>
      </c>
      <c r="BK273" s="25" t="str">
        <f>IF('1. Live'!BO291='check-Jul''26'!BK291,"",'1. Live'!BO291-'check-Jul''26'!BK291)</f>
        <v/>
      </c>
      <c r="BL273" s="25" t="str">
        <f>IF('1. Live'!BP291='check-Jul''26'!BL291,"",'1. Live'!BP291-'check-Jul''26'!BL291)</f>
        <v/>
      </c>
      <c r="BM273" s="25" t="str">
        <f>IF('1. Live'!BQ291='check-Jul''26'!BM291,"",'1. Live'!BQ291-'check-Jul''26'!BM291)</f>
        <v/>
      </c>
      <c r="BN273" s="25" t="str">
        <f>IF('1. Live'!BR291='check-Jul''26'!BN291,"",'1. Live'!BR291-'check-Jul''26'!BN291)</f>
        <v/>
      </c>
      <c r="BO273" s="25" t="str">
        <f>IF('1. Live'!BS291='check-Jul''26'!BO291,"",'1. Live'!BS291-'check-Jul''26'!BO291)</f>
        <v/>
      </c>
      <c r="BP273" s="25" t="str">
        <f>IF('1. Live'!BT291='check-Jul''26'!BP291,"",'1. Live'!BT291-'check-Jul''26'!BP291)</f>
        <v/>
      </c>
      <c r="BQ273" s="25" t="str">
        <f>IF('1. Live'!BU291='check-Jul''26'!BQ291,"",'1. Live'!BU291-'check-Jul''26'!BQ291)</f>
        <v/>
      </c>
      <c r="BR273" s="25" t="str">
        <f>IF('1. Live'!BV291='check-Jul''26'!BR291,"",'1. Live'!BV291-'check-Jul''26'!BR291)</f>
        <v/>
      </c>
      <c r="BS273" s="25" t="str">
        <f>IF('1. Live'!BW291='check-Jul''26'!BS291,"",'1. Live'!BW291-'check-Jul''26'!BS291)</f>
        <v/>
      </c>
      <c r="BT273" s="25" t="str">
        <f>IF('1. Live'!BX291='check-Jul''26'!BT291,"",'1. Live'!BX291-'check-Jul''26'!BT291)</f>
        <v/>
      </c>
      <c r="BU273" s="25" t="str">
        <f>IF('1. Live'!BY291='check-Jul''26'!BU291,"",'1. Live'!BY291-'check-Jul''26'!BU291)</f>
        <v/>
      </c>
      <c r="BV273" s="25" t="str">
        <f>IF('1. Live'!BZ291='check-Jul''26'!BV291,"",'1. Live'!BZ291-'check-Jul''26'!BV291)</f>
        <v/>
      </c>
      <c r="BW273" s="25" t="str">
        <f>IF('1. Live'!CA291='check-Jul''26'!BW291,"",'1. Live'!CA291-'check-Jul''26'!BW291)</f>
        <v/>
      </c>
      <c r="BX273" s="25" t="str">
        <f>IF('1. Live'!CB291='check-Jul''26'!BX291,"",'1. Live'!CB291-'check-Jul''26'!BX291)</f>
        <v/>
      </c>
      <c r="BY273" s="25" t="str">
        <f>IF('1. Live'!CC291='check-Jul''26'!BY291,"",'1. Live'!CC291-'check-Jul''26'!BY291)</f>
        <v/>
      </c>
      <c r="BZ273" s="25" t="str">
        <f>IF('1. Live'!CD291='check-Jul''26'!BZ291,"",'1. Live'!CD291-'check-Jul''26'!BZ291)</f>
        <v/>
      </c>
      <c r="CA273" s="25" t="str">
        <f>IF('1. Live'!CE291='check-Jul''26'!CA291,"",'1. Live'!CE291-'check-Jul''26'!CA291)</f>
        <v/>
      </c>
      <c r="CB273" s="25" t="str">
        <f>IF('1. Live'!CF291='check-Jul''26'!CB291,"",'1. Live'!CF291-'check-Jul''26'!CB291)</f>
        <v/>
      </c>
      <c r="CC273" s="25" t="str">
        <f>IF('1. Live'!CG291='check-Jul''26'!CC291,"",'1. Live'!CG291-'check-Jul''26'!CC291)</f>
        <v/>
      </c>
      <c r="CD273" s="25" t="str">
        <f>IF('1. Live'!CH291='check-Jul''26'!CD291,"",'1. Live'!CH291-'check-Jul''26'!CD291)</f>
        <v/>
      </c>
      <c r="CE273" s="25" t="str">
        <f>IF('1. Live'!CI291='check-Jul''26'!CE291,"",'1. Live'!CI291-'check-Jul''26'!CE291)</f>
        <v/>
      </c>
      <c r="CF273" s="25" t="str">
        <f>IF('1. Live'!CJ291='check-Jul''26'!CF291,"",'1. Live'!CJ291-'check-Jul''26'!CF291)</f>
        <v/>
      </c>
      <c r="CG273" s="25" t="str">
        <f>IF('1. Live'!CK291='check-Jul''26'!CG291,"",'1. Live'!CK291-'check-Jul''26'!CG291)</f>
        <v/>
      </c>
      <c r="CH273" s="25" t="str">
        <f>IF('1. Live'!CL291='check-Jul''26'!CH291,"",'1. Live'!CL291-'check-Jul''26'!CH291)</f>
        <v/>
      </c>
      <c r="CI273" s="25" t="str">
        <f>IF('1. Live'!CM291='check-Jul''26'!CI291,"",'1. Live'!CM291-'check-Jul''26'!CI291)</f>
        <v/>
      </c>
      <c r="CJ273" s="25" t="str">
        <f>IF('1. Live'!CN291='check-Jul''26'!CJ291,"",'1. Live'!CN291-'check-Jul''26'!CJ291)</f>
        <v/>
      </c>
      <c r="CK273" s="25" t="str">
        <f>IF('1. Live'!CO291='check-Jul''26'!CK291,"",'1. Live'!CO291-'check-Jul''26'!CK291)</f>
        <v/>
      </c>
      <c r="CL273" s="25" t="str">
        <f>IF('1. Live'!CP291='check-Jul''26'!CL291,"",'1. Live'!CP291-'check-Jul''26'!CL291)</f>
        <v/>
      </c>
      <c r="CM273" s="25" t="str">
        <f>IF('1. Live'!CQ291='check-Jul''26'!CM291,"",'1. Live'!CQ291-'check-Jul''26'!CM291)</f>
        <v/>
      </c>
      <c r="CN273" s="25" t="str">
        <f>IF('1. Live'!CR291='check-Jul''26'!CN291,"",'1. Live'!CR291-'check-Jul''26'!CN291)</f>
        <v/>
      </c>
      <c r="CO273" s="25" t="str">
        <f>IF('1. Live'!CS291='check-Jul''26'!CO291,"",'1. Live'!CS291-'check-Jul''26'!CO291)</f>
        <v/>
      </c>
      <c r="CP273" s="25" t="str">
        <f>IF('1. Live'!CT291='check-Jul''26'!CP291,"",'1. Live'!CT291-'check-Jul''26'!CP291)</f>
        <v/>
      </c>
      <c r="CQ273" s="25" t="str">
        <f>IF('1. Live'!CU291='check-Jul''26'!CQ291,"",'1. Live'!CU291-'check-Jul''26'!CQ291)</f>
        <v/>
      </c>
      <c r="CR273" s="25" t="str">
        <f>IF('1. Live'!CV291='check-Jul''26'!CR291,"",'1. Live'!CV291-'check-Jul''26'!CR291)</f>
        <v/>
      </c>
      <c r="CS273" s="25" t="str">
        <f>IF('1. Live'!CW291='check-Jul''26'!CS291,"",'1. Live'!CW291-'check-Jul''26'!CS291)</f>
        <v/>
      </c>
      <c r="CT273" s="25" t="str">
        <f>IF('1. Live'!CX291='check-Jul''26'!CT291,"",'1. Live'!CX291-'check-Jul''26'!CT291)</f>
        <v/>
      </c>
      <c r="CU273" s="25" t="str">
        <f>IF('1. Live'!CY291='check-Jul''26'!CU291,"",'1. Live'!CY291-'check-Jul''26'!CU291)</f>
        <v/>
      </c>
      <c r="CV273" s="25" t="str">
        <f>IF('1. Live'!CZ291='check-Jul''26'!CV291,"",'1. Live'!CZ291-'check-Jul''26'!CV291)</f>
        <v/>
      </c>
    </row>
    <row r="274" spans="17:100" x14ac:dyDescent="0.25">
      <c r="Q274" s="26" t="str">
        <f>IF('1. Live'!N292='check-Jul''26'!I292,"",'1. Live'!N292-'check-Jul''26'!I292)</f>
        <v/>
      </c>
      <c r="R274" s="26" t="str">
        <f>IF('1. Live'!O292='check-Jul''26'!J292,"",'1. Live'!O292-'check-Jul''26'!J292)</f>
        <v/>
      </c>
      <c r="S274" s="26" t="str">
        <f>IF('1. Live'!P292='check-Jul''26'!K292,"",'1. Live'!P292-'check-Jul''26'!K292)</f>
        <v/>
      </c>
      <c r="T274" s="26" t="str">
        <f>IF('1. Live'!Q292='check-Jul''26'!L292,"",'1. Live'!Q292-'check-Jul''26'!L292)</f>
        <v/>
      </c>
      <c r="U274" s="80" t="str">
        <f>IF('1. Live'!R292='check-Jul''26'!M292,"",'1. Live'!R292-'check-Jul''26'!M292)</f>
        <v/>
      </c>
      <c r="V274" s="26" t="str">
        <f>IF('1. Live'!S292='check-Jul''26'!N292,"",'1. Live'!S292-'check-Jul''26'!N292)</f>
        <v/>
      </c>
      <c r="W274" s="25" t="str">
        <f>IF('1. Live'!T292='check-Jul''26'!O292,"",'1. Live'!T292-'check-Jul''26'!O292)</f>
        <v/>
      </c>
      <c r="X274" s="25" t="str">
        <f>IF('1. Live'!U292='check-Jul''26'!Q292,"",'1. Live'!U292-'check-Jul''26'!Q292)</f>
        <v/>
      </c>
      <c r="Y274" s="25" t="str">
        <f>IF('1. Live'!V292='check-Jul''26'!R292,"",'1. Live'!V292-'check-Jul''26'!R292)</f>
        <v/>
      </c>
      <c r="Z274" s="25" t="str">
        <f>IF('1. Live'!W292='check-Jul''26'!S292,"",'1. Live'!W292-'check-Jul''26'!S292)</f>
        <v/>
      </c>
      <c r="AA274" s="25" t="str">
        <f>IF('1. Live'!X292='check-Jul''26'!T292,"",'1. Live'!X292-'check-Jul''26'!T292)</f>
        <v/>
      </c>
      <c r="AB274" s="25" t="str">
        <f>IF('1. Live'!AF292='check-Jul''26'!AB292,"",'1. Live'!AF292-'check-Jul''26'!AB292)</f>
        <v/>
      </c>
      <c r="AC274" s="25" t="str">
        <f>IF('1. Live'!AG292='check-Jul''26'!AC292,"",'1. Live'!AG292-'check-Jul''26'!AC292)</f>
        <v/>
      </c>
      <c r="AD274" s="25" t="str">
        <f>IF('1. Live'!AH292='check-Jul''26'!AD292,"",'1. Live'!AH292-'check-Jul''26'!AD292)</f>
        <v/>
      </c>
      <c r="AE274" s="25" t="str">
        <f>IF('1. Live'!AI292='check-Jul''26'!AE292,"",'1. Live'!AI292-'check-Jul''26'!AE292)</f>
        <v/>
      </c>
      <c r="AF274" s="25" t="str">
        <f>IF('1. Live'!AJ292='check-Jul''26'!AF292,"",'1. Live'!AJ292-'check-Jul''26'!AF292)</f>
        <v/>
      </c>
      <c r="AG274" s="25" t="str">
        <f>IF('1. Live'!AK292='check-Jul''26'!AG292,"",'1. Live'!AK292-'check-Jul''26'!AG292)</f>
        <v/>
      </c>
      <c r="AH274" s="25" t="str">
        <f>IF('1. Live'!AL292='check-Jul''26'!AH292,"",'1. Live'!AL292-'check-Jul''26'!AH292)</f>
        <v/>
      </c>
      <c r="AI274" s="25" t="str">
        <f>IF('1. Live'!AM292='check-Jul''26'!AI292,"",'1. Live'!AM292-'check-Jul''26'!AI292)</f>
        <v/>
      </c>
      <c r="AJ274" s="25" t="str">
        <f>IF('1. Live'!AN292='check-Jul''26'!AJ292,"",'1. Live'!AN292-'check-Jul''26'!AJ292)</f>
        <v/>
      </c>
      <c r="AK274" s="25" t="str">
        <f>IF('1. Live'!AO292='check-Jul''26'!AK292,"",'1. Live'!AO292-'check-Jul''26'!AK292)</f>
        <v/>
      </c>
      <c r="AL274" s="25" t="str">
        <f>IF('1. Live'!AP292='check-Jul''26'!AL292,"",'1. Live'!AP292-'check-Jul''26'!AL292)</f>
        <v/>
      </c>
      <c r="AM274" s="25" t="str">
        <f>IF('1. Live'!AQ292='check-Jul''26'!AM292,"",'1. Live'!AQ292-'check-Jul''26'!AM292)</f>
        <v/>
      </c>
      <c r="AN274" s="25" t="str">
        <f>IF('1. Live'!AR292='check-Jul''26'!AN292,"",'1. Live'!AR292-'check-Jul''26'!AN292)</f>
        <v/>
      </c>
      <c r="AO274" s="25" t="str">
        <f>IF('1. Live'!AS292='check-Jul''26'!AO292,"",'1. Live'!AS292-'check-Jul''26'!AO292)</f>
        <v/>
      </c>
      <c r="AP274" s="25" t="str">
        <f>IF('1. Live'!AT292='check-Jul''26'!AP292,"",'1. Live'!AT292-'check-Jul''26'!AP292)</f>
        <v/>
      </c>
      <c r="AQ274" s="25" t="str">
        <f>IF('1. Live'!AU292='check-Jul''26'!AQ292,"",'1. Live'!AU292-'check-Jul''26'!AQ292)</f>
        <v/>
      </c>
      <c r="AR274" s="25" t="str">
        <f>IF('1. Live'!AV292='check-Jul''26'!AR292,"",'1. Live'!AV292-'check-Jul''26'!AR292)</f>
        <v/>
      </c>
      <c r="AS274" s="25" t="str">
        <f>IF('1. Live'!AW292='check-Jul''26'!AS292,"",'1. Live'!AW292-'check-Jul''26'!AS292)</f>
        <v/>
      </c>
      <c r="AT274" s="25" t="str">
        <f>IF('1. Live'!AX292='check-Jul''26'!AT292,"",'1. Live'!AX292-'check-Jul''26'!AT292)</f>
        <v/>
      </c>
      <c r="AU274" s="25" t="str">
        <f>IF('1. Live'!AY292='check-Jul''26'!AU292,"",'1. Live'!AY292-'check-Jul''26'!AU292)</f>
        <v/>
      </c>
      <c r="AV274" s="25" t="str">
        <f>IF('1. Live'!AZ292='check-Jul''26'!AV292,"",'1. Live'!AZ292-'check-Jul''26'!AV292)</f>
        <v/>
      </c>
      <c r="AW274" s="25" t="str">
        <f>IF('1. Live'!BA292='check-Jul''26'!AW292,"",'1. Live'!BA292-'check-Jul''26'!AW292)</f>
        <v/>
      </c>
      <c r="AX274" s="25" t="str">
        <f>IF('1. Live'!BB292='check-Jul''26'!AX292,"",'1. Live'!BB292-'check-Jul''26'!AX292)</f>
        <v/>
      </c>
      <c r="AY274" s="25" t="str">
        <f>IF('1. Live'!BC292='check-Jul''26'!AY292,"",'1. Live'!BC292-'check-Jul''26'!AY292)</f>
        <v/>
      </c>
      <c r="AZ274" s="25" t="str">
        <f>IF('1. Live'!BD292='check-Jul''26'!AZ292,"",'1. Live'!BD292-'check-Jul''26'!AZ292)</f>
        <v/>
      </c>
      <c r="BA274" s="25" t="str">
        <f>IF('1. Live'!BE292='check-Jul''26'!BA292,"",'1. Live'!BE292-'check-Jul''26'!BA292)</f>
        <v/>
      </c>
      <c r="BB274" s="25" t="str">
        <f>IF('1. Live'!BF292='check-Jul''26'!BB292,"",'1. Live'!BF292-'check-Jul''26'!BB292)</f>
        <v/>
      </c>
      <c r="BC274" s="25" t="str">
        <f>IF('1. Live'!BG292='check-Jul''26'!BC292,"",'1. Live'!BG292-'check-Jul''26'!BC292)</f>
        <v/>
      </c>
      <c r="BD274" s="25" t="str">
        <f>IF('1. Live'!BH292='check-Jul''26'!BD292,"",'1. Live'!BH292-'check-Jul''26'!BD292)</f>
        <v/>
      </c>
      <c r="BE274" s="25" t="str">
        <f>IF('1. Live'!BI292='check-Jul''26'!BE292,"",'1. Live'!BI292-'check-Jul''26'!BE292)</f>
        <v/>
      </c>
      <c r="BF274" s="25" t="str">
        <f>IF('1. Live'!BJ292='check-Jul''26'!BF292,"",'1. Live'!BJ292-'check-Jul''26'!BF292)</f>
        <v/>
      </c>
      <c r="BG274" s="25" t="str">
        <f>IF('1. Live'!BK292='check-Jul''26'!BG292,"",'1. Live'!BK292-'check-Jul''26'!BG292)</f>
        <v/>
      </c>
      <c r="BH274" s="25" t="str">
        <f>IF('1. Live'!BL292='check-Jul''26'!BH292,"",'1. Live'!BL292-'check-Jul''26'!BH292)</f>
        <v/>
      </c>
      <c r="BI274" s="25" t="str">
        <f>IF('1. Live'!BM292='check-Jul''26'!BI292,"",'1. Live'!BM292-'check-Jul''26'!BI292)</f>
        <v/>
      </c>
      <c r="BJ274" s="25" t="str">
        <f>IF('1. Live'!BN292='check-Jul''26'!BJ292,"",'1. Live'!BN292-'check-Jul''26'!BJ292)</f>
        <v/>
      </c>
      <c r="BK274" s="25" t="str">
        <f>IF('1. Live'!BO292='check-Jul''26'!BK292,"",'1. Live'!BO292-'check-Jul''26'!BK292)</f>
        <v/>
      </c>
      <c r="BL274" s="25" t="str">
        <f>IF('1. Live'!BP292='check-Jul''26'!BL292,"",'1. Live'!BP292-'check-Jul''26'!BL292)</f>
        <v/>
      </c>
      <c r="BM274" s="25" t="str">
        <f>IF('1. Live'!BQ292='check-Jul''26'!BM292,"",'1. Live'!BQ292-'check-Jul''26'!BM292)</f>
        <v/>
      </c>
      <c r="BN274" s="25" t="str">
        <f>IF('1. Live'!BR292='check-Jul''26'!BN292,"",'1. Live'!BR292-'check-Jul''26'!BN292)</f>
        <v/>
      </c>
      <c r="BO274" s="25" t="str">
        <f>IF('1. Live'!BS292='check-Jul''26'!BO292,"",'1. Live'!BS292-'check-Jul''26'!BO292)</f>
        <v/>
      </c>
      <c r="BP274" s="25" t="str">
        <f>IF('1. Live'!BT292='check-Jul''26'!BP292,"",'1. Live'!BT292-'check-Jul''26'!BP292)</f>
        <v/>
      </c>
      <c r="BQ274" s="25" t="str">
        <f>IF('1. Live'!BU292='check-Jul''26'!BQ292,"",'1. Live'!BU292-'check-Jul''26'!BQ292)</f>
        <v/>
      </c>
      <c r="BR274" s="25" t="str">
        <f>IF('1. Live'!BV292='check-Jul''26'!BR292,"",'1. Live'!BV292-'check-Jul''26'!BR292)</f>
        <v/>
      </c>
      <c r="BS274" s="25" t="str">
        <f>IF('1. Live'!BW292='check-Jul''26'!BS292,"",'1. Live'!BW292-'check-Jul''26'!BS292)</f>
        <v/>
      </c>
      <c r="BT274" s="25" t="str">
        <f>IF('1. Live'!BX292='check-Jul''26'!BT292,"",'1. Live'!BX292-'check-Jul''26'!BT292)</f>
        <v/>
      </c>
      <c r="BU274" s="25" t="str">
        <f>IF('1. Live'!BY292='check-Jul''26'!BU292,"",'1. Live'!BY292-'check-Jul''26'!BU292)</f>
        <v/>
      </c>
      <c r="BV274" s="25" t="str">
        <f>IF('1. Live'!BZ292='check-Jul''26'!BV292,"",'1. Live'!BZ292-'check-Jul''26'!BV292)</f>
        <v/>
      </c>
      <c r="BW274" s="25" t="str">
        <f>IF('1. Live'!CA292='check-Jul''26'!BW292,"",'1. Live'!CA292-'check-Jul''26'!BW292)</f>
        <v/>
      </c>
      <c r="BX274" s="25" t="str">
        <f>IF('1. Live'!CB292='check-Jul''26'!BX292,"",'1. Live'!CB292-'check-Jul''26'!BX292)</f>
        <v/>
      </c>
      <c r="BY274" s="25" t="str">
        <f>IF('1. Live'!CC292='check-Jul''26'!BY292,"",'1. Live'!CC292-'check-Jul''26'!BY292)</f>
        <v/>
      </c>
      <c r="BZ274" s="25" t="str">
        <f>IF('1. Live'!CD292='check-Jul''26'!BZ292,"",'1. Live'!CD292-'check-Jul''26'!BZ292)</f>
        <v/>
      </c>
      <c r="CA274" s="25" t="str">
        <f>IF('1. Live'!CE292='check-Jul''26'!CA292,"",'1. Live'!CE292-'check-Jul''26'!CA292)</f>
        <v/>
      </c>
      <c r="CB274" s="25" t="str">
        <f>IF('1. Live'!CF292='check-Jul''26'!CB292,"",'1. Live'!CF292-'check-Jul''26'!CB292)</f>
        <v/>
      </c>
      <c r="CC274" s="25" t="str">
        <f>IF('1. Live'!CG292='check-Jul''26'!CC292,"",'1. Live'!CG292-'check-Jul''26'!CC292)</f>
        <v/>
      </c>
      <c r="CD274" s="25" t="str">
        <f>IF('1. Live'!CH292='check-Jul''26'!CD292,"",'1. Live'!CH292-'check-Jul''26'!CD292)</f>
        <v/>
      </c>
      <c r="CE274" s="25" t="str">
        <f>IF('1. Live'!CI292='check-Jul''26'!CE292,"",'1. Live'!CI292-'check-Jul''26'!CE292)</f>
        <v/>
      </c>
      <c r="CF274" s="25" t="str">
        <f>IF('1. Live'!CJ292='check-Jul''26'!CF292,"",'1. Live'!CJ292-'check-Jul''26'!CF292)</f>
        <v/>
      </c>
      <c r="CG274" s="25" t="str">
        <f>IF('1. Live'!CK292='check-Jul''26'!CG292,"",'1. Live'!CK292-'check-Jul''26'!CG292)</f>
        <v/>
      </c>
      <c r="CH274" s="25" t="str">
        <f>IF('1. Live'!CL292='check-Jul''26'!CH292,"",'1. Live'!CL292-'check-Jul''26'!CH292)</f>
        <v/>
      </c>
      <c r="CI274" s="25" t="str">
        <f>IF('1. Live'!CM292='check-Jul''26'!CI292,"",'1. Live'!CM292-'check-Jul''26'!CI292)</f>
        <v/>
      </c>
      <c r="CJ274" s="25" t="str">
        <f>IF('1. Live'!CN292='check-Jul''26'!CJ292,"",'1. Live'!CN292-'check-Jul''26'!CJ292)</f>
        <v/>
      </c>
      <c r="CK274" s="25" t="str">
        <f>IF('1. Live'!CO292='check-Jul''26'!CK292,"",'1. Live'!CO292-'check-Jul''26'!CK292)</f>
        <v/>
      </c>
      <c r="CL274" s="25" t="str">
        <f>IF('1. Live'!CP292='check-Jul''26'!CL292,"",'1. Live'!CP292-'check-Jul''26'!CL292)</f>
        <v/>
      </c>
      <c r="CM274" s="25" t="str">
        <f>IF('1. Live'!CQ292='check-Jul''26'!CM292,"",'1. Live'!CQ292-'check-Jul''26'!CM292)</f>
        <v/>
      </c>
      <c r="CN274" s="25" t="str">
        <f>IF('1. Live'!CR292='check-Jul''26'!CN292,"",'1. Live'!CR292-'check-Jul''26'!CN292)</f>
        <v/>
      </c>
      <c r="CO274" s="25" t="str">
        <f>IF('1. Live'!CS292='check-Jul''26'!CO292,"",'1. Live'!CS292-'check-Jul''26'!CO292)</f>
        <v/>
      </c>
      <c r="CP274" s="25" t="str">
        <f>IF('1. Live'!CT292='check-Jul''26'!CP292,"",'1. Live'!CT292-'check-Jul''26'!CP292)</f>
        <v/>
      </c>
      <c r="CQ274" s="25" t="str">
        <f>IF('1. Live'!CU292='check-Jul''26'!CQ292,"",'1. Live'!CU292-'check-Jul''26'!CQ292)</f>
        <v/>
      </c>
      <c r="CR274" s="25" t="str">
        <f>IF('1. Live'!CV292='check-Jul''26'!CR292,"",'1. Live'!CV292-'check-Jul''26'!CR292)</f>
        <v/>
      </c>
      <c r="CS274" s="25" t="str">
        <f>IF('1. Live'!CW292='check-Jul''26'!CS292,"",'1. Live'!CW292-'check-Jul''26'!CS292)</f>
        <v/>
      </c>
      <c r="CT274" s="25" t="str">
        <f>IF('1. Live'!CX292='check-Jul''26'!CT292,"",'1. Live'!CX292-'check-Jul''26'!CT292)</f>
        <v/>
      </c>
      <c r="CU274" s="25" t="str">
        <f>IF('1. Live'!CY292='check-Jul''26'!CU292,"",'1. Live'!CY292-'check-Jul''26'!CU292)</f>
        <v/>
      </c>
      <c r="CV274" s="25" t="str">
        <f>IF('1. Live'!CZ292='check-Jul''26'!CV292,"",'1. Live'!CZ292-'check-Jul''26'!CV292)</f>
        <v/>
      </c>
    </row>
    <row r="275" spans="17:100" x14ac:dyDescent="0.25">
      <c r="Q275" s="26" t="str">
        <f>IF('1. Live'!N293='check-Jul''26'!I293,"",'1. Live'!N293-'check-Jul''26'!I293)</f>
        <v/>
      </c>
      <c r="R275" s="26" t="str">
        <f>IF('1. Live'!O293='check-Jul''26'!J293,"",'1. Live'!O293-'check-Jul''26'!J293)</f>
        <v/>
      </c>
      <c r="S275" s="26" t="str">
        <f>IF('1. Live'!P293='check-Jul''26'!K293,"",'1. Live'!P293-'check-Jul''26'!K293)</f>
        <v/>
      </c>
      <c r="T275" s="26" t="str">
        <f>IF('1. Live'!Q293='check-Jul''26'!L293,"",'1. Live'!Q293-'check-Jul''26'!L293)</f>
        <v/>
      </c>
      <c r="U275" s="80" t="str">
        <f>IF('1. Live'!R293='check-Jul''26'!M293,"",'1. Live'!R293-'check-Jul''26'!M293)</f>
        <v/>
      </c>
      <c r="V275" s="26" t="str">
        <f>IF('1. Live'!S293='check-Jul''26'!N293,"",'1. Live'!S293-'check-Jul''26'!N293)</f>
        <v/>
      </c>
      <c r="W275" s="25" t="str">
        <f>IF('1. Live'!T293='check-Jul''26'!O293,"",'1. Live'!T293-'check-Jul''26'!O293)</f>
        <v/>
      </c>
      <c r="X275" s="25" t="str">
        <f>IF('1. Live'!U293='check-Jul''26'!Q293,"",'1. Live'!U293-'check-Jul''26'!Q293)</f>
        <v/>
      </c>
      <c r="Y275" s="25" t="str">
        <f>IF('1. Live'!V293='check-Jul''26'!R293,"",'1. Live'!V293-'check-Jul''26'!R293)</f>
        <v/>
      </c>
      <c r="Z275" s="25" t="str">
        <f>IF('1. Live'!W293='check-Jul''26'!S293,"",'1. Live'!W293-'check-Jul''26'!S293)</f>
        <v/>
      </c>
      <c r="AA275" s="25" t="str">
        <f>IF('1. Live'!X293='check-Jul''26'!T293,"",'1. Live'!X293-'check-Jul''26'!T293)</f>
        <v/>
      </c>
      <c r="AB275" s="25" t="str">
        <f>IF('1. Live'!AF293='check-Jul''26'!AB293,"",'1. Live'!AF293-'check-Jul''26'!AB293)</f>
        <v/>
      </c>
      <c r="AC275" s="25" t="str">
        <f>IF('1. Live'!AG293='check-Jul''26'!AC293,"",'1. Live'!AG293-'check-Jul''26'!AC293)</f>
        <v/>
      </c>
      <c r="AD275" s="25" t="str">
        <f>IF('1. Live'!AH293='check-Jul''26'!AD293,"",'1. Live'!AH293-'check-Jul''26'!AD293)</f>
        <v/>
      </c>
      <c r="AE275" s="25" t="str">
        <f>IF('1. Live'!AI293='check-Jul''26'!AE293,"",'1. Live'!AI293-'check-Jul''26'!AE293)</f>
        <v/>
      </c>
      <c r="AF275" s="25" t="str">
        <f>IF('1. Live'!AJ293='check-Jul''26'!AF293,"",'1. Live'!AJ293-'check-Jul''26'!AF293)</f>
        <v/>
      </c>
      <c r="AG275" s="25" t="str">
        <f>IF('1. Live'!AK293='check-Jul''26'!AG293,"",'1. Live'!AK293-'check-Jul''26'!AG293)</f>
        <v/>
      </c>
      <c r="AH275" s="25" t="str">
        <f>IF('1. Live'!AL293='check-Jul''26'!AH293,"",'1. Live'!AL293-'check-Jul''26'!AH293)</f>
        <v/>
      </c>
      <c r="AI275" s="25" t="str">
        <f>IF('1. Live'!AM293='check-Jul''26'!AI293,"",'1. Live'!AM293-'check-Jul''26'!AI293)</f>
        <v/>
      </c>
      <c r="AJ275" s="25" t="str">
        <f>IF('1. Live'!AN293='check-Jul''26'!AJ293,"",'1. Live'!AN293-'check-Jul''26'!AJ293)</f>
        <v/>
      </c>
      <c r="AK275" s="25" t="str">
        <f>IF('1. Live'!AO293='check-Jul''26'!AK293,"",'1. Live'!AO293-'check-Jul''26'!AK293)</f>
        <v/>
      </c>
      <c r="AL275" s="25" t="str">
        <f>IF('1. Live'!AP293='check-Jul''26'!AL293,"",'1. Live'!AP293-'check-Jul''26'!AL293)</f>
        <v/>
      </c>
      <c r="AM275" s="25" t="str">
        <f>IF('1. Live'!AQ293='check-Jul''26'!AM293,"",'1. Live'!AQ293-'check-Jul''26'!AM293)</f>
        <v/>
      </c>
      <c r="AN275" s="25" t="str">
        <f>IF('1. Live'!AR293='check-Jul''26'!AN293,"",'1. Live'!AR293-'check-Jul''26'!AN293)</f>
        <v/>
      </c>
      <c r="AO275" s="25" t="str">
        <f>IF('1. Live'!AS293='check-Jul''26'!AO293,"",'1. Live'!AS293-'check-Jul''26'!AO293)</f>
        <v/>
      </c>
      <c r="AP275" s="25" t="str">
        <f>IF('1. Live'!AT293='check-Jul''26'!AP293,"",'1. Live'!AT293-'check-Jul''26'!AP293)</f>
        <v/>
      </c>
      <c r="AQ275" s="25" t="str">
        <f>IF('1. Live'!AU293='check-Jul''26'!AQ293,"",'1. Live'!AU293-'check-Jul''26'!AQ293)</f>
        <v/>
      </c>
      <c r="AR275" s="25" t="str">
        <f>IF('1. Live'!AV293='check-Jul''26'!AR293,"",'1. Live'!AV293-'check-Jul''26'!AR293)</f>
        <v/>
      </c>
      <c r="AS275" s="25" t="str">
        <f>IF('1. Live'!AW293='check-Jul''26'!AS293,"",'1. Live'!AW293-'check-Jul''26'!AS293)</f>
        <v/>
      </c>
      <c r="AT275" s="25" t="str">
        <f>IF('1. Live'!AX293='check-Jul''26'!AT293,"",'1. Live'!AX293-'check-Jul''26'!AT293)</f>
        <v/>
      </c>
      <c r="AU275" s="25" t="str">
        <f>IF('1. Live'!AY293='check-Jul''26'!AU293,"",'1. Live'!AY293-'check-Jul''26'!AU293)</f>
        <v/>
      </c>
      <c r="AV275" s="25" t="str">
        <f>IF('1. Live'!AZ293='check-Jul''26'!AV293,"",'1. Live'!AZ293-'check-Jul''26'!AV293)</f>
        <v/>
      </c>
      <c r="AW275" s="25" t="str">
        <f>IF('1. Live'!BA293='check-Jul''26'!AW293,"",'1. Live'!BA293-'check-Jul''26'!AW293)</f>
        <v/>
      </c>
      <c r="AX275" s="25" t="str">
        <f>IF('1. Live'!BB293='check-Jul''26'!AX293,"",'1. Live'!BB293-'check-Jul''26'!AX293)</f>
        <v/>
      </c>
      <c r="AY275" s="25" t="str">
        <f>IF('1. Live'!BC293='check-Jul''26'!AY293,"",'1. Live'!BC293-'check-Jul''26'!AY293)</f>
        <v/>
      </c>
      <c r="AZ275" s="25" t="str">
        <f>IF('1. Live'!BD293='check-Jul''26'!AZ293,"",'1. Live'!BD293-'check-Jul''26'!AZ293)</f>
        <v/>
      </c>
      <c r="BA275" s="25" t="str">
        <f>IF('1. Live'!BE293='check-Jul''26'!BA293,"",'1. Live'!BE293-'check-Jul''26'!BA293)</f>
        <v/>
      </c>
      <c r="BB275" s="25" t="str">
        <f>IF('1. Live'!BF293='check-Jul''26'!BB293,"",'1. Live'!BF293-'check-Jul''26'!BB293)</f>
        <v/>
      </c>
      <c r="BC275" s="25" t="str">
        <f>IF('1. Live'!BG293='check-Jul''26'!BC293,"",'1. Live'!BG293-'check-Jul''26'!BC293)</f>
        <v/>
      </c>
      <c r="BD275" s="25" t="str">
        <f>IF('1. Live'!BH293='check-Jul''26'!BD293,"",'1. Live'!BH293-'check-Jul''26'!BD293)</f>
        <v/>
      </c>
      <c r="BE275" s="25" t="str">
        <f>IF('1. Live'!BI293='check-Jul''26'!BE293,"",'1. Live'!BI293-'check-Jul''26'!BE293)</f>
        <v/>
      </c>
      <c r="BF275" s="25" t="str">
        <f>IF('1. Live'!BJ293='check-Jul''26'!BF293,"",'1. Live'!BJ293-'check-Jul''26'!BF293)</f>
        <v/>
      </c>
      <c r="BG275" s="25" t="str">
        <f>IF('1. Live'!BK293='check-Jul''26'!BG293,"",'1. Live'!BK293-'check-Jul''26'!BG293)</f>
        <v/>
      </c>
      <c r="BH275" s="25" t="str">
        <f>IF('1. Live'!BL293='check-Jul''26'!BH293,"",'1. Live'!BL293-'check-Jul''26'!BH293)</f>
        <v/>
      </c>
      <c r="BI275" s="25" t="str">
        <f>IF('1. Live'!BM293='check-Jul''26'!BI293,"",'1. Live'!BM293-'check-Jul''26'!BI293)</f>
        <v/>
      </c>
      <c r="BJ275" s="25" t="str">
        <f>IF('1. Live'!BN293='check-Jul''26'!BJ293,"",'1. Live'!BN293-'check-Jul''26'!BJ293)</f>
        <v/>
      </c>
      <c r="BK275" s="25" t="str">
        <f>IF('1. Live'!BO293='check-Jul''26'!BK293,"",'1. Live'!BO293-'check-Jul''26'!BK293)</f>
        <v/>
      </c>
      <c r="BL275" s="25" t="str">
        <f>IF('1. Live'!BP293='check-Jul''26'!BL293,"",'1. Live'!BP293-'check-Jul''26'!BL293)</f>
        <v/>
      </c>
      <c r="BM275" s="25" t="str">
        <f>IF('1. Live'!BQ293='check-Jul''26'!BM293,"",'1. Live'!BQ293-'check-Jul''26'!BM293)</f>
        <v/>
      </c>
      <c r="BN275" s="25" t="str">
        <f>IF('1. Live'!BR293='check-Jul''26'!BN293,"",'1. Live'!BR293-'check-Jul''26'!BN293)</f>
        <v/>
      </c>
      <c r="BO275" s="25" t="str">
        <f>IF('1. Live'!BS293='check-Jul''26'!BO293,"",'1. Live'!BS293-'check-Jul''26'!BO293)</f>
        <v/>
      </c>
      <c r="BP275" s="25" t="str">
        <f>IF('1. Live'!BT293='check-Jul''26'!BP293,"",'1. Live'!BT293-'check-Jul''26'!BP293)</f>
        <v/>
      </c>
      <c r="BQ275" s="25" t="str">
        <f>IF('1. Live'!BU293='check-Jul''26'!BQ293,"",'1. Live'!BU293-'check-Jul''26'!BQ293)</f>
        <v/>
      </c>
      <c r="BR275" s="25" t="str">
        <f>IF('1. Live'!BV293='check-Jul''26'!BR293,"",'1. Live'!BV293-'check-Jul''26'!BR293)</f>
        <v/>
      </c>
      <c r="BS275" s="25" t="str">
        <f>IF('1. Live'!BW293='check-Jul''26'!BS293,"",'1. Live'!BW293-'check-Jul''26'!BS293)</f>
        <v/>
      </c>
      <c r="BT275" s="25" t="str">
        <f>IF('1. Live'!BX293='check-Jul''26'!BT293,"",'1. Live'!BX293-'check-Jul''26'!BT293)</f>
        <v/>
      </c>
      <c r="BU275" s="25" t="str">
        <f>IF('1. Live'!BY293='check-Jul''26'!BU293,"",'1. Live'!BY293-'check-Jul''26'!BU293)</f>
        <v/>
      </c>
      <c r="BV275" s="25" t="str">
        <f>IF('1. Live'!BZ293='check-Jul''26'!BV293,"",'1. Live'!BZ293-'check-Jul''26'!BV293)</f>
        <v/>
      </c>
      <c r="BW275" s="25" t="str">
        <f>IF('1. Live'!CA293='check-Jul''26'!BW293,"",'1. Live'!CA293-'check-Jul''26'!BW293)</f>
        <v/>
      </c>
      <c r="BX275" s="25" t="str">
        <f>IF('1. Live'!CB293='check-Jul''26'!BX293,"",'1. Live'!CB293-'check-Jul''26'!BX293)</f>
        <v/>
      </c>
      <c r="BY275" s="25" t="str">
        <f>IF('1. Live'!CC293='check-Jul''26'!BY293,"",'1. Live'!CC293-'check-Jul''26'!BY293)</f>
        <v/>
      </c>
      <c r="BZ275" s="25" t="str">
        <f>IF('1. Live'!CD293='check-Jul''26'!BZ293,"",'1. Live'!CD293-'check-Jul''26'!BZ293)</f>
        <v/>
      </c>
      <c r="CA275" s="25" t="str">
        <f>IF('1. Live'!CE293='check-Jul''26'!CA293,"",'1. Live'!CE293-'check-Jul''26'!CA293)</f>
        <v/>
      </c>
      <c r="CB275" s="25" t="str">
        <f>IF('1. Live'!CF293='check-Jul''26'!CB293,"",'1. Live'!CF293-'check-Jul''26'!CB293)</f>
        <v/>
      </c>
      <c r="CC275" s="25" t="str">
        <f>IF('1. Live'!CG293='check-Jul''26'!CC293,"",'1. Live'!CG293-'check-Jul''26'!CC293)</f>
        <v/>
      </c>
      <c r="CD275" s="25" t="str">
        <f>IF('1. Live'!CH293='check-Jul''26'!CD293,"",'1. Live'!CH293-'check-Jul''26'!CD293)</f>
        <v/>
      </c>
      <c r="CE275" s="25" t="str">
        <f>IF('1. Live'!CI293='check-Jul''26'!CE293,"",'1. Live'!CI293-'check-Jul''26'!CE293)</f>
        <v/>
      </c>
      <c r="CF275" s="25" t="str">
        <f>IF('1. Live'!CJ293='check-Jul''26'!CF293,"",'1. Live'!CJ293-'check-Jul''26'!CF293)</f>
        <v/>
      </c>
      <c r="CG275" s="25" t="str">
        <f>IF('1. Live'!CK293='check-Jul''26'!CG293,"",'1. Live'!CK293-'check-Jul''26'!CG293)</f>
        <v/>
      </c>
      <c r="CH275" s="25" t="str">
        <f>IF('1. Live'!CL293='check-Jul''26'!CH293,"",'1. Live'!CL293-'check-Jul''26'!CH293)</f>
        <v/>
      </c>
      <c r="CI275" s="25" t="str">
        <f>IF('1. Live'!CM293='check-Jul''26'!CI293,"",'1. Live'!CM293-'check-Jul''26'!CI293)</f>
        <v/>
      </c>
      <c r="CJ275" s="25" t="str">
        <f>IF('1. Live'!CN293='check-Jul''26'!CJ293,"",'1. Live'!CN293-'check-Jul''26'!CJ293)</f>
        <v/>
      </c>
      <c r="CK275" s="25" t="str">
        <f>IF('1. Live'!CO293='check-Jul''26'!CK293,"",'1. Live'!CO293-'check-Jul''26'!CK293)</f>
        <v/>
      </c>
      <c r="CL275" s="25" t="str">
        <f>IF('1. Live'!CP293='check-Jul''26'!CL293,"",'1. Live'!CP293-'check-Jul''26'!CL293)</f>
        <v/>
      </c>
      <c r="CM275" s="25" t="str">
        <f>IF('1. Live'!CQ293='check-Jul''26'!CM293,"",'1. Live'!CQ293-'check-Jul''26'!CM293)</f>
        <v/>
      </c>
      <c r="CN275" s="25" t="str">
        <f>IF('1. Live'!CR293='check-Jul''26'!CN293,"",'1. Live'!CR293-'check-Jul''26'!CN293)</f>
        <v/>
      </c>
      <c r="CO275" s="25" t="str">
        <f>IF('1. Live'!CS293='check-Jul''26'!CO293,"",'1. Live'!CS293-'check-Jul''26'!CO293)</f>
        <v/>
      </c>
      <c r="CP275" s="25" t="str">
        <f>IF('1. Live'!CT293='check-Jul''26'!CP293,"",'1. Live'!CT293-'check-Jul''26'!CP293)</f>
        <v/>
      </c>
      <c r="CQ275" s="25" t="str">
        <f>IF('1. Live'!CU293='check-Jul''26'!CQ293,"",'1. Live'!CU293-'check-Jul''26'!CQ293)</f>
        <v/>
      </c>
      <c r="CR275" s="25" t="str">
        <f>IF('1. Live'!CV293='check-Jul''26'!CR293,"",'1. Live'!CV293-'check-Jul''26'!CR293)</f>
        <v/>
      </c>
      <c r="CS275" s="25" t="str">
        <f>IF('1. Live'!CW293='check-Jul''26'!CS293,"",'1. Live'!CW293-'check-Jul''26'!CS293)</f>
        <v/>
      </c>
      <c r="CT275" s="25" t="str">
        <f>IF('1. Live'!CX293='check-Jul''26'!CT293,"",'1. Live'!CX293-'check-Jul''26'!CT293)</f>
        <v/>
      </c>
      <c r="CU275" s="25" t="str">
        <f>IF('1. Live'!CY293='check-Jul''26'!CU293,"",'1. Live'!CY293-'check-Jul''26'!CU293)</f>
        <v/>
      </c>
      <c r="CV275" s="25" t="str">
        <f>IF('1. Live'!CZ293='check-Jul''26'!CV293,"",'1. Live'!CZ293-'check-Jul''26'!CV293)</f>
        <v/>
      </c>
    </row>
    <row r="276" spans="17:100" x14ac:dyDescent="0.25">
      <c r="Q276" s="26" t="str">
        <f>IF('1. Live'!N294='check-Jul''26'!I294,"",'1. Live'!N294-'check-Jul''26'!I294)</f>
        <v/>
      </c>
      <c r="R276" s="26" t="str">
        <f>IF('1. Live'!O294='check-Jul''26'!J294,"",'1. Live'!O294-'check-Jul''26'!J294)</f>
        <v/>
      </c>
      <c r="S276" s="26" t="str">
        <f>IF('1. Live'!P294='check-Jul''26'!K294,"",'1. Live'!P294-'check-Jul''26'!K294)</f>
        <v/>
      </c>
      <c r="T276" s="26" t="str">
        <f>IF('1. Live'!Q294='check-Jul''26'!L294,"",'1. Live'!Q294-'check-Jul''26'!L294)</f>
        <v/>
      </c>
      <c r="U276" s="80" t="str">
        <f>IF('1. Live'!R294='check-Jul''26'!M294,"",'1. Live'!R294-'check-Jul''26'!M294)</f>
        <v/>
      </c>
      <c r="V276" s="26" t="str">
        <f>IF('1. Live'!S294='check-Jul''26'!N294,"",'1. Live'!S294-'check-Jul''26'!N294)</f>
        <v/>
      </c>
      <c r="W276" s="25" t="str">
        <f>IF('1. Live'!T294='check-Jul''26'!O294,"",'1. Live'!T294-'check-Jul''26'!O294)</f>
        <v/>
      </c>
      <c r="X276" s="25" t="str">
        <f>IF('1. Live'!U294='check-Jul''26'!Q294,"",'1. Live'!U294-'check-Jul''26'!Q294)</f>
        <v/>
      </c>
      <c r="Y276" s="25" t="str">
        <f>IF('1. Live'!V294='check-Jul''26'!R294,"",'1. Live'!V294-'check-Jul''26'!R294)</f>
        <v/>
      </c>
      <c r="Z276" s="25" t="str">
        <f>IF('1. Live'!W294='check-Jul''26'!S294,"",'1. Live'!W294-'check-Jul''26'!S294)</f>
        <v/>
      </c>
      <c r="AA276" s="25" t="str">
        <f>IF('1. Live'!X294='check-Jul''26'!T294,"",'1. Live'!X294-'check-Jul''26'!T294)</f>
        <v/>
      </c>
      <c r="AB276" s="25" t="str">
        <f>IF('1. Live'!AF294='check-Jul''26'!AB294,"",'1. Live'!AF294-'check-Jul''26'!AB294)</f>
        <v/>
      </c>
      <c r="AC276" s="25" t="str">
        <f>IF('1. Live'!AG294='check-Jul''26'!AC294,"",'1. Live'!AG294-'check-Jul''26'!AC294)</f>
        <v/>
      </c>
      <c r="AD276" s="25" t="str">
        <f>IF('1. Live'!AH294='check-Jul''26'!AD294,"",'1. Live'!AH294-'check-Jul''26'!AD294)</f>
        <v/>
      </c>
      <c r="AE276" s="25" t="str">
        <f>IF('1. Live'!AI294='check-Jul''26'!AE294,"",'1. Live'!AI294-'check-Jul''26'!AE294)</f>
        <v/>
      </c>
      <c r="AF276" s="25" t="str">
        <f>IF('1. Live'!AJ294='check-Jul''26'!AF294,"",'1. Live'!AJ294-'check-Jul''26'!AF294)</f>
        <v/>
      </c>
      <c r="AG276" s="25" t="str">
        <f>IF('1. Live'!AK294='check-Jul''26'!AG294,"",'1. Live'!AK294-'check-Jul''26'!AG294)</f>
        <v/>
      </c>
      <c r="AH276" s="25" t="str">
        <f>IF('1. Live'!AL294='check-Jul''26'!AH294,"",'1. Live'!AL294-'check-Jul''26'!AH294)</f>
        <v/>
      </c>
      <c r="AI276" s="25" t="str">
        <f>IF('1. Live'!AM294='check-Jul''26'!AI294,"",'1. Live'!AM294-'check-Jul''26'!AI294)</f>
        <v/>
      </c>
      <c r="AJ276" s="25" t="str">
        <f>IF('1. Live'!AN294='check-Jul''26'!AJ294,"",'1. Live'!AN294-'check-Jul''26'!AJ294)</f>
        <v/>
      </c>
      <c r="AK276" s="25" t="str">
        <f>IF('1. Live'!AO294='check-Jul''26'!AK294,"",'1. Live'!AO294-'check-Jul''26'!AK294)</f>
        <v/>
      </c>
      <c r="AL276" s="25" t="str">
        <f>IF('1. Live'!AP294='check-Jul''26'!AL294,"",'1. Live'!AP294-'check-Jul''26'!AL294)</f>
        <v/>
      </c>
      <c r="AM276" s="25" t="str">
        <f>IF('1. Live'!AQ294='check-Jul''26'!AM294,"",'1. Live'!AQ294-'check-Jul''26'!AM294)</f>
        <v/>
      </c>
      <c r="AN276" s="25" t="str">
        <f>IF('1. Live'!AR294='check-Jul''26'!AN294,"",'1. Live'!AR294-'check-Jul''26'!AN294)</f>
        <v/>
      </c>
      <c r="AO276" s="25" t="str">
        <f>IF('1. Live'!AS294='check-Jul''26'!AO294,"",'1. Live'!AS294-'check-Jul''26'!AO294)</f>
        <v/>
      </c>
      <c r="AP276" s="25" t="str">
        <f>IF('1. Live'!AT294='check-Jul''26'!AP294,"",'1. Live'!AT294-'check-Jul''26'!AP294)</f>
        <v/>
      </c>
      <c r="AQ276" s="25" t="str">
        <f>IF('1. Live'!AU294='check-Jul''26'!AQ294,"",'1. Live'!AU294-'check-Jul''26'!AQ294)</f>
        <v/>
      </c>
      <c r="AR276" s="25" t="str">
        <f>IF('1. Live'!AV294='check-Jul''26'!AR294,"",'1. Live'!AV294-'check-Jul''26'!AR294)</f>
        <v/>
      </c>
      <c r="AS276" s="25" t="str">
        <f>IF('1. Live'!AW294='check-Jul''26'!AS294,"",'1. Live'!AW294-'check-Jul''26'!AS294)</f>
        <v/>
      </c>
      <c r="AT276" s="25" t="str">
        <f>IF('1. Live'!AX294='check-Jul''26'!AT294,"",'1. Live'!AX294-'check-Jul''26'!AT294)</f>
        <v/>
      </c>
      <c r="AU276" s="25" t="str">
        <f>IF('1. Live'!AY294='check-Jul''26'!AU294,"",'1. Live'!AY294-'check-Jul''26'!AU294)</f>
        <v/>
      </c>
      <c r="AV276" s="25" t="str">
        <f>IF('1. Live'!AZ294='check-Jul''26'!AV294,"",'1. Live'!AZ294-'check-Jul''26'!AV294)</f>
        <v/>
      </c>
      <c r="AW276" s="25" t="str">
        <f>IF('1. Live'!BA294='check-Jul''26'!AW294,"",'1. Live'!BA294-'check-Jul''26'!AW294)</f>
        <v/>
      </c>
      <c r="AX276" s="25" t="str">
        <f>IF('1. Live'!BB294='check-Jul''26'!AX294,"",'1. Live'!BB294-'check-Jul''26'!AX294)</f>
        <v/>
      </c>
      <c r="AY276" s="25" t="str">
        <f>IF('1. Live'!BC294='check-Jul''26'!AY294,"",'1. Live'!BC294-'check-Jul''26'!AY294)</f>
        <v/>
      </c>
      <c r="AZ276" s="25" t="str">
        <f>IF('1. Live'!BD294='check-Jul''26'!AZ294,"",'1. Live'!BD294-'check-Jul''26'!AZ294)</f>
        <v/>
      </c>
      <c r="BA276" s="25" t="str">
        <f>IF('1. Live'!BE294='check-Jul''26'!BA294,"",'1. Live'!BE294-'check-Jul''26'!BA294)</f>
        <v/>
      </c>
      <c r="BB276" s="25" t="str">
        <f>IF('1. Live'!BF294='check-Jul''26'!BB294,"",'1. Live'!BF294-'check-Jul''26'!BB294)</f>
        <v/>
      </c>
      <c r="BC276" s="25" t="str">
        <f>IF('1. Live'!BG294='check-Jul''26'!BC294,"",'1. Live'!BG294-'check-Jul''26'!BC294)</f>
        <v/>
      </c>
      <c r="BD276" s="25" t="str">
        <f>IF('1. Live'!BH294='check-Jul''26'!BD294,"",'1. Live'!BH294-'check-Jul''26'!BD294)</f>
        <v/>
      </c>
      <c r="BE276" s="25" t="str">
        <f>IF('1. Live'!BI294='check-Jul''26'!BE294,"",'1. Live'!BI294-'check-Jul''26'!BE294)</f>
        <v/>
      </c>
      <c r="BF276" s="25" t="str">
        <f>IF('1. Live'!BJ294='check-Jul''26'!BF294,"",'1. Live'!BJ294-'check-Jul''26'!BF294)</f>
        <v/>
      </c>
      <c r="BG276" s="25" t="str">
        <f>IF('1. Live'!BK294='check-Jul''26'!BG294,"",'1. Live'!BK294-'check-Jul''26'!BG294)</f>
        <v/>
      </c>
      <c r="BH276" s="25" t="str">
        <f>IF('1. Live'!BL294='check-Jul''26'!BH294,"",'1. Live'!BL294-'check-Jul''26'!BH294)</f>
        <v/>
      </c>
      <c r="BI276" s="25" t="str">
        <f>IF('1. Live'!BM294='check-Jul''26'!BI294,"",'1. Live'!BM294-'check-Jul''26'!BI294)</f>
        <v/>
      </c>
      <c r="BJ276" s="25" t="str">
        <f>IF('1. Live'!BN294='check-Jul''26'!BJ294,"",'1. Live'!BN294-'check-Jul''26'!BJ294)</f>
        <v/>
      </c>
      <c r="BK276" s="25" t="str">
        <f>IF('1. Live'!BO294='check-Jul''26'!BK294,"",'1. Live'!BO294-'check-Jul''26'!BK294)</f>
        <v/>
      </c>
      <c r="BL276" s="25" t="str">
        <f>IF('1. Live'!BP294='check-Jul''26'!BL294,"",'1. Live'!BP294-'check-Jul''26'!BL294)</f>
        <v/>
      </c>
      <c r="BM276" s="25" t="str">
        <f>IF('1. Live'!BQ294='check-Jul''26'!BM294,"",'1. Live'!BQ294-'check-Jul''26'!BM294)</f>
        <v/>
      </c>
      <c r="BN276" s="25" t="str">
        <f>IF('1. Live'!BR294='check-Jul''26'!BN294,"",'1. Live'!BR294-'check-Jul''26'!BN294)</f>
        <v/>
      </c>
      <c r="BO276" s="25" t="str">
        <f>IF('1. Live'!BS294='check-Jul''26'!BO294,"",'1. Live'!BS294-'check-Jul''26'!BO294)</f>
        <v/>
      </c>
      <c r="BP276" s="25" t="str">
        <f>IF('1. Live'!BT294='check-Jul''26'!BP294,"",'1. Live'!BT294-'check-Jul''26'!BP294)</f>
        <v/>
      </c>
      <c r="BQ276" s="25" t="str">
        <f>IF('1. Live'!BU294='check-Jul''26'!BQ294,"",'1. Live'!BU294-'check-Jul''26'!BQ294)</f>
        <v/>
      </c>
      <c r="BR276" s="25" t="str">
        <f>IF('1. Live'!BV294='check-Jul''26'!BR294,"",'1. Live'!BV294-'check-Jul''26'!BR294)</f>
        <v/>
      </c>
      <c r="BS276" s="25" t="str">
        <f>IF('1. Live'!BW294='check-Jul''26'!BS294,"",'1. Live'!BW294-'check-Jul''26'!BS294)</f>
        <v/>
      </c>
      <c r="BT276" s="25" t="str">
        <f>IF('1. Live'!BX294='check-Jul''26'!BT294,"",'1. Live'!BX294-'check-Jul''26'!BT294)</f>
        <v/>
      </c>
      <c r="BU276" s="25" t="str">
        <f>IF('1. Live'!BY294='check-Jul''26'!BU294,"",'1. Live'!BY294-'check-Jul''26'!BU294)</f>
        <v/>
      </c>
      <c r="BV276" s="25" t="str">
        <f>IF('1. Live'!BZ294='check-Jul''26'!BV294,"",'1. Live'!BZ294-'check-Jul''26'!BV294)</f>
        <v/>
      </c>
      <c r="BW276" s="25" t="str">
        <f>IF('1. Live'!CA294='check-Jul''26'!BW294,"",'1. Live'!CA294-'check-Jul''26'!BW294)</f>
        <v/>
      </c>
      <c r="BX276" s="25" t="str">
        <f>IF('1. Live'!CB294='check-Jul''26'!BX294,"",'1. Live'!CB294-'check-Jul''26'!BX294)</f>
        <v/>
      </c>
      <c r="BY276" s="25" t="str">
        <f>IF('1. Live'!CC294='check-Jul''26'!BY294,"",'1. Live'!CC294-'check-Jul''26'!BY294)</f>
        <v/>
      </c>
      <c r="BZ276" s="25" t="str">
        <f>IF('1. Live'!CD294='check-Jul''26'!BZ294,"",'1. Live'!CD294-'check-Jul''26'!BZ294)</f>
        <v/>
      </c>
      <c r="CA276" s="25" t="str">
        <f>IF('1. Live'!CE294='check-Jul''26'!CA294,"",'1. Live'!CE294-'check-Jul''26'!CA294)</f>
        <v/>
      </c>
      <c r="CB276" s="25" t="str">
        <f>IF('1. Live'!CF294='check-Jul''26'!CB294,"",'1. Live'!CF294-'check-Jul''26'!CB294)</f>
        <v/>
      </c>
      <c r="CC276" s="25" t="str">
        <f>IF('1. Live'!CG294='check-Jul''26'!CC294,"",'1. Live'!CG294-'check-Jul''26'!CC294)</f>
        <v/>
      </c>
      <c r="CD276" s="25" t="str">
        <f>IF('1. Live'!CH294='check-Jul''26'!CD294,"",'1. Live'!CH294-'check-Jul''26'!CD294)</f>
        <v/>
      </c>
      <c r="CE276" s="25" t="str">
        <f>IF('1. Live'!CI294='check-Jul''26'!CE294,"",'1. Live'!CI294-'check-Jul''26'!CE294)</f>
        <v/>
      </c>
      <c r="CF276" s="25" t="str">
        <f>IF('1. Live'!CJ294='check-Jul''26'!CF294,"",'1. Live'!CJ294-'check-Jul''26'!CF294)</f>
        <v/>
      </c>
      <c r="CG276" s="25" t="str">
        <f>IF('1. Live'!CK294='check-Jul''26'!CG294,"",'1. Live'!CK294-'check-Jul''26'!CG294)</f>
        <v/>
      </c>
      <c r="CH276" s="25" t="str">
        <f>IF('1. Live'!CL294='check-Jul''26'!CH294,"",'1. Live'!CL294-'check-Jul''26'!CH294)</f>
        <v/>
      </c>
      <c r="CI276" s="25" t="str">
        <f>IF('1. Live'!CM294='check-Jul''26'!CI294,"",'1. Live'!CM294-'check-Jul''26'!CI294)</f>
        <v/>
      </c>
      <c r="CJ276" s="25" t="str">
        <f>IF('1. Live'!CN294='check-Jul''26'!CJ294,"",'1. Live'!CN294-'check-Jul''26'!CJ294)</f>
        <v/>
      </c>
      <c r="CK276" s="25" t="str">
        <f>IF('1. Live'!CO294='check-Jul''26'!CK294,"",'1. Live'!CO294-'check-Jul''26'!CK294)</f>
        <v/>
      </c>
      <c r="CL276" s="25" t="str">
        <f>IF('1. Live'!CP294='check-Jul''26'!CL294,"",'1. Live'!CP294-'check-Jul''26'!CL294)</f>
        <v/>
      </c>
      <c r="CM276" s="25" t="str">
        <f>IF('1. Live'!CQ294='check-Jul''26'!CM294,"",'1. Live'!CQ294-'check-Jul''26'!CM294)</f>
        <v/>
      </c>
      <c r="CN276" s="25" t="str">
        <f>IF('1. Live'!CR294='check-Jul''26'!CN294,"",'1. Live'!CR294-'check-Jul''26'!CN294)</f>
        <v/>
      </c>
      <c r="CO276" s="25" t="str">
        <f>IF('1. Live'!CS294='check-Jul''26'!CO294,"",'1. Live'!CS294-'check-Jul''26'!CO294)</f>
        <v/>
      </c>
      <c r="CP276" s="25" t="str">
        <f>IF('1. Live'!CT294='check-Jul''26'!CP294,"",'1. Live'!CT294-'check-Jul''26'!CP294)</f>
        <v/>
      </c>
      <c r="CQ276" s="25" t="str">
        <f>IF('1. Live'!CU294='check-Jul''26'!CQ294,"",'1. Live'!CU294-'check-Jul''26'!CQ294)</f>
        <v/>
      </c>
      <c r="CR276" s="25" t="str">
        <f>IF('1. Live'!CV294='check-Jul''26'!CR294,"",'1. Live'!CV294-'check-Jul''26'!CR294)</f>
        <v/>
      </c>
      <c r="CS276" s="25" t="str">
        <f>IF('1. Live'!CW294='check-Jul''26'!CS294,"",'1. Live'!CW294-'check-Jul''26'!CS294)</f>
        <v/>
      </c>
      <c r="CT276" s="25" t="str">
        <f>IF('1. Live'!CX294='check-Jul''26'!CT294,"",'1. Live'!CX294-'check-Jul''26'!CT294)</f>
        <v/>
      </c>
      <c r="CU276" s="25" t="str">
        <f>IF('1. Live'!CY294='check-Jul''26'!CU294,"",'1. Live'!CY294-'check-Jul''26'!CU294)</f>
        <v/>
      </c>
      <c r="CV276" s="25" t="str">
        <f>IF('1. Live'!CZ294='check-Jul''26'!CV294,"",'1. Live'!CZ294-'check-Jul''26'!CV294)</f>
        <v/>
      </c>
    </row>
    <row r="277" spans="17:100" x14ac:dyDescent="0.25">
      <c r="Q277" s="26" t="str">
        <f>IF('1. Live'!N295='check-Jul''26'!I295,"",'1. Live'!N295-'check-Jul''26'!I295)</f>
        <v/>
      </c>
      <c r="R277" s="26" t="str">
        <f>IF('1. Live'!O295='check-Jul''26'!J295,"",'1. Live'!O295-'check-Jul''26'!J295)</f>
        <v/>
      </c>
      <c r="S277" s="26" t="str">
        <f>IF('1. Live'!P295='check-Jul''26'!K295,"",'1. Live'!P295-'check-Jul''26'!K295)</f>
        <v/>
      </c>
      <c r="T277" s="26" t="str">
        <f>IF('1. Live'!Q295='check-Jul''26'!L295,"",'1. Live'!Q295-'check-Jul''26'!L295)</f>
        <v/>
      </c>
      <c r="U277" s="80" t="str">
        <f>IF('1. Live'!R295='check-Jul''26'!M295,"",'1. Live'!R295-'check-Jul''26'!M295)</f>
        <v/>
      </c>
      <c r="V277" s="26" t="str">
        <f>IF('1. Live'!S295='check-Jul''26'!N295,"",'1. Live'!S295-'check-Jul''26'!N295)</f>
        <v/>
      </c>
      <c r="W277" s="25" t="str">
        <f>IF('1. Live'!T295='check-Jul''26'!O295,"",'1. Live'!T295-'check-Jul''26'!O295)</f>
        <v/>
      </c>
      <c r="X277" s="25" t="str">
        <f>IF('1. Live'!U295='check-Jul''26'!Q295,"",'1. Live'!U295-'check-Jul''26'!Q295)</f>
        <v/>
      </c>
      <c r="Y277" s="25" t="str">
        <f>IF('1. Live'!V295='check-Jul''26'!R295,"",'1. Live'!V295-'check-Jul''26'!R295)</f>
        <v/>
      </c>
      <c r="Z277" s="25" t="str">
        <f>IF('1. Live'!W295='check-Jul''26'!S295,"",'1. Live'!W295-'check-Jul''26'!S295)</f>
        <v/>
      </c>
      <c r="AA277" s="25" t="str">
        <f>IF('1. Live'!X295='check-Jul''26'!T295,"",'1. Live'!X295-'check-Jul''26'!T295)</f>
        <v/>
      </c>
      <c r="AB277" s="25" t="str">
        <f>IF('1. Live'!AF295='check-Jul''26'!AB295,"",'1. Live'!AF295-'check-Jul''26'!AB295)</f>
        <v/>
      </c>
      <c r="AC277" s="25" t="str">
        <f>IF('1. Live'!AG295='check-Jul''26'!AC295,"",'1. Live'!AG295-'check-Jul''26'!AC295)</f>
        <v/>
      </c>
      <c r="AD277" s="25" t="str">
        <f>IF('1. Live'!AH295='check-Jul''26'!AD295,"",'1. Live'!AH295-'check-Jul''26'!AD295)</f>
        <v/>
      </c>
      <c r="AE277" s="25" t="str">
        <f>IF('1. Live'!AI295='check-Jul''26'!AE295,"",'1. Live'!AI295-'check-Jul''26'!AE295)</f>
        <v/>
      </c>
      <c r="AF277" s="25" t="str">
        <f>IF('1. Live'!AJ295='check-Jul''26'!AF295,"",'1. Live'!AJ295-'check-Jul''26'!AF295)</f>
        <v/>
      </c>
      <c r="AG277" s="25" t="str">
        <f>IF('1. Live'!AK295='check-Jul''26'!AG295,"",'1. Live'!AK295-'check-Jul''26'!AG295)</f>
        <v/>
      </c>
      <c r="AH277" s="25" t="str">
        <f>IF('1. Live'!AL295='check-Jul''26'!AH295,"",'1. Live'!AL295-'check-Jul''26'!AH295)</f>
        <v/>
      </c>
      <c r="AI277" s="25" t="str">
        <f>IF('1. Live'!AM295='check-Jul''26'!AI295,"",'1. Live'!AM295-'check-Jul''26'!AI295)</f>
        <v/>
      </c>
      <c r="AJ277" s="25" t="str">
        <f>IF('1. Live'!AN295='check-Jul''26'!AJ295,"",'1. Live'!AN295-'check-Jul''26'!AJ295)</f>
        <v/>
      </c>
      <c r="AK277" s="25" t="str">
        <f>IF('1. Live'!AO295='check-Jul''26'!AK295,"",'1. Live'!AO295-'check-Jul''26'!AK295)</f>
        <v/>
      </c>
      <c r="AL277" s="25" t="str">
        <f>IF('1. Live'!AP295='check-Jul''26'!AL295,"",'1. Live'!AP295-'check-Jul''26'!AL295)</f>
        <v/>
      </c>
      <c r="AM277" s="25" t="str">
        <f>IF('1. Live'!AQ295='check-Jul''26'!AM295,"",'1. Live'!AQ295-'check-Jul''26'!AM295)</f>
        <v/>
      </c>
      <c r="AN277" s="25" t="str">
        <f>IF('1. Live'!AR295='check-Jul''26'!AN295,"",'1. Live'!AR295-'check-Jul''26'!AN295)</f>
        <v/>
      </c>
      <c r="AO277" s="25" t="str">
        <f>IF('1. Live'!AS295='check-Jul''26'!AO295,"",'1. Live'!AS295-'check-Jul''26'!AO295)</f>
        <v/>
      </c>
      <c r="AP277" s="25" t="str">
        <f>IF('1. Live'!AT295='check-Jul''26'!AP295,"",'1. Live'!AT295-'check-Jul''26'!AP295)</f>
        <v/>
      </c>
      <c r="AQ277" s="25" t="str">
        <f>IF('1. Live'!AU295='check-Jul''26'!AQ295,"",'1. Live'!AU295-'check-Jul''26'!AQ295)</f>
        <v/>
      </c>
      <c r="AR277" s="25" t="str">
        <f>IF('1. Live'!AV295='check-Jul''26'!AR295,"",'1. Live'!AV295-'check-Jul''26'!AR295)</f>
        <v/>
      </c>
      <c r="AS277" s="25" t="str">
        <f>IF('1. Live'!AW295='check-Jul''26'!AS295,"",'1. Live'!AW295-'check-Jul''26'!AS295)</f>
        <v/>
      </c>
      <c r="AT277" s="25" t="str">
        <f>IF('1. Live'!AX295='check-Jul''26'!AT295,"",'1. Live'!AX295-'check-Jul''26'!AT295)</f>
        <v/>
      </c>
      <c r="AU277" s="25" t="str">
        <f>IF('1. Live'!AY295='check-Jul''26'!AU295,"",'1. Live'!AY295-'check-Jul''26'!AU295)</f>
        <v/>
      </c>
      <c r="AV277" s="25" t="str">
        <f>IF('1. Live'!AZ295='check-Jul''26'!AV295,"",'1. Live'!AZ295-'check-Jul''26'!AV295)</f>
        <v/>
      </c>
      <c r="AW277" s="25" t="str">
        <f>IF('1. Live'!BA295='check-Jul''26'!AW295,"",'1. Live'!BA295-'check-Jul''26'!AW295)</f>
        <v/>
      </c>
      <c r="AX277" s="25" t="str">
        <f>IF('1. Live'!BB295='check-Jul''26'!AX295,"",'1. Live'!BB295-'check-Jul''26'!AX295)</f>
        <v/>
      </c>
      <c r="AY277" s="25" t="str">
        <f>IF('1. Live'!BC295='check-Jul''26'!AY295,"",'1. Live'!BC295-'check-Jul''26'!AY295)</f>
        <v/>
      </c>
      <c r="AZ277" s="25" t="str">
        <f>IF('1. Live'!BD295='check-Jul''26'!AZ295,"",'1. Live'!BD295-'check-Jul''26'!AZ295)</f>
        <v/>
      </c>
      <c r="BA277" s="25" t="str">
        <f>IF('1. Live'!BE295='check-Jul''26'!BA295,"",'1. Live'!BE295-'check-Jul''26'!BA295)</f>
        <v/>
      </c>
      <c r="BB277" s="25" t="str">
        <f>IF('1. Live'!BF295='check-Jul''26'!BB295,"",'1. Live'!BF295-'check-Jul''26'!BB295)</f>
        <v/>
      </c>
      <c r="BC277" s="25" t="str">
        <f>IF('1. Live'!BG295='check-Jul''26'!BC295,"",'1. Live'!BG295-'check-Jul''26'!BC295)</f>
        <v/>
      </c>
      <c r="BD277" s="25" t="str">
        <f>IF('1. Live'!BH295='check-Jul''26'!BD295,"",'1. Live'!BH295-'check-Jul''26'!BD295)</f>
        <v/>
      </c>
      <c r="BE277" s="25" t="str">
        <f>IF('1. Live'!BI295='check-Jul''26'!BE295,"",'1. Live'!BI295-'check-Jul''26'!BE295)</f>
        <v/>
      </c>
      <c r="BF277" s="25" t="str">
        <f>IF('1. Live'!BJ295='check-Jul''26'!BF295,"",'1. Live'!BJ295-'check-Jul''26'!BF295)</f>
        <v/>
      </c>
      <c r="BG277" s="25" t="str">
        <f>IF('1. Live'!BK295='check-Jul''26'!BG295,"",'1. Live'!BK295-'check-Jul''26'!BG295)</f>
        <v/>
      </c>
      <c r="BH277" s="25" t="str">
        <f>IF('1. Live'!BL295='check-Jul''26'!BH295,"",'1. Live'!BL295-'check-Jul''26'!BH295)</f>
        <v/>
      </c>
      <c r="BI277" s="25" t="str">
        <f>IF('1. Live'!BM295='check-Jul''26'!BI295,"",'1. Live'!BM295-'check-Jul''26'!BI295)</f>
        <v/>
      </c>
      <c r="BJ277" s="25" t="str">
        <f>IF('1. Live'!BN295='check-Jul''26'!BJ295,"",'1. Live'!BN295-'check-Jul''26'!BJ295)</f>
        <v/>
      </c>
      <c r="BK277" s="25" t="str">
        <f>IF('1. Live'!BO295='check-Jul''26'!BK295,"",'1. Live'!BO295-'check-Jul''26'!BK295)</f>
        <v/>
      </c>
      <c r="BL277" s="25" t="str">
        <f>IF('1. Live'!BP295='check-Jul''26'!BL295,"",'1. Live'!BP295-'check-Jul''26'!BL295)</f>
        <v/>
      </c>
      <c r="BM277" s="25" t="str">
        <f>IF('1. Live'!BQ295='check-Jul''26'!BM295,"",'1. Live'!BQ295-'check-Jul''26'!BM295)</f>
        <v/>
      </c>
      <c r="BN277" s="25" t="str">
        <f>IF('1. Live'!BR295='check-Jul''26'!BN295,"",'1. Live'!BR295-'check-Jul''26'!BN295)</f>
        <v/>
      </c>
      <c r="BO277" s="25" t="str">
        <f>IF('1. Live'!BS295='check-Jul''26'!BO295,"",'1. Live'!BS295-'check-Jul''26'!BO295)</f>
        <v/>
      </c>
      <c r="BP277" s="25" t="str">
        <f>IF('1. Live'!BT295='check-Jul''26'!BP295,"",'1. Live'!BT295-'check-Jul''26'!BP295)</f>
        <v/>
      </c>
      <c r="BQ277" s="25" t="str">
        <f>IF('1. Live'!BU295='check-Jul''26'!BQ295,"",'1. Live'!BU295-'check-Jul''26'!BQ295)</f>
        <v/>
      </c>
      <c r="BR277" s="25" t="str">
        <f>IF('1. Live'!BV295='check-Jul''26'!BR295,"",'1. Live'!BV295-'check-Jul''26'!BR295)</f>
        <v/>
      </c>
      <c r="BS277" s="25" t="str">
        <f>IF('1. Live'!BW295='check-Jul''26'!BS295,"",'1. Live'!BW295-'check-Jul''26'!BS295)</f>
        <v/>
      </c>
      <c r="BT277" s="25" t="str">
        <f>IF('1. Live'!BX295='check-Jul''26'!BT295,"",'1. Live'!BX295-'check-Jul''26'!BT295)</f>
        <v/>
      </c>
      <c r="BU277" s="25" t="str">
        <f>IF('1. Live'!BY295='check-Jul''26'!BU295,"",'1. Live'!BY295-'check-Jul''26'!BU295)</f>
        <v/>
      </c>
      <c r="BV277" s="25" t="str">
        <f>IF('1. Live'!BZ295='check-Jul''26'!BV295,"",'1. Live'!BZ295-'check-Jul''26'!BV295)</f>
        <v/>
      </c>
      <c r="BW277" s="25" t="str">
        <f>IF('1. Live'!CA295='check-Jul''26'!BW295,"",'1. Live'!CA295-'check-Jul''26'!BW295)</f>
        <v/>
      </c>
      <c r="BX277" s="25" t="str">
        <f>IF('1. Live'!CB295='check-Jul''26'!BX295,"",'1. Live'!CB295-'check-Jul''26'!BX295)</f>
        <v/>
      </c>
      <c r="BY277" s="25" t="str">
        <f>IF('1. Live'!CC295='check-Jul''26'!BY295,"",'1. Live'!CC295-'check-Jul''26'!BY295)</f>
        <v/>
      </c>
      <c r="BZ277" s="25" t="str">
        <f>IF('1. Live'!CD295='check-Jul''26'!BZ295,"",'1. Live'!CD295-'check-Jul''26'!BZ295)</f>
        <v/>
      </c>
      <c r="CA277" s="25" t="str">
        <f>IF('1. Live'!CE295='check-Jul''26'!CA295,"",'1. Live'!CE295-'check-Jul''26'!CA295)</f>
        <v/>
      </c>
      <c r="CB277" s="25" t="str">
        <f>IF('1. Live'!CF295='check-Jul''26'!CB295,"",'1. Live'!CF295-'check-Jul''26'!CB295)</f>
        <v/>
      </c>
      <c r="CC277" s="25" t="str">
        <f>IF('1. Live'!CG295='check-Jul''26'!CC295,"",'1. Live'!CG295-'check-Jul''26'!CC295)</f>
        <v/>
      </c>
      <c r="CD277" s="25" t="str">
        <f>IF('1. Live'!CH295='check-Jul''26'!CD295,"",'1. Live'!CH295-'check-Jul''26'!CD295)</f>
        <v/>
      </c>
      <c r="CE277" s="25" t="str">
        <f>IF('1. Live'!CI295='check-Jul''26'!CE295,"",'1. Live'!CI295-'check-Jul''26'!CE295)</f>
        <v/>
      </c>
      <c r="CF277" s="25" t="str">
        <f>IF('1. Live'!CJ295='check-Jul''26'!CF295,"",'1. Live'!CJ295-'check-Jul''26'!CF295)</f>
        <v/>
      </c>
      <c r="CG277" s="25" t="str">
        <f>IF('1. Live'!CK295='check-Jul''26'!CG295,"",'1. Live'!CK295-'check-Jul''26'!CG295)</f>
        <v/>
      </c>
      <c r="CH277" s="25" t="str">
        <f>IF('1. Live'!CL295='check-Jul''26'!CH295,"",'1. Live'!CL295-'check-Jul''26'!CH295)</f>
        <v/>
      </c>
      <c r="CI277" s="25" t="str">
        <f>IF('1. Live'!CM295='check-Jul''26'!CI295,"",'1. Live'!CM295-'check-Jul''26'!CI295)</f>
        <v/>
      </c>
      <c r="CJ277" s="25" t="str">
        <f>IF('1. Live'!CN295='check-Jul''26'!CJ295,"",'1. Live'!CN295-'check-Jul''26'!CJ295)</f>
        <v/>
      </c>
      <c r="CK277" s="25" t="str">
        <f>IF('1. Live'!CO295='check-Jul''26'!CK295,"",'1. Live'!CO295-'check-Jul''26'!CK295)</f>
        <v/>
      </c>
      <c r="CL277" s="25" t="str">
        <f>IF('1. Live'!CP295='check-Jul''26'!CL295,"",'1. Live'!CP295-'check-Jul''26'!CL295)</f>
        <v/>
      </c>
      <c r="CM277" s="25" t="str">
        <f>IF('1. Live'!CQ295='check-Jul''26'!CM295,"",'1. Live'!CQ295-'check-Jul''26'!CM295)</f>
        <v/>
      </c>
      <c r="CN277" s="25" t="str">
        <f>IF('1. Live'!CR295='check-Jul''26'!CN295,"",'1. Live'!CR295-'check-Jul''26'!CN295)</f>
        <v/>
      </c>
      <c r="CO277" s="25" t="str">
        <f>IF('1. Live'!CS295='check-Jul''26'!CO295,"",'1. Live'!CS295-'check-Jul''26'!CO295)</f>
        <v/>
      </c>
      <c r="CP277" s="25" t="str">
        <f>IF('1. Live'!CT295='check-Jul''26'!CP295,"",'1. Live'!CT295-'check-Jul''26'!CP295)</f>
        <v/>
      </c>
      <c r="CQ277" s="25" t="str">
        <f>IF('1. Live'!CU295='check-Jul''26'!CQ295,"",'1. Live'!CU295-'check-Jul''26'!CQ295)</f>
        <v/>
      </c>
      <c r="CR277" s="25" t="str">
        <f>IF('1. Live'!CV295='check-Jul''26'!CR295,"",'1. Live'!CV295-'check-Jul''26'!CR295)</f>
        <v/>
      </c>
      <c r="CS277" s="25" t="str">
        <f>IF('1. Live'!CW295='check-Jul''26'!CS295,"",'1. Live'!CW295-'check-Jul''26'!CS295)</f>
        <v/>
      </c>
      <c r="CT277" s="25" t="str">
        <f>IF('1. Live'!CX295='check-Jul''26'!CT295,"",'1. Live'!CX295-'check-Jul''26'!CT295)</f>
        <v/>
      </c>
      <c r="CU277" s="25" t="str">
        <f>IF('1. Live'!CY295='check-Jul''26'!CU295,"",'1. Live'!CY295-'check-Jul''26'!CU295)</f>
        <v/>
      </c>
      <c r="CV277" s="25" t="str">
        <f>IF('1. Live'!CZ295='check-Jul''26'!CV295,"",'1. Live'!CZ295-'check-Jul''26'!CV295)</f>
        <v/>
      </c>
    </row>
    <row r="278" spans="17:100" x14ac:dyDescent="0.25">
      <c r="Q278" s="26" t="str">
        <f>IF('1. Live'!N296='check-Jul''26'!I296,"",'1. Live'!N296-'check-Jul''26'!I296)</f>
        <v/>
      </c>
      <c r="R278" s="26" t="str">
        <f>IF('1. Live'!O296='check-Jul''26'!J296,"",'1. Live'!O296-'check-Jul''26'!J296)</f>
        <v/>
      </c>
      <c r="S278" s="26" t="str">
        <f>IF('1. Live'!P296='check-Jul''26'!K296,"",'1. Live'!P296-'check-Jul''26'!K296)</f>
        <v/>
      </c>
      <c r="T278" s="26" t="str">
        <f>IF('1. Live'!Q296='check-Jul''26'!L296,"",'1. Live'!Q296-'check-Jul''26'!L296)</f>
        <v/>
      </c>
      <c r="U278" s="80" t="str">
        <f>IF('1. Live'!R296='check-Jul''26'!M296,"",'1. Live'!R296-'check-Jul''26'!M296)</f>
        <v/>
      </c>
      <c r="V278" s="26" t="str">
        <f>IF('1. Live'!S296='check-Jul''26'!N296,"",'1. Live'!S296-'check-Jul''26'!N296)</f>
        <v/>
      </c>
      <c r="W278" s="25" t="str">
        <f>IF('1. Live'!T296='check-Jul''26'!O296,"",'1. Live'!T296-'check-Jul''26'!O296)</f>
        <v/>
      </c>
      <c r="X278" s="25" t="str">
        <f>IF('1. Live'!U296='check-Jul''26'!Q296,"",'1. Live'!U296-'check-Jul''26'!Q296)</f>
        <v/>
      </c>
      <c r="Y278" s="25" t="str">
        <f>IF('1. Live'!V296='check-Jul''26'!R296,"",'1. Live'!V296-'check-Jul''26'!R296)</f>
        <v/>
      </c>
      <c r="Z278" s="25" t="str">
        <f>IF('1. Live'!W296='check-Jul''26'!S296,"",'1. Live'!W296-'check-Jul''26'!S296)</f>
        <v/>
      </c>
      <c r="AA278" s="25" t="str">
        <f>IF('1. Live'!X296='check-Jul''26'!T296,"",'1. Live'!X296-'check-Jul''26'!T296)</f>
        <v/>
      </c>
      <c r="AB278" s="25" t="str">
        <f>IF('1. Live'!AF296='check-Jul''26'!AB296,"",'1. Live'!AF296-'check-Jul''26'!AB296)</f>
        <v/>
      </c>
      <c r="AC278" s="25" t="str">
        <f>IF('1. Live'!AG296='check-Jul''26'!AC296,"",'1. Live'!AG296-'check-Jul''26'!AC296)</f>
        <v/>
      </c>
      <c r="AD278" s="25" t="str">
        <f>IF('1. Live'!AH296='check-Jul''26'!AD296,"",'1. Live'!AH296-'check-Jul''26'!AD296)</f>
        <v/>
      </c>
      <c r="AE278" s="25" t="str">
        <f>IF('1. Live'!AI296='check-Jul''26'!AE296,"",'1. Live'!AI296-'check-Jul''26'!AE296)</f>
        <v/>
      </c>
      <c r="AF278" s="25" t="str">
        <f>IF('1. Live'!AJ296='check-Jul''26'!AF296,"",'1. Live'!AJ296-'check-Jul''26'!AF296)</f>
        <v/>
      </c>
      <c r="AG278" s="25" t="str">
        <f>IF('1. Live'!AK296='check-Jul''26'!AG296,"",'1. Live'!AK296-'check-Jul''26'!AG296)</f>
        <v/>
      </c>
      <c r="AH278" s="25" t="str">
        <f>IF('1. Live'!AL296='check-Jul''26'!AH296,"",'1. Live'!AL296-'check-Jul''26'!AH296)</f>
        <v/>
      </c>
      <c r="AI278" s="25" t="str">
        <f>IF('1. Live'!AM296='check-Jul''26'!AI296,"",'1. Live'!AM296-'check-Jul''26'!AI296)</f>
        <v/>
      </c>
      <c r="AJ278" s="25" t="str">
        <f>IF('1. Live'!AN296='check-Jul''26'!AJ296,"",'1. Live'!AN296-'check-Jul''26'!AJ296)</f>
        <v/>
      </c>
      <c r="AK278" s="25" t="str">
        <f>IF('1. Live'!AO296='check-Jul''26'!AK296,"",'1. Live'!AO296-'check-Jul''26'!AK296)</f>
        <v/>
      </c>
      <c r="AL278" s="25" t="str">
        <f>IF('1. Live'!AP296='check-Jul''26'!AL296,"",'1. Live'!AP296-'check-Jul''26'!AL296)</f>
        <v/>
      </c>
      <c r="AM278" s="25" t="str">
        <f>IF('1. Live'!AQ296='check-Jul''26'!AM296,"",'1. Live'!AQ296-'check-Jul''26'!AM296)</f>
        <v/>
      </c>
      <c r="AN278" s="25" t="str">
        <f>IF('1. Live'!AR296='check-Jul''26'!AN296,"",'1. Live'!AR296-'check-Jul''26'!AN296)</f>
        <v/>
      </c>
      <c r="AO278" s="25" t="str">
        <f>IF('1. Live'!AS296='check-Jul''26'!AO296,"",'1. Live'!AS296-'check-Jul''26'!AO296)</f>
        <v/>
      </c>
      <c r="AP278" s="25" t="str">
        <f>IF('1. Live'!AT296='check-Jul''26'!AP296,"",'1. Live'!AT296-'check-Jul''26'!AP296)</f>
        <v/>
      </c>
      <c r="AQ278" s="25" t="str">
        <f>IF('1. Live'!AU296='check-Jul''26'!AQ296,"",'1. Live'!AU296-'check-Jul''26'!AQ296)</f>
        <v/>
      </c>
      <c r="AR278" s="25" t="str">
        <f>IF('1. Live'!AV296='check-Jul''26'!AR296,"",'1. Live'!AV296-'check-Jul''26'!AR296)</f>
        <v/>
      </c>
      <c r="AS278" s="25" t="str">
        <f>IF('1. Live'!AW296='check-Jul''26'!AS296,"",'1. Live'!AW296-'check-Jul''26'!AS296)</f>
        <v/>
      </c>
      <c r="AT278" s="25" t="str">
        <f>IF('1. Live'!AX296='check-Jul''26'!AT296,"",'1. Live'!AX296-'check-Jul''26'!AT296)</f>
        <v/>
      </c>
      <c r="AU278" s="25" t="str">
        <f>IF('1. Live'!AY296='check-Jul''26'!AU296,"",'1. Live'!AY296-'check-Jul''26'!AU296)</f>
        <v/>
      </c>
      <c r="AV278" s="25" t="str">
        <f>IF('1. Live'!AZ296='check-Jul''26'!AV296,"",'1. Live'!AZ296-'check-Jul''26'!AV296)</f>
        <v/>
      </c>
      <c r="AW278" s="25" t="str">
        <f>IF('1. Live'!BA296='check-Jul''26'!AW296,"",'1. Live'!BA296-'check-Jul''26'!AW296)</f>
        <v/>
      </c>
      <c r="AX278" s="25" t="str">
        <f>IF('1. Live'!BB296='check-Jul''26'!AX296,"",'1. Live'!BB296-'check-Jul''26'!AX296)</f>
        <v/>
      </c>
      <c r="AY278" s="25" t="str">
        <f>IF('1. Live'!BC296='check-Jul''26'!AY296,"",'1. Live'!BC296-'check-Jul''26'!AY296)</f>
        <v/>
      </c>
      <c r="AZ278" s="25" t="str">
        <f>IF('1. Live'!BD296='check-Jul''26'!AZ296,"",'1. Live'!BD296-'check-Jul''26'!AZ296)</f>
        <v/>
      </c>
      <c r="BA278" s="25" t="str">
        <f>IF('1. Live'!BE296='check-Jul''26'!BA296,"",'1. Live'!BE296-'check-Jul''26'!BA296)</f>
        <v/>
      </c>
      <c r="BB278" s="25" t="str">
        <f>IF('1. Live'!BF296='check-Jul''26'!BB296,"",'1. Live'!BF296-'check-Jul''26'!BB296)</f>
        <v/>
      </c>
      <c r="BC278" s="25" t="str">
        <f>IF('1. Live'!BG296='check-Jul''26'!BC296,"",'1. Live'!BG296-'check-Jul''26'!BC296)</f>
        <v/>
      </c>
      <c r="BD278" s="25" t="str">
        <f>IF('1. Live'!BH296='check-Jul''26'!BD296,"",'1. Live'!BH296-'check-Jul''26'!BD296)</f>
        <v/>
      </c>
      <c r="BE278" s="25" t="str">
        <f>IF('1. Live'!BI296='check-Jul''26'!BE296,"",'1. Live'!BI296-'check-Jul''26'!BE296)</f>
        <v/>
      </c>
      <c r="BF278" s="25" t="str">
        <f>IF('1. Live'!BJ296='check-Jul''26'!BF296,"",'1. Live'!BJ296-'check-Jul''26'!BF296)</f>
        <v/>
      </c>
      <c r="BG278" s="25" t="str">
        <f>IF('1. Live'!BK296='check-Jul''26'!BG296,"",'1. Live'!BK296-'check-Jul''26'!BG296)</f>
        <v/>
      </c>
      <c r="BH278" s="25" t="str">
        <f>IF('1. Live'!BL296='check-Jul''26'!BH296,"",'1. Live'!BL296-'check-Jul''26'!BH296)</f>
        <v/>
      </c>
      <c r="BI278" s="25" t="str">
        <f>IF('1. Live'!BM296='check-Jul''26'!BI296,"",'1. Live'!BM296-'check-Jul''26'!BI296)</f>
        <v/>
      </c>
      <c r="BJ278" s="25" t="str">
        <f>IF('1. Live'!BN296='check-Jul''26'!BJ296,"",'1. Live'!BN296-'check-Jul''26'!BJ296)</f>
        <v/>
      </c>
      <c r="BK278" s="25" t="str">
        <f>IF('1. Live'!BO296='check-Jul''26'!BK296,"",'1. Live'!BO296-'check-Jul''26'!BK296)</f>
        <v/>
      </c>
      <c r="BL278" s="25" t="str">
        <f>IF('1. Live'!BP296='check-Jul''26'!BL296,"",'1. Live'!BP296-'check-Jul''26'!BL296)</f>
        <v/>
      </c>
      <c r="BM278" s="25" t="str">
        <f>IF('1. Live'!BQ296='check-Jul''26'!BM296,"",'1. Live'!BQ296-'check-Jul''26'!BM296)</f>
        <v/>
      </c>
      <c r="BN278" s="25" t="str">
        <f>IF('1. Live'!BR296='check-Jul''26'!BN296,"",'1. Live'!BR296-'check-Jul''26'!BN296)</f>
        <v/>
      </c>
      <c r="BO278" s="25" t="str">
        <f>IF('1. Live'!BS296='check-Jul''26'!BO296,"",'1. Live'!BS296-'check-Jul''26'!BO296)</f>
        <v/>
      </c>
      <c r="BP278" s="25" t="str">
        <f>IF('1. Live'!BT296='check-Jul''26'!BP296,"",'1. Live'!BT296-'check-Jul''26'!BP296)</f>
        <v/>
      </c>
      <c r="BQ278" s="25" t="str">
        <f>IF('1. Live'!BU296='check-Jul''26'!BQ296,"",'1. Live'!BU296-'check-Jul''26'!BQ296)</f>
        <v/>
      </c>
      <c r="BR278" s="25" t="str">
        <f>IF('1. Live'!BV296='check-Jul''26'!BR296,"",'1. Live'!BV296-'check-Jul''26'!BR296)</f>
        <v/>
      </c>
      <c r="BS278" s="25" t="str">
        <f>IF('1. Live'!BW296='check-Jul''26'!BS296,"",'1. Live'!BW296-'check-Jul''26'!BS296)</f>
        <v/>
      </c>
      <c r="BT278" s="25" t="str">
        <f>IF('1. Live'!BX296='check-Jul''26'!BT296,"",'1. Live'!BX296-'check-Jul''26'!BT296)</f>
        <v/>
      </c>
      <c r="BU278" s="25" t="str">
        <f>IF('1. Live'!BY296='check-Jul''26'!BU296,"",'1. Live'!BY296-'check-Jul''26'!BU296)</f>
        <v/>
      </c>
      <c r="BV278" s="25" t="str">
        <f>IF('1. Live'!BZ296='check-Jul''26'!BV296,"",'1. Live'!BZ296-'check-Jul''26'!BV296)</f>
        <v/>
      </c>
      <c r="BW278" s="25" t="str">
        <f>IF('1. Live'!CA296='check-Jul''26'!BW296,"",'1. Live'!CA296-'check-Jul''26'!BW296)</f>
        <v/>
      </c>
      <c r="BX278" s="25" t="str">
        <f>IF('1. Live'!CB296='check-Jul''26'!BX296,"",'1. Live'!CB296-'check-Jul''26'!BX296)</f>
        <v/>
      </c>
      <c r="BY278" s="25" t="str">
        <f>IF('1. Live'!CC296='check-Jul''26'!BY296,"",'1. Live'!CC296-'check-Jul''26'!BY296)</f>
        <v/>
      </c>
      <c r="BZ278" s="25" t="str">
        <f>IF('1. Live'!CD296='check-Jul''26'!BZ296,"",'1. Live'!CD296-'check-Jul''26'!BZ296)</f>
        <v/>
      </c>
      <c r="CA278" s="25" t="str">
        <f>IF('1. Live'!CE296='check-Jul''26'!CA296,"",'1. Live'!CE296-'check-Jul''26'!CA296)</f>
        <v/>
      </c>
      <c r="CB278" s="25" t="str">
        <f>IF('1. Live'!CF296='check-Jul''26'!CB296,"",'1. Live'!CF296-'check-Jul''26'!CB296)</f>
        <v/>
      </c>
      <c r="CC278" s="25" t="str">
        <f>IF('1. Live'!CG296='check-Jul''26'!CC296,"",'1. Live'!CG296-'check-Jul''26'!CC296)</f>
        <v/>
      </c>
      <c r="CD278" s="25" t="str">
        <f>IF('1. Live'!CH296='check-Jul''26'!CD296,"",'1. Live'!CH296-'check-Jul''26'!CD296)</f>
        <v/>
      </c>
      <c r="CE278" s="25" t="str">
        <f>IF('1. Live'!CI296='check-Jul''26'!CE296,"",'1. Live'!CI296-'check-Jul''26'!CE296)</f>
        <v/>
      </c>
      <c r="CF278" s="25" t="str">
        <f>IF('1. Live'!CJ296='check-Jul''26'!CF296,"",'1. Live'!CJ296-'check-Jul''26'!CF296)</f>
        <v/>
      </c>
      <c r="CG278" s="25" t="str">
        <f>IF('1. Live'!CK296='check-Jul''26'!CG296,"",'1. Live'!CK296-'check-Jul''26'!CG296)</f>
        <v/>
      </c>
      <c r="CH278" s="25" t="str">
        <f>IF('1. Live'!CL296='check-Jul''26'!CH296,"",'1. Live'!CL296-'check-Jul''26'!CH296)</f>
        <v/>
      </c>
      <c r="CI278" s="25" t="str">
        <f>IF('1. Live'!CM296='check-Jul''26'!CI296,"",'1. Live'!CM296-'check-Jul''26'!CI296)</f>
        <v/>
      </c>
      <c r="CJ278" s="25" t="str">
        <f>IF('1. Live'!CN296='check-Jul''26'!CJ296,"",'1. Live'!CN296-'check-Jul''26'!CJ296)</f>
        <v/>
      </c>
      <c r="CK278" s="25" t="str">
        <f>IF('1. Live'!CO296='check-Jul''26'!CK296,"",'1. Live'!CO296-'check-Jul''26'!CK296)</f>
        <v/>
      </c>
      <c r="CL278" s="25" t="str">
        <f>IF('1. Live'!CP296='check-Jul''26'!CL296,"",'1. Live'!CP296-'check-Jul''26'!CL296)</f>
        <v/>
      </c>
      <c r="CM278" s="25" t="str">
        <f>IF('1. Live'!CQ296='check-Jul''26'!CM296,"",'1. Live'!CQ296-'check-Jul''26'!CM296)</f>
        <v/>
      </c>
      <c r="CN278" s="25" t="str">
        <f>IF('1. Live'!CR296='check-Jul''26'!CN296,"",'1. Live'!CR296-'check-Jul''26'!CN296)</f>
        <v/>
      </c>
      <c r="CO278" s="25" t="str">
        <f>IF('1. Live'!CS296='check-Jul''26'!CO296,"",'1. Live'!CS296-'check-Jul''26'!CO296)</f>
        <v/>
      </c>
      <c r="CP278" s="25" t="str">
        <f>IF('1. Live'!CT296='check-Jul''26'!CP296,"",'1. Live'!CT296-'check-Jul''26'!CP296)</f>
        <v/>
      </c>
      <c r="CQ278" s="25" t="str">
        <f>IF('1. Live'!CU296='check-Jul''26'!CQ296,"",'1. Live'!CU296-'check-Jul''26'!CQ296)</f>
        <v/>
      </c>
      <c r="CR278" s="25" t="str">
        <f>IF('1. Live'!CV296='check-Jul''26'!CR296,"",'1. Live'!CV296-'check-Jul''26'!CR296)</f>
        <v/>
      </c>
      <c r="CS278" s="25" t="str">
        <f>IF('1. Live'!CW296='check-Jul''26'!CS296,"",'1. Live'!CW296-'check-Jul''26'!CS296)</f>
        <v/>
      </c>
      <c r="CT278" s="25" t="str">
        <f>IF('1. Live'!CX296='check-Jul''26'!CT296,"",'1. Live'!CX296-'check-Jul''26'!CT296)</f>
        <v/>
      </c>
      <c r="CU278" s="25" t="str">
        <f>IF('1. Live'!CY296='check-Jul''26'!CU296,"",'1. Live'!CY296-'check-Jul''26'!CU296)</f>
        <v/>
      </c>
      <c r="CV278" s="25" t="str">
        <f>IF('1. Live'!CZ296='check-Jul''26'!CV296,"",'1. Live'!CZ296-'check-Jul''26'!CV296)</f>
        <v/>
      </c>
    </row>
    <row r="279" spans="17:100" x14ac:dyDescent="0.25">
      <c r="Q279" s="26" t="str">
        <f>IF('1. Live'!N297='check-Jul''26'!I297,"",'1. Live'!N297-'check-Jul''26'!I297)</f>
        <v/>
      </c>
      <c r="R279" s="26" t="str">
        <f>IF('1. Live'!O297='check-Jul''26'!J297,"",'1. Live'!O297-'check-Jul''26'!J297)</f>
        <v/>
      </c>
      <c r="S279" s="26" t="str">
        <f>IF('1. Live'!P297='check-Jul''26'!K297,"",'1. Live'!P297-'check-Jul''26'!K297)</f>
        <v/>
      </c>
      <c r="T279" s="26" t="str">
        <f>IF('1. Live'!Q297='check-Jul''26'!L297,"",'1. Live'!Q297-'check-Jul''26'!L297)</f>
        <v/>
      </c>
      <c r="U279" s="80" t="str">
        <f>IF('1. Live'!R297='check-Jul''26'!M297,"",'1. Live'!R297-'check-Jul''26'!M297)</f>
        <v/>
      </c>
      <c r="V279" s="26" t="str">
        <f>IF('1. Live'!S297='check-Jul''26'!N297,"",'1. Live'!S297-'check-Jul''26'!N297)</f>
        <v/>
      </c>
      <c r="W279" s="25" t="str">
        <f>IF('1. Live'!T297='check-Jul''26'!O297,"",'1. Live'!T297-'check-Jul''26'!O297)</f>
        <v/>
      </c>
      <c r="X279" s="25" t="str">
        <f>IF('1. Live'!U297='check-Jul''26'!Q297,"",'1. Live'!U297-'check-Jul''26'!Q297)</f>
        <v/>
      </c>
      <c r="Y279" s="25" t="str">
        <f>IF('1. Live'!V297='check-Jul''26'!R297,"",'1. Live'!V297-'check-Jul''26'!R297)</f>
        <v/>
      </c>
      <c r="Z279" s="25" t="str">
        <f>IF('1. Live'!W297='check-Jul''26'!S297,"",'1. Live'!W297-'check-Jul''26'!S297)</f>
        <v/>
      </c>
      <c r="AA279" s="25" t="str">
        <f>IF('1. Live'!X297='check-Jul''26'!T297,"",'1. Live'!X297-'check-Jul''26'!T297)</f>
        <v/>
      </c>
      <c r="AB279" s="25" t="str">
        <f>IF('1. Live'!AF297='check-Jul''26'!AB297,"",'1. Live'!AF297-'check-Jul''26'!AB297)</f>
        <v/>
      </c>
      <c r="AC279" s="25" t="str">
        <f>IF('1. Live'!AG297='check-Jul''26'!AC297,"",'1. Live'!AG297-'check-Jul''26'!AC297)</f>
        <v/>
      </c>
      <c r="AD279" s="25" t="str">
        <f>IF('1. Live'!AH297='check-Jul''26'!AD297,"",'1. Live'!AH297-'check-Jul''26'!AD297)</f>
        <v/>
      </c>
      <c r="AE279" s="25" t="str">
        <f>IF('1. Live'!AI297='check-Jul''26'!AE297,"",'1. Live'!AI297-'check-Jul''26'!AE297)</f>
        <v/>
      </c>
      <c r="AF279" s="25" t="str">
        <f>IF('1. Live'!AJ297='check-Jul''26'!AF297,"",'1. Live'!AJ297-'check-Jul''26'!AF297)</f>
        <v/>
      </c>
      <c r="AG279" s="25" t="str">
        <f>IF('1. Live'!AK297='check-Jul''26'!AG297,"",'1. Live'!AK297-'check-Jul''26'!AG297)</f>
        <v/>
      </c>
      <c r="AH279" s="25" t="str">
        <f>IF('1. Live'!AL297='check-Jul''26'!AH297,"",'1. Live'!AL297-'check-Jul''26'!AH297)</f>
        <v/>
      </c>
      <c r="AI279" s="25" t="str">
        <f>IF('1. Live'!AM297='check-Jul''26'!AI297,"",'1. Live'!AM297-'check-Jul''26'!AI297)</f>
        <v/>
      </c>
      <c r="AJ279" s="25" t="str">
        <f>IF('1. Live'!AN297='check-Jul''26'!AJ297,"",'1. Live'!AN297-'check-Jul''26'!AJ297)</f>
        <v/>
      </c>
      <c r="AK279" s="25" t="str">
        <f>IF('1. Live'!AO297='check-Jul''26'!AK297,"",'1. Live'!AO297-'check-Jul''26'!AK297)</f>
        <v/>
      </c>
      <c r="AL279" s="25" t="str">
        <f>IF('1. Live'!AP297='check-Jul''26'!AL297,"",'1. Live'!AP297-'check-Jul''26'!AL297)</f>
        <v/>
      </c>
      <c r="AM279" s="25" t="str">
        <f>IF('1. Live'!AQ297='check-Jul''26'!AM297,"",'1. Live'!AQ297-'check-Jul''26'!AM297)</f>
        <v/>
      </c>
      <c r="AN279" s="25" t="str">
        <f>IF('1. Live'!AR297='check-Jul''26'!AN297,"",'1. Live'!AR297-'check-Jul''26'!AN297)</f>
        <v/>
      </c>
      <c r="AO279" s="25" t="str">
        <f>IF('1. Live'!AS297='check-Jul''26'!AO297,"",'1. Live'!AS297-'check-Jul''26'!AO297)</f>
        <v/>
      </c>
      <c r="AP279" s="25" t="str">
        <f>IF('1. Live'!AT297='check-Jul''26'!AP297,"",'1. Live'!AT297-'check-Jul''26'!AP297)</f>
        <v/>
      </c>
      <c r="AQ279" s="25" t="str">
        <f>IF('1. Live'!AU297='check-Jul''26'!AQ297,"",'1. Live'!AU297-'check-Jul''26'!AQ297)</f>
        <v/>
      </c>
      <c r="AR279" s="25" t="str">
        <f>IF('1. Live'!AV297='check-Jul''26'!AR297,"",'1. Live'!AV297-'check-Jul''26'!AR297)</f>
        <v/>
      </c>
      <c r="AS279" s="25" t="str">
        <f>IF('1. Live'!AW297='check-Jul''26'!AS297,"",'1. Live'!AW297-'check-Jul''26'!AS297)</f>
        <v/>
      </c>
      <c r="AT279" s="25" t="str">
        <f>IF('1. Live'!AX297='check-Jul''26'!AT297,"",'1. Live'!AX297-'check-Jul''26'!AT297)</f>
        <v/>
      </c>
      <c r="AU279" s="25" t="str">
        <f>IF('1. Live'!AY297='check-Jul''26'!AU297,"",'1. Live'!AY297-'check-Jul''26'!AU297)</f>
        <v/>
      </c>
      <c r="AV279" s="25" t="str">
        <f>IF('1. Live'!AZ297='check-Jul''26'!AV297,"",'1. Live'!AZ297-'check-Jul''26'!AV297)</f>
        <v/>
      </c>
      <c r="AW279" s="25" t="str">
        <f>IF('1. Live'!BA297='check-Jul''26'!AW297,"",'1. Live'!BA297-'check-Jul''26'!AW297)</f>
        <v/>
      </c>
      <c r="AX279" s="25" t="str">
        <f>IF('1. Live'!BB297='check-Jul''26'!AX297,"",'1. Live'!BB297-'check-Jul''26'!AX297)</f>
        <v/>
      </c>
      <c r="AY279" s="25" t="str">
        <f>IF('1. Live'!BC297='check-Jul''26'!AY297,"",'1. Live'!BC297-'check-Jul''26'!AY297)</f>
        <v/>
      </c>
      <c r="AZ279" s="25" t="str">
        <f>IF('1. Live'!BD297='check-Jul''26'!AZ297,"",'1. Live'!BD297-'check-Jul''26'!AZ297)</f>
        <v/>
      </c>
      <c r="BA279" s="25" t="str">
        <f>IF('1. Live'!BE297='check-Jul''26'!BA297,"",'1. Live'!BE297-'check-Jul''26'!BA297)</f>
        <v/>
      </c>
      <c r="BB279" s="25" t="str">
        <f>IF('1. Live'!BF297='check-Jul''26'!BB297,"",'1. Live'!BF297-'check-Jul''26'!BB297)</f>
        <v/>
      </c>
      <c r="BC279" s="25" t="str">
        <f>IF('1. Live'!BG297='check-Jul''26'!BC297,"",'1. Live'!BG297-'check-Jul''26'!BC297)</f>
        <v/>
      </c>
      <c r="BD279" s="25" t="str">
        <f>IF('1. Live'!BH297='check-Jul''26'!BD297,"",'1. Live'!BH297-'check-Jul''26'!BD297)</f>
        <v/>
      </c>
      <c r="BE279" s="25" t="str">
        <f>IF('1. Live'!BI297='check-Jul''26'!BE297,"",'1. Live'!BI297-'check-Jul''26'!BE297)</f>
        <v/>
      </c>
      <c r="BF279" s="25" t="str">
        <f>IF('1. Live'!BJ297='check-Jul''26'!BF297,"",'1. Live'!BJ297-'check-Jul''26'!BF297)</f>
        <v/>
      </c>
      <c r="BG279" s="25" t="str">
        <f>IF('1. Live'!BK297='check-Jul''26'!BG297,"",'1. Live'!BK297-'check-Jul''26'!BG297)</f>
        <v/>
      </c>
      <c r="BH279" s="25" t="str">
        <f>IF('1. Live'!BL297='check-Jul''26'!BH297,"",'1. Live'!BL297-'check-Jul''26'!BH297)</f>
        <v/>
      </c>
      <c r="BI279" s="25" t="str">
        <f>IF('1. Live'!BM297='check-Jul''26'!BI297,"",'1. Live'!BM297-'check-Jul''26'!BI297)</f>
        <v/>
      </c>
      <c r="BJ279" s="25" t="str">
        <f>IF('1. Live'!BN297='check-Jul''26'!BJ297,"",'1. Live'!BN297-'check-Jul''26'!BJ297)</f>
        <v/>
      </c>
      <c r="BK279" s="25" t="str">
        <f>IF('1. Live'!BO297='check-Jul''26'!BK297,"",'1. Live'!BO297-'check-Jul''26'!BK297)</f>
        <v/>
      </c>
      <c r="BL279" s="25" t="str">
        <f>IF('1. Live'!BP297='check-Jul''26'!BL297,"",'1. Live'!BP297-'check-Jul''26'!BL297)</f>
        <v/>
      </c>
      <c r="BM279" s="25" t="str">
        <f>IF('1. Live'!BQ297='check-Jul''26'!BM297,"",'1. Live'!BQ297-'check-Jul''26'!BM297)</f>
        <v/>
      </c>
      <c r="BN279" s="25" t="str">
        <f>IF('1. Live'!BR297='check-Jul''26'!BN297,"",'1. Live'!BR297-'check-Jul''26'!BN297)</f>
        <v/>
      </c>
      <c r="BO279" s="25" t="str">
        <f>IF('1. Live'!BS297='check-Jul''26'!BO297,"",'1. Live'!BS297-'check-Jul''26'!BO297)</f>
        <v/>
      </c>
      <c r="BP279" s="25" t="str">
        <f>IF('1. Live'!BT297='check-Jul''26'!BP297,"",'1. Live'!BT297-'check-Jul''26'!BP297)</f>
        <v/>
      </c>
      <c r="BQ279" s="25" t="str">
        <f>IF('1. Live'!BU297='check-Jul''26'!BQ297,"",'1. Live'!BU297-'check-Jul''26'!BQ297)</f>
        <v/>
      </c>
      <c r="BR279" s="25" t="str">
        <f>IF('1. Live'!BV297='check-Jul''26'!BR297,"",'1. Live'!BV297-'check-Jul''26'!BR297)</f>
        <v/>
      </c>
      <c r="BS279" s="25" t="str">
        <f>IF('1. Live'!BW297='check-Jul''26'!BS297,"",'1. Live'!BW297-'check-Jul''26'!BS297)</f>
        <v/>
      </c>
      <c r="BT279" s="25" t="str">
        <f>IF('1. Live'!BX297='check-Jul''26'!BT297,"",'1. Live'!BX297-'check-Jul''26'!BT297)</f>
        <v/>
      </c>
      <c r="BU279" s="25" t="str">
        <f>IF('1. Live'!BY297='check-Jul''26'!BU297,"",'1. Live'!BY297-'check-Jul''26'!BU297)</f>
        <v/>
      </c>
      <c r="BV279" s="25" t="str">
        <f>IF('1. Live'!BZ297='check-Jul''26'!BV297,"",'1. Live'!BZ297-'check-Jul''26'!BV297)</f>
        <v/>
      </c>
      <c r="BW279" s="25" t="str">
        <f>IF('1. Live'!CA297='check-Jul''26'!BW297,"",'1. Live'!CA297-'check-Jul''26'!BW297)</f>
        <v/>
      </c>
      <c r="BX279" s="25" t="str">
        <f>IF('1. Live'!CB297='check-Jul''26'!BX297,"",'1. Live'!CB297-'check-Jul''26'!BX297)</f>
        <v/>
      </c>
      <c r="BY279" s="25" t="str">
        <f>IF('1. Live'!CC297='check-Jul''26'!BY297,"",'1. Live'!CC297-'check-Jul''26'!BY297)</f>
        <v/>
      </c>
      <c r="BZ279" s="25" t="str">
        <f>IF('1. Live'!CD297='check-Jul''26'!BZ297,"",'1. Live'!CD297-'check-Jul''26'!BZ297)</f>
        <v/>
      </c>
      <c r="CA279" s="25" t="str">
        <f>IF('1. Live'!CE297='check-Jul''26'!CA297,"",'1. Live'!CE297-'check-Jul''26'!CA297)</f>
        <v/>
      </c>
      <c r="CB279" s="25" t="str">
        <f>IF('1. Live'!CF297='check-Jul''26'!CB297,"",'1. Live'!CF297-'check-Jul''26'!CB297)</f>
        <v/>
      </c>
      <c r="CC279" s="25" t="str">
        <f>IF('1. Live'!CG297='check-Jul''26'!CC297,"",'1. Live'!CG297-'check-Jul''26'!CC297)</f>
        <v/>
      </c>
      <c r="CD279" s="25" t="str">
        <f>IF('1. Live'!CH297='check-Jul''26'!CD297,"",'1. Live'!CH297-'check-Jul''26'!CD297)</f>
        <v/>
      </c>
      <c r="CE279" s="25" t="str">
        <f>IF('1. Live'!CI297='check-Jul''26'!CE297,"",'1. Live'!CI297-'check-Jul''26'!CE297)</f>
        <v/>
      </c>
      <c r="CF279" s="25" t="str">
        <f>IF('1. Live'!CJ297='check-Jul''26'!CF297,"",'1. Live'!CJ297-'check-Jul''26'!CF297)</f>
        <v/>
      </c>
      <c r="CG279" s="25" t="str">
        <f>IF('1. Live'!CK297='check-Jul''26'!CG297,"",'1. Live'!CK297-'check-Jul''26'!CG297)</f>
        <v/>
      </c>
      <c r="CH279" s="25" t="str">
        <f>IF('1. Live'!CL297='check-Jul''26'!CH297,"",'1. Live'!CL297-'check-Jul''26'!CH297)</f>
        <v/>
      </c>
      <c r="CI279" s="25" t="str">
        <f>IF('1. Live'!CM297='check-Jul''26'!CI297,"",'1. Live'!CM297-'check-Jul''26'!CI297)</f>
        <v/>
      </c>
      <c r="CJ279" s="25" t="str">
        <f>IF('1. Live'!CN297='check-Jul''26'!CJ297,"",'1. Live'!CN297-'check-Jul''26'!CJ297)</f>
        <v/>
      </c>
      <c r="CK279" s="25" t="str">
        <f>IF('1. Live'!CO297='check-Jul''26'!CK297,"",'1. Live'!CO297-'check-Jul''26'!CK297)</f>
        <v/>
      </c>
      <c r="CL279" s="25" t="str">
        <f>IF('1. Live'!CP297='check-Jul''26'!CL297,"",'1. Live'!CP297-'check-Jul''26'!CL297)</f>
        <v/>
      </c>
      <c r="CM279" s="25" t="str">
        <f>IF('1. Live'!CQ297='check-Jul''26'!CM297,"",'1. Live'!CQ297-'check-Jul''26'!CM297)</f>
        <v/>
      </c>
      <c r="CN279" s="25" t="str">
        <f>IF('1. Live'!CR297='check-Jul''26'!CN297,"",'1. Live'!CR297-'check-Jul''26'!CN297)</f>
        <v/>
      </c>
      <c r="CO279" s="25" t="str">
        <f>IF('1. Live'!CS297='check-Jul''26'!CO297,"",'1. Live'!CS297-'check-Jul''26'!CO297)</f>
        <v/>
      </c>
      <c r="CP279" s="25" t="str">
        <f>IF('1. Live'!CT297='check-Jul''26'!CP297,"",'1. Live'!CT297-'check-Jul''26'!CP297)</f>
        <v/>
      </c>
      <c r="CQ279" s="25" t="str">
        <f>IF('1. Live'!CU297='check-Jul''26'!CQ297,"",'1. Live'!CU297-'check-Jul''26'!CQ297)</f>
        <v/>
      </c>
      <c r="CR279" s="25" t="str">
        <f>IF('1. Live'!CV297='check-Jul''26'!CR297,"",'1. Live'!CV297-'check-Jul''26'!CR297)</f>
        <v/>
      </c>
      <c r="CS279" s="25" t="str">
        <f>IF('1. Live'!CW297='check-Jul''26'!CS297,"",'1. Live'!CW297-'check-Jul''26'!CS297)</f>
        <v/>
      </c>
      <c r="CT279" s="25" t="str">
        <f>IF('1. Live'!CX297='check-Jul''26'!CT297,"",'1. Live'!CX297-'check-Jul''26'!CT297)</f>
        <v/>
      </c>
      <c r="CU279" s="25" t="str">
        <f>IF('1. Live'!CY297='check-Jul''26'!CU297,"",'1. Live'!CY297-'check-Jul''26'!CU297)</f>
        <v/>
      </c>
      <c r="CV279" s="25" t="str">
        <f>IF('1. Live'!CZ297='check-Jul''26'!CV297,"",'1. Live'!CZ297-'check-Jul''26'!CV297)</f>
        <v/>
      </c>
    </row>
    <row r="280" spans="17:100" x14ac:dyDescent="0.25">
      <c r="Q280" s="26" t="str">
        <f>IF('1. Live'!N298='check-Jul''26'!I298,"",'1. Live'!N298-'check-Jul''26'!I298)</f>
        <v/>
      </c>
      <c r="R280" s="26" t="str">
        <f>IF('1. Live'!O298='check-Jul''26'!J298,"",'1. Live'!O298-'check-Jul''26'!J298)</f>
        <v/>
      </c>
      <c r="S280" s="26" t="str">
        <f>IF('1. Live'!P298='check-Jul''26'!K298,"",'1. Live'!P298-'check-Jul''26'!K298)</f>
        <v/>
      </c>
      <c r="T280" s="26" t="str">
        <f>IF('1. Live'!Q298='check-Jul''26'!L298,"",'1. Live'!Q298-'check-Jul''26'!L298)</f>
        <v/>
      </c>
      <c r="U280" s="80" t="str">
        <f>IF('1. Live'!R298='check-Jul''26'!M298,"",'1. Live'!R298-'check-Jul''26'!M298)</f>
        <v/>
      </c>
      <c r="V280" s="26" t="str">
        <f>IF('1. Live'!S298='check-Jul''26'!N298,"",'1. Live'!S298-'check-Jul''26'!N298)</f>
        <v/>
      </c>
      <c r="W280" s="25" t="str">
        <f>IF('1. Live'!T298='check-Jul''26'!O298,"",'1. Live'!T298-'check-Jul''26'!O298)</f>
        <v/>
      </c>
      <c r="X280" s="25" t="str">
        <f>IF('1. Live'!U298='check-Jul''26'!Q298,"",'1. Live'!U298-'check-Jul''26'!Q298)</f>
        <v/>
      </c>
      <c r="Y280" s="25" t="str">
        <f>IF('1. Live'!V298='check-Jul''26'!R298,"",'1. Live'!V298-'check-Jul''26'!R298)</f>
        <v/>
      </c>
      <c r="Z280" s="25" t="str">
        <f>IF('1. Live'!W298='check-Jul''26'!S298,"",'1. Live'!W298-'check-Jul''26'!S298)</f>
        <v/>
      </c>
      <c r="AA280" s="25" t="str">
        <f>IF('1. Live'!X298='check-Jul''26'!T298,"",'1. Live'!X298-'check-Jul''26'!T298)</f>
        <v/>
      </c>
      <c r="AB280" s="25" t="str">
        <f>IF('1. Live'!AF298='check-Jul''26'!AB298,"",'1. Live'!AF298-'check-Jul''26'!AB298)</f>
        <v/>
      </c>
      <c r="AC280" s="25" t="str">
        <f>IF('1. Live'!AG298='check-Jul''26'!AC298,"",'1. Live'!AG298-'check-Jul''26'!AC298)</f>
        <v/>
      </c>
      <c r="AD280" s="25" t="str">
        <f>IF('1. Live'!AH298='check-Jul''26'!AD298,"",'1. Live'!AH298-'check-Jul''26'!AD298)</f>
        <v/>
      </c>
      <c r="AE280" s="25" t="str">
        <f>IF('1. Live'!AI298='check-Jul''26'!AE298,"",'1. Live'!AI298-'check-Jul''26'!AE298)</f>
        <v/>
      </c>
      <c r="AF280" s="25" t="str">
        <f>IF('1. Live'!AJ298='check-Jul''26'!AF298,"",'1. Live'!AJ298-'check-Jul''26'!AF298)</f>
        <v/>
      </c>
      <c r="AG280" s="25" t="str">
        <f>IF('1. Live'!AK298='check-Jul''26'!AG298,"",'1. Live'!AK298-'check-Jul''26'!AG298)</f>
        <v/>
      </c>
      <c r="AH280" s="25" t="str">
        <f>IF('1. Live'!AL298='check-Jul''26'!AH298,"",'1. Live'!AL298-'check-Jul''26'!AH298)</f>
        <v/>
      </c>
      <c r="AI280" s="25" t="str">
        <f>IF('1. Live'!AM298='check-Jul''26'!AI298,"",'1. Live'!AM298-'check-Jul''26'!AI298)</f>
        <v/>
      </c>
      <c r="AJ280" s="25" t="str">
        <f>IF('1. Live'!AN298='check-Jul''26'!AJ298,"",'1. Live'!AN298-'check-Jul''26'!AJ298)</f>
        <v/>
      </c>
      <c r="AK280" s="25" t="str">
        <f>IF('1. Live'!AO298='check-Jul''26'!AK298,"",'1. Live'!AO298-'check-Jul''26'!AK298)</f>
        <v/>
      </c>
      <c r="AL280" s="25" t="str">
        <f>IF('1. Live'!AP298='check-Jul''26'!AL298,"",'1. Live'!AP298-'check-Jul''26'!AL298)</f>
        <v/>
      </c>
      <c r="AM280" s="25" t="str">
        <f>IF('1. Live'!AQ298='check-Jul''26'!AM298,"",'1. Live'!AQ298-'check-Jul''26'!AM298)</f>
        <v/>
      </c>
      <c r="AN280" s="25" t="str">
        <f>IF('1. Live'!AR298='check-Jul''26'!AN298,"",'1. Live'!AR298-'check-Jul''26'!AN298)</f>
        <v/>
      </c>
      <c r="AO280" s="25" t="str">
        <f>IF('1. Live'!AS298='check-Jul''26'!AO298,"",'1. Live'!AS298-'check-Jul''26'!AO298)</f>
        <v/>
      </c>
      <c r="AP280" s="25" t="str">
        <f>IF('1. Live'!AT298='check-Jul''26'!AP298,"",'1. Live'!AT298-'check-Jul''26'!AP298)</f>
        <v/>
      </c>
      <c r="AQ280" s="25" t="str">
        <f>IF('1. Live'!AU298='check-Jul''26'!AQ298,"",'1. Live'!AU298-'check-Jul''26'!AQ298)</f>
        <v/>
      </c>
      <c r="AR280" s="25" t="str">
        <f>IF('1. Live'!AV298='check-Jul''26'!AR298,"",'1. Live'!AV298-'check-Jul''26'!AR298)</f>
        <v/>
      </c>
      <c r="AS280" s="25" t="str">
        <f>IF('1. Live'!AW298='check-Jul''26'!AS298,"",'1. Live'!AW298-'check-Jul''26'!AS298)</f>
        <v/>
      </c>
      <c r="AT280" s="25" t="str">
        <f>IF('1. Live'!AX298='check-Jul''26'!AT298,"",'1. Live'!AX298-'check-Jul''26'!AT298)</f>
        <v/>
      </c>
      <c r="AU280" s="25" t="str">
        <f>IF('1. Live'!AY298='check-Jul''26'!AU298,"",'1. Live'!AY298-'check-Jul''26'!AU298)</f>
        <v/>
      </c>
      <c r="AV280" s="25" t="str">
        <f>IF('1. Live'!AZ298='check-Jul''26'!AV298,"",'1. Live'!AZ298-'check-Jul''26'!AV298)</f>
        <v/>
      </c>
      <c r="AW280" s="25" t="str">
        <f>IF('1. Live'!BA298='check-Jul''26'!AW298,"",'1. Live'!BA298-'check-Jul''26'!AW298)</f>
        <v/>
      </c>
      <c r="AX280" s="25" t="str">
        <f>IF('1. Live'!BB298='check-Jul''26'!AX298,"",'1. Live'!BB298-'check-Jul''26'!AX298)</f>
        <v/>
      </c>
      <c r="AY280" s="25" t="str">
        <f>IF('1. Live'!BC298='check-Jul''26'!AY298,"",'1. Live'!BC298-'check-Jul''26'!AY298)</f>
        <v/>
      </c>
      <c r="AZ280" s="25" t="str">
        <f>IF('1. Live'!BD298='check-Jul''26'!AZ298,"",'1. Live'!BD298-'check-Jul''26'!AZ298)</f>
        <v/>
      </c>
      <c r="BA280" s="25" t="str">
        <f>IF('1. Live'!BE298='check-Jul''26'!BA298,"",'1. Live'!BE298-'check-Jul''26'!BA298)</f>
        <v/>
      </c>
      <c r="BB280" s="25" t="str">
        <f>IF('1. Live'!BF298='check-Jul''26'!BB298,"",'1. Live'!BF298-'check-Jul''26'!BB298)</f>
        <v/>
      </c>
      <c r="BC280" s="25" t="str">
        <f>IF('1. Live'!BG298='check-Jul''26'!BC298,"",'1. Live'!BG298-'check-Jul''26'!BC298)</f>
        <v/>
      </c>
      <c r="BD280" s="25" t="str">
        <f>IF('1. Live'!BH298='check-Jul''26'!BD298,"",'1. Live'!BH298-'check-Jul''26'!BD298)</f>
        <v/>
      </c>
      <c r="BE280" s="25" t="str">
        <f>IF('1. Live'!BI298='check-Jul''26'!BE298,"",'1. Live'!BI298-'check-Jul''26'!BE298)</f>
        <v/>
      </c>
      <c r="BF280" s="25" t="str">
        <f>IF('1. Live'!BJ298='check-Jul''26'!BF298,"",'1. Live'!BJ298-'check-Jul''26'!BF298)</f>
        <v/>
      </c>
      <c r="BG280" s="25" t="str">
        <f>IF('1. Live'!BK298='check-Jul''26'!BG298,"",'1. Live'!BK298-'check-Jul''26'!BG298)</f>
        <v/>
      </c>
      <c r="BH280" s="25" t="str">
        <f>IF('1. Live'!BL298='check-Jul''26'!BH298,"",'1. Live'!BL298-'check-Jul''26'!BH298)</f>
        <v/>
      </c>
      <c r="BI280" s="25" t="str">
        <f>IF('1. Live'!BM298='check-Jul''26'!BI298,"",'1. Live'!BM298-'check-Jul''26'!BI298)</f>
        <v/>
      </c>
      <c r="BJ280" s="25" t="str">
        <f>IF('1. Live'!BN298='check-Jul''26'!BJ298,"",'1. Live'!BN298-'check-Jul''26'!BJ298)</f>
        <v/>
      </c>
      <c r="BK280" s="25" t="str">
        <f>IF('1. Live'!BO298='check-Jul''26'!BK298,"",'1. Live'!BO298-'check-Jul''26'!BK298)</f>
        <v/>
      </c>
      <c r="BL280" s="25" t="str">
        <f>IF('1. Live'!BP298='check-Jul''26'!BL298,"",'1. Live'!BP298-'check-Jul''26'!BL298)</f>
        <v/>
      </c>
      <c r="BM280" s="25" t="str">
        <f>IF('1. Live'!BQ298='check-Jul''26'!BM298,"",'1. Live'!BQ298-'check-Jul''26'!BM298)</f>
        <v/>
      </c>
      <c r="BN280" s="25" t="str">
        <f>IF('1. Live'!BR298='check-Jul''26'!BN298,"",'1. Live'!BR298-'check-Jul''26'!BN298)</f>
        <v/>
      </c>
      <c r="BO280" s="25" t="str">
        <f>IF('1. Live'!BS298='check-Jul''26'!BO298,"",'1. Live'!BS298-'check-Jul''26'!BO298)</f>
        <v/>
      </c>
      <c r="BP280" s="25" t="str">
        <f>IF('1. Live'!BT298='check-Jul''26'!BP298,"",'1. Live'!BT298-'check-Jul''26'!BP298)</f>
        <v/>
      </c>
      <c r="BQ280" s="25" t="str">
        <f>IF('1. Live'!BU298='check-Jul''26'!BQ298,"",'1. Live'!BU298-'check-Jul''26'!BQ298)</f>
        <v/>
      </c>
      <c r="BR280" s="25" t="str">
        <f>IF('1. Live'!BV298='check-Jul''26'!BR298,"",'1. Live'!BV298-'check-Jul''26'!BR298)</f>
        <v/>
      </c>
      <c r="BS280" s="25" t="str">
        <f>IF('1. Live'!BW298='check-Jul''26'!BS298,"",'1. Live'!BW298-'check-Jul''26'!BS298)</f>
        <v/>
      </c>
      <c r="BT280" s="25" t="str">
        <f>IF('1. Live'!BX298='check-Jul''26'!BT298,"",'1. Live'!BX298-'check-Jul''26'!BT298)</f>
        <v/>
      </c>
      <c r="BU280" s="25" t="str">
        <f>IF('1. Live'!BY298='check-Jul''26'!BU298,"",'1. Live'!BY298-'check-Jul''26'!BU298)</f>
        <v/>
      </c>
      <c r="BV280" s="25" t="str">
        <f>IF('1. Live'!BZ298='check-Jul''26'!BV298,"",'1. Live'!BZ298-'check-Jul''26'!BV298)</f>
        <v/>
      </c>
      <c r="BW280" s="25" t="str">
        <f>IF('1. Live'!CA298='check-Jul''26'!BW298,"",'1. Live'!CA298-'check-Jul''26'!BW298)</f>
        <v/>
      </c>
      <c r="BX280" s="25" t="str">
        <f>IF('1. Live'!CB298='check-Jul''26'!BX298,"",'1. Live'!CB298-'check-Jul''26'!BX298)</f>
        <v/>
      </c>
      <c r="BY280" s="25" t="str">
        <f>IF('1. Live'!CC298='check-Jul''26'!BY298,"",'1. Live'!CC298-'check-Jul''26'!BY298)</f>
        <v/>
      </c>
      <c r="BZ280" s="25" t="str">
        <f>IF('1. Live'!CD298='check-Jul''26'!BZ298,"",'1. Live'!CD298-'check-Jul''26'!BZ298)</f>
        <v/>
      </c>
      <c r="CA280" s="25" t="str">
        <f>IF('1. Live'!CE298='check-Jul''26'!CA298,"",'1. Live'!CE298-'check-Jul''26'!CA298)</f>
        <v/>
      </c>
      <c r="CB280" s="25" t="str">
        <f>IF('1. Live'!CF298='check-Jul''26'!CB298,"",'1. Live'!CF298-'check-Jul''26'!CB298)</f>
        <v/>
      </c>
      <c r="CC280" s="25" t="str">
        <f>IF('1. Live'!CG298='check-Jul''26'!CC298,"",'1. Live'!CG298-'check-Jul''26'!CC298)</f>
        <v/>
      </c>
      <c r="CD280" s="25" t="str">
        <f>IF('1. Live'!CH298='check-Jul''26'!CD298,"",'1. Live'!CH298-'check-Jul''26'!CD298)</f>
        <v/>
      </c>
      <c r="CE280" s="25" t="str">
        <f>IF('1. Live'!CI298='check-Jul''26'!CE298,"",'1. Live'!CI298-'check-Jul''26'!CE298)</f>
        <v/>
      </c>
      <c r="CF280" s="25" t="str">
        <f>IF('1. Live'!CJ298='check-Jul''26'!CF298,"",'1. Live'!CJ298-'check-Jul''26'!CF298)</f>
        <v/>
      </c>
      <c r="CG280" s="25" t="str">
        <f>IF('1. Live'!CK298='check-Jul''26'!CG298,"",'1. Live'!CK298-'check-Jul''26'!CG298)</f>
        <v/>
      </c>
      <c r="CH280" s="25" t="str">
        <f>IF('1. Live'!CL298='check-Jul''26'!CH298,"",'1. Live'!CL298-'check-Jul''26'!CH298)</f>
        <v/>
      </c>
      <c r="CI280" s="25" t="str">
        <f>IF('1. Live'!CM298='check-Jul''26'!CI298,"",'1. Live'!CM298-'check-Jul''26'!CI298)</f>
        <v/>
      </c>
      <c r="CJ280" s="25" t="str">
        <f>IF('1. Live'!CN298='check-Jul''26'!CJ298,"",'1. Live'!CN298-'check-Jul''26'!CJ298)</f>
        <v/>
      </c>
      <c r="CK280" s="25" t="str">
        <f>IF('1. Live'!CO298='check-Jul''26'!CK298,"",'1. Live'!CO298-'check-Jul''26'!CK298)</f>
        <v/>
      </c>
      <c r="CL280" s="25" t="str">
        <f>IF('1. Live'!CP298='check-Jul''26'!CL298,"",'1. Live'!CP298-'check-Jul''26'!CL298)</f>
        <v/>
      </c>
      <c r="CM280" s="25" t="str">
        <f>IF('1. Live'!CQ298='check-Jul''26'!CM298,"",'1. Live'!CQ298-'check-Jul''26'!CM298)</f>
        <v/>
      </c>
      <c r="CN280" s="25" t="str">
        <f>IF('1. Live'!CR298='check-Jul''26'!CN298,"",'1. Live'!CR298-'check-Jul''26'!CN298)</f>
        <v/>
      </c>
      <c r="CO280" s="25" t="str">
        <f>IF('1. Live'!CS298='check-Jul''26'!CO298,"",'1. Live'!CS298-'check-Jul''26'!CO298)</f>
        <v/>
      </c>
      <c r="CP280" s="25" t="str">
        <f>IF('1. Live'!CT298='check-Jul''26'!CP298,"",'1. Live'!CT298-'check-Jul''26'!CP298)</f>
        <v/>
      </c>
      <c r="CQ280" s="25" t="str">
        <f>IF('1. Live'!CU298='check-Jul''26'!CQ298,"",'1. Live'!CU298-'check-Jul''26'!CQ298)</f>
        <v/>
      </c>
      <c r="CR280" s="25" t="str">
        <f>IF('1. Live'!CV298='check-Jul''26'!CR298,"",'1. Live'!CV298-'check-Jul''26'!CR298)</f>
        <v/>
      </c>
      <c r="CS280" s="25" t="str">
        <f>IF('1. Live'!CW298='check-Jul''26'!CS298,"",'1. Live'!CW298-'check-Jul''26'!CS298)</f>
        <v/>
      </c>
      <c r="CT280" s="25" t="str">
        <f>IF('1. Live'!CX298='check-Jul''26'!CT298,"",'1. Live'!CX298-'check-Jul''26'!CT298)</f>
        <v/>
      </c>
      <c r="CU280" s="25" t="str">
        <f>IF('1. Live'!CY298='check-Jul''26'!CU298,"",'1. Live'!CY298-'check-Jul''26'!CU298)</f>
        <v/>
      </c>
      <c r="CV280" s="25" t="str">
        <f>IF('1. Live'!CZ298='check-Jul''26'!CV298,"",'1. Live'!CZ298-'check-Jul''26'!CV298)</f>
        <v/>
      </c>
    </row>
    <row r="281" spans="17:100" x14ac:dyDescent="0.25">
      <c r="Q281" s="26" t="str">
        <f>IF('1. Live'!N299='check-Jul''26'!I299,"",'1. Live'!N299-'check-Jul''26'!I299)</f>
        <v/>
      </c>
      <c r="R281" s="26" t="str">
        <f>IF('1. Live'!O299='check-Jul''26'!J299,"",'1. Live'!O299-'check-Jul''26'!J299)</f>
        <v/>
      </c>
      <c r="S281" s="26" t="str">
        <f>IF('1. Live'!P299='check-Jul''26'!K299,"",'1. Live'!P299-'check-Jul''26'!K299)</f>
        <v/>
      </c>
      <c r="T281" s="26" t="str">
        <f>IF('1. Live'!Q299='check-Jul''26'!L299,"",'1. Live'!Q299-'check-Jul''26'!L299)</f>
        <v/>
      </c>
      <c r="U281" s="80" t="str">
        <f>IF('1. Live'!R299='check-Jul''26'!M299,"",'1. Live'!R299-'check-Jul''26'!M299)</f>
        <v/>
      </c>
      <c r="V281" s="26" t="str">
        <f>IF('1. Live'!S299='check-Jul''26'!N299,"",'1. Live'!S299-'check-Jul''26'!N299)</f>
        <v/>
      </c>
      <c r="W281" s="25" t="str">
        <f>IF('1. Live'!T299='check-Jul''26'!O299,"",'1. Live'!T299-'check-Jul''26'!O299)</f>
        <v/>
      </c>
      <c r="X281" s="25" t="str">
        <f>IF('1. Live'!U299='check-Jul''26'!Q299,"",'1. Live'!U299-'check-Jul''26'!Q299)</f>
        <v/>
      </c>
      <c r="Y281" s="25" t="str">
        <f>IF('1. Live'!V299='check-Jul''26'!R299,"",'1. Live'!V299-'check-Jul''26'!R299)</f>
        <v/>
      </c>
      <c r="Z281" s="25" t="str">
        <f>IF('1. Live'!W299='check-Jul''26'!S299,"",'1. Live'!W299-'check-Jul''26'!S299)</f>
        <v/>
      </c>
      <c r="AA281" s="25" t="str">
        <f>IF('1. Live'!X299='check-Jul''26'!T299,"",'1. Live'!X299-'check-Jul''26'!T299)</f>
        <v/>
      </c>
      <c r="AB281" s="25" t="str">
        <f>IF('1. Live'!AF299='check-Jul''26'!AB299,"",'1. Live'!AF299-'check-Jul''26'!AB299)</f>
        <v/>
      </c>
      <c r="AC281" s="25" t="str">
        <f>IF('1. Live'!AG299='check-Jul''26'!AC299,"",'1. Live'!AG299-'check-Jul''26'!AC299)</f>
        <v/>
      </c>
      <c r="AD281" s="25" t="str">
        <f>IF('1. Live'!AH299='check-Jul''26'!AD299,"",'1. Live'!AH299-'check-Jul''26'!AD299)</f>
        <v/>
      </c>
      <c r="AE281" s="25" t="str">
        <f>IF('1. Live'!AI299='check-Jul''26'!AE299,"",'1. Live'!AI299-'check-Jul''26'!AE299)</f>
        <v/>
      </c>
      <c r="AF281" s="25" t="str">
        <f>IF('1. Live'!AJ299='check-Jul''26'!AF299,"",'1. Live'!AJ299-'check-Jul''26'!AF299)</f>
        <v/>
      </c>
      <c r="AG281" s="25" t="str">
        <f>IF('1. Live'!AK299='check-Jul''26'!AG299,"",'1. Live'!AK299-'check-Jul''26'!AG299)</f>
        <v/>
      </c>
      <c r="AH281" s="25" t="str">
        <f>IF('1. Live'!AL299='check-Jul''26'!AH299,"",'1. Live'!AL299-'check-Jul''26'!AH299)</f>
        <v/>
      </c>
      <c r="AI281" s="25" t="str">
        <f>IF('1. Live'!AM299='check-Jul''26'!AI299,"",'1. Live'!AM299-'check-Jul''26'!AI299)</f>
        <v/>
      </c>
      <c r="AJ281" s="25" t="str">
        <f>IF('1. Live'!AN299='check-Jul''26'!AJ299,"",'1. Live'!AN299-'check-Jul''26'!AJ299)</f>
        <v/>
      </c>
      <c r="AK281" s="25" t="str">
        <f>IF('1. Live'!AO299='check-Jul''26'!AK299,"",'1. Live'!AO299-'check-Jul''26'!AK299)</f>
        <v/>
      </c>
      <c r="AL281" s="25" t="str">
        <f>IF('1. Live'!AP299='check-Jul''26'!AL299,"",'1. Live'!AP299-'check-Jul''26'!AL299)</f>
        <v/>
      </c>
      <c r="AM281" s="25" t="str">
        <f>IF('1. Live'!AQ299='check-Jul''26'!AM299,"",'1. Live'!AQ299-'check-Jul''26'!AM299)</f>
        <v/>
      </c>
      <c r="AN281" s="25" t="str">
        <f>IF('1. Live'!AR299='check-Jul''26'!AN299,"",'1. Live'!AR299-'check-Jul''26'!AN299)</f>
        <v/>
      </c>
      <c r="AO281" s="25" t="str">
        <f>IF('1. Live'!AS299='check-Jul''26'!AO299,"",'1. Live'!AS299-'check-Jul''26'!AO299)</f>
        <v/>
      </c>
      <c r="AP281" s="25" t="str">
        <f>IF('1. Live'!AT299='check-Jul''26'!AP299,"",'1. Live'!AT299-'check-Jul''26'!AP299)</f>
        <v/>
      </c>
      <c r="AQ281" s="25" t="str">
        <f>IF('1. Live'!AU299='check-Jul''26'!AQ299,"",'1. Live'!AU299-'check-Jul''26'!AQ299)</f>
        <v/>
      </c>
      <c r="AR281" s="25" t="str">
        <f>IF('1. Live'!AV299='check-Jul''26'!AR299,"",'1. Live'!AV299-'check-Jul''26'!AR299)</f>
        <v/>
      </c>
      <c r="AS281" s="25" t="str">
        <f>IF('1. Live'!AW299='check-Jul''26'!AS299,"",'1. Live'!AW299-'check-Jul''26'!AS299)</f>
        <v/>
      </c>
      <c r="AT281" s="25" t="str">
        <f>IF('1. Live'!AX299='check-Jul''26'!AT299,"",'1. Live'!AX299-'check-Jul''26'!AT299)</f>
        <v/>
      </c>
      <c r="AU281" s="25" t="str">
        <f>IF('1. Live'!AY299='check-Jul''26'!AU299,"",'1. Live'!AY299-'check-Jul''26'!AU299)</f>
        <v/>
      </c>
      <c r="AV281" s="25" t="str">
        <f>IF('1. Live'!AZ299='check-Jul''26'!AV299,"",'1. Live'!AZ299-'check-Jul''26'!AV299)</f>
        <v/>
      </c>
      <c r="AW281" s="25" t="str">
        <f>IF('1. Live'!BA299='check-Jul''26'!AW299,"",'1. Live'!BA299-'check-Jul''26'!AW299)</f>
        <v/>
      </c>
      <c r="AX281" s="25" t="str">
        <f>IF('1. Live'!BB299='check-Jul''26'!AX299,"",'1. Live'!BB299-'check-Jul''26'!AX299)</f>
        <v/>
      </c>
      <c r="AY281" s="25" t="str">
        <f>IF('1. Live'!BC299='check-Jul''26'!AY299,"",'1. Live'!BC299-'check-Jul''26'!AY299)</f>
        <v/>
      </c>
      <c r="AZ281" s="25" t="str">
        <f>IF('1. Live'!BD299='check-Jul''26'!AZ299,"",'1. Live'!BD299-'check-Jul''26'!AZ299)</f>
        <v/>
      </c>
      <c r="BA281" s="25" t="str">
        <f>IF('1. Live'!BE299='check-Jul''26'!BA299,"",'1. Live'!BE299-'check-Jul''26'!BA299)</f>
        <v/>
      </c>
      <c r="BB281" s="25" t="str">
        <f>IF('1. Live'!BF299='check-Jul''26'!BB299,"",'1. Live'!BF299-'check-Jul''26'!BB299)</f>
        <v/>
      </c>
      <c r="BC281" s="25" t="str">
        <f>IF('1. Live'!BG299='check-Jul''26'!BC299,"",'1. Live'!BG299-'check-Jul''26'!BC299)</f>
        <v/>
      </c>
      <c r="BD281" s="25" t="str">
        <f>IF('1. Live'!BH299='check-Jul''26'!BD299,"",'1. Live'!BH299-'check-Jul''26'!BD299)</f>
        <v/>
      </c>
      <c r="BE281" s="25" t="str">
        <f>IF('1. Live'!BI299='check-Jul''26'!BE299,"",'1. Live'!BI299-'check-Jul''26'!BE299)</f>
        <v/>
      </c>
      <c r="BF281" s="25" t="str">
        <f>IF('1. Live'!BJ299='check-Jul''26'!BF299,"",'1. Live'!BJ299-'check-Jul''26'!BF299)</f>
        <v/>
      </c>
      <c r="BG281" s="25" t="str">
        <f>IF('1. Live'!BK299='check-Jul''26'!BG299,"",'1. Live'!BK299-'check-Jul''26'!BG299)</f>
        <v/>
      </c>
      <c r="BH281" s="25" t="str">
        <f>IF('1. Live'!BL299='check-Jul''26'!BH299,"",'1. Live'!BL299-'check-Jul''26'!BH299)</f>
        <v/>
      </c>
      <c r="BI281" s="25" t="str">
        <f>IF('1. Live'!BM299='check-Jul''26'!BI299,"",'1. Live'!BM299-'check-Jul''26'!BI299)</f>
        <v/>
      </c>
      <c r="BJ281" s="25" t="str">
        <f>IF('1. Live'!BN299='check-Jul''26'!BJ299,"",'1. Live'!BN299-'check-Jul''26'!BJ299)</f>
        <v/>
      </c>
      <c r="BK281" s="25" t="str">
        <f>IF('1. Live'!BO299='check-Jul''26'!BK299,"",'1. Live'!BO299-'check-Jul''26'!BK299)</f>
        <v/>
      </c>
      <c r="BL281" s="25" t="str">
        <f>IF('1. Live'!BP299='check-Jul''26'!BL299,"",'1. Live'!BP299-'check-Jul''26'!BL299)</f>
        <v/>
      </c>
      <c r="BM281" s="25" t="str">
        <f>IF('1. Live'!BQ299='check-Jul''26'!BM299,"",'1. Live'!BQ299-'check-Jul''26'!BM299)</f>
        <v/>
      </c>
      <c r="BN281" s="25" t="str">
        <f>IF('1. Live'!BR299='check-Jul''26'!BN299,"",'1. Live'!BR299-'check-Jul''26'!BN299)</f>
        <v/>
      </c>
      <c r="BO281" s="25" t="str">
        <f>IF('1. Live'!BS299='check-Jul''26'!BO299,"",'1. Live'!BS299-'check-Jul''26'!BO299)</f>
        <v/>
      </c>
      <c r="BP281" s="25" t="str">
        <f>IF('1. Live'!BT299='check-Jul''26'!BP299,"",'1. Live'!BT299-'check-Jul''26'!BP299)</f>
        <v/>
      </c>
      <c r="BQ281" s="25" t="str">
        <f>IF('1. Live'!BU299='check-Jul''26'!BQ299,"",'1. Live'!BU299-'check-Jul''26'!BQ299)</f>
        <v/>
      </c>
      <c r="BR281" s="25" t="str">
        <f>IF('1. Live'!BV299='check-Jul''26'!BR299,"",'1. Live'!BV299-'check-Jul''26'!BR299)</f>
        <v/>
      </c>
      <c r="BS281" s="25" t="str">
        <f>IF('1. Live'!BW299='check-Jul''26'!BS299,"",'1. Live'!BW299-'check-Jul''26'!BS299)</f>
        <v/>
      </c>
      <c r="BT281" s="25" t="str">
        <f>IF('1. Live'!BX299='check-Jul''26'!BT299,"",'1. Live'!BX299-'check-Jul''26'!BT299)</f>
        <v/>
      </c>
      <c r="BU281" s="25" t="str">
        <f>IF('1. Live'!BY299='check-Jul''26'!BU299,"",'1. Live'!BY299-'check-Jul''26'!BU299)</f>
        <v/>
      </c>
      <c r="BV281" s="25" t="str">
        <f>IF('1. Live'!BZ299='check-Jul''26'!BV299,"",'1. Live'!BZ299-'check-Jul''26'!BV299)</f>
        <v/>
      </c>
      <c r="BW281" s="25" t="str">
        <f>IF('1. Live'!CA299='check-Jul''26'!BW299,"",'1. Live'!CA299-'check-Jul''26'!BW299)</f>
        <v/>
      </c>
      <c r="BX281" s="25" t="str">
        <f>IF('1. Live'!CB299='check-Jul''26'!BX299,"",'1. Live'!CB299-'check-Jul''26'!BX299)</f>
        <v/>
      </c>
      <c r="BY281" s="25" t="str">
        <f>IF('1. Live'!CC299='check-Jul''26'!BY299,"",'1. Live'!CC299-'check-Jul''26'!BY299)</f>
        <v/>
      </c>
      <c r="BZ281" s="25" t="str">
        <f>IF('1. Live'!CD299='check-Jul''26'!BZ299,"",'1. Live'!CD299-'check-Jul''26'!BZ299)</f>
        <v/>
      </c>
      <c r="CA281" s="25" t="str">
        <f>IF('1. Live'!CE299='check-Jul''26'!CA299,"",'1. Live'!CE299-'check-Jul''26'!CA299)</f>
        <v/>
      </c>
      <c r="CB281" s="25" t="str">
        <f>IF('1. Live'!CF299='check-Jul''26'!CB299,"",'1. Live'!CF299-'check-Jul''26'!CB299)</f>
        <v/>
      </c>
      <c r="CC281" s="25" t="str">
        <f>IF('1. Live'!CG299='check-Jul''26'!CC299,"",'1. Live'!CG299-'check-Jul''26'!CC299)</f>
        <v/>
      </c>
      <c r="CD281" s="25" t="str">
        <f>IF('1. Live'!CH299='check-Jul''26'!CD299,"",'1. Live'!CH299-'check-Jul''26'!CD299)</f>
        <v/>
      </c>
      <c r="CE281" s="25" t="str">
        <f>IF('1. Live'!CI299='check-Jul''26'!CE299,"",'1. Live'!CI299-'check-Jul''26'!CE299)</f>
        <v/>
      </c>
      <c r="CF281" s="25" t="str">
        <f>IF('1. Live'!CJ299='check-Jul''26'!CF299,"",'1. Live'!CJ299-'check-Jul''26'!CF299)</f>
        <v/>
      </c>
      <c r="CG281" s="25" t="str">
        <f>IF('1. Live'!CK299='check-Jul''26'!CG299,"",'1. Live'!CK299-'check-Jul''26'!CG299)</f>
        <v/>
      </c>
      <c r="CH281" s="25" t="str">
        <f>IF('1. Live'!CL299='check-Jul''26'!CH299,"",'1. Live'!CL299-'check-Jul''26'!CH299)</f>
        <v/>
      </c>
      <c r="CI281" s="25" t="str">
        <f>IF('1. Live'!CM299='check-Jul''26'!CI299,"",'1. Live'!CM299-'check-Jul''26'!CI299)</f>
        <v/>
      </c>
      <c r="CJ281" s="25" t="str">
        <f>IF('1. Live'!CN299='check-Jul''26'!CJ299,"",'1. Live'!CN299-'check-Jul''26'!CJ299)</f>
        <v/>
      </c>
      <c r="CK281" s="25" t="str">
        <f>IF('1. Live'!CO299='check-Jul''26'!CK299,"",'1. Live'!CO299-'check-Jul''26'!CK299)</f>
        <v/>
      </c>
      <c r="CL281" s="25" t="str">
        <f>IF('1. Live'!CP299='check-Jul''26'!CL299,"",'1. Live'!CP299-'check-Jul''26'!CL299)</f>
        <v/>
      </c>
      <c r="CM281" s="25" t="str">
        <f>IF('1. Live'!CQ299='check-Jul''26'!CM299,"",'1. Live'!CQ299-'check-Jul''26'!CM299)</f>
        <v/>
      </c>
      <c r="CN281" s="25" t="str">
        <f>IF('1. Live'!CR299='check-Jul''26'!CN299,"",'1. Live'!CR299-'check-Jul''26'!CN299)</f>
        <v/>
      </c>
      <c r="CO281" s="25" t="str">
        <f>IF('1. Live'!CS299='check-Jul''26'!CO299,"",'1. Live'!CS299-'check-Jul''26'!CO299)</f>
        <v/>
      </c>
      <c r="CP281" s="25" t="str">
        <f>IF('1. Live'!CT299='check-Jul''26'!CP299,"",'1. Live'!CT299-'check-Jul''26'!CP299)</f>
        <v/>
      </c>
      <c r="CQ281" s="25" t="str">
        <f>IF('1. Live'!CU299='check-Jul''26'!CQ299,"",'1. Live'!CU299-'check-Jul''26'!CQ299)</f>
        <v/>
      </c>
      <c r="CR281" s="25" t="str">
        <f>IF('1. Live'!CV299='check-Jul''26'!CR299,"",'1. Live'!CV299-'check-Jul''26'!CR299)</f>
        <v/>
      </c>
      <c r="CS281" s="25" t="str">
        <f>IF('1. Live'!CW299='check-Jul''26'!CS299,"",'1. Live'!CW299-'check-Jul''26'!CS299)</f>
        <v/>
      </c>
      <c r="CT281" s="25" t="str">
        <f>IF('1. Live'!CX299='check-Jul''26'!CT299,"",'1. Live'!CX299-'check-Jul''26'!CT299)</f>
        <v/>
      </c>
      <c r="CU281" s="25" t="str">
        <f>IF('1. Live'!CY299='check-Jul''26'!CU299,"",'1. Live'!CY299-'check-Jul''26'!CU299)</f>
        <v/>
      </c>
      <c r="CV281" s="25" t="str">
        <f>IF('1. Live'!CZ299='check-Jul''26'!CV299,"",'1. Live'!CZ299-'check-Jul''26'!CV299)</f>
        <v/>
      </c>
    </row>
    <row r="282" spans="17:100" x14ac:dyDescent="0.25">
      <c r="Q282" s="26" t="str">
        <f>IF('1. Live'!N300='check-Jul''26'!I300,"",'1. Live'!N300-'check-Jul''26'!I300)</f>
        <v/>
      </c>
      <c r="R282" s="26" t="str">
        <f>IF('1. Live'!O300='check-Jul''26'!J300,"",'1. Live'!O300-'check-Jul''26'!J300)</f>
        <v/>
      </c>
      <c r="S282" s="26" t="str">
        <f>IF('1. Live'!P300='check-Jul''26'!K300,"",'1. Live'!P300-'check-Jul''26'!K300)</f>
        <v/>
      </c>
      <c r="T282" s="26" t="str">
        <f>IF('1. Live'!Q300='check-Jul''26'!L300,"",'1. Live'!Q300-'check-Jul''26'!L300)</f>
        <v/>
      </c>
      <c r="U282" s="80" t="str">
        <f>IF('1. Live'!R300='check-Jul''26'!M300,"",'1. Live'!R300-'check-Jul''26'!M300)</f>
        <v/>
      </c>
      <c r="V282" s="26" t="str">
        <f>IF('1. Live'!S300='check-Jul''26'!N300,"",'1. Live'!S300-'check-Jul''26'!N300)</f>
        <v/>
      </c>
      <c r="W282" s="25" t="str">
        <f>IF('1. Live'!T300='check-Jul''26'!O300,"",'1. Live'!T300-'check-Jul''26'!O300)</f>
        <v/>
      </c>
      <c r="X282" s="25" t="str">
        <f>IF('1. Live'!U300='check-Jul''26'!Q300,"",'1. Live'!U300-'check-Jul''26'!Q300)</f>
        <v/>
      </c>
      <c r="Y282" s="25" t="str">
        <f>IF('1. Live'!V300='check-Jul''26'!R300,"",'1. Live'!V300-'check-Jul''26'!R300)</f>
        <v/>
      </c>
      <c r="Z282" s="25" t="str">
        <f>IF('1. Live'!W300='check-Jul''26'!S300,"",'1. Live'!W300-'check-Jul''26'!S300)</f>
        <v/>
      </c>
      <c r="AA282" s="25" t="str">
        <f>IF('1. Live'!X300='check-Jul''26'!T300,"",'1. Live'!X300-'check-Jul''26'!T300)</f>
        <v/>
      </c>
      <c r="AB282" s="25" t="str">
        <f>IF('1. Live'!AF300='check-Jul''26'!AB300,"",'1. Live'!AF300-'check-Jul''26'!AB300)</f>
        <v/>
      </c>
      <c r="AC282" s="25" t="str">
        <f>IF('1. Live'!AG300='check-Jul''26'!AC300,"",'1. Live'!AG300-'check-Jul''26'!AC300)</f>
        <v/>
      </c>
      <c r="AD282" s="25" t="str">
        <f>IF('1. Live'!AH300='check-Jul''26'!AD300,"",'1. Live'!AH300-'check-Jul''26'!AD300)</f>
        <v/>
      </c>
      <c r="AE282" s="25" t="str">
        <f>IF('1. Live'!AI300='check-Jul''26'!AE300,"",'1. Live'!AI300-'check-Jul''26'!AE300)</f>
        <v/>
      </c>
      <c r="AF282" s="25" t="str">
        <f>IF('1. Live'!AJ300='check-Jul''26'!AF300,"",'1. Live'!AJ300-'check-Jul''26'!AF300)</f>
        <v/>
      </c>
      <c r="AG282" s="25" t="str">
        <f>IF('1. Live'!AK300='check-Jul''26'!AG300,"",'1. Live'!AK300-'check-Jul''26'!AG300)</f>
        <v/>
      </c>
      <c r="AH282" s="25" t="str">
        <f>IF('1. Live'!AL300='check-Jul''26'!AH300,"",'1. Live'!AL300-'check-Jul''26'!AH300)</f>
        <v/>
      </c>
      <c r="AI282" s="25" t="str">
        <f>IF('1. Live'!AM300='check-Jul''26'!AI300,"",'1. Live'!AM300-'check-Jul''26'!AI300)</f>
        <v/>
      </c>
      <c r="AJ282" s="25" t="str">
        <f>IF('1. Live'!AN300='check-Jul''26'!AJ300,"",'1. Live'!AN300-'check-Jul''26'!AJ300)</f>
        <v/>
      </c>
      <c r="AK282" s="25" t="str">
        <f>IF('1. Live'!AO300='check-Jul''26'!AK300,"",'1. Live'!AO300-'check-Jul''26'!AK300)</f>
        <v/>
      </c>
      <c r="AL282" s="25" t="str">
        <f>IF('1. Live'!AP300='check-Jul''26'!AL300,"",'1. Live'!AP300-'check-Jul''26'!AL300)</f>
        <v/>
      </c>
      <c r="AM282" s="25" t="str">
        <f>IF('1. Live'!AQ300='check-Jul''26'!AM300,"",'1. Live'!AQ300-'check-Jul''26'!AM300)</f>
        <v/>
      </c>
      <c r="AN282" s="25" t="str">
        <f>IF('1. Live'!AR300='check-Jul''26'!AN300,"",'1. Live'!AR300-'check-Jul''26'!AN300)</f>
        <v/>
      </c>
      <c r="AO282" s="25" t="str">
        <f>IF('1. Live'!AS300='check-Jul''26'!AO300,"",'1. Live'!AS300-'check-Jul''26'!AO300)</f>
        <v/>
      </c>
      <c r="AP282" s="25" t="str">
        <f>IF('1. Live'!AT300='check-Jul''26'!AP300,"",'1. Live'!AT300-'check-Jul''26'!AP300)</f>
        <v/>
      </c>
      <c r="AQ282" s="25" t="str">
        <f>IF('1. Live'!AU300='check-Jul''26'!AQ300,"",'1. Live'!AU300-'check-Jul''26'!AQ300)</f>
        <v/>
      </c>
      <c r="AR282" s="25" t="str">
        <f>IF('1. Live'!AV300='check-Jul''26'!AR300,"",'1. Live'!AV300-'check-Jul''26'!AR300)</f>
        <v/>
      </c>
      <c r="AS282" s="25" t="str">
        <f>IF('1. Live'!AW300='check-Jul''26'!AS300,"",'1. Live'!AW300-'check-Jul''26'!AS300)</f>
        <v/>
      </c>
      <c r="AT282" s="25" t="str">
        <f>IF('1. Live'!AX300='check-Jul''26'!AT300,"",'1. Live'!AX300-'check-Jul''26'!AT300)</f>
        <v/>
      </c>
      <c r="AU282" s="25" t="str">
        <f>IF('1. Live'!AY300='check-Jul''26'!AU300,"",'1. Live'!AY300-'check-Jul''26'!AU300)</f>
        <v/>
      </c>
      <c r="AV282" s="25" t="str">
        <f>IF('1. Live'!AZ300='check-Jul''26'!AV300,"",'1. Live'!AZ300-'check-Jul''26'!AV300)</f>
        <v/>
      </c>
      <c r="AW282" s="25" t="str">
        <f>IF('1. Live'!BA300='check-Jul''26'!AW300,"",'1. Live'!BA300-'check-Jul''26'!AW300)</f>
        <v/>
      </c>
      <c r="AX282" s="25" t="str">
        <f>IF('1. Live'!BB300='check-Jul''26'!AX300,"",'1. Live'!BB300-'check-Jul''26'!AX300)</f>
        <v/>
      </c>
      <c r="AY282" s="25" t="str">
        <f>IF('1. Live'!BC300='check-Jul''26'!AY300,"",'1. Live'!BC300-'check-Jul''26'!AY300)</f>
        <v/>
      </c>
      <c r="AZ282" s="25" t="str">
        <f>IF('1. Live'!BD300='check-Jul''26'!AZ300,"",'1. Live'!BD300-'check-Jul''26'!AZ300)</f>
        <v/>
      </c>
      <c r="BA282" s="25" t="str">
        <f>IF('1. Live'!BE300='check-Jul''26'!BA300,"",'1. Live'!BE300-'check-Jul''26'!BA300)</f>
        <v/>
      </c>
      <c r="BB282" s="25" t="str">
        <f>IF('1. Live'!BF300='check-Jul''26'!BB300,"",'1. Live'!BF300-'check-Jul''26'!BB300)</f>
        <v/>
      </c>
      <c r="BC282" s="25" t="str">
        <f>IF('1. Live'!BG300='check-Jul''26'!BC300,"",'1. Live'!BG300-'check-Jul''26'!BC300)</f>
        <v/>
      </c>
      <c r="BD282" s="25" t="str">
        <f>IF('1. Live'!BH300='check-Jul''26'!BD300,"",'1. Live'!BH300-'check-Jul''26'!BD300)</f>
        <v/>
      </c>
      <c r="BE282" s="25" t="str">
        <f>IF('1. Live'!BI300='check-Jul''26'!BE300,"",'1. Live'!BI300-'check-Jul''26'!BE300)</f>
        <v/>
      </c>
      <c r="BF282" s="25" t="str">
        <f>IF('1. Live'!BJ300='check-Jul''26'!BF300,"",'1. Live'!BJ300-'check-Jul''26'!BF300)</f>
        <v/>
      </c>
      <c r="BG282" s="25" t="str">
        <f>IF('1. Live'!BK300='check-Jul''26'!BG300,"",'1. Live'!BK300-'check-Jul''26'!BG300)</f>
        <v/>
      </c>
      <c r="BH282" s="25" t="str">
        <f>IF('1. Live'!BL300='check-Jul''26'!BH300,"",'1. Live'!BL300-'check-Jul''26'!BH300)</f>
        <v/>
      </c>
      <c r="BI282" s="25" t="str">
        <f>IF('1. Live'!BM300='check-Jul''26'!BI300,"",'1. Live'!BM300-'check-Jul''26'!BI300)</f>
        <v/>
      </c>
      <c r="BJ282" s="25" t="str">
        <f>IF('1. Live'!BN300='check-Jul''26'!BJ300,"",'1. Live'!BN300-'check-Jul''26'!BJ300)</f>
        <v/>
      </c>
      <c r="BK282" s="25" t="str">
        <f>IF('1. Live'!BO300='check-Jul''26'!BK300,"",'1. Live'!BO300-'check-Jul''26'!BK300)</f>
        <v/>
      </c>
      <c r="BL282" s="25" t="str">
        <f>IF('1. Live'!BP300='check-Jul''26'!BL300,"",'1. Live'!BP300-'check-Jul''26'!BL300)</f>
        <v/>
      </c>
      <c r="BM282" s="25" t="str">
        <f>IF('1. Live'!BQ300='check-Jul''26'!BM300,"",'1. Live'!BQ300-'check-Jul''26'!BM300)</f>
        <v/>
      </c>
      <c r="BN282" s="25" t="str">
        <f>IF('1. Live'!BR300='check-Jul''26'!BN300,"",'1. Live'!BR300-'check-Jul''26'!BN300)</f>
        <v/>
      </c>
      <c r="BO282" s="25" t="str">
        <f>IF('1. Live'!BS300='check-Jul''26'!BO300,"",'1. Live'!BS300-'check-Jul''26'!BO300)</f>
        <v/>
      </c>
      <c r="BP282" s="25" t="str">
        <f>IF('1. Live'!BT300='check-Jul''26'!BP300,"",'1. Live'!BT300-'check-Jul''26'!BP300)</f>
        <v/>
      </c>
      <c r="BQ282" s="25" t="str">
        <f>IF('1. Live'!BU300='check-Jul''26'!BQ300,"",'1. Live'!BU300-'check-Jul''26'!BQ300)</f>
        <v/>
      </c>
      <c r="BR282" s="25" t="str">
        <f>IF('1. Live'!BV300='check-Jul''26'!BR300,"",'1. Live'!BV300-'check-Jul''26'!BR300)</f>
        <v/>
      </c>
      <c r="BS282" s="25" t="str">
        <f>IF('1. Live'!BW300='check-Jul''26'!BS300,"",'1. Live'!BW300-'check-Jul''26'!BS300)</f>
        <v/>
      </c>
      <c r="BT282" s="25" t="str">
        <f>IF('1. Live'!BX300='check-Jul''26'!BT300,"",'1. Live'!BX300-'check-Jul''26'!BT300)</f>
        <v/>
      </c>
      <c r="BU282" s="25" t="str">
        <f>IF('1. Live'!BY300='check-Jul''26'!BU300,"",'1. Live'!BY300-'check-Jul''26'!BU300)</f>
        <v/>
      </c>
      <c r="BV282" s="25" t="str">
        <f>IF('1. Live'!BZ300='check-Jul''26'!BV300,"",'1. Live'!BZ300-'check-Jul''26'!BV300)</f>
        <v/>
      </c>
      <c r="BW282" s="25" t="str">
        <f>IF('1. Live'!CA300='check-Jul''26'!BW300,"",'1. Live'!CA300-'check-Jul''26'!BW300)</f>
        <v/>
      </c>
      <c r="BX282" s="25" t="str">
        <f>IF('1. Live'!CB300='check-Jul''26'!BX300,"",'1. Live'!CB300-'check-Jul''26'!BX300)</f>
        <v/>
      </c>
      <c r="BY282" s="25" t="str">
        <f>IF('1. Live'!CC300='check-Jul''26'!BY300,"",'1. Live'!CC300-'check-Jul''26'!BY300)</f>
        <v/>
      </c>
      <c r="BZ282" s="25" t="str">
        <f>IF('1. Live'!CD300='check-Jul''26'!BZ300,"",'1. Live'!CD300-'check-Jul''26'!BZ300)</f>
        <v/>
      </c>
      <c r="CA282" s="25" t="str">
        <f>IF('1. Live'!CE300='check-Jul''26'!CA300,"",'1. Live'!CE300-'check-Jul''26'!CA300)</f>
        <v/>
      </c>
      <c r="CB282" s="25" t="str">
        <f>IF('1. Live'!CF300='check-Jul''26'!CB300,"",'1. Live'!CF300-'check-Jul''26'!CB300)</f>
        <v/>
      </c>
      <c r="CC282" s="25" t="str">
        <f>IF('1. Live'!CG300='check-Jul''26'!CC300,"",'1. Live'!CG300-'check-Jul''26'!CC300)</f>
        <v/>
      </c>
      <c r="CD282" s="25" t="str">
        <f>IF('1. Live'!CH300='check-Jul''26'!CD300,"",'1. Live'!CH300-'check-Jul''26'!CD300)</f>
        <v/>
      </c>
      <c r="CE282" s="25" t="str">
        <f>IF('1. Live'!CI300='check-Jul''26'!CE300,"",'1. Live'!CI300-'check-Jul''26'!CE300)</f>
        <v/>
      </c>
      <c r="CF282" s="25" t="str">
        <f>IF('1. Live'!CJ300='check-Jul''26'!CF300,"",'1. Live'!CJ300-'check-Jul''26'!CF300)</f>
        <v/>
      </c>
      <c r="CG282" s="25" t="str">
        <f>IF('1. Live'!CK300='check-Jul''26'!CG300,"",'1. Live'!CK300-'check-Jul''26'!CG300)</f>
        <v/>
      </c>
      <c r="CH282" s="25" t="str">
        <f>IF('1. Live'!CL300='check-Jul''26'!CH300,"",'1. Live'!CL300-'check-Jul''26'!CH300)</f>
        <v/>
      </c>
      <c r="CI282" s="25" t="str">
        <f>IF('1. Live'!CM300='check-Jul''26'!CI300,"",'1. Live'!CM300-'check-Jul''26'!CI300)</f>
        <v/>
      </c>
      <c r="CJ282" s="25" t="str">
        <f>IF('1. Live'!CN300='check-Jul''26'!CJ300,"",'1. Live'!CN300-'check-Jul''26'!CJ300)</f>
        <v/>
      </c>
      <c r="CK282" s="25" t="str">
        <f>IF('1. Live'!CO300='check-Jul''26'!CK300,"",'1. Live'!CO300-'check-Jul''26'!CK300)</f>
        <v/>
      </c>
      <c r="CL282" s="25" t="str">
        <f>IF('1. Live'!CP300='check-Jul''26'!CL300,"",'1. Live'!CP300-'check-Jul''26'!CL300)</f>
        <v/>
      </c>
      <c r="CM282" s="25" t="str">
        <f>IF('1. Live'!CQ300='check-Jul''26'!CM300,"",'1. Live'!CQ300-'check-Jul''26'!CM300)</f>
        <v/>
      </c>
      <c r="CN282" s="25" t="str">
        <f>IF('1. Live'!CR300='check-Jul''26'!CN300,"",'1. Live'!CR300-'check-Jul''26'!CN300)</f>
        <v/>
      </c>
      <c r="CO282" s="25" t="str">
        <f>IF('1. Live'!CS300='check-Jul''26'!CO300,"",'1. Live'!CS300-'check-Jul''26'!CO300)</f>
        <v/>
      </c>
      <c r="CP282" s="25" t="str">
        <f>IF('1. Live'!CT300='check-Jul''26'!CP300,"",'1. Live'!CT300-'check-Jul''26'!CP300)</f>
        <v/>
      </c>
      <c r="CQ282" s="25" t="str">
        <f>IF('1. Live'!CU300='check-Jul''26'!CQ300,"",'1. Live'!CU300-'check-Jul''26'!CQ300)</f>
        <v/>
      </c>
      <c r="CR282" s="25" t="str">
        <f>IF('1. Live'!CV300='check-Jul''26'!CR300,"",'1. Live'!CV300-'check-Jul''26'!CR300)</f>
        <v/>
      </c>
      <c r="CS282" s="25" t="str">
        <f>IF('1. Live'!CW300='check-Jul''26'!CS300,"",'1. Live'!CW300-'check-Jul''26'!CS300)</f>
        <v/>
      </c>
      <c r="CT282" s="25" t="str">
        <f>IF('1. Live'!CX300='check-Jul''26'!CT300,"",'1. Live'!CX300-'check-Jul''26'!CT300)</f>
        <v/>
      </c>
      <c r="CU282" s="25" t="str">
        <f>IF('1. Live'!CY300='check-Jul''26'!CU300,"",'1. Live'!CY300-'check-Jul''26'!CU300)</f>
        <v/>
      </c>
      <c r="CV282" s="25" t="str">
        <f>IF('1. Live'!CZ300='check-Jul''26'!CV300,"",'1. Live'!CZ300-'check-Jul''26'!CV300)</f>
        <v/>
      </c>
    </row>
    <row r="283" spans="17:100" x14ac:dyDescent="0.25">
      <c r="Q283" s="26" t="str">
        <f>IF('1. Live'!N301='check-Jul''26'!I301,"",'1. Live'!N301-'check-Jul''26'!I301)</f>
        <v/>
      </c>
      <c r="R283" s="26" t="str">
        <f>IF('1. Live'!O301='check-Jul''26'!J301,"",'1. Live'!O301-'check-Jul''26'!J301)</f>
        <v/>
      </c>
      <c r="S283" s="26" t="str">
        <f>IF('1. Live'!P301='check-Jul''26'!K301,"",'1. Live'!P301-'check-Jul''26'!K301)</f>
        <v/>
      </c>
      <c r="T283" s="26" t="str">
        <f>IF('1. Live'!Q301='check-Jul''26'!L301,"",'1. Live'!Q301-'check-Jul''26'!L301)</f>
        <v/>
      </c>
      <c r="U283" s="80" t="str">
        <f>IF('1. Live'!R301='check-Jul''26'!M301,"",'1. Live'!R301-'check-Jul''26'!M301)</f>
        <v/>
      </c>
      <c r="V283" s="26" t="str">
        <f>IF('1. Live'!S301='check-Jul''26'!N301,"",'1. Live'!S301-'check-Jul''26'!N301)</f>
        <v/>
      </c>
      <c r="W283" s="25" t="str">
        <f>IF('1. Live'!T301='check-Jul''26'!O301,"",'1. Live'!T301-'check-Jul''26'!O301)</f>
        <v/>
      </c>
      <c r="X283" s="25" t="str">
        <f>IF('1. Live'!U301='check-Jul''26'!Q301,"",'1. Live'!U301-'check-Jul''26'!Q301)</f>
        <v/>
      </c>
      <c r="Y283" s="25" t="str">
        <f>IF('1. Live'!V301='check-Jul''26'!R301,"",'1. Live'!V301-'check-Jul''26'!R301)</f>
        <v/>
      </c>
      <c r="Z283" s="25" t="str">
        <f>IF('1. Live'!W301='check-Jul''26'!S301,"",'1. Live'!W301-'check-Jul''26'!S301)</f>
        <v/>
      </c>
      <c r="AA283" s="25" t="str">
        <f>IF('1. Live'!X301='check-Jul''26'!T301,"",'1. Live'!X301-'check-Jul''26'!T301)</f>
        <v/>
      </c>
      <c r="AB283" s="25" t="str">
        <f>IF('1. Live'!AF301='check-Jul''26'!AB301,"",'1. Live'!AF301-'check-Jul''26'!AB301)</f>
        <v/>
      </c>
      <c r="AC283" s="25" t="str">
        <f>IF('1. Live'!AG301='check-Jul''26'!AC301,"",'1. Live'!AG301-'check-Jul''26'!AC301)</f>
        <v/>
      </c>
      <c r="AD283" s="25" t="str">
        <f>IF('1. Live'!AH301='check-Jul''26'!AD301,"",'1. Live'!AH301-'check-Jul''26'!AD301)</f>
        <v/>
      </c>
      <c r="AE283" s="25" t="str">
        <f>IF('1. Live'!AI301='check-Jul''26'!AE301,"",'1. Live'!AI301-'check-Jul''26'!AE301)</f>
        <v/>
      </c>
      <c r="AF283" s="25" t="str">
        <f>IF('1. Live'!AJ301='check-Jul''26'!AF301,"",'1. Live'!AJ301-'check-Jul''26'!AF301)</f>
        <v/>
      </c>
      <c r="AG283" s="25" t="str">
        <f>IF('1. Live'!AK301='check-Jul''26'!AG301,"",'1. Live'!AK301-'check-Jul''26'!AG301)</f>
        <v/>
      </c>
      <c r="AH283" s="25" t="str">
        <f>IF('1. Live'!AL301='check-Jul''26'!AH301,"",'1. Live'!AL301-'check-Jul''26'!AH301)</f>
        <v/>
      </c>
      <c r="AI283" s="25" t="str">
        <f>IF('1. Live'!AM301='check-Jul''26'!AI301,"",'1. Live'!AM301-'check-Jul''26'!AI301)</f>
        <v/>
      </c>
      <c r="AJ283" s="25" t="str">
        <f>IF('1. Live'!AN301='check-Jul''26'!AJ301,"",'1. Live'!AN301-'check-Jul''26'!AJ301)</f>
        <v/>
      </c>
      <c r="AK283" s="25" t="str">
        <f>IF('1. Live'!AO301='check-Jul''26'!AK301,"",'1. Live'!AO301-'check-Jul''26'!AK301)</f>
        <v/>
      </c>
      <c r="AL283" s="25" t="str">
        <f>IF('1. Live'!AP301='check-Jul''26'!AL301,"",'1. Live'!AP301-'check-Jul''26'!AL301)</f>
        <v/>
      </c>
      <c r="AM283" s="25" t="str">
        <f>IF('1. Live'!AQ301='check-Jul''26'!AM301,"",'1. Live'!AQ301-'check-Jul''26'!AM301)</f>
        <v/>
      </c>
      <c r="AN283" s="25" t="str">
        <f>IF('1. Live'!AR301='check-Jul''26'!AN301,"",'1. Live'!AR301-'check-Jul''26'!AN301)</f>
        <v/>
      </c>
      <c r="AO283" s="25" t="str">
        <f>IF('1. Live'!AS301='check-Jul''26'!AO301,"",'1. Live'!AS301-'check-Jul''26'!AO301)</f>
        <v/>
      </c>
      <c r="AP283" s="25" t="str">
        <f>IF('1. Live'!AT301='check-Jul''26'!AP301,"",'1. Live'!AT301-'check-Jul''26'!AP301)</f>
        <v/>
      </c>
      <c r="AQ283" s="25" t="str">
        <f>IF('1. Live'!AU301='check-Jul''26'!AQ301,"",'1. Live'!AU301-'check-Jul''26'!AQ301)</f>
        <v/>
      </c>
      <c r="AR283" s="25" t="str">
        <f>IF('1. Live'!AV301='check-Jul''26'!AR301,"",'1. Live'!AV301-'check-Jul''26'!AR301)</f>
        <v/>
      </c>
      <c r="AS283" s="25" t="str">
        <f>IF('1. Live'!AW301='check-Jul''26'!AS301,"",'1. Live'!AW301-'check-Jul''26'!AS301)</f>
        <v/>
      </c>
      <c r="AT283" s="25" t="str">
        <f>IF('1. Live'!AX301='check-Jul''26'!AT301,"",'1. Live'!AX301-'check-Jul''26'!AT301)</f>
        <v/>
      </c>
      <c r="AU283" s="25" t="str">
        <f>IF('1. Live'!AY301='check-Jul''26'!AU301,"",'1. Live'!AY301-'check-Jul''26'!AU301)</f>
        <v/>
      </c>
      <c r="AV283" s="25" t="str">
        <f>IF('1. Live'!AZ301='check-Jul''26'!AV301,"",'1. Live'!AZ301-'check-Jul''26'!AV301)</f>
        <v/>
      </c>
      <c r="AW283" s="25" t="str">
        <f>IF('1. Live'!BA301='check-Jul''26'!AW301,"",'1. Live'!BA301-'check-Jul''26'!AW301)</f>
        <v/>
      </c>
      <c r="AX283" s="25" t="str">
        <f>IF('1. Live'!BB301='check-Jul''26'!AX301,"",'1. Live'!BB301-'check-Jul''26'!AX301)</f>
        <v/>
      </c>
      <c r="AY283" s="25" t="str">
        <f>IF('1. Live'!BC301='check-Jul''26'!AY301,"",'1. Live'!BC301-'check-Jul''26'!AY301)</f>
        <v/>
      </c>
      <c r="AZ283" s="25" t="str">
        <f>IF('1. Live'!BD301='check-Jul''26'!AZ301,"",'1. Live'!BD301-'check-Jul''26'!AZ301)</f>
        <v/>
      </c>
      <c r="BA283" s="25" t="str">
        <f>IF('1. Live'!BE301='check-Jul''26'!BA301,"",'1. Live'!BE301-'check-Jul''26'!BA301)</f>
        <v/>
      </c>
      <c r="BB283" s="25" t="str">
        <f>IF('1. Live'!BF301='check-Jul''26'!BB301,"",'1. Live'!BF301-'check-Jul''26'!BB301)</f>
        <v/>
      </c>
      <c r="BC283" s="25" t="str">
        <f>IF('1. Live'!BG301='check-Jul''26'!BC301,"",'1. Live'!BG301-'check-Jul''26'!BC301)</f>
        <v/>
      </c>
      <c r="BD283" s="25" t="str">
        <f>IF('1. Live'!BH301='check-Jul''26'!BD301,"",'1. Live'!BH301-'check-Jul''26'!BD301)</f>
        <v/>
      </c>
      <c r="BE283" s="25" t="str">
        <f>IF('1. Live'!BI301='check-Jul''26'!BE301,"",'1. Live'!BI301-'check-Jul''26'!BE301)</f>
        <v/>
      </c>
      <c r="BF283" s="25" t="str">
        <f>IF('1. Live'!BJ301='check-Jul''26'!BF301,"",'1. Live'!BJ301-'check-Jul''26'!BF301)</f>
        <v/>
      </c>
      <c r="BG283" s="25" t="str">
        <f>IF('1. Live'!BK301='check-Jul''26'!BG301,"",'1. Live'!BK301-'check-Jul''26'!BG301)</f>
        <v/>
      </c>
      <c r="BH283" s="25" t="str">
        <f>IF('1. Live'!BL301='check-Jul''26'!BH301,"",'1. Live'!BL301-'check-Jul''26'!BH301)</f>
        <v/>
      </c>
      <c r="BI283" s="25" t="str">
        <f>IF('1. Live'!BM301='check-Jul''26'!BI301,"",'1. Live'!BM301-'check-Jul''26'!BI301)</f>
        <v/>
      </c>
      <c r="BJ283" s="25" t="str">
        <f>IF('1. Live'!BN301='check-Jul''26'!BJ301,"",'1. Live'!BN301-'check-Jul''26'!BJ301)</f>
        <v/>
      </c>
      <c r="BK283" s="25" t="str">
        <f>IF('1. Live'!BO301='check-Jul''26'!BK301,"",'1. Live'!BO301-'check-Jul''26'!BK301)</f>
        <v/>
      </c>
      <c r="BL283" s="25" t="str">
        <f>IF('1. Live'!BP301='check-Jul''26'!BL301,"",'1. Live'!BP301-'check-Jul''26'!BL301)</f>
        <v/>
      </c>
      <c r="BM283" s="25" t="str">
        <f>IF('1. Live'!BQ301='check-Jul''26'!BM301,"",'1. Live'!BQ301-'check-Jul''26'!BM301)</f>
        <v/>
      </c>
      <c r="BN283" s="25" t="str">
        <f>IF('1. Live'!BR301='check-Jul''26'!BN301,"",'1. Live'!BR301-'check-Jul''26'!BN301)</f>
        <v/>
      </c>
      <c r="BO283" s="25" t="str">
        <f>IF('1. Live'!BS301='check-Jul''26'!BO301,"",'1. Live'!BS301-'check-Jul''26'!BO301)</f>
        <v/>
      </c>
      <c r="BP283" s="25" t="str">
        <f>IF('1. Live'!BT301='check-Jul''26'!BP301,"",'1. Live'!BT301-'check-Jul''26'!BP301)</f>
        <v/>
      </c>
      <c r="BQ283" s="25" t="str">
        <f>IF('1. Live'!BU301='check-Jul''26'!BQ301,"",'1. Live'!BU301-'check-Jul''26'!BQ301)</f>
        <v/>
      </c>
      <c r="BR283" s="25" t="str">
        <f>IF('1. Live'!BV301='check-Jul''26'!BR301,"",'1. Live'!BV301-'check-Jul''26'!BR301)</f>
        <v/>
      </c>
      <c r="BS283" s="25" t="str">
        <f>IF('1. Live'!BW301='check-Jul''26'!BS301,"",'1. Live'!BW301-'check-Jul''26'!BS301)</f>
        <v/>
      </c>
      <c r="BT283" s="25" t="str">
        <f>IF('1. Live'!BX301='check-Jul''26'!BT301,"",'1. Live'!BX301-'check-Jul''26'!BT301)</f>
        <v/>
      </c>
      <c r="BU283" s="25" t="str">
        <f>IF('1. Live'!BY301='check-Jul''26'!BU301,"",'1. Live'!BY301-'check-Jul''26'!BU301)</f>
        <v/>
      </c>
      <c r="BV283" s="25" t="str">
        <f>IF('1. Live'!BZ301='check-Jul''26'!BV301,"",'1. Live'!BZ301-'check-Jul''26'!BV301)</f>
        <v/>
      </c>
      <c r="BW283" s="25" t="str">
        <f>IF('1. Live'!CA301='check-Jul''26'!BW301,"",'1. Live'!CA301-'check-Jul''26'!BW301)</f>
        <v/>
      </c>
      <c r="BX283" s="25" t="str">
        <f>IF('1. Live'!CB301='check-Jul''26'!BX301,"",'1. Live'!CB301-'check-Jul''26'!BX301)</f>
        <v/>
      </c>
      <c r="BY283" s="25" t="str">
        <f>IF('1. Live'!CC301='check-Jul''26'!BY301,"",'1. Live'!CC301-'check-Jul''26'!BY301)</f>
        <v/>
      </c>
      <c r="BZ283" s="25" t="str">
        <f>IF('1. Live'!CD301='check-Jul''26'!BZ301,"",'1. Live'!CD301-'check-Jul''26'!BZ301)</f>
        <v/>
      </c>
      <c r="CA283" s="25" t="str">
        <f>IF('1. Live'!CE301='check-Jul''26'!CA301,"",'1. Live'!CE301-'check-Jul''26'!CA301)</f>
        <v/>
      </c>
      <c r="CB283" s="25" t="str">
        <f>IF('1. Live'!CF301='check-Jul''26'!CB301,"",'1. Live'!CF301-'check-Jul''26'!CB301)</f>
        <v/>
      </c>
      <c r="CC283" s="25" t="str">
        <f>IF('1. Live'!CG301='check-Jul''26'!CC301,"",'1. Live'!CG301-'check-Jul''26'!CC301)</f>
        <v/>
      </c>
      <c r="CD283" s="25" t="str">
        <f>IF('1. Live'!CH301='check-Jul''26'!CD301,"",'1. Live'!CH301-'check-Jul''26'!CD301)</f>
        <v/>
      </c>
      <c r="CE283" s="25" t="str">
        <f>IF('1. Live'!CI301='check-Jul''26'!CE301,"",'1. Live'!CI301-'check-Jul''26'!CE301)</f>
        <v/>
      </c>
      <c r="CF283" s="25" t="str">
        <f>IF('1. Live'!CJ301='check-Jul''26'!CF301,"",'1. Live'!CJ301-'check-Jul''26'!CF301)</f>
        <v/>
      </c>
      <c r="CG283" s="25" t="str">
        <f>IF('1. Live'!CK301='check-Jul''26'!CG301,"",'1. Live'!CK301-'check-Jul''26'!CG301)</f>
        <v/>
      </c>
      <c r="CH283" s="25" t="str">
        <f>IF('1. Live'!CL301='check-Jul''26'!CH301,"",'1. Live'!CL301-'check-Jul''26'!CH301)</f>
        <v/>
      </c>
      <c r="CI283" s="25" t="str">
        <f>IF('1. Live'!CM301='check-Jul''26'!CI301,"",'1. Live'!CM301-'check-Jul''26'!CI301)</f>
        <v/>
      </c>
      <c r="CJ283" s="25" t="str">
        <f>IF('1. Live'!CN301='check-Jul''26'!CJ301,"",'1. Live'!CN301-'check-Jul''26'!CJ301)</f>
        <v/>
      </c>
      <c r="CK283" s="25" t="str">
        <f>IF('1. Live'!CO301='check-Jul''26'!CK301,"",'1. Live'!CO301-'check-Jul''26'!CK301)</f>
        <v/>
      </c>
      <c r="CL283" s="25" t="str">
        <f>IF('1. Live'!CP301='check-Jul''26'!CL301,"",'1. Live'!CP301-'check-Jul''26'!CL301)</f>
        <v/>
      </c>
      <c r="CM283" s="25" t="str">
        <f>IF('1. Live'!CQ301='check-Jul''26'!CM301,"",'1. Live'!CQ301-'check-Jul''26'!CM301)</f>
        <v/>
      </c>
      <c r="CN283" s="25" t="str">
        <f>IF('1. Live'!CR301='check-Jul''26'!CN301,"",'1. Live'!CR301-'check-Jul''26'!CN301)</f>
        <v/>
      </c>
      <c r="CO283" s="25" t="str">
        <f>IF('1. Live'!CS301='check-Jul''26'!CO301,"",'1. Live'!CS301-'check-Jul''26'!CO301)</f>
        <v/>
      </c>
      <c r="CP283" s="25" t="str">
        <f>IF('1. Live'!CT301='check-Jul''26'!CP301,"",'1. Live'!CT301-'check-Jul''26'!CP301)</f>
        <v/>
      </c>
      <c r="CQ283" s="25" t="str">
        <f>IF('1. Live'!CU301='check-Jul''26'!CQ301,"",'1. Live'!CU301-'check-Jul''26'!CQ301)</f>
        <v/>
      </c>
      <c r="CR283" s="25" t="str">
        <f>IF('1. Live'!CV301='check-Jul''26'!CR301,"",'1. Live'!CV301-'check-Jul''26'!CR301)</f>
        <v/>
      </c>
      <c r="CS283" s="25" t="str">
        <f>IF('1. Live'!CW301='check-Jul''26'!CS301,"",'1. Live'!CW301-'check-Jul''26'!CS301)</f>
        <v/>
      </c>
      <c r="CT283" s="25" t="str">
        <f>IF('1. Live'!CX301='check-Jul''26'!CT301,"",'1. Live'!CX301-'check-Jul''26'!CT301)</f>
        <v/>
      </c>
      <c r="CU283" s="25" t="str">
        <f>IF('1. Live'!CY301='check-Jul''26'!CU301,"",'1. Live'!CY301-'check-Jul''26'!CU301)</f>
        <v/>
      </c>
      <c r="CV283" s="25" t="str">
        <f>IF('1. Live'!CZ301='check-Jul''26'!CV301,"",'1. Live'!CZ301-'check-Jul''26'!CV301)</f>
        <v/>
      </c>
    </row>
    <row r="284" spans="17:100" x14ac:dyDescent="0.25">
      <c r="Q284" s="26" t="str">
        <f>IF('1. Live'!N302='check-Jul''26'!I302,"",'1. Live'!N302-'check-Jul''26'!I302)</f>
        <v/>
      </c>
      <c r="R284" s="26" t="str">
        <f>IF('1. Live'!O302='check-Jul''26'!J302,"",'1. Live'!O302-'check-Jul''26'!J302)</f>
        <v/>
      </c>
      <c r="S284" s="26" t="str">
        <f>IF('1. Live'!P302='check-Jul''26'!K302,"",'1. Live'!P302-'check-Jul''26'!K302)</f>
        <v/>
      </c>
      <c r="T284" s="26" t="str">
        <f>IF('1. Live'!Q302='check-Jul''26'!L302,"",'1. Live'!Q302-'check-Jul''26'!L302)</f>
        <v/>
      </c>
      <c r="U284" s="80" t="str">
        <f>IF('1. Live'!R302='check-Jul''26'!M302,"",'1. Live'!R302-'check-Jul''26'!M302)</f>
        <v/>
      </c>
      <c r="V284" s="26" t="str">
        <f>IF('1. Live'!S302='check-Jul''26'!N302,"",'1. Live'!S302-'check-Jul''26'!N302)</f>
        <v/>
      </c>
      <c r="W284" s="25" t="str">
        <f>IF('1. Live'!T302='check-Jul''26'!O302,"",'1. Live'!T302-'check-Jul''26'!O302)</f>
        <v/>
      </c>
      <c r="X284" s="25" t="str">
        <f>IF('1. Live'!U302='check-Jul''26'!Q302,"",'1. Live'!U302-'check-Jul''26'!Q302)</f>
        <v/>
      </c>
      <c r="Y284" s="25" t="str">
        <f>IF('1. Live'!V302='check-Jul''26'!R302,"",'1. Live'!V302-'check-Jul''26'!R302)</f>
        <v/>
      </c>
      <c r="Z284" s="25" t="str">
        <f>IF('1. Live'!W302='check-Jul''26'!S302,"",'1. Live'!W302-'check-Jul''26'!S302)</f>
        <v/>
      </c>
      <c r="AA284" s="25" t="str">
        <f>IF('1. Live'!X302='check-Jul''26'!T302,"",'1. Live'!X302-'check-Jul''26'!T302)</f>
        <v/>
      </c>
      <c r="AB284" s="25" t="str">
        <f>IF('1. Live'!AF302='check-Jul''26'!AB302,"",'1. Live'!AF302-'check-Jul''26'!AB302)</f>
        <v/>
      </c>
      <c r="AC284" s="25" t="str">
        <f>IF('1. Live'!AG302='check-Jul''26'!AC302,"",'1. Live'!AG302-'check-Jul''26'!AC302)</f>
        <v/>
      </c>
      <c r="AD284" s="25" t="str">
        <f>IF('1. Live'!AH302='check-Jul''26'!AD302,"",'1. Live'!AH302-'check-Jul''26'!AD302)</f>
        <v/>
      </c>
      <c r="AE284" s="25" t="str">
        <f>IF('1. Live'!AI302='check-Jul''26'!AE302,"",'1. Live'!AI302-'check-Jul''26'!AE302)</f>
        <v/>
      </c>
      <c r="AF284" s="25" t="str">
        <f>IF('1. Live'!AJ302='check-Jul''26'!AF302,"",'1. Live'!AJ302-'check-Jul''26'!AF302)</f>
        <v/>
      </c>
      <c r="AG284" s="25" t="str">
        <f>IF('1. Live'!AK302='check-Jul''26'!AG302,"",'1. Live'!AK302-'check-Jul''26'!AG302)</f>
        <v/>
      </c>
      <c r="AH284" s="25" t="str">
        <f>IF('1. Live'!AL302='check-Jul''26'!AH302,"",'1. Live'!AL302-'check-Jul''26'!AH302)</f>
        <v/>
      </c>
      <c r="AI284" s="25" t="str">
        <f>IF('1. Live'!AM302='check-Jul''26'!AI302,"",'1. Live'!AM302-'check-Jul''26'!AI302)</f>
        <v/>
      </c>
      <c r="AJ284" s="25" t="str">
        <f>IF('1. Live'!AN302='check-Jul''26'!AJ302,"",'1. Live'!AN302-'check-Jul''26'!AJ302)</f>
        <v/>
      </c>
      <c r="AK284" s="25" t="str">
        <f>IF('1. Live'!AO302='check-Jul''26'!AK302,"",'1. Live'!AO302-'check-Jul''26'!AK302)</f>
        <v/>
      </c>
      <c r="AL284" s="25" t="str">
        <f>IF('1. Live'!AP302='check-Jul''26'!AL302,"",'1. Live'!AP302-'check-Jul''26'!AL302)</f>
        <v/>
      </c>
      <c r="AM284" s="25" t="str">
        <f>IF('1. Live'!AQ302='check-Jul''26'!AM302,"",'1. Live'!AQ302-'check-Jul''26'!AM302)</f>
        <v/>
      </c>
      <c r="AN284" s="25" t="str">
        <f>IF('1. Live'!AR302='check-Jul''26'!AN302,"",'1. Live'!AR302-'check-Jul''26'!AN302)</f>
        <v/>
      </c>
      <c r="AO284" s="25" t="str">
        <f>IF('1. Live'!AS302='check-Jul''26'!AO302,"",'1. Live'!AS302-'check-Jul''26'!AO302)</f>
        <v/>
      </c>
      <c r="AP284" s="25" t="str">
        <f>IF('1. Live'!AT302='check-Jul''26'!AP302,"",'1. Live'!AT302-'check-Jul''26'!AP302)</f>
        <v/>
      </c>
      <c r="AQ284" s="25" t="str">
        <f>IF('1. Live'!AU302='check-Jul''26'!AQ302,"",'1. Live'!AU302-'check-Jul''26'!AQ302)</f>
        <v/>
      </c>
      <c r="AR284" s="25" t="str">
        <f>IF('1. Live'!AV302='check-Jul''26'!AR302,"",'1. Live'!AV302-'check-Jul''26'!AR302)</f>
        <v/>
      </c>
      <c r="AS284" s="25" t="str">
        <f>IF('1. Live'!AW302='check-Jul''26'!AS302,"",'1. Live'!AW302-'check-Jul''26'!AS302)</f>
        <v/>
      </c>
      <c r="AT284" s="25" t="str">
        <f>IF('1. Live'!AX302='check-Jul''26'!AT302,"",'1. Live'!AX302-'check-Jul''26'!AT302)</f>
        <v/>
      </c>
      <c r="AU284" s="25" t="str">
        <f>IF('1. Live'!AY302='check-Jul''26'!AU302,"",'1. Live'!AY302-'check-Jul''26'!AU302)</f>
        <v/>
      </c>
      <c r="AV284" s="25" t="str">
        <f>IF('1. Live'!AZ302='check-Jul''26'!AV302,"",'1. Live'!AZ302-'check-Jul''26'!AV302)</f>
        <v/>
      </c>
      <c r="AW284" s="25" t="str">
        <f>IF('1. Live'!BA302='check-Jul''26'!AW302,"",'1. Live'!BA302-'check-Jul''26'!AW302)</f>
        <v/>
      </c>
      <c r="AX284" s="25" t="str">
        <f>IF('1. Live'!BB302='check-Jul''26'!AX302,"",'1. Live'!BB302-'check-Jul''26'!AX302)</f>
        <v/>
      </c>
      <c r="AY284" s="25" t="str">
        <f>IF('1. Live'!BC302='check-Jul''26'!AY302,"",'1. Live'!BC302-'check-Jul''26'!AY302)</f>
        <v/>
      </c>
      <c r="AZ284" s="25" t="str">
        <f>IF('1. Live'!BD302='check-Jul''26'!AZ302,"",'1. Live'!BD302-'check-Jul''26'!AZ302)</f>
        <v/>
      </c>
      <c r="BA284" s="25" t="str">
        <f>IF('1. Live'!BE302='check-Jul''26'!BA302,"",'1. Live'!BE302-'check-Jul''26'!BA302)</f>
        <v/>
      </c>
      <c r="BB284" s="25" t="str">
        <f>IF('1. Live'!BF302='check-Jul''26'!BB302,"",'1. Live'!BF302-'check-Jul''26'!BB302)</f>
        <v/>
      </c>
      <c r="BC284" s="25" t="str">
        <f>IF('1. Live'!BG302='check-Jul''26'!BC302,"",'1. Live'!BG302-'check-Jul''26'!BC302)</f>
        <v/>
      </c>
      <c r="BD284" s="25" t="str">
        <f>IF('1. Live'!BH302='check-Jul''26'!BD302,"",'1. Live'!BH302-'check-Jul''26'!BD302)</f>
        <v/>
      </c>
      <c r="BE284" s="25" t="str">
        <f>IF('1. Live'!BI302='check-Jul''26'!BE302,"",'1. Live'!BI302-'check-Jul''26'!BE302)</f>
        <v/>
      </c>
      <c r="BF284" s="25" t="str">
        <f>IF('1. Live'!BJ302='check-Jul''26'!BF302,"",'1. Live'!BJ302-'check-Jul''26'!BF302)</f>
        <v/>
      </c>
      <c r="BG284" s="25" t="str">
        <f>IF('1. Live'!BK302='check-Jul''26'!BG302,"",'1. Live'!BK302-'check-Jul''26'!BG302)</f>
        <v/>
      </c>
      <c r="BH284" s="25" t="str">
        <f>IF('1. Live'!BL302='check-Jul''26'!BH302,"",'1. Live'!BL302-'check-Jul''26'!BH302)</f>
        <v/>
      </c>
      <c r="BI284" s="25" t="str">
        <f>IF('1. Live'!BM302='check-Jul''26'!BI302,"",'1. Live'!BM302-'check-Jul''26'!BI302)</f>
        <v/>
      </c>
      <c r="BJ284" s="25" t="str">
        <f>IF('1. Live'!BN302='check-Jul''26'!BJ302,"",'1. Live'!BN302-'check-Jul''26'!BJ302)</f>
        <v/>
      </c>
      <c r="BK284" s="25" t="str">
        <f>IF('1. Live'!BO302='check-Jul''26'!BK302,"",'1. Live'!BO302-'check-Jul''26'!BK302)</f>
        <v/>
      </c>
      <c r="BL284" s="25" t="str">
        <f>IF('1. Live'!BP302='check-Jul''26'!BL302,"",'1. Live'!BP302-'check-Jul''26'!BL302)</f>
        <v/>
      </c>
      <c r="BM284" s="25" t="str">
        <f>IF('1. Live'!BQ302='check-Jul''26'!BM302,"",'1. Live'!BQ302-'check-Jul''26'!BM302)</f>
        <v/>
      </c>
      <c r="BN284" s="25" t="str">
        <f>IF('1. Live'!BR302='check-Jul''26'!BN302,"",'1. Live'!BR302-'check-Jul''26'!BN302)</f>
        <v/>
      </c>
      <c r="BO284" s="25" t="str">
        <f>IF('1. Live'!BS302='check-Jul''26'!BO302,"",'1. Live'!BS302-'check-Jul''26'!BO302)</f>
        <v/>
      </c>
      <c r="BP284" s="25" t="str">
        <f>IF('1. Live'!BT302='check-Jul''26'!BP302,"",'1. Live'!BT302-'check-Jul''26'!BP302)</f>
        <v/>
      </c>
      <c r="BQ284" s="25" t="str">
        <f>IF('1. Live'!BU302='check-Jul''26'!BQ302,"",'1. Live'!BU302-'check-Jul''26'!BQ302)</f>
        <v/>
      </c>
      <c r="BR284" s="25" t="str">
        <f>IF('1. Live'!BV302='check-Jul''26'!BR302,"",'1. Live'!BV302-'check-Jul''26'!BR302)</f>
        <v/>
      </c>
      <c r="BS284" s="25" t="str">
        <f>IF('1. Live'!BW302='check-Jul''26'!BS302,"",'1. Live'!BW302-'check-Jul''26'!BS302)</f>
        <v/>
      </c>
      <c r="BT284" s="25" t="str">
        <f>IF('1. Live'!BX302='check-Jul''26'!BT302,"",'1. Live'!BX302-'check-Jul''26'!BT302)</f>
        <v/>
      </c>
      <c r="BU284" s="25" t="str">
        <f>IF('1. Live'!BY302='check-Jul''26'!BU302,"",'1. Live'!BY302-'check-Jul''26'!BU302)</f>
        <v/>
      </c>
      <c r="BV284" s="25" t="str">
        <f>IF('1. Live'!BZ302='check-Jul''26'!BV302,"",'1. Live'!BZ302-'check-Jul''26'!BV302)</f>
        <v/>
      </c>
      <c r="BW284" s="25" t="str">
        <f>IF('1. Live'!CA302='check-Jul''26'!BW302,"",'1. Live'!CA302-'check-Jul''26'!BW302)</f>
        <v/>
      </c>
      <c r="BX284" s="25" t="str">
        <f>IF('1. Live'!CB302='check-Jul''26'!BX302,"",'1. Live'!CB302-'check-Jul''26'!BX302)</f>
        <v/>
      </c>
      <c r="BY284" s="25" t="str">
        <f>IF('1. Live'!CC302='check-Jul''26'!BY302,"",'1. Live'!CC302-'check-Jul''26'!BY302)</f>
        <v/>
      </c>
      <c r="BZ284" s="25" t="str">
        <f>IF('1. Live'!CD302='check-Jul''26'!BZ302,"",'1. Live'!CD302-'check-Jul''26'!BZ302)</f>
        <v/>
      </c>
      <c r="CA284" s="25" t="str">
        <f>IF('1. Live'!CE302='check-Jul''26'!CA302,"",'1. Live'!CE302-'check-Jul''26'!CA302)</f>
        <v/>
      </c>
      <c r="CB284" s="25" t="str">
        <f>IF('1. Live'!CF302='check-Jul''26'!CB302,"",'1. Live'!CF302-'check-Jul''26'!CB302)</f>
        <v/>
      </c>
      <c r="CC284" s="25" t="str">
        <f>IF('1. Live'!CG302='check-Jul''26'!CC302,"",'1. Live'!CG302-'check-Jul''26'!CC302)</f>
        <v/>
      </c>
      <c r="CD284" s="25" t="str">
        <f>IF('1. Live'!CH302='check-Jul''26'!CD302,"",'1. Live'!CH302-'check-Jul''26'!CD302)</f>
        <v/>
      </c>
      <c r="CE284" s="25" t="str">
        <f>IF('1. Live'!CI302='check-Jul''26'!CE302,"",'1. Live'!CI302-'check-Jul''26'!CE302)</f>
        <v/>
      </c>
      <c r="CF284" s="25" t="str">
        <f>IF('1. Live'!CJ302='check-Jul''26'!CF302,"",'1. Live'!CJ302-'check-Jul''26'!CF302)</f>
        <v/>
      </c>
      <c r="CG284" s="25" t="str">
        <f>IF('1. Live'!CK302='check-Jul''26'!CG302,"",'1. Live'!CK302-'check-Jul''26'!CG302)</f>
        <v/>
      </c>
      <c r="CH284" s="25" t="str">
        <f>IF('1. Live'!CL302='check-Jul''26'!CH302,"",'1. Live'!CL302-'check-Jul''26'!CH302)</f>
        <v/>
      </c>
      <c r="CI284" s="25" t="str">
        <f>IF('1. Live'!CM302='check-Jul''26'!CI302,"",'1. Live'!CM302-'check-Jul''26'!CI302)</f>
        <v/>
      </c>
      <c r="CJ284" s="25" t="str">
        <f>IF('1. Live'!CN302='check-Jul''26'!CJ302,"",'1. Live'!CN302-'check-Jul''26'!CJ302)</f>
        <v/>
      </c>
      <c r="CK284" s="25" t="str">
        <f>IF('1. Live'!CO302='check-Jul''26'!CK302,"",'1. Live'!CO302-'check-Jul''26'!CK302)</f>
        <v/>
      </c>
      <c r="CL284" s="25" t="str">
        <f>IF('1. Live'!CP302='check-Jul''26'!CL302,"",'1. Live'!CP302-'check-Jul''26'!CL302)</f>
        <v/>
      </c>
      <c r="CM284" s="25" t="str">
        <f>IF('1. Live'!CQ302='check-Jul''26'!CM302,"",'1. Live'!CQ302-'check-Jul''26'!CM302)</f>
        <v/>
      </c>
      <c r="CN284" s="25" t="str">
        <f>IF('1. Live'!CR302='check-Jul''26'!CN302,"",'1. Live'!CR302-'check-Jul''26'!CN302)</f>
        <v/>
      </c>
      <c r="CO284" s="25" t="str">
        <f>IF('1. Live'!CS302='check-Jul''26'!CO302,"",'1. Live'!CS302-'check-Jul''26'!CO302)</f>
        <v/>
      </c>
      <c r="CP284" s="25" t="str">
        <f>IF('1. Live'!CT302='check-Jul''26'!CP302,"",'1. Live'!CT302-'check-Jul''26'!CP302)</f>
        <v/>
      </c>
      <c r="CQ284" s="25" t="str">
        <f>IF('1. Live'!CU302='check-Jul''26'!CQ302,"",'1. Live'!CU302-'check-Jul''26'!CQ302)</f>
        <v/>
      </c>
      <c r="CR284" s="25" t="str">
        <f>IF('1. Live'!CV302='check-Jul''26'!CR302,"",'1. Live'!CV302-'check-Jul''26'!CR302)</f>
        <v/>
      </c>
      <c r="CS284" s="25" t="str">
        <f>IF('1. Live'!CW302='check-Jul''26'!CS302,"",'1. Live'!CW302-'check-Jul''26'!CS302)</f>
        <v/>
      </c>
      <c r="CT284" s="25" t="str">
        <f>IF('1. Live'!CX302='check-Jul''26'!CT302,"",'1. Live'!CX302-'check-Jul''26'!CT302)</f>
        <v/>
      </c>
      <c r="CU284" s="25" t="str">
        <f>IF('1. Live'!CY302='check-Jul''26'!CU302,"",'1. Live'!CY302-'check-Jul''26'!CU302)</f>
        <v/>
      </c>
      <c r="CV284" s="25" t="str">
        <f>IF('1. Live'!CZ302='check-Jul''26'!CV302,"",'1. Live'!CZ302-'check-Jul''26'!CV302)</f>
        <v/>
      </c>
    </row>
    <row r="285" spans="17:100" x14ac:dyDescent="0.25">
      <c r="Q285" s="26" t="str">
        <f>IF('1. Live'!N303='check-Jul''26'!I303,"",'1. Live'!N303-'check-Jul''26'!I303)</f>
        <v/>
      </c>
      <c r="R285" s="26" t="str">
        <f>IF('1. Live'!O303='check-Jul''26'!J303,"",'1. Live'!O303-'check-Jul''26'!J303)</f>
        <v/>
      </c>
      <c r="S285" s="26" t="str">
        <f>IF('1. Live'!P303='check-Jul''26'!K303,"",'1. Live'!P303-'check-Jul''26'!K303)</f>
        <v/>
      </c>
      <c r="T285" s="26" t="str">
        <f>IF('1. Live'!Q303='check-Jul''26'!L303,"",'1. Live'!Q303-'check-Jul''26'!L303)</f>
        <v/>
      </c>
      <c r="U285" s="80" t="str">
        <f>IF('1. Live'!R303='check-Jul''26'!M303,"",'1. Live'!R303-'check-Jul''26'!M303)</f>
        <v/>
      </c>
      <c r="V285" s="26" t="str">
        <f>IF('1. Live'!S303='check-Jul''26'!N303,"",'1. Live'!S303-'check-Jul''26'!N303)</f>
        <v/>
      </c>
      <c r="W285" s="25" t="str">
        <f>IF('1. Live'!T303='check-Jul''26'!O303,"",'1. Live'!T303-'check-Jul''26'!O303)</f>
        <v/>
      </c>
      <c r="X285" s="25" t="str">
        <f>IF('1. Live'!U303='check-Jul''26'!Q303,"",'1. Live'!U303-'check-Jul''26'!Q303)</f>
        <v/>
      </c>
      <c r="Y285" s="25" t="str">
        <f>IF('1. Live'!V303='check-Jul''26'!R303,"",'1. Live'!V303-'check-Jul''26'!R303)</f>
        <v/>
      </c>
      <c r="Z285" s="25" t="str">
        <f>IF('1. Live'!W303='check-Jul''26'!S303,"",'1. Live'!W303-'check-Jul''26'!S303)</f>
        <v/>
      </c>
      <c r="AA285" s="25" t="str">
        <f>IF('1. Live'!X303='check-Jul''26'!T303,"",'1. Live'!X303-'check-Jul''26'!T303)</f>
        <v/>
      </c>
      <c r="AB285" s="25" t="str">
        <f>IF('1. Live'!AF303='check-Jul''26'!AB303,"",'1. Live'!AF303-'check-Jul''26'!AB303)</f>
        <v/>
      </c>
      <c r="AC285" s="25" t="str">
        <f>IF('1. Live'!AG303='check-Jul''26'!AC303,"",'1. Live'!AG303-'check-Jul''26'!AC303)</f>
        <v/>
      </c>
      <c r="AD285" s="25" t="str">
        <f>IF('1. Live'!AH303='check-Jul''26'!AD303,"",'1. Live'!AH303-'check-Jul''26'!AD303)</f>
        <v/>
      </c>
      <c r="AE285" s="25" t="str">
        <f>IF('1. Live'!AI303='check-Jul''26'!AE303,"",'1. Live'!AI303-'check-Jul''26'!AE303)</f>
        <v/>
      </c>
      <c r="AF285" s="25" t="str">
        <f>IF('1. Live'!AJ303='check-Jul''26'!AF303,"",'1. Live'!AJ303-'check-Jul''26'!AF303)</f>
        <v/>
      </c>
      <c r="AG285" s="25" t="str">
        <f>IF('1. Live'!AK303='check-Jul''26'!AG303,"",'1. Live'!AK303-'check-Jul''26'!AG303)</f>
        <v/>
      </c>
      <c r="AH285" s="25" t="str">
        <f>IF('1. Live'!AL303='check-Jul''26'!AH303,"",'1. Live'!AL303-'check-Jul''26'!AH303)</f>
        <v/>
      </c>
      <c r="AI285" s="25" t="str">
        <f>IF('1. Live'!AM303='check-Jul''26'!AI303,"",'1. Live'!AM303-'check-Jul''26'!AI303)</f>
        <v/>
      </c>
      <c r="AJ285" s="25" t="str">
        <f>IF('1. Live'!AN303='check-Jul''26'!AJ303,"",'1. Live'!AN303-'check-Jul''26'!AJ303)</f>
        <v/>
      </c>
      <c r="AK285" s="25" t="str">
        <f>IF('1. Live'!AO303='check-Jul''26'!AK303,"",'1. Live'!AO303-'check-Jul''26'!AK303)</f>
        <v/>
      </c>
      <c r="AL285" s="25" t="str">
        <f>IF('1. Live'!AP303='check-Jul''26'!AL303,"",'1. Live'!AP303-'check-Jul''26'!AL303)</f>
        <v/>
      </c>
      <c r="AM285" s="25" t="str">
        <f>IF('1. Live'!AQ303='check-Jul''26'!AM303,"",'1. Live'!AQ303-'check-Jul''26'!AM303)</f>
        <v/>
      </c>
      <c r="AN285" s="25" t="str">
        <f>IF('1. Live'!AR303='check-Jul''26'!AN303,"",'1. Live'!AR303-'check-Jul''26'!AN303)</f>
        <v/>
      </c>
      <c r="AO285" s="25" t="str">
        <f>IF('1. Live'!AS303='check-Jul''26'!AO303,"",'1. Live'!AS303-'check-Jul''26'!AO303)</f>
        <v/>
      </c>
      <c r="AP285" s="25" t="str">
        <f>IF('1. Live'!AT303='check-Jul''26'!AP303,"",'1. Live'!AT303-'check-Jul''26'!AP303)</f>
        <v/>
      </c>
      <c r="AQ285" s="25" t="str">
        <f>IF('1. Live'!AU303='check-Jul''26'!AQ303,"",'1. Live'!AU303-'check-Jul''26'!AQ303)</f>
        <v/>
      </c>
      <c r="AR285" s="25" t="str">
        <f>IF('1. Live'!AV303='check-Jul''26'!AR303,"",'1. Live'!AV303-'check-Jul''26'!AR303)</f>
        <v/>
      </c>
      <c r="AS285" s="25" t="str">
        <f>IF('1. Live'!AW303='check-Jul''26'!AS303,"",'1. Live'!AW303-'check-Jul''26'!AS303)</f>
        <v/>
      </c>
      <c r="AT285" s="25" t="str">
        <f>IF('1. Live'!AX303='check-Jul''26'!AT303,"",'1. Live'!AX303-'check-Jul''26'!AT303)</f>
        <v/>
      </c>
      <c r="AU285" s="25" t="str">
        <f>IF('1. Live'!AY303='check-Jul''26'!AU303,"",'1. Live'!AY303-'check-Jul''26'!AU303)</f>
        <v/>
      </c>
      <c r="AV285" s="25" t="str">
        <f>IF('1. Live'!AZ303='check-Jul''26'!AV303,"",'1. Live'!AZ303-'check-Jul''26'!AV303)</f>
        <v/>
      </c>
      <c r="AW285" s="25" t="str">
        <f>IF('1. Live'!BA303='check-Jul''26'!AW303,"",'1. Live'!BA303-'check-Jul''26'!AW303)</f>
        <v/>
      </c>
      <c r="AX285" s="25" t="str">
        <f>IF('1. Live'!BB303='check-Jul''26'!AX303,"",'1. Live'!BB303-'check-Jul''26'!AX303)</f>
        <v/>
      </c>
      <c r="AY285" s="25" t="str">
        <f>IF('1. Live'!BC303='check-Jul''26'!AY303,"",'1. Live'!BC303-'check-Jul''26'!AY303)</f>
        <v/>
      </c>
      <c r="AZ285" s="25" t="str">
        <f>IF('1. Live'!BD303='check-Jul''26'!AZ303,"",'1. Live'!BD303-'check-Jul''26'!AZ303)</f>
        <v/>
      </c>
      <c r="BA285" s="25" t="str">
        <f>IF('1. Live'!BE303='check-Jul''26'!BA303,"",'1. Live'!BE303-'check-Jul''26'!BA303)</f>
        <v/>
      </c>
      <c r="BB285" s="25" t="str">
        <f>IF('1. Live'!BF303='check-Jul''26'!BB303,"",'1. Live'!BF303-'check-Jul''26'!BB303)</f>
        <v/>
      </c>
      <c r="BC285" s="25" t="str">
        <f>IF('1. Live'!BG303='check-Jul''26'!BC303,"",'1. Live'!BG303-'check-Jul''26'!BC303)</f>
        <v/>
      </c>
      <c r="BD285" s="25" t="str">
        <f>IF('1. Live'!BH303='check-Jul''26'!BD303,"",'1. Live'!BH303-'check-Jul''26'!BD303)</f>
        <v/>
      </c>
      <c r="BE285" s="25" t="str">
        <f>IF('1. Live'!BI303='check-Jul''26'!BE303,"",'1. Live'!BI303-'check-Jul''26'!BE303)</f>
        <v/>
      </c>
      <c r="BF285" s="25" t="str">
        <f>IF('1. Live'!BJ303='check-Jul''26'!BF303,"",'1. Live'!BJ303-'check-Jul''26'!BF303)</f>
        <v/>
      </c>
      <c r="BG285" s="25" t="str">
        <f>IF('1. Live'!BK303='check-Jul''26'!BG303,"",'1. Live'!BK303-'check-Jul''26'!BG303)</f>
        <v/>
      </c>
      <c r="BH285" s="25" t="str">
        <f>IF('1. Live'!BL303='check-Jul''26'!BH303,"",'1. Live'!BL303-'check-Jul''26'!BH303)</f>
        <v/>
      </c>
      <c r="BI285" s="25" t="str">
        <f>IF('1. Live'!BM303='check-Jul''26'!BI303,"",'1. Live'!BM303-'check-Jul''26'!BI303)</f>
        <v/>
      </c>
      <c r="BJ285" s="25" t="str">
        <f>IF('1. Live'!BN303='check-Jul''26'!BJ303,"",'1. Live'!BN303-'check-Jul''26'!BJ303)</f>
        <v/>
      </c>
      <c r="BK285" s="25" t="str">
        <f>IF('1. Live'!BO303='check-Jul''26'!BK303,"",'1. Live'!BO303-'check-Jul''26'!BK303)</f>
        <v/>
      </c>
      <c r="BL285" s="25" t="str">
        <f>IF('1. Live'!BP303='check-Jul''26'!BL303,"",'1. Live'!BP303-'check-Jul''26'!BL303)</f>
        <v/>
      </c>
      <c r="BM285" s="25" t="str">
        <f>IF('1. Live'!BQ303='check-Jul''26'!BM303,"",'1. Live'!BQ303-'check-Jul''26'!BM303)</f>
        <v/>
      </c>
      <c r="BN285" s="25" t="str">
        <f>IF('1. Live'!BR303='check-Jul''26'!BN303,"",'1. Live'!BR303-'check-Jul''26'!BN303)</f>
        <v/>
      </c>
      <c r="BO285" s="25" t="str">
        <f>IF('1. Live'!BS303='check-Jul''26'!BO303,"",'1. Live'!BS303-'check-Jul''26'!BO303)</f>
        <v/>
      </c>
      <c r="BP285" s="25" t="str">
        <f>IF('1. Live'!BT303='check-Jul''26'!BP303,"",'1. Live'!BT303-'check-Jul''26'!BP303)</f>
        <v/>
      </c>
      <c r="BQ285" s="25" t="str">
        <f>IF('1. Live'!BU303='check-Jul''26'!BQ303,"",'1. Live'!BU303-'check-Jul''26'!BQ303)</f>
        <v/>
      </c>
      <c r="BR285" s="25" t="str">
        <f>IF('1. Live'!BV303='check-Jul''26'!BR303,"",'1. Live'!BV303-'check-Jul''26'!BR303)</f>
        <v/>
      </c>
      <c r="BS285" s="25" t="str">
        <f>IF('1. Live'!BW303='check-Jul''26'!BS303,"",'1. Live'!BW303-'check-Jul''26'!BS303)</f>
        <v/>
      </c>
      <c r="BT285" s="25" t="str">
        <f>IF('1. Live'!BX303='check-Jul''26'!BT303,"",'1. Live'!BX303-'check-Jul''26'!BT303)</f>
        <v/>
      </c>
      <c r="BU285" s="25" t="str">
        <f>IF('1. Live'!BY303='check-Jul''26'!BU303,"",'1. Live'!BY303-'check-Jul''26'!BU303)</f>
        <v/>
      </c>
      <c r="BV285" s="25" t="str">
        <f>IF('1. Live'!BZ303='check-Jul''26'!BV303,"",'1. Live'!BZ303-'check-Jul''26'!BV303)</f>
        <v/>
      </c>
      <c r="BW285" s="25" t="str">
        <f>IF('1. Live'!CA303='check-Jul''26'!BW303,"",'1. Live'!CA303-'check-Jul''26'!BW303)</f>
        <v/>
      </c>
      <c r="BX285" s="25" t="str">
        <f>IF('1. Live'!CB303='check-Jul''26'!BX303,"",'1. Live'!CB303-'check-Jul''26'!BX303)</f>
        <v/>
      </c>
      <c r="BY285" s="25" t="str">
        <f>IF('1. Live'!CC303='check-Jul''26'!BY303,"",'1. Live'!CC303-'check-Jul''26'!BY303)</f>
        <v/>
      </c>
      <c r="BZ285" s="25" t="str">
        <f>IF('1. Live'!CD303='check-Jul''26'!BZ303,"",'1. Live'!CD303-'check-Jul''26'!BZ303)</f>
        <v/>
      </c>
      <c r="CA285" s="25" t="str">
        <f>IF('1. Live'!CE303='check-Jul''26'!CA303,"",'1. Live'!CE303-'check-Jul''26'!CA303)</f>
        <v/>
      </c>
      <c r="CB285" s="25" t="str">
        <f>IF('1. Live'!CF303='check-Jul''26'!CB303,"",'1. Live'!CF303-'check-Jul''26'!CB303)</f>
        <v/>
      </c>
      <c r="CC285" s="25" t="str">
        <f>IF('1. Live'!CG303='check-Jul''26'!CC303,"",'1. Live'!CG303-'check-Jul''26'!CC303)</f>
        <v/>
      </c>
      <c r="CD285" s="25" t="str">
        <f>IF('1. Live'!CH303='check-Jul''26'!CD303,"",'1. Live'!CH303-'check-Jul''26'!CD303)</f>
        <v/>
      </c>
      <c r="CE285" s="25" t="str">
        <f>IF('1. Live'!CI303='check-Jul''26'!CE303,"",'1. Live'!CI303-'check-Jul''26'!CE303)</f>
        <v/>
      </c>
      <c r="CF285" s="25" t="str">
        <f>IF('1. Live'!CJ303='check-Jul''26'!CF303,"",'1. Live'!CJ303-'check-Jul''26'!CF303)</f>
        <v/>
      </c>
      <c r="CG285" s="25" t="str">
        <f>IF('1. Live'!CK303='check-Jul''26'!CG303,"",'1. Live'!CK303-'check-Jul''26'!CG303)</f>
        <v/>
      </c>
      <c r="CH285" s="25" t="str">
        <f>IF('1. Live'!CL303='check-Jul''26'!CH303,"",'1. Live'!CL303-'check-Jul''26'!CH303)</f>
        <v/>
      </c>
      <c r="CI285" s="25" t="str">
        <f>IF('1. Live'!CM303='check-Jul''26'!CI303,"",'1. Live'!CM303-'check-Jul''26'!CI303)</f>
        <v/>
      </c>
      <c r="CJ285" s="25" t="str">
        <f>IF('1. Live'!CN303='check-Jul''26'!CJ303,"",'1. Live'!CN303-'check-Jul''26'!CJ303)</f>
        <v/>
      </c>
      <c r="CK285" s="25" t="str">
        <f>IF('1. Live'!CO303='check-Jul''26'!CK303,"",'1. Live'!CO303-'check-Jul''26'!CK303)</f>
        <v/>
      </c>
      <c r="CL285" s="25" t="str">
        <f>IF('1. Live'!CP303='check-Jul''26'!CL303,"",'1. Live'!CP303-'check-Jul''26'!CL303)</f>
        <v/>
      </c>
      <c r="CM285" s="25" t="str">
        <f>IF('1. Live'!CQ303='check-Jul''26'!CM303,"",'1. Live'!CQ303-'check-Jul''26'!CM303)</f>
        <v/>
      </c>
      <c r="CN285" s="25" t="str">
        <f>IF('1. Live'!CR303='check-Jul''26'!CN303,"",'1. Live'!CR303-'check-Jul''26'!CN303)</f>
        <v/>
      </c>
      <c r="CO285" s="25" t="str">
        <f>IF('1. Live'!CS303='check-Jul''26'!CO303,"",'1. Live'!CS303-'check-Jul''26'!CO303)</f>
        <v/>
      </c>
      <c r="CP285" s="25" t="str">
        <f>IF('1. Live'!CT303='check-Jul''26'!CP303,"",'1. Live'!CT303-'check-Jul''26'!CP303)</f>
        <v/>
      </c>
      <c r="CQ285" s="25" t="str">
        <f>IF('1. Live'!CU303='check-Jul''26'!CQ303,"",'1. Live'!CU303-'check-Jul''26'!CQ303)</f>
        <v/>
      </c>
      <c r="CR285" s="25" t="str">
        <f>IF('1. Live'!CV303='check-Jul''26'!CR303,"",'1. Live'!CV303-'check-Jul''26'!CR303)</f>
        <v/>
      </c>
      <c r="CS285" s="25" t="str">
        <f>IF('1. Live'!CW303='check-Jul''26'!CS303,"",'1. Live'!CW303-'check-Jul''26'!CS303)</f>
        <v/>
      </c>
      <c r="CT285" s="25" t="str">
        <f>IF('1. Live'!CX303='check-Jul''26'!CT303,"",'1. Live'!CX303-'check-Jul''26'!CT303)</f>
        <v/>
      </c>
      <c r="CU285" s="25" t="str">
        <f>IF('1. Live'!CY303='check-Jul''26'!CU303,"",'1. Live'!CY303-'check-Jul''26'!CU303)</f>
        <v/>
      </c>
      <c r="CV285" s="25" t="str">
        <f>IF('1. Live'!CZ303='check-Jul''26'!CV303,"",'1. Live'!CZ303-'check-Jul''26'!CV303)</f>
        <v/>
      </c>
    </row>
    <row r="286" spans="17:100" x14ac:dyDescent="0.25">
      <c r="Q286" s="26" t="str">
        <f>IF('1. Live'!N304='check-Jul''26'!I304,"",'1. Live'!N304-'check-Jul''26'!I304)</f>
        <v/>
      </c>
      <c r="R286" s="26" t="str">
        <f>IF('1. Live'!O304='check-Jul''26'!J304,"",'1. Live'!O304-'check-Jul''26'!J304)</f>
        <v/>
      </c>
      <c r="S286" s="26" t="str">
        <f>IF('1. Live'!P304='check-Jul''26'!K304,"",'1. Live'!P304-'check-Jul''26'!K304)</f>
        <v/>
      </c>
      <c r="T286" s="26" t="str">
        <f>IF('1. Live'!Q304='check-Jul''26'!L304,"",'1. Live'!Q304-'check-Jul''26'!L304)</f>
        <v/>
      </c>
      <c r="U286" s="80" t="str">
        <f>IF('1. Live'!R304='check-Jul''26'!M304,"",'1. Live'!R304-'check-Jul''26'!M304)</f>
        <v/>
      </c>
      <c r="V286" s="26" t="str">
        <f>IF('1. Live'!S304='check-Jul''26'!N304,"",'1. Live'!S304-'check-Jul''26'!N304)</f>
        <v/>
      </c>
      <c r="W286" s="25" t="str">
        <f>IF('1. Live'!T304='check-Jul''26'!O304,"",'1. Live'!T304-'check-Jul''26'!O304)</f>
        <v/>
      </c>
      <c r="X286" s="25" t="str">
        <f>IF('1. Live'!U304='check-Jul''26'!Q304,"",'1. Live'!U304-'check-Jul''26'!Q304)</f>
        <v/>
      </c>
      <c r="Y286" s="25" t="str">
        <f>IF('1. Live'!V304='check-Jul''26'!R304,"",'1. Live'!V304-'check-Jul''26'!R304)</f>
        <v/>
      </c>
      <c r="Z286" s="25" t="str">
        <f>IF('1. Live'!W304='check-Jul''26'!S304,"",'1. Live'!W304-'check-Jul''26'!S304)</f>
        <v/>
      </c>
      <c r="AA286" s="25" t="str">
        <f>IF('1. Live'!X304='check-Jul''26'!T304,"",'1. Live'!X304-'check-Jul''26'!T304)</f>
        <v/>
      </c>
      <c r="AB286" s="25" t="str">
        <f>IF('1. Live'!AF304='check-Jul''26'!AB304,"",'1. Live'!AF304-'check-Jul''26'!AB304)</f>
        <v/>
      </c>
      <c r="AC286" s="25" t="str">
        <f>IF('1. Live'!AG304='check-Jul''26'!AC304,"",'1. Live'!AG304-'check-Jul''26'!AC304)</f>
        <v/>
      </c>
      <c r="AD286" s="25" t="str">
        <f>IF('1. Live'!AH304='check-Jul''26'!AD304,"",'1. Live'!AH304-'check-Jul''26'!AD304)</f>
        <v/>
      </c>
      <c r="AE286" s="25" t="str">
        <f>IF('1. Live'!AI304='check-Jul''26'!AE304,"",'1. Live'!AI304-'check-Jul''26'!AE304)</f>
        <v/>
      </c>
      <c r="AF286" s="25" t="str">
        <f>IF('1. Live'!AJ304='check-Jul''26'!AF304,"",'1. Live'!AJ304-'check-Jul''26'!AF304)</f>
        <v/>
      </c>
      <c r="AG286" s="25" t="str">
        <f>IF('1. Live'!AK304='check-Jul''26'!AG304,"",'1. Live'!AK304-'check-Jul''26'!AG304)</f>
        <v/>
      </c>
      <c r="AH286" s="25" t="str">
        <f>IF('1. Live'!AL304='check-Jul''26'!AH304,"",'1. Live'!AL304-'check-Jul''26'!AH304)</f>
        <v/>
      </c>
      <c r="AI286" s="25" t="str">
        <f>IF('1. Live'!AM304='check-Jul''26'!AI304,"",'1. Live'!AM304-'check-Jul''26'!AI304)</f>
        <v/>
      </c>
      <c r="AJ286" s="25" t="str">
        <f>IF('1. Live'!AN304='check-Jul''26'!AJ304,"",'1. Live'!AN304-'check-Jul''26'!AJ304)</f>
        <v/>
      </c>
      <c r="AK286" s="25" t="str">
        <f>IF('1. Live'!AO304='check-Jul''26'!AK304,"",'1. Live'!AO304-'check-Jul''26'!AK304)</f>
        <v/>
      </c>
      <c r="AL286" s="25" t="str">
        <f>IF('1. Live'!AP304='check-Jul''26'!AL304,"",'1. Live'!AP304-'check-Jul''26'!AL304)</f>
        <v/>
      </c>
      <c r="AM286" s="25" t="str">
        <f>IF('1. Live'!AQ304='check-Jul''26'!AM304,"",'1. Live'!AQ304-'check-Jul''26'!AM304)</f>
        <v/>
      </c>
      <c r="AN286" s="25" t="str">
        <f>IF('1. Live'!AR304='check-Jul''26'!AN304,"",'1. Live'!AR304-'check-Jul''26'!AN304)</f>
        <v/>
      </c>
      <c r="AO286" s="25" t="str">
        <f>IF('1. Live'!AS304='check-Jul''26'!AO304,"",'1. Live'!AS304-'check-Jul''26'!AO304)</f>
        <v/>
      </c>
      <c r="AP286" s="25" t="str">
        <f>IF('1. Live'!AT304='check-Jul''26'!AP304,"",'1. Live'!AT304-'check-Jul''26'!AP304)</f>
        <v/>
      </c>
      <c r="AQ286" s="25" t="str">
        <f>IF('1. Live'!AU304='check-Jul''26'!AQ304,"",'1. Live'!AU304-'check-Jul''26'!AQ304)</f>
        <v/>
      </c>
      <c r="AR286" s="25" t="str">
        <f>IF('1. Live'!AV304='check-Jul''26'!AR304,"",'1. Live'!AV304-'check-Jul''26'!AR304)</f>
        <v/>
      </c>
      <c r="AS286" s="25" t="str">
        <f>IF('1. Live'!AW304='check-Jul''26'!AS304,"",'1. Live'!AW304-'check-Jul''26'!AS304)</f>
        <v/>
      </c>
      <c r="AT286" s="25" t="str">
        <f>IF('1. Live'!AX304='check-Jul''26'!AT304,"",'1. Live'!AX304-'check-Jul''26'!AT304)</f>
        <v/>
      </c>
      <c r="AU286" s="25" t="str">
        <f>IF('1. Live'!AY304='check-Jul''26'!AU304,"",'1. Live'!AY304-'check-Jul''26'!AU304)</f>
        <v/>
      </c>
      <c r="AV286" s="25" t="str">
        <f>IF('1. Live'!AZ304='check-Jul''26'!AV304,"",'1. Live'!AZ304-'check-Jul''26'!AV304)</f>
        <v/>
      </c>
      <c r="AW286" s="25" t="str">
        <f>IF('1. Live'!BA304='check-Jul''26'!AW304,"",'1. Live'!BA304-'check-Jul''26'!AW304)</f>
        <v/>
      </c>
      <c r="AX286" s="25" t="str">
        <f>IF('1. Live'!BB304='check-Jul''26'!AX304,"",'1. Live'!BB304-'check-Jul''26'!AX304)</f>
        <v/>
      </c>
      <c r="AY286" s="25" t="str">
        <f>IF('1. Live'!BC304='check-Jul''26'!AY304,"",'1. Live'!BC304-'check-Jul''26'!AY304)</f>
        <v/>
      </c>
      <c r="AZ286" s="25" t="str">
        <f>IF('1. Live'!BD304='check-Jul''26'!AZ304,"",'1. Live'!BD304-'check-Jul''26'!AZ304)</f>
        <v/>
      </c>
      <c r="BA286" s="25" t="str">
        <f>IF('1. Live'!BE304='check-Jul''26'!BA304,"",'1. Live'!BE304-'check-Jul''26'!BA304)</f>
        <v/>
      </c>
      <c r="BB286" s="25" t="str">
        <f>IF('1. Live'!BF304='check-Jul''26'!BB304,"",'1. Live'!BF304-'check-Jul''26'!BB304)</f>
        <v/>
      </c>
      <c r="BC286" s="25" t="str">
        <f>IF('1. Live'!BG304='check-Jul''26'!BC304,"",'1. Live'!BG304-'check-Jul''26'!BC304)</f>
        <v/>
      </c>
      <c r="BD286" s="25" t="str">
        <f>IF('1. Live'!BH304='check-Jul''26'!BD304,"",'1. Live'!BH304-'check-Jul''26'!BD304)</f>
        <v/>
      </c>
      <c r="BE286" s="25" t="str">
        <f>IF('1. Live'!BI304='check-Jul''26'!BE304,"",'1. Live'!BI304-'check-Jul''26'!BE304)</f>
        <v/>
      </c>
      <c r="BF286" s="25" t="str">
        <f>IF('1. Live'!BJ304='check-Jul''26'!BF304,"",'1. Live'!BJ304-'check-Jul''26'!BF304)</f>
        <v/>
      </c>
      <c r="BG286" s="25" t="str">
        <f>IF('1. Live'!BK304='check-Jul''26'!BG304,"",'1. Live'!BK304-'check-Jul''26'!BG304)</f>
        <v/>
      </c>
      <c r="BH286" s="25" t="str">
        <f>IF('1. Live'!BL304='check-Jul''26'!BH304,"",'1. Live'!BL304-'check-Jul''26'!BH304)</f>
        <v/>
      </c>
      <c r="BI286" s="25" t="str">
        <f>IF('1. Live'!BM304='check-Jul''26'!BI304,"",'1. Live'!BM304-'check-Jul''26'!BI304)</f>
        <v/>
      </c>
      <c r="BJ286" s="25" t="str">
        <f>IF('1. Live'!BN304='check-Jul''26'!BJ304,"",'1. Live'!BN304-'check-Jul''26'!BJ304)</f>
        <v/>
      </c>
      <c r="BK286" s="25" t="str">
        <f>IF('1. Live'!BO304='check-Jul''26'!BK304,"",'1. Live'!BO304-'check-Jul''26'!BK304)</f>
        <v/>
      </c>
      <c r="BL286" s="25" t="str">
        <f>IF('1. Live'!BP304='check-Jul''26'!BL304,"",'1. Live'!BP304-'check-Jul''26'!BL304)</f>
        <v/>
      </c>
      <c r="BM286" s="25" t="str">
        <f>IF('1. Live'!BQ304='check-Jul''26'!BM304,"",'1. Live'!BQ304-'check-Jul''26'!BM304)</f>
        <v/>
      </c>
      <c r="BN286" s="25" t="str">
        <f>IF('1. Live'!BR304='check-Jul''26'!BN304,"",'1. Live'!BR304-'check-Jul''26'!BN304)</f>
        <v/>
      </c>
      <c r="BO286" s="25" t="str">
        <f>IF('1. Live'!BS304='check-Jul''26'!BO304,"",'1. Live'!BS304-'check-Jul''26'!BO304)</f>
        <v/>
      </c>
      <c r="BP286" s="25" t="str">
        <f>IF('1. Live'!BT304='check-Jul''26'!BP304,"",'1. Live'!BT304-'check-Jul''26'!BP304)</f>
        <v/>
      </c>
      <c r="BQ286" s="25" t="str">
        <f>IF('1. Live'!BU304='check-Jul''26'!BQ304,"",'1. Live'!BU304-'check-Jul''26'!BQ304)</f>
        <v/>
      </c>
      <c r="BR286" s="25" t="str">
        <f>IF('1. Live'!BV304='check-Jul''26'!BR304,"",'1. Live'!BV304-'check-Jul''26'!BR304)</f>
        <v/>
      </c>
      <c r="BS286" s="25" t="str">
        <f>IF('1. Live'!BW304='check-Jul''26'!BS304,"",'1. Live'!BW304-'check-Jul''26'!BS304)</f>
        <v/>
      </c>
      <c r="BT286" s="25" t="str">
        <f>IF('1. Live'!BX304='check-Jul''26'!BT304,"",'1. Live'!BX304-'check-Jul''26'!BT304)</f>
        <v/>
      </c>
      <c r="BU286" s="25" t="str">
        <f>IF('1. Live'!BY304='check-Jul''26'!BU304,"",'1. Live'!BY304-'check-Jul''26'!BU304)</f>
        <v/>
      </c>
      <c r="BV286" s="25" t="str">
        <f>IF('1. Live'!BZ304='check-Jul''26'!BV304,"",'1. Live'!BZ304-'check-Jul''26'!BV304)</f>
        <v/>
      </c>
      <c r="BW286" s="25" t="str">
        <f>IF('1. Live'!CA304='check-Jul''26'!BW304,"",'1. Live'!CA304-'check-Jul''26'!BW304)</f>
        <v/>
      </c>
      <c r="BX286" s="25" t="str">
        <f>IF('1. Live'!CB304='check-Jul''26'!BX304,"",'1. Live'!CB304-'check-Jul''26'!BX304)</f>
        <v/>
      </c>
      <c r="BY286" s="25" t="str">
        <f>IF('1. Live'!CC304='check-Jul''26'!BY304,"",'1. Live'!CC304-'check-Jul''26'!BY304)</f>
        <v/>
      </c>
      <c r="BZ286" s="25" t="str">
        <f>IF('1. Live'!CD304='check-Jul''26'!BZ304,"",'1. Live'!CD304-'check-Jul''26'!BZ304)</f>
        <v/>
      </c>
      <c r="CA286" s="25" t="str">
        <f>IF('1. Live'!CE304='check-Jul''26'!CA304,"",'1. Live'!CE304-'check-Jul''26'!CA304)</f>
        <v/>
      </c>
      <c r="CB286" s="25" t="str">
        <f>IF('1. Live'!CF304='check-Jul''26'!CB304,"",'1. Live'!CF304-'check-Jul''26'!CB304)</f>
        <v/>
      </c>
      <c r="CC286" s="25" t="str">
        <f>IF('1. Live'!CG304='check-Jul''26'!CC304,"",'1. Live'!CG304-'check-Jul''26'!CC304)</f>
        <v/>
      </c>
      <c r="CD286" s="25" t="str">
        <f>IF('1. Live'!CH304='check-Jul''26'!CD304,"",'1. Live'!CH304-'check-Jul''26'!CD304)</f>
        <v/>
      </c>
      <c r="CE286" s="25" t="str">
        <f>IF('1. Live'!CI304='check-Jul''26'!CE304,"",'1. Live'!CI304-'check-Jul''26'!CE304)</f>
        <v/>
      </c>
      <c r="CF286" s="25" t="str">
        <f>IF('1. Live'!CJ304='check-Jul''26'!CF304,"",'1. Live'!CJ304-'check-Jul''26'!CF304)</f>
        <v/>
      </c>
      <c r="CG286" s="25" t="str">
        <f>IF('1. Live'!CK304='check-Jul''26'!CG304,"",'1. Live'!CK304-'check-Jul''26'!CG304)</f>
        <v/>
      </c>
      <c r="CH286" s="25" t="str">
        <f>IF('1. Live'!CL304='check-Jul''26'!CH304,"",'1. Live'!CL304-'check-Jul''26'!CH304)</f>
        <v/>
      </c>
      <c r="CI286" s="25" t="str">
        <f>IF('1. Live'!CM304='check-Jul''26'!CI304,"",'1. Live'!CM304-'check-Jul''26'!CI304)</f>
        <v/>
      </c>
      <c r="CJ286" s="25" t="str">
        <f>IF('1. Live'!CN304='check-Jul''26'!CJ304,"",'1. Live'!CN304-'check-Jul''26'!CJ304)</f>
        <v/>
      </c>
      <c r="CK286" s="25" t="str">
        <f>IF('1. Live'!CO304='check-Jul''26'!CK304,"",'1. Live'!CO304-'check-Jul''26'!CK304)</f>
        <v/>
      </c>
      <c r="CL286" s="25" t="str">
        <f>IF('1. Live'!CP304='check-Jul''26'!CL304,"",'1. Live'!CP304-'check-Jul''26'!CL304)</f>
        <v/>
      </c>
      <c r="CM286" s="25" t="str">
        <f>IF('1. Live'!CQ304='check-Jul''26'!CM304,"",'1. Live'!CQ304-'check-Jul''26'!CM304)</f>
        <v/>
      </c>
      <c r="CN286" s="25" t="str">
        <f>IF('1. Live'!CR304='check-Jul''26'!CN304,"",'1. Live'!CR304-'check-Jul''26'!CN304)</f>
        <v/>
      </c>
      <c r="CO286" s="25" t="str">
        <f>IF('1. Live'!CS304='check-Jul''26'!CO304,"",'1. Live'!CS304-'check-Jul''26'!CO304)</f>
        <v/>
      </c>
      <c r="CP286" s="25" t="str">
        <f>IF('1. Live'!CT304='check-Jul''26'!CP304,"",'1. Live'!CT304-'check-Jul''26'!CP304)</f>
        <v/>
      </c>
      <c r="CQ286" s="25" t="str">
        <f>IF('1. Live'!CU304='check-Jul''26'!CQ304,"",'1. Live'!CU304-'check-Jul''26'!CQ304)</f>
        <v/>
      </c>
      <c r="CR286" s="25" t="str">
        <f>IF('1. Live'!CV304='check-Jul''26'!CR304,"",'1. Live'!CV304-'check-Jul''26'!CR304)</f>
        <v/>
      </c>
      <c r="CS286" s="25" t="str">
        <f>IF('1. Live'!CW304='check-Jul''26'!CS304,"",'1. Live'!CW304-'check-Jul''26'!CS304)</f>
        <v/>
      </c>
      <c r="CT286" s="25" t="str">
        <f>IF('1. Live'!CX304='check-Jul''26'!CT304,"",'1. Live'!CX304-'check-Jul''26'!CT304)</f>
        <v/>
      </c>
      <c r="CU286" s="25" t="str">
        <f>IF('1. Live'!CY304='check-Jul''26'!CU304,"",'1. Live'!CY304-'check-Jul''26'!CU304)</f>
        <v/>
      </c>
      <c r="CV286" s="25" t="str">
        <f>IF('1. Live'!CZ304='check-Jul''26'!CV304,"",'1. Live'!CZ304-'check-Jul''26'!CV304)</f>
        <v/>
      </c>
    </row>
    <row r="287" spans="17:100" x14ac:dyDescent="0.25">
      <c r="Q287" s="26" t="str">
        <f>IF('1. Live'!N305='check-Jul''26'!I305,"",'1. Live'!N305-'check-Jul''26'!I305)</f>
        <v/>
      </c>
      <c r="R287" s="26" t="str">
        <f>IF('1. Live'!O305='check-Jul''26'!J305,"",'1. Live'!O305-'check-Jul''26'!J305)</f>
        <v/>
      </c>
      <c r="S287" s="26" t="str">
        <f>IF('1. Live'!P305='check-Jul''26'!K305,"",'1. Live'!P305-'check-Jul''26'!K305)</f>
        <v/>
      </c>
      <c r="T287" s="26" t="str">
        <f>IF('1. Live'!Q305='check-Jul''26'!L305,"",'1. Live'!Q305-'check-Jul''26'!L305)</f>
        <v/>
      </c>
      <c r="U287" s="80" t="str">
        <f>IF('1. Live'!R305='check-Jul''26'!M305,"",'1. Live'!R305-'check-Jul''26'!M305)</f>
        <v/>
      </c>
      <c r="V287" s="26" t="str">
        <f>IF('1. Live'!S305='check-Jul''26'!N305,"",'1. Live'!S305-'check-Jul''26'!N305)</f>
        <v/>
      </c>
      <c r="W287" s="25" t="str">
        <f>IF('1. Live'!T305='check-Jul''26'!O305,"",'1. Live'!T305-'check-Jul''26'!O305)</f>
        <v/>
      </c>
      <c r="X287" s="25" t="str">
        <f>IF('1. Live'!U305='check-Jul''26'!Q305,"",'1. Live'!U305-'check-Jul''26'!Q305)</f>
        <v/>
      </c>
      <c r="Y287" s="25" t="str">
        <f>IF('1. Live'!V305='check-Jul''26'!R305,"",'1. Live'!V305-'check-Jul''26'!R305)</f>
        <v/>
      </c>
      <c r="Z287" s="25" t="str">
        <f>IF('1. Live'!W305='check-Jul''26'!S305,"",'1. Live'!W305-'check-Jul''26'!S305)</f>
        <v/>
      </c>
      <c r="AA287" s="25" t="str">
        <f>IF('1. Live'!X305='check-Jul''26'!T305,"",'1. Live'!X305-'check-Jul''26'!T305)</f>
        <v/>
      </c>
      <c r="AB287" s="25" t="str">
        <f>IF('1. Live'!AF305='check-Jul''26'!AB305,"",'1. Live'!AF305-'check-Jul''26'!AB305)</f>
        <v/>
      </c>
      <c r="AC287" s="25" t="str">
        <f>IF('1. Live'!AG305='check-Jul''26'!AC305,"",'1. Live'!AG305-'check-Jul''26'!AC305)</f>
        <v/>
      </c>
      <c r="AD287" s="25" t="str">
        <f>IF('1. Live'!AH305='check-Jul''26'!AD305,"",'1. Live'!AH305-'check-Jul''26'!AD305)</f>
        <v/>
      </c>
      <c r="AE287" s="25" t="str">
        <f>IF('1. Live'!AI305='check-Jul''26'!AE305,"",'1. Live'!AI305-'check-Jul''26'!AE305)</f>
        <v/>
      </c>
      <c r="AF287" s="25" t="str">
        <f>IF('1. Live'!AJ305='check-Jul''26'!AF305,"",'1. Live'!AJ305-'check-Jul''26'!AF305)</f>
        <v/>
      </c>
      <c r="AG287" s="25" t="str">
        <f>IF('1. Live'!AK305='check-Jul''26'!AG305,"",'1. Live'!AK305-'check-Jul''26'!AG305)</f>
        <v/>
      </c>
      <c r="AH287" s="25" t="str">
        <f>IF('1. Live'!AL305='check-Jul''26'!AH305,"",'1. Live'!AL305-'check-Jul''26'!AH305)</f>
        <v/>
      </c>
      <c r="AI287" s="25" t="str">
        <f>IF('1. Live'!AM305='check-Jul''26'!AI305,"",'1. Live'!AM305-'check-Jul''26'!AI305)</f>
        <v/>
      </c>
      <c r="AJ287" s="25" t="str">
        <f>IF('1. Live'!AN305='check-Jul''26'!AJ305,"",'1. Live'!AN305-'check-Jul''26'!AJ305)</f>
        <v/>
      </c>
      <c r="AK287" s="25" t="str">
        <f>IF('1. Live'!AO305='check-Jul''26'!AK305,"",'1. Live'!AO305-'check-Jul''26'!AK305)</f>
        <v/>
      </c>
      <c r="AL287" s="25" t="str">
        <f>IF('1. Live'!AP305='check-Jul''26'!AL305,"",'1. Live'!AP305-'check-Jul''26'!AL305)</f>
        <v/>
      </c>
      <c r="AM287" s="25" t="str">
        <f>IF('1. Live'!AQ305='check-Jul''26'!AM305,"",'1. Live'!AQ305-'check-Jul''26'!AM305)</f>
        <v/>
      </c>
      <c r="AN287" s="25" t="str">
        <f>IF('1. Live'!AR305='check-Jul''26'!AN305,"",'1. Live'!AR305-'check-Jul''26'!AN305)</f>
        <v/>
      </c>
      <c r="AO287" s="25" t="str">
        <f>IF('1. Live'!AS305='check-Jul''26'!AO305,"",'1. Live'!AS305-'check-Jul''26'!AO305)</f>
        <v/>
      </c>
      <c r="AP287" s="25" t="str">
        <f>IF('1. Live'!AT305='check-Jul''26'!AP305,"",'1. Live'!AT305-'check-Jul''26'!AP305)</f>
        <v/>
      </c>
      <c r="AQ287" s="25" t="str">
        <f>IF('1. Live'!AU305='check-Jul''26'!AQ305,"",'1. Live'!AU305-'check-Jul''26'!AQ305)</f>
        <v/>
      </c>
      <c r="AR287" s="25" t="str">
        <f>IF('1. Live'!AV305='check-Jul''26'!AR305,"",'1. Live'!AV305-'check-Jul''26'!AR305)</f>
        <v/>
      </c>
      <c r="AS287" s="25" t="str">
        <f>IF('1. Live'!AW305='check-Jul''26'!AS305,"",'1. Live'!AW305-'check-Jul''26'!AS305)</f>
        <v/>
      </c>
      <c r="AT287" s="25" t="str">
        <f>IF('1. Live'!AX305='check-Jul''26'!AT305,"",'1. Live'!AX305-'check-Jul''26'!AT305)</f>
        <v/>
      </c>
      <c r="AU287" s="25" t="str">
        <f>IF('1. Live'!AY305='check-Jul''26'!AU305,"",'1. Live'!AY305-'check-Jul''26'!AU305)</f>
        <v/>
      </c>
      <c r="AV287" s="25" t="str">
        <f>IF('1. Live'!AZ305='check-Jul''26'!AV305,"",'1. Live'!AZ305-'check-Jul''26'!AV305)</f>
        <v/>
      </c>
      <c r="AW287" s="25" t="str">
        <f>IF('1. Live'!BA305='check-Jul''26'!AW305,"",'1. Live'!BA305-'check-Jul''26'!AW305)</f>
        <v/>
      </c>
      <c r="AX287" s="25" t="str">
        <f>IF('1. Live'!BB305='check-Jul''26'!AX305,"",'1. Live'!BB305-'check-Jul''26'!AX305)</f>
        <v/>
      </c>
      <c r="AY287" s="25" t="str">
        <f>IF('1. Live'!BC305='check-Jul''26'!AY305,"",'1. Live'!BC305-'check-Jul''26'!AY305)</f>
        <v/>
      </c>
      <c r="AZ287" s="25" t="str">
        <f>IF('1. Live'!BD305='check-Jul''26'!AZ305,"",'1. Live'!BD305-'check-Jul''26'!AZ305)</f>
        <v/>
      </c>
      <c r="BA287" s="25" t="str">
        <f>IF('1. Live'!BE305='check-Jul''26'!BA305,"",'1. Live'!BE305-'check-Jul''26'!BA305)</f>
        <v/>
      </c>
      <c r="BB287" s="25" t="str">
        <f>IF('1. Live'!BF305='check-Jul''26'!BB305,"",'1. Live'!BF305-'check-Jul''26'!BB305)</f>
        <v/>
      </c>
      <c r="BC287" s="25" t="str">
        <f>IF('1. Live'!BG305='check-Jul''26'!BC305,"",'1. Live'!BG305-'check-Jul''26'!BC305)</f>
        <v/>
      </c>
      <c r="BD287" s="25" t="str">
        <f>IF('1. Live'!BH305='check-Jul''26'!BD305,"",'1. Live'!BH305-'check-Jul''26'!BD305)</f>
        <v/>
      </c>
      <c r="BE287" s="25" t="str">
        <f>IF('1. Live'!BI305='check-Jul''26'!BE305,"",'1. Live'!BI305-'check-Jul''26'!BE305)</f>
        <v/>
      </c>
      <c r="BF287" s="25" t="str">
        <f>IF('1. Live'!BJ305='check-Jul''26'!BF305,"",'1. Live'!BJ305-'check-Jul''26'!BF305)</f>
        <v/>
      </c>
      <c r="BG287" s="25" t="str">
        <f>IF('1. Live'!BK305='check-Jul''26'!BG305,"",'1. Live'!BK305-'check-Jul''26'!BG305)</f>
        <v/>
      </c>
      <c r="BH287" s="25" t="str">
        <f>IF('1. Live'!BL305='check-Jul''26'!BH305,"",'1. Live'!BL305-'check-Jul''26'!BH305)</f>
        <v/>
      </c>
      <c r="BI287" s="25" t="str">
        <f>IF('1. Live'!BM305='check-Jul''26'!BI305,"",'1. Live'!BM305-'check-Jul''26'!BI305)</f>
        <v/>
      </c>
      <c r="BJ287" s="25" t="str">
        <f>IF('1. Live'!BN305='check-Jul''26'!BJ305,"",'1. Live'!BN305-'check-Jul''26'!BJ305)</f>
        <v/>
      </c>
      <c r="BK287" s="25" t="str">
        <f>IF('1. Live'!BO305='check-Jul''26'!BK305,"",'1. Live'!BO305-'check-Jul''26'!BK305)</f>
        <v/>
      </c>
      <c r="BL287" s="25" t="str">
        <f>IF('1. Live'!BP305='check-Jul''26'!BL305,"",'1. Live'!BP305-'check-Jul''26'!BL305)</f>
        <v/>
      </c>
      <c r="BM287" s="25" t="str">
        <f>IF('1. Live'!BQ305='check-Jul''26'!BM305,"",'1. Live'!BQ305-'check-Jul''26'!BM305)</f>
        <v/>
      </c>
      <c r="BN287" s="25" t="str">
        <f>IF('1. Live'!BR305='check-Jul''26'!BN305,"",'1. Live'!BR305-'check-Jul''26'!BN305)</f>
        <v/>
      </c>
      <c r="BO287" s="25" t="str">
        <f>IF('1. Live'!BS305='check-Jul''26'!BO305,"",'1. Live'!BS305-'check-Jul''26'!BO305)</f>
        <v/>
      </c>
      <c r="BP287" s="25" t="str">
        <f>IF('1. Live'!BT305='check-Jul''26'!BP305,"",'1. Live'!BT305-'check-Jul''26'!BP305)</f>
        <v/>
      </c>
      <c r="BQ287" s="25" t="str">
        <f>IF('1. Live'!BU305='check-Jul''26'!BQ305,"",'1. Live'!BU305-'check-Jul''26'!BQ305)</f>
        <v/>
      </c>
      <c r="BR287" s="25" t="str">
        <f>IF('1. Live'!BV305='check-Jul''26'!BR305,"",'1. Live'!BV305-'check-Jul''26'!BR305)</f>
        <v/>
      </c>
      <c r="BS287" s="25" t="str">
        <f>IF('1. Live'!BW305='check-Jul''26'!BS305,"",'1. Live'!BW305-'check-Jul''26'!BS305)</f>
        <v/>
      </c>
      <c r="BT287" s="25" t="str">
        <f>IF('1. Live'!BX305='check-Jul''26'!BT305,"",'1. Live'!BX305-'check-Jul''26'!BT305)</f>
        <v/>
      </c>
      <c r="BU287" s="25" t="str">
        <f>IF('1. Live'!BY305='check-Jul''26'!BU305,"",'1. Live'!BY305-'check-Jul''26'!BU305)</f>
        <v/>
      </c>
      <c r="BV287" s="25" t="str">
        <f>IF('1. Live'!BZ305='check-Jul''26'!BV305,"",'1. Live'!BZ305-'check-Jul''26'!BV305)</f>
        <v/>
      </c>
      <c r="BW287" s="25" t="str">
        <f>IF('1. Live'!CA305='check-Jul''26'!BW305,"",'1. Live'!CA305-'check-Jul''26'!BW305)</f>
        <v/>
      </c>
      <c r="BX287" s="25" t="str">
        <f>IF('1. Live'!CB305='check-Jul''26'!BX305,"",'1. Live'!CB305-'check-Jul''26'!BX305)</f>
        <v/>
      </c>
      <c r="BY287" s="25" t="str">
        <f>IF('1. Live'!CC305='check-Jul''26'!BY305,"",'1. Live'!CC305-'check-Jul''26'!BY305)</f>
        <v/>
      </c>
      <c r="BZ287" s="25" t="str">
        <f>IF('1. Live'!CD305='check-Jul''26'!BZ305,"",'1. Live'!CD305-'check-Jul''26'!BZ305)</f>
        <v/>
      </c>
      <c r="CA287" s="25" t="str">
        <f>IF('1. Live'!CE305='check-Jul''26'!CA305,"",'1. Live'!CE305-'check-Jul''26'!CA305)</f>
        <v/>
      </c>
      <c r="CB287" s="25" t="str">
        <f>IF('1. Live'!CF305='check-Jul''26'!CB305,"",'1. Live'!CF305-'check-Jul''26'!CB305)</f>
        <v/>
      </c>
      <c r="CC287" s="25" t="str">
        <f>IF('1. Live'!CG305='check-Jul''26'!CC305,"",'1. Live'!CG305-'check-Jul''26'!CC305)</f>
        <v/>
      </c>
      <c r="CD287" s="25" t="str">
        <f>IF('1. Live'!CH305='check-Jul''26'!CD305,"",'1. Live'!CH305-'check-Jul''26'!CD305)</f>
        <v/>
      </c>
      <c r="CE287" s="25" t="str">
        <f>IF('1. Live'!CI305='check-Jul''26'!CE305,"",'1. Live'!CI305-'check-Jul''26'!CE305)</f>
        <v/>
      </c>
      <c r="CF287" s="25" t="str">
        <f>IF('1. Live'!CJ305='check-Jul''26'!CF305,"",'1. Live'!CJ305-'check-Jul''26'!CF305)</f>
        <v/>
      </c>
      <c r="CG287" s="25" t="str">
        <f>IF('1. Live'!CK305='check-Jul''26'!CG305,"",'1. Live'!CK305-'check-Jul''26'!CG305)</f>
        <v/>
      </c>
      <c r="CH287" s="25" t="str">
        <f>IF('1. Live'!CL305='check-Jul''26'!CH305,"",'1. Live'!CL305-'check-Jul''26'!CH305)</f>
        <v/>
      </c>
      <c r="CI287" s="25" t="str">
        <f>IF('1. Live'!CM305='check-Jul''26'!CI305,"",'1. Live'!CM305-'check-Jul''26'!CI305)</f>
        <v/>
      </c>
      <c r="CJ287" s="25" t="str">
        <f>IF('1. Live'!CN305='check-Jul''26'!CJ305,"",'1. Live'!CN305-'check-Jul''26'!CJ305)</f>
        <v/>
      </c>
      <c r="CK287" s="25" t="str">
        <f>IF('1. Live'!CO305='check-Jul''26'!CK305,"",'1. Live'!CO305-'check-Jul''26'!CK305)</f>
        <v/>
      </c>
      <c r="CL287" s="25" t="str">
        <f>IF('1. Live'!CP305='check-Jul''26'!CL305,"",'1. Live'!CP305-'check-Jul''26'!CL305)</f>
        <v/>
      </c>
      <c r="CM287" s="25" t="str">
        <f>IF('1. Live'!CQ305='check-Jul''26'!CM305,"",'1. Live'!CQ305-'check-Jul''26'!CM305)</f>
        <v/>
      </c>
      <c r="CN287" s="25" t="str">
        <f>IF('1. Live'!CR305='check-Jul''26'!CN305,"",'1. Live'!CR305-'check-Jul''26'!CN305)</f>
        <v/>
      </c>
      <c r="CO287" s="25" t="str">
        <f>IF('1. Live'!CS305='check-Jul''26'!CO305,"",'1. Live'!CS305-'check-Jul''26'!CO305)</f>
        <v/>
      </c>
      <c r="CP287" s="25" t="str">
        <f>IF('1. Live'!CT305='check-Jul''26'!CP305,"",'1. Live'!CT305-'check-Jul''26'!CP305)</f>
        <v/>
      </c>
      <c r="CQ287" s="25" t="str">
        <f>IF('1. Live'!CU305='check-Jul''26'!CQ305,"",'1. Live'!CU305-'check-Jul''26'!CQ305)</f>
        <v/>
      </c>
      <c r="CR287" s="25" t="str">
        <f>IF('1. Live'!CV305='check-Jul''26'!CR305,"",'1. Live'!CV305-'check-Jul''26'!CR305)</f>
        <v/>
      </c>
      <c r="CS287" s="25" t="str">
        <f>IF('1. Live'!CW305='check-Jul''26'!CS305,"",'1. Live'!CW305-'check-Jul''26'!CS305)</f>
        <v/>
      </c>
      <c r="CT287" s="25" t="str">
        <f>IF('1. Live'!CX305='check-Jul''26'!CT305,"",'1. Live'!CX305-'check-Jul''26'!CT305)</f>
        <v/>
      </c>
      <c r="CU287" s="25" t="str">
        <f>IF('1. Live'!CY305='check-Jul''26'!CU305,"",'1. Live'!CY305-'check-Jul''26'!CU305)</f>
        <v/>
      </c>
      <c r="CV287" s="25" t="str">
        <f>IF('1. Live'!CZ305='check-Jul''26'!CV305,"",'1. Live'!CZ305-'check-Jul''26'!CV305)</f>
        <v/>
      </c>
    </row>
    <row r="288" spans="17:100" x14ac:dyDescent="0.25">
      <c r="Q288" s="26" t="str">
        <f>IF('1. Live'!N306='check-Jul''26'!I306,"",'1. Live'!N306-'check-Jul''26'!I306)</f>
        <v/>
      </c>
      <c r="R288" s="26" t="str">
        <f>IF('1. Live'!O306='check-Jul''26'!J306,"",'1. Live'!O306-'check-Jul''26'!J306)</f>
        <v/>
      </c>
      <c r="S288" s="26" t="str">
        <f>IF('1. Live'!P306='check-Jul''26'!K306,"",'1. Live'!P306-'check-Jul''26'!K306)</f>
        <v/>
      </c>
      <c r="T288" s="26" t="str">
        <f>IF('1. Live'!Q306='check-Jul''26'!L306,"",'1. Live'!Q306-'check-Jul''26'!L306)</f>
        <v/>
      </c>
      <c r="U288" s="80" t="str">
        <f>IF('1. Live'!R306='check-Jul''26'!M306,"",'1. Live'!R306-'check-Jul''26'!M306)</f>
        <v/>
      </c>
      <c r="V288" s="26" t="str">
        <f>IF('1. Live'!S306='check-Jul''26'!N306,"",'1. Live'!S306-'check-Jul''26'!N306)</f>
        <v/>
      </c>
      <c r="W288" s="25" t="str">
        <f>IF('1. Live'!T306='check-Jul''26'!O306,"",'1. Live'!T306-'check-Jul''26'!O306)</f>
        <v/>
      </c>
      <c r="X288" s="25" t="str">
        <f>IF('1. Live'!U306='check-Jul''26'!Q306,"",'1. Live'!U306-'check-Jul''26'!Q306)</f>
        <v/>
      </c>
      <c r="Y288" s="25" t="str">
        <f>IF('1. Live'!V306='check-Jul''26'!R306,"",'1. Live'!V306-'check-Jul''26'!R306)</f>
        <v/>
      </c>
      <c r="Z288" s="25" t="str">
        <f>IF('1. Live'!W306='check-Jul''26'!S306,"",'1. Live'!W306-'check-Jul''26'!S306)</f>
        <v/>
      </c>
      <c r="AA288" s="25" t="str">
        <f>IF('1. Live'!X306='check-Jul''26'!T306,"",'1. Live'!X306-'check-Jul''26'!T306)</f>
        <v/>
      </c>
      <c r="AB288" s="25" t="str">
        <f>IF('1. Live'!AF306='check-Jul''26'!AB306,"",'1. Live'!AF306-'check-Jul''26'!AB306)</f>
        <v/>
      </c>
      <c r="AC288" s="25" t="str">
        <f>IF('1. Live'!AG306='check-Jul''26'!AC306,"",'1. Live'!AG306-'check-Jul''26'!AC306)</f>
        <v/>
      </c>
      <c r="AD288" s="25" t="str">
        <f>IF('1. Live'!AH306='check-Jul''26'!AD306,"",'1. Live'!AH306-'check-Jul''26'!AD306)</f>
        <v/>
      </c>
      <c r="AE288" s="25" t="str">
        <f>IF('1. Live'!AI306='check-Jul''26'!AE306,"",'1. Live'!AI306-'check-Jul''26'!AE306)</f>
        <v/>
      </c>
      <c r="AF288" s="25" t="str">
        <f>IF('1. Live'!AJ306='check-Jul''26'!AF306,"",'1. Live'!AJ306-'check-Jul''26'!AF306)</f>
        <v/>
      </c>
      <c r="AG288" s="25" t="str">
        <f>IF('1. Live'!AK306='check-Jul''26'!AG306,"",'1. Live'!AK306-'check-Jul''26'!AG306)</f>
        <v/>
      </c>
      <c r="AH288" s="25" t="str">
        <f>IF('1. Live'!AL306='check-Jul''26'!AH306,"",'1. Live'!AL306-'check-Jul''26'!AH306)</f>
        <v/>
      </c>
      <c r="AI288" s="25" t="str">
        <f>IF('1. Live'!AM306='check-Jul''26'!AI306,"",'1. Live'!AM306-'check-Jul''26'!AI306)</f>
        <v/>
      </c>
      <c r="AJ288" s="25" t="str">
        <f>IF('1. Live'!AN306='check-Jul''26'!AJ306,"",'1. Live'!AN306-'check-Jul''26'!AJ306)</f>
        <v/>
      </c>
      <c r="AK288" s="25" t="str">
        <f>IF('1. Live'!AO306='check-Jul''26'!AK306,"",'1. Live'!AO306-'check-Jul''26'!AK306)</f>
        <v/>
      </c>
      <c r="AL288" s="25" t="str">
        <f>IF('1. Live'!AP306='check-Jul''26'!AL306,"",'1. Live'!AP306-'check-Jul''26'!AL306)</f>
        <v/>
      </c>
      <c r="AM288" s="25" t="str">
        <f>IF('1. Live'!AQ306='check-Jul''26'!AM306,"",'1. Live'!AQ306-'check-Jul''26'!AM306)</f>
        <v/>
      </c>
      <c r="AN288" s="25" t="str">
        <f>IF('1. Live'!AR306='check-Jul''26'!AN306,"",'1. Live'!AR306-'check-Jul''26'!AN306)</f>
        <v/>
      </c>
      <c r="AO288" s="25" t="str">
        <f>IF('1. Live'!AS306='check-Jul''26'!AO306,"",'1. Live'!AS306-'check-Jul''26'!AO306)</f>
        <v/>
      </c>
      <c r="AP288" s="25" t="str">
        <f>IF('1. Live'!AT306='check-Jul''26'!AP306,"",'1. Live'!AT306-'check-Jul''26'!AP306)</f>
        <v/>
      </c>
      <c r="AQ288" s="25" t="str">
        <f>IF('1. Live'!AU306='check-Jul''26'!AQ306,"",'1. Live'!AU306-'check-Jul''26'!AQ306)</f>
        <v/>
      </c>
      <c r="AR288" s="25" t="str">
        <f>IF('1. Live'!AV306='check-Jul''26'!AR306,"",'1. Live'!AV306-'check-Jul''26'!AR306)</f>
        <v/>
      </c>
      <c r="AS288" s="25" t="str">
        <f>IF('1. Live'!AW306='check-Jul''26'!AS306,"",'1. Live'!AW306-'check-Jul''26'!AS306)</f>
        <v/>
      </c>
      <c r="AT288" s="25" t="str">
        <f>IF('1. Live'!AX306='check-Jul''26'!AT306,"",'1. Live'!AX306-'check-Jul''26'!AT306)</f>
        <v/>
      </c>
      <c r="AU288" s="25" t="str">
        <f>IF('1. Live'!AY306='check-Jul''26'!AU306,"",'1. Live'!AY306-'check-Jul''26'!AU306)</f>
        <v/>
      </c>
      <c r="AV288" s="25" t="str">
        <f>IF('1. Live'!AZ306='check-Jul''26'!AV306,"",'1. Live'!AZ306-'check-Jul''26'!AV306)</f>
        <v/>
      </c>
      <c r="AW288" s="25" t="str">
        <f>IF('1. Live'!BA306='check-Jul''26'!AW306,"",'1. Live'!BA306-'check-Jul''26'!AW306)</f>
        <v/>
      </c>
      <c r="AX288" s="25" t="str">
        <f>IF('1. Live'!BB306='check-Jul''26'!AX306,"",'1. Live'!BB306-'check-Jul''26'!AX306)</f>
        <v/>
      </c>
      <c r="AY288" s="25" t="str">
        <f>IF('1. Live'!BC306='check-Jul''26'!AY306,"",'1. Live'!BC306-'check-Jul''26'!AY306)</f>
        <v/>
      </c>
      <c r="AZ288" s="25" t="str">
        <f>IF('1. Live'!BD306='check-Jul''26'!AZ306,"",'1. Live'!BD306-'check-Jul''26'!AZ306)</f>
        <v/>
      </c>
      <c r="BA288" s="25" t="str">
        <f>IF('1. Live'!BE306='check-Jul''26'!BA306,"",'1. Live'!BE306-'check-Jul''26'!BA306)</f>
        <v/>
      </c>
      <c r="BB288" s="25" t="str">
        <f>IF('1. Live'!BF306='check-Jul''26'!BB306,"",'1. Live'!BF306-'check-Jul''26'!BB306)</f>
        <v/>
      </c>
      <c r="BC288" s="25" t="str">
        <f>IF('1. Live'!BG306='check-Jul''26'!BC306,"",'1. Live'!BG306-'check-Jul''26'!BC306)</f>
        <v/>
      </c>
      <c r="BD288" s="25" t="str">
        <f>IF('1. Live'!BH306='check-Jul''26'!BD306,"",'1. Live'!BH306-'check-Jul''26'!BD306)</f>
        <v/>
      </c>
      <c r="BE288" s="25" t="str">
        <f>IF('1. Live'!BI306='check-Jul''26'!BE306,"",'1. Live'!BI306-'check-Jul''26'!BE306)</f>
        <v/>
      </c>
      <c r="BF288" s="25" t="str">
        <f>IF('1. Live'!BJ306='check-Jul''26'!BF306,"",'1. Live'!BJ306-'check-Jul''26'!BF306)</f>
        <v/>
      </c>
      <c r="BG288" s="25" t="str">
        <f>IF('1. Live'!BK306='check-Jul''26'!BG306,"",'1. Live'!BK306-'check-Jul''26'!BG306)</f>
        <v/>
      </c>
      <c r="BH288" s="25" t="str">
        <f>IF('1. Live'!BL306='check-Jul''26'!BH306,"",'1. Live'!BL306-'check-Jul''26'!BH306)</f>
        <v/>
      </c>
      <c r="BI288" s="25" t="str">
        <f>IF('1. Live'!BM306='check-Jul''26'!BI306,"",'1. Live'!BM306-'check-Jul''26'!BI306)</f>
        <v/>
      </c>
      <c r="BJ288" s="25" t="str">
        <f>IF('1. Live'!BN306='check-Jul''26'!BJ306,"",'1. Live'!BN306-'check-Jul''26'!BJ306)</f>
        <v/>
      </c>
      <c r="BK288" s="25" t="str">
        <f>IF('1. Live'!BO306='check-Jul''26'!BK306,"",'1. Live'!BO306-'check-Jul''26'!BK306)</f>
        <v/>
      </c>
      <c r="BL288" s="25" t="str">
        <f>IF('1. Live'!BP306='check-Jul''26'!BL306,"",'1. Live'!BP306-'check-Jul''26'!BL306)</f>
        <v/>
      </c>
      <c r="BM288" s="25" t="str">
        <f>IF('1. Live'!BQ306='check-Jul''26'!BM306,"",'1. Live'!BQ306-'check-Jul''26'!BM306)</f>
        <v/>
      </c>
      <c r="BN288" s="25" t="str">
        <f>IF('1. Live'!BR306='check-Jul''26'!BN306,"",'1. Live'!BR306-'check-Jul''26'!BN306)</f>
        <v/>
      </c>
      <c r="BO288" s="25" t="str">
        <f>IF('1. Live'!BS306='check-Jul''26'!BO306,"",'1. Live'!BS306-'check-Jul''26'!BO306)</f>
        <v/>
      </c>
      <c r="BP288" s="25" t="str">
        <f>IF('1. Live'!BT306='check-Jul''26'!BP306,"",'1. Live'!BT306-'check-Jul''26'!BP306)</f>
        <v/>
      </c>
      <c r="BQ288" s="25" t="str">
        <f>IF('1. Live'!BU306='check-Jul''26'!BQ306,"",'1. Live'!BU306-'check-Jul''26'!BQ306)</f>
        <v/>
      </c>
      <c r="BR288" s="25" t="str">
        <f>IF('1. Live'!BV306='check-Jul''26'!BR306,"",'1. Live'!BV306-'check-Jul''26'!BR306)</f>
        <v/>
      </c>
      <c r="BS288" s="25" t="str">
        <f>IF('1. Live'!BW306='check-Jul''26'!BS306,"",'1. Live'!BW306-'check-Jul''26'!BS306)</f>
        <v/>
      </c>
      <c r="BT288" s="25" t="str">
        <f>IF('1. Live'!BX306='check-Jul''26'!BT306,"",'1. Live'!BX306-'check-Jul''26'!BT306)</f>
        <v/>
      </c>
      <c r="BU288" s="25" t="str">
        <f>IF('1. Live'!BY306='check-Jul''26'!BU306,"",'1. Live'!BY306-'check-Jul''26'!BU306)</f>
        <v/>
      </c>
      <c r="BV288" s="25" t="str">
        <f>IF('1. Live'!BZ306='check-Jul''26'!BV306,"",'1. Live'!BZ306-'check-Jul''26'!BV306)</f>
        <v/>
      </c>
      <c r="BW288" s="25" t="str">
        <f>IF('1. Live'!CA306='check-Jul''26'!BW306,"",'1. Live'!CA306-'check-Jul''26'!BW306)</f>
        <v/>
      </c>
      <c r="BX288" s="25" t="str">
        <f>IF('1. Live'!CB306='check-Jul''26'!BX306,"",'1. Live'!CB306-'check-Jul''26'!BX306)</f>
        <v/>
      </c>
      <c r="BY288" s="25" t="str">
        <f>IF('1. Live'!CC306='check-Jul''26'!BY306,"",'1. Live'!CC306-'check-Jul''26'!BY306)</f>
        <v/>
      </c>
      <c r="BZ288" s="25" t="str">
        <f>IF('1. Live'!CD306='check-Jul''26'!BZ306,"",'1. Live'!CD306-'check-Jul''26'!BZ306)</f>
        <v/>
      </c>
      <c r="CA288" s="25" t="str">
        <f>IF('1. Live'!CE306='check-Jul''26'!CA306,"",'1. Live'!CE306-'check-Jul''26'!CA306)</f>
        <v/>
      </c>
      <c r="CB288" s="25" t="str">
        <f>IF('1. Live'!CF306='check-Jul''26'!CB306,"",'1. Live'!CF306-'check-Jul''26'!CB306)</f>
        <v/>
      </c>
      <c r="CC288" s="25" t="str">
        <f>IF('1. Live'!CG306='check-Jul''26'!CC306,"",'1. Live'!CG306-'check-Jul''26'!CC306)</f>
        <v/>
      </c>
      <c r="CD288" s="25" t="str">
        <f>IF('1. Live'!CH306='check-Jul''26'!CD306,"",'1. Live'!CH306-'check-Jul''26'!CD306)</f>
        <v/>
      </c>
      <c r="CE288" s="25" t="str">
        <f>IF('1. Live'!CI306='check-Jul''26'!CE306,"",'1. Live'!CI306-'check-Jul''26'!CE306)</f>
        <v/>
      </c>
      <c r="CF288" s="25" t="str">
        <f>IF('1. Live'!CJ306='check-Jul''26'!CF306,"",'1. Live'!CJ306-'check-Jul''26'!CF306)</f>
        <v/>
      </c>
      <c r="CG288" s="25" t="str">
        <f>IF('1. Live'!CK306='check-Jul''26'!CG306,"",'1. Live'!CK306-'check-Jul''26'!CG306)</f>
        <v/>
      </c>
      <c r="CH288" s="25" t="str">
        <f>IF('1. Live'!CL306='check-Jul''26'!CH306,"",'1. Live'!CL306-'check-Jul''26'!CH306)</f>
        <v/>
      </c>
      <c r="CI288" s="25" t="str">
        <f>IF('1. Live'!CM306='check-Jul''26'!CI306,"",'1. Live'!CM306-'check-Jul''26'!CI306)</f>
        <v/>
      </c>
      <c r="CJ288" s="25" t="str">
        <f>IF('1. Live'!CN306='check-Jul''26'!CJ306,"",'1. Live'!CN306-'check-Jul''26'!CJ306)</f>
        <v/>
      </c>
      <c r="CK288" s="25" t="str">
        <f>IF('1. Live'!CO306='check-Jul''26'!CK306,"",'1. Live'!CO306-'check-Jul''26'!CK306)</f>
        <v/>
      </c>
      <c r="CL288" s="25" t="str">
        <f>IF('1. Live'!CP306='check-Jul''26'!CL306,"",'1. Live'!CP306-'check-Jul''26'!CL306)</f>
        <v/>
      </c>
      <c r="CM288" s="25" t="str">
        <f>IF('1. Live'!CQ306='check-Jul''26'!CM306,"",'1. Live'!CQ306-'check-Jul''26'!CM306)</f>
        <v/>
      </c>
      <c r="CN288" s="25" t="str">
        <f>IF('1. Live'!CR306='check-Jul''26'!CN306,"",'1. Live'!CR306-'check-Jul''26'!CN306)</f>
        <v/>
      </c>
      <c r="CO288" s="25" t="str">
        <f>IF('1. Live'!CS306='check-Jul''26'!CO306,"",'1. Live'!CS306-'check-Jul''26'!CO306)</f>
        <v/>
      </c>
      <c r="CP288" s="25" t="str">
        <f>IF('1. Live'!CT306='check-Jul''26'!CP306,"",'1. Live'!CT306-'check-Jul''26'!CP306)</f>
        <v/>
      </c>
      <c r="CQ288" s="25" t="str">
        <f>IF('1. Live'!CU306='check-Jul''26'!CQ306,"",'1. Live'!CU306-'check-Jul''26'!CQ306)</f>
        <v/>
      </c>
      <c r="CR288" s="25" t="str">
        <f>IF('1. Live'!CV306='check-Jul''26'!CR306,"",'1. Live'!CV306-'check-Jul''26'!CR306)</f>
        <v/>
      </c>
      <c r="CS288" s="25" t="str">
        <f>IF('1. Live'!CW306='check-Jul''26'!CS306,"",'1. Live'!CW306-'check-Jul''26'!CS306)</f>
        <v/>
      </c>
      <c r="CT288" s="25" t="str">
        <f>IF('1. Live'!CX306='check-Jul''26'!CT306,"",'1. Live'!CX306-'check-Jul''26'!CT306)</f>
        <v/>
      </c>
      <c r="CU288" s="25" t="str">
        <f>IF('1. Live'!CY306='check-Jul''26'!CU306,"",'1. Live'!CY306-'check-Jul''26'!CU306)</f>
        <v/>
      </c>
      <c r="CV288" s="25" t="str">
        <f>IF('1. Live'!CZ306='check-Jul''26'!CV306,"",'1. Live'!CZ306-'check-Jul''26'!CV306)</f>
        <v/>
      </c>
    </row>
    <row r="289" spans="17:100" x14ac:dyDescent="0.25">
      <c r="Q289" s="26" t="str">
        <f>IF('1. Live'!N307='check-Jul''26'!I307,"",'1. Live'!N307-'check-Jul''26'!I307)</f>
        <v/>
      </c>
      <c r="R289" s="26" t="str">
        <f>IF('1. Live'!O307='check-Jul''26'!J307,"",'1. Live'!O307-'check-Jul''26'!J307)</f>
        <v/>
      </c>
      <c r="S289" s="26" t="str">
        <f>IF('1. Live'!P307='check-Jul''26'!K307,"",'1. Live'!P307-'check-Jul''26'!K307)</f>
        <v/>
      </c>
      <c r="T289" s="26" t="str">
        <f>IF('1. Live'!Q307='check-Jul''26'!L307,"",'1. Live'!Q307-'check-Jul''26'!L307)</f>
        <v/>
      </c>
      <c r="U289" s="80" t="str">
        <f>IF('1. Live'!R307='check-Jul''26'!M307,"",'1. Live'!R307-'check-Jul''26'!M307)</f>
        <v/>
      </c>
      <c r="V289" s="26" t="str">
        <f>IF('1. Live'!S307='check-Jul''26'!N307,"",'1. Live'!S307-'check-Jul''26'!N307)</f>
        <v/>
      </c>
      <c r="W289" s="25" t="str">
        <f>IF('1. Live'!T307='check-Jul''26'!O307,"",'1. Live'!T307-'check-Jul''26'!O307)</f>
        <v/>
      </c>
      <c r="X289" s="25" t="str">
        <f>IF('1. Live'!U307='check-Jul''26'!Q307,"",'1. Live'!U307-'check-Jul''26'!Q307)</f>
        <v/>
      </c>
      <c r="Y289" s="25" t="str">
        <f>IF('1. Live'!V307='check-Jul''26'!R307,"",'1. Live'!V307-'check-Jul''26'!R307)</f>
        <v/>
      </c>
      <c r="Z289" s="25" t="str">
        <f>IF('1. Live'!W307='check-Jul''26'!S307,"",'1. Live'!W307-'check-Jul''26'!S307)</f>
        <v/>
      </c>
      <c r="AA289" s="25" t="str">
        <f>IF('1. Live'!X307='check-Jul''26'!T307,"",'1. Live'!X307-'check-Jul''26'!T307)</f>
        <v/>
      </c>
      <c r="AB289" s="25" t="str">
        <f>IF('1. Live'!AF307='check-Jul''26'!AB307,"",'1. Live'!AF307-'check-Jul''26'!AB307)</f>
        <v/>
      </c>
      <c r="AC289" s="25" t="str">
        <f>IF('1. Live'!AG307='check-Jul''26'!AC307,"",'1. Live'!AG307-'check-Jul''26'!AC307)</f>
        <v/>
      </c>
      <c r="AD289" s="25" t="str">
        <f>IF('1. Live'!AH307='check-Jul''26'!AD307,"",'1. Live'!AH307-'check-Jul''26'!AD307)</f>
        <v/>
      </c>
      <c r="AE289" s="25" t="str">
        <f>IF('1. Live'!AI307='check-Jul''26'!AE307,"",'1. Live'!AI307-'check-Jul''26'!AE307)</f>
        <v/>
      </c>
      <c r="AF289" s="25" t="str">
        <f>IF('1. Live'!AJ307='check-Jul''26'!AF307,"",'1. Live'!AJ307-'check-Jul''26'!AF307)</f>
        <v/>
      </c>
      <c r="AG289" s="25" t="str">
        <f>IF('1. Live'!AK307='check-Jul''26'!AG307,"",'1. Live'!AK307-'check-Jul''26'!AG307)</f>
        <v/>
      </c>
      <c r="AH289" s="25" t="str">
        <f>IF('1. Live'!AL307='check-Jul''26'!AH307,"",'1. Live'!AL307-'check-Jul''26'!AH307)</f>
        <v/>
      </c>
      <c r="AI289" s="25" t="str">
        <f>IF('1. Live'!AM307='check-Jul''26'!AI307,"",'1. Live'!AM307-'check-Jul''26'!AI307)</f>
        <v/>
      </c>
      <c r="AJ289" s="25" t="str">
        <f>IF('1. Live'!AN307='check-Jul''26'!AJ307,"",'1. Live'!AN307-'check-Jul''26'!AJ307)</f>
        <v/>
      </c>
      <c r="AK289" s="25" t="str">
        <f>IF('1. Live'!AO307='check-Jul''26'!AK307,"",'1. Live'!AO307-'check-Jul''26'!AK307)</f>
        <v/>
      </c>
      <c r="AL289" s="25" t="str">
        <f>IF('1. Live'!AP307='check-Jul''26'!AL307,"",'1. Live'!AP307-'check-Jul''26'!AL307)</f>
        <v/>
      </c>
      <c r="AM289" s="25" t="str">
        <f>IF('1. Live'!AQ307='check-Jul''26'!AM307,"",'1. Live'!AQ307-'check-Jul''26'!AM307)</f>
        <v/>
      </c>
      <c r="AN289" s="25" t="str">
        <f>IF('1. Live'!AR307='check-Jul''26'!AN307,"",'1. Live'!AR307-'check-Jul''26'!AN307)</f>
        <v/>
      </c>
      <c r="AO289" s="25" t="str">
        <f>IF('1. Live'!AS307='check-Jul''26'!AO307,"",'1. Live'!AS307-'check-Jul''26'!AO307)</f>
        <v/>
      </c>
      <c r="AP289" s="25" t="str">
        <f>IF('1. Live'!AT307='check-Jul''26'!AP307,"",'1. Live'!AT307-'check-Jul''26'!AP307)</f>
        <v/>
      </c>
      <c r="AQ289" s="25" t="str">
        <f>IF('1. Live'!AU307='check-Jul''26'!AQ307,"",'1. Live'!AU307-'check-Jul''26'!AQ307)</f>
        <v/>
      </c>
      <c r="AR289" s="25" t="str">
        <f>IF('1. Live'!AV307='check-Jul''26'!AR307,"",'1. Live'!AV307-'check-Jul''26'!AR307)</f>
        <v/>
      </c>
      <c r="AS289" s="25" t="str">
        <f>IF('1. Live'!AW307='check-Jul''26'!AS307,"",'1. Live'!AW307-'check-Jul''26'!AS307)</f>
        <v/>
      </c>
      <c r="AT289" s="25" t="str">
        <f>IF('1. Live'!AX307='check-Jul''26'!AT307,"",'1. Live'!AX307-'check-Jul''26'!AT307)</f>
        <v/>
      </c>
      <c r="AU289" s="25" t="str">
        <f>IF('1. Live'!AY307='check-Jul''26'!AU307,"",'1. Live'!AY307-'check-Jul''26'!AU307)</f>
        <v/>
      </c>
      <c r="AV289" s="25" t="str">
        <f>IF('1. Live'!AZ307='check-Jul''26'!AV307,"",'1. Live'!AZ307-'check-Jul''26'!AV307)</f>
        <v/>
      </c>
      <c r="AW289" s="25" t="str">
        <f>IF('1. Live'!BA307='check-Jul''26'!AW307,"",'1. Live'!BA307-'check-Jul''26'!AW307)</f>
        <v/>
      </c>
      <c r="AX289" s="25" t="str">
        <f>IF('1. Live'!BB307='check-Jul''26'!AX307,"",'1. Live'!BB307-'check-Jul''26'!AX307)</f>
        <v/>
      </c>
      <c r="AY289" s="25" t="str">
        <f>IF('1. Live'!BC307='check-Jul''26'!AY307,"",'1. Live'!BC307-'check-Jul''26'!AY307)</f>
        <v/>
      </c>
      <c r="AZ289" s="25" t="str">
        <f>IF('1. Live'!BD307='check-Jul''26'!AZ307,"",'1. Live'!BD307-'check-Jul''26'!AZ307)</f>
        <v/>
      </c>
      <c r="BA289" s="25" t="str">
        <f>IF('1. Live'!BE307='check-Jul''26'!BA307,"",'1. Live'!BE307-'check-Jul''26'!BA307)</f>
        <v/>
      </c>
      <c r="BB289" s="25" t="str">
        <f>IF('1. Live'!BF307='check-Jul''26'!BB307,"",'1. Live'!BF307-'check-Jul''26'!BB307)</f>
        <v/>
      </c>
      <c r="BC289" s="25" t="str">
        <f>IF('1. Live'!BG307='check-Jul''26'!BC307,"",'1. Live'!BG307-'check-Jul''26'!BC307)</f>
        <v/>
      </c>
      <c r="BD289" s="25" t="str">
        <f>IF('1. Live'!BH307='check-Jul''26'!BD307,"",'1. Live'!BH307-'check-Jul''26'!BD307)</f>
        <v/>
      </c>
      <c r="BE289" s="25" t="str">
        <f>IF('1. Live'!BI307='check-Jul''26'!BE307,"",'1. Live'!BI307-'check-Jul''26'!BE307)</f>
        <v/>
      </c>
      <c r="BF289" s="25" t="str">
        <f>IF('1. Live'!BJ307='check-Jul''26'!BF307,"",'1. Live'!BJ307-'check-Jul''26'!BF307)</f>
        <v/>
      </c>
      <c r="BG289" s="25" t="str">
        <f>IF('1. Live'!BK307='check-Jul''26'!BG307,"",'1. Live'!BK307-'check-Jul''26'!BG307)</f>
        <v/>
      </c>
      <c r="BH289" s="25" t="str">
        <f>IF('1. Live'!BL307='check-Jul''26'!BH307,"",'1. Live'!BL307-'check-Jul''26'!BH307)</f>
        <v/>
      </c>
      <c r="BI289" s="25" t="str">
        <f>IF('1. Live'!BM307='check-Jul''26'!BI307,"",'1. Live'!BM307-'check-Jul''26'!BI307)</f>
        <v/>
      </c>
      <c r="BJ289" s="25" t="str">
        <f>IF('1. Live'!BN307='check-Jul''26'!BJ307,"",'1. Live'!BN307-'check-Jul''26'!BJ307)</f>
        <v/>
      </c>
      <c r="BK289" s="25" t="str">
        <f>IF('1. Live'!BO307='check-Jul''26'!BK307,"",'1. Live'!BO307-'check-Jul''26'!BK307)</f>
        <v/>
      </c>
      <c r="BL289" s="25" t="str">
        <f>IF('1. Live'!BP307='check-Jul''26'!BL307,"",'1. Live'!BP307-'check-Jul''26'!BL307)</f>
        <v/>
      </c>
      <c r="BM289" s="25" t="str">
        <f>IF('1. Live'!BQ307='check-Jul''26'!BM307,"",'1. Live'!BQ307-'check-Jul''26'!BM307)</f>
        <v/>
      </c>
      <c r="BN289" s="25" t="str">
        <f>IF('1. Live'!BR307='check-Jul''26'!BN307,"",'1. Live'!BR307-'check-Jul''26'!BN307)</f>
        <v/>
      </c>
      <c r="BO289" s="25" t="str">
        <f>IF('1. Live'!BS307='check-Jul''26'!BO307,"",'1. Live'!BS307-'check-Jul''26'!BO307)</f>
        <v/>
      </c>
      <c r="BP289" s="25" t="str">
        <f>IF('1. Live'!BT307='check-Jul''26'!BP307,"",'1. Live'!BT307-'check-Jul''26'!BP307)</f>
        <v/>
      </c>
      <c r="BQ289" s="25" t="str">
        <f>IF('1. Live'!BU307='check-Jul''26'!BQ307,"",'1. Live'!BU307-'check-Jul''26'!BQ307)</f>
        <v/>
      </c>
      <c r="BR289" s="25" t="str">
        <f>IF('1. Live'!BV307='check-Jul''26'!BR307,"",'1. Live'!BV307-'check-Jul''26'!BR307)</f>
        <v/>
      </c>
      <c r="BS289" s="25" t="str">
        <f>IF('1. Live'!BW307='check-Jul''26'!BS307,"",'1. Live'!BW307-'check-Jul''26'!BS307)</f>
        <v/>
      </c>
      <c r="BT289" s="25" t="str">
        <f>IF('1. Live'!BX307='check-Jul''26'!BT307,"",'1. Live'!BX307-'check-Jul''26'!BT307)</f>
        <v/>
      </c>
      <c r="BU289" s="25" t="str">
        <f>IF('1. Live'!BY307='check-Jul''26'!BU307,"",'1. Live'!BY307-'check-Jul''26'!BU307)</f>
        <v/>
      </c>
      <c r="BV289" s="25" t="str">
        <f>IF('1. Live'!BZ307='check-Jul''26'!BV307,"",'1. Live'!BZ307-'check-Jul''26'!BV307)</f>
        <v/>
      </c>
      <c r="BW289" s="25" t="str">
        <f>IF('1. Live'!CA307='check-Jul''26'!BW307,"",'1. Live'!CA307-'check-Jul''26'!BW307)</f>
        <v/>
      </c>
      <c r="BX289" s="25" t="str">
        <f>IF('1. Live'!CB307='check-Jul''26'!BX307,"",'1. Live'!CB307-'check-Jul''26'!BX307)</f>
        <v/>
      </c>
      <c r="BY289" s="25" t="str">
        <f>IF('1. Live'!CC307='check-Jul''26'!BY307,"",'1. Live'!CC307-'check-Jul''26'!BY307)</f>
        <v/>
      </c>
      <c r="BZ289" s="25" t="str">
        <f>IF('1. Live'!CD307='check-Jul''26'!BZ307,"",'1. Live'!CD307-'check-Jul''26'!BZ307)</f>
        <v/>
      </c>
      <c r="CA289" s="25" t="str">
        <f>IF('1. Live'!CE307='check-Jul''26'!CA307,"",'1. Live'!CE307-'check-Jul''26'!CA307)</f>
        <v/>
      </c>
      <c r="CB289" s="25" t="str">
        <f>IF('1. Live'!CF307='check-Jul''26'!CB307,"",'1. Live'!CF307-'check-Jul''26'!CB307)</f>
        <v/>
      </c>
      <c r="CC289" s="25" t="str">
        <f>IF('1. Live'!CG307='check-Jul''26'!CC307,"",'1. Live'!CG307-'check-Jul''26'!CC307)</f>
        <v/>
      </c>
      <c r="CD289" s="25" t="str">
        <f>IF('1. Live'!CH307='check-Jul''26'!CD307,"",'1. Live'!CH307-'check-Jul''26'!CD307)</f>
        <v/>
      </c>
      <c r="CE289" s="25" t="str">
        <f>IF('1. Live'!CI307='check-Jul''26'!CE307,"",'1. Live'!CI307-'check-Jul''26'!CE307)</f>
        <v/>
      </c>
      <c r="CF289" s="25" t="str">
        <f>IF('1. Live'!CJ307='check-Jul''26'!CF307,"",'1. Live'!CJ307-'check-Jul''26'!CF307)</f>
        <v/>
      </c>
      <c r="CG289" s="25" t="str">
        <f>IF('1. Live'!CK307='check-Jul''26'!CG307,"",'1. Live'!CK307-'check-Jul''26'!CG307)</f>
        <v/>
      </c>
      <c r="CH289" s="25" t="str">
        <f>IF('1. Live'!CL307='check-Jul''26'!CH307,"",'1. Live'!CL307-'check-Jul''26'!CH307)</f>
        <v/>
      </c>
      <c r="CI289" s="25" t="str">
        <f>IF('1. Live'!CM307='check-Jul''26'!CI307,"",'1. Live'!CM307-'check-Jul''26'!CI307)</f>
        <v/>
      </c>
      <c r="CJ289" s="25" t="str">
        <f>IF('1. Live'!CN307='check-Jul''26'!CJ307,"",'1. Live'!CN307-'check-Jul''26'!CJ307)</f>
        <v/>
      </c>
      <c r="CK289" s="25" t="str">
        <f>IF('1. Live'!CO307='check-Jul''26'!CK307,"",'1. Live'!CO307-'check-Jul''26'!CK307)</f>
        <v/>
      </c>
      <c r="CL289" s="25" t="str">
        <f>IF('1. Live'!CP307='check-Jul''26'!CL307,"",'1. Live'!CP307-'check-Jul''26'!CL307)</f>
        <v/>
      </c>
      <c r="CM289" s="25" t="str">
        <f>IF('1. Live'!CQ307='check-Jul''26'!CM307,"",'1. Live'!CQ307-'check-Jul''26'!CM307)</f>
        <v/>
      </c>
      <c r="CN289" s="25" t="str">
        <f>IF('1. Live'!CR307='check-Jul''26'!CN307,"",'1. Live'!CR307-'check-Jul''26'!CN307)</f>
        <v/>
      </c>
      <c r="CO289" s="25" t="str">
        <f>IF('1. Live'!CS307='check-Jul''26'!CO307,"",'1. Live'!CS307-'check-Jul''26'!CO307)</f>
        <v/>
      </c>
      <c r="CP289" s="25" t="str">
        <f>IF('1. Live'!CT307='check-Jul''26'!CP307,"",'1. Live'!CT307-'check-Jul''26'!CP307)</f>
        <v/>
      </c>
      <c r="CQ289" s="25" t="str">
        <f>IF('1. Live'!CU307='check-Jul''26'!CQ307,"",'1. Live'!CU307-'check-Jul''26'!CQ307)</f>
        <v/>
      </c>
      <c r="CR289" s="25" t="str">
        <f>IF('1. Live'!CV307='check-Jul''26'!CR307,"",'1. Live'!CV307-'check-Jul''26'!CR307)</f>
        <v/>
      </c>
      <c r="CS289" s="25" t="str">
        <f>IF('1. Live'!CW307='check-Jul''26'!CS307,"",'1. Live'!CW307-'check-Jul''26'!CS307)</f>
        <v/>
      </c>
      <c r="CT289" s="25" t="str">
        <f>IF('1. Live'!CX307='check-Jul''26'!CT307,"",'1. Live'!CX307-'check-Jul''26'!CT307)</f>
        <v/>
      </c>
      <c r="CU289" s="25" t="str">
        <f>IF('1. Live'!CY307='check-Jul''26'!CU307,"",'1. Live'!CY307-'check-Jul''26'!CU307)</f>
        <v/>
      </c>
      <c r="CV289" s="25" t="str">
        <f>IF('1. Live'!CZ307='check-Jul''26'!CV307,"",'1. Live'!CZ307-'check-Jul''26'!CV307)</f>
        <v/>
      </c>
    </row>
    <row r="290" spans="17:100" x14ac:dyDescent="0.25">
      <c r="Q290" s="26" t="str">
        <f>IF('1. Live'!N308='check-Jul''26'!I308,"",'1. Live'!N308-'check-Jul''26'!I308)</f>
        <v/>
      </c>
      <c r="R290" s="26" t="str">
        <f>IF('1. Live'!O308='check-Jul''26'!J308,"",'1. Live'!O308-'check-Jul''26'!J308)</f>
        <v/>
      </c>
      <c r="S290" s="26" t="str">
        <f>IF('1. Live'!P308='check-Jul''26'!K308,"",'1. Live'!P308-'check-Jul''26'!K308)</f>
        <v/>
      </c>
      <c r="T290" s="26" t="str">
        <f>IF('1. Live'!Q308='check-Jul''26'!L308,"",'1. Live'!Q308-'check-Jul''26'!L308)</f>
        <v/>
      </c>
      <c r="U290" s="80" t="str">
        <f>IF('1. Live'!R308='check-Jul''26'!M308,"",'1. Live'!R308-'check-Jul''26'!M308)</f>
        <v/>
      </c>
      <c r="V290" s="26" t="str">
        <f>IF('1. Live'!S308='check-Jul''26'!N308,"",'1. Live'!S308-'check-Jul''26'!N308)</f>
        <v/>
      </c>
      <c r="W290" s="25" t="str">
        <f>IF('1. Live'!T308='check-Jul''26'!O308,"",'1. Live'!T308-'check-Jul''26'!O308)</f>
        <v/>
      </c>
      <c r="X290" s="25" t="str">
        <f>IF('1. Live'!U308='check-Jul''26'!Q308,"",'1. Live'!U308-'check-Jul''26'!Q308)</f>
        <v/>
      </c>
      <c r="Y290" s="25" t="str">
        <f>IF('1. Live'!V308='check-Jul''26'!R308,"",'1. Live'!V308-'check-Jul''26'!R308)</f>
        <v/>
      </c>
      <c r="Z290" s="25" t="str">
        <f>IF('1. Live'!W308='check-Jul''26'!S308,"",'1. Live'!W308-'check-Jul''26'!S308)</f>
        <v/>
      </c>
      <c r="AA290" s="25" t="str">
        <f>IF('1. Live'!X308='check-Jul''26'!T308,"",'1. Live'!X308-'check-Jul''26'!T308)</f>
        <v/>
      </c>
      <c r="AB290" s="25" t="str">
        <f>IF('1. Live'!AF308='check-Jul''26'!AB308,"",'1. Live'!AF308-'check-Jul''26'!AB308)</f>
        <v/>
      </c>
      <c r="AC290" s="25" t="str">
        <f>IF('1. Live'!AG308='check-Jul''26'!AC308,"",'1. Live'!AG308-'check-Jul''26'!AC308)</f>
        <v/>
      </c>
      <c r="AD290" s="25" t="str">
        <f>IF('1. Live'!AH308='check-Jul''26'!AD308,"",'1. Live'!AH308-'check-Jul''26'!AD308)</f>
        <v/>
      </c>
      <c r="AE290" s="25" t="str">
        <f>IF('1. Live'!AI308='check-Jul''26'!AE308,"",'1. Live'!AI308-'check-Jul''26'!AE308)</f>
        <v/>
      </c>
      <c r="AF290" s="25" t="str">
        <f>IF('1. Live'!AJ308='check-Jul''26'!AF308,"",'1. Live'!AJ308-'check-Jul''26'!AF308)</f>
        <v/>
      </c>
      <c r="AG290" s="25" t="str">
        <f>IF('1. Live'!AK308='check-Jul''26'!AG308,"",'1. Live'!AK308-'check-Jul''26'!AG308)</f>
        <v/>
      </c>
      <c r="AH290" s="25" t="str">
        <f>IF('1. Live'!AL308='check-Jul''26'!AH308,"",'1. Live'!AL308-'check-Jul''26'!AH308)</f>
        <v/>
      </c>
      <c r="AI290" s="25" t="str">
        <f>IF('1. Live'!AM308='check-Jul''26'!AI308,"",'1. Live'!AM308-'check-Jul''26'!AI308)</f>
        <v/>
      </c>
      <c r="AJ290" s="25" t="str">
        <f>IF('1. Live'!AN308='check-Jul''26'!AJ308,"",'1. Live'!AN308-'check-Jul''26'!AJ308)</f>
        <v/>
      </c>
      <c r="AK290" s="25" t="str">
        <f>IF('1. Live'!AO308='check-Jul''26'!AK308,"",'1. Live'!AO308-'check-Jul''26'!AK308)</f>
        <v/>
      </c>
      <c r="AL290" s="25" t="str">
        <f>IF('1. Live'!AP308='check-Jul''26'!AL308,"",'1. Live'!AP308-'check-Jul''26'!AL308)</f>
        <v/>
      </c>
      <c r="AM290" s="25" t="str">
        <f>IF('1. Live'!AQ308='check-Jul''26'!AM308,"",'1. Live'!AQ308-'check-Jul''26'!AM308)</f>
        <v/>
      </c>
      <c r="AN290" s="25" t="str">
        <f>IF('1. Live'!AR308='check-Jul''26'!AN308,"",'1. Live'!AR308-'check-Jul''26'!AN308)</f>
        <v/>
      </c>
      <c r="AO290" s="25" t="str">
        <f>IF('1. Live'!AS308='check-Jul''26'!AO308,"",'1. Live'!AS308-'check-Jul''26'!AO308)</f>
        <v/>
      </c>
      <c r="AP290" s="25" t="str">
        <f>IF('1. Live'!AT308='check-Jul''26'!AP308,"",'1. Live'!AT308-'check-Jul''26'!AP308)</f>
        <v/>
      </c>
      <c r="AQ290" s="25" t="str">
        <f>IF('1. Live'!AU308='check-Jul''26'!AQ308,"",'1. Live'!AU308-'check-Jul''26'!AQ308)</f>
        <v/>
      </c>
      <c r="AR290" s="25" t="str">
        <f>IF('1. Live'!AV308='check-Jul''26'!AR308,"",'1. Live'!AV308-'check-Jul''26'!AR308)</f>
        <v/>
      </c>
      <c r="AS290" s="25" t="str">
        <f>IF('1. Live'!AW308='check-Jul''26'!AS308,"",'1. Live'!AW308-'check-Jul''26'!AS308)</f>
        <v/>
      </c>
      <c r="AT290" s="25" t="str">
        <f>IF('1. Live'!AX308='check-Jul''26'!AT308,"",'1. Live'!AX308-'check-Jul''26'!AT308)</f>
        <v/>
      </c>
      <c r="AU290" s="25" t="str">
        <f>IF('1. Live'!AY308='check-Jul''26'!AU308,"",'1. Live'!AY308-'check-Jul''26'!AU308)</f>
        <v/>
      </c>
      <c r="AV290" s="25" t="str">
        <f>IF('1. Live'!AZ308='check-Jul''26'!AV308,"",'1. Live'!AZ308-'check-Jul''26'!AV308)</f>
        <v/>
      </c>
      <c r="AW290" s="25" t="str">
        <f>IF('1. Live'!BA308='check-Jul''26'!AW308,"",'1. Live'!BA308-'check-Jul''26'!AW308)</f>
        <v/>
      </c>
      <c r="AX290" s="25" t="str">
        <f>IF('1. Live'!BB308='check-Jul''26'!AX308,"",'1. Live'!BB308-'check-Jul''26'!AX308)</f>
        <v/>
      </c>
      <c r="AY290" s="25" t="str">
        <f>IF('1. Live'!BC308='check-Jul''26'!AY308,"",'1. Live'!BC308-'check-Jul''26'!AY308)</f>
        <v/>
      </c>
      <c r="AZ290" s="25" t="str">
        <f>IF('1. Live'!BD308='check-Jul''26'!AZ308,"",'1. Live'!BD308-'check-Jul''26'!AZ308)</f>
        <v/>
      </c>
      <c r="BA290" s="25" t="str">
        <f>IF('1. Live'!BE308='check-Jul''26'!BA308,"",'1. Live'!BE308-'check-Jul''26'!BA308)</f>
        <v/>
      </c>
      <c r="BB290" s="25" t="str">
        <f>IF('1. Live'!BF308='check-Jul''26'!BB308,"",'1. Live'!BF308-'check-Jul''26'!BB308)</f>
        <v/>
      </c>
      <c r="BC290" s="25" t="str">
        <f>IF('1. Live'!BG308='check-Jul''26'!BC308,"",'1. Live'!BG308-'check-Jul''26'!BC308)</f>
        <v/>
      </c>
      <c r="BD290" s="25" t="str">
        <f>IF('1. Live'!BH308='check-Jul''26'!BD308,"",'1. Live'!BH308-'check-Jul''26'!BD308)</f>
        <v/>
      </c>
      <c r="BE290" s="25" t="str">
        <f>IF('1. Live'!BI308='check-Jul''26'!BE308,"",'1. Live'!BI308-'check-Jul''26'!BE308)</f>
        <v/>
      </c>
      <c r="BF290" s="25" t="str">
        <f>IF('1. Live'!BJ308='check-Jul''26'!BF308,"",'1. Live'!BJ308-'check-Jul''26'!BF308)</f>
        <v/>
      </c>
      <c r="BG290" s="25" t="str">
        <f>IF('1. Live'!BK308='check-Jul''26'!BG308,"",'1. Live'!BK308-'check-Jul''26'!BG308)</f>
        <v/>
      </c>
      <c r="BH290" s="25" t="str">
        <f>IF('1. Live'!BL308='check-Jul''26'!BH308,"",'1. Live'!BL308-'check-Jul''26'!BH308)</f>
        <v/>
      </c>
      <c r="BI290" s="25" t="str">
        <f>IF('1. Live'!BM308='check-Jul''26'!BI308,"",'1. Live'!BM308-'check-Jul''26'!BI308)</f>
        <v/>
      </c>
      <c r="BJ290" s="25" t="str">
        <f>IF('1. Live'!BN308='check-Jul''26'!BJ308,"",'1. Live'!BN308-'check-Jul''26'!BJ308)</f>
        <v/>
      </c>
      <c r="BK290" s="25" t="str">
        <f>IF('1. Live'!BO308='check-Jul''26'!BK308,"",'1. Live'!BO308-'check-Jul''26'!BK308)</f>
        <v/>
      </c>
      <c r="BL290" s="25" t="str">
        <f>IF('1. Live'!BP308='check-Jul''26'!BL308,"",'1. Live'!BP308-'check-Jul''26'!BL308)</f>
        <v/>
      </c>
      <c r="BM290" s="25" t="str">
        <f>IF('1. Live'!BQ308='check-Jul''26'!BM308,"",'1. Live'!BQ308-'check-Jul''26'!BM308)</f>
        <v/>
      </c>
      <c r="BN290" s="25" t="str">
        <f>IF('1. Live'!BR308='check-Jul''26'!BN308,"",'1. Live'!BR308-'check-Jul''26'!BN308)</f>
        <v/>
      </c>
      <c r="BO290" s="25" t="str">
        <f>IF('1. Live'!BS308='check-Jul''26'!BO308,"",'1. Live'!BS308-'check-Jul''26'!BO308)</f>
        <v/>
      </c>
      <c r="BP290" s="25" t="str">
        <f>IF('1. Live'!BT308='check-Jul''26'!BP308,"",'1. Live'!BT308-'check-Jul''26'!BP308)</f>
        <v/>
      </c>
      <c r="BQ290" s="25" t="str">
        <f>IF('1. Live'!BU308='check-Jul''26'!BQ308,"",'1. Live'!BU308-'check-Jul''26'!BQ308)</f>
        <v/>
      </c>
      <c r="BR290" s="25" t="str">
        <f>IF('1. Live'!BV308='check-Jul''26'!BR308,"",'1. Live'!BV308-'check-Jul''26'!BR308)</f>
        <v/>
      </c>
      <c r="BS290" s="25" t="str">
        <f>IF('1. Live'!BW308='check-Jul''26'!BS308,"",'1. Live'!BW308-'check-Jul''26'!BS308)</f>
        <v/>
      </c>
      <c r="BT290" s="25" t="str">
        <f>IF('1. Live'!BX308='check-Jul''26'!BT308,"",'1. Live'!BX308-'check-Jul''26'!BT308)</f>
        <v/>
      </c>
      <c r="BU290" s="25" t="str">
        <f>IF('1. Live'!BY308='check-Jul''26'!BU308,"",'1. Live'!BY308-'check-Jul''26'!BU308)</f>
        <v/>
      </c>
      <c r="BV290" s="25" t="str">
        <f>IF('1. Live'!BZ308='check-Jul''26'!BV308,"",'1. Live'!BZ308-'check-Jul''26'!BV308)</f>
        <v/>
      </c>
      <c r="BW290" s="25" t="str">
        <f>IF('1. Live'!CA308='check-Jul''26'!BW308,"",'1. Live'!CA308-'check-Jul''26'!BW308)</f>
        <v/>
      </c>
      <c r="BX290" s="25" t="str">
        <f>IF('1. Live'!CB308='check-Jul''26'!BX308,"",'1. Live'!CB308-'check-Jul''26'!BX308)</f>
        <v/>
      </c>
      <c r="BY290" s="25" t="str">
        <f>IF('1. Live'!CC308='check-Jul''26'!BY308,"",'1. Live'!CC308-'check-Jul''26'!BY308)</f>
        <v/>
      </c>
      <c r="BZ290" s="25" t="str">
        <f>IF('1. Live'!CD308='check-Jul''26'!BZ308,"",'1. Live'!CD308-'check-Jul''26'!BZ308)</f>
        <v/>
      </c>
      <c r="CA290" s="25" t="str">
        <f>IF('1. Live'!CE308='check-Jul''26'!CA308,"",'1. Live'!CE308-'check-Jul''26'!CA308)</f>
        <v/>
      </c>
      <c r="CB290" s="25" t="str">
        <f>IF('1. Live'!CF308='check-Jul''26'!CB308,"",'1. Live'!CF308-'check-Jul''26'!CB308)</f>
        <v/>
      </c>
      <c r="CC290" s="25" t="str">
        <f>IF('1. Live'!CG308='check-Jul''26'!CC308,"",'1. Live'!CG308-'check-Jul''26'!CC308)</f>
        <v/>
      </c>
      <c r="CD290" s="25" t="str">
        <f>IF('1. Live'!CH308='check-Jul''26'!CD308,"",'1. Live'!CH308-'check-Jul''26'!CD308)</f>
        <v/>
      </c>
      <c r="CE290" s="25" t="str">
        <f>IF('1. Live'!CI308='check-Jul''26'!CE308,"",'1. Live'!CI308-'check-Jul''26'!CE308)</f>
        <v/>
      </c>
      <c r="CF290" s="25" t="str">
        <f>IF('1. Live'!CJ308='check-Jul''26'!CF308,"",'1. Live'!CJ308-'check-Jul''26'!CF308)</f>
        <v/>
      </c>
      <c r="CG290" s="25" t="str">
        <f>IF('1. Live'!CK308='check-Jul''26'!CG308,"",'1. Live'!CK308-'check-Jul''26'!CG308)</f>
        <v/>
      </c>
      <c r="CH290" s="25" t="str">
        <f>IF('1. Live'!CL308='check-Jul''26'!CH308,"",'1. Live'!CL308-'check-Jul''26'!CH308)</f>
        <v/>
      </c>
      <c r="CI290" s="25" t="str">
        <f>IF('1. Live'!CM308='check-Jul''26'!CI308,"",'1. Live'!CM308-'check-Jul''26'!CI308)</f>
        <v/>
      </c>
      <c r="CJ290" s="25" t="str">
        <f>IF('1. Live'!CN308='check-Jul''26'!CJ308,"",'1. Live'!CN308-'check-Jul''26'!CJ308)</f>
        <v/>
      </c>
      <c r="CK290" s="25" t="str">
        <f>IF('1. Live'!CO308='check-Jul''26'!CK308,"",'1. Live'!CO308-'check-Jul''26'!CK308)</f>
        <v/>
      </c>
      <c r="CL290" s="25" t="str">
        <f>IF('1. Live'!CP308='check-Jul''26'!CL308,"",'1. Live'!CP308-'check-Jul''26'!CL308)</f>
        <v/>
      </c>
      <c r="CM290" s="25" t="str">
        <f>IF('1. Live'!CQ308='check-Jul''26'!CM308,"",'1. Live'!CQ308-'check-Jul''26'!CM308)</f>
        <v/>
      </c>
      <c r="CN290" s="25" t="str">
        <f>IF('1. Live'!CR308='check-Jul''26'!CN308,"",'1. Live'!CR308-'check-Jul''26'!CN308)</f>
        <v/>
      </c>
      <c r="CO290" s="25" t="str">
        <f>IF('1. Live'!CS308='check-Jul''26'!CO308,"",'1. Live'!CS308-'check-Jul''26'!CO308)</f>
        <v/>
      </c>
      <c r="CP290" s="25" t="str">
        <f>IF('1. Live'!CT308='check-Jul''26'!CP308,"",'1. Live'!CT308-'check-Jul''26'!CP308)</f>
        <v/>
      </c>
      <c r="CQ290" s="25" t="str">
        <f>IF('1. Live'!CU308='check-Jul''26'!CQ308,"",'1. Live'!CU308-'check-Jul''26'!CQ308)</f>
        <v/>
      </c>
      <c r="CR290" s="25" t="str">
        <f>IF('1. Live'!CV308='check-Jul''26'!CR308,"",'1. Live'!CV308-'check-Jul''26'!CR308)</f>
        <v/>
      </c>
      <c r="CS290" s="25" t="str">
        <f>IF('1. Live'!CW308='check-Jul''26'!CS308,"",'1. Live'!CW308-'check-Jul''26'!CS308)</f>
        <v/>
      </c>
      <c r="CT290" s="25" t="str">
        <f>IF('1. Live'!CX308='check-Jul''26'!CT308,"",'1. Live'!CX308-'check-Jul''26'!CT308)</f>
        <v/>
      </c>
      <c r="CU290" s="25" t="str">
        <f>IF('1. Live'!CY308='check-Jul''26'!CU308,"",'1. Live'!CY308-'check-Jul''26'!CU308)</f>
        <v/>
      </c>
      <c r="CV290" s="25" t="str">
        <f>IF('1. Live'!CZ308='check-Jul''26'!CV308,"",'1. Live'!CZ308-'check-Jul''26'!CV308)</f>
        <v/>
      </c>
    </row>
    <row r="291" spans="17:100" x14ac:dyDescent="0.25">
      <c r="Q291" s="26" t="str">
        <f>IF('1. Live'!N309='check-Jul''26'!I309,"",'1. Live'!N309-'check-Jul''26'!I309)</f>
        <v/>
      </c>
      <c r="R291" s="26" t="str">
        <f>IF('1. Live'!O309='check-Jul''26'!J309,"",'1. Live'!O309-'check-Jul''26'!J309)</f>
        <v/>
      </c>
      <c r="S291" s="26" t="str">
        <f>IF('1. Live'!P309='check-Jul''26'!K309,"",'1. Live'!P309-'check-Jul''26'!K309)</f>
        <v/>
      </c>
      <c r="T291" s="26" t="str">
        <f>IF('1. Live'!Q309='check-Jul''26'!L309,"",'1. Live'!Q309-'check-Jul''26'!L309)</f>
        <v/>
      </c>
      <c r="U291" s="80" t="str">
        <f>IF('1. Live'!R309='check-Jul''26'!M309,"",'1. Live'!R309-'check-Jul''26'!M309)</f>
        <v/>
      </c>
      <c r="V291" s="26" t="str">
        <f>IF('1. Live'!S309='check-Jul''26'!N309,"",'1. Live'!S309-'check-Jul''26'!N309)</f>
        <v/>
      </c>
      <c r="W291" s="25" t="str">
        <f>IF('1. Live'!T309='check-Jul''26'!O309,"",'1. Live'!T309-'check-Jul''26'!O309)</f>
        <v/>
      </c>
      <c r="X291" s="25" t="str">
        <f>IF('1. Live'!U309='check-Jul''26'!Q309,"",'1. Live'!U309-'check-Jul''26'!Q309)</f>
        <v/>
      </c>
      <c r="Y291" s="25" t="str">
        <f>IF('1. Live'!V309='check-Jul''26'!R309,"",'1. Live'!V309-'check-Jul''26'!R309)</f>
        <v/>
      </c>
      <c r="Z291" s="25" t="str">
        <f>IF('1. Live'!W309='check-Jul''26'!S309,"",'1. Live'!W309-'check-Jul''26'!S309)</f>
        <v/>
      </c>
      <c r="AA291" s="25" t="str">
        <f>IF('1. Live'!X309='check-Jul''26'!T309,"",'1. Live'!X309-'check-Jul''26'!T309)</f>
        <v/>
      </c>
      <c r="AB291" s="25" t="str">
        <f>IF('1. Live'!AF309='check-Jul''26'!AB309,"",'1. Live'!AF309-'check-Jul''26'!AB309)</f>
        <v/>
      </c>
      <c r="AC291" s="25" t="str">
        <f>IF('1. Live'!AG309='check-Jul''26'!AC309,"",'1. Live'!AG309-'check-Jul''26'!AC309)</f>
        <v/>
      </c>
      <c r="AD291" s="25" t="str">
        <f>IF('1. Live'!AH309='check-Jul''26'!AD309,"",'1. Live'!AH309-'check-Jul''26'!AD309)</f>
        <v/>
      </c>
      <c r="AE291" s="25" t="str">
        <f>IF('1. Live'!AI309='check-Jul''26'!AE309,"",'1. Live'!AI309-'check-Jul''26'!AE309)</f>
        <v/>
      </c>
      <c r="AF291" s="25" t="str">
        <f>IF('1. Live'!AJ309='check-Jul''26'!AF309,"",'1. Live'!AJ309-'check-Jul''26'!AF309)</f>
        <v/>
      </c>
      <c r="AG291" s="25" t="str">
        <f>IF('1. Live'!AK309='check-Jul''26'!AG309,"",'1. Live'!AK309-'check-Jul''26'!AG309)</f>
        <v/>
      </c>
      <c r="AH291" s="25" t="str">
        <f>IF('1. Live'!AL309='check-Jul''26'!AH309,"",'1. Live'!AL309-'check-Jul''26'!AH309)</f>
        <v/>
      </c>
      <c r="AI291" s="25" t="str">
        <f>IF('1. Live'!AM309='check-Jul''26'!AI309,"",'1. Live'!AM309-'check-Jul''26'!AI309)</f>
        <v/>
      </c>
      <c r="AJ291" s="25" t="str">
        <f>IF('1. Live'!AN309='check-Jul''26'!AJ309,"",'1. Live'!AN309-'check-Jul''26'!AJ309)</f>
        <v/>
      </c>
      <c r="AK291" s="25" t="str">
        <f>IF('1. Live'!AO309='check-Jul''26'!AK309,"",'1. Live'!AO309-'check-Jul''26'!AK309)</f>
        <v/>
      </c>
      <c r="AL291" s="25" t="str">
        <f>IF('1. Live'!AP309='check-Jul''26'!AL309,"",'1. Live'!AP309-'check-Jul''26'!AL309)</f>
        <v/>
      </c>
      <c r="AM291" s="25" t="str">
        <f>IF('1. Live'!AQ309='check-Jul''26'!AM309,"",'1. Live'!AQ309-'check-Jul''26'!AM309)</f>
        <v/>
      </c>
      <c r="AN291" s="25" t="str">
        <f>IF('1. Live'!AR309='check-Jul''26'!AN309,"",'1. Live'!AR309-'check-Jul''26'!AN309)</f>
        <v/>
      </c>
      <c r="AO291" s="25" t="str">
        <f>IF('1. Live'!AS309='check-Jul''26'!AO309,"",'1. Live'!AS309-'check-Jul''26'!AO309)</f>
        <v/>
      </c>
      <c r="AP291" s="25" t="str">
        <f>IF('1. Live'!AT309='check-Jul''26'!AP309,"",'1. Live'!AT309-'check-Jul''26'!AP309)</f>
        <v/>
      </c>
      <c r="AQ291" s="25" t="str">
        <f>IF('1. Live'!AU309='check-Jul''26'!AQ309,"",'1. Live'!AU309-'check-Jul''26'!AQ309)</f>
        <v/>
      </c>
      <c r="AR291" s="25" t="str">
        <f>IF('1. Live'!AV309='check-Jul''26'!AR309,"",'1. Live'!AV309-'check-Jul''26'!AR309)</f>
        <v/>
      </c>
      <c r="AS291" s="25" t="str">
        <f>IF('1. Live'!AW309='check-Jul''26'!AS309,"",'1. Live'!AW309-'check-Jul''26'!AS309)</f>
        <v/>
      </c>
      <c r="AT291" s="25" t="str">
        <f>IF('1. Live'!AX309='check-Jul''26'!AT309,"",'1. Live'!AX309-'check-Jul''26'!AT309)</f>
        <v/>
      </c>
      <c r="AU291" s="25" t="str">
        <f>IF('1. Live'!AY309='check-Jul''26'!AU309,"",'1. Live'!AY309-'check-Jul''26'!AU309)</f>
        <v/>
      </c>
      <c r="AV291" s="25" t="str">
        <f>IF('1. Live'!AZ309='check-Jul''26'!AV309,"",'1. Live'!AZ309-'check-Jul''26'!AV309)</f>
        <v/>
      </c>
      <c r="AW291" s="25" t="str">
        <f>IF('1. Live'!BA309='check-Jul''26'!AW309,"",'1. Live'!BA309-'check-Jul''26'!AW309)</f>
        <v/>
      </c>
      <c r="AX291" s="25" t="str">
        <f>IF('1. Live'!BB309='check-Jul''26'!AX309,"",'1. Live'!BB309-'check-Jul''26'!AX309)</f>
        <v/>
      </c>
      <c r="AY291" s="25" t="str">
        <f>IF('1. Live'!BC309='check-Jul''26'!AY309,"",'1. Live'!BC309-'check-Jul''26'!AY309)</f>
        <v/>
      </c>
      <c r="AZ291" s="25" t="str">
        <f>IF('1. Live'!BD309='check-Jul''26'!AZ309,"",'1. Live'!BD309-'check-Jul''26'!AZ309)</f>
        <v/>
      </c>
      <c r="BA291" s="25" t="str">
        <f>IF('1. Live'!BE309='check-Jul''26'!BA309,"",'1. Live'!BE309-'check-Jul''26'!BA309)</f>
        <v/>
      </c>
      <c r="BB291" s="25" t="str">
        <f>IF('1. Live'!BF309='check-Jul''26'!BB309,"",'1. Live'!BF309-'check-Jul''26'!BB309)</f>
        <v/>
      </c>
      <c r="BC291" s="25" t="str">
        <f>IF('1. Live'!BG309='check-Jul''26'!BC309,"",'1. Live'!BG309-'check-Jul''26'!BC309)</f>
        <v/>
      </c>
      <c r="BD291" s="25" t="str">
        <f>IF('1. Live'!BH309='check-Jul''26'!BD309,"",'1. Live'!BH309-'check-Jul''26'!BD309)</f>
        <v/>
      </c>
      <c r="BE291" s="25" t="str">
        <f>IF('1. Live'!BI309='check-Jul''26'!BE309,"",'1. Live'!BI309-'check-Jul''26'!BE309)</f>
        <v/>
      </c>
      <c r="BF291" s="25" t="str">
        <f>IF('1. Live'!BJ309='check-Jul''26'!BF309,"",'1. Live'!BJ309-'check-Jul''26'!BF309)</f>
        <v/>
      </c>
      <c r="BG291" s="25" t="str">
        <f>IF('1. Live'!BK309='check-Jul''26'!BG309,"",'1. Live'!BK309-'check-Jul''26'!BG309)</f>
        <v/>
      </c>
      <c r="BH291" s="25" t="str">
        <f>IF('1. Live'!BL309='check-Jul''26'!BH309,"",'1. Live'!BL309-'check-Jul''26'!BH309)</f>
        <v/>
      </c>
      <c r="BI291" s="25" t="str">
        <f>IF('1. Live'!BM309='check-Jul''26'!BI309,"",'1. Live'!BM309-'check-Jul''26'!BI309)</f>
        <v/>
      </c>
      <c r="BJ291" s="25" t="str">
        <f>IF('1. Live'!BN309='check-Jul''26'!BJ309,"",'1. Live'!BN309-'check-Jul''26'!BJ309)</f>
        <v/>
      </c>
      <c r="BK291" s="25" t="str">
        <f>IF('1. Live'!BO309='check-Jul''26'!BK309,"",'1. Live'!BO309-'check-Jul''26'!BK309)</f>
        <v/>
      </c>
      <c r="BL291" s="25" t="str">
        <f>IF('1. Live'!BP309='check-Jul''26'!BL309,"",'1. Live'!BP309-'check-Jul''26'!BL309)</f>
        <v/>
      </c>
      <c r="BM291" s="25" t="str">
        <f>IF('1. Live'!BQ309='check-Jul''26'!BM309,"",'1. Live'!BQ309-'check-Jul''26'!BM309)</f>
        <v/>
      </c>
      <c r="BN291" s="25" t="str">
        <f>IF('1. Live'!BR309='check-Jul''26'!BN309,"",'1. Live'!BR309-'check-Jul''26'!BN309)</f>
        <v/>
      </c>
      <c r="BO291" s="25" t="str">
        <f>IF('1. Live'!BS309='check-Jul''26'!BO309,"",'1. Live'!BS309-'check-Jul''26'!BO309)</f>
        <v/>
      </c>
      <c r="BP291" s="25" t="str">
        <f>IF('1. Live'!BT309='check-Jul''26'!BP309,"",'1. Live'!BT309-'check-Jul''26'!BP309)</f>
        <v/>
      </c>
      <c r="BQ291" s="25" t="str">
        <f>IF('1. Live'!BU309='check-Jul''26'!BQ309,"",'1. Live'!BU309-'check-Jul''26'!BQ309)</f>
        <v/>
      </c>
      <c r="BR291" s="25" t="str">
        <f>IF('1. Live'!BV309='check-Jul''26'!BR309,"",'1. Live'!BV309-'check-Jul''26'!BR309)</f>
        <v/>
      </c>
      <c r="BS291" s="25" t="str">
        <f>IF('1. Live'!BW309='check-Jul''26'!BS309,"",'1. Live'!BW309-'check-Jul''26'!BS309)</f>
        <v/>
      </c>
      <c r="BT291" s="25" t="str">
        <f>IF('1. Live'!BX309='check-Jul''26'!BT309,"",'1. Live'!BX309-'check-Jul''26'!BT309)</f>
        <v/>
      </c>
      <c r="BU291" s="25" t="str">
        <f>IF('1. Live'!BY309='check-Jul''26'!BU309,"",'1. Live'!BY309-'check-Jul''26'!BU309)</f>
        <v/>
      </c>
      <c r="BV291" s="25" t="str">
        <f>IF('1. Live'!BZ309='check-Jul''26'!BV309,"",'1. Live'!BZ309-'check-Jul''26'!BV309)</f>
        <v/>
      </c>
      <c r="BW291" s="25" t="str">
        <f>IF('1. Live'!CA309='check-Jul''26'!BW309,"",'1. Live'!CA309-'check-Jul''26'!BW309)</f>
        <v/>
      </c>
      <c r="BX291" s="25" t="str">
        <f>IF('1. Live'!CB309='check-Jul''26'!BX309,"",'1. Live'!CB309-'check-Jul''26'!BX309)</f>
        <v/>
      </c>
      <c r="BY291" s="25" t="str">
        <f>IF('1. Live'!CC309='check-Jul''26'!BY309,"",'1. Live'!CC309-'check-Jul''26'!BY309)</f>
        <v/>
      </c>
      <c r="BZ291" s="25" t="str">
        <f>IF('1. Live'!CD309='check-Jul''26'!BZ309,"",'1. Live'!CD309-'check-Jul''26'!BZ309)</f>
        <v/>
      </c>
      <c r="CA291" s="25" t="str">
        <f>IF('1. Live'!CE309='check-Jul''26'!CA309,"",'1. Live'!CE309-'check-Jul''26'!CA309)</f>
        <v/>
      </c>
      <c r="CB291" s="25" t="str">
        <f>IF('1. Live'!CF309='check-Jul''26'!CB309,"",'1. Live'!CF309-'check-Jul''26'!CB309)</f>
        <v/>
      </c>
      <c r="CC291" s="25" t="str">
        <f>IF('1. Live'!CG309='check-Jul''26'!CC309,"",'1. Live'!CG309-'check-Jul''26'!CC309)</f>
        <v/>
      </c>
      <c r="CD291" s="25" t="str">
        <f>IF('1. Live'!CH309='check-Jul''26'!CD309,"",'1. Live'!CH309-'check-Jul''26'!CD309)</f>
        <v/>
      </c>
      <c r="CE291" s="25" t="str">
        <f>IF('1. Live'!CI309='check-Jul''26'!CE309,"",'1. Live'!CI309-'check-Jul''26'!CE309)</f>
        <v/>
      </c>
      <c r="CF291" s="25" t="str">
        <f>IF('1. Live'!CJ309='check-Jul''26'!CF309,"",'1. Live'!CJ309-'check-Jul''26'!CF309)</f>
        <v/>
      </c>
      <c r="CG291" s="25" t="str">
        <f>IF('1. Live'!CK309='check-Jul''26'!CG309,"",'1. Live'!CK309-'check-Jul''26'!CG309)</f>
        <v/>
      </c>
      <c r="CH291" s="25" t="str">
        <f>IF('1. Live'!CL309='check-Jul''26'!CH309,"",'1. Live'!CL309-'check-Jul''26'!CH309)</f>
        <v/>
      </c>
      <c r="CI291" s="25" t="str">
        <f>IF('1. Live'!CM309='check-Jul''26'!CI309,"",'1. Live'!CM309-'check-Jul''26'!CI309)</f>
        <v/>
      </c>
      <c r="CJ291" s="25" t="str">
        <f>IF('1. Live'!CN309='check-Jul''26'!CJ309,"",'1. Live'!CN309-'check-Jul''26'!CJ309)</f>
        <v/>
      </c>
      <c r="CK291" s="25" t="str">
        <f>IF('1. Live'!CO309='check-Jul''26'!CK309,"",'1. Live'!CO309-'check-Jul''26'!CK309)</f>
        <v/>
      </c>
      <c r="CL291" s="25" t="str">
        <f>IF('1. Live'!CP309='check-Jul''26'!CL309,"",'1. Live'!CP309-'check-Jul''26'!CL309)</f>
        <v/>
      </c>
      <c r="CM291" s="25" t="str">
        <f>IF('1. Live'!CQ309='check-Jul''26'!CM309,"",'1. Live'!CQ309-'check-Jul''26'!CM309)</f>
        <v/>
      </c>
      <c r="CN291" s="25" t="str">
        <f>IF('1. Live'!CR309='check-Jul''26'!CN309,"",'1. Live'!CR309-'check-Jul''26'!CN309)</f>
        <v/>
      </c>
      <c r="CO291" s="25" t="str">
        <f>IF('1. Live'!CS309='check-Jul''26'!CO309,"",'1. Live'!CS309-'check-Jul''26'!CO309)</f>
        <v/>
      </c>
      <c r="CP291" s="25" t="str">
        <f>IF('1. Live'!CT309='check-Jul''26'!CP309,"",'1. Live'!CT309-'check-Jul''26'!CP309)</f>
        <v/>
      </c>
      <c r="CQ291" s="25" t="str">
        <f>IF('1. Live'!CU309='check-Jul''26'!CQ309,"",'1. Live'!CU309-'check-Jul''26'!CQ309)</f>
        <v/>
      </c>
      <c r="CR291" s="25" t="str">
        <f>IF('1. Live'!CV309='check-Jul''26'!CR309,"",'1. Live'!CV309-'check-Jul''26'!CR309)</f>
        <v/>
      </c>
      <c r="CS291" s="25" t="str">
        <f>IF('1. Live'!CW309='check-Jul''26'!CS309,"",'1. Live'!CW309-'check-Jul''26'!CS309)</f>
        <v/>
      </c>
      <c r="CT291" s="25" t="str">
        <f>IF('1. Live'!CX309='check-Jul''26'!CT309,"",'1. Live'!CX309-'check-Jul''26'!CT309)</f>
        <v/>
      </c>
      <c r="CU291" s="25" t="str">
        <f>IF('1. Live'!CY309='check-Jul''26'!CU309,"",'1. Live'!CY309-'check-Jul''26'!CU309)</f>
        <v/>
      </c>
      <c r="CV291" s="25" t="str">
        <f>IF('1. Live'!CZ309='check-Jul''26'!CV309,"",'1. Live'!CZ309-'check-Jul''26'!CV309)</f>
        <v/>
      </c>
    </row>
    <row r="292" spans="17:100" x14ac:dyDescent="0.25">
      <c r="Q292" s="26" t="str">
        <f>IF('1. Live'!N310='check-Jul''26'!I310,"",'1. Live'!N310-'check-Jul''26'!I310)</f>
        <v/>
      </c>
      <c r="R292" s="26" t="str">
        <f>IF('1. Live'!O310='check-Jul''26'!J310,"",'1. Live'!O310-'check-Jul''26'!J310)</f>
        <v/>
      </c>
      <c r="S292" s="26" t="str">
        <f>IF('1. Live'!P310='check-Jul''26'!K310,"",'1. Live'!P310-'check-Jul''26'!K310)</f>
        <v/>
      </c>
      <c r="T292" s="26" t="str">
        <f>IF('1. Live'!Q310='check-Jul''26'!L310,"",'1. Live'!Q310-'check-Jul''26'!L310)</f>
        <v/>
      </c>
      <c r="U292" s="80" t="str">
        <f>IF('1. Live'!R310='check-Jul''26'!M310,"",'1. Live'!R310-'check-Jul''26'!M310)</f>
        <v/>
      </c>
      <c r="V292" s="26" t="str">
        <f>IF('1. Live'!S310='check-Jul''26'!N310,"",'1. Live'!S310-'check-Jul''26'!N310)</f>
        <v/>
      </c>
      <c r="W292" s="25" t="str">
        <f>IF('1. Live'!T310='check-Jul''26'!O310,"",'1. Live'!T310-'check-Jul''26'!O310)</f>
        <v/>
      </c>
      <c r="X292" s="25" t="str">
        <f>IF('1. Live'!U310='check-Jul''26'!Q310,"",'1. Live'!U310-'check-Jul''26'!Q310)</f>
        <v/>
      </c>
      <c r="Y292" s="25" t="str">
        <f>IF('1. Live'!V310='check-Jul''26'!R310,"",'1. Live'!V310-'check-Jul''26'!R310)</f>
        <v/>
      </c>
      <c r="Z292" s="25" t="str">
        <f>IF('1. Live'!W310='check-Jul''26'!S310,"",'1. Live'!W310-'check-Jul''26'!S310)</f>
        <v/>
      </c>
      <c r="AA292" s="25" t="str">
        <f>IF('1. Live'!X310='check-Jul''26'!T310,"",'1. Live'!X310-'check-Jul''26'!T310)</f>
        <v/>
      </c>
      <c r="AB292" s="25" t="str">
        <f>IF('1. Live'!AF310='check-Jul''26'!AB310,"",'1. Live'!AF310-'check-Jul''26'!AB310)</f>
        <v/>
      </c>
      <c r="AC292" s="25" t="str">
        <f>IF('1. Live'!AG310='check-Jul''26'!AC310,"",'1. Live'!AG310-'check-Jul''26'!AC310)</f>
        <v/>
      </c>
      <c r="AD292" s="25" t="str">
        <f>IF('1. Live'!AH310='check-Jul''26'!AD310,"",'1. Live'!AH310-'check-Jul''26'!AD310)</f>
        <v/>
      </c>
      <c r="AE292" s="25" t="str">
        <f>IF('1. Live'!AI310='check-Jul''26'!AE310,"",'1. Live'!AI310-'check-Jul''26'!AE310)</f>
        <v/>
      </c>
      <c r="AF292" s="25" t="str">
        <f>IF('1. Live'!AJ310='check-Jul''26'!AF310,"",'1. Live'!AJ310-'check-Jul''26'!AF310)</f>
        <v/>
      </c>
      <c r="AG292" s="25" t="str">
        <f>IF('1. Live'!AK310='check-Jul''26'!AG310,"",'1. Live'!AK310-'check-Jul''26'!AG310)</f>
        <v/>
      </c>
      <c r="AH292" s="25" t="str">
        <f>IF('1. Live'!AL310='check-Jul''26'!AH310,"",'1. Live'!AL310-'check-Jul''26'!AH310)</f>
        <v/>
      </c>
      <c r="AI292" s="25" t="str">
        <f>IF('1. Live'!AM310='check-Jul''26'!AI310,"",'1. Live'!AM310-'check-Jul''26'!AI310)</f>
        <v/>
      </c>
      <c r="AJ292" s="25" t="str">
        <f>IF('1. Live'!AN310='check-Jul''26'!AJ310,"",'1. Live'!AN310-'check-Jul''26'!AJ310)</f>
        <v/>
      </c>
      <c r="AK292" s="25" t="str">
        <f>IF('1. Live'!AO310='check-Jul''26'!AK310,"",'1. Live'!AO310-'check-Jul''26'!AK310)</f>
        <v/>
      </c>
      <c r="AL292" s="25" t="str">
        <f>IF('1. Live'!AP310='check-Jul''26'!AL310,"",'1. Live'!AP310-'check-Jul''26'!AL310)</f>
        <v/>
      </c>
      <c r="AM292" s="25" t="str">
        <f>IF('1. Live'!AQ310='check-Jul''26'!AM310,"",'1. Live'!AQ310-'check-Jul''26'!AM310)</f>
        <v/>
      </c>
      <c r="AN292" s="25" t="str">
        <f>IF('1. Live'!AR310='check-Jul''26'!AN310,"",'1. Live'!AR310-'check-Jul''26'!AN310)</f>
        <v/>
      </c>
      <c r="AO292" s="25" t="str">
        <f>IF('1. Live'!AS310='check-Jul''26'!AO310,"",'1. Live'!AS310-'check-Jul''26'!AO310)</f>
        <v/>
      </c>
      <c r="AP292" s="25" t="str">
        <f>IF('1. Live'!AT310='check-Jul''26'!AP310,"",'1. Live'!AT310-'check-Jul''26'!AP310)</f>
        <v/>
      </c>
      <c r="AQ292" s="25" t="str">
        <f>IF('1. Live'!AU310='check-Jul''26'!AQ310,"",'1. Live'!AU310-'check-Jul''26'!AQ310)</f>
        <v/>
      </c>
      <c r="AR292" s="25" t="str">
        <f>IF('1. Live'!AV310='check-Jul''26'!AR310,"",'1. Live'!AV310-'check-Jul''26'!AR310)</f>
        <v/>
      </c>
      <c r="AS292" s="25" t="str">
        <f>IF('1. Live'!AW310='check-Jul''26'!AS310,"",'1. Live'!AW310-'check-Jul''26'!AS310)</f>
        <v/>
      </c>
      <c r="AT292" s="25" t="str">
        <f>IF('1. Live'!AX310='check-Jul''26'!AT310,"",'1. Live'!AX310-'check-Jul''26'!AT310)</f>
        <v/>
      </c>
      <c r="AU292" s="25" t="str">
        <f>IF('1. Live'!AY310='check-Jul''26'!AU310,"",'1. Live'!AY310-'check-Jul''26'!AU310)</f>
        <v/>
      </c>
      <c r="AV292" s="25" t="str">
        <f>IF('1. Live'!AZ310='check-Jul''26'!AV310,"",'1. Live'!AZ310-'check-Jul''26'!AV310)</f>
        <v/>
      </c>
      <c r="AW292" s="25" t="str">
        <f>IF('1. Live'!BA310='check-Jul''26'!AW310,"",'1. Live'!BA310-'check-Jul''26'!AW310)</f>
        <v/>
      </c>
      <c r="AX292" s="25" t="str">
        <f>IF('1. Live'!BB310='check-Jul''26'!AX310,"",'1. Live'!BB310-'check-Jul''26'!AX310)</f>
        <v/>
      </c>
      <c r="AY292" s="25" t="str">
        <f>IF('1. Live'!BC310='check-Jul''26'!AY310,"",'1. Live'!BC310-'check-Jul''26'!AY310)</f>
        <v/>
      </c>
      <c r="AZ292" s="25" t="str">
        <f>IF('1. Live'!BD310='check-Jul''26'!AZ310,"",'1. Live'!BD310-'check-Jul''26'!AZ310)</f>
        <v/>
      </c>
      <c r="BA292" s="25" t="str">
        <f>IF('1. Live'!BE310='check-Jul''26'!BA310,"",'1. Live'!BE310-'check-Jul''26'!BA310)</f>
        <v/>
      </c>
      <c r="BB292" s="25" t="str">
        <f>IF('1. Live'!BF310='check-Jul''26'!BB310,"",'1. Live'!BF310-'check-Jul''26'!BB310)</f>
        <v/>
      </c>
      <c r="BC292" s="25" t="str">
        <f>IF('1. Live'!BG310='check-Jul''26'!BC310,"",'1. Live'!BG310-'check-Jul''26'!BC310)</f>
        <v/>
      </c>
      <c r="BD292" s="25" t="str">
        <f>IF('1. Live'!BH310='check-Jul''26'!BD310,"",'1. Live'!BH310-'check-Jul''26'!BD310)</f>
        <v/>
      </c>
      <c r="BE292" s="25" t="str">
        <f>IF('1. Live'!BI310='check-Jul''26'!BE310,"",'1. Live'!BI310-'check-Jul''26'!BE310)</f>
        <v/>
      </c>
      <c r="BF292" s="25" t="str">
        <f>IF('1. Live'!BJ310='check-Jul''26'!BF310,"",'1. Live'!BJ310-'check-Jul''26'!BF310)</f>
        <v/>
      </c>
      <c r="BG292" s="25" t="str">
        <f>IF('1. Live'!BK310='check-Jul''26'!BG310,"",'1. Live'!BK310-'check-Jul''26'!BG310)</f>
        <v/>
      </c>
      <c r="BH292" s="25" t="str">
        <f>IF('1. Live'!BL310='check-Jul''26'!BH310,"",'1. Live'!BL310-'check-Jul''26'!BH310)</f>
        <v/>
      </c>
      <c r="BI292" s="25" t="str">
        <f>IF('1. Live'!BM310='check-Jul''26'!BI310,"",'1. Live'!BM310-'check-Jul''26'!BI310)</f>
        <v/>
      </c>
      <c r="BJ292" s="25" t="str">
        <f>IF('1. Live'!BN310='check-Jul''26'!BJ310,"",'1. Live'!BN310-'check-Jul''26'!BJ310)</f>
        <v/>
      </c>
      <c r="BK292" s="25" t="str">
        <f>IF('1. Live'!BO310='check-Jul''26'!BK310,"",'1. Live'!BO310-'check-Jul''26'!BK310)</f>
        <v/>
      </c>
      <c r="BL292" s="25" t="str">
        <f>IF('1. Live'!BP310='check-Jul''26'!BL310,"",'1. Live'!BP310-'check-Jul''26'!BL310)</f>
        <v/>
      </c>
      <c r="BM292" s="25" t="str">
        <f>IF('1. Live'!BQ310='check-Jul''26'!BM310,"",'1. Live'!BQ310-'check-Jul''26'!BM310)</f>
        <v/>
      </c>
      <c r="BN292" s="25" t="str">
        <f>IF('1. Live'!BR310='check-Jul''26'!BN310,"",'1. Live'!BR310-'check-Jul''26'!BN310)</f>
        <v/>
      </c>
      <c r="BO292" s="25" t="str">
        <f>IF('1. Live'!BS310='check-Jul''26'!BO310,"",'1. Live'!BS310-'check-Jul''26'!BO310)</f>
        <v/>
      </c>
      <c r="BP292" s="25" t="str">
        <f>IF('1. Live'!BT310='check-Jul''26'!BP310,"",'1. Live'!BT310-'check-Jul''26'!BP310)</f>
        <v/>
      </c>
      <c r="BQ292" s="25" t="str">
        <f>IF('1. Live'!BU310='check-Jul''26'!BQ310,"",'1. Live'!BU310-'check-Jul''26'!BQ310)</f>
        <v/>
      </c>
      <c r="BR292" s="25" t="str">
        <f>IF('1. Live'!BV310='check-Jul''26'!BR310,"",'1. Live'!BV310-'check-Jul''26'!BR310)</f>
        <v/>
      </c>
      <c r="BS292" s="25" t="str">
        <f>IF('1. Live'!BW310='check-Jul''26'!BS310,"",'1. Live'!BW310-'check-Jul''26'!BS310)</f>
        <v/>
      </c>
      <c r="BT292" s="25" t="str">
        <f>IF('1. Live'!BX310='check-Jul''26'!BT310,"",'1. Live'!BX310-'check-Jul''26'!BT310)</f>
        <v/>
      </c>
      <c r="BU292" s="25" t="str">
        <f>IF('1. Live'!BY310='check-Jul''26'!BU310,"",'1. Live'!BY310-'check-Jul''26'!BU310)</f>
        <v/>
      </c>
      <c r="BV292" s="25" t="str">
        <f>IF('1. Live'!BZ310='check-Jul''26'!BV310,"",'1. Live'!BZ310-'check-Jul''26'!BV310)</f>
        <v/>
      </c>
      <c r="BW292" s="25" t="str">
        <f>IF('1. Live'!CA310='check-Jul''26'!BW310,"",'1. Live'!CA310-'check-Jul''26'!BW310)</f>
        <v/>
      </c>
      <c r="BX292" s="25" t="str">
        <f>IF('1. Live'!CB310='check-Jul''26'!BX310,"",'1. Live'!CB310-'check-Jul''26'!BX310)</f>
        <v/>
      </c>
      <c r="BY292" s="25" t="str">
        <f>IF('1. Live'!CC310='check-Jul''26'!BY310,"",'1. Live'!CC310-'check-Jul''26'!BY310)</f>
        <v/>
      </c>
      <c r="BZ292" s="25" t="str">
        <f>IF('1. Live'!CD310='check-Jul''26'!BZ310,"",'1. Live'!CD310-'check-Jul''26'!BZ310)</f>
        <v/>
      </c>
      <c r="CA292" s="25" t="str">
        <f>IF('1. Live'!CE310='check-Jul''26'!CA310,"",'1. Live'!CE310-'check-Jul''26'!CA310)</f>
        <v/>
      </c>
      <c r="CB292" s="25" t="str">
        <f>IF('1. Live'!CF310='check-Jul''26'!CB310,"",'1. Live'!CF310-'check-Jul''26'!CB310)</f>
        <v/>
      </c>
      <c r="CC292" s="25" t="str">
        <f>IF('1. Live'!CG310='check-Jul''26'!CC310,"",'1. Live'!CG310-'check-Jul''26'!CC310)</f>
        <v/>
      </c>
      <c r="CD292" s="25" t="str">
        <f>IF('1. Live'!CH310='check-Jul''26'!CD310,"",'1. Live'!CH310-'check-Jul''26'!CD310)</f>
        <v/>
      </c>
      <c r="CE292" s="25" t="str">
        <f>IF('1. Live'!CI310='check-Jul''26'!CE310,"",'1. Live'!CI310-'check-Jul''26'!CE310)</f>
        <v/>
      </c>
      <c r="CF292" s="25" t="str">
        <f>IF('1. Live'!CJ310='check-Jul''26'!CF310,"",'1. Live'!CJ310-'check-Jul''26'!CF310)</f>
        <v/>
      </c>
      <c r="CG292" s="25" t="str">
        <f>IF('1. Live'!CK310='check-Jul''26'!CG310,"",'1. Live'!CK310-'check-Jul''26'!CG310)</f>
        <v/>
      </c>
      <c r="CH292" s="25" t="str">
        <f>IF('1. Live'!CL310='check-Jul''26'!CH310,"",'1. Live'!CL310-'check-Jul''26'!CH310)</f>
        <v/>
      </c>
      <c r="CI292" s="25" t="str">
        <f>IF('1. Live'!CM310='check-Jul''26'!CI310,"",'1. Live'!CM310-'check-Jul''26'!CI310)</f>
        <v/>
      </c>
      <c r="CJ292" s="25" t="str">
        <f>IF('1. Live'!CN310='check-Jul''26'!CJ310,"",'1. Live'!CN310-'check-Jul''26'!CJ310)</f>
        <v/>
      </c>
      <c r="CK292" s="25" t="str">
        <f>IF('1. Live'!CO310='check-Jul''26'!CK310,"",'1. Live'!CO310-'check-Jul''26'!CK310)</f>
        <v/>
      </c>
      <c r="CL292" s="25" t="str">
        <f>IF('1. Live'!CP310='check-Jul''26'!CL310,"",'1. Live'!CP310-'check-Jul''26'!CL310)</f>
        <v/>
      </c>
      <c r="CM292" s="25" t="str">
        <f>IF('1. Live'!CQ310='check-Jul''26'!CM310,"",'1. Live'!CQ310-'check-Jul''26'!CM310)</f>
        <v/>
      </c>
      <c r="CN292" s="25" t="str">
        <f>IF('1. Live'!CR310='check-Jul''26'!CN310,"",'1. Live'!CR310-'check-Jul''26'!CN310)</f>
        <v/>
      </c>
      <c r="CO292" s="25" t="str">
        <f>IF('1. Live'!CS310='check-Jul''26'!CO310,"",'1. Live'!CS310-'check-Jul''26'!CO310)</f>
        <v/>
      </c>
      <c r="CP292" s="25" t="str">
        <f>IF('1. Live'!CT310='check-Jul''26'!CP310,"",'1. Live'!CT310-'check-Jul''26'!CP310)</f>
        <v/>
      </c>
      <c r="CQ292" s="25" t="str">
        <f>IF('1. Live'!CU310='check-Jul''26'!CQ310,"",'1. Live'!CU310-'check-Jul''26'!CQ310)</f>
        <v/>
      </c>
      <c r="CR292" s="25" t="str">
        <f>IF('1. Live'!CV310='check-Jul''26'!CR310,"",'1. Live'!CV310-'check-Jul''26'!CR310)</f>
        <v/>
      </c>
      <c r="CS292" s="25" t="str">
        <f>IF('1. Live'!CW310='check-Jul''26'!CS310,"",'1. Live'!CW310-'check-Jul''26'!CS310)</f>
        <v/>
      </c>
      <c r="CT292" s="25" t="str">
        <f>IF('1. Live'!CX310='check-Jul''26'!CT310,"",'1. Live'!CX310-'check-Jul''26'!CT310)</f>
        <v/>
      </c>
      <c r="CU292" s="25" t="str">
        <f>IF('1. Live'!CY310='check-Jul''26'!CU310,"",'1. Live'!CY310-'check-Jul''26'!CU310)</f>
        <v/>
      </c>
      <c r="CV292" s="25" t="str">
        <f>IF('1. Live'!CZ310='check-Jul''26'!CV310,"",'1. Live'!CZ310-'check-Jul''26'!CV310)</f>
        <v/>
      </c>
    </row>
    <row r="293" spans="17:100" x14ac:dyDescent="0.25">
      <c r="Q293" s="26" t="str">
        <f>IF('1. Live'!N311='check-Jul''26'!I311,"",'1. Live'!N311-'check-Jul''26'!I311)</f>
        <v/>
      </c>
      <c r="R293" s="26" t="str">
        <f>IF('1. Live'!O311='check-Jul''26'!J311,"",'1. Live'!O311-'check-Jul''26'!J311)</f>
        <v/>
      </c>
      <c r="S293" s="26" t="str">
        <f>IF('1. Live'!P311='check-Jul''26'!K311,"",'1. Live'!P311-'check-Jul''26'!K311)</f>
        <v/>
      </c>
      <c r="T293" s="26" t="str">
        <f>IF('1. Live'!Q311='check-Jul''26'!L311,"",'1. Live'!Q311-'check-Jul''26'!L311)</f>
        <v/>
      </c>
      <c r="U293" s="80" t="str">
        <f>IF('1. Live'!R311='check-Jul''26'!M311,"",'1. Live'!R311-'check-Jul''26'!M311)</f>
        <v/>
      </c>
      <c r="V293" s="26" t="str">
        <f>IF('1. Live'!S311='check-Jul''26'!N311,"",'1. Live'!S311-'check-Jul''26'!N311)</f>
        <v/>
      </c>
      <c r="W293" s="25" t="str">
        <f>IF('1. Live'!T311='check-Jul''26'!O311,"",'1. Live'!T311-'check-Jul''26'!O311)</f>
        <v/>
      </c>
      <c r="X293" s="25" t="str">
        <f>IF('1. Live'!U311='check-Jul''26'!Q311,"",'1. Live'!U311-'check-Jul''26'!Q311)</f>
        <v/>
      </c>
      <c r="Y293" s="25" t="str">
        <f>IF('1. Live'!V311='check-Jul''26'!R311,"",'1. Live'!V311-'check-Jul''26'!R311)</f>
        <v/>
      </c>
      <c r="Z293" s="25" t="str">
        <f>IF('1. Live'!W311='check-Jul''26'!S311,"",'1. Live'!W311-'check-Jul''26'!S311)</f>
        <v/>
      </c>
      <c r="AA293" s="25" t="str">
        <f>IF('1. Live'!X311='check-Jul''26'!T311,"",'1. Live'!X311-'check-Jul''26'!T311)</f>
        <v/>
      </c>
      <c r="AB293" s="25" t="str">
        <f>IF('1. Live'!AF311='check-Jul''26'!AB311,"",'1. Live'!AF311-'check-Jul''26'!AB311)</f>
        <v/>
      </c>
      <c r="AC293" s="25" t="str">
        <f>IF('1. Live'!AG311='check-Jul''26'!AC311,"",'1. Live'!AG311-'check-Jul''26'!AC311)</f>
        <v/>
      </c>
      <c r="AD293" s="25" t="str">
        <f>IF('1. Live'!AH311='check-Jul''26'!AD311,"",'1. Live'!AH311-'check-Jul''26'!AD311)</f>
        <v/>
      </c>
      <c r="AE293" s="25" t="str">
        <f>IF('1. Live'!AI311='check-Jul''26'!AE311,"",'1. Live'!AI311-'check-Jul''26'!AE311)</f>
        <v/>
      </c>
      <c r="AF293" s="25" t="str">
        <f>IF('1. Live'!AJ311='check-Jul''26'!AF311,"",'1. Live'!AJ311-'check-Jul''26'!AF311)</f>
        <v/>
      </c>
      <c r="AG293" s="25" t="str">
        <f>IF('1. Live'!AK311='check-Jul''26'!AG311,"",'1. Live'!AK311-'check-Jul''26'!AG311)</f>
        <v/>
      </c>
      <c r="AH293" s="25" t="str">
        <f>IF('1. Live'!AL311='check-Jul''26'!AH311,"",'1. Live'!AL311-'check-Jul''26'!AH311)</f>
        <v/>
      </c>
      <c r="AI293" s="25" t="str">
        <f>IF('1. Live'!AM311='check-Jul''26'!AI311,"",'1. Live'!AM311-'check-Jul''26'!AI311)</f>
        <v/>
      </c>
      <c r="AJ293" s="25" t="str">
        <f>IF('1. Live'!AN311='check-Jul''26'!AJ311,"",'1. Live'!AN311-'check-Jul''26'!AJ311)</f>
        <v/>
      </c>
      <c r="AK293" s="25" t="str">
        <f>IF('1. Live'!AO311='check-Jul''26'!AK311,"",'1. Live'!AO311-'check-Jul''26'!AK311)</f>
        <v/>
      </c>
      <c r="AL293" s="25" t="str">
        <f>IF('1. Live'!AP311='check-Jul''26'!AL311,"",'1. Live'!AP311-'check-Jul''26'!AL311)</f>
        <v/>
      </c>
      <c r="AM293" s="25" t="str">
        <f>IF('1. Live'!AQ311='check-Jul''26'!AM311,"",'1. Live'!AQ311-'check-Jul''26'!AM311)</f>
        <v/>
      </c>
      <c r="AN293" s="25" t="str">
        <f>IF('1. Live'!AR311='check-Jul''26'!AN311,"",'1. Live'!AR311-'check-Jul''26'!AN311)</f>
        <v/>
      </c>
      <c r="AO293" s="25" t="str">
        <f>IF('1. Live'!AS311='check-Jul''26'!AO311,"",'1. Live'!AS311-'check-Jul''26'!AO311)</f>
        <v/>
      </c>
      <c r="AP293" s="25" t="str">
        <f>IF('1. Live'!AT311='check-Jul''26'!AP311,"",'1. Live'!AT311-'check-Jul''26'!AP311)</f>
        <v/>
      </c>
      <c r="AQ293" s="25" t="str">
        <f>IF('1. Live'!AU311='check-Jul''26'!AQ311,"",'1. Live'!AU311-'check-Jul''26'!AQ311)</f>
        <v/>
      </c>
      <c r="AR293" s="25" t="str">
        <f>IF('1. Live'!AV311='check-Jul''26'!AR311,"",'1. Live'!AV311-'check-Jul''26'!AR311)</f>
        <v/>
      </c>
      <c r="AS293" s="25" t="str">
        <f>IF('1. Live'!AW311='check-Jul''26'!AS311,"",'1. Live'!AW311-'check-Jul''26'!AS311)</f>
        <v/>
      </c>
      <c r="AT293" s="25" t="str">
        <f>IF('1. Live'!AX311='check-Jul''26'!AT311,"",'1. Live'!AX311-'check-Jul''26'!AT311)</f>
        <v/>
      </c>
      <c r="AU293" s="25" t="str">
        <f>IF('1. Live'!AY311='check-Jul''26'!AU311,"",'1. Live'!AY311-'check-Jul''26'!AU311)</f>
        <v/>
      </c>
      <c r="AV293" s="25" t="str">
        <f>IF('1. Live'!AZ311='check-Jul''26'!AV311,"",'1. Live'!AZ311-'check-Jul''26'!AV311)</f>
        <v/>
      </c>
      <c r="AW293" s="25" t="str">
        <f>IF('1. Live'!BA311='check-Jul''26'!AW311,"",'1. Live'!BA311-'check-Jul''26'!AW311)</f>
        <v/>
      </c>
      <c r="AX293" s="25" t="str">
        <f>IF('1. Live'!BB311='check-Jul''26'!AX311,"",'1. Live'!BB311-'check-Jul''26'!AX311)</f>
        <v/>
      </c>
      <c r="AY293" s="25" t="str">
        <f>IF('1. Live'!BC311='check-Jul''26'!AY311,"",'1. Live'!BC311-'check-Jul''26'!AY311)</f>
        <v/>
      </c>
      <c r="AZ293" s="25" t="str">
        <f>IF('1. Live'!BD311='check-Jul''26'!AZ311,"",'1. Live'!BD311-'check-Jul''26'!AZ311)</f>
        <v/>
      </c>
      <c r="BA293" s="25" t="str">
        <f>IF('1. Live'!BE311='check-Jul''26'!BA311,"",'1. Live'!BE311-'check-Jul''26'!BA311)</f>
        <v/>
      </c>
      <c r="BB293" s="25" t="str">
        <f>IF('1. Live'!BF311='check-Jul''26'!BB311,"",'1. Live'!BF311-'check-Jul''26'!BB311)</f>
        <v/>
      </c>
      <c r="BC293" s="25" t="str">
        <f>IF('1. Live'!BG311='check-Jul''26'!BC311,"",'1. Live'!BG311-'check-Jul''26'!BC311)</f>
        <v/>
      </c>
      <c r="BD293" s="25" t="str">
        <f>IF('1. Live'!BH311='check-Jul''26'!BD311,"",'1. Live'!BH311-'check-Jul''26'!BD311)</f>
        <v/>
      </c>
      <c r="BE293" s="25" t="str">
        <f>IF('1. Live'!BI311='check-Jul''26'!BE311,"",'1. Live'!BI311-'check-Jul''26'!BE311)</f>
        <v/>
      </c>
      <c r="BF293" s="25" t="str">
        <f>IF('1. Live'!BJ311='check-Jul''26'!BF311,"",'1. Live'!BJ311-'check-Jul''26'!BF311)</f>
        <v/>
      </c>
      <c r="BG293" s="25" t="str">
        <f>IF('1. Live'!BK311='check-Jul''26'!BG311,"",'1. Live'!BK311-'check-Jul''26'!BG311)</f>
        <v/>
      </c>
      <c r="BH293" s="25" t="str">
        <f>IF('1. Live'!BL311='check-Jul''26'!BH311,"",'1. Live'!BL311-'check-Jul''26'!BH311)</f>
        <v/>
      </c>
      <c r="BI293" s="25" t="str">
        <f>IF('1. Live'!BM311='check-Jul''26'!BI311,"",'1. Live'!BM311-'check-Jul''26'!BI311)</f>
        <v/>
      </c>
      <c r="BJ293" s="25" t="str">
        <f>IF('1. Live'!BN311='check-Jul''26'!BJ311,"",'1. Live'!BN311-'check-Jul''26'!BJ311)</f>
        <v/>
      </c>
      <c r="BK293" s="25" t="str">
        <f>IF('1. Live'!BO311='check-Jul''26'!BK311,"",'1. Live'!BO311-'check-Jul''26'!BK311)</f>
        <v/>
      </c>
      <c r="BL293" s="25" t="str">
        <f>IF('1. Live'!BP311='check-Jul''26'!BL311,"",'1. Live'!BP311-'check-Jul''26'!BL311)</f>
        <v/>
      </c>
      <c r="BM293" s="25" t="str">
        <f>IF('1. Live'!BQ311='check-Jul''26'!BM311,"",'1. Live'!BQ311-'check-Jul''26'!BM311)</f>
        <v/>
      </c>
      <c r="BN293" s="25" t="str">
        <f>IF('1. Live'!BR311='check-Jul''26'!BN311,"",'1. Live'!BR311-'check-Jul''26'!BN311)</f>
        <v/>
      </c>
      <c r="BO293" s="25" t="str">
        <f>IF('1. Live'!BS311='check-Jul''26'!BO311,"",'1. Live'!BS311-'check-Jul''26'!BO311)</f>
        <v/>
      </c>
      <c r="BP293" s="25" t="str">
        <f>IF('1. Live'!BT311='check-Jul''26'!BP311,"",'1. Live'!BT311-'check-Jul''26'!BP311)</f>
        <v/>
      </c>
      <c r="BQ293" s="25" t="str">
        <f>IF('1. Live'!BU311='check-Jul''26'!BQ311,"",'1. Live'!BU311-'check-Jul''26'!BQ311)</f>
        <v/>
      </c>
      <c r="BR293" s="25" t="str">
        <f>IF('1. Live'!BV311='check-Jul''26'!BR311,"",'1. Live'!BV311-'check-Jul''26'!BR311)</f>
        <v/>
      </c>
      <c r="BS293" s="25" t="str">
        <f>IF('1. Live'!BW311='check-Jul''26'!BS311,"",'1. Live'!BW311-'check-Jul''26'!BS311)</f>
        <v/>
      </c>
      <c r="BT293" s="25" t="str">
        <f>IF('1. Live'!BX311='check-Jul''26'!BT311,"",'1. Live'!BX311-'check-Jul''26'!BT311)</f>
        <v/>
      </c>
      <c r="BU293" s="25" t="str">
        <f>IF('1. Live'!BY311='check-Jul''26'!BU311,"",'1. Live'!BY311-'check-Jul''26'!BU311)</f>
        <v/>
      </c>
      <c r="BV293" s="25" t="str">
        <f>IF('1. Live'!BZ311='check-Jul''26'!BV311,"",'1. Live'!BZ311-'check-Jul''26'!BV311)</f>
        <v/>
      </c>
      <c r="BW293" s="25" t="str">
        <f>IF('1. Live'!CA311='check-Jul''26'!BW311,"",'1. Live'!CA311-'check-Jul''26'!BW311)</f>
        <v/>
      </c>
      <c r="BX293" s="25" t="str">
        <f>IF('1. Live'!CB311='check-Jul''26'!BX311,"",'1. Live'!CB311-'check-Jul''26'!BX311)</f>
        <v/>
      </c>
      <c r="BY293" s="25" t="str">
        <f>IF('1. Live'!CC311='check-Jul''26'!BY311,"",'1. Live'!CC311-'check-Jul''26'!BY311)</f>
        <v/>
      </c>
      <c r="BZ293" s="25" t="str">
        <f>IF('1. Live'!CD311='check-Jul''26'!BZ311,"",'1. Live'!CD311-'check-Jul''26'!BZ311)</f>
        <v/>
      </c>
      <c r="CA293" s="25" t="str">
        <f>IF('1. Live'!CE311='check-Jul''26'!CA311,"",'1. Live'!CE311-'check-Jul''26'!CA311)</f>
        <v/>
      </c>
      <c r="CB293" s="25" t="str">
        <f>IF('1. Live'!CF311='check-Jul''26'!CB311,"",'1. Live'!CF311-'check-Jul''26'!CB311)</f>
        <v/>
      </c>
      <c r="CC293" s="25" t="str">
        <f>IF('1. Live'!CG311='check-Jul''26'!CC311,"",'1. Live'!CG311-'check-Jul''26'!CC311)</f>
        <v/>
      </c>
      <c r="CD293" s="25" t="str">
        <f>IF('1. Live'!CH311='check-Jul''26'!CD311,"",'1. Live'!CH311-'check-Jul''26'!CD311)</f>
        <v/>
      </c>
      <c r="CE293" s="25" t="str">
        <f>IF('1. Live'!CI311='check-Jul''26'!CE311,"",'1. Live'!CI311-'check-Jul''26'!CE311)</f>
        <v/>
      </c>
      <c r="CF293" s="25" t="str">
        <f>IF('1. Live'!CJ311='check-Jul''26'!CF311,"",'1. Live'!CJ311-'check-Jul''26'!CF311)</f>
        <v/>
      </c>
      <c r="CG293" s="25" t="str">
        <f>IF('1. Live'!CK311='check-Jul''26'!CG311,"",'1. Live'!CK311-'check-Jul''26'!CG311)</f>
        <v/>
      </c>
      <c r="CH293" s="25" t="str">
        <f>IF('1. Live'!CL311='check-Jul''26'!CH311,"",'1. Live'!CL311-'check-Jul''26'!CH311)</f>
        <v/>
      </c>
      <c r="CI293" s="25" t="str">
        <f>IF('1. Live'!CM311='check-Jul''26'!CI311,"",'1. Live'!CM311-'check-Jul''26'!CI311)</f>
        <v/>
      </c>
      <c r="CJ293" s="25" t="str">
        <f>IF('1. Live'!CN311='check-Jul''26'!CJ311,"",'1. Live'!CN311-'check-Jul''26'!CJ311)</f>
        <v/>
      </c>
      <c r="CK293" s="25" t="str">
        <f>IF('1. Live'!CO311='check-Jul''26'!CK311,"",'1. Live'!CO311-'check-Jul''26'!CK311)</f>
        <v/>
      </c>
      <c r="CL293" s="25" t="str">
        <f>IF('1. Live'!CP311='check-Jul''26'!CL311,"",'1. Live'!CP311-'check-Jul''26'!CL311)</f>
        <v/>
      </c>
      <c r="CM293" s="25" t="str">
        <f>IF('1. Live'!CQ311='check-Jul''26'!CM311,"",'1. Live'!CQ311-'check-Jul''26'!CM311)</f>
        <v/>
      </c>
      <c r="CN293" s="25" t="str">
        <f>IF('1. Live'!CR311='check-Jul''26'!CN311,"",'1. Live'!CR311-'check-Jul''26'!CN311)</f>
        <v/>
      </c>
      <c r="CO293" s="25" t="str">
        <f>IF('1. Live'!CS311='check-Jul''26'!CO311,"",'1. Live'!CS311-'check-Jul''26'!CO311)</f>
        <v/>
      </c>
      <c r="CP293" s="25" t="str">
        <f>IF('1. Live'!CT311='check-Jul''26'!CP311,"",'1. Live'!CT311-'check-Jul''26'!CP311)</f>
        <v/>
      </c>
      <c r="CQ293" s="25" t="str">
        <f>IF('1. Live'!CU311='check-Jul''26'!CQ311,"",'1. Live'!CU311-'check-Jul''26'!CQ311)</f>
        <v/>
      </c>
      <c r="CR293" s="25" t="str">
        <f>IF('1. Live'!CV311='check-Jul''26'!CR311,"",'1. Live'!CV311-'check-Jul''26'!CR311)</f>
        <v/>
      </c>
      <c r="CS293" s="25" t="str">
        <f>IF('1. Live'!CW311='check-Jul''26'!CS311,"",'1. Live'!CW311-'check-Jul''26'!CS311)</f>
        <v/>
      </c>
      <c r="CT293" s="25" t="str">
        <f>IF('1. Live'!CX311='check-Jul''26'!CT311,"",'1. Live'!CX311-'check-Jul''26'!CT311)</f>
        <v/>
      </c>
      <c r="CU293" s="25" t="str">
        <f>IF('1. Live'!CY311='check-Jul''26'!CU311,"",'1. Live'!CY311-'check-Jul''26'!CU311)</f>
        <v/>
      </c>
      <c r="CV293" s="25" t="str">
        <f>IF('1. Live'!CZ311='check-Jul''26'!CV311,"",'1. Live'!CZ311-'check-Jul''26'!CV311)</f>
        <v/>
      </c>
    </row>
    <row r="294" spans="17:100" x14ac:dyDescent="0.25">
      <c r="Q294" s="26" t="str">
        <f>IF('1. Live'!N312='check-Jul''26'!I312,"",'1. Live'!N312-'check-Jul''26'!I312)</f>
        <v/>
      </c>
      <c r="R294" s="26" t="str">
        <f>IF('1. Live'!O312='check-Jul''26'!J312,"",'1. Live'!O312-'check-Jul''26'!J312)</f>
        <v/>
      </c>
      <c r="S294" s="26" t="str">
        <f>IF('1. Live'!P312='check-Jul''26'!K312,"",'1. Live'!P312-'check-Jul''26'!K312)</f>
        <v/>
      </c>
      <c r="T294" s="26" t="str">
        <f>IF('1. Live'!Q312='check-Jul''26'!L312,"",'1. Live'!Q312-'check-Jul''26'!L312)</f>
        <v/>
      </c>
      <c r="U294" s="80" t="str">
        <f>IF('1. Live'!R312='check-Jul''26'!M312,"",'1. Live'!R312-'check-Jul''26'!M312)</f>
        <v/>
      </c>
      <c r="V294" s="26" t="str">
        <f>IF('1. Live'!S312='check-Jul''26'!N312,"",'1. Live'!S312-'check-Jul''26'!N312)</f>
        <v/>
      </c>
      <c r="W294" s="25" t="str">
        <f>IF('1. Live'!T312='check-Jul''26'!O312,"",'1. Live'!T312-'check-Jul''26'!O312)</f>
        <v/>
      </c>
      <c r="X294" s="25" t="str">
        <f>IF('1. Live'!U312='check-Jul''26'!Q312,"",'1. Live'!U312-'check-Jul''26'!Q312)</f>
        <v/>
      </c>
      <c r="Y294" s="25" t="str">
        <f>IF('1. Live'!V312='check-Jul''26'!R312,"",'1. Live'!V312-'check-Jul''26'!R312)</f>
        <v/>
      </c>
      <c r="Z294" s="25" t="str">
        <f>IF('1. Live'!W312='check-Jul''26'!S312,"",'1. Live'!W312-'check-Jul''26'!S312)</f>
        <v/>
      </c>
      <c r="AA294" s="25" t="str">
        <f>IF('1. Live'!X312='check-Jul''26'!T312,"",'1. Live'!X312-'check-Jul''26'!T312)</f>
        <v/>
      </c>
      <c r="AB294" s="25" t="str">
        <f>IF('1. Live'!AF312='check-Jul''26'!AB312,"",'1. Live'!AF312-'check-Jul''26'!AB312)</f>
        <v/>
      </c>
      <c r="AC294" s="25" t="str">
        <f>IF('1. Live'!AG312='check-Jul''26'!AC312,"",'1. Live'!AG312-'check-Jul''26'!AC312)</f>
        <v/>
      </c>
      <c r="AD294" s="25" t="str">
        <f>IF('1. Live'!AH312='check-Jul''26'!AD312,"",'1. Live'!AH312-'check-Jul''26'!AD312)</f>
        <v/>
      </c>
      <c r="AE294" s="25" t="str">
        <f>IF('1. Live'!AI312='check-Jul''26'!AE312,"",'1. Live'!AI312-'check-Jul''26'!AE312)</f>
        <v/>
      </c>
      <c r="AF294" s="25" t="str">
        <f>IF('1. Live'!AJ312='check-Jul''26'!AF312,"",'1. Live'!AJ312-'check-Jul''26'!AF312)</f>
        <v/>
      </c>
      <c r="AG294" s="25" t="str">
        <f>IF('1. Live'!AK312='check-Jul''26'!AG312,"",'1. Live'!AK312-'check-Jul''26'!AG312)</f>
        <v/>
      </c>
      <c r="AH294" s="25" t="str">
        <f>IF('1. Live'!AL312='check-Jul''26'!AH312,"",'1. Live'!AL312-'check-Jul''26'!AH312)</f>
        <v/>
      </c>
      <c r="AI294" s="25" t="str">
        <f>IF('1. Live'!AM312='check-Jul''26'!AI312,"",'1. Live'!AM312-'check-Jul''26'!AI312)</f>
        <v/>
      </c>
      <c r="AJ294" s="25" t="str">
        <f>IF('1. Live'!AN312='check-Jul''26'!AJ312,"",'1. Live'!AN312-'check-Jul''26'!AJ312)</f>
        <v/>
      </c>
      <c r="AK294" s="25" t="str">
        <f>IF('1. Live'!AO312='check-Jul''26'!AK312,"",'1. Live'!AO312-'check-Jul''26'!AK312)</f>
        <v/>
      </c>
      <c r="AL294" s="25" t="str">
        <f>IF('1. Live'!AP312='check-Jul''26'!AL312,"",'1. Live'!AP312-'check-Jul''26'!AL312)</f>
        <v/>
      </c>
      <c r="AM294" s="25" t="str">
        <f>IF('1. Live'!AQ312='check-Jul''26'!AM312,"",'1. Live'!AQ312-'check-Jul''26'!AM312)</f>
        <v/>
      </c>
      <c r="AN294" s="25" t="str">
        <f>IF('1. Live'!AR312='check-Jul''26'!AN312,"",'1. Live'!AR312-'check-Jul''26'!AN312)</f>
        <v/>
      </c>
      <c r="AO294" s="25" t="str">
        <f>IF('1. Live'!AS312='check-Jul''26'!AO312,"",'1. Live'!AS312-'check-Jul''26'!AO312)</f>
        <v/>
      </c>
      <c r="AP294" s="25" t="str">
        <f>IF('1. Live'!AT312='check-Jul''26'!AP312,"",'1. Live'!AT312-'check-Jul''26'!AP312)</f>
        <v/>
      </c>
      <c r="AQ294" s="25" t="str">
        <f>IF('1. Live'!AU312='check-Jul''26'!AQ312,"",'1. Live'!AU312-'check-Jul''26'!AQ312)</f>
        <v/>
      </c>
      <c r="AR294" s="25" t="str">
        <f>IF('1. Live'!AV312='check-Jul''26'!AR312,"",'1. Live'!AV312-'check-Jul''26'!AR312)</f>
        <v/>
      </c>
      <c r="AS294" s="25" t="str">
        <f>IF('1. Live'!AW312='check-Jul''26'!AS312,"",'1. Live'!AW312-'check-Jul''26'!AS312)</f>
        <v/>
      </c>
      <c r="AT294" s="25" t="str">
        <f>IF('1. Live'!AX312='check-Jul''26'!AT312,"",'1. Live'!AX312-'check-Jul''26'!AT312)</f>
        <v/>
      </c>
      <c r="AU294" s="25" t="str">
        <f>IF('1. Live'!AY312='check-Jul''26'!AU312,"",'1. Live'!AY312-'check-Jul''26'!AU312)</f>
        <v/>
      </c>
      <c r="AV294" s="25" t="str">
        <f>IF('1. Live'!AZ312='check-Jul''26'!AV312,"",'1. Live'!AZ312-'check-Jul''26'!AV312)</f>
        <v/>
      </c>
      <c r="AW294" s="25" t="str">
        <f>IF('1. Live'!BA312='check-Jul''26'!AW312,"",'1. Live'!BA312-'check-Jul''26'!AW312)</f>
        <v/>
      </c>
      <c r="AX294" s="25" t="str">
        <f>IF('1. Live'!BB312='check-Jul''26'!AX312,"",'1. Live'!BB312-'check-Jul''26'!AX312)</f>
        <v/>
      </c>
      <c r="AY294" s="25" t="str">
        <f>IF('1. Live'!BC312='check-Jul''26'!AY312,"",'1. Live'!BC312-'check-Jul''26'!AY312)</f>
        <v/>
      </c>
      <c r="AZ294" s="25" t="str">
        <f>IF('1. Live'!BD312='check-Jul''26'!AZ312,"",'1. Live'!BD312-'check-Jul''26'!AZ312)</f>
        <v/>
      </c>
      <c r="BA294" s="25" t="str">
        <f>IF('1. Live'!BE312='check-Jul''26'!BA312,"",'1. Live'!BE312-'check-Jul''26'!BA312)</f>
        <v/>
      </c>
      <c r="BB294" s="25" t="str">
        <f>IF('1. Live'!BF312='check-Jul''26'!BB312,"",'1. Live'!BF312-'check-Jul''26'!BB312)</f>
        <v/>
      </c>
      <c r="BC294" s="25" t="str">
        <f>IF('1. Live'!BG312='check-Jul''26'!BC312,"",'1. Live'!BG312-'check-Jul''26'!BC312)</f>
        <v/>
      </c>
      <c r="BD294" s="25" t="str">
        <f>IF('1. Live'!BH312='check-Jul''26'!BD312,"",'1. Live'!BH312-'check-Jul''26'!BD312)</f>
        <v/>
      </c>
      <c r="BE294" s="25" t="str">
        <f>IF('1. Live'!BI312='check-Jul''26'!BE312,"",'1. Live'!BI312-'check-Jul''26'!BE312)</f>
        <v/>
      </c>
      <c r="BF294" s="25" t="str">
        <f>IF('1. Live'!BJ312='check-Jul''26'!BF312,"",'1. Live'!BJ312-'check-Jul''26'!BF312)</f>
        <v/>
      </c>
      <c r="BG294" s="25" t="str">
        <f>IF('1. Live'!BK312='check-Jul''26'!BG312,"",'1. Live'!BK312-'check-Jul''26'!BG312)</f>
        <v/>
      </c>
      <c r="BH294" s="25" t="str">
        <f>IF('1. Live'!BL312='check-Jul''26'!BH312,"",'1. Live'!BL312-'check-Jul''26'!BH312)</f>
        <v/>
      </c>
      <c r="BI294" s="25" t="str">
        <f>IF('1. Live'!BM312='check-Jul''26'!BI312,"",'1. Live'!BM312-'check-Jul''26'!BI312)</f>
        <v/>
      </c>
      <c r="BJ294" s="25" t="str">
        <f>IF('1. Live'!BN312='check-Jul''26'!BJ312,"",'1. Live'!BN312-'check-Jul''26'!BJ312)</f>
        <v/>
      </c>
      <c r="BK294" s="25" t="str">
        <f>IF('1. Live'!BO312='check-Jul''26'!BK312,"",'1. Live'!BO312-'check-Jul''26'!BK312)</f>
        <v/>
      </c>
      <c r="BL294" s="25" t="str">
        <f>IF('1. Live'!BP312='check-Jul''26'!BL312,"",'1. Live'!BP312-'check-Jul''26'!BL312)</f>
        <v/>
      </c>
      <c r="BM294" s="25" t="str">
        <f>IF('1. Live'!BQ312='check-Jul''26'!BM312,"",'1. Live'!BQ312-'check-Jul''26'!BM312)</f>
        <v/>
      </c>
      <c r="BN294" s="25" t="str">
        <f>IF('1. Live'!BR312='check-Jul''26'!BN312,"",'1. Live'!BR312-'check-Jul''26'!BN312)</f>
        <v/>
      </c>
      <c r="BO294" s="25" t="str">
        <f>IF('1. Live'!BS312='check-Jul''26'!BO312,"",'1. Live'!BS312-'check-Jul''26'!BO312)</f>
        <v/>
      </c>
      <c r="BP294" s="25" t="str">
        <f>IF('1. Live'!BT312='check-Jul''26'!BP312,"",'1. Live'!BT312-'check-Jul''26'!BP312)</f>
        <v/>
      </c>
      <c r="BQ294" s="25" t="str">
        <f>IF('1. Live'!BU312='check-Jul''26'!BQ312,"",'1. Live'!BU312-'check-Jul''26'!BQ312)</f>
        <v/>
      </c>
      <c r="BR294" s="25" t="str">
        <f>IF('1. Live'!BV312='check-Jul''26'!BR312,"",'1. Live'!BV312-'check-Jul''26'!BR312)</f>
        <v/>
      </c>
      <c r="BS294" s="25" t="str">
        <f>IF('1. Live'!BW312='check-Jul''26'!BS312,"",'1. Live'!BW312-'check-Jul''26'!BS312)</f>
        <v/>
      </c>
      <c r="BT294" s="25" t="str">
        <f>IF('1. Live'!BX312='check-Jul''26'!BT312,"",'1. Live'!BX312-'check-Jul''26'!BT312)</f>
        <v/>
      </c>
      <c r="BU294" s="25" t="str">
        <f>IF('1. Live'!BY312='check-Jul''26'!BU312,"",'1. Live'!BY312-'check-Jul''26'!BU312)</f>
        <v/>
      </c>
      <c r="BV294" s="25" t="str">
        <f>IF('1. Live'!BZ312='check-Jul''26'!BV312,"",'1. Live'!BZ312-'check-Jul''26'!BV312)</f>
        <v/>
      </c>
      <c r="BW294" s="25" t="str">
        <f>IF('1. Live'!CA312='check-Jul''26'!BW312,"",'1. Live'!CA312-'check-Jul''26'!BW312)</f>
        <v/>
      </c>
      <c r="BX294" s="25" t="str">
        <f>IF('1. Live'!CB312='check-Jul''26'!BX312,"",'1. Live'!CB312-'check-Jul''26'!BX312)</f>
        <v/>
      </c>
      <c r="BY294" s="25" t="str">
        <f>IF('1. Live'!CC312='check-Jul''26'!BY312,"",'1. Live'!CC312-'check-Jul''26'!BY312)</f>
        <v/>
      </c>
      <c r="BZ294" s="25" t="str">
        <f>IF('1. Live'!CD312='check-Jul''26'!BZ312,"",'1. Live'!CD312-'check-Jul''26'!BZ312)</f>
        <v/>
      </c>
      <c r="CA294" s="25" t="str">
        <f>IF('1. Live'!CE312='check-Jul''26'!CA312,"",'1. Live'!CE312-'check-Jul''26'!CA312)</f>
        <v/>
      </c>
      <c r="CB294" s="25" t="str">
        <f>IF('1. Live'!CF312='check-Jul''26'!CB312,"",'1. Live'!CF312-'check-Jul''26'!CB312)</f>
        <v/>
      </c>
      <c r="CC294" s="25" t="str">
        <f>IF('1. Live'!CG312='check-Jul''26'!CC312,"",'1. Live'!CG312-'check-Jul''26'!CC312)</f>
        <v/>
      </c>
      <c r="CD294" s="25" t="str">
        <f>IF('1. Live'!CH312='check-Jul''26'!CD312,"",'1. Live'!CH312-'check-Jul''26'!CD312)</f>
        <v/>
      </c>
      <c r="CE294" s="25" t="str">
        <f>IF('1. Live'!CI312='check-Jul''26'!CE312,"",'1. Live'!CI312-'check-Jul''26'!CE312)</f>
        <v/>
      </c>
      <c r="CF294" s="25" t="str">
        <f>IF('1. Live'!CJ312='check-Jul''26'!CF312,"",'1. Live'!CJ312-'check-Jul''26'!CF312)</f>
        <v/>
      </c>
      <c r="CG294" s="25" t="str">
        <f>IF('1. Live'!CK312='check-Jul''26'!CG312,"",'1. Live'!CK312-'check-Jul''26'!CG312)</f>
        <v/>
      </c>
      <c r="CH294" s="25" t="str">
        <f>IF('1. Live'!CL312='check-Jul''26'!CH312,"",'1. Live'!CL312-'check-Jul''26'!CH312)</f>
        <v/>
      </c>
      <c r="CI294" s="25" t="str">
        <f>IF('1. Live'!CM312='check-Jul''26'!CI312,"",'1. Live'!CM312-'check-Jul''26'!CI312)</f>
        <v/>
      </c>
      <c r="CJ294" s="25" t="str">
        <f>IF('1. Live'!CN312='check-Jul''26'!CJ312,"",'1. Live'!CN312-'check-Jul''26'!CJ312)</f>
        <v/>
      </c>
      <c r="CK294" s="25" t="str">
        <f>IF('1. Live'!CO312='check-Jul''26'!CK312,"",'1. Live'!CO312-'check-Jul''26'!CK312)</f>
        <v/>
      </c>
      <c r="CL294" s="25" t="str">
        <f>IF('1. Live'!CP312='check-Jul''26'!CL312,"",'1. Live'!CP312-'check-Jul''26'!CL312)</f>
        <v/>
      </c>
      <c r="CM294" s="25" t="str">
        <f>IF('1. Live'!CQ312='check-Jul''26'!CM312,"",'1. Live'!CQ312-'check-Jul''26'!CM312)</f>
        <v/>
      </c>
      <c r="CN294" s="25" t="str">
        <f>IF('1. Live'!CR312='check-Jul''26'!CN312,"",'1. Live'!CR312-'check-Jul''26'!CN312)</f>
        <v/>
      </c>
      <c r="CO294" s="25" t="str">
        <f>IF('1. Live'!CS312='check-Jul''26'!CO312,"",'1. Live'!CS312-'check-Jul''26'!CO312)</f>
        <v/>
      </c>
      <c r="CP294" s="25" t="str">
        <f>IF('1. Live'!CT312='check-Jul''26'!CP312,"",'1. Live'!CT312-'check-Jul''26'!CP312)</f>
        <v/>
      </c>
      <c r="CQ294" s="25" t="str">
        <f>IF('1. Live'!CU312='check-Jul''26'!CQ312,"",'1. Live'!CU312-'check-Jul''26'!CQ312)</f>
        <v/>
      </c>
      <c r="CR294" s="25" t="str">
        <f>IF('1. Live'!CV312='check-Jul''26'!CR312,"",'1. Live'!CV312-'check-Jul''26'!CR312)</f>
        <v/>
      </c>
      <c r="CS294" s="25" t="str">
        <f>IF('1. Live'!CW312='check-Jul''26'!CS312,"",'1. Live'!CW312-'check-Jul''26'!CS312)</f>
        <v/>
      </c>
      <c r="CT294" s="25" t="str">
        <f>IF('1. Live'!CX312='check-Jul''26'!CT312,"",'1. Live'!CX312-'check-Jul''26'!CT312)</f>
        <v/>
      </c>
      <c r="CU294" s="25" t="str">
        <f>IF('1. Live'!CY312='check-Jul''26'!CU312,"",'1. Live'!CY312-'check-Jul''26'!CU312)</f>
        <v/>
      </c>
      <c r="CV294" s="25" t="str">
        <f>IF('1. Live'!CZ312='check-Jul''26'!CV312,"",'1. Live'!CZ312-'check-Jul''26'!CV312)</f>
        <v/>
      </c>
    </row>
    <row r="295" spans="17:100" x14ac:dyDescent="0.25">
      <c r="Q295" s="26" t="str">
        <f>IF('1. Live'!N313='check-Jul''26'!I313,"",'1. Live'!N313-'check-Jul''26'!I313)</f>
        <v/>
      </c>
      <c r="R295" s="26" t="str">
        <f>IF('1. Live'!O313='check-Jul''26'!J313,"",'1. Live'!O313-'check-Jul''26'!J313)</f>
        <v/>
      </c>
      <c r="S295" s="26" t="str">
        <f>IF('1. Live'!P313='check-Jul''26'!K313,"",'1. Live'!P313-'check-Jul''26'!K313)</f>
        <v/>
      </c>
      <c r="T295" s="26" t="str">
        <f>IF('1. Live'!Q313='check-Jul''26'!L313,"",'1. Live'!Q313-'check-Jul''26'!L313)</f>
        <v/>
      </c>
      <c r="U295" s="80" t="str">
        <f>IF('1. Live'!R313='check-Jul''26'!M313,"",'1. Live'!R313-'check-Jul''26'!M313)</f>
        <v/>
      </c>
      <c r="V295" s="26" t="str">
        <f>IF('1. Live'!S313='check-Jul''26'!N313,"",'1. Live'!S313-'check-Jul''26'!N313)</f>
        <v/>
      </c>
      <c r="W295" s="25" t="str">
        <f>IF('1. Live'!T313='check-Jul''26'!O313,"",'1. Live'!T313-'check-Jul''26'!O313)</f>
        <v/>
      </c>
      <c r="X295" s="25" t="str">
        <f>IF('1. Live'!U313='check-Jul''26'!Q313,"",'1. Live'!U313-'check-Jul''26'!Q313)</f>
        <v/>
      </c>
      <c r="Y295" s="25" t="str">
        <f>IF('1. Live'!V313='check-Jul''26'!R313,"",'1. Live'!V313-'check-Jul''26'!R313)</f>
        <v/>
      </c>
      <c r="Z295" s="25" t="str">
        <f>IF('1. Live'!W313='check-Jul''26'!S313,"",'1. Live'!W313-'check-Jul''26'!S313)</f>
        <v/>
      </c>
      <c r="AA295" s="25" t="str">
        <f>IF('1. Live'!X313='check-Jul''26'!T313,"",'1. Live'!X313-'check-Jul''26'!T313)</f>
        <v/>
      </c>
      <c r="AB295" s="25" t="str">
        <f>IF('1. Live'!AF313='check-Jul''26'!AB313,"",'1. Live'!AF313-'check-Jul''26'!AB313)</f>
        <v/>
      </c>
      <c r="AC295" s="25" t="str">
        <f>IF('1. Live'!AG313='check-Jul''26'!AC313,"",'1. Live'!AG313-'check-Jul''26'!AC313)</f>
        <v/>
      </c>
      <c r="AD295" s="25" t="str">
        <f>IF('1. Live'!AH313='check-Jul''26'!AD313,"",'1. Live'!AH313-'check-Jul''26'!AD313)</f>
        <v/>
      </c>
      <c r="AE295" s="25" t="str">
        <f>IF('1. Live'!AI313='check-Jul''26'!AE313,"",'1. Live'!AI313-'check-Jul''26'!AE313)</f>
        <v/>
      </c>
      <c r="AF295" s="25" t="str">
        <f>IF('1. Live'!AJ313='check-Jul''26'!AF313,"",'1. Live'!AJ313-'check-Jul''26'!AF313)</f>
        <v/>
      </c>
      <c r="AG295" s="25" t="str">
        <f>IF('1. Live'!AK313='check-Jul''26'!AG313,"",'1. Live'!AK313-'check-Jul''26'!AG313)</f>
        <v/>
      </c>
      <c r="AH295" s="25" t="str">
        <f>IF('1. Live'!AL313='check-Jul''26'!AH313,"",'1. Live'!AL313-'check-Jul''26'!AH313)</f>
        <v/>
      </c>
      <c r="AI295" s="25" t="str">
        <f>IF('1. Live'!AM313='check-Jul''26'!AI313,"",'1. Live'!AM313-'check-Jul''26'!AI313)</f>
        <v/>
      </c>
      <c r="AJ295" s="25" t="str">
        <f>IF('1. Live'!AN313='check-Jul''26'!AJ313,"",'1. Live'!AN313-'check-Jul''26'!AJ313)</f>
        <v/>
      </c>
      <c r="AK295" s="25" t="str">
        <f>IF('1. Live'!AO313='check-Jul''26'!AK313,"",'1. Live'!AO313-'check-Jul''26'!AK313)</f>
        <v/>
      </c>
      <c r="AL295" s="25" t="str">
        <f>IF('1. Live'!AP313='check-Jul''26'!AL313,"",'1. Live'!AP313-'check-Jul''26'!AL313)</f>
        <v/>
      </c>
      <c r="AM295" s="25" t="str">
        <f>IF('1. Live'!AQ313='check-Jul''26'!AM313,"",'1. Live'!AQ313-'check-Jul''26'!AM313)</f>
        <v/>
      </c>
      <c r="AN295" s="25" t="str">
        <f>IF('1. Live'!AR313='check-Jul''26'!AN313,"",'1. Live'!AR313-'check-Jul''26'!AN313)</f>
        <v/>
      </c>
      <c r="AO295" s="25" t="str">
        <f>IF('1. Live'!AS313='check-Jul''26'!AO313,"",'1. Live'!AS313-'check-Jul''26'!AO313)</f>
        <v/>
      </c>
      <c r="AP295" s="25" t="str">
        <f>IF('1. Live'!AT313='check-Jul''26'!AP313,"",'1. Live'!AT313-'check-Jul''26'!AP313)</f>
        <v/>
      </c>
      <c r="AQ295" s="25" t="str">
        <f>IF('1. Live'!AU313='check-Jul''26'!AQ313,"",'1. Live'!AU313-'check-Jul''26'!AQ313)</f>
        <v/>
      </c>
      <c r="AR295" s="25" t="str">
        <f>IF('1. Live'!AV313='check-Jul''26'!AR313,"",'1. Live'!AV313-'check-Jul''26'!AR313)</f>
        <v/>
      </c>
      <c r="AS295" s="25" t="str">
        <f>IF('1. Live'!AW313='check-Jul''26'!AS313,"",'1. Live'!AW313-'check-Jul''26'!AS313)</f>
        <v/>
      </c>
      <c r="AT295" s="25" t="str">
        <f>IF('1. Live'!AX313='check-Jul''26'!AT313,"",'1. Live'!AX313-'check-Jul''26'!AT313)</f>
        <v/>
      </c>
      <c r="AU295" s="25" t="str">
        <f>IF('1. Live'!AY313='check-Jul''26'!AU313,"",'1. Live'!AY313-'check-Jul''26'!AU313)</f>
        <v/>
      </c>
      <c r="AV295" s="25" t="str">
        <f>IF('1. Live'!AZ313='check-Jul''26'!AV313,"",'1. Live'!AZ313-'check-Jul''26'!AV313)</f>
        <v/>
      </c>
      <c r="AW295" s="25" t="str">
        <f>IF('1. Live'!BA313='check-Jul''26'!AW313,"",'1. Live'!BA313-'check-Jul''26'!AW313)</f>
        <v/>
      </c>
      <c r="AX295" s="25" t="str">
        <f>IF('1. Live'!BB313='check-Jul''26'!AX313,"",'1. Live'!BB313-'check-Jul''26'!AX313)</f>
        <v/>
      </c>
      <c r="AY295" s="25" t="str">
        <f>IF('1. Live'!BC313='check-Jul''26'!AY313,"",'1. Live'!BC313-'check-Jul''26'!AY313)</f>
        <v/>
      </c>
      <c r="AZ295" s="25" t="str">
        <f>IF('1. Live'!BD313='check-Jul''26'!AZ313,"",'1. Live'!BD313-'check-Jul''26'!AZ313)</f>
        <v/>
      </c>
      <c r="BA295" s="25" t="str">
        <f>IF('1. Live'!BE313='check-Jul''26'!BA313,"",'1. Live'!BE313-'check-Jul''26'!BA313)</f>
        <v/>
      </c>
      <c r="BB295" s="25" t="str">
        <f>IF('1. Live'!BF313='check-Jul''26'!BB313,"",'1. Live'!BF313-'check-Jul''26'!BB313)</f>
        <v/>
      </c>
      <c r="BC295" s="25" t="str">
        <f>IF('1. Live'!BG313='check-Jul''26'!BC313,"",'1. Live'!BG313-'check-Jul''26'!BC313)</f>
        <v/>
      </c>
      <c r="BD295" s="25" t="str">
        <f>IF('1. Live'!BH313='check-Jul''26'!BD313,"",'1. Live'!BH313-'check-Jul''26'!BD313)</f>
        <v/>
      </c>
      <c r="BE295" s="25" t="str">
        <f>IF('1. Live'!BI313='check-Jul''26'!BE313,"",'1. Live'!BI313-'check-Jul''26'!BE313)</f>
        <v/>
      </c>
      <c r="BF295" s="25" t="str">
        <f>IF('1. Live'!BJ313='check-Jul''26'!BF313,"",'1. Live'!BJ313-'check-Jul''26'!BF313)</f>
        <v/>
      </c>
      <c r="BG295" s="25" t="str">
        <f>IF('1. Live'!BK313='check-Jul''26'!BG313,"",'1. Live'!BK313-'check-Jul''26'!BG313)</f>
        <v/>
      </c>
      <c r="BH295" s="25" t="str">
        <f>IF('1. Live'!BL313='check-Jul''26'!BH313,"",'1. Live'!BL313-'check-Jul''26'!BH313)</f>
        <v/>
      </c>
      <c r="BI295" s="25" t="str">
        <f>IF('1. Live'!BM313='check-Jul''26'!BI313,"",'1. Live'!BM313-'check-Jul''26'!BI313)</f>
        <v/>
      </c>
      <c r="BJ295" s="25" t="str">
        <f>IF('1. Live'!BN313='check-Jul''26'!BJ313,"",'1. Live'!BN313-'check-Jul''26'!BJ313)</f>
        <v/>
      </c>
      <c r="BK295" s="25" t="str">
        <f>IF('1. Live'!BO313='check-Jul''26'!BK313,"",'1. Live'!BO313-'check-Jul''26'!BK313)</f>
        <v/>
      </c>
      <c r="BL295" s="25" t="str">
        <f>IF('1. Live'!BP313='check-Jul''26'!BL313,"",'1. Live'!BP313-'check-Jul''26'!BL313)</f>
        <v/>
      </c>
      <c r="BM295" s="25" t="str">
        <f>IF('1. Live'!BQ313='check-Jul''26'!BM313,"",'1. Live'!BQ313-'check-Jul''26'!BM313)</f>
        <v/>
      </c>
      <c r="BN295" s="25" t="str">
        <f>IF('1. Live'!BR313='check-Jul''26'!BN313,"",'1. Live'!BR313-'check-Jul''26'!BN313)</f>
        <v/>
      </c>
      <c r="BO295" s="25" t="str">
        <f>IF('1. Live'!BS313='check-Jul''26'!BO313,"",'1. Live'!BS313-'check-Jul''26'!BO313)</f>
        <v/>
      </c>
      <c r="BP295" s="25" t="str">
        <f>IF('1. Live'!BT313='check-Jul''26'!BP313,"",'1. Live'!BT313-'check-Jul''26'!BP313)</f>
        <v/>
      </c>
      <c r="BQ295" s="25" t="str">
        <f>IF('1. Live'!BU313='check-Jul''26'!BQ313,"",'1. Live'!BU313-'check-Jul''26'!BQ313)</f>
        <v/>
      </c>
      <c r="BR295" s="25" t="str">
        <f>IF('1. Live'!BV313='check-Jul''26'!BR313,"",'1. Live'!BV313-'check-Jul''26'!BR313)</f>
        <v/>
      </c>
      <c r="BS295" s="25" t="str">
        <f>IF('1. Live'!BW313='check-Jul''26'!BS313,"",'1. Live'!BW313-'check-Jul''26'!BS313)</f>
        <v/>
      </c>
      <c r="BT295" s="25" t="str">
        <f>IF('1. Live'!BX313='check-Jul''26'!BT313,"",'1. Live'!BX313-'check-Jul''26'!BT313)</f>
        <v/>
      </c>
      <c r="BU295" s="25" t="str">
        <f>IF('1. Live'!BY313='check-Jul''26'!BU313,"",'1. Live'!BY313-'check-Jul''26'!BU313)</f>
        <v/>
      </c>
      <c r="BV295" s="25" t="str">
        <f>IF('1. Live'!BZ313='check-Jul''26'!BV313,"",'1. Live'!BZ313-'check-Jul''26'!BV313)</f>
        <v/>
      </c>
      <c r="BW295" s="25" t="str">
        <f>IF('1. Live'!CA313='check-Jul''26'!BW313,"",'1. Live'!CA313-'check-Jul''26'!BW313)</f>
        <v/>
      </c>
      <c r="BX295" s="25" t="str">
        <f>IF('1. Live'!CB313='check-Jul''26'!BX313,"",'1. Live'!CB313-'check-Jul''26'!BX313)</f>
        <v/>
      </c>
      <c r="BY295" s="25" t="str">
        <f>IF('1. Live'!CC313='check-Jul''26'!BY313,"",'1. Live'!CC313-'check-Jul''26'!BY313)</f>
        <v/>
      </c>
      <c r="BZ295" s="25" t="str">
        <f>IF('1. Live'!CD313='check-Jul''26'!BZ313,"",'1. Live'!CD313-'check-Jul''26'!BZ313)</f>
        <v/>
      </c>
      <c r="CA295" s="25" t="str">
        <f>IF('1. Live'!CE313='check-Jul''26'!CA313,"",'1. Live'!CE313-'check-Jul''26'!CA313)</f>
        <v/>
      </c>
      <c r="CB295" s="25" t="str">
        <f>IF('1. Live'!CF313='check-Jul''26'!CB313,"",'1. Live'!CF313-'check-Jul''26'!CB313)</f>
        <v/>
      </c>
      <c r="CC295" s="25" t="str">
        <f>IF('1. Live'!CG313='check-Jul''26'!CC313,"",'1. Live'!CG313-'check-Jul''26'!CC313)</f>
        <v/>
      </c>
      <c r="CD295" s="25" t="str">
        <f>IF('1. Live'!CH313='check-Jul''26'!CD313,"",'1. Live'!CH313-'check-Jul''26'!CD313)</f>
        <v/>
      </c>
      <c r="CE295" s="25" t="str">
        <f>IF('1. Live'!CI313='check-Jul''26'!CE313,"",'1. Live'!CI313-'check-Jul''26'!CE313)</f>
        <v/>
      </c>
      <c r="CF295" s="25" t="str">
        <f>IF('1. Live'!CJ313='check-Jul''26'!CF313,"",'1. Live'!CJ313-'check-Jul''26'!CF313)</f>
        <v/>
      </c>
      <c r="CG295" s="25" t="str">
        <f>IF('1. Live'!CK313='check-Jul''26'!CG313,"",'1. Live'!CK313-'check-Jul''26'!CG313)</f>
        <v/>
      </c>
      <c r="CH295" s="25" t="str">
        <f>IF('1. Live'!CL313='check-Jul''26'!CH313,"",'1. Live'!CL313-'check-Jul''26'!CH313)</f>
        <v/>
      </c>
      <c r="CI295" s="25" t="str">
        <f>IF('1. Live'!CM313='check-Jul''26'!CI313,"",'1. Live'!CM313-'check-Jul''26'!CI313)</f>
        <v/>
      </c>
      <c r="CJ295" s="25" t="str">
        <f>IF('1. Live'!CN313='check-Jul''26'!CJ313,"",'1. Live'!CN313-'check-Jul''26'!CJ313)</f>
        <v/>
      </c>
      <c r="CK295" s="25" t="str">
        <f>IF('1. Live'!CO313='check-Jul''26'!CK313,"",'1. Live'!CO313-'check-Jul''26'!CK313)</f>
        <v/>
      </c>
      <c r="CL295" s="25" t="str">
        <f>IF('1. Live'!CP313='check-Jul''26'!CL313,"",'1. Live'!CP313-'check-Jul''26'!CL313)</f>
        <v/>
      </c>
      <c r="CM295" s="25" t="str">
        <f>IF('1. Live'!CQ313='check-Jul''26'!CM313,"",'1. Live'!CQ313-'check-Jul''26'!CM313)</f>
        <v/>
      </c>
      <c r="CN295" s="25" t="str">
        <f>IF('1. Live'!CR313='check-Jul''26'!CN313,"",'1. Live'!CR313-'check-Jul''26'!CN313)</f>
        <v/>
      </c>
      <c r="CO295" s="25" t="str">
        <f>IF('1. Live'!CS313='check-Jul''26'!CO313,"",'1. Live'!CS313-'check-Jul''26'!CO313)</f>
        <v/>
      </c>
      <c r="CP295" s="25" t="str">
        <f>IF('1. Live'!CT313='check-Jul''26'!CP313,"",'1. Live'!CT313-'check-Jul''26'!CP313)</f>
        <v/>
      </c>
      <c r="CQ295" s="25" t="str">
        <f>IF('1. Live'!CU313='check-Jul''26'!CQ313,"",'1. Live'!CU313-'check-Jul''26'!CQ313)</f>
        <v/>
      </c>
      <c r="CR295" s="25" t="str">
        <f>IF('1. Live'!CV313='check-Jul''26'!CR313,"",'1. Live'!CV313-'check-Jul''26'!CR313)</f>
        <v/>
      </c>
      <c r="CS295" s="25" t="str">
        <f>IF('1. Live'!CW313='check-Jul''26'!CS313,"",'1. Live'!CW313-'check-Jul''26'!CS313)</f>
        <v/>
      </c>
      <c r="CT295" s="25" t="str">
        <f>IF('1. Live'!CX313='check-Jul''26'!CT313,"",'1. Live'!CX313-'check-Jul''26'!CT313)</f>
        <v/>
      </c>
      <c r="CU295" s="25" t="str">
        <f>IF('1. Live'!CY313='check-Jul''26'!CU313,"",'1. Live'!CY313-'check-Jul''26'!CU313)</f>
        <v/>
      </c>
      <c r="CV295" s="25" t="str">
        <f>IF('1. Live'!CZ313='check-Jul''26'!CV313,"",'1. Live'!CZ313-'check-Jul''26'!CV313)</f>
        <v/>
      </c>
    </row>
    <row r="296" spans="17:100" x14ac:dyDescent="0.25">
      <c r="Q296" s="26" t="str">
        <f>IF('1. Live'!N314='check-Jul''26'!I314,"",'1. Live'!N314-'check-Jul''26'!I314)</f>
        <v/>
      </c>
      <c r="R296" s="26" t="str">
        <f>IF('1. Live'!O314='check-Jul''26'!J314,"",'1. Live'!O314-'check-Jul''26'!J314)</f>
        <v/>
      </c>
      <c r="S296" s="26" t="str">
        <f>IF('1. Live'!P314='check-Jul''26'!K314,"",'1. Live'!P314-'check-Jul''26'!K314)</f>
        <v/>
      </c>
      <c r="T296" s="26" t="str">
        <f>IF('1. Live'!Q314='check-Jul''26'!L314,"",'1. Live'!Q314-'check-Jul''26'!L314)</f>
        <v/>
      </c>
      <c r="U296" s="80" t="str">
        <f>IF('1. Live'!R314='check-Jul''26'!M314,"",'1. Live'!R314-'check-Jul''26'!M314)</f>
        <v/>
      </c>
      <c r="V296" s="26" t="str">
        <f>IF('1. Live'!S314='check-Jul''26'!N314,"",'1. Live'!S314-'check-Jul''26'!N314)</f>
        <v/>
      </c>
      <c r="W296" s="25" t="str">
        <f>IF('1. Live'!T314='check-Jul''26'!O314,"",'1. Live'!T314-'check-Jul''26'!O314)</f>
        <v/>
      </c>
      <c r="X296" s="25" t="str">
        <f>IF('1. Live'!U314='check-Jul''26'!Q314,"",'1. Live'!U314-'check-Jul''26'!Q314)</f>
        <v/>
      </c>
      <c r="Y296" s="25" t="str">
        <f>IF('1. Live'!V314='check-Jul''26'!R314,"",'1. Live'!V314-'check-Jul''26'!R314)</f>
        <v/>
      </c>
      <c r="Z296" s="25" t="str">
        <f>IF('1. Live'!W314='check-Jul''26'!S314,"",'1. Live'!W314-'check-Jul''26'!S314)</f>
        <v/>
      </c>
      <c r="AA296" s="25" t="str">
        <f>IF('1. Live'!X314='check-Jul''26'!T314,"",'1. Live'!X314-'check-Jul''26'!T314)</f>
        <v/>
      </c>
      <c r="AB296" s="25" t="str">
        <f>IF('1. Live'!AF314='check-Jul''26'!AB314,"",'1. Live'!AF314-'check-Jul''26'!AB314)</f>
        <v/>
      </c>
      <c r="AC296" s="25" t="str">
        <f>IF('1. Live'!AG314='check-Jul''26'!AC314,"",'1. Live'!AG314-'check-Jul''26'!AC314)</f>
        <v/>
      </c>
      <c r="AD296" s="25" t="str">
        <f>IF('1. Live'!AH314='check-Jul''26'!AD314,"",'1. Live'!AH314-'check-Jul''26'!AD314)</f>
        <v/>
      </c>
      <c r="AE296" s="25" t="str">
        <f>IF('1. Live'!AI314='check-Jul''26'!AE314,"",'1. Live'!AI314-'check-Jul''26'!AE314)</f>
        <v/>
      </c>
      <c r="AF296" s="25" t="str">
        <f>IF('1. Live'!AJ314='check-Jul''26'!AF314,"",'1. Live'!AJ314-'check-Jul''26'!AF314)</f>
        <v/>
      </c>
      <c r="AG296" s="25" t="str">
        <f>IF('1. Live'!AK314='check-Jul''26'!AG314,"",'1. Live'!AK314-'check-Jul''26'!AG314)</f>
        <v/>
      </c>
      <c r="AH296" s="25" t="str">
        <f>IF('1. Live'!AL314='check-Jul''26'!AH314,"",'1. Live'!AL314-'check-Jul''26'!AH314)</f>
        <v/>
      </c>
      <c r="AI296" s="25" t="str">
        <f>IF('1. Live'!AM314='check-Jul''26'!AI314,"",'1. Live'!AM314-'check-Jul''26'!AI314)</f>
        <v/>
      </c>
      <c r="AJ296" s="25" t="str">
        <f>IF('1. Live'!AN314='check-Jul''26'!AJ314,"",'1. Live'!AN314-'check-Jul''26'!AJ314)</f>
        <v/>
      </c>
      <c r="AK296" s="25" t="str">
        <f>IF('1. Live'!AO314='check-Jul''26'!AK314,"",'1. Live'!AO314-'check-Jul''26'!AK314)</f>
        <v/>
      </c>
      <c r="AL296" s="25" t="str">
        <f>IF('1. Live'!AP314='check-Jul''26'!AL314,"",'1. Live'!AP314-'check-Jul''26'!AL314)</f>
        <v/>
      </c>
      <c r="AM296" s="25" t="str">
        <f>IF('1. Live'!AQ314='check-Jul''26'!AM314,"",'1. Live'!AQ314-'check-Jul''26'!AM314)</f>
        <v/>
      </c>
      <c r="AN296" s="25" t="str">
        <f>IF('1. Live'!AR314='check-Jul''26'!AN314,"",'1. Live'!AR314-'check-Jul''26'!AN314)</f>
        <v/>
      </c>
      <c r="AO296" s="25" t="str">
        <f>IF('1. Live'!AS314='check-Jul''26'!AO314,"",'1. Live'!AS314-'check-Jul''26'!AO314)</f>
        <v/>
      </c>
      <c r="AP296" s="25" t="str">
        <f>IF('1. Live'!AT314='check-Jul''26'!AP314,"",'1. Live'!AT314-'check-Jul''26'!AP314)</f>
        <v/>
      </c>
      <c r="AQ296" s="25" t="str">
        <f>IF('1. Live'!AU314='check-Jul''26'!AQ314,"",'1. Live'!AU314-'check-Jul''26'!AQ314)</f>
        <v/>
      </c>
      <c r="AR296" s="25" t="str">
        <f>IF('1. Live'!AV314='check-Jul''26'!AR314,"",'1. Live'!AV314-'check-Jul''26'!AR314)</f>
        <v/>
      </c>
      <c r="AS296" s="25" t="str">
        <f>IF('1. Live'!AW314='check-Jul''26'!AS314,"",'1. Live'!AW314-'check-Jul''26'!AS314)</f>
        <v/>
      </c>
      <c r="AT296" s="25" t="str">
        <f>IF('1. Live'!AX314='check-Jul''26'!AT314,"",'1. Live'!AX314-'check-Jul''26'!AT314)</f>
        <v/>
      </c>
      <c r="AU296" s="25" t="str">
        <f>IF('1. Live'!AY314='check-Jul''26'!AU314,"",'1. Live'!AY314-'check-Jul''26'!AU314)</f>
        <v/>
      </c>
      <c r="AV296" s="25" t="str">
        <f>IF('1. Live'!AZ314='check-Jul''26'!AV314,"",'1. Live'!AZ314-'check-Jul''26'!AV314)</f>
        <v/>
      </c>
      <c r="AW296" s="25" t="str">
        <f>IF('1. Live'!BA314='check-Jul''26'!AW314,"",'1. Live'!BA314-'check-Jul''26'!AW314)</f>
        <v/>
      </c>
      <c r="AX296" s="25" t="str">
        <f>IF('1. Live'!BB314='check-Jul''26'!AX314,"",'1. Live'!BB314-'check-Jul''26'!AX314)</f>
        <v/>
      </c>
      <c r="AY296" s="25" t="str">
        <f>IF('1. Live'!BC314='check-Jul''26'!AY314,"",'1. Live'!BC314-'check-Jul''26'!AY314)</f>
        <v/>
      </c>
      <c r="AZ296" s="25" t="str">
        <f>IF('1. Live'!BD314='check-Jul''26'!AZ314,"",'1. Live'!BD314-'check-Jul''26'!AZ314)</f>
        <v/>
      </c>
      <c r="BA296" s="25" t="str">
        <f>IF('1. Live'!BE314='check-Jul''26'!BA314,"",'1. Live'!BE314-'check-Jul''26'!BA314)</f>
        <v/>
      </c>
      <c r="BB296" s="25" t="str">
        <f>IF('1. Live'!BF314='check-Jul''26'!BB314,"",'1. Live'!BF314-'check-Jul''26'!BB314)</f>
        <v/>
      </c>
      <c r="BC296" s="25" t="str">
        <f>IF('1. Live'!BG314='check-Jul''26'!BC314,"",'1. Live'!BG314-'check-Jul''26'!BC314)</f>
        <v/>
      </c>
      <c r="BD296" s="25" t="str">
        <f>IF('1. Live'!BH314='check-Jul''26'!BD314,"",'1. Live'!BH314-'check-Jul''26'!BD314)</f>
        <v/>
      </c>
      <c r="BE296" s="25" t="str">
        <f>IF('1. Live'!BI314='check-Jul''26'!BE314,"",'1. Live'!BI314-'check-Jul''26'!BE314)</f>
        <v/>
      </c>
      <c r="BF296" s="25" t="str">
        <f>IF('1. Live'!BJ314='check-Jul''26'!BF314,"",'1. Live'!BJ314-'check-Jul''26'!BF314)</f>
        <v/>
      </c>
      <c r="BG296" s="25" t="str">
        <f>IF('1. Live'!BK314='check-Jul''26'!BG314,"",'1. Live'!BK314-'check-Jul''26'!BG314)</f>
        <v/>
      </c>
      <c r="BH296" s="25" t="str">
        <f>IF('1. Live'!BL314='check-Jul''26'!BH314,"",'1. Live'!BL314-'check-Jul''26'!BH314)</f>
        <v/>
      </c>
      <c r="BI296" s="25" t="str">
        <f>IF('1. Live'!BM314='check-Jul''26'!BI314,"",'1. Live'!BM314-'check-Jul''26'!BI314)</f>
        <v/>
      </c>
      <c r="BJ296" s="25" t="str">
        <f>IF('1. Live'!BN314='check-Jul''26'!BJ314,"",'1. Live'!BN314-'check-Jul''26'!BJ314)</f>
        <v/>
      </c>
      <c r="BK296" s="25" t="str">
        <f>IF('1. Live'!BO314='check-Jul''26'!BK314,"",'1. Live'!BO314-'check-Jul''26'!BK314)</f>
        <v/>
      </c>
      <c r="BL296" s="25" t="str">
        <f>IF('1. Live'!BP314='check-Jul''26'!BL314,"",'1. Live'!BP314-'check-Jul''26'!BL314)</f>
        <v/>
      </c>
      <c r="BM296" s="25" t="str">
        <f>IF('1. Live'!BQ314='check-Jul''26'!BM314,"",'1. Live'!BQ314-'check-Jul''26'!BM314)</f>
        <v/>
      </c>
      <c r="BN296" s="25" t="str">
        <f>IF('1. Live'!BR314='check-Jul''26'!BN314,"",'1. Live'!BR314-'check-Jul''26'!BN314)</f>
        <v/>
      </c>
      <c r="BO296" s="25" t="str">
        <f>IF('1. Live'!BS314='check-Jul''26'!BO314,"",'1. Live'!BS314-'check-Jul''26'!BO314)</f>
        <v/>
      </c>
      <c r="BP296" s="25" t="str">
        <f>IF('1. Live'!BT314='check-Jul''26'!BP314,"",'1. Live'!BT314-'check-Jul''26'!BP314)</f>
        <v/>
      </c>
      <c r="BQ296" s="25" t="str">
        <f>IF('1. Live'!BU314='check-Jul''26'!BQ314,"",'1. Live'!BU314-'check-Jul''26'!BQ314)</f>
        <v/>
      </c>
      <c r="BR296" s="25" t="str">
        <f>IF('1. Live'!BV314='check-Jul''26'!BR314,"",'1. Live'!BV314-'check-Jul''26'!BR314)</f>
        <v/>
      </c>
      <c r="BS296" s="25" t="str">
        <f>IF('1. Live'!BW314='check-Jul''26'!BS314,"",'1. Live'!BW314-'check-Jul''26'!BS314)</f>
        <v/>
      </c>
      <c r="BT296" s="25" t="str">
        <f>IF('1. Live'!BX314='check-Jul''26'!BT314,"",'1. Live'!BX314-'check-Jul''26'!BT314)</f>
        <v/>
      </c>
      <c r="BU296" s="25" t="str">
        <f>IF('1. Live'!BY314='check-Jul''26'!BU314,"",'1. Live'!BY314-'check-Jul''26'!BU314)</f>
        <v/>
      </c>
      <c r="BV296" s="25" t="str">
        <f>IF('1. Live'!BZ314='check-Jul''26'!BV314,"",'1. Live'!BZ314-'check-Jul''26'!BV314)</f>
        <v/>
      </c>
      <c r="BW296" s="25" t="str">
        <f>IF('1. Live'!CA314='check-Jul''26'!BW314,"",'1. Live'!CA314-'check-Jul''26'!BW314)</f>
        <v/>
      </c>
      <c r="BX296" s="25" t="str">
        <f>IF('1. Live'!CB314='check-Jul''26'!BX314,"",'1. Live'!CB314-'check-Jul''26'!BX314)</f>
        <v/>
      </c>
      <c r="BY296" s="25" t="str">
        <f>IF('1. Live'!CC314='check-Jul''26'!BY314,"",'1. Live'!CC314-'check-Jul''26'!BY314)</f>
        <v/>
      </c>
      <c r="BZ296" s="25" t="str">
        <f>IF('1. Live'!CD314='check-Jul''26'!BZ314,"",'1. Live'!CD314-'check-Jul''26'!BZ314)</f>
        <v/>
      </c>
      <c r="CA296" s="25" t="str">
        <f>IF('1. Live'!CE314='check-Jul''26'!CA314,"",'1. Live'!CE314-'check-Jul''26'!CA314)</f>
        <v/>
      </c>
      <c r="CB296" s="25" t="str">
        <f>IF('1. Live'!CF314='check-Jul''26'!CB314,"",'1. Live'!CF314-'check-Jul''26'!CB314)</f>
        <v/>
      </c>
      <c r="CC296" s="25" t="str">
        <f>IF('1. Live'!CG314='check-Jul''26'!CC314,"",'1. Live'!CG314-'check-Jul''26'!CC314)</f>
        <v/>
      </c>
      <c r="CD296" s="25" t="str">
        <f>IF('1. Live'!CH314='check-Jul''26'!CD314,"",'1. Live'!CH314-'check-Jul''26'!CD314)</f>
        <v/>
      </c>
      <c r="CE296" s="25" t="str">
        <f>IF('1. Live'!CI314='check-Jul''26'!CE314,"",'1. Live'!CI314-'check-Jul''26'!CE314)</f>
        <v/>
      </c>
      <c r="CF296" s="25" t="str">
        <f>IF('1. Live'!CJ314='check-Jul''26'!CF314,"",'1. Live'!CJ314-'check-Jul''26'!CF314)</f>
        <v/>
      </c>
      <c r="CG296" s="25" t="str">
        <f>IF('1. Live'!CK314='check-Jul''26'!CG314,"",'1. Live'!CK314-'check-Jul''26'!CG314)</f>
        <v/>
      </c>
      <c r="CH296" s="25" t="str">
        <f>IF('1. Live'!CL314='check-Jul''26'!CH314,"",'1. Live'!CL314-'check-Jul''26'!CH314)</f>
        <v/>
      </c>
      <c r="CI296" s="25" t="str">
        <f>IF('1. Live'!CM314='check-Jul''26'!CI314,"",'1. Live'!CM314-'check-Jul''26'!CI314)</f>
        <v/>
      </c>
      <c r="CJ296" s="25" t="str">
        <f>IF('1. Live'!CN314='check-Jul''26'!CJ314,"",'1. Live'!CN314-'check-Jul''26'!CJ314)</f>
        <v/>
      </c>
      <c r="CK296" s="25" t="str">
        <f>IF('1. Live'!CO314='check-Jul''26'!CK314,"",'1. Live'!CO314-'check-Jul''26'!CK314)</f>
        <v/>
      </c>
      <c r="CL296" s="25" t="str">
        <f>IF('1. Live'!CP314='check-Jul''26'!CL314,"",'1. Live'!CP314-'check-Jul''26'!CL314)</f>
        <v/>
      </c>
      <c r="CM296" s="25" t="str">
        <f>IF('1. Live'!CQ314='check-Jul''26'!CM314,"",'1. Live'!CQ314-'check-Jul''26'!CM314)</f>
        <v/>
      </c>
      <c r="CN296" s="25" t="str">
        <f>IF('1. Live'!CR314='check-Jul''26'!CN314,"",'1. Live'!CR314-'check-Jul''26'!CN314)</f>
        <v/>
      </c>
      <c r="CO296" s="25" t="str">
        <f>IF('1. Live'!CS314='check-Jul''26'!CO314,"",'1. Live'!CS314-'check-Jul''26'!CO314)</f>
        <v/>
      </c>
      <c r="CP296" s="25" t="str">
        <f>IF('1. Live'!CT314='check-Jul''26'!CP314,"",'1. Live'!CT314-'check-Jul''26'!CP314)</f>
        <v/>
      </c>
      <c r="CQ296" s="25" t="str">
        <f>IF('1. Live'!CU314='check-Jul''26'!CQ314,"",'1. Live'!CU314-'check-Jul''26'!CQ314)</f>
        <v/>
      </c>
      <c r="CR296" s="25" t="str">
        <f>IF('1. Live'!CV314='check-Jul''26'!CR314,"",'1. Live'!CV314-'check-Jul''26'!CR314)</f>
        <v/>
      </c>
      <c r="CS296" s="25" t="str">
        <f>IF('1. Live'!CW314='check-Jul''26'!CS314,"",'1. Live'!CW314-'check-Jul''26'!CS314)</f>
        <v/>
      </c>
      <c r="CT296" s="25" t="str">
        <f>IF('1. Live'!CX314='check-Jul''26'!CT314,"",'1. Live'!CX314-'check-Jul''26'!CT314)</f>
        <v/>
      </c>
      <c r="CU296" s="25" t="str">
        <f>IF('1. Live'!CY314='check-Jul''26'!CU314,"",'1. Live'!CY314-'check-Jul''26'!CU314)</f>
        <v/>
      </c>
      <c r="CV296" s="25" t="str">
        <f>IF('1. Live'!CZ314='check-Jul''26'!CV314,"",'1. Live'!CZ314-'check-Jul''26'!CV314)</f>
        <v/>
      </c>
    </row>
    <row r="297" spans="17:100" x14ac:dyDescent="0.25">
      <c r="Q297" s="26" t="str">
        <f>IF('1. Live'!N315='check-Jul''26'!I315,"",'1. Live'!N315-'check-Jul''26'!I315)</f>
        <v/>
      </c>
      <c r="R297" s="26" t="str">
        <f>IF('1. Live'!O315='check-Jul''26'!J315,"",'1. Live'!O315-'check-Jul''26'!J315)</f>
        <v/>
      </c>
      <c r="S297" s="26" t="str">
        <f>IF('1. Live'!P315='check-Jul''26'!K315,"",'1. Live'!P315-'check-Jul''26'!K315)</f>
        <v/>
      </c>
      <c r="T297" s="26" t="str">
        <f>IF('1. Live'!Q315='check-Jul''26'!L315,"",'1. Live'!Q315-'check-Jul''26'!L315)</f>
        <v/>
      </c>
      <c r="U297" s="80" t="str">
        <f>IF('1. Live'!R315='check-Jul''26'!M315,"",'1. Live'!R315-'check-Jul''26'!M315)</f>
        <v/>
      </c>
      <c r="V297" s="26" t="str">
        <f>IF('1. Live'!S315='check-Jul''26'!N315,"",'1. Live'!S315-'check-Jul''26'!N315)</f>
        <v/>
      </c>
      <c r="W297" s="25" t="str">
        <f>IF('1. Live'!T315='check-Jul''26'!O315,"",'1. Live'!T315-'check-Jul''26'!O315)</f>
        <v/>
      </c>
      <c r="X297" s="25" t="str">
        <f>IF('1. Live'!U315='check-Jul''26'!Q315,"",'1. Live'!U315-'check-Jul''26'!Q315)</f>
        <v/>
      </c>
      <c r="Y297" s="25" t="str">
        <f>IF('1. Live'!V315='check-Jul''26'!R315,"",'1. Live'!V315-'check-Jul''26'!R315)</f>
        <v/>
      </c>
      <c r="Z297" s="25" t="str">
        <f>IF('1. Live'!W315='check-Jul''26'!S315,"",'1. Live'!W315-'check-Jul''26'!S315)</f>
        <v/>
      </c>
      <c r="AA297" s="25" t="str">
        <f>IF('1. Live'!X315='check-Jul''26'!T315,"",'1. Live'!X315-'check-Jul''26'!T315)</f>
        <v/>
      </c>
      <c r="AB297" s="25" t="str">
        <f>IF('1. Live'!AF315='check-Jul''26'!AB315,"",'1. Live'!AF315-'check-Jul''26'!AB315)</f>
        <v/>
      </c>
      <c r="AC297" s="25" t="str">
        <f>IF('1. Live'!AG315='check-Jul''26'!AC315,"",'1. Live'!AG315-'check-Jul''26'!AC315)</f>
        <v/>
      </c>
      <c r="AD297" s="25" t="str">
        <f>IF('1. Live'!AH315='check-Jul''26'!AD315,"",'1. Live'!AH315-'check-Jul''26'!AD315)</f>
        <v/>
      </c>
      <c r="AE297" s="25" t="str">
        <f>IF('1. Live'!AI315='check-Jul''26'!AE315,"",'1. Live'!AI315-'check-Jul''26'!AE315)</f>
        <v/>
      </c>
      <c r="AF297" s="25" t="str">
        <f>IF('1. Live'!AJ315='check-Jul''26'!AF315,"",'1. Live'!AJ315-'check-Jul''26'!AF315)</f>
        <v/>
      </c>
      <c r="AG297" s="25" t="str">
        <f>IF('1. Live'!AK315='check-Jul''26'!AG315,"",'1. Live'!AK315-'check-Jul''26'!AG315)</f>
        <v/>
      </c>
      <c r="AH297" s="25" t="str">
        <f>IF('1. Live'!AL315='check-Jul''26'!AH315,"",'1. Live'!AL315-'check-Jul''26'!AH315)</f>
        <v/>
      </c>
      <c r="AI297" s="25" t="str">
        <f>IF('1. Live'!AM315='check-Jul''26'!AI315,"",'1. Live'!AM315-'check-Jul''26'!AI315)</f>
        <v/>
      </c>
      <c r="AJ297" s="25" t="str">
        <f>IF('1. Live'!AN315='check-Jul''26'!AJ315,"",'1. Live'!AN315-'check-Jul''26'!AJ315)</f>
        <v/>
      </c>
      <c r="AK297" s="25" t="str">
        <f>IF('1. Live'!AO315='check-Jul''26'!AK315,"",'1. Live'!AO315-'check-Jul''26'!AK315)</f>
        <v/>
      </c>
      <c r="AL297" s="25" t="str">
        <f>IF('1. Live'!AP315='check-Jul''26'!AL315,"",'1. Live'!AP315-'check-Jul''26'!AL315)</f>
        <v/>
      </c>
      <c r="AM297" s="25" t="str">
        <f>IF('1. Live'!AQ315='check-Jul''26'!AM315,"",'1. Live'!AQ315-'check-Jul''26'!AM315)</f>
        <v/>
      </c>
      <c r="AN297" s="25" t="str">
        <f>IF('1. Live'!AR315='check-Jul''26'!AN315,"",'1. Live'!AR315-'check-Jul''26'!AN315)</f>
        <v/>
      </c>
      <c r="AO297" s="25" t="str">
        <f>IF('1. Live'!AS315='check-Jul''26'!AO315,"",'1. Live'!AS315-'check-Jul''26'!AO315)</f>
        <v/>
      </c>
      <c r="AP297" s="25" t="str">
        <f>IF('1. Live'!AT315='check-Jul''26'!AP315,"",'1. Live'!AT315-'check-Jul''26'!AP315)</f>
        <v/>
      </c>
      <c r="AQ297" s="25" t="str">
        <f>IF('1. Live'!AU315='check-Jul''26'!AQ315,"",'1. Live'!AU315-'check-Jul''26'!AQ315)</f>
        <v/>
      </c>
      <c r="AR297" s="25" t="str">
        <f>IF('1. Live'!AV315='check-Jul''26'!AR315,"",'1. Live'!AV315-'check-Jul''26'!AR315)</f>
        <v/>
      </c>
      <c r="AS297" s="25" t="str">
        <f>IF('1. Live'!AW315='check-Jul''26'!AS315,"",'1. Live'!AW315-'check-Jul''26'!AS315)</f>
        <v/>
      </c>
      <c r="AT297" s="25" t="str">
        <f>IF('1. Live'!AX315='check-Jul''26'!AT315,"",'1. Live'!AX315-'check-Jul''26'!AT315)</f>
        <v/>
      </c>
      <c r="AU297" s="25" t="str">
        <f>IF('1. Live'!AY315='check-Jul''26'!AU315,"",'1. Live'!AY315-'check-Jul''26'!AU315)</f>
        <v/>
      </c>
      <c r="AV297" s="25" t="str">
        <f>IF('1. Live'!AZ315='check-Jul''26'!AV315,"",'1. Live'!AZ315-'check-Jul''26'!AV315)</f>
        <v/>
      </c>
      <c r="AW297" s="25" t="str">
        <f>IF('1. Live'!BA315='check-Jul''26'!AW315,"",'1. Live'!BA315-'check-Jul''26'!AW315)</f>
        <v/>
      </c>
      <c r="AX297" s="25" t="str">
        <f>IF('1. Live'!BB315='check-Jul''26'!AX315,"",'1. Live'!BB315-'check-Jul''26'!AX315)</f>
        <v/>
      </c>
      <c r="AY297" s="25" t="str">
        <f>IF('1. Live'!BC315='check-Jul''26'!AY315,"",'1. Live'!BC315-'check-Jul''26'!AY315)</f>
        <v/>
      </c>
      <c r="AZ297" s="25" t="str">
        <f>IF('1. Live'!BD315='check-Jul''26'!AZ315,"",'1. Live'!BD315-'check-Jul''26'!AZ315)</f>
        <v/>
      </c>
      <c r="BA297" s="25" t="str">
        <f>IF('1. Live'!BE315='check-Jul''26'!BA315,"",'1. Live'!BE315-'check-Jul''26'!BA315)</f>
        <v/>
      </c>
      <c r="BB297" s="25" t="str">
        <f>IF('1. Live'!BF315='check-Jul''26'!BB315,"",'1. Live'!BF315-'check-Jul''26'!BB315)</f>
        <v/>
      </c>
      <c r="BC297" s="25" t="str">
        <f>IF('1. Live'!BG315='check-Jul''26'!BC315,"",'1. Live'!BG315-'check-Jul''26'!BC315)</f>
        <v/>
      </c>
      <c r="BD297" s="25" t="str">
        <f>IF('1. Live'!BH315='check-Jul''26'!BD315,"",'1. Live'!BH315-'check-Jul''26'!BD315)</f>
        <v/>
      </c>
      <c r="BE297" s="25" t="str">
        <f>IF('1. Live'!BI315='check-Jul''26'!BE315,"",'1. Live'!BI315-'check-Jul''26'!BE315)</f>
        <v/>
      </c>
      <c r="BF297" s="25" t="str">
        <f>IF('1. Live'!BJ315='check-Jul''26'!BF315,"",'1. Live'!BJ315-'check-Jul''26'!BF315)</f>
        <v/>
      </c>
      <c r="BG297" s="25" t="str">
        <f>IF('1. Live'!BK315='check-Jul''26'!BG315,"",'1. Live'!BK315-'check-Jul''26'!BG315)</f>
        <v/>
      </c>
      <c r="BH297" s="25" t="str">
        <f>IF('1. Live'!BL315='check-Jul''26'!BH315,"",'1. Live'!BL315-'check-Jul''26'!BH315)</f>
        <v/>
      </c>
      <c r="BI297" s="25" t="str">
        <f>IF('1. Live'!BM315='check-Jul''26'!BI315,"",'1. Live'!BM315-'check-Jul''26'!BI315)</f>
        <v/>
      </c>
      <c r="BJ297" s="25" t="str">
        <f>IF('1. Live'!BN315='check-Jul''26'!BJ315,"",'1. Live'!BN315-'check-Jul''26'!BJ315)</f>
        <v/>
      </c>
      <c r="BK297" s="25" t="str">
        <f>IF('1. Live'!BO315='check-Jul''26'!BK315,"",'1. Live'!BO315-'check-Jul''26'!BK315)</f>
        <v/>
      </c>
      <c r="BL297" s="25" t="str">
        <f>IF('1. Live'!BP315='check-Jul''26'!BL315,"",'1. Live'!BP315-'check-Jul''26'!BL315)</f>
        <v/>
      </c>
      <c r="BM297" s="25" t="str">
        <f>IF('1. Live'!BQ315='check-Jul''26'!BM315,"",'1. Live'!BQ315-'check-Jul''26'!BM315)</f>
        <v/>
      </c>
      <c r="BN297" s="25" t="str">
        <f>IF('1. Live'!BR315='check-Jul''26'!BN315,"",'1. Live'!BR315-'check-Jul''26'!BN315)</f>
        <v/>
      </c>
      <c r="BO297" s="25" t="str">
        <f>IF('1. Live'!BS315='check-Jul''26'!BO315,"",'1. Live'!BS315-'check-Jul''26'!BO315)</f>
        <v/>
      </c>
      <c r="BP297" s="25" t="str">
        <f>IF('1. Live'!BT315='check-Jul''26'!BP315,"",'1. Live'!BT315-'check-Jul''26'!BP315)</f>
        <v/>
      </c>
      <c r="BQ297" s="25" t="str">
        <f>IF('1. Live'!BU315='check-Jul''26'!BQ315,"",'1. Live'!BU315-'check-Jul''26'!BQ315)</f>
        <v/>
      </c>
      <c r="BR297" s="25" t="str">
        <f>IF('1. Live'!BV315='check-Jul''26'!BR315,"",'1. Live'!BV315-'check-Jul''26'!BR315)</f>
        <v/>
      </c>
      <c r="BS297" s="25" t="str">
        <f>IF('1. Live'!BW315='check-Jul''26'!BS315,"",'1. Live'!BW315-'check-Jul''26'!BS315)</f>
        <v/>
      </c>
      <c r="BT297" s="25" t="str">
        <f>IF('1. Live'!BX315='check-Jul''26'!BT315,"",'1. Live'!BX315-'check-Jul''26'!BT315)</f>
        <v/>
      </c>
      <c r="BU297" s="25" t="str">
        <f>IF('1. Live'!BY315='check-Jul''26'!BU315,"",'1. Live'!BY315-'check-Jul''26'!BU315)</f>
        <v/>
      </c>
      <c r="BV297" s="25" t="str">
        <f>IF('1. Live'!BZ315='check-Jul''26'!BV315,"",'1. Live'!BZ315-'check-Jul''26'!BV315)</f>
        <v/>
      </c>
      <c r="BW297" s="25" t="str">
        <f>IF('1. Live'!CA315='check-Jul''26'!BW315,"",'1. Live'!CA315-'check-Jul''26'!BW315)</f>
        <v/>
      </c>
      <c r="BX297" s="25" t="str">
        <f>IF('1. Live'!CB315='check-Jul''26'!BX315,"",'1. Live'!CB315-'check-Jul''26'!BX315)</f>
        <v/>
      </c>
      <c r="BY297" s="25" t="str">
        <f>IF('1. Live'!CC315='check-Jul''26'!BY315,"",'1. Live'!CC315-'check-Jul''26'!BY315)</f>
        <v/>
      </c>
      <c r="BZ297" s="25" t="str">
        <f>IF('1. Live'!CD315='check-Jul''26'!BZ315,"",'1. Live'!CD315-'check-Jul''26'!BZ315)</f>
        <v/>
      </c>
      <c r="CA297" s="25" t="str">
        <f>IF('1. Live'!CE315='check-Jul''26'!CA315,"",'1. Live'!CE315-'check-Jul''26'!CA315)</f>
        <v/>
      </c>
      <c r="CB297" s="25" t="str">
        <f>IF('1. Live'!CF315='check-Jul''26'!CB315,"",'1. Live'!CF315-'check-Jul''26'!CB315)</f>
        <v/>
      </c>
      <c r="CC297" s="25" t="str">
        <f>IF('1. Live'!CG315='check-Jul''26'!CC315,"",'1. Live'!CG315-'check-Jul''26'!CC315)</f>
        <v/>
      </c>
      <c r="CD297" s="25" t="str">
        <f>IF('1. Live'!CH315='check-Jul''26'!CD315,"",'1. Live'!CH315-'check-Jul''26'!CD315)</f>
        <v/>
      </c>
      <c r="CE297" s="25" t="str">
        <f>IF('1. Live'!CI315='check-Jul''26'!CE315,"",'1. Live'!CI315-'check-Jul''26'!CE315)</f>
        <v/>
      </c>
      <c r="CF297" s="25" t="str">
        <f>IF('1. Live'!CJ315='check-Jul''26'!CF315,"",'1. Live'!CJ315-'check-Jul''26'!CF315)</f>
        <v/>
      </c>
      <c r="CG297" s="25" t="str">
        <f>IF('1. Live'!CK315='check-Jul''26'!CG315,"",'1. Live'!CK315-'check-Jul''26'!CG315)</f>
        <v/>
      </c>
      <c r="CH297" s="25" t="str">
        <f>IF('1. Live'!CL315='check-Jul''26'!CH315,"",'1. Live'!CL315-'check-Jul''26'!CH315)</f>
        <v/>
      </c>
      <c r="CI297" s="25" t="str">
        <f>IF('1. Live'!CM315='check-Jul''26'!CI315,"",'1. Live'!CM315-'check-Jul''26'!CI315)</f>
        <v/>
      </c>
      <c r="CJ297" s="25" t="str">
        <f>IF('1. Live'!CN315='check-Jul''26'!CJ315,"",'1. Live'!CN315-'check-Jul''26'!CJ315)</f>
        <v/>
      </c>
      <c r="CK297" s="25" t="str">
        <f>IF('1. Live'!CO315='check-Jul''26'!CK315,"",'1. Live'!CO315-'check-Jul''26'!CK315)</f>
        <v/>
      </c>
      <c r="CL297" s="25" t="str">
        <f>IF('1. Live'!CP315='check-Jul''26'!CL315,"",'1. Live'!CP315-'check-Jul''26'!CL315)</f>
        <v/>
      </c>
      <c r="CM297" s="25" t="str">
        <f>IF('1. Live'!CQ315='check-Jul''26'!CM315,"",'1. Live'!CQ315-'check-Jul''26'!CM315)</f>
        <v/>
      </c>
      <c r="CN297" s="25" t="str">
        <f>IF('1. Live'!CR315='check-Jul''26'!CN315,"",'1. Live'!CR315-'check-Jul''26'!CN315)</f>
        <v/>
      </c>
      <c r="CO297" s="25" t="str">
        <f>IF('1. Live'!CS315='check-Jul''26'!CO315,"",'1. Live'!CS315-'check-Jul''26'!CO315)</f>
        <v/>
      </c>
      <c r="CP297" s="25" t="str">
        <f>IF('1. Live'!CT315='check-Jul''26'!CP315,"",'1. Live'!CT315-'check-Jul''26'!CP315)</f>
        <v/>
      </c>
      <c r="CQ297" s="25" t="str">
        <f>IF('1. Live'!CU315='check-Jul''26'!CQ315,"",'1. Live'!CU315-'check-Jul''26'!CQ315)</f>
        <v/>
      </c>
      <c r="CR297" s="25" t="str">
        <f>IF('1. Live'!CV315='check-Jul''26'!CR315,"",'1. Live'!CV315-'check-Jul''26'!CR315)</f>
        <v/>
      </c>
      <c r="CS297" s="25" t="str">
        <f>IF('1. Live'!CW315='check-Jul''26'!CS315,"",'1. Live'!CW315-'check-Jul''26'!CS315)</f>
        <v/>
      </c>
      <c r="CT297" s="25" t="str">
        <f>IF('1. Live'!CX315='check-Jul''26'!CT315,"",'1. Live'!CX315-'check-Jul''26'!CT315)</f>
        <v/>
      </c>
      <c r="CU297" s="25" t="str">
        <f>IF('1. Live'!CY315='check-Jul''26'!CU315,"",'1. Live'!CY315-'check-Jul''26'!CU315)</f>
        <v/>
      </c>
      <c r="CV297" s="25" t="str">
        <f>IF('1. Live'!CZ315='check-Jul''26'!CV315,"",'1. Live'!CZ315-'check-Jul''26'!CV315)</f>
        <v/>
      </c>
    </row>
    <row r="298" spans="17:100" x14ac:dyDescent="0.25">
      <c r="Q298" s="26" t="str">
        <f>IF('1. Live'!N316='check-Jul''26'!I316,"",'1. Live'!N316-'check-Jul''26'!I316)</f>
        <v/>
      </c>
      <c r="R298" s="26" t="str">
        <f>IF('1. Live'!O316='check-Jul''26'!J316,"",'1. Live'!O316-'check-Jul''26'!J316)</f>
        <v/>
      </c>
      <c r="S298" s="26" t="str">
        <f>IF('1. Live'!P316='check-Jul''26'!K316,"",'1. Live'!P316-'check-Jul''26'!K316)</f>
        <v/>
      </c>
      <c r="T298" s="26" t="str">
        <f>IF('1. Live'!Q316='check-Jul''26'!L316,"",'1. Live'!Q316-'check-Jul''26'!L316)</f>
        <v/>
      </c>
      <c r="U298" s="80" t="str">
        <f>IF('1. Live'!R316='check-Jul''26'!M316,"",'1. Live'!R316-'check-Jul''26'!M316)</f>
        <v/>
      </c>
      <c r="V298" s="26" t="str">
        <f>IF('1. Live'!S316='check-Jul''26'!N316,"",'1. Live'!S316-'check-Jul''26'!N316)</f>
        <v/>
      </c>
      <c r="W298" s="25" t="str">
        <f>IF('1. Live'!T316='check-Jul''26'!O316,"",'1. Live'!T316-'check-Jul''26'!O316)</f>
        <v/>
      </c>
      <c r="X298" s="25" t="str">
        <f>IF('1. Live'!U316='check-Jul''26'!Q316,"",'1. Live'!U316-'check-Jul''26'!Q316)</f>
        <v/>
      </c>
      <c r="Y298" s="25" t="str">
        <f>IF('1. Live'!V316='check-Jul''26'!R316,"",'1. Live'!V316-'check-Jul''26'!R316)</f>
        <v/>
      </c>
      <c r="Z298" s="25" t="str">
        <f>IF('1. Live'!W316='check-Jul''26'!S316,"",'1. Live'!W316-'check-Jul''26'!S316)</f>
        <v/>
      </c>
      <c r="AA298" s="25" t="str">
        <f>IF('1. Live'!X316='check-Jul''26'!T316,"",'1. Live'!X316-'check-Jul''26'!T316)</f>
        <v/>
      </c>
      <c r="AB298" s="25" t="str">
        <f>IF('1. Live'!AF316='check-Jul''26'!AB316,"",'1. Live'!AF316-'check-Jul''26'!AB316)</f>
        <v/>
      </c>
      <c r="AC298" s="25" t="str">
        <f>IF('1. Live'!AG316='check-Jul''26'!AC316,"",'1. Live'!AG316-'check-Jul''26'!AC316)</f>
        <v/>
      </c>
      <c r="AD298" s="25" t="str">
        <f>IF('1. Live'!AH316='check-Jul''26'!AD316,"",'1. Live'!AH316-'check-Jul''26'!AD316)</f>
        <v/>
      </c>
      <c r="AE298" s="25" t="str">
        <f>IF('1. Live'!AI316='check-Jul''26'!AE316,"",'1. Live'!AI316-'check-Jul''26'!AE316)</f>
        <v/>
      </c>
      <c r="AF298" s="25" t="str">
        <f>IF('1. Live'!AJ316='check-Jul''26'!AF316,"",'1. Live'!AJ316-'check-Jul''26'!AF316)</f>
        <v/>
      </c>
      <c r="AG298" s="25" t="str">
        <f>IF('1. Live'!AK316='check-Jul''26'!AG316,"",'1. Live'!AK316-'check-Jul''26'!AG316)</f>
        <v/>
      </c>
      <c r="AH298" s="25" t="str">
        <f>IF('1. Live'!AL316='check-Jul''26'!AH316,"",'1. Live'!AL316-'check-Jul''26'!AH316)</f>
        <v/>
      </c>
      <c r="AI298" s="25" t="str">
        <f>IF('1. Live'!AM316='check-Jul''26'!AI316,"",'1. Live'!AM316-'check-Jul''26'!AI316)</f>
        <v/>
      </c>
      <c r="AJ298" s="25" t="str">
        <f>IF('1. Live'!AN316='check-Jul''26'!AJ316,"",'1. Live'!AN316-'check-Jul''26'!AJ316)</f>
        <v/>
      </c>
      <c r="AK298" s="25" t="str">
        <f>IF('1. Live'!AO316='check-Jul''26'!AK316,"",'1. Live'!AO316-'check-Jul''26'!AK316)</f>
        <v/>
      </c>
      <c r="AL298" s="25" t="str">
        <f>IF('1. Live'!AP316='check-Jul''26'!AL316,"",'1. Live'!AP316-'check-Jul''26'!AL316)</f>
        <v/>
      </c>
      <c r="AM298" s="25" t="str">
        <f>IF('1. Live'!AQ316='check-Jul''26'!AM316,"",'1. Live'!AQ316-'check-Jul''26'!AM316)</f>
        <v/>
      </c>
      <c r="AN298" s="25" t="str">
        <f>IF('1. Live'!AR316='check-Jul''26'!AN316,"",'1. Live'!AR316-'check-Jul''26'!AN316)</f>
        <v/>
      </c>
      <c r="AO298" s="25" t="str">
        <f>IF('1. Live'!AS316='check-Jul''26'!AO316,"",'1. Live'!AS316-'check-Jul''26'!AO316)</f>
        <v/>
      </c>
      <c r="AP298" s="25" t="str">
        <f>IF('1. Live'!AT316='check-Jul''26'!AP316,"",'1. Live'!AT316-'check-Jul''26'!AP316)</f>
        <v/>
      </c>
      <c r="AQ298" s="25" t="str">
        <f>IF('1. Live'!AU316='check-Jul''26'!AQ316,"",'1. Live'!AU316-'check-Jul''26'!AQ316)</f>
        <v/>
      </c>
      <c r="AR298" s="25" t="str">
        <f>IF('1. Live'!AV316='check-Jul''26'!AR316,"",'1. Live'!AV316-'check-Jul''26'!AR316)</f>
        <v/>
      </c>
      <c r="AS298" s="25" t="str">
        <f>IF('1. Live'!AW316='check-Jul''26'!AS316,"",'1. Live'!AW316-'check-Jul''26'!AS316)</f>
        <v/>
      </c>
      <c r="AT298" s="25" t="str">
        <f>IF('1. Live'!AX316='check-Jul''26'!AT316,"",'1. Live'!AX316-'check-Jul''26'!AT316)</f>
        <v/>
      </c>
      <c r="AU298" s="25" t="str">
        <f>IF('1. Live'!AY316='check-Jul''26'!AU316,"",'1. Live'!AY316-'check-Jul''26'!AU316)</f>
        <v/>
      </c>
      <c r="AV298" s="25" t="str">
        <f>IF('1. Live'!AZ316='check-Jul''26'!AV316,"",'1. Live'!AZ316-'check-Jul''26'!AV316)</f>
        <v/>
      </c>
      <c r="AW298" s="25" t="str">
        <f>IF('1. Live'!BA316='check-Jul''26'!AW316,"",'1. Live'!BA316-'check-Jul''26'!AW316)</f>
        <v/>
      </c>
      <c r="AX298" s="25" t="str">
        <f>IF('1. Live'!BB316='check-Jul''26'!AX316,"",'1. Live'!BB316-'check-Jul''26'!AX316)</f>
        <v/>
      </c>
      <c r="AY298" s="25" t="str">
        <f>IF('1. Live'!BC316='check-Jul''26'!AY316,"",'1. Live'!BC316-'check-Jul''26'!AY316)</f>
        <v/>
      </c>
      <c r="AZ298" s="25" t="str">
        <f>IF('1. Live'!BD316='check-Jul''26'!AZ316,"",'1. Live'!BD316-'check-Jul''26'!AZ316)</f>
        <v/>
      </c>
      <c r="BA298" s="25" t="str">
        <f>IF('1. Live'!BE316='check-Jul''26'!BA316,"",'1. Live'!BE316-'check-Jul''26'!BA316)</f>
        <v/>
      </c>
      <c r="BB298" s="25" t="str">
        <f>IF('1. Live'!BF316='check-Jul''26'!BB316,"",'1. Live'!BF316-'check-Jul''26'!BB316)</f>
        <v/>
      </c>
      <c r="BC298" s="25" t="str">
        <f>IF('1. Live'!BG316='check-Jul''26'!BC316,"",'1. Live'!BG316-'check-Jul''26'!BC316)</f>
        <v/>
      </c>
      <c r="BD298" s="25" t="str">
        <f>IF('1. Live'!BH316='check-Jul''26'!BD316,"",'1. Live'!BH316-'check-Jul''26'!BD316)</f>
        <v/>
      </c>
      <c r="BE298" s="25" t="str">
        <f>IF('1. Live'!BI316='check-Jul''26'!BE316,"",'1. Live'!BI316-'check-Jul''26'!BE316)</f>
        <v/>
      </c>
      <c r="BF298" s="25" t="str">
        <f>IF('1. Live'!BJ316='check-Jul''26'!BF316,"",'1. Live'!BJ316-'check-Jul''26'!BF316)</f>
        <v/>
      </c>
      <c r="BG298" s="25" t="str">
        <f>IF('1. Live'!BK316='check-Jul''26'!BG316,"",'1. Live'!BK316-'check-Jul''26'!BG316)</f>
        <v/>
      </c>
      <c r="BH298" s="25" t="str">
        <f>IF('1. Live'!BL316='check-Jul''26'!BH316,"",'1. Live'!BL316-'check-Jul''26'!BH316)</f>
        <v/>
      </c>
      <c r="BI298" s="25" t="str">
        <f>IF('1. Live'!BM316='check-Jul''26'!BI316,"",'1. Live'!BM316-'check-Jul''26'!BI316)</f>
        <v/>
      </c>
      <c r="BJ298" s="25" t="str">
        <f>IF('1. Live'!BN316='check-Jul''26'!BJ316,"",'1. Live'!BN316-'check-Jul''26'!BJ316)</f>
        <v/>
      </c>
      <c r="BK298" s="25" t="str">
        <f>IF('1. Live'!BO316='check-Jul''26'!BK316,"",'1. Live'!BO316-'check-Jul''26'!BK316)</f>
        <v/>
      </c>
      <c r="BL298" s="25" t="str">
        <f>IF('1. Live'!BP316='check-Jul''26'!BL316,"",'1. Live'!BP316-'check-Jul''26'!BL316)</f>
        <v/>
      </c>
      <c r="BM298" s="25" t="str">
        <f>IF('1. Live'!BQ316='check-Jul''26'!BM316,"",'1. Live'!BQ316-'check-Jul''26'!BM316)</f>
        <v/>
      </c>
      <c r="BN298" s="25" t="str">
        <f>IF('1. Live'!BR316='check-Jul''26'!BN316,"",'1. Live'!BR316-'check-Jul''26'!BN316)</f>
        <v/>
      </c>
      <c r="BO298" s="25" t="str">
        <f>IF('1. Live'!BS316='check-Jul''26'!BO316,"",'1. Live'!BS316-'check-Jul''26'!BO316)</f>
        <v/>
      </c>
      <c r="BP298" s="25" t="str">
        <f>IF('1. Live'!BT316='check-Jul''26'!BP316,"",'1. Live'!BT316-'check-Jul''26'!BP316)</f>
        <v/>
      </c>
      <c r="BQ298" s="25" t="str">
        <f>IF('1. Live'!BU316='check-Jul''26'!BQ316,"",'1. Live'!BU316-'check-Jul''26'!BQ316)</f>
        <v/>
      </c>
      <c r="BR298" s="25" t="str">
        <f>IF('1. Live'!BV316='check-Jul''26'!BR316,"",'1. Live'!BV316-'check-Jul''26'!BR316)</f>
        <v/>
      </c>
      <c r="BS298" s="25" t="str">
        <f>IF('1. Live'!BW316='check-Jul''26'!BS316,"",'1. Live'!BW316-'check-Jul''26'!BS316)</f>
        <v/>
      </c>
      <c r="BT298" s="25" t="str">
        <f>IF('1. Live'!BX316='check-Jul''26'!BT316,"",'1. Live'!BX316-'check-Jul''26'!BT316)</f>
        <v/>
      </c>
      <c r="BU298" s="25" t="str">
        <f>IF('1. Live'!BY316='check-Jul''26'!BU316,"",'1. Live'!BY316-'check-Jul''26'!BU316)</f>
        <v/>
      </c>
      <c r="BV298" s="25" t="str">
        <f>IF('1. Live'!BZ316='check-Jul''26'!BV316,"",'1. Live'!BZ316-'check-Jul''26'!BV316)</f>
        <v/>
      </c>
      <c r="BW298" s="25" t="str">
        <f>IF('1. Live'!CA316='check-Jul''26'!BW316,"",'1. Live'!CA316-'check-Jul''26'!BW316)</f>
        <v/>
      </c>
      <c r="BX298" s="25" t="str">
        <f>IF('1. Live'!CB316='check-Jul''26'!BX316,"",'1. Live'!CB316-'check-Jul''26'!BX316)</f>
        <v/>
      </c>
      <c r="BY298" s="25" t="str">
        <f>IF('1. Live'!CC316='check-Jul''26'!BY316,"",'1. Live'!CC316-'check-Jul''26'!BY316)</f>
        <v/>
      </c>
      <c r="BZ298" s="25" t="str">
        <f>IF('1. Live'!CD316='check-Jul''26'!BZ316,"",'1. Live'!CD316-'check-Jul''26'!BZ316)</f>
        <v/>
      </c>
      <c r="CA298" s="25" t="str">
        <f>IF('1. Live'!CE316='check-Jul''26'!CA316,"",'1. Live'!CE316-'check-Jul''26'!CA316)</f>
        <v/>
      </c>
      <c r="CB298" s="25" t="str">
        <f>IF('1. Live'!CF316='check-Jul''26'!CB316,"",'1. Live'!CF316-'check-Jul''26'!CB316)</f>
        <v/>
      </c>
      <c r="CC298" s="25" t="str">
        <f>IF('1. Live'!CG316='check-Jul''26'!CC316,"",'1. Live'!CG316-'check-Jul''26'!CC316)</f>
        <v/>
      </c>
      <c r="CD298" s="25" t="str">
        <f>IF('1. Live'!CH316='check-Jul''26'!CD316,"",'1. Live'!CH316-'check-Jul''26'!CD316)</f>
        <v/>
      </c>
      <c r="CE298" s="25" t="str">
        <f>IF('1. Live'!CI316='check-Jul''26'!CE316,"",'1. Live'!CI316-'check-Jul''26'!CE316)</f>
        <v/>
      </c>
      <c r="CF298" s="25" t="str">
        <f>IF('1. Live'!CJ316='check-Jul''26'!CF316,"",'1. Live'!CJ316-'check-Jul''26'!CF316)</f>
        <v/>
      </c>
      <c r="CG298" s="25" t="str">
        <f>IF('1. Live'!CK316='check-Jul''26'!CG316,"",'1. Live'!CK316-'check-Jul''26'!CG316)</f>
        <v/>
      </c>
      <c r="CH298" s="25" t="str">
        <f>IF('1. Live'!CL316='check-Jul''26'!CH316,"",'1. Live'!CL316-'check-Jul''26'!CH316)</f>
        <v/>
      </c>
      <c r="CI298" s="25" t="str">
        <f>IF('1. Live'!CM316='check-Jul''26'!CI316,"",'1. Live'!CM316-'check-Jul''26'!CI316)</f>
        <v/>
      </c>
      <c r="CJ298" s="25" t="str">
        <f>IF('1. Live'!CN316='check-Jul''26'!CJ316,"",'1. Live'!CN316-'check-Jul''26'!CJ316)</f>
        <v/>
      </c>
      <c r="CK298" s="25" t="str">
        <f>IF('1. Live'!CO316='check-Jul''26'!CK316,"",'1. Live'!CO316-'check-Jul''26'!CK316)</f>
        <v/>
      </c>
      <c r="CL298" s="25" t="str">
        <f>IF('1. Live'!CP316='check-Jul''26'!CL316,"",'1. Live'!CP316-'check-Jul''26'!CL316)</f>
        <v/>
      </c>
      <c r="CM298" s="25" t="str">
        <f>IF('1. Live'!CQ316='check-Jul''26'!CM316,"",'1. Live'!CQ316-'check-Jul''26'!CM316)</f>
        <v/>
      </c>
      <c r="CN298" s="25" t="str">
        <f>IF('1. Live'!CR316='check-Jul''26'!CN316,"",'1. Live'!CR316-'check-Jul''26'!CN316)</f>
        <v/>
      </c>
      <c r="CO298" s="25" t="str">
        <f>IF('1. Live'!CS316='check-Jul''26'!CO316,"",'1. Live'!CS316-'check-Jul''26'!CO316)</f>
        <v/>
      </c>
      <c r="CP298" s="25" t="str">
        <f>IF('1. Live'!CT316='check-Jul''26'!CP316,"",'1. Live'!CT316-'check-Jul''26'!CP316)</f>
        <v/>
      </c>
      <c r="CQ298" s="25" t="str">
        <f>IF('1. Live'!CU316='check-Jul''26'!CQ316,"",'1. Live'!CU316-'check-Jul''26'!CQ316)</f>
        <v/>
      </c>
      <c r="CR298" s="25" t="str">
        <f>IF('1. Live'!CV316='check-Jul''26'!CR316,"",'1. Live'!CV316-'check-Jul''26'!CR316)</f>
        <v/>
      </c>
      <c r="CS298" s="25" t="str">
        <f>IF('1. Live'!CW316='check-Jul''26'!CS316,"",'1. Live'!CW316-'check-Jul''26'!CS316)</f>
        <v/>
      </c>
      <c r="CT298" s="25" t="str">
        <f>IF('1. Live'!CX316='check-Jul''26'!CT316,"",'1. Live'!CX316-'check-Jul''26'!CT316)</f>
        <v/>
      </c>
      <c r="CU298" s="25" t="str">
        <f>IF('1. Live'!CY316='check-Jul''26'!CU316,"",'1. Live'!CY316-'check-Jul''26'!CU316)</f>
        <v/>
      </c>
      <c r="CV298" s="25" t="str">
        <f>IF('1. Live'!CZ316='check-Jul''26'!CV316,"",'1. Live'!CZ316-'check-Jul''26'!CV316)</f>
        <v/>
      </c>
    </row>
    <row r="299" spans="17:100" x14ac:dyDescent="0.25">
      <c r="Q299" s="26" t="str">
        <f>IF('1. Live'!N317='check-Jul''26'!I317,"",'1. Live'!N317-'check-Jul''26'!I317)</f>
        <v/>
      </c>
      <c r="R299" s="26" t="str">
        <f>IF('1. Live'!O317='check-Jul''26'!J317,"",'1. Live'!O317-'check-Jul''26'!J317)</f>
        <v/>
      </c>
      <c r="S299" s="26" t="str">
        <f>IF('1. Live'!P317='check-Jul''26'!K317,"",'1. Live'!P317-'check-Jul''26'!K317)</f>
        <v/>
      </c>
      <c r="T299" s="26" t="str">
        <f>IF('1. Live'!Q317='check-Jul''26'!L317,"",'1. Live'!Q317-'check-Jul''26'!L317)</f>
        <v/>
      </c>
      <c r="U299" s="80" t="str">
        <f>IF('1. Live'!R317='check-Jul''26'!M317,"",'1. Live'!R317-'check-Jul''26'!M317)</f>
        <v/>
      </c>
      <c r="V299" s="26" t="str">
        <f>IF('1. Live'!S317='check-Jul''26'!N317,"",'1. Live'!S317-'check-Jul''26'!N317)</f>
        <v/>
      </c>
      <c r="W299" s="25" t="str">
        <f>IF('1. Live'!T317='check-Jul''26'!O317,"",'1. Live'!T317-'check-Jul''26'!O317)</f>
        <v/>
      </c>
      <c r="X299" s="25" t="str">
        <f>IF('1. Live'!U317='check-Jul''26'!Q317,"",'1. Live'!U317-'check-Jul''26'!Q317)</f>
        <v/>
      </c>
      <c r="Y299" s="25" t="str">
        <f>IF('1. Live'!V317='check-Jul''26'!R317,"",'1. Live'!V317-'check-Jul''26'!R317)</f>
        <v/>
      </c>
      <c r="Z299" s="25" t="str">
        <f>IF('1. Live'!W317='check-Jul''26'!S317,"",'1. Live'!W317-'check-Jul''26'!S317)</f>
        <v/>
      </c>
      <c r="AA299" s="25" t="str">
        <f>IF('1. Live'!X317='check-Jul''26'!T317,"",'1. Live'!X317-'check-Jul''26'!T317)</f>
        <v/>
      </c>
      <c r="AB299" s="25" t="str">
        <f>IF('1. Live'!AF317='check-Jul''26'!AB317,"",'1. Live'!AF317-'check-Jul''26'!AB317)</f>
        <v/>
      </c>
      <c r="AC299" s="25" t="str">
        <f>IF('1. Live'!AG317='check-Jul''26'!AC317,"",'1. Live'!AG317-'check-Jul''26'!AC317)</f>
        <v/>
      </c>
      <c r="AD299" s="25" t="str">
        <f>IF('1. Live'!AH317='check-Jul''26'!AD317,"",'1. Live'!AH317-'check-Jul''26'!AD317)</f>
        <v/>
      </c>
      <c r="AE299" s="25" t="str">
        <f>IF('1. Live'!AI317='check-Jul''26'!AE317,"",'1. Live'!AI317-'check-Jul''26'!AE317)</f>
        <v/>
      </c>
      <c r="AF299" s="25" t="str">
        <f>IF('1. Live'!AJ317='check-Jul''26'!AF317,"",'1. Live'!AJ317-'check-Jul''26'!AF317)</f>
        <v/>
      </c>
      <c r="AG299" s="25" t="str">
        <f>IF('1. Live'!AK317='check-Jul''26'!AG317,"",'1. Live'!AK317-'check-Jul''26'!AG317)</f>
        <v/>
      </c>
      <c r="AH299" s="25" t="str">
        <f>IF('1. Live'!AL317='check-Jul''26'!AH317,"",'1. Live'!AL317-'check-Jul''26'!AH317)</f>
        <v/>
      </c>
      <c r="AI299" s="25" t="str">
        <f>IF('1. Live'!AM317='check-Jul''26'!AI317,"",'1. Live'!AM317-'check-Jul''26'!AI317)</f>
        <v/>
      </c>
      <c r="AJ299" s="25" t="str">
        <f>IF('1. Live'!AN317='check-Jul''26'!AJ317,"",'1. Live'!AN317-'check-Jul''26'!AJ317)</f>
        <v/>
      </c>
      <c r="AK299" s="25" t="str">
        <f>IF('1. Live'!AO317='check-Jul''26'!AK317,"",'1. Live'!AO317-'check-Jul''26'!AK317)</f>
        <v/>
      </c>
      <c r="AL299" s="25" t="str">
        <f>IF('1. Live'!AP317='check-Jul''26'!AL317,"",'1. Live'!AP317-'check-Jul''26'!AL317)</f>
        <v/>
      </c>
      <c r="AM299" s="25" t="str">
        <f>IF('1. Live'!AQ317='check-Jul''26'!AM317,"",'1. Live'!AQ317-'check-Jul''26'!AM317)</f>
        <v/>
      </c>
      <c r="AN299" s="25" t="str">
        <f>IF('1. Live'!AR317='check-Jul''26'!AN317,"",'1. Live'!AR317-'check-Jul''26'!AN317)</f>
        <v/>
      </c>
      <c r="AO299" s="25" t="str">
        <f>IF('1. Live'!AS317='check-Jul''26'!AO317,"",'1. Live'!AS317-'check-Jul''26'!AO317)</f>
        <v/>
      </c>
      <c r="AP299" s="25" t="str">
        <f>IF('1. Live'!AT317='check-Jul''26'!AP317,"",'1. Live'!AT317-'check-Jul''26'!AP317)</f>
        <v/>
      </c>
      <c r="AQ299" s="25" t="str">
        <f>IF('1. Live'!AU317='check-Jul''26'!AQ317,"",'1. Live'!AU317-'check-Jul''26'!AQ317)</f>
        <v/>
      </c>
      <c r="AR299" s="25" t="str">
        <f>IF('1. Live'!AV317='check-Jul''26'!AR317,"",'1. Live'!AV317-'check-Jul''26'!AR317)</f>
        <v/>
      </c>
      <c r="AS299" s="25" t="str">
        <f>IF('1. Live'!AW317='check-Jul''26'!AS317,"",'1. Live'!AW317-'check-Jul''26'!AS317)</f>
        <v/>
      </c>
      <c r="AT299" s="25" t="str">
        <f>IF('1. Live'!AX317='check-Jul''26'!AT317,"",'1. Live'!AX317-'check-Jul''26'!AT317)</f>
        <v/>
      </c>
      <c r="AU299" s="25" t="str">
        <f>IF('1. Live'!AY317='check-Jul''26'!AU317,"",'1. Live'!AY317-'check-Jul''26'!AU317)</f>
        <v/>
      </c>
      <c r="AV299" s="25" t="str">
        <f>IF('1. Live'!AZ317='check-Jul''26'!AV317,"",'1. Live'!AZ317-'check-Jul''26'!AV317)</f>
        <v/>
      </c>
      <c r="AW299" s="25" t="str">
        <f>IF('1. Live'!BA317='check-Jul''26'!AW317,"",'1. Live'!BA317-'check-Jul''26'!AW317)</f>
        <v/>
      </c>
      <c r="AX299" s="25" t="str">
        <f>IF('1. Live'!BB317='check-Jul''26'!AX317,"",'1. Live'!BB317-'check-Jul''26'!AX317)</f>
        <v/>
      </c>
      <c r="AY299" s="25" t="str">
        <f>IF('1. Live'!BC317='check-Jul''26'!AY317,"",'1. Live'!BC317-'check-Jul''26'!AY317)</f>
        <v/>
      </c>
      <c r="AZ299" s="25" t="str">
        <f>IF('1. Live'!BD317='check-Jul''26'!AZ317,"",'1. Live'!BD317-'check-Jul''26'!AZ317)</f>
        <v/>
      </c>
      <c r="BA299" s="25" t="str">
        <f>IF('1. Live'!BE317='check-Jul''26'!BA317,"",'1. Live'!BE317-'check-Jul''26'!BA317)</f>
        <v/>
      </c>
      <c r="BB299" s="25" t="str">
        <f>IF('1. Live'!BF317='check-Jul''26'!BB317,"",'1. Live'!BF317-'check-Jul''26'!BB317)</f>
        <v/>
      </c>
      <c r="BC299" s="25" t="str">
        <f>IF('1. Live'!BG317='check-Jul''26'!BC317,"",'1. Live'!BG317-'check-Jul''26'!BC317)</f>
        <v/>
      </c>
      <c r="BD299" s="25" t="str">
        <f>IF('1. Live'!BH317='check-Jul''26'!BD317,"",'1. Live'!BH317-'check-Jul''26'!BD317)</f>
        <v/>
      </c>
      <c r="BE299" s="25" t="str">
        <f>IF('1. Live'!BI317='check-Jul''26'!BE317,"",'1. Live'!BI317-'check-Jul''26'!BE317)</f>
        <v/>
      </c>
      <c r="BF299" s="25" t="str">
        <f>IF('1. Live'!BJ317='check-Jul''26'!BF317,"",'1. Live'!BJ317-'check-Jul''26'!BF317)</f>
        <v/>
      </c>
      <c r="BG299" s="25" t="str">
        <f>IF('1. Live'!BK317='check-Jul''26'!BG317,"",'1. Live'!BK317-'check-Jul''26'!BG317)</f>
        <v/>
      </c>
      <c r="BH299" s="25" t="str">
        <f>IF('1. Live'!BL317='check-Jul''26'!BH317,"",'1. Live'!BL317-'check-Jul''26'!BH317)</f>
        <v/>
      </c>
      <c r="BI299" s="25" t="str">
        <f>IF('1. Live'!BM317='check-Jul''26'!BI317,"",'1. Live'!BM317-'check-Jul''26'!BI317)</f>
        <v/>
      </c>
      <c r="BJ299" s="25" t="str">
        <f>IF('1. Live'!BN317='check-Jul''26'!BJ317,"",'1. Live'!BN317-'check-Jul''26'!BJ317)</f>
        <v/>
      </c>
      <c r="BK299" s="25" t="str">
        <f>IF('1. Live'!BO317='check-Jul''26'!BK317,"",'1. Live'!BO317-'check-Jul''26'!BK317)</f>
        <v/>
      </c>
      <c r="BL299" s="25" t="str">
        <f>IF('1. Live'!BP317='check-Jul''26'!BL317,"",'1. Live'!BP317-'check-Jul''26'!BL317)</f>
        <v/>
      </c>
      <c r="BM299" s="25" t="str">
        <f>IF('1. Live'!BQ317='check-Jul''26'!BM317,"",'1. Live'!BQ317-'check-Jul''26'!BM317)</f>
        <v/>
      </c>
      <c r="BN299" s="25" t="str">
        <f>IF('1. Live'!BR317='check-Jul''26'!BN317,"",'1. Live'!BR317-'check-Jul''26'!BN317)</f>
        <v/>
      </c>
      <c r="BO299" s="25" t="str">
        <f>IF('1. Live'!BS317='check-Jul''26'!BO317,"",'1. Live'!BS317-'check-Jul''26'!BO317)</f>
        <v/>
      </c>
      <c r="BP299" s="25" t="str">
        <f>IF('1. Live'!BT317='check-Jul''26'!BP317,"",'1. Live'!BT317-'check-Jul''26'!BP317)</f>
        <v/>
      </c>
      <c r="BQ299" s="25" t="str">
        <f>IF('1. Live'!BU317='check-Jul''26'!BQ317,"",'1. Live'!BU317-'check-Jul''26'!BQ317)</f>
        <v/>
      </c>
      <c r="BR299" s="25" t="str">
        <f>IF('1. Live'!BV317='check-Jul''26'!BR317,"",'1. Live'!BV317-'check-Jul''26'!BR317)</f>
        <v/>
      </c>
      <c r="BS299" s="25" t="str">
        <f>IF('1. Live'!BW317='check-Jul''26'!BS317,"",'1. Live'!BW317-'check-Jul''26'!BS317)</f>
        <v/>
      </c>
      <c r="BT299" s="25" t="str">
        <f>IF('1. Live'!BX317='check-Jul''26'!BT317,"",'1. Live'!BX317-'check-Jul''26'!BT317)</f>
        <v/>
      </c>
      <c r="BU299" s="25" t="str">
        <f>IF('1. Live'!BY317='check-Jul''26'!BU317,"",'1. Live'!BY317-'check-Jul''26'!BU317)</f>
        <v/>
      </c>
      <c r="BV299" s="25" t="str">
        <f>IF('1. Live'!BZ317='check-Jul''26'!BV317,"",'1. Live'!BZ317-'check-Jul''26'!BV317)</f>
        <v/>
      </c>
      <c r="BW299" s="25" t="str">
        <f>IF('1. Live'!CA317='check-Jul''26'!BW317,"",'1. Live'!CA317-'check-Jul''26'!BW317)</f>
        <v/>
      </c>
      <c r="BX299" s="25" t="str">
        <f>IF('1. Live'!CB317='check-Jul''26'!BX317,"",'1. Live'!CB317-'check-Jul''26'!BX317)</f>
        <v/>
      </c>
      <c r="BY299" s="25" t="str">
        <f>IF('1. Live'!CC317='check-Jul''26'!BY317,"",'1. Live'!CC317-'check-Jul''26'!BY317)</f>
        <v/>
      </c>
      <c r="BZ299" s="25" t="str">
        <f>IF('1. Live'!CD317='check-Jul''26'!BZ317,"",'1. Live'!CD317-'check-Jul''26'!BZ317)</f>
        <v/>
      </c>
      <c r="CA299" s="25" t="str">
        <f>IF('1. Live'!CE317='check-Jul''26'!CA317,"",'1. Live'!CE317-'check-Jul''26'!CA317)</f>
        <v/>
      </c>
      <c r="CB299" s="25" t="str">
        <f>IF('1. Live'!CF317='check-Jul''26'!CB317,"",'1. Live'!CF317-'check-Jul''26'!CB317)</f>
        <v/>
      </c>
      <c r="CC299" s="25" t="str">
        <f>IF('1. Live'!CG317='check-Jul''26'!CC317,"",'1. Live'!CG317-'check-Jul''26'!CC317)</f>
        <v/>
      </c>
      <c r="CD299" s="25" t="str">
        <f>IF('1. Live'!CH317='check-Jul''26'!CD317,"",'1. Live'!CH317-'check-Jul''26'!CD317)</f>
        <v/>
      </c>
      <c r="CE299" s="25" t="str">
        <f>IF('1. Live'!CI317='check-Jul''26'!CE317,"",'1. Live'!CI317-'check-Jul''26'!CE317)</f>
        <v/>
      </c>
      <c r="CF299" s="25" t="str">
        <f>IF('1. Live'!CJ317='check-Jul''26'!CF317,"",'1. Live'!CJ317-'check-Jul''26'!CF317)</f>
        <v/>
      </c>
      <c r="CG299" s="25" t="str">
        <f>IF('1. Live'!CK317='check-Jul''26'!CG317,"",'1. Live'!CK317-'check-Jul''26'!CG317)</f>
        <v/>
      </c>
      <c r="CH299" s="25" t="str">
        <f>IF('1. Live'!CL317='check-Jul''26'!CH317,"",'1. Live'!CL317-'check-Jul''26'!CH317)</f>
        <v/>
      </c>
      <c r="CI299" s="25" t="str">
        <f>IF('1. Live'!CM317='check-Jul''26'!CI317,"",'1. Live'!CM317-'check-Jul''26'!CI317)</f>
        <v/>
      </c>
      <c r="CJ299" s="25" t="str">
        <f>IF('1. Live'!CN317='check-Jul''26'!CJ317,"",'1. Live'!CN317-'check-Jul''26'!CJ317)</f>
        <v/>
      </c>
      <c r="CK299" s="25" t="str">
        <f>IF('1. Live'!CO317='check-Jul''26'!CK317,"",'1. Live'!CO317-'check-Jul''26'!CK317)</f>
        <v/>
      </c>
      <c r="CL299" s="25" t="str">
        <f>IF('1. Live'!CP317='check-Jul''26'!CL317,"",'1. Live'!CP317-'check-Jul''26'!CL317)</f>
        <v/>
      </c>
      <c r="CM299" s="25" t="str">
        <f>IF('1. Live'!CQ317='check-Jul''26'!CM317,"",'1. Live'!CQ317-'check-Jul''26'!CM317)</f>
        <v/>
      </c>
      <c r="CN299" s="25" t="str">
        <f>IF('1. Live'!CR317='check-Jul''26'!CN317,"",'1. Live'!CR317-'check-Jul''26'!CN317)</f>
        <v/>
      </c>
      <c r="CO299" s="25" t="str">
        <f>IF('1. Live'!CS317='check-Jul''26'!CO317,"",'1. Live'!CS317-'check-Jul''26'!CO317)</f>
        <v/>
      </c>
      <c r="CP299" s="25" t="str">
        <f>IF('1. Live'!CT317='check-Jul''26'!CP317,"",'1. Live'!CT317-'check-Jul''26'!CP317)</f>
        <v/>
      </c>
      <c r="CQ299" s="25" t="str">
        <f>IF('1. Live'!CU317='check-Jul''26'!CQ317,"",'1. Live'!CU317-'check-Jul''26'!CQ317)</f>
        <v/>
      </c>
      <c r="CR299" s="25" t="str">
        <f>IF('1. Live'!CV317='check-Jul''26'!CR317,"",'1. Live'!CV317-'check-Jul''26'!CR317)</f>
        <v/>
      </c>
      <c r="CS299" s="25" t="str">
        <f>IF('1. Live'!CW317='check-Jul''26'!CS317,"",'1. Live'!CW317-'check-Jul''26'!CS317)</f>
        <v/>
      </c>
      <c r="CT299" s="25" t="str">
        <f>IF('1. Live'!CX317='check-Jul''26'!CT317,"",'1. Live'!CX317-'check-Jul''26'!CT317)</f>
        <v/>
      </c>
      <c r="CU299" s="25" t="str">
        <f>IF('1. Live'!CY317='check-Jul''26'!CU317,"",'1. Live'!CY317-'check-Jul''26'!CU317)</f>
        <v/>
      </c>
      <c r="CV299" s="25" t="str">
        <f>IF('1. Live'!CZ317='check-Jul''26'!CV317,"",'1. Live'!CZ317-'check-Jul''26'!CV317)</f>
        <v/>
      </c>
    </row>
    <row r="300" spans="17:100" x14ac:dyDescent="0.25">
      <c r="Q300" s="26" t="str">
        <f>IF('1. Live'!N318='check-Jul''26'!I318,"",'1. Live'!N318-'check-Jul''26'!I318)</f>
        <v/>
      </c>
      <c r="R300" s="26" t="str">
        <f>IF('1. Live'!O318='check-Jul''26'!J318,"",'1. Live'!O318-'check-Jul''26'!J318)</f>
        <v/>
      </c>
      <c r="S300" s="26" t="str">
        <f>IF('1. Live'!P318='check-Jul''26'!K318,"",'1. Live'!P318-'check-Jul''26'!K318)</f>
        <v/>
      </c>
      <c r="T300" s="26" t="str">
        <f>IF('1. Live'!Q318='check-Jul''26'!L318,"",'1. Live'!Q318-'check-Jul''26'!L318)</f>
        <v/>
      </c>
      <c r="U300" s="80" t="str">
        <f>IF('1. Live'!R318='check-Jul''26'!M318,"",'1. Live'!R318-'check-Jul''26'!M318)</f>
        <v/>
      </c>
      <c r="V300" s="26" t="str">
        <f>IF('1. Live'!S318='check-Jul''26'!N318,"",'1. Live'!S318-'check-Jul''26'!N318)</f>
        <v/>
      </c>
      <c r="W300" s="25" t="str">
        <f>IF('1. Live'!T318='check-Jul''26'!O318,"",'1. Live'!T318-'check-Jul''26'!O318)</f>
        <v/>
      </c>
      <c r="X300" s="25" t="str">
        <f>IF('1. Live'!U318='check-Jul''26'!Q318,"",'1. Live'!U318-'check-Jul''26'!Q318)</f>
        <v/>
      </c>
      <c r="Y300" s="25" t="str">
        <f>IF('1. Live'!V318='check-Jul''26'!R318,"",'1. Live'!V318-'check-Jul''26'!R318)</f>
        <v/>
      </c>
      <c r="Z300" s="25" t="str">
        <f>IF('1. Live'!W318='check-Jul''26'!S318,"",'1. Live'!W318-'check-Jul''26'!S318)</f>
        <v/>
      </c>
      <c r="AA300" s="25" t="str">
        <f>IF('1. Live'!X318='check-Jul''26'!T318,"",'1. Live'!X318-'check-Jul''26'!T318)</f>
        <v/>
      </c>
      <c r="AB300" s="25" t="str">
        <f>IF('1. Live'!AF318='check-Jul''26'!AB318,"",'1. Live'!AF318-'check-Jul''26'!AB318)</f>
        <v/>
      </c>
      <c r="AC300" s="25" t="str">
        <f>IF('1. Live'!AG318='check-Jul''26'!AC318,"",'1. Live'!AG318-'check-Jul''26'!AC318)</f>
        <v/>
      </c>
      <c r="AD300" s="25" t="str">
        <f>IF('1. Live'!AH318='check-Jul''26'!AD318,"",'1. Live'!AH318-'check-Jul''26'!AD318)</f>
        <v/>
      </c>
      <c r="AE300" s="25" t="str">
        <f>IF('1. Live'!AI318='check-Jul''26'!AE318,"",'1. Live'!AI318-'check-Jul''26'!AE318)</f>
        <v/>
      </c>
      <c r="AF300" s="25" t="str">
        <f>IF('1. Live'!AJ318='check-Jul''26'!AF318,"",'1. Live'!AJ318-'check-Jul''26'!AF318)</f>
        <v/>
      </c>
      <c r="AG300" s="25" t="str">
        <f>IF('1. Live'!AK318='check-Jul''26'!AG318,"",'1. Live'!AK318-'check-Jul''26'!AG318)</f>
        <v/>
      </c>
      <c r="AH300" s="25" t="str">
        <f>IF('1. Live'!AL318='check-Jul''26'!AH318,"",'1. Live'!AL318-'check-Jul''26'!AH318)</f>
        <v/>
      </c>
      <c r="AI300" s="25" t="str">
        <f>IF('1. Live'!AM318='check-Jul''26'!AI318,"",'1. Live'!AM318-'check-Jul''26'!AI318)</f>
        <v/>
      </c>
      <c r="AJ300" s="25" t="str">
        <f>IF('1. Live'!AN318='check-Jul''26'!AJ318,"",'1. Live'!AN318-'check-Jul''26'!AJ318)</f>
        <v/>
      </c>
      <c r="AK300" s="25" t="str">
        <f>IF('1. Live'!AO318='check-Jul''26'!AK318,"",'1. Live'!AO318-'check-Jul''26'!AK318)</f>
        <v/>
      </c>
      <c r="AL300" s="25" t="str">
        <f>IF('1. Live'!AP318='check-Jul''26'!AL318,"",'1. Live'!AP318-'check-Jul''26'!AL318)</f>
        <v/>
      </c>
      <c r="AM300" s="25" t="str">
        <f>IF('1. Live'!AQ318='check-Jul''26'!AM318,"",'1. Live'!AQ318-'check-Jul''26'!AM318)</f>
        <v/>
      </c>
      <c r="AN300" s="25" t="str">
        <f>IF('1. Live'!AR318='check-Jul''26'!AN318,"",'1. Live'!AR318-'check-Jul''26'!AN318)</f>
        <v/>
      </c>
      <c r="AO300" s="25" t="str">
        <f>IF('1. Live'!AS318='check-Jul''26'!AO318,"",'1. Live'!AS318-'check-Jul''26'!AO318)</f>
        <v/>
      </c>
      <c r="AP300" s="25" t="str">
        <f>IF('1. Live'!AT318='check-Jul''26'!AP318,"",'1. Live'!AT318-'check-Jul''26'!AP318)</f>
        <v/>
      </c>
      <c r="AQ300" s="25" t="str">
        <f>IF('1. Live'!AU318='check-Jul''26'!AQ318,"",'1. Live'!AU318-'check-Jul''26'!AQ318)</f>
        <v/>
      </c>
      <c r="AR300" s="25" t="str">
        <f>IF('1. Live'!AV318='check-Jul''26'!AR318,"",'1. Live'!AV318-'check-Jul''26'!AR318)</f>
        <v/>
      </c>
      <c r="AS300" s="25" t="str">
        <f>IF('1. Live'!AW318='check-Jul''26'!AS318,"",'1. Live'!AW318-'check-Jul''26'!AS318)</f>
        <v/>
      </c>
      <c r="AT300" s="25" t="str">
        <f>IF('1. Live'!AX318='check-Jul''26'!AT318,"",'1. Live'!AX318-'check-Jul''26'!AT318)</f>
        <v/>
      </c>
      <c r="AU300" s="25" t="str">
        <f>IF('1. Live'!AY318='check-Jul''26'!AU318,"",'1. Live'!AY318-'check-Jul''26'!AU318)</f>
        <v/>
      </c>
      <c r="AV300" s="25" t="str">
        <f>IF('1. Live'!AZ318='check-Jul''26'!AV318,"",'1. Live'!AZ318-'check-Jul''26'!AV318)</f>
        <v/>
      </c>
      <c r="AW300" s="25" t="str">
        <f>IF('1. Live'!BA318='check-Jul''26'!AW318,"",'1. Live'!BA318-'check-Jul''26'!AW318)</f>
        <v/>
      </c>
      <c r="AX300" s="25" t="str">
        <f>IF('1. Live'!BB318='check-Jul''26'!AX318,"",'1. Live'!BB318-'check-Jul''26'!AX318)</f>
        <v/>
      </c>
      <c r="AY300" s="25" t="str">
        <f>IF('1. Live'!BC318='check-Jul''26'!AY318,"",'1. Live'!BC318-'check-Jul''26'!AY318)</f>
        <v/>
      </c>
      <c r="AZ300" s="25" t="str">
        <f>IF('1. Live'!BD318='check-Jul''26'!AZ318,"",'1. Live'!BD318-'check-Jul''26'!AZ318)</f>
        <v/>
      </c>
      <c r="BA300" s="25" t="str">
        <f>IF('1. Live'!BE318='check-Jul''26'!BA318,"",'1. Live'!BE318-'check-Jul''26'!BA318)</f>
        <v/>
      </c>
      <c r="BB300" s="25" t="str">
        <f>IF('1. Live'!BF318='check-Jul''26'!BB318,"",'1. Live'!BF318-'check-Jul''26'!BB318)</f>
        <v/>
      </c>
      <c r="BC300" s="25" t="str">
        <f>IF('1. Live'!BG318='check-Jul''26'!BC318,"",'1. Live'!BG318-'check-Jul''26'!BC318)</f>
        <v/>
      </c>
      <c r="BD300" s="25" t="str">
        <f>IF('1. Live'!BH318='check-Jul''26'!BD318,"",'1. Live'!BH318-'check-Jul''26'!BD318)</f>
        <v/>
      </c>
      <c r="BE300" s="25" t="str">
        <f>IF('1. Live'!BI318='check-Jul''26'!BE318,"",'1. Live'!BI318-'check-Jul''26'!BE318)</f>
        <v/>
      </c>
      <c r="BF300" s="25" t="str">
        <f>IF('1. Live'!BJ318='check-Jul''26'!BF318,"",'1. Live'!BJ318-'check-Jul''26'!BF318)</f>
        <v/>
      </c>
      <c r="BG300" s="25" t="str">
        <f>IF('1. Live'!BK318='check-Jul''26'!BG318,"",'1. Live'!BK318-'check-Jul''26'!BG318)</f>
        <v/>
      </c>
      <c r="BH300" s="25" t="str">
        <f>IF('1. Live'!BL318='check-Jul''26'!BH318,"",'1. Live'!BL318-'check-Jul''26'!BH318)</f>
        <v/>
      </c>
      <c r="BI300" s="25" t="str">
        <f>IF('1. Live'!BM318='check-Jul''26'!BI318,"",'1. Live'!BM318-'check-Jul''26'!BI318)</f>
        <v/>
      </c>
      <c r="BJ300" s="25" t="str">
        <f>IF('1. Live'!BN318='check-Jul''26'!BJ318,"",'1. Live'!BN318-'check-Jul''26'!BJ318)</f>
        <v/>
      </c>
      <c r="BK300" s="25" t="str">
        <f>IF('1. Live'!BO318='check-Jul''26'!BK318,"",'1. Live'!BO318-'check-Jul''26'!BK318)</f>
        <v/>
      </c>
      <c r="BL300" s="25" t="str">
        <f>IF('1. Live'!BP318='check-Jul''26'!BL318,"",'1. Live'!BP318-'check-Jul''26'!BL318)</f>
        <v/>
      </c>
      <c r="BM300" s="25" t="str">
        <f>IF('1. Live'!BQ318='check-Jul''26'!BM318,"",'1. Live'!BQ318-'check-Jul''26'!BM318)</f>
        <v/>
      </c>
      <c r="BN300" s="25" t="str">
        <f>IF('1. Live'!BR318='check-Jul''26'!BN318,"",'1. Live'!BR318-'check-Jul''26'!BN318)</f>
        <v/>
      </c>
      <c r="BO300" s="25" t="str">
        <f>IF('1. Live'!BS318='check-Jul''26'!BO318,"",'1. Live'!BS318-'check-Jul''26'!BO318)</f>
        <v/>
      </c>
      <c r="BP300" s="25" t="str">
        <f>IF('1. Live'!BT318='check-Jul''26'!BP318,"",'1. Live'!BT318-'check-Jul''26'!BP318)</f>
        <v/>
      </c>
      <c r="BQ300" s="25" t="str">
        <f>IF('1. Live'!BU318='check-Jul''26'!BQ318,"",'1. Live'!BU318-'check-Jul''26'!BQ318)</f>
        <v/>
      </c>
      <c r="BR300" s="25" t="str">
        <f>IF('1. Live'!BV318='check-Jul''26'!BR318,"",'1. Live'!BV318-'check-Jul''26'!BR318)</f>
        <v/>
      </c>
      <c r="BS300" s="25" t="str">
        <f>IF('1. Live'!BW318='check-Jul''26'!BS318,"",'1. Live'!BW318-'check-Jul''26'!BS318)</f>
        <v/>
      </c>
      <c r="BT300" s="25" t="str">
        <f>IF('1. Live'!BX318='check-Jul''26'!BT318,"",'1. Live'!BX318-'check-Jul''26'!BT318)</f>
        <v/>
      </c>
      <c r="BU300" s="25" t="str">
        <f>IF('1. Live'!BY318='check-Jul''26'!BU318,"",'1. Live'!BY318-'check-Jul''26'!BU318)</f>
        <v/>
      </c>
      <c r="BV300" s="25" t="str">
        <f>IF('1. Live'!BZ318='check-Jul''26'!BV318,"",'1. Live'!BZ318-'check-Jul''26'!BV318)</f>
        <v/>
      </c>
      <c r="BW300" s="25" t="str">
        <f>IF('1. Live'!CA318='check-Jul''26'!BW318,"",'1. Live'!CA318-'check-Jul''26'!BW318)</f>
        <v/>
      </c>
      <c r="BX300" s="25" t="str">
        <f>IF('1. Live'!CB318='check-Jul''26'!BX318,"",'1. Live'!CB318-'check-Jul''26'!BX318)</f>
        <v/>
      </c>
      <c r="BY300" s="25" t="str">
        <f>IF('1. Live'!CC318='check-Jul''26'!BY318,"",'1. Live'!CC318-'check-Jul''26'!BY318)</f>
        <v/>
      </c>
      <c r="BZ300" s="25" t="str">
        <f>IF('1. Live'!CD318='check-Jul''26'!BZ318,"",'1. Live'!CD318-'check-Jul''26'!BZ318)</f>
        <v/>
      </c>
      <c r="CA300" s="25" t="str">
        <f>IF('1. Live'!CE318='check-Jul''26'!CA318,"",'1. Live'!CE318-'check-Jul''26'!CA318)</f>
        <v/>
      </c>
      <c r="CB300" s="25" t="str">
        <f>IF('1. Live'!CF318='check-Jul''26'!CB318,"",'1. Live'!CF318-'check-Jul''26'!CB318)</f>
        <v/>
      </c>
      <c r="CC300" s="25" t="str">
        <f>IF('1. Live'!CG318='check-Jul''26'!CC318,"",'1. Live'!CG318-'check-Jul''26'!CC318)</f>
        <v/>
      </c>
      <c r="CD300" s="25" t="str">
        <f>IF('1. Live'!CH318='check-Jul''26'!CD318,"",'1. Live'!CH318-'check-Jul''26'!CD318)</f>
        <v/>
      </c>
      <c r="CE300" s="25" t="str">
        <f>IF('1. Live'!CI318='check-Jul''26'!CE318,"",'1. Live'!CI318-'check-Jul''26'!CE318)</f>
        <v/>
      </c>
      <c r="CF300" s="25" t="str">
        <f>IF('1. Live'!CJ318='check-Jul''26'!CF318,"",'1. Live'!CJ318-'check-Jul''26'!CF318)</f>
        <v/>
      </c>
      <c r="CG300" s="25" t="str">
        <f>IF('1. Live'!CK318='check-Jul''26'!CG318,"",'1. Live'!CK318-'check-Jul''26'!CG318)</f>
        <v/>
      </c>
      <c r="CH300" s="25" t="str">
        <f>IF('1. Live'!CL318='check-Jul''26'!CH318,"",'1. Live'!CL318-'check-Jul''26'!CH318)</f>
        <v/>
      </c>
      <c r="CI300" s="25" t="str">
        <f>IF('1. Live'!CM318='check-Jul''26'!CI318,"",'1. Live'!CM318-'check-Jul''26'!CI318)</f>
        <v/>
      </c>
      <c r="CJ300" s="25" t="str">
        <f>IF('1. Live'!CN318='check-Jul''26'!CJ318,"",'1. Live'!CN318-'check-Jul''26'!CJ318)</f>
        <v/>
      </c>
      <c r="CK300" s="25" t="str">
        <f>IF('1. Live'!CO318='check-Jul''26'!CK318,"",'1. Live'!CO318-'check-Jul''26'!CK318)</f>
        <v/>
      </c>
      <c r="CL300" s="25" t="str">
        <f>IF('1. Live'!CP318='check-Jul''26'!CL318,"",'1. Live'!CP318-'check-Jul''26'!CL318)</f>
        <v/>
      </c>
      <c r="CM300" s="25" t="str">
        <f>IF('1. Live'!CQ318='check-Jul''26'!CM318,"",'1. Live'!CQ318-'check-Jul''26'!CM318)</f>
        <v/>
      </c>
      <c r="CN300" s="25" t="str">
        <f>IF('1. Live'!CR318='check-Jul''26'!CN318,"",'1. Live'!CR318-'check-Jul''26'!CN318)</f>
        <v/>
      </c>
      <c r="CO300" s="25" t="str">
        <f>IF('1. Live'!CS318='check-Jul''26'!CO318,"",'1. Live'!CS318-'check-Jul''26'!CO318)</f>
        <v/>
      </c>
      <c r="CP300" s="25" t="str">
        <f>IF('1. Live'!CT318='check-Jul''26'!CP318,"",'1. Live'!CT318-'check-Jul''26'!CP318)</f>
        <v/>
      </c>
      <c r="CQ300" s="25" t="str">
        <f>IF('1. Live'!CU318='check-Jul''26'!CQ318,"",'1. Live'!CU318-'check-Jul''26'!CQ318)</f>
        <v/>
      </c>
      <c r="CR300" s="25" t="str">
        <f>IF('1. Live'!CV318='check-Jul''26'!CR318,"",'1. Live'!CV318-'check-Jul''26'!CR318)</f>
        <v/>
      </c>
      <c r="CS300" s="25" t="str">
        <f>IF('1. Live'!CW318='check-Jul''26'!CS318,"",'1. Live'!CW318-'check-Jul''26'!CS318)</f>
        <v/>
      </c>
      <c r="CT300" s="25" t="str">
        <f>IF('1. Live'!CX318='check-Jul''26'!CT318,"",'1. Live'!CX318-'check-Jul''26'!CT318)</f>
        <v/>
      </c>
      <c r="CU300" s="25" t="str">
        <f>IF('1. Live'!CY318='check-Jul''26'!CU318,"",'1. Live'!CY318-'check-Jul''26'!CU318)</f>
        <v/>
      </c>
      <c r="CV300" s="25" t="str">
        <f>IF('1. Live'!CZ318='check-Jul''26'!CV318,"",'1. Live'!CZ318-'check-Jul''26'!CV318)</f>
        <v/>
      </c>
    </row>
    <row r="301" spans="17:100" x14ac:dyDescent="0.25">
      <c r="Q301" s="26" t="str">
        <f>IF('1. Live'!N319='check-Jul''26'!I319,"",'1. Live'!N319-'check-Jul''26'!I319)</f>
        <v/>
      </c>
      <c r="R301" s="26" t="str">
        <f>IF('1. Live'!O319='check-Jul''26'!J319,"",'1. Live'!O319-'check-Jul''26'!J319)</f>
        <v/>
      </c>
      <c r="S301" s="26" t="str">
        <f>IF('1. Live'!P319='check-Jul''26'!K319,"",'1. Live'!P319-'check-Jul''26'!K319)</f>
        <v/>
      </c>
      <c r="T301" s="26" t="str">
        <f>IF('1. Live'!Q319='check-Jul''26'!L319,"",'1. Live'!Q319-'check-Jul''26'!L319)</f>
        <v/>
      </c>
      <c r="U301" s="80" t="str">
        <f>IF('1. Live'!R319='check-Jul''26'!M319,"",'1. Live'!R319-'check-Jul''26'!M319)</f>
        <v/>
      </c>
      <c r="V301" s="26" t="str">
        <f>IF('1. Live'!S319='check-Jul''26'!N319,"",'1. Live'!S319-'check-Jul''26'!N319)</f>
        <v/>
      </c>
      <c r="W301" s="25" t="str">
        <f>IF('1. Live'!T319='check-Jul''26'!O319,"",'1. Live'!T319-'check-Jul''26'!O319)</f>
        <v/>
      </c>
      <c r="X301" s="25" t="str">
        <f>IF('1. Live'!U319='check-Jul''26'!Q319,"",'1. Live'!U319-'check-Jul''26'!Q319)</f>
        <v/>
      </c>
      <c r="Y301" s="25" t="str">
        <f>IF('1. Live'!V319='check-Jul''26'!R319,"",'1. Live'!V319-'check-Jul''26'!R319)</f>
        <v/>
      </c>
      <c r="Z301" s="25" t="str">
        <f>IF('1. Live'!W319='check-Jul''26'!S319,"",'1. Live'!W319-'check-Jul''26'!S319)</f>
        <v/>
      </c>
      <c r="AA301" s="25" t="str">
        <f>IF('1. Live'!X319='check-Jul''26'!T319,"",'1. Live'!X319-'check-Jul''26'!T319)</f>
        <v/>
      </c>
      <c r="AB301" s="25" t="str">
        <f>IF('1. Live'!AF319='check-Jul''26'!AB319,"",'1. Live'!AF319-'check-Jul''26'!AB319)</f>
        <v/>
      </c>
      <c r="AC301" s="25" t="str">
        <f>IF('1. Live'!AG319='check-Jul''26'!AC319,"",'1. Live'!AG319-'check-Jul''26'!AC319)</f>
        <v/>
      </c>
      <c r="AD301" s="25" t="str">
        <f>IF('1. Live'!AH319='check-Jul''26'!AD319,"",'1. Live'!AH319-'check-Jul''26'!AD319)</f>
        <v/>
      </c>
      <c r="AE301" s="25" t="str">
        <f>IF('1. Live'!AI319='check-Jul''26'!AE319,"",'1. Live'!AI319-'check-Jul''26'!AE319)</f>
        <v/>
      </c>
      <c r="AF301" s="25" t="str">
        <f>IF('1. Live'!AJ319='check-Jul''26'!AF319,"",'1. Live'!AJ319-'check-Jul''26'!AF319)</f>
        <v/>
      </c>
      <c r="AG301" s="25" t="str">
        <f>IF('1. Live'!AK319='check-Jul''26'!AG319,"",'1. Live'!AK319-'check-Jul''26'!AG319)</f>
        <v/>
      </c>
      <c r="AH301" s="25" t="str">
        <f>IF('1. Live'!AL319='check-Jul''26'!AH319,"",'1. Live'!AL319-'check-Jul''26'!AH319)</f>
        <v/>
      </c>
      <c r="AI301" s="25" t="str">
        <f>IF('1. Live'!AM319='check-Jul''26'!AI319,"",'1. Live'!AM319-'check-Jul''26'!AI319)</f>
        <v/>
      </c>
      <c r="AJ301" s="25" t="str">
        <f>IF('1. Live'!AN319='check-Jul''26'!AJ319,"",'1. Live'!AN319-'check-Jul''26'!AJ319)</f>
        <v/>
      </c>
      <c r="AK301" s="25" t="str">
        <f>IF('1. Live'!AO319='check-Jul''26'!AK319,"",'1. Live'!AO319-'check-Jul''26'!AK319)</f>
        <v/>
      </c>
      <c r="AL301" s="25" t="str">
        <f>IF('1. Live'!AP319='check-Jul''26'!AL319,"",'1. Live'!AP319-'check-Jul''26'!AL319)</f>
        <v/>
      </c>
      <c r="AM301" s="25" t="str">
        <f>IF('1. Live'!AQ319='check-Jul''26'!AM319,"",'1. Live'!AQ319-'check-Jul''26'!AM319)</f>
        <v/>
      </c>
      <c r="AN301" s="25" t="str">
        <f>IF('1. Live'!AR319='check-Jul''26'!AN319,"",'1. Live'!AR319-'check-Jul''26'!AN319)</f>
        <v/>
      </c>
      <c r="AO301" s="25" t="str">
        <f>IF('1. Live'!AS319='check-Jul''26'!AO319,"",'1. Live'!AS319-'check-Jul''26'!AO319)</f>
        <v/>
      </c>
      <c r="AP301" s="25" t="str">
        <f>IF('1. Live'!AT319='check-Jul''26'!AP319,"",'1. Live'!AT319-'check-Jul''26'!AP319)</f>
        <v/>
      </c>
      <c r="AQ301" s="25" t="str">
        <f>IF('1. Live'!AU319='check-Jul''26'!AQ319,"",'1. Live'!AU319-'check-Jul''26'!AQ319)</f>
        <v/>
      </c>
      <c r="AR301" s="25" t="str">
        <f>IF('1. Live'!AV319='check-Jul''26'!AR319,"",'1. Live'!AV319-'check-Jul''26'!AR319)</f>
        <v/>
      </c>
      <c r="AS301" s="25" t="str">
        <f>IF('1. Live'!AW319='check-Jul''26'!AS319,"",'1. Live'!AW319-'check-Jul''26'!AS319)</f>
        <v/>
      </c>
      <c r="AT301" s="25" t="str">
        <f>IF('1. Live'!AX319='check-Jul''26'!AT319,"",'1. Live'!AX319-'check-Jul''26'!AT319)</f>
        <v/>
      </c>
      <c r="AU301" s="25" t="str">
        <f>IF('1. Live'!AY319='check-Jul''26'!AU319,"",'1. Live'!AY319-'check-Jul''26'!AU319)</f>
        <v/>
      </c>
      <c r="AV301" s="25" t="str">
        <f>IF('1. Live'!AZ319='check-Jul''26'!AV319,"",'1. Live'!AZ319-'check-Jul''26'!AV319)</f>
        <v/>
      </c>
      <c r="AW301" s="25" t="str">
        <f>IF('1. Live'!BA319='check-Jul''26'!AW319,"",'1. Live'!BA319-'check-Jul''26'!AW319)</f>
        <v/>
      </c>
      <c r="AX301" s="25" t="str">
        <f>IF('1. Live'!BB319='check-Jul''26'!AX319,"",'1. Live'!BB319-'check-Jul''26'!AX319)</f>
        <v/>
      </c>
      <c r="AY301" s="25" t="str">
        <f>IF('1. Live'!BC319='check-Jul''26'!AY319,"",'1. Live'!BC319-'check-Jul''26'!AY319)</f>
        <v/>
      </c>
      <c r="AZ301" s="25" t="str">
        <f>IF('1. Live'!BD319='check-Jul''26'!AZ319,"",'1. Live'!BD319-'check-Jul''26'!AZ319)</f>
        <v/>
      </c>
      <c r="BA301" s="25" t="str">
        <f>IF('1. Live'!BE319='check-Jul''26'!BA319,"",'1. Live'!BE319-'check-Jul''26'!BA319)</f>
        <v/>
      </c>
      <c r="BB301" s="25" t="str">
        <f>IF('1. Live'!BF319='check-Jul''26'!BB319,"",'1. Live'!BF319-'check-Jul''26'!BB319)</f>
        <v/>
      </c>
      <c r="BC301" s="25" t="str">
        <f>IF('1. Live'!BG319='check-Jul''26'!BC319,"",'1. Live'!BG319-'check-Jul''26'!BC319)</f>
        <v/>
      </c>
      <c r="BD301" s="25" t="str">
        <f>IF('1. Live'!BH319='check-Jul''26'!BD319,"",'1. Live'!BH319-'check-Jul''26'!BD319)</f>
        <v/>
      </c>
      <c r="BE301" s="25" t="str">
        <f>IF('1. Live'!BI319='check-Jul''26'!BE319,"",'1. Live'!BI319-'check-Jul''26'!BE319)</f>
        <v/>
      </c>
      <c r="BF301" s="25" t="str">
        <f>IF('1. Live'!BJ319='check-Jul''26'!BF319,"",'1. Live'!BJ319-'check-Jul''26'!BF319)</f>
        <v/>
      </c>
      <c r="BG301" s="25" t="str">
        <f>IF('1. Live'!BK319='check-Jul''26'!BG319,"",'1. Live'!BK319-'check-Jul''26'!BG319)</f>
        <v/>
      </c>
      <c r="BH301" s="25" t="str">
        <f>IF('1. Live'!BL319='check-Jul''26'!BH319,"",'1. Live'!BL319-'check-Jul''26'!BH319)</f>
        <v/>
      </c>
      <c r="BI301" s="25" t="str">
        <f>IF('1. Live'!BM319='check-Jul''26'!BI319,"",'1. Live'!BM319-'check-Jul''26'!BI319)</f>
        <v/>
      </c>
      <c r="BJ301" s="25" t="str">
        <f>IF('1. Live'!BN319='check-Jul''26'!BJ319,"",'1. Live'!BN319-'check-Jul''26'!BJ319)</f>
        <v/>
      </c>
      <c r="BK301" s="25" t="str">
        <f>IF('1. Live'!BO319='check-Jul''26'!BK319,"",'1. Live'!BO319-'check-Jul''26'!BK319)</f>
        <v/>
      </c>
      <c r="BL301" s="25" t="str">
        <f>IF('1. Live'!BP319='check-Jul''26'!BL319,"",'1. Live'!BP319-'check-Jul''26'!BL319)</f>
        <v/>
      </c>
      <c r="BM301" s="25" t="str">
        <f>IF('1. Live'!BQ319='check-Jul''26'!BM319,"",'1. Live'!BQ319-'check-Jul''26'!BM319)</f>
        <v/>
      </c>
      <c r="BN301" s="25" t="str">
        <f>IF('1. Live'!BR319='check-Jul''26'!BN319,"",'1. Live'!BR319-'check-Jul''26'!BN319)</f>
        <v/>
      </c>
      <c r="BO301" s="25" t="str">
        <f>IF('1. Live'!BS319='check-Jul''26'!BO319,"",'1. Live'!BS319-'check-Jul''26'!BO319)</f>
        <v/>
      </c>
      <c r="BP301" s="25" t="str">
        <f>IF('1. Live'!BT319='check-Jul''26'!BP319,"",'1. Live'!BT319-'check-Jul''26'!BP319)</f>
        <v/>
      </c>
      <c r="BQ301" s="25" t="str">
        <f>IF('1. Live'!BU319='check-Jul''26'!BQ319,"",'1. Live'!BU319-'check-Jul''26'!BQ319)</f>
        <v/>
      </c>
      <c r="BR301" s="25" t="str">
        <f>IF('1. Live'!BV319='check-Jul''26'!BR319,"",'1. Live'!BV319-'check-Jul''26'!BR319)</f>
        <v/>
      </c>
      <c r="BS301" s="25" t="str">
        <f>IF('1. Live'!BW319='check-Jul''26'!BS319,"",'1. Live'!BW319-'check-Jul''26'!BS319)</f>
        <v/>
      </c>
      <c r="BT301" s="25" t="str">
        <f>IF('1. Live'!BX319='check-Jul''26'!BT319,"",'1. Live'!BX319-'check-Jul''26'!BT319)</f>
        <v/>
      </c>
      <c r="BU301" s="25" t="str">
        <f>IF('1. Live'!BY319='check-Jul''26'!BU319,"",'1. Live'!BY319-'check-Jul''26'!BU319)</f>
        <v/>
      </c>
      <c r="BV301" s="25" t="str">
        <f>IF('1. Live'!BZ319='check-Jul''26'!BV319,"",'1. Live'!BZ319-'check-Jul''26'!BV319)</f>
        <v/>
      </c>
      <c r="BW301" s="25" t="str">
        <f>IF('1. Live'!CA319='check-Jul''26'!BW319,"",'1. Live'!CA319-'check-Jul''26'!BW319)</f>
        <v/>
      </c>
      <c r="BX301" s="25" t="str">
        <f>IF('1. Live'!CB319='check-Jul''26'!BX319,"",'1. Live'!CB319-'check-Jul''26'!BX319)</f>
        <v/>
      </c>
      <c r="BY301" s="25" t="str">
        <f>IF('1. Live'!CC319='check-Jul''26'!BY319,"",'1. Live'!CC319-'check-Jul''26'!BY319)</f>
        <v/>
      </c>
      <c r="BZ301" s="25" t="str">
        <f>IF('1. Live'!CD319='check-Jul''26'!BZ319,"",'1. Live'!CD319-'check-Jul''26'!BZ319)</f>
        <v/>
      </c>
      <c r="CA301" s="25" t="str">
        <f>IF('1. Live'!CE319='check-Jul''26'!CA319,"",'1. Live'!CE319-'check-Jul''26'!CA319)</f>
        <v/>
      </c>
      <c r="CB301" s="25" t="str">
        <f>IF('1. Live'!CF319='check-Jul''26'!CB319,"",'1. Live'!CF319-'check-Jul''26'!CB319)</f>
        <v/>
      </c>
      <c r="CC301" s="25" t="str">
        <f>IF('1. Live'!CG319='check-Jul''26'!CC319,"",'1. Live'!CG319-'check-Jul''26'!CC319)</f>
        <v/>
      </c>
      <c r="CD301" s="25" t="str">
        <f>IF('1. Live'!CH319='check-Jul''26'!CD319,"",'1. Live'!CH319-'check-Jul''26'!CD319)</f>
        <v/>
      </c>
      <c r="CE301" s="25" t="str">
        <f>IF('1. Live'!CI319='check-Jul''26'!CE319,"",'1. Live'!CI319-'check-Jul''26'!CE319)</f>
        <v/>
      </c>
      <c r="CF301" s="25" t="str">
        <f>IF('1. Live'!CJ319='check-Jul''26'!CF319,"",'1. Live'!CJ319-'check-Jul''26'!CF319)</f>
        <v/>
      </c>
      <c r="CG301" s="25" t="str">
        <f>IF('1. Live'!CK319='check-Jul''26'!CG319,"",'1. Live'!CK319-'check-Jul''26'!CG319)</f>
        <v/>
      </c>
      <c r="CH301" s="25" t="str">
        <f>IF('1. Live'!CL319='check-Jul''26'!CH319,"",'1. Live'!CL319-'check-Jul''26'!CH319)</f>
        <v/>
      </c>
      <c r="CI301" s="25" t="str">
        <f>IF('1. Live'!CM319='check-Jul''26'!CI319,"",'1. Live'!CM319-'check-Jul''26'!CI319)</f>
        <v/>
      </c>
      <c r="CJ301" s="25" t="str">
        <f>IF('1. Live'!CN319='check-Jul''26'!CJ319,"",'1. Live'!CN319-'check-Jul''26'!CJ319)</f>
        <v/>
      </c>
      <c r="CK301" s="25" t="str">
        <f>IF('1. Live'!CO319='check-Jul''26'!CK319,"",'1. Live'!CO319-'check-Jul''26'!CK319)</f>
        <v/>
      </c>
      <c r="CL301" s="25" t="str">
        <f>IF('1. Live'!CP319='check-Jul''26'!CL319,"",'1. Live'!CP319-'check-Jul''26'!CL319)</f>
        <v/>
      </c>
      <c r="CM301" s="25" t="str">
        <f>IF('1. Live'!CQ319='check-Jul''26'!CM319,"",'1. Live'!CQ319-'check-Jul''26'!CM319)</f>
        <v/>
      </c>
      <c r="CN301" s="25" t="str">
        <f>IF('1. Live'!CR319='check-Jul''26'!CN319,"",'1. Live'!CR319-'check-Jul''26'!CN319)</f>
        <v/>
      </c>
      <c r="CO301" s="25" t="str">
        <f>IF('1. Live'!CS319='check-Jul''26'!CO319,"",'1. Live'!CS319-'check-Jul''26'!CO319)</f>
        <v/>
      </c>
      <c r="CP301" s="25" t="str">
        <f>IF('1. Live'!CT319='check-Jul''26'!CP319,"",'1. Live'!CT319-'check-Jul''26'!CP319)</f>
        <v/>
      </c>
      <c r="CQ301" s="25" t="str">
        <f>IF('1. Live'!CU319='check-Jul''26'!CQ319,"",'1. Live'!CU319-'check-Jul''26'!CQ319)</f>
        <v/>
      </c>
      <c r="CR301" s="25" t="str">
        <f>IF('1. Live'!CV319='check-Jul''26'!CR319,"",'1. Live'!CV319-'check-Jul''26'!CR319)</f>
        <v/>
      </c>
      <c r="CS301" s="25" t="str">
        <f>IF('1. Live'!CW319='check-Jul''26'!CS319,"",'1. Live'!CW319-'check-Jul''26'!CS319)</f>
        <v/>
      </c>
      <c r="CT301" s="25" t="str">
        <f>IF('1. Live'!CX319='check-Jul''26'!CT319,"",'1. Live'!CX319-'check-Jul''26'!CT319)</f>
        <v/>
      </c>
      <c r="CU301" s="25" t="str">
        <f>IF('1. Live'!CY319='check-Jul''26'!CU319,"",'1. Live'!CY319-'check-Jul''26'!CU319)</f>
        <v/>
      </c>
      <c r="CV301" s="25" t="str">
        <f>IF('1. Live'!CZ319='check-Jul''26'!CV319,"",'1. Live'!CZ319-'check-Jul''26'!CV319)</f>
        <v/>
      </c>
    </row>
    <row r="302" spans="17:100" x14ac:dyDescent="0.25">
      <c r="Q302" s="26" t="str">
        <f>IF('1. Live'!N320='check-Jul''26'!I320,"",'1. Live'!N320-'check-Jul''26'!I320)</f>
        <v/>
      </c>
      <c r="R302" s="26" t="str">
        <f>IF('1. Live'!O320='check-Jul''26'!J320,"",'1. Live'!O320-'check-Jul''26'!J320)</f>
        <v/>
      </c>
      <c r="S302" s="26" t="str">
        <f>IF('1. Live'!P320='check-Jul''26'!K320,"",'1. Live'!P320-'check-Jul''26'!K320)</f>
        <v/>
      </c>
      <c r="T302" s="26" t="str">
        <f>IF('1. Live'!Q320='check-Jul''26'!L320,"",'1. Live'!Q320-'check-Jul''26'!L320)</f>
        <v/>
      </c>
      <c r="U302" s="80" t="str">
        <f>IF('1. Live'!R320='check-Jul''26'!M320,"",'1. Live'!R320-'check-Jul''26'!M320)</f>
        <v/>
      </c>
      <c r="V302" s="26" t="str">
        <f>IF('1. Live'!S320='check-Jul''26'!N320,"",'1. Live'!S320-'check-Jul''26'!N320)</f>
        <v/>
      </c>
      <c r="W302" s="25" t="str">
        <f>IF('1. Live'!T320='check-Jul''26'!O320,"",'1. Live'!T320-'check-Jul''26'!O320)</f>
        <v/>
      </c>
      <c r="X302" s="25" t="str">
        <f>IF('1. Live'!U320='check-Jul''26'!Q320,"",'1. Live'!U320-'check-Jul''26'!Q320)</f>
        <v/>
      </c>
      <c r="Y302" s="25" t="str">
        <f>IF('1. Live'!V320='check-Jul''26'!R320,"",'1. Live'!V320-'check-Jul''26'!R320)</f>
        <v/>
      </c>
      <c r="Z302" s="25" t="str">
        <f>IF('1. Live'!W320='check-Jul''26'!S320,"",'1. Live'!W320-'check-Jul''26'!S320)</f>
        <v/>
      </c>
      <c r="AA302" s="25" t="str">
        <f>IF('1. Live'!X320='check-Jul''26'!T320,"",'1. Live'!X320-'check-Jul''26'!T320)</f>
        <v/>
      </c>
      <c r="AB302" s="25" t="str">
        <f>IF('1. Live'!AF320='check-Jul''26'!AB320,"",'1. Live'!AF320-'check-Jul''26'!AB320)</f>
        <v/>
      </c>
      <c r="AC302" s="25" t="str">
        <f>IF('1. Live'!AG320='check-Jul''26'!AC320,"",'1. Live'!AG320-'check-Jul''26'!AC320)</f>
        <v/>
      </c>
      <c r="AD302" s="25" t="str">
        <f>IF('1. Live'!AH320='check-Jul''26'!AD320,"",'1. Live'!AH320-'check-Jul''26'!AD320)</f>
        <v/>
      </c>
      <c r="AE302" s="25" t="str">
        <f>IF('1. Live'!AI320='check-Jul''26'!AE320,"",'1. Live'!AI320-'check-Jul''26'!AE320)</f>
        <v/>
      </c>
      <c r="AF302" s="25" t="str">
        <f>IF('1. Live'!AJ320='check-Jul''26'!AF320,"",'1. Live'!AJ320-'check-Jul''26'!AF320)</f>
        <v/>
      </c>
      <c r="AG302" s="25" t="str">
        <f>IF('1. Live'!AK320='check-Jul''26'!AG320,"",'1. Live'!AK320-'check-Jul''26'!AG320)</f>
        <v/>
      </c>
      <c r="AH302" s="25" t="str">
        <f>IF('1. Live'!AL320='check-Jul''26'!AH320,"",'1. Live'!AL320-'check-Jul''26'!AH320)</f>
        <v/>
      </c>
      <c r="AI302" s="25" t="str">
        <f>IF('1. Live'!AM320='check-Jul''26'!AI320,"",'1. Live'!AM320-'check-Jul''26'!AI320)</f>
        <v/>
      </c>
      <c r="AJ302" s="25" t="str">
        <f>IF('1. Live'!AN320='check-Jul''26'!AJ320,"",'1. Live'!AN320-'check-Jul''26'!AJ320)</f>
        <v/>
      </c>
      <c r="AK302" s="25" t="str">
        <f>IF('1. Live'!AO320='check-Jul''26'!AK320,"",'1. Live'!AO320-'check-Jul''26'!AK320)</f>
        <v/>
      </c>
      <c r="AL302" s="25" t="str">
        <f>IF('1. Live'!AP320='check-Jul''26'!AL320,"",'1. Live'!AP320-'check-Jul''26'!AL320)</f>
        <v/>
      </c>
      <c r="AM302" s="25" t="str">
        <f>IF('1. Live'!AQ320='check-Jul''26'!AM320,"",'1. Live'!AQ320-'check-Jul''26'!AM320)</f>
        <v/>
      </c>
      <c r="AN302" s="25" t="str">
        <f>IF('1. Live'!AR320='check-Jul''26'!AN320,"",'1. Live'!AR320-'check-Jul''26'!AN320)</f>
        <v/>
      </c>
      <c r="AO302" s="25" t="str">
        <f>IF('1. Live'!AS320='check-Jul''26'!AO320,"",'1. Live'!AS320-'check-Jul''26'!AO320)</f>
        <v/>
      </c>
      <c r="AP302" s="25" t="str">
        <f>IF('1. Live'!AT320='check-Jul''26'!AP320,"",'1. Live'!AT320-'check-Jul''26'!AP320)</f>
        <v/>
      </c>
      <c r="AQ302" s="25" t="str">
        <f>IF('1. Live'!AU320='check-Jul''26'!AQ320,"",'1. Live'!AU320-'check-Jul''26'!AQ320)</f>
        <v/>
      </c>
      <c r="AR302" s="25" t="str">
        <f>IF('1. Live'!AV320='check-Jul''26'!AR320,"",'1. Live'!AV320-'check-Jul''26'!AR320)</f>
        <v/>
      </c>
      <c r="AS302" s="25" t="str">
        <f>IF('1. Live'!AW320='check-Jul''26'!AS320,"",'1. Live'!AW320-'check-Jul''26'!AS320)</f>
        <v/>
      </c>
      <c r="AT302" s="25" t="str">
        <f>IF('1. Live'!AX320='check-Jul''26'!AT320,"",'1. Live'!AX320-'check-Jul''26'!AT320)</f>
        <v/>
      </c>
      <c r="AU302" s="25" t="str">
        <f>IF('1. Live'!AY320='check-Jul''26'!AU320,"",'1. Live'!AY320-'check-Jul''26'!AU320)</f>
        <v/>
      </c>
      <c r="AV302" s="25" t="str">
        <f>IF('1. Live'!AZ320='check-Jul''26'!AV320,"",'1. Live'!AZ320-'check-Jul''26'!AV320)</f>
        <v/>
      </c>
      <c r="AW302" s="25" t="str">
        <f>IF('1. Live'!BA320='check-Jul''26'!AW320,"",'1. Live'!BA320-'check-Jul''26'!AW320)</f>
        <v/>
      </c>
      <c r="AX302" s="25" t="str">
        <f>IF('1. Live'!BB320='check-Jul''26'!AX320,"",'1. Live'!BB320-'check-Jul''26'!AX320)</f>
        <v/>
      </c>
      <c r="AY302" s="25" t="str">
        <f>IF('1. Live'!BC320='check-Jul''26'!AY320,"",'1. Live'!BC320-'check-Jul''26'!AY320)</f>
        <v/>
      </c>
      <c r="AZ302" s="25" t="str">
        <f>IF('1. Live'!BD320='check-Jul''26'!AZ320,"",'1. Live'!BD320-'check-Jul''26'!AZ320)</f>
        <v/>
      </c>
      <c r="BA302" s="25" t="str">
        <f>IF('1. Live'!BE320='check-Jul''26'!BA320,"",'1. Live'!BE320-'check-Jul''26'!BA320)</f>
        <v/>
      </c>
      <c r="BB302" s="25" t="str">
        <f>IF('1. Live'!BF320='check-Jul''26'!BB320,"",'1. Live'!BF320-'check-Jul''26'!BB320)</f>
        <v/>
      </c>
      <c r="BC302" s="25" t="str">
        <f>IF('1. Live'!BG320='check-Jul''26'!BC320,"",'1. Live'!BG320-'check-Jul''26'!BC320)</f>
        <v/>
      </c>
      <c r="BD302" s="25" t="str">
        <f>IF('1. Live'!BH320='check-Jul''26'!BD320,"",'1. Live'!BH320-'check-Jul''26'!BD320)</f>
        <v/>
      </c>
      <c r="BE302" s="25" t="str">
        <f>IF('1. Live'!BI320='check-Jul''26'!BE320,"",'1. Live'!BI320-'check-Jul''26'!BE320)</f>
        <v/>
      </c>
      <c r="BF302" s="25" t="str">
        <f>IF('1. Live'!BJ320='check-Jul''26'!BF320,"",'1. Live'!BJ320-'check-Jul''26'!BF320)</f>
        <v/>
      </c>
      <c r="BG302" s="25" t="str">
        <f>IF('1. Live'!BK320='check-Jul''26'!BG320,"",'1. Live'!BK320-'check-Jul''26'!BG320)</f>
        <v/>
      </c>
      <c r="BH302" s="25" t="str">
        <f>IF('1. Live'!BL320='check-Jul''26'!BH320,"",'1. Live'!BL320-'check-Jul''26'!BH320)</f>
        <v/>
      </c>
      <c r="BI302" s="25" t="str">
        <f>IF('1. Live'!BM320='check-Jul''26'!BI320,"",'1. Live'!BM320-'check-Jul''26'!BI320)</f>
        <v/>
      </c>
      <c r="BJ302" s="25" t="str">
        <f>IF('1. Live'!BN320='check-Jul''26'!BJ320,"",'1. Live'!BN320-'check-Jul''26'!BJ320)</f>
        <v/>
      </c>
      <c r="BK302" s="25" t="str">
        <f>IF('1. Live'!BO320='check-Jul''26'!BK320,"",'1. Live'!BO320-'check-Jul''26'!BK320)</f>
        <v/>
      </c>
      <c r="BL302" s="25" t="str">
        <f>IF('1. Live'!BP320='check-Jul''26'!BL320,"",'1. Live'!BP320-'check-Jul''26'!BL320)</f>
        <v/>
      </c>
      <c r="BM302" s="25" t="str">
        <f>IF('1. Live'!BQ320='check-Jul''26'!BM320,"",'1. Live'!BQ320-'check-Jul''26'!BM320)</f>
        <v/>
      </c>
      <c r="BN302" s="25" t="str">
        <f>IF('1. Live'!BR320='check-Jul''26'!BN320,"",'1. Live'!BR320-'check-Jul''26'!BN320)</f>
        <v/>
      </c>
      <c r="BO302" s="25" t="str">
        <f>IF('1. Live'!BS320='check-Jul''26'!BO320,"",'1. Live'!BS320-'check-Jul''26'!BO320)</f>
        <v/>
      </c>
      <c r="BP302" s="25" t="str">
        <f>IF('1. Live'!BT320='check-Jul''26'!BP320,"",'1. Live'!BT320-'check-Jul''26'!BP320)</f>
        <v/>
      </c>
      <c r="BQ302" s="25" t="str">
        <f>IF('1. Live'!BU320='check-Jul''26'!BQ320,"",'1. Live'!BU320-'check-Jul''26'!BQ320)</f>
        <v/>
      </c>
      <c r="BR302" s="25" t="str">
        <f>IF('1. Live'!BV320='check-Jul''26'!BR320,"",'1. Live'!BV320-'check-Jul''26'!BR320)</f>
        <v/>
      </c>
      <c r="BS302" s="25" t="str">
        <f>IF('1. Live'!BW320='check-Jul''26'!BS320,"",'1. Live'!BW320-'check-Jul''26'!BS320)</f>
        <v/>
      </c>
      <c r="BT302" s="25" t="str">
        <f>IF('1. Live'!BX320='check-Jul''26'!BT320,"",'1. Live'!BX320-'check-Jul''26'!BT320)</f>
        <v/>
      </c>
      <c r="BU302" s="25" t="str">
        <f>IF('1. Live'!BY320='check-Jul''26'!BU320,"",'1. Live'!BY320-'check-Jul''26'!BU320)</f>
        <v/>
      </c>
      <c r="BV302" s="25" t="str">
        <f>IF('1. Live'!BZ320='check-Jul''26'!BV320,"",'1. Live'!BZ320-'check-Jul''26'!BV320)</f>
        <v/>
      </c>
      <c r="BW302" s="25" t="str">
        <f>IF('1. Live'!CA320='check-Jul''26'!BW320,"",'1. Live'!CA320-'check-Jul''26'!BW320)</f>
        <v/>
      </c>
      <c r="BX302" s="25" t="str">
        <f>IF('1. Live'!CB320='check-Jul''26'!BX320,"",'1. Live'!CB320-'check-Jul''26'!BX320)</f>
        <v/>
      </c>
      <c r="BY302" s="25" t="str">
        <f>IF('1. Live'!CC320='check-Jul''26'!BY320,"",'1. Live'!CC320-'check-Jul''26'!BY320)</f>
        <v/>
      </c>
      <c r="BZ302" s="25" t="str">
        <f>IF('1. Live'!CD320='check-Jul''26'!BZ320,"",'1. Live'!CD320-'check-Jul''26'!BZ320)</f>
        <v/>
      </c>
      <c r="CA302" s="25" t="str">
        <f>IF('1. Live'!CE320='check-Jul''26'!CA320,"",'1. Live'!CE320-'check-Jul''26'!CA320)</f>
        <v/>
      </c>
      <c r="CB302" s="25" t="str">
        <f>IF('1. Live'!CF320='check-Jul''26'!CB320,"",'1. Live'!CF320-'check-Jul''26'!CB320)</f>
        <v/>
      </c>
      <c r="CC302" s="25" t="str">
        <f>IF('1. Live'!CG320='check-Jul''26'!CC320,"",'1. Live'!CG320-'check-Jul''26'!CC320)</f>
        <v/>
      </c>
      <c r="CD302" s="25" t="str">
        <f>IF('1. Live'!CH320='check-Jul''26'!CD320,"",'1. Live'!CH320-'check-Jul''26'!CD320)</f>
        <v/>
      </c>
      <c r="CE302" s="25" t="str">
        <f>IF('1. Live'!CI320='check-Jul''26'!CE320,"",'1. Live'!CI320-'check-Jul''26'!CE320)</f>
        <v/>
      </c>
      <c r="CF302" s="25" t="str">
        <f>IF('1. Live'!CJ320='check-Jul''26'!CF320,"",'1. Live'!CJ320-'check-Jul''26'!CF320)</f>
        <v/>
      </c>
      <c r="CG302" s="25" t="str">
        <f>IF('1. Live'!CK320='check-Jul''26'!CG320,"",'1. Live'!CK320-'check-Jul''26'!CG320)</f>
        <v/>
      </c>
      <c r="CH302" s="25" t="str">
        <f>IF('1. Live'!CL320='check-Jul''26'!CH320,"",'1. Live'!CL320-'check-Jul''26'!CH320)</f>
        <v/>
      </c>
      <c r="CI302" s="25" t="str">
        <f>IF('1. Live'!CM320='check-Jul''26'!CI320,"",'1. Live'!CM320-'check-Jul''26'!CI320)</f>
        <v/>
      </c>
      <c r="CJ302" s="25" t="str">
        <f>IF('1. Live'!CN320='check-Jul''26'!CJ320,"",'1. Live'!CN320-'check-Jul''26'!CJ320)</f>
        <v/>
      </c>
      <c r="CK302" s="25" t="str">
        <f>IF('1. Live'!CO320='check-Jul''26'!CK320,"",'1. Live'!CO320-'check-Jul''26'!CK320)</f>
        <v/>
      </c>
      <c r="CL302" s="25" t="str">
        <f>IF('1. Live'!CP320='check-Jul''26'!CL320,"",'1. Live'!CP320-'check-Jul''26'!CL320)</f>
        <v/>
      </c>
      <c r="CM302" s="25" t="str">
        <f>IF('1. Live'!CQ320='check-Jul''26'!CM320,"",'1. Live'!CQ320-'check-Jul''26'!CM320)</f>
        <v/>
      </c>
      <c r="CN302" s="25" t="str">
        <f>IF('1. Live'!CR320='check-Jul''26'!CN320,"",'1. Live'!CR320-'check-Jul''26'!CN320)</f>
        <v/>
      </c>
      <c r="CO302" s="25" t="str">
        <f>IF('1. Live'!CS320='check-Jul''26'!CO320,"",'1. Live'!CS320-'check-Jul''26'!CO320)</f>
        <v/>
      </c>
      <c r="CP302" s="25" t="str">
        <f>IF('1. Live'!CT320='check-Jul''26'!CP320,"",'1. Live'!CT320-'check-Jul''26'!CP320)</f>
        <v/>
      </c>
      <c r="CQ302" s="25" t="str">
        <f>IF('1. Live'!CU320='check-Jul''26'!CQ320,"",'1. Live'!CU320-'check-Jul''26'!CQ320)</f>
        <v/>
      </c>
      <c r="CR302" s="25" t="str">
        <f>IF('1. Live'!CV320='check-Jul''26'!CR320,"",'1. Live'!CV320-'check-Jul''26'!CR320)</f>
        <v/>
      </c>
      <c r="CS302" s="25" t="str">
        <f>IF('1. Live'!CW320='check-Jul''26'!CS320,"",'1. Live'!CW320-'check-Jul''26'!CS320)</f>
        <v/>
      </c>
      <c r="CT302" s="25" t="str">
        <f>IF('1. Live'!CX320='check-Jul''26'!CT320,"",'1. Live'!CX320-'check-Jul''26'!CT320)</f>
        <v/>
      </c>
      <c r="CU302" s="25" t="str">
        <f>IF('1. Live'!CY320='check-Jul''26'!CU320,"",'1. Live'!CY320-'check-Jul''26'!CU320)</f>
        <v/>
      </c>
      <c r="CV302" s="25" t="str">
        <f>IF('1. Live'!CZ320='check-Jul''26'!CV320,"",'1. Live'!CZ320-'check-Jul''26'!CV320)</f>
        <v/>
      </c>
    </row>
    <row r="303" spans="17:100" x14ac:dyDescent="0.25">
      <c r="Q303" s="26" t="str">
        <f>IF('1. Live'!N321='check-Jul''26'!I321,"",'1. Live'!N321-'check-Jul''26'!I321)</f>
        <v/>
      </c>
      <c r="R303" s="26" t="str">
        <f>IF('1. Live'!O321='check-Jul''26'!J321,"",'1. Live'!O321-'check-Jul''26'!J321)</f>
        <v/>
      </c>
      <c r="S303" s="26" t="str">
        <f>IF('1. Live'!P321='check-Jul''26'!K321,"",'1. Live'!P321-'check-Jul''26'!K321)</f>
        <v/>
      </c>
      <c r="T303" s="26" t="str">
        <f>IF('1. Live'!Q321='check-Jul''26'!L321,"",'1. Live'!Q321-'check-Jul''26'!L321)</f>
        <v/>
      </c>
      <c r="U303" s="80" t="str">
        <f>IF('1. Live'!R321='check-Jul''26'!M321,"",'1. Live'!R321-'check-Jul''26'!M321)</f>
        <v/>
      </c>
      <c r="V303" s="26" t="str">
        <f>IF('1. Live'!S321='check-Jul''26'!N321,"",'1. Live'!S321-'check-Jul''26'!N321)</f>
        <v/>
      </c>
      <c r="W303" s="25" t="str">
        <f>IF('1. Live'!T321='check-Jul''26'!O321,"",'1. Live'!T321-'check-Jul''26'!O321)</f>
        <v/>
      </c>
      <c r="X303" s="25" t="str">
        <f>IF('1. Live'!U321='check-Jul''26'!Q321,"",'1. Live'!U321-'check-Jul''26'!Q321)</f>
        <v/>
      </c>
      <c r="Y303" s="25" t="str">
        <f>IF('1. Live'!V321='check-Jul''26'!R321,"",'1. Live'!V321-'check-Jul''26'!R321)</f>
        <v/>
      </c>
      <c r="Z303" s="25" t="str">
        <f>IF('1. Live'!W321='check-Jul''26'!S321,"",'1. Live'!W321-'check-Jul''26'!S321)</f>
        <v/>
      </c>
      <c r="AA303" s="25" t="str">
        <f>IF('1. Live'!X321='check-Jul''26'!T321,"",'1. Live'!X321-'check-Jul''26'!T321)</f>
        <v/>
      </c>
      <c r="AB303" s="25" t="str">
        <f>IF('1. Live'!AF321='check-Jul''26'!AB321,"",'1. Live'!AF321-'check-Jul''26'!AB321)</f>
        <v/>
      </c>
      <c r="AC303" s="25" t="str">
        <f>IF('1. Live'!AG321='check-Jul''26'!AC321,"",'1. Live'!AG321-'check-Jul''26'!AC321)</f>
        <v/>
      </c>
      <c r="AD303" s="25" t="str">
        <f>IF('1. Live'!AH321='check-Jul''26'!AD321,"",'1. Live'!AH321-'check-Jul''26'!AD321)</f>
        <v/>
      </c>
      <c r="AE303" s="25" t="str">
        <f>IF('1. Live'!AI321='check-Jul''26'!AE321,"",'1. Live'!AI321-'check-Jul''26'!AE321)</f>
        <v/>
      </c>
      <c r="AF303" s="25" t="str">
        <f>IF('1. Live'!AJ321='check-Jul''26'!AF321,"",'1. Live'!AJ321-'check-Jul''26'!AF321)</f>
        <v/>
      </c>
      <c r="AG303" s="25" t="str">
        <f>IF('1. Live'!AK321='check-Jul''26'!AG321,"",'1. Live'!AK321-'check-Jul''26'!AG321)</f>
        <v/>
      </c>
      <c r="AH303" s="25" t="str">
        <f>IF('1. Live'!AL321='check-Jul''26'!AH321,"",'1. Live'!AL321-'check-Jul''26'!AH321)</f>
        <v/>
      </c>
      <c r="AI303" s="25" t="str">
        <f>IF('1. Live'!AM321='check-Jul''26'!AI321,"",'1. Live'!AM321-'check-Jul''26'!AI321)</f>
        <v/>
      </c>
      <c r="AJ303" s="25" t="str">
        <f>IF('1. Live'!AN321='check-Jul''26'!AJ321,"",'1. Live'!AN321-'check-Jul''26'!AJ321)</f>
        <v/>
      </c>
      <c r="AK303" s="25" t="str">
        <f>IF('1. Live'!AO321='check-Jul''26'!AK321,"",'1. Live'!AO321-'check-Jul''26'!AK321)</f>
        <v/>
      </c>
      <c r="AL303" s="25" t="str">
        <f>IF('1. Live'!AP321='check-Jul''26'!AL321,"",'1. Live'!AP321-'check-Jul''26'!AL321)</f>
        <v/>
      </c>
      <c r="AM303" s="25" t="str">
        <f>IF('1. Live'!AQ321='check-Jul''26'!AM321,"",'1. Live'!AQ321-'check-Jul''26'!AM321)</f>
        <v/>
      </c>
      <c r="AN303" s="25" t="str">
        <f>IF('1. Live'!AR321='check-Jul''26'!AN321,"",'1. Live'!AR321-'check-Jul''26'!AN321)</f>
        <v/>
      </c>
      <c r="AO303" s="25" t="str">
        <f>IF('1. Live'!AS321='check-Jul''26'!AO321,"",'1. Live'!AS321-'check-Jul''26'!AO321)</f>
        <v/>
      </c>
      <c r="AP303" s="25" t="str">
        <f>IF('1. Live'!AT321='check-Jul''26'!AP321,"",'1. Live'!AT321-'check-Jul''26'!AP321)</f>
        <v/>
      </c>
      <c r="AQ303" s="25" t="str">
        <f>IF('1. Live'!AU321='check-Jul''26'!AQ321,"",'1. Live'!AU321-'check-Jul''26'!AQ321)</f>
        <v/>
      </c>
      <c r="AR303" s="25" t="str">
        <f>IF('1. Live'!AV321='check-Jul''26'!AR321,"",'1. Live'!AV321-'check-Jul''26'!AR321)</f>
        <v/>
      </c>
      <c r="AS303" s="25" t="str">
        <f>IF('1. Live'!AW321='check-Jul''26'!AS321,"",'1. Live'!AW321-'check-Jul''26'!AS321)</f>
        <v/>
      </c>
      <c r="AT303" s="25" t="str">
        <f>IF('1. Live'!AX321='check-Jul''26'!AT321,"",'1. Live'!AX321-'check-Jul''26'!AT321)</f>
        <v/>
      </c>
      <c r="AU303" s="25" t="str">
        <f>IF('1. Live'!AY321='check-Jul''26'!AU321,"",'1. Live'!AY321-'check-Jul''26'!AU321)</f>
        <v/>
      </c>
      <c r="AV303" s="25" t="str">
        <f>IF('1. Live'!AZ321='check-Jul''26'!AV321,"",'1. Live'!AZ321-'check-Jul''26'!AV321)</f>
        <v/>
      </c>
      <c r="AW303" s="25" t="str">
        <f>IF('1. Live'!BA321='check-Jul''26'!AW321,"",'1. Live'!BA321-'check-Jul''26'!AW321)</f>
        <v/>
      </c>
      <c r="AX303" s="25" t="str">
        <f>IF('1. Live'!BB321='check-Jul''26'!AX321,"",'1. Live'!BB321-'check-Jul''26'!AX321)</f>
        <v/>
      </c>
      <c r="AY303" s="25" t="str">
        <f>IF('1. Live'!BC321='check-Jul''26'!AY321,"",'1. Live'!BC321-'check-Jul''26'!AY321)</f>
        <v/>
      </c>
      <c r="AZ303" s="25" t="str">
        <f>IF('1. Live'!BD321='check-Jul''26'!AZ321,"",'1. Live'!BD321-'check-Jul''26'!AZ321)</f>
        <v/>
      </c>
      <c r="BA303" s="25" t="str">
        <f>IF('1. Live'!BE321='check-Jul''26'!BA321,"",'1. Live'!BE321-'check-Jul''26'!BA321)</f>
        <v/>
      </c>
      <c r="BB303" s="25" t="str">
        <f>IF('1. Live'!BF321='check-Jul''26'!BB321,"",'1. Live'!BF321-'check-Jul''26'!BB321)</f>
        <v/>
      </c>
      <c r="BC303" s="25" t="str">
        <f>IF('1. Live'!BG321='check-Jul''26'!BC321,"",'1. Live'!BG321-'check-Jul''26'!BC321)</f>
        <v/>
      </c>
      <c r="BD303" s="25" t="str">
        <f>IF('1. Live'!BH321='check-Jul''26'!BD321,"",'1. Live'!BH321-'check-Jul''26'!BD321)</f>
        <v/>
      </c>
      <c r="BE303" s="25" t="str">
        <f>IF('1. Live'!BI321='check-Jul''26'!BE321,"",'1. Live'!BI321-'check-Jul''26'!BE321)</f>
        <v/>
      </c>
      <c r="BF303" s="25" t="str">
        <f>IF('1. Live'!BJ321='check-Jul''26'!BF321,"",'1. Live'!BJ321-'check-Jul''26'!BF321)</f>
        <v/>
      </c>
      <c r="BG303" s="25" t="str">
        <f>IF('1. Live'!BK321='check-Jul''26'!BG321,"",'1. Live'!BK321-'check-Jul''26'!BG321)</f>
        <v/>
      </c>
      <c r="BH303" s="25" t="str">
        <f>IF('1. Live'!BL321='check-Jul''26'!BH321,"",'1. Live'!BL321-'check-Jul''26'!BH321)</f>
        <v/>
      </c>
      <c r="BI303" s="25" t="str">
        <f>IF('1. Live'!BM321='check-Jul''26'!BI321,"",'1. Live'!BM321-'check-Jul''26'!BI321)</f>
        <v/>
      </c>
      <c r="BJ303" s="25" t="str">
        <f>IF('1. Live'!BN321='check-Jul''26'!BJ321,"",'1. Live'!BN321-'check-Jul''26'!BJ321)</f>
        <v/>
      </c>
      <c r="BK303" s="25" t="str">
        <f>IF('1. Live'!BO321='check-Jul''26'!BK321,"",'1. Live'!BO321-'check-Jul''26'!BK321)</f>
        <v/>
      </c>
      <c r="BL303" s="25" t="str">
        <f>IF('1. Live'!BP321='check-Jul''26'!BL321,"",'1. Live'!BP321-'check-Jul''26'!BL321)</f>
        <v/>
      </c>
      <c r="BM303" s="25" t="str">
        <f>IF('1. Live'!BQ321='check-Jul''26'!BM321,"",'1. Live'!BQ321-'check-Jul''26'!BM321)</f>
        <v/>
      </c>
      <c r="BN303" s="25" t="str">
        <f>IF('1. Live'!BR321='check-Jul''26'!BN321,"",'1. Live'!BR321-'check-Jul''26'!BN321)</f>
        <v/>
      </c>
      <c r="BO303" s="25" t="str">
        <f>IF('1. Live'!BS321='check-Jul''26'!BO321,"",'1. Live'!BS321-'check-Jul''26'!BO321)</f>
        <v/>
      </c>
      <c r="BP303" s="25" t="str">
        <f>IF('1. Live'!BT321='check-Jul''26'!BP321,"",'1. Live'!BT321-'check-Jul''26'!BP321)</f>
        <v/>
      </c>
      <c r="BQ303" s="25" t="str">
        <f>IF('1. Live'!BU321='check-Jul''26'!BQ321,"",'1. Live'!BU321-'check-Jul''26'!BQ321)</f>
        <v/>
      </c>
      <c r="BR303" s="25" t="str">
        <f>IF('1. Live'!BV321='check-Jul''26'!BR321,"",'1. Live'!BV321-'check-Jul''26'!BR321)</f>
        <v/>
      </c>
      <c r="BS303" s="25" t="str">
        <f>IF('1. Live'!BW321='check-Jul''26'!BS321,"",'1. Live'!BW321-'check-Jul''26'!BS321)</f>
        <v/>
      </c>
      <c r="BT303" s="25" t="str">
        <f>IF('1. Live'!BX321='check-Jul''26'!BT321,"",'1. Live'!BX321-'check-Jul''26'!BT321)</f>
        <v/>
      </c>
      <c r="BU303" s="25" t="str">
        <f>IF('1. Live'!BY321='check-Jul''26'!BU321,"",'1. Live'!BY321-'check-Jul''26'!BU321)</f>
        <v/>
      </c>
      <c r="BV303" s="25" t="str">
        <f>IF('1. Live'!BZ321='check-Jul''26'!BV321,"",'1. Live'!BZ321-'check-Jul''26'!BV321)</f>
        <v/>
      </c>
      <c r="BW303" s="25" t="str">
        <f>IF('1. Live'!CA321='check-Jul''26'!BW321,"",'1. Live'!CA321-'check-Jul''26'!BW321)</f>
        <v/>
      </c>
      <c r="BX303" s="25" t="str">
        <f>IF('1. Live'!CB321='check-Jul''26'!BX321,"",'1. Live'!CB321-'check-Jul''26'!BX321)</f>
        <v/>
      </c>
      <c r="BY303" s="25" t="str">
        <f>IF('1. Live'!CC321='check-Jul''26'!BY321,"",'1. Live'!CC321-'check-Jul''26'!BY321)</f>
        <v/>
      </c>
      <c r="BZ303" s="25" t="str">
        <f>IF('1. Live'!CD321='check-Jul''26'!BZ321,"",'1. Live'!CD321-'check-Jul''26'!BZ321)</f>
        <v/>
      </c>
      <c r="CA303" s="25" t="str">
        <f>IF('1. Live'!CE321='check-Jul''26'!CA321,"",'1. Live'!CE321-'check-Jul''26'!CA321)</f>
        <v/>
      </c>
      <c r="CB303" s="25" t="str">
        <f>IF('1. Live'!CF321='check-Jul''26'!CB321,"",'1. Live'!CF321-'check-Jul''26'!CB321)</f>
        <v/>
      </c>
      <c r="CC303" s="25" t="str">
        <f>IF('1. Live'!CG321='check-Jul''26'!CC321,"",'1. Live'!CG321-'check-Jul''26'!CC321)</f>
        <v/>
      </c>
      <c r="CD303" s="25" t="str">
        <f>IF('1. Live'!CH321='check-Jul''26'!CD321,"",'1. Live'!CH321-'check-Jul''26'!CD321)</f>
        <v/>
      </c>
      <c r="CE303" s="25" t="str">
        <f>IF('1. Live'!CI321='check-Jul''26'!CE321,"",'1. Live'!CI321-'check-Jul''26'!CE321)</f>
        <v/>
      </c>
      <c r="CF303" s="25" t="str">
        <f>IF('1. Live'!CJ321='check-Jul''26'!CF321,"",'1. Live'!CJ321-'check-Jul''26'!CF321)</f>
        <v/>
      </c>
      <c r="CG303" s="25" t="str">
        <f>IF('1. Live'!CK321='check-Jul''26'!CG321,"",'1. Live'!CK321-'check-Jul''26'!CG321)</f>
        <v/>
      </c>
      <c r="CH303" s="25" t="str">
        <f>IF('1. Live'!CL321='check-Jul''26'!CH321,"",'1. Live'!CL321-'check-Jul''26'!CH321)</f>
        <v/>
      </c>
      <c r="CI303" s="25" t="str">
        <f>IF('1. Live'!CM321='check-Jul''26'!CI321,"",'1. Live'!CM321-'check-Jul''26'!CI321)</f>
        <v/>
      </c>
      <c r="CJ303" s="25" t="str">
        <f>IF('1. Live'!CN321='check-Jul''26'!CJ321,"",'1. Live'!CN321-'check-Jul''26'!CJ321)</f>
        <v/>
      </c>
      <c r="CK303" s="25" t="str">
        <f>IF('1. Live'!CO321='check-Jul''26'!CK321,"",'1. Live'!CO321-'check-Jul''26'!CK321)</f>
        <v/>
      </c>
      <c r="CL303" s="25" t="str">
        <f>IF('1. Live'!CP321='check-Jul''26'!CL321,"",'1. Live'!CP321-'check-Jul''26'!CL321)</f>
        <v/>
      </c>
      <c r="CM303" s="25" t="str">
        <f>IF('1. Live'!CQ321='check-Jul''26'!CM321,"",'1. Live'!CQ321-'check-Jul''26'!CM321)</f>
        <v/>
      </c>
      <c r="CN303" s="25" t="str">
        <f>IF('1. Live'!CR321='check-Jul''26'!CN321,"",'1. Live'!CR321-'check-Jul''26'!CN321)</f>
        <v/>
      </c>
      <c r="CO303" s="25" t="str">
        <f>IF('1. Live'!CS321='check-Jul''26'!CO321,"",'1. Live'!CS321-'check-Jul''26'!CO321)</f>
        <v/>
      </c>
      <c r="CP303" s="25" t="str">
        <f>IF('1. Live'!CT321='check-Jul''26'!CP321,"",'1. Live'!CT321-'check-Jul''26'!CP321)</f>
        <v/>
      </c>
      <c r="CQ303" s="25" t="str">
        <f>IF('1. Live'!CU321='check-Jul''26'!CQ321,"",'1. Live'!CU321-'check-Jul''26'!CQ321)</f>
        <v/>
      </c>
      <c r="CR303" s="25" t="str">
        <f>IF('1. Live'!CV321='check-Jul''26'!CR321,"",'1. Live'!CV321-'check-Jul''26'!CR321)</f>
        <v/>
      </c>
      <c r="CS303" s="25" t="str">
        <f>IF('1. Live'!CW321='check-Jul''26'!CS321,"",'1. Live'!CW321-'check-Jul''26'!CS321)</f>
        <v/>
      </c>
      <c r="CT303" s="25" t="str">
        <f>IF('1. Live'!CX321='check-Jul''26'!CT321,"",'1. Live'!CX321-'check-Jul''26'!CT321)</f>
        <v/>
      </c>
      <c r="CU303" s="25" t="str">
        <f>IF('1. Live'!CY321='check-Jul''26'!CU321,"",'1. Live'!CY321-'check-Jul''26'!CU321)</f>
        <v/>
      </c>
      <c r="CV303" s="25" t="str">
        <f>IF('1. Live'!CZ321='check-Jul''26'!CV321,"",'1. Live'!CZ321-'check-Jul''26'!CV321)</f>
        <v/>
      </c>
    </row>
    <row r="304" spans="17:100" x14ac:dyDescent="0.25">
      <c r="Q304" s="26" t="str">
        <f>IF('1. Live'!N322='check-Jul''26'!I322,"",'1. Live'!N322-'check-Jul''26'!I322)</f>
        <v/>
      </c>
      <c r="R304" s="26" t="str">
        <f>IF('1. Live'!O322='check-Jul''26'!J322,"",'1. Live'!O322-'check-Jul''26'!J322)</f>
        <v/>
      </c>
      <c r="S304" s="26" t="str">
        <f>IF('1. Live'!P322='check-Jul''26'!K322,"",'1. Live'!P322-'check-Jul''26'!K322)</f>
        <v/>
      </c>
      <c r="T304" s="26" t="str">
        <f>IF('1. Live'!Q322='check-Jul''26'!L322,"",'1. Live'!Q322-'check-Jul''26'!L322)</f>
        <v/>
      </c>
      <c r="U304" s="80" t="str">
        <f>IF('1. Live'!R322='check-Jul''26'!M322,"",'1. Live'!R322-'check-Jul''26'!M322)</f>
        <v/>
      </c>
      <c r="V304" s="26" t="str">
        <f>IF('1. Live'!S322='check-Jul''26'!N322,"",'1. Live'!S322-'check-Jul''26'!N322)</f>
        <v/>
      </c>
      <c r="W304" s="25" t="str">
        <f>IF('1. Live'!T322='check-Jul''26'!O322,"",'1. Live'!T322-'check-Jul''26'!O322)</f>
        <v/>
      </c>
      <c r="X304" s="25" t="str">
        <f>IF('1. Live'!U322='check-Jul''26'!Q322,"",'1. Live'!U322-'check-Jul''26'!Q322)</f>
        <v/>
      </c>
      <c r="Y304" s="25" t="str">
        <f>IF('1. Live'!V322='check-Jul''26'!R322,"",'1. Live'!V322-'check-Jul''26'!R322)</f>
        <v/>
      </c>
      <c r="Z304" s="25" t="str">
        <f>IF('1. Live'!W322='check-Jul''26'!S322,"",'1. Live'!W322-'check-Jul''26'!S322)</f>
        <v/>
      </c>
      <c r="AA304" s="25" t="str">
        <f>IF('1. Live'!X322='check-Jul''26'!T322,"",'1. Live'!X322-'check-Jul''26'!T322)</f>
        <v/>
      </c>
      <c r="AB304" s="25" t="str">
        <f>IF('1. Live'!AF322='check-Jul''26'!AB322,"",'1. Live'!AF322-'check-Jul''26'!AB322)</f>
        <v/>
      </c>
      <c r="AC304" s="25" t="str">
        <f>IF('1. Live'!AG322='check-Jul''26'!AC322,"",'1. Live'!AG322-'check-Jul''26'!AC322)</f>
        <v/>
      </c>
      <c r="AD304" s="25" t="str">
        <f>IF('1. Live'!AH322='check-Jul''26'!AD322,"",'1. Live'!AH322-'check-Jul''26'!AD322)</f>
        <v/>
      </c>
      <c r="AE304" s="25" t="str">
        <f>IF('1. Live'!AI322='check-Jul''26'!AE322,"",'1. Live'!AI322-'check-Jul''26'!AE322)</f>
        <v/>
      </c>
      <c r="AF304" s="25" t="str">
        <f>IF('1. Live'!AJ322='check-Jul''26'!AF322,"",'1. Live'!AJ322-'check-Jul''26'!AF322)</f>
        <v/>
      </c>
      <c r="AG304" s="25" t="str">
        <f>IF('1. Live'!AK322='check-Jul''26'!AG322,"",'1. Live'!AK322-'check-Jul''26'!AG322)</f>
        <v/>
      </c>
      <c r="AH304" s="25" t="str">
        <f>IF('1. Live'!AL322='check-Jul''26'!AH322,"",'1. Live'!AL322-'check-Jul''26'!AH322)</f>
        <v/>
      </c>
      <c r="AI304" s="25" t="str">
        <f>IF('1. Live'!AM322='check-Jul''26'!AI322,"",'1. Live'!AM322-'check-Jul''26'!AI322)</f>
        <v/>
      </c>
      <c r="AJ304" s="25" t="str">
        <f>IF('1. Live'!AN322='check-Jul''26'!AJ322,"",'1. Live'!AN322-'check-Jul''26'!AJ322)</f>
        <v/>
      </c>
      <c r="AK304" s="25" t="str">
        <f>IF('1. Live'!AO322='check-Jul''26'!AK322,"",'1. Live'!AO322-'check-Jul''26'!AK322)</f>
        <v/>
      </c>
      <c r="AL304" s="25" t="str">
        <f>IF('1. Live'!AP322='check-Jul''26'!AL322,"",'1. Live'!AP322-'check-Jul''26'!AL322)</f>
        <v/>
      </c>
      <c r="AM304" s="25" t="str">
        <f>IF('1. Live'!AQ322='check-Jul''26'!AM322,"",'1. Live'!AQ322-'check-Jul''26'!AM322)</f>
        <v/>
      </c>
      <c r="AN304" s="25" t="str">
        <f>IF('1. Live'!AR322='check-Jul''26'!AN322,"",'1. Live'!AR322-'check-Jul''26'!AN322)</f>
        <v/>
      </c>
      <c r="AO304" s="25" t="str">
        <f>IF('1. Live'!AS322='check-Jul''26'!AO322,"",'1. Live'!AS322-'check-Jul''26'!AO322)</f>
        <v/>
      </c>
      <c r="AP304" s="25" t="str">
        <f>IF('1. Live'!AT322='check-Jul''26'!AP322,"",'1. Live'!AT322-'check-Jul''26'!AP322)</f>
        <v/>
      </c>
      <c r="AQ304" s="25" t="str">
        <f>IF('1. Live'!AU322='check-Jul''26'!AQ322,"",'1. Live'!AU322-'check-Jul''26'!AQ322)</f>
        <v/>
      </c>
      <c r="AR304" s="25" t="str">
        <f>IF('1. Live'!AV322='check-Jul''26'!AR322,"",'1. Live'!AV322-'check-Jul''26'!AR322)</f>
        <v/>
      </c>
      <c r="AS304" s="25" t="str">
        <f>IF('1. Live'!AW322='check-Jul''26'!AS322,"",'1. Live'!AW322-'check-Jul''26'!AS322)</f>
        <v/>
      </c>
      <c r="AT304" s="25" t="str">
        <f>IF('1. Live'!AX322='check-Jul''26'!AT322,"",'1. Live'!AX322-'check-Jul''26'!AT322)</f>
        <v/>
      </c>
      <c r="AU304" s="25" t="str">
        <f>IF('1. Live'!AY322='check-Jul''26'!AU322,"",'1. Live'!AY322-'check-Jul''26'!AU322)</f>
        <v/>
      </c>
      <c r="AV304" s="25" t="str">
        <f>IF('1. Live'!AZ322='check-Jul''26'!AV322,"",'1. Live'!AZ322-'check-Jul''26'!AV322)</f>
        <v/>
      </c>
      <c r="AW304" s="25" t="str">
        <f>IF('1. Live'!BA322='check-Jul''26'!AW322,"",'1. Live'!BA322-'check-Jul''26'!AW322)</f>
        <v/>
      </c>
      <c r="AX304" s="25" t="str">
        <f>IF('1. Live'!BB322='check-Jul''26'!AX322,"",'1. Live'!BB322-'check-Jul''26'!AX322)</f>
        <v/>
      </c>
      <c r="AY304" s="25" t="str">
        <f>IF('1. Live'!BC322='check-Jul''26'!AY322,"",'1. Live'!BC322-'check-Jul''26'!AY322)</f>
        <v/>
      </c>
      <c r="AZ304" s="25" t="str">
        <f>IF('1. Live'!BD322='check-Jul''26'!AZ322,"",'1. Live'!BD322-'check-Jul''26'!AZ322)</f>
        <v/>
      </c>
      <c r="BA304" s="25" t="str">
        <f>IF('1. Live'!BE322='check-Jul''26'!BA322,"",'1. Live'!BE322-'check-Jul''26'!BA322)</f>
        <v/>
      </c>
      <c r="BB304" s="25" t="str">
        <f>IF('1. Live'!BF322='check-Jul''26'!BB322,"",'1. Live'!BF322-'check-Jul''26'!BB322)</f>
        <v/>
      </c>
      <c r="BC304" s="25" t="str">
        <f>IF('1. Live'!BG322='check-Jul''26'!BC322,"",'1. Live'!BG322-'check-Jul''26'!BC322)</f>
        <v/>
      </c>
      <c r="BD304" s="25" t="str">
        <f>IF('1. Live'!BH322='check-Jul''26'!BD322,"",'1. Live'!BH322-'check-Jul''26'!BD322)</f>
        <v/>
      </c>
      <c r="BE304" s="25" t="str">
        <f>IF('1. Live'!BI322='check-Jul''26'!BE322,"",'1. Live'!BI322-'check-Jul''26'!BE322)</f>
        <v/>
      </c>
      <c r="BF304" s="25" t="str">
        <f>IF('1. Live'!BJ322='check-Jul''26'!BF322,"",'1. Live'!BJ322-'check-Jul''26'!BF322)</f>
        <v/>
      </c>
      <c r="BG304" s="25" t="str">
        <f>IF('1. Live'!BK322='check-Jul''26'!BG322,"",'1. Live'!BK322-'check-Jul''26'!BG322)</f>
        <v/>
      </c>
      <c r="BH304" s="25" t="str">
        <f>IF('1. Live'!BL322='check-Jul''26'!BH322,"",'1. Live'!BL322-'check-Jul''26'!BH322)</f>
        <v/>
      </c>
      <c r="BI304" s="25" t="str">
        <f>IF('1. Live'!BM322='check-Jul''26'!BI322,"",'1. Live'!BM322-'check-Jul''26'!BI322)</f>
        <v/>
      </c>
      <c r="BJ304" s="25" t="str">
        <f>IF('1. Live'!BN322='check-Jul''26'!BJ322,"",'1. Live'!BN322-'check-Jul''26'!BJ322)</f>
        <v/>
      </c>
      <c r="BK304" s="25" t="str">
        <f>IF('1. Live'!BO322='check-Jul''26'!BK322,"",'1. Live'!BO322-'check-Jul''26'!BK322)</f>
        <v/>
      </c>
      <c r="BL304" s="25" t="str">
        <f>IF('1. Live'!BP322='check-Jul''26'!BL322,"",'1. Live'!BP322-'check-Jul''26'!BL322)</f>
        <v/>
      </c>
      <c r="BM304" s="25" t="str">
        <f>IF('1. Live'!BQ322='check-Jul''26'!BM322,"",'1. Live'!BQ322-'check-Jul''26'!BM322)</f>
        <v/>
      </c>
      <c r="BN304" s="25" t="str">
        <f>IF('1. Live'!BR322='check-Jul''26'!BN322,"",'1. Live'!BR322-'check-Jul''26'!BN322)</f>
        <v/>
      </c>
      <c r="BO304" s="25" t="str">
        <f>IF('1. Live'!BS322='check-Jul''26'!BO322,"",'1. Live'!BS322-'check-Jul''26'!BO322)</f>
        <v/>
      </c>
      <c r="BP304" s="25" t="str">
        <f>IF('1. Live'!BT322='check-Jul''26'!BP322,"",'1. Live'!BT322-'check-Jul''26'!BP322)</f>
        <v/>
      </c>
      <c r="BQ304" s="25" t="str">
        <f>IF('1. Live'!BU322='check-Jul''26'!BQ322,"",'1. Live'!BU322-'check-Jul''26'!BQ322)</f>
        <v/>
      </c>
      <c r="BR304" s="25" t="str">
        <f>IF('1. Live'!BV322='check-Jul''26'!BR322,"",'1. Live'!BV322-'check-Jul''26'!BR322)</f>
        <v/>
      </c>
      <c r="BS304" s="25" t="str">
        <f>IF('1. Live'!BW322='check-Jul''26'!BS322,"",'1. Live'!BW322-'check-Jul''26'!BS322)</f>
        <v/>
      </c>
      <c r="BT304" s="25" t="str">
        <f>IF('1. Live'!BX322='check-Jul''26'!BT322,"",'1. Live'!BX322-'check-Jul''26'!BT322)</f>
        <v/>
      </c>
      <c r="BU304" s="25" t="str">
        <f>IF('1. Live'!BY322='check-Jul''26'!BU322,"",'1. Live'!BY322-'check-Jul''26'!BU322)</f>
        <v/>
      </c>
      <c r="BV304" s="25" t="str">
        <f>IF('1. Live'!BZ322='check-Jul''26'!BV322,"",'1. Live'!BZ322-'check-Jul''26'!BV322)</f>
        <v/>
      </c>
      <c r="BW304" s="25" t="str">
        <f>IF('1. Live'!CA322='check-Jul''26'!BW322,"",'1. Live'!CA322-'check-Jul''26'!BW322)</f>
        <v/>
      </c>
      <c r="BX304" s="25" t="str">
        <f>IF('1. Live'!CB322='check-Jul''26'!BX322,"",'1. Live'!CB322-'check-Jul''26'!BX322)</f>
        <v/>
      </c>
      <c r="BY304" s="25" t="str">
        <f>IF('1. Live'!CC322='check-Jul''26'!BY322,"",'1. Live'!CC322-'check-Jul''26'!BY322)</f>
        <v/>
      </c>
      <c r="BZ304" s="25" t="str">
        <f>IF('1. Live'!CD322='check-Jul''26'!BZ322,"",'1. Live'!CD322-'check-Jul''26'!BZ322)</f>
        <v/>
      </c>
      <c r="CA304" s="25" t="str">
        <f>IF('1. Live'!CE322='check-Jul''26'!CA322,"",'1. Live'!CE322-'check-Jul''26'!CA322)</f>
        <v/>
      </c>
      <c r="CB304" s="25" t="str">
        <f>IF('1. Live'!CF322='check-Jul''26'!CB322,"",'1. Live'!CF322-'check-Jul''26'!CB322)</f>
        <v/>
      </c>
      <c r="CC304" s="25" t="str">
        <f>IF('1. Live'!CG322='check-Jul''26'!CC322,"",'1. Live'!CG322-'check-Jul''26'!CC322)</f>
        <v/>
      </c>
      <c r="CD304" s="25" t="str">
        <f>IF('1. Live'!CH322='check-Jul''26'!CD322,"",'1. Live'!CH322-'check-Jul''26'!CD322)</f>
        <v/>
      </c>
      <c r="CE304" s="25" t="str">
        <f>IF('1. Live'!CI322='check-Jul''26'!CE322,"",'1. Live'!CI322-'check-Jul''26'!CE322)</f>
        <v/>
      </c>
      <c r="CF304" s="25" t="str">
        <f>IF('1. Live'!CJ322='check-Jul''26'!CF322,"",'1. Live'!CJ322-'check-Jul''26'!CF322)</f>
        <v/>
      </c>
      <c r="CG304" s="25" t="str">
        <f>IF('1. Live'!CK322='check-Jul''26'!CG322,"",'1. Live'!CK322-'check-Jul''26'!CG322)</f>
        <v/>
      </c>
      <c r="CH304" s="25" t="str">
        <f>IF('1. Live'!CL322='check-Jul''26'!CH322,"",'1. Live'!CL322-'check-Jul''26'!CH322)</f>
        <v/>
      </c>
      <c r="CI304" s="25" t="str">
        <f>IF('1. Live'!CM322='check-Jul''26'!CI322,"",'1. Live'!CM322-'check-Jul''26'!CI322)</f>
        <v/>
      </c>
      <c r="CJ304" s="25" t="str">
        <f>IF('1. Live'!CN322='check-Jul''26'!CJ322,"",'1. Live'!CN322-'check-Jul''26'!CJ322)</f>
        <v/>
      </c>
      <c r="CK304" s="25" t="str">
        <f>IF('1. Live'!CO322='check-Jul''26'!CK322,"",'1. Live'!CO322-'check-Jul''26'!CK322)</f>
        <v/>
      </c>
      <c r="CL304" s="25" t="str">
        <f>IF('1. Live'!CP322='check-Jul''26'!CL322,"",'1. Live'!CP322-'check-Jul''26'!CL322)</f>
        <v/>
      </c>
      <c r="CM304" s="25" t="str">
        <f>IF('1. Live'!CQ322='check-Jul''26'!CM322,"",'1. Live'!CQ322-'check-Jul''26'!CM322)</f>
        <v/>
      </c>
      <c r="CN304" s="25" t="str">
        <f>IF('1. Live'!CR322='check-Jul''26'!CN322,"",'1. Live'!CR322-'check-Jul''26'!CN322)</f>
        <v/>
      </c>
      <c r="CO304" s="25" t="str">
        <f>IF('1. Live'!CS322='check-Jul''26'!CO322,"",'1. Live'!CS322-'check-Jul''26'!CO322)</f>
        <v/>
      </c>
      <c r="CP304" s="25" t="str">
        <f>IF('1. Live'!CT322='check-Jul''26'!CP322,"",'1. Live'!CT322-'check-Jul''26'!CP322)</f>
        <v/>
      </c>
      <c r="CQ304" s="25" t="str">
        <f>IF('1. Live'!CU322='check-Jul''26'!CQ322,"",'1. Live'!CU322-'check-Jul''26'!CQ322)</f>
        <v/>
      </c>
      <c r="CR304" s="25" t="str">
        <f>IF('1. Live'!CV322='check-Jul''26'!CR322,"",'1. Live'!CV322-'check-Jul''26'!CR322)</f>
        <v/>
      </c>
      <c r="CS304" s="25" t="str">
        <f>IF('1. Live'!CW322='check-Jul''26'!CS322,"",'1. Live'!CW322-'check-Jul''26'!CS322)</f>
        <v/>
      </c>
      <c r="CT304" s="25" t="str">
        <f>IF('1. Live'!CX322='check-Jul''26'!CT322,"",'1. Live'!CX322-'check-Jul''26'!CT322)</f>
        <v/>
      </c>
      <c r="CU304" s="25" t="str">
        <f>IF('1. Live'!CY322='check-Jul''26'!CU322,"",'1. Live'!CY322-'check-Jul''26'!CU322)</f>
        <v/>
      </c>
      <c r="CV304" s="25" t="str">
        <f>IF('1. Live'!CZ322='check-Jul''26'!CV322,"",'1. Live'!CZ322-'check-Jul''26'!CV322)</f>
        <v/>
      </c>
    </row>
    <row r="305" spans="17:100" x14ac:dyDescent="0.25">
      <c r="Q305" s="26" t="str">
        <f>IF('1. Live'!N323='check-Jul''26'!I323,"",'1. Live'!N323-'check-Jul''26'!I323)</f>
        <v/>
      </c>
      <c r="R305" s="26" t="str">
        <f>IF('1. Live'!O323='check-Jul''26'!J323,"",'1. Live'!O323-'check-Jul''26'!J323)</f>
        <v/>
      </c>
      <c r="S305" s="26" t="str">
        <f>IF('1. Live'!P323='check-Jul''26'!K323,"",'1. Live'!P323-'check-Jul''26'!K323)</f>
        <v/>
      </c>
      <c r="T305" s="26" t="str">
        <f>IF('1. Live'!Q323='check-Jul''26'!L323,"",'1. Live'!Q323-'check-Jul''26'!L323)</f>
        <v/>
      </c>
      <c r="U305" s="80" t="str">
        <f>IF('1. Live'!R323='check-Jul''26'!M323,"",'1. Live'!R323-'check-Jul''26'!M323)</f>
        <v/>
      </c>
      <c r="V305" s="26" t="str">
        <f>IF('1. Live'!S323='check-Jul''26'!N323,"",'1. Live'!S323-'check-Jul''26'!N323)</f>
        <v/>
      </c>
      <c r="W305" s="25" t="str">
        <f>IF('1. Live'!T323='check-Jul''26'!O323,"",'1. Live'!T323-'check-Jul''26'!O323)</f>
        <v/>
      </c>
      <c r="X305" s="25" t="str">
        <f>IF('1. Live'!U323='check-Jul''26'!Q323,"",'1. Live'!U323-'check-Jul''26'!Q323)</f>
        <v/>
      </c>
      <c r="Y305" s="25" t="str">
        <f>IF('1. Live'!V323='check-Jul''26'!R323,"",'1. Live'!V323-'check-Jul''26'!R323)</f>
        <v/>
      </c>
      <c r="Z305" s="25" t="str">
        <f>IF('1. Live'!W323='check-Jul''26'!S323,"",'1. Live'!W323-'check-Jul''26'!S323)</f>
        <v/>
      </c>
      <c r="AA305" s="25" t="str">
        <f>IF('1. Live'!X323='check-Jul''26'!T323,"",'1. Live'!X323-'check-Jul''26'!T323)</f>
        <v/>
      </c>
      <c r="AB305" s="25" t="str">
        <f>IF('1. Live'!AF323='check-Jul''26'!AB323,"",'1. Live'!AF323-'check-Jul''26'!AB323)</f>
        <v/>
      </c>
      <c r="AC305" s="25" t="str">
        <f>IF('1. Live'!AG323='check-Jul''26'!AC323,"",'1. Live'!AG323-'check-Jul''26'!AC323)</f>
        <v/>
      </c>
      <c r="AD305" s="25" t="str">
        <f>IF('1. Live'!AH323='check-Jul''26'!AD323,"",'1. Live'!AH323-'check-Jul''26'!AD323)</f>
        <v/>
      </c>
      <c r="AE305" s="25" t="str">
        <f>IF('1. Live'!AI323='check-Jul''26'!AE323,"",'1. Live'!AI323-'check-Jul''26'!AE323)</f>
        <v/>
      </c>
      <c r="AF305" s="25" t="str">
        <f>IF('1. Live'!AJ323='check-Jul''26'!AF323,"",'1. Live'!AJ323-'check-Jul''26'!AF323)</f>
        <v/>
      </c>
      <c r="AG305" s="25" t="str">
        <f>IF('1. Live'!AK323='check-Jul''26'!AG323,"",'1. Live'!AK323-'check-Jul''26'!AG323)</f>
        <v/>
      </c>
      <c r="AH305" s="25" t="str">
        <f>IF('1. Live'!AL323='check-Jul''26'!AH323,"",'1. Live'!AL323-'check-Jul''26'!AH323)</f>
        <v/>
      </c>
      <c r="AI305" s="25" t="str">
        <f>IF('1. Live'!AM323='check-Jul''26'!AI323,"",'1. Live'!AM323-'check-Jul''26'!AI323)</f>
        <v/>
      </c>
      <c r="AJ305" s="25" t="str">
        <f>IF('1. Live'!AN323='check-Jul''26'!AJ323,"",'1. Live'!AN323-'check-Jul''26'!AJ323)</f>
        <v/>
      </c>
      <c r="AK305" s="25" t="str">
        <f>IF('1. Live'!AO323='check-Jul''26'!AK323,"",'1. Live'!AO323-'check-Jul''26'!AK323)</f>
        <v/>
      </c>
      <c r="AL305" s="25" t="str">
        <f>IF('1. Live'!AP323='check-Jul''26'!AL323,"",'1. Live'!AP323-'check-Jul''26'!AL323)</f>
        <v/>
      </c>
      <c r="AM305" s="25" t="str">
        <f>IF('1. Live'!AQ323='check-Jul''26'!AM323,"",'1. Live'!AQ323-'check-Jul''26'!AM323)</f>
        <v/>
      </c>
      <c r="AN305" s="25" t="str">
        <f>IF('1. Live'!AR323='check-Jul''26'!AN323,"",'1. Live'!AR323-'check-Jul''26'!AN323)</f>
        <v/>
      </c>
      <c r="AO305" s="25" t="str">
        <f>IF('1. Live'!AS323='check-Jul''26'!AO323,"",'1. Live'!AS323-'check-Jul''26'!AO323)</f>
        <v/>
      </c>
      <c r="AP305" s="25" t="str">
        <f>IF('1. Live'!AT323='check-Jul''26'!AP323,"",'1. Live'!AT323-'check-Jul''26'!AP323)</f>
        <v/>
      </c>
      <c r="AQ305" s="25" t="str">
        <f>IF('1. Live'!AU323='check-Jul''26'!AQ323,"",'1. Live'!AU323-'check-Jul''26'!AQ323)</f>
        <v/>
      </c>
      <c r="AR305" s="25" t="str">
        <f>IF('1. Live'!AV323='check-Jul''26'!AR323,"",'1. Live'!AV323-'check-Jul''26'!AR323)</f>
        <v/>
      </c>
      <c r="AS305" s="25" t="str">
        <f>IF('1. Live'!AW323='check-Jul''26'!AS323,"",'1. Live'!AW323-'check-Jul''26'!AS323)</f>
        <v/>
      </c>
      <c r="AT305" s="25" t="str">
        <f>IF('1. Live'!AX323='check-Jul''26'!AT323,"",'1. Live'!AX323-'check-Jul''26'!AT323)</f>
        <v/>
      </c>
      <c r="AU305" s="25" t="str">
        <f>IF('1. Live'!AY323='check-Jul''26'!AU323,"",'1. Live'!AY323-'check-Jul''26'!AU323)</f>
        <v/>
      </c>
      <c r="AV305" s="25" t="str">
        <f>IF('1. Live'!AZ323='check-Jul''26'!AV323,"",'1. Live'!AZ323-'check-Jul''26'!AV323)</f>
        <v/>
      </c>
      <c r="AW305" s="25" t="str">
        <f>IF('1. Live'!BA323='check-Jul''26'!AW323,"",'1. Live'!BA323-'check-Jul''26'!AW323)</f>
        <v/>
      </c>
      <c r="AX305" s="25" t="str">
        <f>IF('1. Live'!BB323='check-Jul''26'!AX323,"",'1. Live'!BB323-'check-Jul''26'!AX323)</f>
        <v/>
      </c>
      <c r="AY305" s="25" t="str">
        <f>IF('1. Live'!BC323='check-Jul''26'!AY323,"",'1. Live'!BC323-'check-Jul''26'!AY323)</f>
        <v/>
      </c>
      <c r="AZ305" s="25" t="str">
        <f>IF('1. Live'!BD323='check-Jul''26'!AZ323,"",'1. Live'!BD323-'check-Jul''26'!AZ323)</f>
        <v/>
      </c>
      <c r="BA305" s="25" t="str">
        <f>IF('1. Live'!BE323='check-Jul''26'!BA323,"",'1. Live'!BE323-'check-Jul''26'!BA323)</f>
        <v/>
      </c>
      <c r="BB305" s="25" t="str">
        <f>IF('1. Live'!BF323='check-Jul''26'!BB323,"",'1. Live'!BF323-'check-Jul''26'!BB323)</f>
        <v/>
      </c>
      <c r="BC305" s="25" t="str">
        <f>IF('1. Live'!BG323='check-Jul''26'!BC323,"",'1. Live'!BG323-'check-Jul''26'!BC323)</f>
        <v/>
      </c>
      <c r="BD305" s="25" t="str">
        <f>IF('1. Live'!BH323='check-Jul''26'!BD323,"",'1. Live'!BH323-'check-Jul''26'!BD323)</f>
        <v/>
      </c>
      <c r="BE305" s="25" t="str">
        <f>IF('1. Live'!BI323='check-Jul''26'!BE323,"",'1. Live'!BI323-'check-Jul''26'!BE323)</f>
        <v/>
      </c>
      <c r="BF305" s="25" t="str">
        <f>IF('1. Live'!BJ323='check-Jul''26'!BF323,"",'1. Live'!BJ323-'check-Jul''26'!BF323)</f>
        <v/>
      </c>
      <c r="BG305" s="25" t="str">
        <f>IF('1. Live'!BK323='check-Jul''26'!BG323,"",'1. Live'!BK323-'check-Jul''26'!BG323)</f>
        <v/>
      </c>
      <c r="BH305" s="25" t="str">
        <f>IF('1. Live'!BL323='check-Jul''26'!BH323,"",'1. Live'!BL323-'check-Jul''26'!BH323)</f>
        <v/>
      </c>
      <c r="BI305" s="25" t="str">
        <f>IF('1. Live'!BM323='check-Jul''26'!BI323,"",'1. Live'!BM323-'check-Jul''26'!BI323)</f>
        <v/>
      </c>
      <c r="BJ305" s="25" t="str">
        <f>IF('1. Live'!BN323='check-Jul''26'!BJ323,"",'1. Live'!BN323-'check-Jul''26'!BJ323)</f>
        <v/>
      </c>
      <c r="BK305" s="25" t="str">
        <f>IF('1. Live'!BO323='check-Jul''26'!BK323,"",'1. Live'!BO323-'check-Jul''26'!BK323)</f>
        <v/>
      </c>
      <c r="BL305" s="25" t="str">
        <f>IF('1. Live'!BP323='check-Jul''26'!BL323,"",'1. Live'!BP323-'check-Jul''26'!BL323)</f>
        <v/>
      </c>
      <c r="BM305" s="25" t="str">
        <f>IF('1. Live'!BQ323='check-Jul''26'!BM323,"",'1. Live'!BQ323-'check-Jul''26'!BM323)</f>
        <v/>
      </c>
      <c r="BN305" s="25" t="str">
        <f>IF('1. Live'!BR323='check-Jul''26'!BN323,"",'1. Live'!BR323-'check-Jul''26'!BN323)</f>
        <v/>
      </c>
      <c r="BO305" s="25" t="str">
        <f>IF('1. Live'!BS323='check-Jul''26'!BO323,"",'1. Live'!BS323-'check-Jul''26'!BO323)</f>
        <v/>
      </c>
      <c r="BP305" s="25" t="str">
        <f>IF('1. Live'!BT323='check-Jul''26'!BP323,"",'1. Live'!BT323-'check-Jul''26'!BP323)</f>
        <v/>
      </c>
      <c r="BQ305" s="25" t="str">
        <f>IF('1. Live'!BU323='check-Jul''26'!BQ323,"",'1. Live'!BU323-'check-Jul''26'!BQ323)</f>
        <v/>
      </c>
      <c r="BR305" s="25" t="str">
        <f>IF('1. Live'!BV323='check-Jul''26'!BR323,"",'1. Live'!BV323-'check-Jul''26'!BR323)</f>
        <v/>
      </c>
      <c r="BS305" s="25" t="str">
        <f>IF('1. Live'!BW323='check-Jul''26'!BS323,"",'1. Live'!BW323-'check-Jul''26'!BS323)</f>
        <v/>
      </c>
      <c r="BT305" s="25" t="str">
        <f>IF('1. Live'!BX323='check-Jul''26'!BT323,"",'1. Live'!BX323-'check-Jul''26'!BT323)</f>
        <v/>
      </c>
      <c r="BU305" s="25" t="str">
        <f>IF('1. Live'!BY323='check-Jul''26'!BU323,"",'1. Live'!BY323-'check-Jul''26'!BU323)</f>
        <v/>
      </c>
      <c r="BV305" s="25" t="str">
        <f>IF('1. Live'!BZ323='check-Jul''26'!BV323,"",'1. Live'!BZ323-'check-Jul''26'!BV323)</f>
        <v/>
      </c>
      <c r="BW305" s="25" t="str">
        <f>IF('1. Live'!CA323='check-Jul''26'!BW323,"",'1. Live'!CA323-'check-Jul''26'!BW323)</f>
        <v/>
      </c>
      <c r="BX305" s="25" t="str">
        <f>IF('1. Live'!CB323='check-Jul''26'!BX323,"",'1. Live'!CB323-'check-Jul''26'!BX323)</f>
        <v/>
      </c>
      <c r="BY305" s="25" t="str">
        <f>IF('1. Live'!CC323='check-Jul''26'!BY323,"",'1. Live'!CC323-'check-Jul''26'!BY323)</f>
        <v/>
      </c>
      <c r="BZ305" s="25" t="str">
        <f>IF('1. Live'!CD323='check-Jul''26'!BZ323,"",'1. Live'!CD323-'check-Jul''26'!BZ323)</f>
        <v/>
      </c>
      <c r="CA305" s="25" t="str">
        <f>IF('1. Live'!CE323='check-Jul''26'!CA323,"",'1. Live'!CE323-'check-Jul''26'!CA323)</f>
        <v/>
      </c>
      <c r="CB305" s="25" t="str">
        <f>IF('1. Live'!CF323='check-Jul''26'!CB323,"",'1. Live'!CF323-'check-Jul''26'!CB323)</f>
        <v/>
      </c>
      <c r="CC305" s="25" t="str">
        <f>IF('1. Live'!CG323='check-Jul''26'!CC323,"",'1. Live'!CG323-'check-Jul''26'!CC323)</f>
        <v/>
      </c>
      <c r="CD305" s="25" t="str">
        <f>IF('1. Live'!CH323='check-Jul''26'!CD323,"",'1. Live'!CH323-'check-Jul''26'!CD323)</f>
        <v/>
      </c>
      <c r="CE305" s="25" t="str">
        <f>IF('1. Live'!CI323='check-Jul''26'!CE323,"",'1. Live'!CI323-'check-Jul''26'!CE323)</f>
        <v/>
      </c>
      <c r="CF305" s="25" t="str">
        <f>IF('1. Live'!CJ323='check-Jul''26'!CF323,"",'1. Live'!CJ323-'check-Jul''26'!CF323)</f>
        <v/>
      </c>
      <c r="CG305" s="25" t="str">
        <f>IF('1. Live'!CK323='check-Jul''26'!CG323,"",'1. Live'!CK323-'check-Jul''26'!CG323)</f>
        <v/>
      </c>
      <c r="CH305" s="25" t="str">
        <f>IF('1. Live'!CL323='check-Jul''26'!CH323,"",'1. Live'!CL323-'check-Jul''26'!CH323)</f>
        <v/>
      </c>
      <c r="CI305" s="25" t="str">
        <f>IF('1. Live'!CM323='check-Jul''26'!CI323,"",'1. Live'!CM323-'check-Jul''26'!CI323)</f>
        <v/>
      </c>
      <c r="CJ305" s="25" t="str">
        <f>IF('1. Live'!CN323='check-Jul''26'!CJ323,"",'1. Live'!CN323-'check-Jul''26'!CJ323)</f>
        <v/>
      </c>
      <c r="CK305" s="25" t="str">
        <f>IF('1. Live'!CO323='check-Jul''26'!CK323,"",'1. Live'!CO323-'check-Jul''26'!CK323)</f>
        <v/>
      </c>
      <c r="CL305" s="25" t="str">
        <f>IF('1. Live'!CP323='check-Jul''26'!CL323,"",'1. Live'!CP323-'check-Jul''26'!CL323)</f>
        <v/>
      </c>
      <c r="CM305" s="25" t="str">
        <f>IF('1. Live'!CQ323='check-Jul''26'!CM323,"",'1. Live'!CQ323-'check-Jul''26'!CM323)</f>
        <v/>
      </c>
      <c r="CN305" s="25" t="str">
        <f>IF('1. Live'!CR323='check-Jul''26'!CN323,"",'1. Live'!CR323-'check-Jul''26'!CN323)</f>
        <v/>
      </c>
      <c r="CO305" s="25" t="str">
        <f>IF('1. Live'!CS323='check-Jul''26'!CO323,"",'1. Live'!CS323-'check-Jul''26'!CO323)</f>
        <v/>
      </c>
      <c r="CP305" s="25" t="str">
        <f>IF('1. Live'!CT323='check-Jul''26'!CP323,"",'1. Live'!CT323-'check-Jul''26'!CP323)</f>
        <v/>
      </c>
      <c r="CQ305" s="25" t="str">
        <f>IF('1. Live'!CU323='check-Jul''26'!CQ323,"",'1. Live'!CU323-'check-Jul''26'!CQ323)</f>
        <v/>
      </c>
      <c r="CR305" s="25" t="str">
        <f>IF('1. Live'!CV323='check-Jul''26'!CR323,"",'1. Live'!CV323-'check-Jul''26'!CR323)</f>
        <v/>
      </c>
      <c r="CS305" s="25" t="str">
        <f>IF('1. Live'!CW323='check-Jul''26'!CS323,"",'1. Live'!CW323-'check-Jul''26'!CS323)</f>
        <v/>
      </c>
      <c r="CT305" s="25" t="str">
        <f>IF('1. Live'!CX323='check-Jul''26'!CT323,"",'1. Live'!CX323-'check-Jul''26'!CT323)</f>
        <v/>
      </c>
      <c r="CU305" s="25" t="str">
        <f>IF('1. Live'!CY323='check-Jul''26'!CU323,"",'1. Live'!CY323-'check-Jul''26'!CU323)</f>
        <v/>
      </c>
      <c r="CV305" s="25" t="str">
        <f>IF('1. Live'!CZ323='check-Jul''26'!CV323,"",'1. Live'!CZ323-'check-Jul''26'!CV323)</f>
        <v/>
      </c>
    </row>
    <row r="306" spans="17:100" x14ac:dyDescent="0.25">
      <c r="Q306" s="26" t="str">
        <f>IF('1. Live'!N324='check-Jul''26'!I324,"",'1. Live'!N324-'check-Jul''26'!I324)</f>
        <v/>
      </c>
      <c r="R306" s="26" t="str">
        <f>IF('1. Live'!O324='check-Jul''26'!J324,"",'1. Live'!O324-'check-Jul''26'!J324)</f>
        <v/>
      </c>
      <c r="S306" s="26" t="str">
        <f>IF('1. Live'!P324='check-Jul''26'!K324,"",'1. Live'!P324-'check-Jul''26'!K324)</f>
        <v/>
      </c>
      <c r="T306" s="26" t="str">
        <f>IF('1. Live'!Q324='check-Jul''26'!L324,"",'1. Live'!Q324-'check-Jul''26'!L324)</f>
        <v/>
      </c>
      <c r="U306" s="80" t="str">
        <f>IF('1. Live'!R324='check-Jul''26'!M324,"",'1. Live'!R324-'check-Jul''26'!M324)</f>
        <v/>
      </c>
      <c r="V306" s="26" t="str">
        <f>IF('1. Live'!S324='check-Jul''26'!N324,"",'1. Live'!S324-'check-Jul''26'!N324)</f>
        <v/>
      </c>
      <c r="W306" s="25" t="str">
        <f>IF('1. Live'!T324='check-Jul''26'!O324,"",'1. Live'!T324-'check-Jul''26'!O324)</f>
        <v/>
      </c>
      <c r="X306" s="25" t="str">
        <f>IF('1. Live'!U324='check-Jul''26'!Q324,"",'1. Live'!U324-'check-Jul''26'!Q324)</f>
        <v/>
      </c>
      <c r="Y306" s="25" t="str">
        <f>IF('1. Live'!V324='check-Jul''26'!R324,"",'1. Live'!V324-'check-Jul''26'!R324)</f>
        <v/>
      </c>
      <c r="Z306" s="25" t="str">
        <f>IF('1. Live'!W324='check-Jul''26'!S324,"",'1. Live'!W324-'check-Jul''26'!S324)</f>
        <v/>
      </c>
      <c r="AA306" s="25" t="str">
        <f>IF('1. Live'!X324='check-Jul''26'!T324,"",'1. Live'!X324-'check-Jul''26'!T324)</f>
        <v/>
      </c>
      <c r="AB306" s="25" t="str">
        <f>IF('1. Live'!AF324='check-Jul''26'!AB324,"",'1. Live'!AF324-'check-Jul''26'!AB324)</f>
        <v/>
      </c>
      <c r="AC306" s="25" t="str">
        <f>IF('1. Live'!AG324='check-Jul''26'!AC324,"",'1. Live'!AG324-'check-Jul''26'!AC324)</f>
        <v/>
      </c>
      <c r="AD306" s="25" t="str">
        <f>IF('1. Live'!AH324='check-Jul''26'!AD324,"",'1. Live'!AH324-'check-Jul''26'!AD324)</f>
        <v/>
      </c>
      <c r="AE306" s="25" t="str">
        <f>IF('1. Live'!AI324='check-Jul''26'!AE324,"",'1. Live'!AI324-'check-Jul''26'!AE324)</f>
        <v/>
      </c>
      <c r="AF306" s="25" t="str">
        <f>IF('1. Live'!AJ324='check-Jul''26'!AF324,"",'1. Live'!AJ324-'check-Jul''26'!AF324)</f>
        <v/>
      </c>
      <c r="AG306" s="25" t="str">
        <f>IF('1. Live'!AK324='check-Jul''26'!AG324,"",'1. Live'!AK324-'check-Jul''26'!AG324)</f>
        <v/>
      </c>
      <c r="AH306" s="25" t="str">
        <f>IF('1. Live'!AL324='check-Jul''26'!AH324,"",'1. Live'!AL324-'check-Jul''26'!AH324)</f>
        <v/>
      </c>
      <c r="AI306" s="25" t="str">
        <f>IF('1. Live'!AM324='check-Jul''26'!AI324,"",'1. Live'!AM324-'check-Jul''26'!AI324)</f>
        <v/>
      </c>
      <c r="AJ306" s="25" t="str">
        <f>IF('1. Live'!AN324='check-Jul''26'!AJ324,"",'1. Live'!AN324-'check-Jul''26'!AJ324)</f>
        <v/>
      </c>
      <c r="AK306" s="25" t="str">
        <f>IF('1. Live'!AO324='check-Jul''26'!AK324,"",'1. Live'!AO324-'check-Jul''26'!AK324)</f>
        <v/>
      </c>
      <c r="AL306" s="25" t="str">
        <f>IF('1. Live'!AP324='check-Jul''26'!AL324,"",'1. Live'!AP324-'check-Jul''26'!AL324)</f>
        <v/>
      </c>
      <c r="AM306" s="25" t="str">
        <f>IF('1. Live'!AQ324='check-Jul''26'!AM324,"",'1. Live'!AQ324-'check-Jul''26'!AM324)</f>
        <v/>
      </c>
      <c r="AN306" s="25" t="str">
        <f>IF('1. Live'!AR324='check-Jul''26'!AN324,"",'1. Live'!AR324-'check-Jul''26'!AN324)</f>
        <v/>
      </c>
      <c r="AO306" s="25" t="str">
        <f>IF('1. Live'!AS324='check-Jul''26'!AO324,"",'1. Live'!AS324-'check-Jul''26'!AO324)</f>
        <v/>
      </c>
      <c r="AP306" s="25" t="str">
        <f>IF('1. Live'!AT324='check-Jul''26'!AP324,"",'1. Live'!AT324-'check-Jul''26'!AP324)</f>
        <v/>
      </c>
      <c r="AQ306" s="25" t="str">
        <f>IF('1. Live'!AU324='check-Jul''26'!AQ324,"",'1. Live'!AU324-'check-Jul''26'!AQ324)</f>
        <v/>
      </c>
      <c r="AR306" s="25" t="str">
        <f>IF('1. Live'!AV324='check-Jul''26'!AR324,"",'1. Live'!AV324-'check-Jul''26'!AR324)</f>
        <v/>
      </c>
      <c r="AS306" s="25" t="str">
        <f>IF('1. Live'!AW324='check-Jul''26'!AS324,"",'1. Live'!AW324-'check-Jul''26'!AS324)</f>
        <v/>
      </c>
      <c r="AT306" s="25" t="str">
        <f>IF('1. Live'!AX324='check-Jul''26'!AT324,"",'1. Live'!AX324-'check-Jul''26'!AT324)</f>
        <v/>
      </c>
      <c r="AU306" s="25" t="str">
        <f>IF('1. Live'!AY324='check-Jul''26'!AU324,"",'1. Live'!AY324-'check-Jul''26'!AU324)</f>
        <v/>
      </c>
      <c r="AV306" s="25" t="str">
        <f>IF('1. Live'!AZ324='check-Jul''26'!AV324,"",'1. Live'!AZ324-'check-Jul''26'!AV324)</f>
        <v/>
      </c>
      <c r="AW306" s="25" t="str">
        <f>IF('1. Live'!BA324='check-Jul''26'!AW324,"",'1. Live'!BA324-'check-Jul''26'!AW324)</f>
        <v/>
      </c>
      <c r="AX306" s="25" t="str">
        <f>IF('1. Live'!BB324='check-Jul''26'!AX324,"",'1. Live'!BB324-'check-Jul''26'!AX324)</f>
        <v/>
      </c>
      <c r="AY306" s="25" t="str">
        <f>IF('1. Live'!BC324='check-Jul''26'!AY324,"",'1. Live'!BC324-'check-Jul''26'!AY324)</f>
        <v/>
      </c>
      <c r="AZ306" s="25" t="str">
        <f>IF('1. Live'!BD324='check-Jul''26'!AZ324,"",'1. Live'!BD324-'check-Jul''26'!AZ324)</f>
        <v/>
      </c>
      <c r="BA306" s="25" t="str">
        <f>IF('1. Live'!BE324='check-Jul''26'!BA324,"",'1. Live'!BE324-'check-Jul''26'!BA324)</f>
        <v/>
      </c>
      <c r="BB306" s="25" t="str">
        <f>IF('1. Live'!BF324='check-Jul''26'!BB324,"",'1. Live'!BF324-'check-Jul''26'!BB324)</f>
        <v/>
      </c>
      <c r="BC306" s="25" t="str">
        <f>IF('1. Live'!BG324='check-Jul''26'!BC324,"",'1. Live'!BG324-'check-Jul''26'!BC324)</f>
        <v/>
      </c>
      <c r="BD306" s="25" t="str">
        <f>IF('1. Live'!BH324='check-Jul''26'!BD324,"",'1. Live'!BH324-'check-Jul''26'!BD324)</f>
        <v/>
      </c>
      <c r="BE306" s="25" t="str">
        <f>IF('1. Live'!BI324='check-Jul''26'!BE324,"",'1. Live'!BI324-'check-Jul''26'!BE324)</f>
        <v/>
      </c>
      <c r="BF306" s="25" t="str">
        <f>IF('1. Live'!BJ324='check-Jul''26'!BF324,"",'1. Live'!BJ324-'check-Jul''26'!BF324)</f>
        <v/>
      </c>
      <c r="BG306" s="25" t="str">
        <f>IF('1. Live'!BK324='check-Jul''26'!BG324,"",'1. Live'!BK324-'check-Jul''26'!BG324)</f>
        <v/>
      </c>
      <c r="BH306" s="25" t="str">
        <f>IF('1. Live'!BL324='check-Jul''26'!BH324,"",'1. Live'!BL324-'check-Jul''26'!BH324)</f>
        <v/>
      </c>
      <c r="BI306" s="25" t="str">
        <f>IF('1. Live'!BM324='check-Jul''26'!BI324,"",'1. Live'!BM324-'check-Jul''26'!BI324)</f>
        <v/>
      </c>
      <c r="BJ306" s="25" t="str">
        <f>IF('1. Live'!BN324='check-Jul''26'!BJ324,"",'1. Live'!BN324-'check-Jul''26'!BJ324)</f>
        <v/>
      </c>
      <c r="BK306" s="25" t="str">
        <f>IF('1. Live'!BO324='check-Jul''26'!BK324,"",'1. Live'!BO324-'check-Jul''26'!BK324)</f>
        <v/>
      </c>
      <c r="BL306" s="25" t="str">
        <f>IF('1. Live'!BP324='check-Jul''26'!BL324,"",'1. Live'!BP324-'check-Jul''26'!BL324)</f>
        <v/>
      </c>
      <c r="BM306" s="25" t="str">
        <f>IF('1. Live'!BQ324='check-Jul''26'!BM324,"",'1. Live'!BQ324-'check-Jul''26'!BM324)</f>
        <v/>
      </c>
      <c r="BN306" s="25" t="str">
        <f>IF('1. Live'!BR324='check-Jul''26'!BN324,"",'1. Live'!BR324-'check-Jul''26'!BN324)</f>
        <v/>
      </c>
      <c r="BO306" s="25" t="str">
        <f>IF('1. Live'!BS324='check-Jul''26'!BO324,"",'1. Live'!BS324-'check-Jul''26'!BO324)</f>
        <v/>
      </c>
      <c r="BP306" s="25" t="str">
        <f>IF('1. Live'!BT324='check-Jul''26'!BP324,"",'1. Live'!BT324-'check-Jul''26'!BP324)</f>
        <v/>
      </c>
      <c r="BQ306" s="25" t="str">
        <f>IF('1. Live'!BU324='check-Jul''26'!BQ324,"",'1. Live'!BU324-'check-Jul''26'!BQ324)</f>
        <v/>
      </c>
      <c r="BR306" s="25" t="str">
        <f>IF('1. Live'!BV324='check-Jul''26'!BR324,"",'1. Live'!BV324-'check-Jul''26'!BR324)</f>
        <v/>
      </c>
      <c r="BS306" s="25" t="str">
        <f>IF('1. Live'!BW324='check-Jul''26'!BS324,"",'1. Live'!BW324-'check-Jul''26'!BS324)</f>
        <v/>
      </c>
      <c r="BT306" s="25" t="str">
        <f>IF('1. Live'!BX324='check-Jul''26'!BT324,"",'1. Live'!BX324-'check-Jul''26'!BT324)</f>
        <v/>
      </c>
      <c r="BU306" s="25" t="str">
        <f>IF('1. Live'!BY324='check-Jul''26'!BU324,"",'1. Live'!BY324-'check-Jul''26'!BU324)</f>
        <v/>
      </c>
      <c r="BV306" s="25" t="str">
        <f>IF('1. Live'!BZ324='check-Jul''26'!BV324,"",'1. Live'!BZ324-'check-Jul''26'!BV324)</f>
        <v/>
      </c>
      <c r="BW306" s="25" t="str">
        <f>IF('1. Live'!CA324='check-Jul''26'!BW324,"",'1. Live'!CA324-'check-Jul''26'!BW324)</f>
        <v/>
      </c>
      <c r="BX306" s="25" t="str">
        <f>IF('1. Live'!CB324='check-Jul''26'!BX324,"",'1. Live'!CB324-'check-Jul''26'!BX324)</f>
        <v/>
      </c>
      <c r="BY306" s="25" t="str">
        <f>IF('1. Live'!CC324='check-Jul''26'!BY324,"",'1. Live'!CC324-'check-Jul''26'!BY324)</f>
        <v/>
      </c>
      <c r="BZ306" s="25" t="str">
        <f>IF('1. Live'!CD324='check-Jul''26'!BZ324,"",'1. Live'!CD324-'check-Jul''26'!BZ324)</f>
        <v/>
      </c>
      <c r="CA306" s="25" t="str">
        <f>IF('1. Live'!CE324='check-Jul''26'!CA324,"",'1. Live'!CE324-'check-Jul''26'!CA324)</f>
        <v/>
      </c>
      <c r="CB306" s="25" t="str">
        <f>IF('1. Live'!CF324='check-Jul''26'!CB324,"",'1. Live'!CF324-'check-Jul''26'!CB324)</f>
        <v/>
      </c>
      <c r="CC306" s="25" t="str">
        <f>IF('1. Live'!CG324='check-Jul''26'!CC324,"",'1. Live'!CG324-'check-Jul''26'!CC324)</f>
        <v/>
      </c>
      <c r="CD306" s="25" t="str">
        <f>IF('1. Live'!CH324='check-Jul''26'!CD324,"",'1. Live'!CH324-'check-Jul''26'!CD324)</f>
        <v/>
      </c>
      <c r="CE306" s="25" t="str">
        <f>IF('1. Live'!CI324='check-Jul''26'!CE324,"",'1. Live'!CI324-'check-Jul''26'!CE324)</f>
        <v/>
      </c>
      <c r="CF306" s="25" t="str">
        <f>IF('1. Live'!CJ324='check-Jul''26'!CF324,"",'1. Live'!CJ324-'check-Jul''26'!CF324)</f>
        <v/>
      </c>
      <c r="CG306" s="25" t="str">
        <f>IF('1. Live'!CK324='check-Jul''26'!CG324,"",'1. Live'!CK324-'check-Jul''26'!CG324)</f>
        <v/>
      </c>
      <c r="CH306" s="25" t="str">
        <f>IF('1. Live'!CL324='check-Jul''26'!CH324,"",'1. Live'!CL324-'check-Jul''26'!CH324)</f>
        <v/>
      </c>
      <c r="CI306" s="25" t="str">
        <f>IF('1. Live'!CM324='check-Jul''26'!CI324,"",'1. Live'!CM324-'check-Jul''26'!CI324)</f>
        <v/>
      </c>
      <c r="CJ306" s="25" t="str">
        <f>IF('1. Live'!CN324='check-Jul''26'!CJ324,"",'1. Live'!CN324-'check-Jul''26'!CJ324)</f>
        <v/>
      </c>
      <c r="CK306" s="25" t="str">
        <f>IF('1. Live'!CO324='check-Jul''26'!CK324,"",'1. Live'!CO324-'check-Jul''26'!CK324)</f>
        <v/>
      </c>
      <c r="CL306" s="25" t="str">
        <f>IF('1. Live'!CP324='check-Jul''26'!CL324,"",'1. Live'!CP324-'check-Jul''26'!CL324)</f>
        <v/>
      </c>
      <c r="CM306" s="25" t="str">
        <f>IF('1. Live'!CQ324='check-Jul''26'!CM324,"",'1. Live'!CQ324-'check-Jul''26'!CM324)</f>
        <v/>
      </c>
      <c r="CN306" s="25" t="str">
        <f>IF('1. Live'!CR324='check-Jul''26'!CN324,"",'1. Live'!CR324-'check-Jul''26'!CN324)</f>
        <v/>
      </c>
      <c r="CO306" s="25" t="str">
        <f>IF('1. Live'!CS324='check-Jul''26'!CO324,"",'1. Live'!CS324-'check-Jul''26'!CO324)</f>
        <v/>
      </c>
      <c r="CP306" s="25" t="str">
        <f>IF('1. Live'!CT324='check-Jul''26'!CP324,"",'1. Live'!CT324-'check-Jul''26'!CP324)</f>
        <v/>
      </c>
      <c r="CQ306" s="25" t="str">
        <f>IF('1. Live'!CU324='check-Jul''26'!CQ324,"",'1. Live'!CU324-'check-Jul''26'!CQ324)</f>
        <v/>
      </c>
      <c r="CR306" s="25" t="str">
        <f>IF('1. Live'!CV324='check-Jul''26'!CR324,"",'1. Live'!CV324-'check-Jul''26'!CR324)</f>
        <v/>
      </c>
      <c r="CS306" s="25" t="str">
        <f>IF('1. Live'!CW324='check-Jul''26'!CS324,"",'1. Live'!CW324-'check-Jul''26'!CS324)</f>
        <v/>
      </c>
      <c r="CT306" s="25" t="str">
        <f>IF('1. Live'!CX324='check-Jul''26'!CT324,"",'1. Live'!CX324-'check-Jul''26'!CT324)</f>
        <v/>
      </c>
      <c r="CU306" s="25" t="str">
        <f>IF('1. Live'!CY324='check-Jul''26'!CU324,"",'1. Live'!CY324-'check-Jul''26'!CU324)</f>
        <v/>
      </c>
      <c r="CV306" s="25" t="str">
        <f>IF('1. Live'!CZ324='check-Jul''26'!CV324,"",'1. Live'!CZ324-'check-Jul''26'!CV324)</f>
        <v/>
      </c>
    </row>
    <row r="307" spans="17:100" x14ac:dyDescent="0.25">
      <c r="Q307" s="26" t="str">
        <f>IF('1. Live'!N325='check-Jul''26'!I325,"",'1. Live'!N325-'check-Jul''26'!I325)</f>
        <v/>
      </c>
      <c r="R307" s="26" t="str">
        <f>IF('1. Live'!O325='check-Jul''26'!J325,"",'1. Live'!O325-'check-Jul''26'!J325)</f>
        <v/>
      </c>
      <c r="S307" s="26" t="str">
        <f>IF('1. Live'!P325='check-Jul''26'!K325,"",'1. Live'!P325-'check-Jul''26'!K325)</f>
        <v/>
      </c>
      <c r="T307" s="26" t="str">
        <f>IF('1. Live'!Q325='check-Jul''26'!L325,"",'1. Live'!Q325-'check-Jul''26'!L325)</f>
        <v/>
      </c>
      <c r="U307" s="80" t="str">
        <f>IF('1. Live'!R325='check-Jul''26'!M325,"",'1. Live'!R325-'check-Jul''26'!M325)</f>
        <v/>
      </c>
      <c r="V307" s="26" t="str">
        <f>IF('1. Live'!S325='check-Jul''26'!N325,"",'1. Live'!S325-'check-Jul''26'!N325)</f>
        <v/>
      </c>
      <c r="W307" s="25" t="str">
        <f>IF('1. Live'!T325='check-Jul''26'!O325,"",'1. Live'!T325-'check-Jul''26'!O325)</f>
        <v/>
      </c>
      <c r="X307" s="25" t="str">
        <f>IF('1. Live'!U325='check-Jul''26'!Q325,"",'1. Live'!U325-'check-Jul''26'!Q325)</f>
        <v/>
      </c>
      <c r="Y307" s="25" t="str">
        <f>IF('1. Live'!V325='check-Jul''26'!R325,"",'1. Live'!V325-'check-Jul''26'!R325)</f>
        <v/>
      </c>
      <c r="Z307" s="25" t="str">
        <f>IF('1. Live'!W325='check-Jul''26'!S325,"",'1. Live'!W325-'check-Jul''26'!S325)</f>
        <v/>
      </c>
      <c r="AA307" s="25" t="str">
        <f>IF('1. Live'!X325='check-Jul''26'!T325,"",'1. Live'!X325-'check-Jul''26'!T325)</f>
        <v/>
      </c>
      <c r="AB307" s="25" t="str">
        <f>IF('1. Live'!AF325='check-Jul''26'!AB325,"",'1. Live'!AF325-'check-Jul''26'!AB325)</f>
        <v/>
      </c>
      <c r="AC307" s="25" t="str">
        <f>IF('1. Live'!AG325='check-Jul''26'!AC325,"",'1. Live'!AG325-'check-Jul''26'!AC325)</f>
        <v/>
      </c>
      <c r="AD307" s="25" t="str">
        <f>IF('1. Live'!AH325='check-Jul''26'!AD325,"",'1. Live'!AH325-'check-Jul''26'!AD325)</f>
        <v/>
      </c>
      <c r="AE307" s="25" t="str">
        <f>IF('1. Live'!AI325='check-Jul''26'!AE325,"",'1. Live'!AI325-'check-Jul''26'!AE325)</f>
        <v/>
      </c>
      <c r="AF307" s="25" t="str">
        <f>IF('1. Live'!AJ325='check-Jul''26'!AF325,"",'1. Live'!AJ325-'check-Jul''26'!AF325)</f>
        <v/>
      </c>
      <c r="AG307" s="25" t="str">
        <f>IF('1. Live'!AK325='check-Jul''26'!AG325,"",'1. Live'!AK325-'check-Jul''26'!AG325)</f>
        <v/>
      </c>
      <c r="AH307" s="25" t="str">
        <f>IF('1. Live'!AL325='check-Jul''26'!AH325,"",'1. Live'!AL325-'check-Jul''26'!AH325)</f>
        <v/>
      </c>
      <c r="AI307" s="25" t="str">
        <f>IF('1. Live'!AM325='check-Jul''26'!AI325,"",'1. Live'!AM325-'check-Jul''26'!AI325)</f>
        <v/>
      </c>
      <c r="AJ307" s="25" t="str">
        <f>IF('1. Live'!AN325='check-Jul''26'!AJ325,"",'1. Live'!AN325-'check-Jul''26'!AJ325)</f>
        <v/>
      </c>
      <c r="AK307" s="25" t="str">
        <f>IF('1. Live'!AO325='check-Jul''26'!AK325,"",'1. Live'!AO325-'check-Jul''26'!AK325)</f>
        <v/>
      </c>
      <c r="AL307" s="25" t="str">
        <f>IF('1. Live'!AP325='check-Jul''26'!AL325,"",'1. Live'!AP325-'check-Jul''26'!AL325)</f>
        <v/>
      </c>
      <c r="AM307" s="25" t="str">
        <f>IF('1. Live'!AQ325='check-Jul''26'!AM325,"",'1. Live'!AQ325-'check-Jul''26'!AM325)</f>
        <v/>
      </c>
      <c r="AN307" s="25" t="str">
        <f>IF('1. Live'!AR325='check-Jul''26'!AN325,"",'1. Live'!AR325-'check-Jul''26'!AN325)</f>
        <v/>
      </c>
      <c r="AO307" s="25" t="str">
        <f>IF('1. Live'!AS325='check-Jul''26'!AO325,"",'1. Live'!AS325-'check-Jul''26'!AO325)</f>
        <v/>
      </c>
      <c r="AP307" s="25" t="str">
        <f>IF('1. Live'!AT325='check-Jul''26'!AP325,"",'1. Live'!AT325-'check-Jul''26'!AP325)</f>
        <v/>
      </c>
      <c r="AQ307" s="25" t="str">
        <f>IF('1. Live'!AU325='check-Jul''26'!AQ325,"",'1. Live'!AU325-'check-Jul''26'!AQ325)</f>
        <v/>
      </c>
      <c r="AR307" s="25" t="str">
        <f>IF('1. Live'!AV325='check-Jul''26'!AR325,"",'1. Live'!AV325-'check-Jul''26'!AR325)</f>
        <v/>
      </c>
      <c r="AS307" s="25" t="str">
        <f>IF('1. Live'!AW325='check-Jul''26'!AS325,"",'1. Live'!AW325-'check-Jul''26'!AS325)</f>
        <v/>
      </c>
      <c r="AT307" s="25" t="str">
        <f>IF('1. Live'!AX325='check-Jul''26'!AT325,"",'1. Live'!AX325-'check-Jul''26'!AT325)</f>
        <v/>
      </c>
      <c r="AU307" s="25" t="str">
        <f>IF('1. Live'!AY325='check-Jul''26'!AU325,"",'1. Live'!AY325-'check-Jul''26'!AU325)</f>
        <v/>
      </c>
      <c r="AV307" s="25" t="str">
        <f>IF('1. Live'!AZ325='check-Jul''26'!AV325,"",'1. Live'!AZ325-'check-Jul''26'!AV325)</f>
        <v/>
      </c>
      <c r="AW307" s="25" t="str">
        <f>IF('1. Live'!BA325='check-Jul''26'!AW325,"",'1. Live'!BA325-'check-Jul''26'!AW325)</f>
        <v/>
      </c>
      <c r="AX307" s="25" t="str">
        <f>IF('1. Live'!BB325='check-Jul''26'!AX325,"",'1. Live'!BB325-'check-Jul''26'!AX325)</f>
        <v/>
      </c>
      <c r="AY307" s="25" t="str">
        <f>IF('1. Live'!BC325='check-Jul''26'!AY325,"",'1. Live'!BC325-'check-Jul''26'!AY325)</f>
        <v/>
      </c>
      <c r="AZ307" s="25" t="str">
        <f>IF('1. Live'!BD325='check-Jul''26'!AZ325,"",'1. Live'!BD325-'check-Jul''26'!AZ325)</f>
        <v/>
      </c>
      <c r="BA307" s="25" t="str">
        <f>IF('1. Live'!BE325='check-Jul''26'!BA325,"",'1. Live'!BE325-'check-Jul''26'!BA325)</f>
        <v/>
      </c>
      <c r="BB307" s="25" t="str">
        <f>IF('1. Live'!BF325='check-Jul''26'!BB325,"",'1. Live'!BF325-'check-Jul''26'!BB325)</f>
        <v/>
      </c>
      <c r="BC307" s="25" t="str">
        <f>IF('1. Live'!BG325='check-Jul''26'!BC325,"",'1. Live'!BG325-'check-Jul''26'!BC325)</f>
        <v/>
      </c>
      <c r="BD307" s="25" t="str">
        <f>IF('1. Live'!BH325='check-Jul''26'!BD325,"",'1. Live'!BH325-'check-Jul''26'!BD325)</f>
        <v/>
      </c>
      <c r="BE307" s="25" t="str">
        <f>IF('1. Live'!BI325='check-Jul''26'!BE325,"",'1. Live'!BI325-'check-Jul''26'!BE325)</f>
        <v/>
      </c>
      <c r="BF307" s="25" t="str">
        <f>IF('1. Live'!BJ325='check-Jul''26'!BF325,"",'1. Live'!BJ325-'check-Jul''26'!BF325)</f>
        <v/>
      </c>
      <c r="BG307" s="25" t="str">
        <f>IF('1. Live'!BK325='check-Jul''26'!BG325,"",'1. Live'!BK325-'check-Jul''26'!BG325)</f>
        <v/>
      </c>
      <c r="BH307" s="25" t="str">
        <f>IF('1. Live'!BL325='check-Jul''26'!BH325,"",'1. Live'!BL325-'check-Jul''26'!BH325)</f>
        <v/>
      </c>
      <c r="BI307" s="25" t="str">
        <f>IF('1. Live'!BM325='check-Jul''26'!BI325,"",'1. Live'!BM325-'check-Jul''26'!BI325)</f>
        <v/>
      </c>
      <c r="BJ307" s="25" t="str">
        <f>IF('1. Live'!BN325='check-Jul''26'!BJ325,"",'1. Live'!BN325-'check-Jul''26'!BJ325)</f>
        <v/>
      </c>
      <c r="BK307" s="25" t="str">
        <f>IF('1. Live'!BO325='check-Jul''26'!BK325,"",'1. Live'!BO325-'check-Jul''26'!BK325)</f>
        <v/>
      </c>
      <c r="BL307" s="25" t="str">
        <f>IF('1. Live'!BP325='check-Jul''26'!BL325,"",'1. Live'!BP325-'check-Jul''26'!BL325)</f>
        <v/>
      </c>
      <c r="BM307" s="25" t="str">
        <f>IF('1. Live'!BQ325='check-Jul''26'!BM325,"",'1. Live'!BQ325-'check-Jul''26'!BM325)</f>
        <v/>
      </c>
      <c r="BN307" s="25" t="str">
        <f>IF('1. Live'!BR325='check-Jul''26'!BN325,"",'1. Live'!BR325-'check-Jul''26'!BN325)</f>
        <v/>
      </c>
      <c r="BO307" s="25" t="str">
        <f>IF('1. Live'!BS325='check-Jul''26'!BO325,"",'1. Live'!BS325-'check-Jul''26'!BO325)</f>
        <v/>
      </c>
      <c r="BP307" s="25" t="str">
        <f>IF('1. Live'!BT325='check-Jul''26'!BP325,"",'1. Live'!BT325-'check-Jul''26'!BP325)</f>
        <v/>
      </c>
      <c r="BQ307" s="25" t="str">
        <f>IF('1. Live'!BU325='check-Jul''26'!BQ325,"",'1. Live'!BU325-'check-Jul''26'!BQ325)</f>
        <v/>
      </c>
      <c r="BR307" s="25" t="str">
        <f>IF('1. Live'!BV325='check-Jul''26'!BR325,"",'1. Live'!BV325-'check-Jul''26'!BR325)</f>
        <v/>
      </c>
      <c r="BS307" s="25" t="str">
        <f>IF('1. Live'!BW325='check-Jul''26'!BS325,"",'1. Live'!BW325-'check-Jul''26'!BS325)</f>
        <v/>
      </c>
      <c r="BT307" s="25" t="str">
        <f>IF('1. Live'!BX325='check-Jul''26'!BT325,"",'1. Live'!BX325-'check-Jul''26'!BT325)</f>
        <v/>
      </c>
      <c r="BU307" s="25" t="str">
        <f>IF('1. Live'!BY325='check-Jul''26'!BU325,"",'1. Live'!BY325-'check-Jul''26'!BU325)</f>
        <v/>
      </c>
      <c r="BV307" s="25" t="str">
        <f>IF('1. Live'!BZ325='check-Jul''26'!BV325,"",'1. Live'!BZ325-'check-Jul''26'!BV325)</f>
        <v/>
      </c>
      <c r="BW307" s="25" t="str">
        <f>IF('1. Live'!CA325='check-Jul''26'!BW325,"",'1. Live'!CA325-'check-Jul''26'!BW325)</f>
        <v/>
      </c>
      <c r="BX307" s="25" t="str">
        <f>IF('1. Live'!CB325='check-Jul''26'!BX325,"",'1. Live'!CB325-'check-Jul''26'!BX325)</f>
        <v/>
      </c>
      <c r="BY307" s="25" t="str">
        <f>IF('1. Live'!CC325='check-Jul''26'!BY325,"",'1. Live'!CC325-'check-Jul''26'!BY325)</f>
        <v/>
      </c>
      <c r="BZ307" s="25" t="str">
        <f>IF('1. Live'!CD325='check-Jul''26'!BZ325,"",'1. Live'!CD325-'check-Jul''26'!BZ325)</f>
        <v/>
      </c>
      <c r="CA307" s="25" t="str">
        <f>IF('1. Live'!CE325='check-Jul''26'!CA325,"",'1. Live'!CE325-'check-Jul''26'!CA325)</f>
        <v/>
      </c>
      <c r="CB307" s="25" t="str">
        <f>IF('1. Live'!CF325='check-Jul''26'!CB325,"",'1. Live'!CF325-'check-Jul''26'!CB325)</f>
        <v/>
      </c>
      <c r="CC307" s="25" t="str">
        <f>IF('1. Live'!CG325='check-Jul''26'!CC325,"",'1. Live'!CG325-'check-Jul''26'!CC325)</f>
        <v/>
      </c>
      <c r="CD307" s="25" t="str">
        <f>IF('1. Live'!CH325='check-Jul''26'!CD325,"",'1. Live'!CH325-'check-Jul''26'!CD325)</f>
        <v/>
      </c>
      <c r="CE307" s="25" t="str">
        <f>IF('1. Live'!CI325='check-Jul''26'!CE325,"",'1. Live'!CI325-'check-Jul''26'!CE325)</f>
        <v/>
      </c>
      <c r="CF307" s="25" t="str">
        <f>IF('1. Live'!CJ325='check-Jul''26'!CF325,"",'1. Live'!CJ325-'check-Jul''26'!CF325)</f>
        <v/>
      </c>
      <c r="CG307" s="25" t="str">
        <f>IF('1. Live'!CK325='check-Jul''26'!CG325,"",'1. Live'!CK325-'check-Jul''26'!CG325)</f>
        <v/>
      </c>
      <c r="CH307" s="25" t="str">
        <f>IF('1. Live'!CL325='check-Jul''26'!CH325,"",'1. Live'!CL325-'check-Jul''26'!CH325)</f>
        <v/>
      </c>
      <c r="CI307" s="25" t="str">
        <f>IF('1. Live'!CM325='check-Jul''26'!CI325,"",'1. Live'!CM325-'check-Jul''26'!CI325)</f>
        <v/>
      </c>
      <c r="CJ307" s="25" t="str">
        <f>IF('1. Live'!CN325='check-Jul''26'!CJ325,"",'1. Live'!CN325-'check-Jul''26'!CJ325)</f>
        <v/>
      </c>
      <c r="CK307" s="25" t="str">
        <f>IF('1. Live'!CO325='check-Jul''26'!CK325,"",'1. Live'!CO325-'check-Jul''26'!CK325)</f>
        <v/>
      </c>
      <c r="CL307" s="25" t="str">
        <f>IF('1. Live'!CP325='check-Jul''26'!CL325,"",'1. Live'!CP325-'check-Jul''26'!CL325)</f>
        <v/>
      </c>
      <c r="CM307" s="25" t="str">
        <f>IF('1. Live'!CQ325='check-Jul''26'!CM325,"",'1. Live'!CQ325-'check-Jul''26'!CM325)</f>
        <v/>
      </c>
      <c r="CN307" s="25" t="str">
        <f>IF('1. Live'!CR325='check-Jul''26'!CN325,"",'1. Live'!CR325-'check-Jul''26'!CN325)</f>
        <v/>
      </c>
      <c r="CO307" s="25" t="str">
        <f>IF('1. Live'!CS325='check-Jul''26'!CO325,"",'1. Live'!CS325-'check-Jul''26'!CO325)</f>
        <v/>
      </c>
      <c r="CP307" s="25" t="str">
        <f>IF('1. Live'!CT325='check-Jul''26'!CP325,"",'1. Live'!CT325-'check-Jul''26'!CP325)</f>
        <v/>
      </c>
      <c r="CQ307" s="25" t="str">
        <f>IF('1. Live'!CU325='check-Jul''26'!CQ325,"",'1. Live'!CU325-'check-Jul''26'!CQ325)</f>
        <v/>
      </c>
      <c r="CR307" s="25" t="str">
        <f>IF('1. Live'!CV325='check-Jul''26'!CR325,"",'1. Live'!CV325-'check-Jul''26'!CR325)</f>
        <v/>
      </c>
      <c r="CS307" s="25" t="str">
        <f>IF('1. Live'!CW325='check-Jul''26'!CS325,"",'1. Live'!CW325-'check-Jul''26'!CS325)</f>
        <v/>
      </c>
      <c r="CT307" s="25" t="str">
        <f>IF('1. Live'!CX325='check-Jul''26'!CT325,"",'1. Live'!CX325-'check-Jul''26'!CT325)</f>
        <v/>
      </c>
      <c r="CU307" s="25" t="str">
        <f>IF('1. Live'!CY325='check-Jul''26'!CU325,"",'1. Live'!CY325-'check-Jul''26'!CU325)</f>
        <v/>
      </c>
      <c r="CV307" s="25" t="str">
        <f>IF('1. Live'!CZ325='check-Jul''26'!CV325,"",'1. Live'!CZ325-'check-Jul''26'!CV325)</f>
        <v/>
      </c>
    </row>
    <row r="308" spans="17:100" x14ac:dyDescent="0.25">
      <c r="Q308" s="26" t="str">
        <f>IF('1. Live'!N326='check-Jul''26'!I326,"",'1. Live'!N326-'check-Jul''26'!I326)</f>
        <v/>
      </c>
      <c r="R308" s="26" t="str">
        <f>IF('1. Live'!O326='check-Jul''26'!J326,"",'1. Live'!O326-'check-Jul''26'!J326)</f>
        <v/>
      </c>
      <c r="S308" s="26" t="str">
        <f>IF('1. Live'!P326='check-Jul''26'!K326,"",'1. Live'!P326-'check-Jul''26'!K326)</f>
        <v/>
      </c>
      <c r="T308" s="26" t="str">
        <f>IF('1. Live'!Q326='check-Jul''26'!L326,"",'1. Live'!Q326-'check-Jul''26'!L326)</f>
        <v/>
      </c>
      <c r="U308" s="80" t="str">
        <f>IF('1. Live'!R326='check-Jul''26'!M326,"",'1. Live'!R326-'check-Jul''26'!M326)</f>
        <v/>
      </c>
      <c r="V308" s="26" t="str">
        <f>IF('1. Live'!S326='check-Jul''26'!N326,"",'1. Live'!S326-'check-Jul''26'!N326)</f>
        <v/>
      </c>
      <c r="W308" s="25" t="str">
        <f>IF('1. Live'!T326='check-Jul''26'!O326,"",'1. Live'!T326-'check-Jul''26'!O326)</f>
        <v/>
      </c>
      <c r="X308" s="25" t="str">
        <f>IF('1. Live'!U326='check-Jul''26'!Q326,"",'1. Live'!U326-'check-Jul''26'!Q326)</f>
        <v/>
      </c>
      <c r="Y308" s="25" t="str">
        <f>IF('1. Live'!V326='check-Jul''26'!R326,"",'1. Live'!V326-'check-Jul''26'!R326)</f>
        <v/>
      </c>
      <c r="Z308" s="25" t="str">
        <f>IF('1. Live'!W326='check-Jul''26'!S326,"",'1. Live'!W326-'check-Jul''26'!S326)</f>
        <v/>
      </c>
      <c r="AA308" s="25" t="str">
        <f>IF('1. Live'!X326='check-Jul''26'!T326,"",'1. Live'!X326-'check-Jul''26'!T326)</f>
        <v/>
      </c>
      <c r="AB308" s="25" t="str">
        <f>IF('1. Live'!AF326='check-Jul''26'!AB326,"",'1. Live'!AF326-'check-Jul''26'!AB326)</f>
        <v/>
      </c>
      <c r="AC308" s="25" t="str">
        <f>IF('1. Live'!AG326='check-Jul''26'!AC326,"",'1. Live'!AG326-'check-Jul''26'!AC326)</f>
        <v/>
      </c>
      <c r="AD308" s="25" t="str">
        <f>IF('1. Live'!AH326='check-Jul''26'!AD326,"",'1. Live'!AH326-'check-Jul''26'!AD326)</f>
        <v/>
      </c>
      <c r="AE308" s="25" t="str">
        <f>IF('1. Live'!AI326='check-Jul''26'!AE326,"",'1. Live'!AI326-'check-Jul''26'!AE326)</f>
        <v/>
      </c>
      <c r="AF308" s="25" t="str">
        <f>IF('1. Live'!AJ326='check-Jul''26'!AF326,"",'1. Live'!AJ326-'check-Jul''26'!AF326)</f>
        <v/>
      </c>
      <c r="AG308" s="25" t="str">
        <f>IF('1. Live'!AK326='check-Jul''26'!AG326,"",'1. Live'!AK326-'check-Jul''26'!AG326)</f>
        <v/>
      </c>
      <c r="AH308" s="25" t="str">
        <f>IF('1. Live'!AL326='check-Jul''26'!AH326,"",'1. Live'!AL326-'check-Jul''26'!AH326)</f>
        <v/>
      </c>
      <c r="AI308" s="25" t="str">
        <f>IF('1. Live'!AM326='check-Jul''26'!AI326,"",'1. Live'!AM326-'check-Jul''26'!AI326)</f>
        <v/>
      </c>
      <c r="AJ308" s="25" t="str">
        <f>IF('1. Live'!AN326='check-Jul''26'!AJ326,"",'1. Live'!AN326-'check-Jul''26'!AJ326)</f>
        <v/>
      </c>
      <c r="AK308" s="25" t="str">
        <f>IF('1. Live'!AO326='check-Jul''26'!AK326,"",'1. Live'!AO326-'check-Jul''26'!AK326)</f>
        <v/>
      </c>
      <c r="AL308" s="25" t="str">
        <f>IF('1. Live'!AP326='check-Jul''26'!AL326,"",'1. Live'!AP326-'check-Jul''26'!AL326)</f>
        <v/>
      </c>
      <c r="AM308" s="25" t="str">
        <f>IF('1. Live'!AQ326='check-Jul''26'!AM326,"",'1. Live'!AQ326-'check-Jul''26'!AM326)</f>
        <v/>
      </c>
      <c r="AN308" s="25" t="str">
        <f>IF('1. Live'!AR326='check-Jul''26'!AN326,"",'1. Live'!AR326-'check-Jul''26'!AN326)</f>
        <v/>
      </c>
      <c r="AO308" s="25" t="str">
        <f>IF('1. Live'!AS326='check-Jul''26'!AO326,"",'1. Live'!AS326-'check-Jul''26'!AO326)</f>
        <v/>
      </c>
      <c r="AP308" s="25" t="str">
        <f>IF('1. Live'!AT326='check-Jul''26'!AP326,"",'1. Live'!AT326-'check-Jul''26'!AP326)</f>
        <v/>
      </c>
      <c r="AQ308" s="25" t="str">
        <f>IF('1. Live'!AU326='check-Jul''26'!AQ326,"",'1. Live'!AU326-'check-Jul''26'!AQ326)</f>
        <v/>
      </c>
      <c r="AR308" s="25" t="str">
        <f>IF('1. Live'!AV326='check-Jul''26'!AR326,"",'1. Live'!AV326-'check-Jul''26'!AR326)</f>
        <v/>
      </c>
      <c r="AS308" s="25" t="str">
        <f>IF('1. Live'!AW326='check-Jul''26'!AS326,"",'1. Live'!AW326-'check-Jul''26'!AS326)</f>
        <v/>
      </c>
      <c r="AT308" s="25" t="str">
        <f>IF('1. Live'!AX326='check-Jul''26'!AT326,"",'1. Live'!AX326-'check-Jul''26'!AT326)</f>
        <v/>
      </c>
      <c r="AU308" s="25" t="str">
        <f>IF('1. Live'!AY326='check-Jul''26'!AU326,"",'1. Live'!AY326-'check-Jul''26'!AU326)</f>
        <v/>
      </c>
      <c r="AV308" s="25" t="str">
        <f>IF('1. Live'!AZ326='check-Jul''26'!AV326,"",'1. Live'!AZ326-'check-Jul''26'!AV326)</f>
        <v/>
      </c>
      <c r="AW308" s="25" t="str">
        <f>IF('1. Live'!BA326='check-Jul''26'!AW326,"",'1. Live'!BA326-'check-Jul''26'!AW326)</f>
        <v/>
      </c>
      <c r="AX308" s="25" t="str">
        <f>IF('1. Live'!BB326='check-Jul''26'!AX326,"",'1. Live'!BB326-'check-Jul''26'!AX326)</f>
        <v/>
      </c>
      <c r="AY308" s="25" t="str">
        <f>IF('1. Live'!BC326='check-Jul''26'!AY326,"",'1. Live'!BC326-'check-Jul''26'!AY326)</f>
        <v/>
      </c>
      <c r="AZ308" s="25" t="str">
        <f>IF('1. Live'!BD326='check-Jul''26'!AZ326,"",'1. Live'!BD326-'check-Jul''26'!AZ326)</f>
        <v/>
      </c>
      <c r="BA308" s="25" t="str">
        <f>IF('1. Live'!BE326='check-Jul''26'!BA326,"",'1. Live'!BE326-'check-Jul''26'!BA326)</f>
        <v/>
      </c>
      <c r="BB308" s="25" t="str">
        <f>IF('1. Live'!BF326='check-Jul''26'!BB326,"",'1. Live'!BF326-'check-Jul''26'!BB326)</f>
        <v/>
      </c>
      <c r="BC308" s="25" t="str">
        <f>IF('1. Live'!BG326='check-Jul''26'!BC326,"",'1. Live'!BG326-'check-Jul''26'!BC326)</f>
        <v/>
      </c>
      <c r="BD308" s="25" t="str">
        <f>IF('1. Live'!BH326='check-Jul''26'!BD326,"",'1. Live'!BH326-'check-Jul''26'!BD326)</f>
        <v/>
      </c>
      <c r="BE308" s="25" t="str">
        <f>IF('1. Live'!BI326='check-Jul''26'!BE326,"",'1. Live'!BI326-'check-Jul''26'!BE326)</f>
        <v/>
      </c>
      <c r="BF308" s="25" t="str">
        <f>IF('1. Live'!BJ326='check-Jul''26'!BF326,"",'1. Live'!BJ326-'check-Jul''26'!BF326)</f>
        <v/>
      </c>
      <c r="BG308" s="25" t="str">
        <f>IF('1. Live'!BK326='check-Jul''26'!BG326,"",'1. Live'!BK326-'check-Jul''26'!BG326)</f>
        <v/>
      </c>
      <c r="BH308" s="25" t="str">
        <f>IF('1. Live'!BL326='check-Jul''26'!BH326,"",'1. Live'!BL326-'check-Jul''26'!BH326)</f>
        <v/>
      </c>
      <c r="BI308" s="25" t="str">
        <f>IF('1. Live'!BM326='check-Jul''26'!BI326,"",'1. Live'!BM326-'check-Jul''26'!BI326)</f>
        <v/>
      </c>
      <c r="BJ308" s="25" t="str">
        <f>IF('1. Live'!BN326='check-Jul''26'!BJ326,"",'1. Live'!BN326-'check-Jul''26'!BJ326)</f>
        <v/>
      </c>
      <c r="BK308" s="25" t="str">
        <f>IF('1. Live'!BO326='check-Jul''26'!BK326,"",'1. Live'!BO326-'check-Jul''26'!BK326)</f>
        <v/>
      </c>
      <c r="BL308" s="25" t="str">
        <f>IF('1. Live'!BP326='check-Jul''26'!BL326,"",'1. Live'!BP326-'check-Jul''26'!BL326)</f>
        <v/>
      </c>
      <c r="BM308" s="25" t="str">
        <f>IF('1. Live'!BQ326='check-Jul''26'!BM326,"",'1. Live'!BQ326-'check-Jul''26'!BM326)</f>
        <v/>
      </c>
      <c r="BN308" s="25" t="str">
        <f>IF('1. Live'!BR326='check-Jul''26'!BN326,"",'1. Live'!BR326-'check-Jul''26'!BN326)</f>
        <v/>
      </c>
      <c r="BO308" s="25" t="str">
        <f>IF('1. Live'!BS326='check-Jul''26'!BO326,"",'1. Live'!BS326-'check-Jul''26'!BO326)</f>
        <v/>
      </c>
      <c r="BP308" s="25" t="str">
        <f>IF('1. Live'!BT326='check-Jul''26'!BP326,"",'1. Live'!BT326-'check-Jul''26'!BP326)</f>
        <v/>
      </c>
      <c r="BQ308" s="25" t="str">
        <f>IF('1. Live'!BU326='check-Jul''26'!BQ326,"",'1. Live'!BU326-'check-Jul''26'!BQ326)</f>
        <v/>
      </c>
      <c r="BR308" s="25" t="str">
        <f>IF('1. Live'!BV326='check-Jul''26'!BR326,"",'1. Live'!BV326-'check-Jul''26'!BR326)</f>
        <v/>
      </c>
      <c r="BS308" s="25" t="str">
        <f>IF('1. Live'!BW326='check-Jul''26'!BS326,"",'1. Live'!BW326-'check-Jul''26'!BS326)</f>
        <v/>
      </c>
      <c r="BT308" s="25" t="str">
        <f>IF('1. Live'!BX326='check-Jul''26'!BT326,"",'1. Live'!BX326-'check-Jul''26'!BT326)</f>
        <v/>
      </c>
      <c r="BU308" s="25" t="str">
        <f>IF('1. Live'!BY326='check-Jul''26'!BU326,"",'1. Live'!BY326-'check-Jul''26'!BU326)</f>
        <v/>
      </c>
      <c r="BV308" s="25" t="str">
        <f>IF('1. Live'!BZ326='check-Jul''26'!BV326,"",'1. Live'!BZ326-'check-Jul''26'!BV326)</f>
        <v/>
      </c>
      <c r="BW308" s="25" t="str">
        <f>IF('1. Live'!CA326='check-Jul''26'!BW326,"",'1. Live'!CA326-'check-Jul''26'!BW326)</f>
        <v/>
      </c>
      <c r="BX308" s="25" t="str">
        <f>IF('1. Live'!CB326='check-Jul''26'!BX326,"",'1. Live'!CB326-'check-Jul''26'!BX326)</f>
        <v/>
      </c>
      <c r="BY308" s="25" t="str">
        <f>IF('1. Live'!CC326='check-Jul''26'!BY326,"",'1. Live'!CC326-'check-Jul''26'!BY326)</f>
        <v/>
      </c>
      <c r="BZ308" s="25" t="str">
        <f>IF('1. Live'!CD326='check-Jul''26'!BZ326,"",'1. Live'!CD326-'check-Jul''26'!BZ326)</f>
        <v/>
      </c>
      <c r="CA308" s="25" t="str">
        <f>IF('1. Live'!CE326='check-Jul''26'!CA326,"",'1. Live'!CE326-'check-Jul''26'!CA326)</f>
        <v/>
      </c>
      <c r="CB308" s="25" t="str">
        <f>IF('1. Live'!CF326='check-Jul''26'!CB326,"",'1. Live'!CF326-'check-Jul''26'!CB326)</f>
        <v/>
      </c>
      <c r="CC308" s="25" t="str">
        <f>IF('1. Live'!CG326='check-Jul''26'!CC326,"",'1. Live'!CG326-'check-Jul''26'!CC326)</f>
        <v/>
      </c>
      <c r="CD308" s="25" t="str">
        <f>IF('1. Live'!CH326='check-Jul''26'!CD326,"",'1. Live'!CH326-'check-Jul''26'!CD326)</f>
        <v/>
      </c>
      <c r="CE308" s="25" t="str">
        <f>IF('1. Live'!CI326='check-Jul''26'!CE326,"",'1. Live'!CI326-'check-Jul''26'!CE326)</f>
        <v/>
      </c>
      <c r="CF308" s="25" t="str">
        <f>IF('1. Live'!CJ326='check-Jul''26'!CF326,"",'1. Live'!CJ326-'check-Jul''26'!CF326)</f>
        <v/>
      </c>
      <c r="CG308" s="25" t="str">
        <f>IF('1. Live'!CK326='check-Jul''26'!CG326,"",'1. Live'!CK326-'check-Jul''26'!CG326)</f>
        <v/>
      </c>
      <c r="CH308" s="25" t="str">
        <f>IF('1. Live'!CL326='check-Jul''26'!CH326,"",'1. Live'!CL326-'check-Jul''26'!CH326)</f>
        <v/>
      </c>
      <c r="CI308" s="25" t="str">
        <f>IF('1. Live'!CM326='check-Jul''26'!CI326,"",'1. Live'!CM326-'check-Jul''26'!CI326)</f>
        <v/>
      </c>
      <c r="CJ308" s="25" t="str">
        <f>IF('1. Live'!CN326='check-Jul''26'!CJ326,"",'1. Live'!CN326-'check-Jul''26'!CJ326)</f>
        <v/>
      </c>
      <c r="CK308" s="25" t="str">
        <f>IF('1. Live'!CO326='check-Jul''26'!CK326,"",'1. Live'!CO326-'check-Jul''26'!CK326)</f>
        <v/>
      </c>
      <c r="CL308" s="25" t="str">
        <f>IF('1. Live'!CP326='check-Jul''26'!CL326,"",'1. Live'!CP326-'check-Jul''26'!CL326)</f>
        <v/>
      </c>
      <c r="CM308" s="25" t="str">
        <f>IF('1. Live'!CQ326='check-Jul''26'!CM326,"",'1. Live'!CQ326-'check-Jul''26'!CM326)</f>
        <v/>
      </c>
      <c r="CN308" s="25" t="str">
        <f>IF('1. Live'!CR326='check-Jul''26'!CN326,"",'1. Live'!CR326-'check-Jul''26'!CN326)</f>
        <v/>
      </c>
      <c r="CO308" s="25" t="str">
        <f>IF('1. Live'!CS326='check-Jul''26'!CO326,"",'1. Live'!CS326-'check-Jul''26'!CO326)</f>
        <v/>
      </c>
      <c r="CP308" s="25" t="str">
        <f>IF('1. Live'!CT326='check-Jul''26'!CP326,"",'1. Live'!CT326-'check-Jul''26'!CP326)</f>
        <v/>
      </c>
      <c r="CQ308" s="25" t="str">
        <f>IF('1. Live'!CU326='check-Jul''26'!CQ326,"",'1. Live'!CU326-'check-Jul''26'!CQ326)</f>
        <v/>
      </c>
      <c r="CR308" s="25" t="str">
        <f>IF('1. Live'!CV326='check-Jul''26'!CR326,"",'1. Live'!CV326-'check-Jul''26'!CR326)</f>
        <v/>
      </c>
      <c r="CS308" s="25" t="str">
        <f>IF('1. Live'!CW326='check-Jul''26'!CS326,"",'1. Live'!CW326-'check-Jul''26'!CS326)</f>
        <v/>
      </c>
      <c r="CT308" s="25" t="str">
        <f>IF('1. Live'!CX326='check-Jul''26'!CT326,"",'1. Live'!CX326-'check-Jul''26'!CT326)</f>
        <v/>
      </c>
      <c r="CU308" s="25" t="str">
        <f>IF('1. Live'!CY326='check-Jul''26'!CU326,"",'1. Live'!CY326-'check-Jul''26'!CU326)</f>
        <v/>
      </c>
      <c r="CV308" s="25" t="str">
        <f>IF('1. Live'!CZ326='check-Jul''26'!CV326,"",'1. Live'!CZ326-'check-Jul''26'!CV326)</f>
        <v/>
      </c>
    </row>
    <row r="309" spans="17:100" x14ac:dyDescent="0.25">
      <c r="Q309" s="26" t="str">
        <f>IF('1. Live'!N327='check-Jul''26'!I327,"",'1. Live'!N327-'check-Jul''26'!I327)</f>
        <v/>
      </c>
      <c r="R309" s="26" t="str">
        <f>IF('1. Live'!O327='check-Jul''26'!J327,"",'1. Live'!O327-'check-Jul''26'!J327)</f>
        <v/>
      </c>
      <c r="S309" s="26" t="str">
        <f>IF('1. Live'!P327='check-Jul''26'!K327,"",'1. Live'!P327-'check-Jul''26'!K327)</f>
        <v/>
      </c>
      <c r="T309" s="26" t="str">
        <f>IF('1. Live'!Q327='check-Jul''26'!L327,"",'1. Live'!Q327-'check-Jul''26'!L327)</f>
        <v/>
      </c>
      <c r="U309" s="80" t="str">
        <f>IF('1. Live'!R327='check-Jul''26'!M327,"",'1. Live'!R327-'check-Jul''26'!M327)</f>
        <v/>
      </c>
      <c r="V309" s="26" t="str">
        <f>IF('1. Live'!S327='check-Jul''26'!N327,"",'1. Live'!S327-'check-Jul''26'!N327)</f>
        <v/>
      </c>
      <c r="W309" s="25" t="str">
        <f>IF('1. Live'!T327='check-Jul''26'!O327,"",'1. Live'!T327-'check-Jul''26'!O327)</f>
        <v/>
      </c>
      <c r="X309" s="25" t="str">
        <f>IF('1. Live'!U327='check-Jul''26'!Q327,"",'1. Live'!U327-'check-Jul''26'!Q327)</f>
        <v/>
      </c>
      <c r="Y309" s="25" t="str">
        <f>IF('1. Live'!V327='check-Jul''26'!R327,"",'1. Live'!V327-'check-Jul''26'!R327)</f>
        <v/>
      </c>
      <c r="Z309" s="25" t="str">
        <f>IF('1. Live'!W327='check-Jul''26'!S327,"",'1. Live'!W327-'check-Jul''26'!S327)</f>
        <v/>
      </c>
      <c r="AA309" s="25" t="str">
        <f>IF('1. Live'!X327='check-Jul''26'!T327,"",'1. Live'!X327-'check-Jul''26'!T327)</f>
        <v/>
      </c>
      <c r="AB309" s="25" t="str">
        <f>IF('1. Live'!AF327='check-Jul''26'!AB327,"",'1. Live'!AF327-'check-Jul''26'!AB327)</f>
        <v/>
      </c>
      <c r="AC309" s="25" t="str">
        <f>IF('1. Live'!AG327='check-Jul''26'!AC327,"",'1. Live'!AG327-'check-Jul''26'!AC327)</f>
        <v/>
      </c>
      <c r="AD309" s="25" t="str">
        <f>IF('1. Live'!AH327='check-Jul''26'!AD327,"",'1. Live'!AH327-'check-Jul''26'!AD327)</f>
        <v/>
      </c>
      <c r="AE309" s="25" t="str">
        <f>IF('1. Live'!AI327='check-Jul''26'!AE327,"",'1. Live'!AI327-'check-Jul''26'!AE327)</f>
        <v/>
      </c>
      <c r="AF309" s="25" t="str">
        <f>IF('1. Live'!AJ327='check-Jul''26'!AF327,"",'1. Live'!AJ327-'check-Jul''26'!AF327)</f>
        <v/>
      </c>
      <c r="AG309" s="25" t="str">
        <f>IF('1. Live'!AK327='check-Jul''26'!AG327,"",'1. Live'!AK327-'check-Jul''26'!AG327)</f>
        <v/>
      </c>
      <c r="AH309" s="25" t="str">
        <f>IF('1. Live'!AL327='check-Jul''26'!AH327,"",'1. Live'!AL327-'check-Jul''26'!AH327)</f>
        <v/>
      </c>
      <c r="AI309" s="25" t="str">
        <f>IF('1. Live'!AM327='check-Jul''26'!AI327,"",'1. Live'!AM327-'check-Jul''26'!AI327)</f>
        <v/>
      </c>
      <c r="AJ309" s="25" t="str">
        <f>IF('1. Live'!AN327='check-Jul''26'!AJ327,"",'1. Live'!AN327-'check-Jul''26'!AJ327)</f>
        <v/>
      </c>
      <c r="AK309" s="25" t="str">
        <f>IF('1. Live'!AO327='check-Jul''26'!AK327,"",'1. Live'!AO327-'check-Jul''26'!AK327)</f>
        <v/>
      </c>
      <c r="AL309" s="25" t="str">
        <f>IF('1. Live'!AP327='check-Jul''26'!AL327,"",'1. Live'!AP327-'check-Jul''26'!AL327)</f>
        <v/>
      </c>
      <c r="AM309" s="25" t="str">
        <f>IF('1. Live'!AQ327='check-Jul''26'!AM327,"",'1. Live'!AQ327-'check-Jul''26'!AM327)</f>
        <v/>
      </c>
      <c r="AN309" s="25" t="str">
        <f>IF('1. Live'!AR327='check-Jul''26'!AN327,"",'1. Live'!AR327-'check-Jul''26'!AN327)</f>
        <v/>
      </c>
      <c r="AO309" s="25" t="str">
        <f>IF('1. Live'!AS327='check-Jul''26'!AO327,"",'1. Live'!AS327-'check-Jul''26'!AO327)</f>
        <v/>
      </c>
      <c r="AP309" s="25" t="str">
        <f>IF('1. Live'!AT327='check-Jul''26'!AP327,"",'1. Live'!AT327-'check-Jul''26'!AP327)</f>
        <v/>
      </c>
      <c r="AQ309" s="25" t="str">
        <f>IF('1. Live'!AU327='check-Jul''26'!AQ327,"",'1. Live'!AU327-'check-Jul''26'!AQ327)</f>
        <v/>
      </c>
      <c r="AR309" s="25" t="str">
        <f>IF('1. Live'!AV327='check-Jul''26'!AR327,"",'1. Live'!AV327-'check-Jul''26'!AR327)</f>
        <v/>
      </c>
      <c r="AS309" s="25" t="str">
        <f>IF('1. Live'!AW327='check-Jul''26'!AS327,"",'1. Live'!AW327-'check-Jul''26'!AS327)</f>
        <v/>
      </c>
      <c r="AT309" s="25" t="str">
        <f>IF('1. Live'!AX327='check-Jul''26'!AT327,"",'1. Live'!AX327-'check-Jul''26'!AT327)</f>
        <v/>
      </c>
      <c r="AU309" s="25" t="str">
        <f>IF('1. Live'!AY327='check-Jul''26'!AU327,"",'1. Live'!AY327-'check-Jul''26'!AU327)</f>
        <v/>
      </c>
      <c r="AV309" s="25" t="str">
        <f>IF('1. Live'!AZ327='check-Jul''26'!AV327,"",'1. Live'!AZ327-'check-Jul''26'!AV327)</f>
        <v/>
      </c>
      <c r="AW309" s="25" t="str">
        <f>IF('1. Live'!BA327='check-Jul''26'!AW327,"",'1. Live'!BA327-'check-Jul''26'!AW327)</f>
        <v/>
      </c>
      <c r="AX309" s="25" t="str">
        <f>IF('1. Live'!BB327='check-Jul''26'!AX327,"",'1. Live'!BB327-'check-Jul''26'!AX327)</f>
        <v/>
      </c>
      <c r="AY309" s="25" t="str">
        <f>IF('1. Live'!BC327='check-Jul''26'!AY327,"",'1. Live'!BC327-'check-Jul''26'!AY327)</f>
        <v/>
      </c>
      <c r="AZ309" s="25" t="str">
        <f>IF('1. Live'!BD327='check-Jul''26'!AZ327,"",'1. Live'!BD327-'check-Jul''26'!AZ327)</f>
        <v/>
      </c>
      <c r="BA309" s="25" t="str">
        <f>IF('1. Live'!BE327='check-Jul''26'!BA327,"",'1. Live'!BE327-'check-Jul''26'!BA327)</f>
        <v/>
      </c>
      <c r="BB309" s="25" t="str">
        <f>IF('1. Live'!BF327='check-Jul''26'!BB327,"",'1. Live'!BF327-'check-Jul''26'!BB327)</f>
        <v/>
      </c>
      <c r="BC309" s="25" t="str">
        <f>IF('1. Live'!BG327='check-Jul''26'!BC327,"",'1. Live'!BG327-'check-Jul''26'!BC327)</f>
        <v/>
      </c>
      <c r="BD309" s="25" t="str">
        <f>IF('1. Live'!BH327='check-Jul''26'!BD327,"",'1. Live'!BH327-'check-Jul''26'!BD327)</f>
        <v/>
      </c>
      <c r="BE309" s="25" t="str">
        <f>IF('1. Live'!BI327='check-Jul''26'!BE327,"",'1. Live'!BI327-'check-Jul''26'!BE327)</f>
        <v/>
      </c>
      <c r="BF309" s="25" t="str">
        <f>IF('1. Live'!BJ327='check-Jul''26'!BF327,"",'1. Live'!BJ327-'check-Jul''26'!BF327)</f>
        <v/>
      </c>
      <c r="BG309" s="25" t="str">
        <f>IF('1. Live'!BK327='check-Jul''26'!BG327,"",'1. Live'!BK327-'check-Jul''26'!BG327)</f>
        <v/>
      </c>
      <c r="BH309" s="25" t="str">
        <f>IF('1. Live'!BL327='check-Jul''26'!BH327,"",'1. Live'!BL327-'check-Jul''26'!BH327)</f>
        <v/>
      </c>
      <c r="BI309" s="25" t="str">
        <f>IF('1. Live'!BM327='check-Jul''26'!BI327,"",'1. Live'!BM327-'check-Jul''26'!BI327)</f>
        <v/>
      </c>
      <c r="BJ309" s="25" t="str">
        <f>IF('1. Live'!BN327='check-Jul''26'!BJ327,"",'1. Live'!BN327-'check-Jul''26'!BJ327)</f>
        <v/>
      </c>
      <c r="BK309" s="25" t="str">
        <f>IF('1. Live'!BO327='check-Jul''26'!BK327,"",'1. Live'!BO327-'check-Jul''26'!BK327)</f>
        <v/>
      </c>
      <c r="BL309" s="25" t="str">
        <f>IF('1. Live'!BP327='check-Jul''26'!BL327,"",'1. Live'!BP327-'check-Jul''26'!BL327)</f>
        <v/>
      </c>
      <c r="BM309" s="25" t="str">
        <f>IF('1. Live'!BQ327='check-Jul''26'!BM327,"",'1. Live'!BQ327-'check-Jul''26'!BM327)</f>
        <v/>
      </c>
      <c r="BN309" s="25" t="str">
        <f>IF('1. Live'!BR327='check-Jul''26'!BN327,"",'1. Live'!BR327-'check-Jul''26'!BN327)</f>
        <v/>
      </c>
      <c r="BO309" s="25" t="str">
        <f>IF('1. Live'!BS327='check-Jul''26'!BO327,"",'1. Live'!BS327-'check-Jul''26'!BO327)</f>
        <v/>
      </c>
      <c r="BP309" s="25" t="str">
        <f>IF('1. Live'!BT327='check-Jul''26'!BP327,"",'1. Live'!BT327-'check-Jul''26'!BP327)</f>
        <v/>
      </c>
      <c r="BQ309" s="25" t="str">
        <f>IF('1. Live'!BU327='check-Jul''26'!BQ327,"",'1. Live'!BU327-'check-Jul''26'!BQ327)</f>
        <v/>
      </c>
      <c r="BR309" s="25" t="str">
        <f>IF('1. Live'!BV327='check-Jul''26'!BR327,"",'1. Live'!BV327-'check-Jul''26'!BR327)</f>
        <v/>
      </c>
      <c r="BS309" s="25" t="str">
        <f>IF('1. Live'!BW327='check-Jul''26'!BS327,"",'1. Live'!BW327-'check-Jul''26'!BS327)</f>
        <v/>
      </c>
      <c r="BT309" s="25" t="str">
        <f>IF('1. Live'!BX327='check-Jul''26'!BT327,"",'1. Live'!BX327-'check-Jul''26'!BT327)</f>
        <v/>
      </c>
      <c r="BU309" s="25" t="str">
        <f>IF('1. Live'!BY327='check-Jul''26'!BU327,"",'1. Live'!BY327-'check-Jul''26'!BU327)</f>
        <v/>
      </c>
      <c r="BV309" s="25" t="str">
        <f>IF('1. Live'!BZ327='check-Jul''26'!BV327,"",'1. Live'!BZ327-'check-Jul''26'!BV327)</f>
        <v/>
      </c>
      <c r="BW309" s="25" t="str">
        <f>IF('1. Live'!CA327='check-Jul''26'!BW327,"",'1. Live'!CA327-'check-Jul''26'!BW327)</f>
        <v/>
      </c>
      <c r="BX309" s="25" t="str">
        <f>IF('1. Live'!CB327='check-Jul''26'!BX327,"",'1. Live'!CB327-'check-Jul''26'!BX327)</f>
        <v/>
      </c>
      <c r="BY309" s="25" t="str">
        <f>IF('1. Live'!CC327='check-Jul''26'!BY327,"",'1. Live'!CC327-'check-Jul''26'!BY327)</f>
        <v/>
      </c>
      <c r="BZ309" s="25" t="str">
        <f>IF('1. Live'!CD327='check-Jul''26'!BZ327,"",'1. Live'!CD327-'check-Jul''26'!BZ327)</f>
        <v/>
      </c>
      <c r="CA309" s="25" t="str">
        <f>IF('1. Live'!CE327='check-Jul''26'!CA327,"",'1. Live'!CE327-'check-Jul''26'!CA327)</f>
        <v/>
      </c>
      <c r="CB309" s="25" t="str">
        <f>IF('1. Live'!CF327='check-Jul''26'!CB327,"",'1. Live'!CF327-'check-Jul''26'!CB327)</f>
        <v/>
      </c>
      <c r="CC309" s="25" t="str">
        <f>IF('1. Live'!CG327='check-Jul''26'!CC327,"",'1. Live'!CG327-'check-Jul''26'!CC327)</f>
        <v/>
      </c>
      <c r="CD309" s="25" t="str">
        <f>IF('1. Live'!CH327='check-Jul''26'!CD327,"",'1. Live'!CH327-'check-Jul''26'!CD327)</f>
        <v/>
      </c>
      <c r="CE309" s="25" t="str">
        <f>IF('1. Live'!CI327='check-Jul''26'!CE327,"",'1. Live'!CI327-'check-Jul''26'!CE327)</f>
        <v/>
      </c>
      <c r="CF309" s="25" t="str">
        <f>IF('1. Live'!CJ327='check-Jul''26'!CF327,"",'1. Live'!CJ327-'check-Jul''26'!CF327)</f>
        <v/>
      </c>
      <c r="CG309" s="25" t="str">
        <f>IF('1. Live'!CK327='check-Jul''26'!CG327,"",'1. Live'!CK327-'check-Jul''26'!CG327)</f>
        <v/>
      </c>
      <c r="CH309" s="25" t="str">
        <f>IF('1. Live'!CL327='check-Jul''26'!CH327,"",'1. Live'!CL327-'check-Jul''26'!CH327)</f>
        <v/>
      </c>
      <c r="CI309" s="25" t="str">
        <f>IF('1. Live'!CM327='check-Jul''26'!CI327,"",'1. Live'!CM327-'check-Jul''26'!CI327)</f>
        <v/>
      </c>
      <c r="CJ309" s="25" t="str">
        <f>IF('1. Live'!CN327='check-Jul''26'!CJ327,"",'1. Live'!CN327-'check-Jul''26'!CJ327)</f>
        <v/>
      </c>
      <c r="CK309" s="25" t="str">
        <f>IF('1. Live'!CO327='check-Jul''26'!CK327,"",'1. Live'!CO327-'check-Jul''26'!CK327)</f>
        <v/>
      </c>
      <c r="CL309" s="25" t="str">
        <f>IF('1. Live'!CP327='check-Jul''26'!CL327,"",'1. Live'!CP327-'check-Jul''26'!CL327)</f>
        <v/>
      </c>
      <c r="CM309" s="25" t="str">
        <f>IF('1. Live'!CQ327='check-Jul''26'!CM327,"",'1. Live'!CQ327-'check-Jul''26'!CM327)</f>
        <v/>
      </c>
      <c r="CN309" s="25" t="str">
        <f>IF('1. Live'!CR327='check-Jul''26'!CN327,"",'1. Live'!CR327-'check-Jul''26'!CN327)</f>
        <v/>
      </c>
      <c r="CO309" s="25" t="str">
        <f>IF('1. Live'!CS327='check-Jul''26'!CO327,"",'1. Live'!CS327-'check-Jul''26'!CO327)</f>
        <v/>
      </c>
      <c r="CP309" s="25" t="str">
        <f>IF('1. Live'!CT327='check-Jul''26'!CP327,"",'1. Live'!CT327-'check-Jul''26'!CP327)</f>
        <v/>
      </c>
      <c r="CQ309" s="25" t="str">
        <f>IF('1. Live'!CU327='check-Jul''26'!CQ327,"",'1. Live'!CU327-'check-Jul''26'!CQ327)</f>
        <v/>
      </c>
      <c r="CR309" s="25" t="str">
        <f>IF('1. Live'!CV327='check-Jul''26'!CR327,"",'1. Live'!CV327-'check-Jul''26'!CR327)</f>
        <v/>
      </c>
      <c r="CS309" s="25" t="str">
        <f>IF('1. Live'!CW327='check-Jul''26'!CS327,"",'1. Live'!CW327-'check-Jul''26'!CS327)</f>
        <v/>
      </c>
      <c r="CT309" s="25" t="str">
        <f>IF('1. Live'!CX327='check-Jul''26'!CT327,"",'1. Live'!CX327-'check-Jul''26'!CT327)</f>
        <v/>
      </c>
      <c r="CU309" s="25" t="str">
        <f>IF('1. Live'!CY327='check-Jul''26'!CU327,"",'1. Live'!CY327-'check-Jul''26'!CU327)</f>
        <v/>
      </c>
      <c r="CV309" s="25" t="str">
        <f>IF('1. Live'!CZ327='check-Jul''26'!CV327,"",'1. Live'!CZ327-'check-Jul''26'!CV327)</f>
        <v/>
      </c>
    </row>
    <row r="310" spans="17:100" x14ac:dyDescent="0.25">
      <c r="Q310" s="26" t="str">
        <f>IF('1. Live'!N328='check-Jul''26'!I328,"",'1. Live'!N328-'check-Jul''26'!I328)</f>
        <v/>
      </c>
      <c r="R310" s="26" t="str">
        <f>IF('1. Live'!O328='check-Jul''26'!J328,"",'1. Live'!O328-'check-Jul''26'!J328)</f>
        <v/>
      </c>
      <c r="S310" s="26" t="str">
        <f>IF('1. Live'!P328='check-Jul''26'!K328,"",'1. Live'!P328-'check-Jul''26'!K328)</f>
        <v/>
      </c>
      <c r="T310" s="26" t="str">
        <f>IF('1. Live'!Q328='check-Jul''26'!L328,"",'1. Live'!Q328-'check-Jul''26'!L328)</f>
        <v/>
      </c>
      <c r="U310" s="80" t="str">
        <f>IF('1. Live'!R328='check-Jul''26'!M328,"",'1. Live'!R328-'check-Jul''26'!M328)</f>
        <v/>
      </c>
      <c r="V310" s="26" t="str">
        <f>IF('1. Live'!S328='check-Jul''26'!N328,"",'1. Live'!S328-'check-Jul''26'!N328)</f>
        <v/>
      </c>
      <c r="W310" s="25" t="str">
        <f>IF('1. Live'!T328='check-Jul''26'!O328,"",'1. Live'!T328-'check-Jul''26'!O328)</f>
        <v/>
      </c>
      <c r="X310" s="25" t="str">
        <f>IF('1. Live'!U328='check-Jul''26'!Q328,"",'1. Live'!U328-'check-Jul''26'!Q328)</f>
        <v/>
      </c>
      <c r="Y310" s="25" t="str">
        <f>IF('1. Live'!V328='check-Jul''26'!R328,"",'1. Live'!V328-'check-Jul''26'!R328)</f>
        <v/>
      </c>
      <c r="Z310" s="25" t="str">
        <f>IF('1. Live'!W328='check-Jul''26'!S328,"",'1. Live'!W328-'check-Jul''26'!S328)</f>
        <v/>
      </c>
      <c r="AA310" s="25" t="str">
        <f>IF('1. Live'!X328='check-Jul''26'!T328,"",'1. Live'!X328-'check-Jul''26'!T328)</f>
        <v/>
      </c>
      <c r="AB310" s="25" t="str">
        <f>IF('1. Live'!AF328='check-Jul''26'!AB328,"",'1. Live'!AF328-'check-Jul''26'!AB328)</f>
        <v/>
      </c>
      <c r="AC310" s="25" t="str">
        <f>IF('1. Live'!AG328='check-Jul''26'!AC328,"",'1. Live'!AG328-'check-Jul''26'!AC328)</f>
        <v/>
      </c>
      <c r="AD310" s="25" t="str">
        <f>IF('1. Live'!AH328='check-Jul''26'!AD328,"",'1. Live'!AH328-'check-Jul''26'!AD328)</f>
        <v/>
      </c>
      <c r="AE310" s="25" t="str">
        <f>IF('1. Live'!AI328='check-Jul''26'!AE328,"",'1. Live'!AI328-'check-Jul''26'!AE328)</f>
        <v/>
      </c>
      <c r="AF310" s="25" t="str">
        <f>IF('1. Live'!AJ328='check-Jul''26'!AF328,"",'1. Live'!AJ328-'check-Jul''26'!AF328)</f>
        <v/>
      </c>
      <c r="AG310" s="25" t="str">
        <f>IF('1. Live'!AK328='check-Jul''26'!AG328,"",'1. Live'!AK328-'check-Jul''26'!AG328)</f>
        <v/>
      </c>
      <c r="AH310" s="25" t="str">
        <f>IF('1. Live'!AL328='check-Jul''26'!AH328,"",'1. Live'!AL328-'check-Jul''26'!AH328)</f>
        <v/>
      </c>
      <c r="AI310" s="25" t="str">
        <f>IF('1. Live'!AM328='check-Jul''26'!AI328,"",'1. Live'!AM328-'check-Jul''26'!AI328)</f>
        <v/>
      </c>
      <c r="AJ310" s="25" t="str">
        <f>IF('1. Live'!AN328='check-Jul''26'!AJ328,"",'1. Live'!AN328-'check-Jul''26'!AJ328)</f>
        <v/>
      </c>
      <c r="AK310" s="25" t="str">
        <f>IF('1. Live'!AO328='check-Jul''26'!AK328,"",'1. Live'!AO328-'check-Jul''26'!AK328)</f>
        <v/>
      </c>
      <c r="AL310" s="25" t="str">
        <f>IF('1. Live'!AP328='check-Jul''26'!AL328,"",'1. Live'!AP328-'check-Jul''26'!AL328)</f>
        <v/>
      </c>
      <c r="AM310" s="25" t="str">
        <f>IF('1. Live'!AQ328='check-Jul''26'!AM328,"",'1. Live'!AQ328-'check-Jul''26'!AM328)</f>
        <v/>
      </c>
      <c r="AN310" s="25" t="str">
        <f>IF('1. Live'!AR328='check-Jul''26'!AN328,"",'1. Live'!AR328-'check-Jul''26'!AN328)</f>
        <v/>
      </c>
      <c r="AO310" s="25" t="str">
        <f>IF('1. Live'!AS328='check-Jul''26'!AO328,"",'1. Live'!AS328-'check-Jul''26'!AO328)</f>
        <v/>
      </c>
      <c r="AP310" s="25" t="str">
        <f>IF('1. Live'!AT328='check-Jul''26'!AP328,"",'1. Live'!AT328-'check-Jul''26'!AP328)</f>
        <v/>
      </c>
      <c r="AQ310" s="25" t="str">
        <f>IF('1. Live'!AU328='check-Jul''26'!AQ328,"",'1. Live'!AU328-'check-Jul''26'!AQ328)</f>
        <v/>
      </c>
      <c r="AR310" s="25" t="str">
        <f>IF('1. Live'!AV328='check-Jul''26'!AR328,"",'1. Live'!AV328-'check-Jul''26'!AR328)</f>
        <v/>
      </c>
      <c r="AS310" s="25" t="str">
        <f>IF('1. Live'!AW328='check-Jul''26'!AS328,"",'1. Live'!AW328-'check-Jul''26'!AS328)</f>
        <v/>
      </c>
      <c r="AT310" s="25" t="str">
        <f>IF('1. Live'!AX328='check-Jul''26'!AT328,"",'1. Live'!AX328-'check-Jul''26'!AT328)</f>
        <v/>
      </c>
      <c r="AU310" s="25" t="str">
        <f>IF('1. Live'!AY328='check-Jul''26'!AU328,"",'1. Live'!AY328-'check-Jul''26'!AU328)</f>
        <v/>
      </c>
      <c r="AV310" s="25" t="str">
        <f>IF('1. Live'!AZ328='check-Jul''26'!AV328,"",'1. Live'!AZ328-'check-Jul''26'!AV328)</f>
        <v/>
      </c>
      <c r="AW310" s="25" t="str">
        <f>IF('1. Live'!BA328='check-Jul''26'!AW328,"",'1. Live'!BA328-'check-Jul''26'!AW328)</f>
        <v/>
      </c>
      <c r="AX310" s="25" t="str">
        <f>IF('1. Live'!BB328='check-Jul''26'!AX328,"",'1. Live'!BB328-'check-Jul''26'!AX328)</f>
        <v/>
      </c>
      <c r="AY310" s="25" t="str">
        <f>IF('1. Live'!BC328='check-Jul''26'!AY328,"",'1. Live'!BC328-'check-Jul''26'!AY328)</f>
        <v/>
      </c>
      <c r="AZ310" s="25" t="str">
        <f>IF('1. Live'!BD328='check-Jul''26'!AZ328,"",'1. Live'!BD328-'check-Jul''26'!AZ328)</f>
        <v/>
      </c>
      <c r="BA310" s="25" t="str">
        <f>IF('1. Live'!BE328='check-Jul''26'!BA328,"",'1. Live'!BE328-'check-Jul''26'!BA328)</f>
        <v/>
      </c>
      <c r="BB310" s="25" t="str">
        <f>IF('1. Live'!BF328='check-Jul''26'!BB328,"",'1. Live'!BF328-'check-Jul''26'!BB328)</f>
        <v/>
      </c>
      <c r="BC310" s="25" t="str">
        <f>IF('1. Live'!BG328='check-Jul''26'!BC328,"",'1. Live'!BG328-'check-Jul''26'!BC328)</f>
        <v/>
      </c>
      <c r="BD310" s="25" t="str">
        <f>IF('1. Live'!BH328='check-Jul''26'!BD328,"",'1. Live'!BH328-'check-Jul''26'!BD328)</f>
        <v/>
      </c>
      <c r="BE310" s="25" t="str">
        <f>IF('1. Live'!BI328='check-Jul''26'!BE328,"",'1. Live'!BI328-'check-Jul''26'!BE328)</f>
        <v/>
      </c>
      <c r="BF310" s="25" t="str">
        <f>IF('1. Live'!BJ328='check-Jul''26'!BF328,"",'1. Live'!BJ328-'check-Jul''26'!BF328)</f>
        <v/>
      </c>
      <c r="BG310" s="25" t="str">
        <f>IF('1. Live'!BK328='check-Jul''26'!BG328,"",'1. Live'!BK328-'check-Jul''26'!BG328)</f>
        <v/>
      </c>
      <c r="BH310" s="25" t="str">
        <f>IF('1. Live'!BL328='check-Jul''26'!BH328,"",'1. Live'!BL328-'check-Jul''26'!BH328)</f>
        <v/>
      </c>
      <c r="BI310" s="25" t="str">
        <f>IF('1. Live'!BM328='check-Jul''26'!BI328,"",'1. Live'!BM328-'check-Jul''26'!BI328)</f>
        <v/>
      </c>
      <c r="BJ310" s="25" t="str">
        <f>IF('1. Live'!BN328='check-Jul''26'!BJ328,"",'1. Live'!BN328-'check-Jul''26'!BJ328)</f>
        <v/>
      </c>
      <c r="BK310" s="25" t="str">
        <f>IF('1. Live'!BO328='check-Jul''26'!BK328,"",'1. Live'!BO328-'check-Jul''26'!BK328)</f>
        <v/>
      </c>
      <c r="BL310" s="25" t="str">
        <f>IF('1. Live'!BP328='check-Jul''26'!BL328,"",'1. Live'!BP328-'check-Jul''26'!BL328)</f>
        <v/>
      </c>
      <c r="BM310" s="25" t="str">
        <f>IF('1. Live'!BQ328='check-Jul''26'!BM328,"",'1. Live'!BQ328-'check-Jul''26'!BM328)</f>
        <v/>
      </c>
      <c r="BN310" s="25" t="str">
        <f>IF('1. Live'!BR328='check-Jul''26'!BN328,"",'1. Live'!BR328-'check-Jul''26'!BN328)</f>
        <v/>
      </c>
      <c r="BO310" s="25" t="str">
        <f>IF('1. Live'!BS328='check-Jul''26'!BO328,"",'1. Live'!BS328-'check-Jul''26'!BO328)</f>
        <v/>
      </c>
      <c r="BP310" s="25" t="str">
        <f>IF('1. Live'!BT328='check-Jul''26'!BP328,"",'1. Live'!BT328-'check-Jul''26'!BP328)</f>
        <v/>
      </c>
      <c r="BQ310" s="25" t="str">
        <f>IF('1. Live'!BU328='check-Jul''26'!BQ328,"",'1. Live'!BU328-'check-Jul''26'!BQ328)</f>
        <v/>
      </c>
      <c r="BR310" s="25" t="str">
        <f>IF('1. Live'!BV328='check-Jul''26'!BR328,"",'1. Live'!BV328-'check-Jul''26'!BR328)</f>
        <v/>
      </c>
      <c r="BS310" s="25" t="str">
        <f>IF('1. Live'!BW328='check-Jul''26'!BS328,"",'1. Live'!BW328-'check-Jul''26'!BS328)</f>
        <v/>
      </c>
      <c r="BT310" s="25" t="str">
        <f>IF('1. Live'!BX328='check-Jul''26'!BT328,"",'1. Live'!BX328-'check-Jul''26'!BT328)</f>
        <v/>
      </c>
      <c r="BU310" s="25" t="str">
        <f>IF('1. Live'!BY328='check-Jul''26'!BU328,"",'1. Live'!BY328-'check-Jul''26'!BU328)</f>
        <v/>
      </c>
      <c r="BV310" s="25" t="str">
        <f>IF('1. Live'!BZ328='check-Jul''26'!BV328,"",'1. Live'!BZ328-'check-Jul''26'!BV328)</f>
        <v/>
      </c>
      <c r="BW310" s="25" t="str">
        <f>IF('1. Live'!CA328='check-Jul''26'!BW328,"",'1. Live'!CA328-'check-Jul''26'!BW328)</f>
        <v/>
      </c>
      <c r="BX310" s="25" t="str">
        <f>IF('1. Live'!CB328='check-Jul''26'!BX328,"",'1. Live'!CB328-'check-Jul''26'!BX328)</f>
        <v/>
      </c>
      <c r="BY310" s="25" t="str">
        <f>IF('1. Live'!CC328='check-Jul''26'!BY328,"",'1. Live'!CC328-'check-Jul''26'!BY328)</f>
        <v/>
      </c>
      <c r="BZ310" s="25" t="str">
        <f>IF('1. Live'!CD328='check-Jul''26'!BZ328,"",'1. Live'!CD328-'check-Jul''26'!BZ328)</f>
        <v/>
      </c>
      <c r="CA310" s="25" t="str">
        <f>IF('1. Live'!CE328='check-Jul''26'!CA328,"",'1. Live'!CE328-'check-Jul''26'!CA328)</f>
        <v/>
      </c>
      <c r="CB310" s="25" t="str">
        <f>IF('1. Live'!CF328='check-Jul''26'!CB328,"",'1. Live'!CF328-'check-Jul''26'!CB328)</f>
        <v/>
      </c>
      <c r="CC310" s="25" t="str">
        <f>IF('1. Live'!CG328='check-Jul''26'!CC328,"",'1. Live'!CG328-'check-Jul''26'!CC328)</f>
        <v/>
      </c>
      <c r="CD310" s="25" t="str">
        <f>IF('1. Live'!CH328='check-Jul''26'!CD328,"",'1. Live'!CH328-'check-Jul''26'!CD328)</f>
        <v/>
      </c>
      <c r="CE310" s="25" t="str">
        <f>IF('1. Live'!CI328='check-Jul''26'!CE328,"",'1. Live'!CI328-'check-Jul''26'!CE328)</f>
        <v/>
      </c>
      <c r="CF310" s="25" t="str">
        <f>IF('1. Live'!CJ328='check-Jul''26'!CF328,"",'1. Live'!CJ328-'check-Jul''26'!CF328)</f>
        <v/>
      </c>
      <c r="CG310" s="25" t="str">
        <f>IF('1. Live'!CK328='check-Jul''26'!CG328,"",'1. Live'!CK328-'check-Jul''26'!CG328)</f>
        <v/>
      </c>
      <c r="CH310" s="25" t="str">
        <f>IF('1. Live'!CL328='check-Jul''26'!CH328,"",'1. Live'!CL328-'check-Jul''26'!CH328)</f>
        <v/>
      </c>
      <c r="CI310" s="25" t="str">
        <f>IF('1. Live'!CM328='check-Jul''26'!CI328,"",'1. Live'!CM328-'check-Jul''26'!CI328)</f>
        <v/>
      </c>
      <c r="CJ310" s="25" t="str">
        <f>IF('1. Live'!CN328='check-Jul''26'!CJ328,"",'1. Live'!CN328-'check-Jul''26'!CJ328)</f>
        <v/>
      </c>
      <c r="CK310" s="25" t="str">
        <f>IF('1. Live'!CO328='check-Jul''26'!CK328,"",'1. Live'!CO328-'check-Jul''26'!CK328)</f>
        <v/>
      </c>
      <c r="CL310" s="25" t="str">
        <f>IF('1. Live'!CP328='check-Jul''26'!CL328,"",'1. Live'!CP328-'check-Jul''26'!CL328)</f>
        <v/>
      </c>
      <c r="CM310" s="25" t="str">
        <f>IF('1. Live'!CQ328='check-Jul''26'!CM328,"",'1. Live'!CQ328-'check-Jul''26'!CM328)</f>
        <v/>
      </c>
      <c r="CN310" s="25" t="str">
        <f>IF('1. Live'!CR328='check-Jul''26'!CN328,"",'1. Live'!CR328-'check-Jul''26'!CN328)</f>
        <v/>
      </c>
      <c r="CO310" s="25" t="str">
        <f>IF('1. Live'!CS328='check-Jul''26'!CO328,"",'1. Live'!CS328-'check-Jul''26'!CO328)</f>
        <v/>
      </c>
      <c r="CP310" s="25" t="str">
        <f>IF('1. Live'!CT328='check-Jul''26'!CP328,"",'1. Live'!CT328-'check-Jul''26'!CP328)</f>
        <v/>
      </c>
      <c r="CQ310" s="25" t="str">
        <f>IF('1. Live'!CU328='check-Jul''26'!CQ328,"",'1. Live'!CU328-'check-Jul''26'!CQ328)</f>
        <v/>
      </c>
      <c r="CR310" s="25" t="str">
        <f>IF('1. Live'!CV328='check-Jul''26'!CR328,"",'1. Live'!CV328-'check-Jul''26'!CR328)</f>
        <v/>
      </c>
      <c r="CS310" s="25" t="str">
        <f>IF('1. Live'!CW328='check-Jul''26'!CS328,"",'1. Live'!CW328-'check-Jul''26'!CS328)</f>
        <v/>
      </c>
      <c r="CT310" s="25" t="str">
        <f>IF('1. Live'!CX328='check-Jul''26'!CT328,"",'1. Live'!CX328-'check-Jul''26'!CT328)</f>
        <v/>
      </c>
      <c r="CU310" s="25" t="str">
        <f>IF('1. Live'!CY328='check-Jul''26'!CU328,"",'1. Live'!CY328-'check-Jul''26'!CU328)</f>
        <v/>
      </c>
      <c r="CV310" s="25" t="str">
        <f>IF('1. Live'!CZ328='check-Jul''26'!CV328,"",'1. Live'!CZ328-'check-Jul''26'!CV328)</f>
        <v/>
      </c>
    </row>
    <row r="311" spans="17:100" x14ac:dyDescent="0.25">
      <c r="Q311" s="26" t="str">
        <f>IF('1. Live'!N329='check-Jul''26'!I329,"",'1. Live'!N329-'check-Jul''26'!I329)</f>
        <v/>
      </c>
      <c r="R311" s="26" t="str">
        <f>IF('1. Live'!O329='check-Jul''26'!J329,"",'1. Live'!O329-'check-Jul''26'!J329)</f>
        <v/>
      </c>
      <c r="S311" s="26" t="str">
        <f>IF('1. Live'!P329='check-Jul''26'!K329,"",'1. Live'!P329-'check-Jul''26'!K329)</f>
        <v/>
      </c>
      <c r="T311" s="26" t="str">
        <f>IF('1. Live'!Q329='check-Jul''26'!L329,"",'1. Live'!Q329-'check-Jul''26'!L329)</f>
        <v/>
      </c>
      <c r="U311" s="80" t="str">
        <f>IF('1. Live'!R329='check-Jul''26'!M329,"",'1. Live'!R329-'check-Jul''26'!M329)</f>
        <v/>
      </c>
      <c r="V311" s="26" t="str">
        <f>IF('1. Live'!S329='check-Jul''26'!N329,"",'1. Live'!S329-'check-Jul''26'!N329)</f>
        <v/>
      </c>
      <c r="W311" s="25" t="str">
        <f>IF('1. Live'!T329='check-Jul''26'!O329,"",'1. Live'!T329-'check-Jul''26'!O329)</f>
        <v/>
      </c>
      <c r="X311" s="25" t="str">
        <f>IF('1. Live'!U329='check-Jul''26'!Q329,"",'1. Live'!U329-'check-Jul''26'!Q329)</f>
        <v/>
      </c>
      <c r="Y311" s="25" t="str">
        <f>IF('1. Live'!V329='check-Jul''26'!R329,"",'1. Live'!V329-'check-Jul''26'!R329)</f>
        <v/>
      </c>
      <c r="Z311" s="25" t="str">
        <f>IF('1. Live'!W329='check-Jul''26'!S329,"",'1. Live'!W329-'check-Jul''26'!S329)</f>
        <v/>
      </c>
      <c r="AA311" s="25" t="str">
        <f>IF('1. Live'!X329='check-Jul''26'!T329,"",'1. Live'!X329-'check-Jul''26'!T329)</f>
        <v/>
      </c>
      <c r="AB311" s="25" t="str">
        <f>IF('1. Live'!AF329='check-Jul''26'!AB329,"",'1. Live'!AF329-'check-Jul''26'!AB329)</f>
        <v/>
      </c>
      <c r="AC311" s="25" t="str">
        <f>IF('1. Live'!AG329='check-Jul''26'!AC329,"",'1. Live'!AG329-'check-Jul''26'!AC329)</f>
        <v/>
      </c>
      <c r="AD311" s="25" t="str">
        <f>IF('1. Live'!AH329='check-Jul''26'!AD329,"",'1. Live'!AH329-'check-Jul''26'!AD329)</f>
        <v/>
      </c>
      <c r="AE311" s="25" t="str">
        <f>IF('1. Live'!AI329='check-Jul''26'!AE329,"",'1. Live'!AI329-'check-Jul''26'!AE329)</f>
        <v/>
      </c>
      <c r="AF311" s="25" t="str">
        <f>IF('1. Live'!AJ329='check-Jul''26'!AF329,"",'1. Live'!AJ329-'check-Jul''26'!AF329)</f>
        <v/>
      </c>
      <c r="AG311" s="25" t="str">
        <f>IF('1. Live'!AK329='check-Jul''26'!AG329,"",'1. Live'!AK329-'check-Jul''26'!AG329)</f>
        <v/>
      </c>
      <c r="AH311" s="25" t="str">
        <f>IF('1. Live'!AL329='check-Jul''26'!AH329,"",'1. Live'!AL329-'check-Jul''26'!AH329)</f>
        <v/>
      </c>
      <c r="AI311" s="25" t="str">
        <f>IF('1. Live'!AM329='check-Jul''26'!AI329,"",'1. Live'!AM329-'check-Jul''26'!AI329)</f>
        <v/>
      </c>
      <c r="AJ311" s="25" t="str">
        <f>IF('1. Live'!AN329='check-Jul''26'!AJ329,"",'1. Live'!AN329-'check-Jul''26'!AJ329)</f>
        <v/>
      </c>
      <c r="AK311" s="25" t="str">
        <f>IF('1. Live'!AO329='check-Jul''26'!AK329,"",'1. Live'!AO329-'check-Jul''26'!AK329)</f>
        <v/>
      </c>
      <c r="AL311" s="25" t="str">
        <f>IF('1. Live'!AP329='check-Jul''26'!AL329,"",'1. Live'!AP329-'check-Jul''26'!AL329)</f>
        <v/>
      </c>
      <c r="AM311" s="25" t="str">
        <f>IF('1. Live'!AQ329='check-Jul''26'!AM329,"",'1. Live'!AQ329-'check-Jul''26'!AM329)</f>
        <v/>
      </c>
      <c r="AN311" s="25" t="str">
        <f>IF('1. Live'!AR329='check-Jul''26'!AN329,"",'1. Live'!AR329-'check-Jul''26'!AN329)</f>
        <v/>
      </c>
      <c r="AO311" s="25" t="str">
        <f>IF('1. Live'!AS329='check-Jul''26'!AO329,"",'1. Live'!AS329-'check-Jul''26'!AO329)</f>
        <v/>
      </c>
      <c r="AP311" s="25" t="str">
        <f>IF('1. Live'!AT329='check-Jul''26'!AP329,"",'1. Live'!AT329-'check-Jul''26'!AP329)</f>
        <v/>
      </c>
      <c r="AQ311" s="25" t="str">
        <f>IF('1. Live'!AU329='check-Jul''26'!AQ329,"",'1. Live'!AU329-'check-Jul''26'!AQ329)</f>
        <v/>
      </c>
      <c r="AR311" s="25" t="str">
        <f>IF('1. Live'!AV329='check-Jul''26'!AR329,"",'1. Live'!AV329-'check-Jul''26'!AR329)</f>
        <v/>
      </c>
      <c r="AS311" s="25" t="str">
        <f>IF('1. Live'!AW329='check-Jul''26'!AS329,"",'1. Live'!AW329-'check-Jul''26'!AS329)</f>
        <v/>
      </c>
      <c r="AT311" s="25" t="str">
        <f>IF('1. Live'!AX329='check-Jul''26'!AT329,"",'1. Live'!AX329-'check-Jul''26'!AT329)</f>
        <v/>
      </c>
      <c r="AU311" s="25" t="str">
        <f>IF('1. Live'!AY329='check-Jul''26'!AU329,"",'1. Live'!AY329-'check-Jul''26'!AU329)</f>
        <v/>
      </c>
      <c r="AV311" s="25" t="str">
        <f>IF('1. Live'!AZ329='check-Jul''26'!AV329,"",'1. Live'!AZ329-'check-Jul''26'!AV329)</f>
        <v/>
      </c>
      <c r="AW311" s="25" t="str">
        <f>IF('1. Live'!BA329='check-Jul''26'!AW329,"",'1. Live'!BA329-'check-Jul''26'!AW329)</f>
        <v/>
      </c>
      <c r="AX311" s="25" t="str">
        <f>IF('1. Live'!BB329='check-Jul''26'!AX329,"",'1. Live'!BB329-'check-Jul''26'!AX329)</f>
        <v/>
      </c>
      <c r="AY311" s="25" t="str">
        <f>IF('1. Live'!BC329='check-Jul''26'!AY329,"",'1. Live'!BC329-'check-Jul''26'!AY329)</f>
        <v/>
      </c>
      <c r="AZ311" s="25" t="str">
        <f>IF('1. Live'!BD329='check-Jul''26'!AZ329,"",'1. Live'!BD329-'check-Jul''26'!AZ329)</f>
        <v/>
      </c>
      <c r="BA311" s="25" t="str">
        <f>IF('1. Live'!BE329='check-Jul''26'!BA329,"",'1. Live'!BE329-'check-Jul''26'!BA329)</f>
        <v/>
      </c>
      <c r="BB311" s="25" t="str">
        <f>IF('1. Live'!BF329='check-Jul''26'!BB329,"",'1. Live'!BF329-'check-Jul''26'!BB329)</f>
        <v/>
      </c>
      <c r="BC311" s="25" t="str">
        <f>IF('1. Live'!BG329='check-Jul''26'!BC329,"",'1. Live'!BG329-'check-Jul''26'!BC329)</f>
        <v/>
      </c>
      <c r="BD311" s="25" t="str">
        <f>IF('1. Live'!BH329='check-Jul''26'!BD329,"",'1. Live'!BH329-'check-Jul''26'!BD329)</f>
        <v/>
      </c>
      <c r="BE311" s="25" t="str">
        <f>IF('1. Live'!BI329='check-Jul''26'!BE329,"",'1. Live'!BI329-'check-Jul''26'!BE329)</f>
        <v/>
      </c>
      <c r="BF311" s="25" t="str">
        <f>IF('1. Live'!BJ329='check-Jul''26'!BF329,"",'1. Live'!BJ329-'check-Jul''26'!BF329)</f>
        <v/>
      </c>
      <c r="BG311" s="25" t="str">
        <f>IF('1. Live'!BK329='check-Jul''26'!BG329,"",'1. Live'!BK329-'check-Jul''26'!BG329)</f>
        <v/>
      </c>
      <c r="BH311" s="25" t="str">
        <f>IF('1. Live'!BL329='check-Jul''26'!BH329,"",'1. Live'!BL329-'check-Jul''26'!BH329)</f>
        <v/>
      </c>
      <c r="BI311" s="25" t="str">
        <f>IF('1. Live'!BM329='check-Jul''26'!BI329,"",'1. Live'!BM329-'check-Jul''26'!BI329)</f>
        <v/>
      </c>
      <c r="BJ311" s="25" t="str">
        <f>IF('1. Live'!BN329='check-Jul''26'!BJ329,"",'1. Live'!BN329-'check-Jul''26'!BJ329)</f>
        <v/>
      </c>
      <c r="BK311" s="25" t="str">
        <f>IF('1. Live'!BO329='check-Jul''26'!BK329,"",'1. Live'!BO329-'check-Jul''26'!BK329)</f>
        <v/>
      </c>
      <c r="BL311" s="25" t="str">
        <f>IF('1. Live'!BP329='check-Jul''26'!BL329,"",'1. Live'!BP329-'check-Jul''26'!BL329)</f>
        <v/>
      </c>
      <c r="BM311" s="25" t="str">
        <f>IF('1. Live'!BQ329='check-Jul''26'!BM329,"",'1. Live'!BQ329-'check-Jul''26'!BM329)</f>
        <v/>
      </c>
      <c r="BN311" s="25" t="str">
        <f>IF('1. Live'!BR329='check-Jul''26'!BN329,"",'1. Live'!BR329-'check-Jul''26'!BN329)</f>
        <v/>
      </c>
      <c r="BO311" s="25" t="str">
        <f>IF('1. Live'!BS329='check-Jul''26'!BO329,"",'1. Live'!BS329-'check-Jul''26'!BO329)</f>
        <v/>
      </c>
      <c r="BP311" s="25" t="str">
        <f>IF('1. Live'!BT329='check-Jul''26'!BP329,"",'1. Live'!BT329-'check-Jul''26'!BP329)</f>
        <v/>
      </c>
      <c r="BQ311" s="25" t="str">
        <f>IF('1. Live'!BU329='check-Jul''26'!BQ329,"",'1. Live'!BU329-'check-Jul''26'!BQ329)</f>
        <v/>
      </c>
      <c r="BR311" s="25" t="str">
        <f>IF('1. Live'!BV329='check-Jul''26'!BR329,"",'1. Live'!BV329-'check-Jul''26'!BR329)</f>
        <v/>
      </c>
      <c r="BS311" s="25" t="str">
        <f>IF('1. Live'!BW329='check-Jul''26'!BS329,"",'1. Live'!BW329-'check-Jul''26'!BS329)</f>
        <v/>
      </c>
      <c r="BT311" s="25" t="str">
        <f>IF('1. Live'!BX329='check-Jul''26'!BT329,"",'1. Live'!BX329-'check-Jul''26'!BT329)</f>
        <v/>
      </c>
      <c r="BU311" s="25" t="str">
        <f>IF('1. Live'!BY329='check-Jul''26'!BU329,"",'1. Live'!BY329-'check-Jul''26'!BU329)</f>
        <v/>
      </c>
      <c r="BV311" s="25" t="str">
        <f>IF('1. Live'!BZ329='check-Jul''26'!BV329,"",'1. Live'!BZ329-'check-Jul''26'!BV329)</f>
        <v/>
      </c>
      <c r="BW311" s="25" t="str">
        <f>IF('1. Live'!CA329='check-Jul''26'!BW329,"",'1. Live'!CA329-'check-Jul''26'!BW329)</f>
        <v/>
      </c>
      <c r="BX311" s="25" t="str">
        <f>IF('1. Live'!CB329='check-Jul''26'!BX329,"",'1. Live'!CB329-'check-Jul''26'!BX329)</f>
        <v/>
      </c>
      <c r="BY311" s="25" t="str">
        <f>IF('1. Live'!CC329='check-Jul''26'!BY329,"",'1. Live'!CC329-'check-Jul''26'!BY329)</f>
        <v/>
      </c>
      <c r="BZ311" s="25" t="str">
        <f>IF('1. Live'!CD329='check-Jul''26'!BZ329,"",'1. Live'!CD329-'check-Jul''26'!BZ329)</f>
        <v/>
      </c>
      <c r="CA311" s="25" t="str">
        <f>IF('1. Live'!CE329='check-Jul''26'!CA329,"",'1. Live'!CE329-'check-Jul''26'!CA329)</f>
        <v/>
      </c>
      <c r="CB311" s="25" t="str">
        <f>IF('1. Live'!CF329='check-Jul''26'!CB329,"",'1. Live'!CF329-'check-Jul''26'!CB329)</f>
        <v/>
      </c>
      <c r="CC311" s="25" t="str">
        <f>IF('1. Live'!CG329='check-Jul''26'!CC329,"",'1. Live'!CG329-'check-Jul''26'!CC329)</f>
        <v/>
      </c>
      <c r="CD311" s="25" t="str">
        <f>IF('1. Live'!CH329='check-Jul''26'!CD329,"",'1. Live'!CH329-'check-Jul''26'!CD329)</f>
        <v/>
      </c>
      <c r="CE311" s="25" t="str">
        <f>IF('1. Live'!CI329='check-Jul''26'!CE329,"",'1. Live'!CI329-'check-Jul''26'!CE329)</f>
        <v/>
      </c>
      <c r="CF311" s="25" t="str">
        <f>IF('1. Live'!CJ329='check-Jul''26'!CF329,"",'1. Live'!CJ329-'check-Jul''26'!CF329)</f>
        <v/>
      </c>
      <c r="CG311" s="25" t="str">
        <f>IF('1. Live'!CK329='check-Jul''26'!CG329,"",'1. Live'!CK329-'check-Jul''26'!CG329)</f>
        <v/>
      </c>
      <c r="CH311" s="25" t="str">
        <f>IF('1. Live'!CL329='check-Jul''26'!CH329,"",'1. Live'!CL329-'check-Jul''26'!CH329)</f>
        <v/>
      </c>
      <c r="CI311" s="25" t="str">
        <f>IF('1. Live'!CM329='check-Jul''26'!CI329,"",'1. Live'!CM329-'check-Jul''26'!CI329)</f>
        <v/>
      </c>
      <c r="CJ311" s="25" t="str">
        <f>IF('1. Live'!CN329='check-Jul''26'!CJ329,"",'1. Live'!CN329-'check-Jul''26'!CJ329)</f>
        <v/>
      </c>
      <c r="CK311" s="25" t="str">
        <f>IF('1. Live'!CO329='check-Jul''26'!CK329,"",'1. Live'!CO329-'check-Jul''26'!CK329)</f>
        <v/>
      </c>
      <c r="CL311" s="25" t="str">
        <f>IF('1. Live'!CP329='check-Jul''26'!CL329,"",'1. Live'!CP329-'check-Jul''26'!CL329)</f>
        <v/>
      </c>
      <c r="CM311" s="25" t="str">
        <f>IF('1. Live'!CQ329='check-Jul''26'!CM329,"",'1. Live'!CQ329-'check-Jul''26'!CM329)</f>
        <v/>
      </c>
      <c r="CN311" s="25" t="str">
        <f>IF('1. Live'!CR329='check-Jul''26'!CN329,"",'1. Live'!CR329-'check-Jul''26'!CN329)</f>
        <v/>
      </c>
      <c r="CO311" s="25" t="str">
        <f>IF('1. Live'!CS329='check-Jul''26'!CO329,"",'1. Live'!CS329-'check-Jul''26'!CO329)</f>
        <v/>
      </c>
      <c r="CP311" s="25" t="str">
        <f>IF('1. Live'!CT329='check-Jul''26'!CP329,"",'1. Live'!CT329-'check-Jul''26'!CP329)</f>
        <v/>
      </c>
      <c r="CQ311" s="25" t="str">
        <f>IF('1. Live'!CU329='check-Jul''26'!CQ329,"",'1. Live'!CU329-'check-Jul''26'!CQ329)</f>
        <v/>
      </c>
      <c r="CR311" s="25" t="str">
        <f>IF('1. Live'!CV329='check-Jul''26'!CR329,"",'1. Live'!CV329-'check-Jul''26'!CR329)</f>
        <v/>
      </c>
      <c r="CS311" s="25" t="str">
        <f>IF('1. Live'!CW329='check-Jul''26'!CS329,"",'1. Live'!CW329-'check-Jul''26'!CS329)</f>
        <v/>
      </c>
      <c r="CT311" s="25" t="str">
        <f>IF('1. Live'!CX329='check-Jul''26'!CT329,"",'1. Live'!CX329-'check-Jul''26'!CT329)</f>
        <v/>
      </c>
      <c r="CU311" s="25" t="str">
        <f>IF('1. Live'!CY329='check-Jul''26'!CU329,"",'1. Live'!CY329-'check-Jul''26'!CU329)</f>
        <v/>
      </c>
      <c r="CV311" s="25" t="str">
        <f>IF('1. Live'!CZ329='check-Jul''26'!CV329,"",'1. Live'!CZ329-'check-Jul''26'!CV329)</f>
        <v/>
      </c>
    </row>
    <row r="312" spans="17:100" x14ac:dyDescent="0.25">
      <c r="Q312" s="26" t="str">
        <f>IF('1. Live'!N330='check-Jul''26'!I330,"",'1. Live'!N330-'check-Jul''26'!I330)</f>
        <v/>
      </c>
      <c r="R312" s="26" t="str">
        <f>IF('1. Live'!O330='check-Jul''26'!J330,"",'1. Live'!O330-'check-Jul''26'!J330)</f>
        <v/>
      </c>
      <c r="S312" s="26" t="str">
        <f>IF('1. Live'!P330='check-Jul''26'!K330,"",'1. Live'!P330-'check-Jul''26'!K330)</f>
        <v/>
      </c>
      <c r="T312" s="26" t="str">
        <f>IF('1. Live'!Q330='check-Jul''26'!L330,"",'1. Live'!Q330-'check-Jul''26'!L330)</f>
        <v/>
      </c>
      <c r="U312" s="80" t="str">
        <f>IF('1. Live'!R330='check-Jul''26'!M330,"",'1. Live'!R330-'check-Jul''26'!M330)</f>
        <v/>
      </c>
      <c r="V312" s="26" t="str">
        <f>IF('1. Live'!S330='check-Jul''26'!N330,"",'1. Live'!S330-'check-Jul''26'!N330)</f>
        <v/>
      </c>
      <c r="W312" s="25" t="str">
        <f>IF('1. Live'!T330='check-Jul''26'!O330,"",'1. Live'!T330-'check-Jul''26'!O330)</f>
        <v/>
      </c>
      <c r="X312" s="25" t="str">
        <f>IF('1. Live'!U330='check-Jul''26'!Q330,"",'1. Live'!U330-'check-Jul''26'!Q330)</f>
        <v/>
      </c>
      <c r="Y312" s="25" t="str">
        <f>IF('1. Live'!V330='check-Jul''26'!R330,"",'1. Live'!V330-'check-Jul''26'!R330)</f>
        <v/>
      </c>
      <c r="Z312" s="25" t="str">
        <f>IF('1. Live'!W330='check-Jul''26'!S330,"",'1. Live'!W330-'check-Jul''26'!S330)</f>
        <v/>
      </c>
      <c r="AA312" s="25" t="str">
        <f>IF('1. Live'!X330='check-Jul''26'!T330,"",'1. Live'!X330-'check-Jul''26'!T330)</f>
        <v/>
      </c>
      <c r="AB312" s="25" t="str">
        <f>IF('1. Live'!AF330='check-Jul''26'!AB330,"",'1. Live'!AF330-'check-Jul''26'!AB330)</f>
        <v/>
      </c>
      <c r="AC312" s="25" t="str">
        <f>IF('1. Live'!AG330='check-Jul''26'!AC330,"",'1. Live'!AG330-'check-Jul''26'!AC330)</f>
        <v/>
      </c>
      <c r="AD312" s="25" t="str">
        <f>IF('1. Live'!AH330='check-Jul''26'!AD330,"",'1. Live'!AH330-'check-Jul''26'!AD330)</f>
        <v/>
      </c>
      <c r="AE312" s="25" t="str">
        <f>IF('1. Live'!AI330='check-Jul''26'!AE330,"",'1. Live'!AI330-'check-Jul''26'!AE330)</f>
        <v/>
      </c>
      <c r="AF312" s="25" t="str">
        <f>IF('1. Live'!AJ330='check-Jul''26'!AF330,"",'1. Live'!AJ330-'check-Jul''26'!AF330)</f>
        <v/>
      </c>
      <c r="AG312" s="25" t="str">
        <f>IF('1. Live'!AK330='check-Jul''26'!AG330,"",'1. Live'!AK330-'check-Jul''26'!AG330)</f>
        <v/>
      </c>
      <c r="AH312" s="25" t="str">
        <f>IF('1. Live'!AL330='check-Jul''26'!AH330,"",'1. Live'!AL330-'check-Jul''26'!AH330)</f>
        <v/>
      </c>
      <c r="AI312" s="25" t="str">
        <f>IF('1. Live'!AM330='check-Jul''26'!AI330,"",'1. Live'!AM330-'check-Jul''26'!AI330)</f>
        <v/>
      </c>
      <c r="AJ312" s="25" t="str">
        <f>IF('1. Live'!AN330='check-Jul''26'!AJ330,"",'1. Live'!AN330-'check-Jul''26'!AJ330)</f>
        <v/>
      </c>
      <c r="AK312" s="25" t="str">
        <f>IF('1. Live'!AO330='check-Jul''26'!AK330,"",'1. Live'!AO330-'check-Jul''26'!AK330)</f>
        <v/>
      </c>
      <c r="AL312" s="25" t="str">
        <f>IF('1. Live'!AP330='check-Jul''26'!AL330,"",'1. Live'!AP330-'check-Jul''26'!AL330)</f>
        <v/>
      </c>
      <c r="AM312" s="25" t="str">
        <f>IF('1. Live'!AQ330='check-Jul''26'!AM330,"",'1. Live'!AQ330-'check-Jul''26'!AM330)</f>
        <v/>
      </c>
      <c r="AN312" s="25" t="str">
        <f>IF('1. Live'!AR330='check-Jul''26'!AN330,"",'1. Live'!AR330-'check-Jul''26'!AN330)</f>
        <v/>
      </c>
      <c r="AO312" s="25" t="str">
        <f>IF('1. Live'!AS330='check-Jul''26'!AO330,"",'1. Live'!AS330-'check-Jul''26'!AO330)</f>
        <v/>
      </c>
      <c r="AP312" s="25" t="str">
        <f>IF('1. Live'!AT330='check-Jul''26'!AP330,"",'1. Live'!AT330-'check-Jul''26'!AP330)</f>
        <v/>
      </c>
      <c r="AQ312" s="25" t="str">
        <f>IF('1. Live'!AU330='check-Jul''26'!AQ330,"",'1. Live'!AU330-'check-Jul''26'!AQ330)</f>
        <v/>
      </c>
      <c r="AR312" s="25" t="str">
        <f>IF('1. Live'!AV330='check-Jul''26'!AR330,"",'1. Live'!AV330-'check-Jul''26'!AR330)</f>
        <v/>
      </c>
      <c r="AS312" s="25" t="str">
        <f>IF('1. Live'!AW330='check-Jul''26'!AS330,"",'1. Live'!AW330-'check-Jul''26'!AS330)</f>
        <v/>
      </c>
      <c r="AT312" s="25" t="str">
        <f>IF('1. Live'!AX330='check-Jul''26'!AT330,"",'1. Live'!AX330-'check-Jul''26'!AT330)</f>
        <v/>
      </c>
      <c r="AU312" s="25" t="str">
        <f>IF('1. Live'!AY330='check-Jul''26'!AU330,"",'1. Live'!AY330-'check-Jul''26'!AU330)</f>
        <v/>
      </c>
      <c r="AV312" s="25" t="str">
        <f>IF('1. Live'!AZ330='check-Jul''26'!AV330,"",'1. Live'!AZ330-'check-Jul''26'!AV330)</f>
        <v/>
      </c>
      <c r="AW312" s="25" t="str">
        <f>IF('1. Live'!BA330='check-Jul''26'!AW330,"",'1. Live'!BA330-'check-Jul''26'!AW330)</f>
        <v/>
      </c>
      <c r="AX312" s="25" t="str">
        <f>IF('1. Live'!BB330='check-Jul''26'!AX330,"",'1. Live'!BB330-'check-Jul''26'!AX330)</f>
        <v/>
      </c>
      <c r="AY312" s="25" t="str">
        <f>IF('1. Live'!BC330='check-Jul''26'!AY330,"",'1. Live'!BC330-'check-Jul''26'!AY330)</f>
        <v/>
      </c>
      <c r="AZ312" s="25" t="str">
        <f>IF('1. Live'!BD330='check-Jul''26'!AZ330,"",'1. Live'!BD330-'check-Jul''26'!AZ330)</f>
        <v/>
      </c>
      <c r="BA312" s="25" t="str">
        <f>IF('1. Live'!BE330='check-Jul''26'!BA330,"",'1. Live'!BE330-'check-Jul''26'!BA330)</f>
        <v/>
      </c>
      <c r="BB312" s="25" t="str">
        <f>IF('1. Live'!BF330='check-Jul''26'!BB330,"",'1. Live'!BF330-'check-Jul''26'!BB330)</f>
        <v/>
      </c>
      <c r="BC312" s="25" t="str">
        <f>IF('1. Live'!BG330='check-Jul''26'!BC330,"",'1. Live'!BG330-'check-Jul''26'!BC330)</f>
        <v/>
      </c>
      <c r="BD312" s="25" t="str">
        <f>IF('1. Live'!BH330='check-Jul''26'!BD330,"",'1. Live'!BH330-'check-Jul''26'!BD330)</f>
        <v/>
      </c>
      <c r="BE312" s="25" t="str">
        <f>IF('1. Live'!BI330='check-Jul''26'!BE330,"",'1. Live'!BI330-'check-Jul''26'!BE330)</f>
        <v/>
      </c>
      <c r="BF312" s="25" t="str">
        <f>IF('1. Live'!BJ330='check-Jul''26'!BF330,"",'1. Live'!BJ330-'check-Jul''26'!BF330)</f>
        <v/>
      </c>
      <c r="BG312" s="25" t="str">
        <f>IF('1. Live'!BK330='check-Jul''26'!BG330,"",'1. Live'!BK330-'check-Jul''26'!BG330)</f>
        <v/>
      </c>
      <c r="BH312" s="25" t="str">
        <f>IF('1. Live'!BL330='check-Jul''26'!BH330,"",'1. Live'!BL330-'check-Jul''26'!BH330)</f>
        <v/>
      </c>
      <c r="BI312" s="25" t="str">
        <f>IF('1. Live'!BM330='check-Jul''26'!BI330,"",'1. Live'!BM330-'check-Jul''26'!BI330)</f>
        <v/>
      </c>
      <c r="BJ312" s="25" t="str">
        <f>IF('1. Live'!BN330='check-Jul''26'!BJ330,"",'1. Live'!BN330-'check-Jul''26'!BJ330)</f>
        <v/>
      </c>
      <c r="BK312" s="25" t="str">
        <f>IF('1. Live'!BO330='check-Jul''26'!BK330,"",'1. Live'!BO330-'check-Jul''26'!BK330)</f>
        <v/>
      </c>
      <c r="BL312" s="25" t="str">
        <f>IF('1. Live'!BP330='check-Jul''26'!BL330,"",'1. Live'!BP330-'check-Jul''26'!BL330)</f>
        <v/>
      </c>
      <c r="BM312" s="25" t="str">
        <f>IF('1. Live'!BQ330='check-Jul''26'!BM330,"",'1. Live'!BQ330-'check-Jul''26'!BM330)</f>
        <v/>
      </c>
      <c r="BN312" s="25" t="str">
        <f>IF('1. Live'!BR330='check-Jul''26'!BN330,"",'1. Live'!BR330-'check-Jul''26'!BN330)</f>
        <v/>
      </c>
      <c r="BO312" s="25" t="str">
        <f>IF('1. Live'!BS330='check-Jul''26'!BO330,"",'1. Live'!BS330-'check-Jul''26'!BO330)</f>
        <v/>
      </c>
      <c r="BP312" s="25" t="str">
        <f>IF('1. Live'!BT330='check-Jul''26'!BP330,"",'1. Live'!BT330-'check-Jul''26'!BP330)</f>
        <v/>
      </c>
      <c r="BQ312" s="25" t="str">
        <f>IF('1. Live'!BU330='check-Jul''26'!BQ330,"",'1. Live'!BU330-'check-Jul''26'!BQ330)</f>
        <v/>
      </c>
      <c r="BR312" s="25" t="str">
        <f>IF('1. Live'!BV330='check-Jul''26'!BR330,"",'1. Live'!BV330-'check-Jul''26'!BR330)</f>
        <v/>
      </c>
      <c r="BS312" s="25" t="str">
        <f>IF('1. Live'!BW330='check-Jul''26'!BS330,"",'1. Live'!BW330-'check-Jul''26'!BS330)</f>
        <v/>
      </c>
      <c r="BT312" s="25" t="str">
        <f>IF('1. Live'!BX330='check-Jul''26'!BT330,"",'1. Live'!BX330-'check-Jul''26'!BT330)</f>
        <v/>
      </c>
      <c r="BU312" s="25" t="str">
        <f>IF('1. Live'!BY330='check-Jul''26'!BU330,"",'1. Live'!BY330-'check-Jul''26'!BU330)</f>
        <v/>
      </c>
      <c r="BV312" s="25" t="str">
        <f>IF('1. Live'!BZ330='check-Jul''26'!BV330,"",'1. Live'!BZ330-'check-Jul''26'!BV330)</f>
        <v/>
      </c>
      <c r="BW312" s="25" t="str">
        <f>IF('1. Live'!CA330='check-Jul''26'!BW330,"",'1. Live'!CA330-'check-Jul''26'!BW330)</f>
        <v/>
      </c>
      <c r="BX312" s="25" t="str">
        <f>IF('1. Live'!CB330='check-Jul''26'!BX330,"",'1. Live'!CB330-'check-Jul''26'!BX330)</f>
        <v/>
      </c>
      <c r="BY312" s="25" t="str">
        <f>IF('1. Live'!CC330='check-Jul''26'!BY330,"",'1. Live'!CC330-'check-Jul''26'!BY330)</f>
        <v/>
      </c>
      <c r="BZ312" s="25" t="str">
        <f>IF('1. Live'!CD330='check-Jul''26'!BZ330,"",'1. Live'!CD330-'check-Jul''26'!BZ330)</f>
        <v/>
      </c>
      <c r="CA312" s="25" t="str">
        <f>IF('1. Live'!CE330='check-Jul''26'!CA330,"",'1. Live'!CE330-'check-Jul''26'!CA330)</f>
        <v/>
      </c>
      <c r="CB312" s="25" t="str">
        <f>IF('1. Live'!CF330='check-Jul''26'!CB330,"",'1. Live'!CF330-'check-Jul''26'!CB330)</f>
        <v/>
      </c>
      <c r="CC312" s="25" t="str">
        <f>IF('1. Live'!CG330='check-Jul''26'!CC330,"",'1. Live'!CG330-'check-Jul''26'!CC330)</f>
        <v/>
      </c>
      <c r="CD312" s="25" t="str">
        <f>IF('1. Live'!CH330='check-Jul''26'!CD330,"",'1. Live'!CH330-'check-Jul''26'!CD330)</f>
        <v/>
      </c>
      <c r="CE312" s="25" t="str">
        <f>IF('1. Live'!CI330='check-Jul''26'!CE330,"",'1. Live'!CI330-'check-Jul''26'!CE330)</f>
        <v/>
      </c>
      <c r="CF312" s="25" t="str">
        <f>IF('1. Live'!CJ330='check-Jul''26'!CF330,"",'1. Live'!CJ330-'check-Jul''26'!CF330)</f>
        <v/>
      </c>
      <c r="CG312" s="25" t="str">
        <f>IF('1. Live'!CK330='check-Jul''26'!CG330,"",'1. Live'!CK330-'check-Jul''26'!CG330)</f>
        <v/>
      </c>
      <c r="CH312" s="25" t="str">
        <f>IF('1. Live'!CL330='check-Jul''26'!CH330,"",'1. Live'!CL330-'check-Jul''26'!CH330)</f>
        <v/>
      </c>
      <c r="CI312" s="25" t="str">
        <f>IF('1. Live'!CM330='check-Jul''26'!CI330,"",'1. Live'!CM330-'check-Jul''26'!CI330)</f>
        <v/>
      </c>
      <c r="CJ312" s="25" t="str">
        <f>IF('1. Live'!CN330='check-Jul''26'!CJ330,"",'1. Live'!CN330-'check-Jul''26'!CJ330)</f>
        <v/>
      </c>
      <c r="CK312" s="25" t="str">
        <f>IF('1. Live'!CO330='check-Jul''26'!CK330,"",'1. Live'!CO330-'check-Jul''26'!CK330)</f>
        <v/>
      </c>
      <c r="CL312" s="25" t="str">
        <f>IF('1. Live'!CP330='check-Jul''26'!CL330,"",'1. Live'!CP330-'check-Jul''26'!CL330)</f>
        <v/>
      </c>
      <c r="CM312" s="25" t="str">
        <f>IF('1. Live'!CQ330='check-Jul''26'!CM330,"",'1. Live'!CQ330-'check-Jul''26'!CM330)</f>
        <v/>
      </c>
      <c r="CN312" s="25" t="str">
        <f>IF('1. Live'!CR330='check-Jul''26'!CN330,"",'1. Live'!CR330-'check-Jul''26'!CN330)</f>
        <v/>
      </c>
      <c r="CO312" s="25" t="str">
        <f>IF('1. Live'!CS330='check-Jul''26'!CO330,"",'1. Live'!CS330-'check-Jul''26'!CO330)</f>
        <v/>
      </c>
      <c r="CP312" s="25" t="str">
        <f>IF('1. Live'!CT330='check-Jul''26'!CP330,"",'1. Live'!CT330-'check-Jul''26'!CP330)</f>
        <v/>
      </c>
      <c r="CQ312" s="25" t="str">
        <f>IF('1. Live'!CU330='check-Jul''26'!CQ330,"",'1. Live'!CU330-'check-Jul''26'!CQ330)</f>
        <v/>
      </c>
      <c r="CR312" s="25" t="str">
        <f>IF('1. Live'!CV330='check-Jul''26'!CR330,"",'1. Live'!CV330-'check-Jul''26'!CR330)</f>
        <v/>
      </c>
      <c r="CS312" s="25" t="str">
        <f>IF('1. Live'!CW330='check-Jul''26'!CS330,"",'1. Live'!CW330-'check-Jul''26'!CS330)</f>
        <v/>
      </c>
      <c r="CT312" s="25" t="str">
        <f>IF('1. Live'!CX330='check-Jul''26'!CT330,"",'1. Live'!CX330-'check-Jul''26'!CT330)</f>
        <v/>
      </c>
      <c r="CU312" s="25" t="str">
        <f>IF('1. Live'!CY330='check-Jul''26'!CU330,"",'1. Live'!CY330-'check-Jul''26'!CU330)</f>
        <v/>
      </c>
      <c r="CV312" s="25" t="str">
        <f>IF('1. Live'!CZ330='check-Jul''26'!CV330,"",'1. Live'!CZ330-'check-Jul''26'!CV330)</f>
        <v/>
      </c>
    </row>
    <row r="313" spans="17:100" x14ac:dyDescent="0.25">
      <c r="Q313" s="26" t="str">
        <f>IF('1. Live'!N331='check-Jul''26'!I331,"",'1. Live'!N331-'check-Jul''26'!I331)</f>
        <v/>
      </c>
      <c r="R313" s="26" t="str">
        <f>IF('1. Live'!O331='check-Jul''26'!J331,"",'1. Live'!O331-'check-Jul''26'!J331)</f>
        <v/>
      </c>
      <c r="S313" s="26" t="str">
        <f>IF('1. Live'!P331='check-Jul''26'!K331,"",'1. Live'!P331-'check-Jul''26'!K331)</f>
        <v/>
      </c>
      <c r="T313" s="26" t="str">
        <f>IF('1. Live'!Q331='check-Jul''26'!L331,"",'1. Live'!Q331-'check-Jul''26'!L331)</f>
        <v/>
      </c>
      <c r="U313" s="80" t="str">
        <f>IF('1. Live'!R331='check-Jul''26'!M331,"",'1. Live'!R331-'check-Jul''26'!M331)</f>
        <v/>
      </c>
      <c r="V313" s="26" t="str">
        <f>IF('1. Live'!S331='check-Jul''26'!N331,"",'1. Live'!S331-'check-Jul''26'!N331)</f>
        <v/>
      </c>
      <c r="W313" s="25" t="str">
        <f>IF('1. Live'!T331='check-Jul''26'!O331,"",'1. Live'!T331-'check-Jul''26'!O331)</f>
        <v/>
      </c>
      <c r="X313" s="25" t="str">
        <f>IF('1. Live'!U331='check-Jul''26'!Q331,"",'1. Live'!U331-'check-Jul''26'!Q331)</f>
        <v/>
      </c>
      <c r="Y313" s="25" t="str">
        <f>IF('1. Live'!V331='check-Jul''26'!R331,"",'1. Live'!V331-'check-Jul''26'!R331)</f>
        <v/>
      </c>
      <c r="Z313" s="25" t="str">
        <f>IF('1. Live'!W331='check-Jul''26'!S331,"",'1. Live'!W331-'check-Jul''26'!S331)</f>
        <v/>
      </c>
      <c r="AA313" s="25" t="str">
        <f>IF('1. Live'!X331='check-Jul''26'!T331,"",'1. Live'!X331-'check-Jul''26'!T331)</f>
        <v/>
      </c>
      <c r="AB313" s="25" t="str">
        <f>IF('1. Live'!AF331='check-Jul''26'!AB331,"",'1. Live'!AF331-'check-Jul''26'!AB331)</f>
        <v/>
      </c>
      <c r="AC313" s="25" t="str">
        <f>IF('1. Live'!AG331='check-Jul''26'!AC331,"",'1. Live'!AG331-'check-Jul''26'!AC331)</f>
        <v/>
      </c>
      <c r="AD313" s="25" t="str">
        <f>IF('1. Live'!AH331='check-Jul''26'!AD331,"",'1. Live'!AH331-'check-Jul''26'!AD331)</f>
        <v/>
      </c>
      <c r="AE313" s="25" t="str">
        <f>IF('1. Live'!AI331='check-Jul''26'!AE331,"",'1. Live'!AI331-'check-Jul''26'!AE331)</f>
        <v/>
      </c>
      <c r="AF313" s="25" t="str">
        <f>IF('1. Live'!AJ331='check-Jul''26'!AF331,"",'1. Live'!AJ331-'check-Jul''26'!AF331)</f>
        <v/>
      </c>
      <c r="AG313" s="25" t="str">
        <f>IF('1. Live'!AK331='check-Jul''26'!AG331,"",'1. Live'!AK331-'check-Jul''26'!AG331)</f>
        <v/>
      </c>
      <c r="AH313" s="25" t="str">
        <f>IF('1. Live'!AL331='check-Jul''26'!AH331,"",'1. Live'!AL331-'check-Jul''26'!AH331)</f>
        <v/>
      </c>
      <c r="AI313" s="25" t="str">
        <f>IF('1. Live'!AM331='check-Jul''26'!AI331,"",'1. Live'!AM331-'check-Jul''26'!AI331)</f>
        <v/>
      </c>
      <c r="AJ313" s="25" t="str">
        <f>IF('1. Live'!AN331='check-Jul''26'!AJ331,"",'1. Live'!AN331-'check-Jul''26'!AJ331)</f>
        <v/>
      </c>
      <c r="AK313" s="25" t="str">
        <f>IF('1. Live'!AO331='check-Jul''26'!AK331,"",'1. Live'!AO331-'check-Jul''26'!AK331)</f>
        <v/>
      </c>
      <c r="AL313" s="25" t="str">
        <f>IF('1. Live'!AP331='check-Jul''26'!AL331,"",'1. Live'!AP331-'check-Jul''26'!AL331)</f>
        <v/>
      </c>
      <c r="AM313" s="25" t="str">
        <f>IF('1. Live'!AQ331='check-Jul''26'!AM331,"",'1. Live'!AQ331-'check-Jul''26'!AM331)</f>
        <v/>
      </c>
      <c r="AN313" s="25" t="str">
        <f>IF('1. Live'!AR331='check-Jul''26'!AN331,"",'1. Live'!AR331-'check-Jul''26'!AN331)</f>
        <v/>
      </c>
      <c r="AO313" s="25" t="str">
        <f>IF('1. Live'!AS331='check-Jul''26'!AO331,"",'1. Live'!AS331-'check-Jul''26'!AO331)</f>
        <v/>
      </c>
      <c r="AP313" s="25" t="str">
        <f>IF('1. Live'!AT331='check-Jul''26'!AP331,"",'1. Live'!AT331-'check-Jul''26'!AP331)</f>
        <v/>
      </c>
      <c r="AQ313" s="25" t="str">
        <f>IF('1. Live'!AU331='check-Jul''26'!AQ331,"",'1. Live'!AU331-'check-Jul''26'!AQ331)</f>
        <v/>
      </c>
      <c r="AR313" s="25" t="str">
        <f>IF('1. Live'!AV331='check-Jul''26'!AR331,"",'1. Live'!AV331-'check-Jul''26'!AR331)</f>
        <v/>
      </c>
      <c r="AS313" s="25" t="str">
        <f>IF('1. Live'!AW331='check-Jul''26'!AS331,"",'1. Live'!AW331-'check-Jul''26'!AS331)</f>
        <v/>
      </c>
      <c r="AT313" s="25" t="str">
        <f>IF('1. Live'!AX331='check-Jul''26'!AT331,"",'1. Live'!AX331-'check-Jul''26'!AT331)</f>
        <v/>
      </c>
      <c r="AU313" s="25" t="str">
        <f>IF('1. Live'!AY331='check-Jul''26'!AU331,"",'1. Live'!AY331-'check-Jul''26'!AU331)</f>
        <v/>
      </c>
      <c r="AV313" s="25" t="str">
        <f>IF('1. Live'!AZ331='check-Jul''26'!AV331,"",'1. Live'!AZ331-'check-Jul''26'!AV331)</f>
        <v/>
      </c>
      <c r="AW313" s="25" t="str">
        <f>IF('1. Live'!BA331='check-Jul''26'!AW331,"",'1. Live'!BA331-'check-Jul''26'!AW331)</f>
        <v/>
      </c>
      <c r="AX313" s="25" t="str">
        <f>IF('1. Live'!BB331='check-Jul''26'!AX331,"",'1. Live'!BB331-'check-Jul''26'!AX331)</f>
        <v/>
      </c>
      <c r="AY313" s="25" t="str">
        <f>IF('1. Live'!BC331='check-Jul''26'!AY331,"",'1. Live'!BC331-'check-Jul''26'!AY331)</f>
        <v/>
      </c>
      <c r="AZ313" s="25" t="str">
        <f>IF('1. Live'!BD331='check-Jul''26'!AZ331,"",'1. Live'!BD331-'check-Jul''26'!AZ331)</f>
        <v/>
      </c>
      <c r="BA313" s="25" t="str">
        <f>IF('1. Live'!BE331='check-Jul''26'!BA331,"",'1. Live'!BE331-'check-Jul''26'!BA331)</f>
        <v/>
      </c>
      <c r="BB313" s="25" t="str">
        <f>IF('1. Live'!BF331='check-Jul''26'!BB331,"",'1. Live'!BF331-'check-Jul''26'!BB331)</f>
        <v/>
      </c>
      <c r="BC313" s="25" t="str">
        <f>IF('1. Live'!BG331='check-Jul''26'!BC331,"",'1. Live'!BG331-'check-Jul''26'!BC331)</f>
        <v/>
      </c>
      <c r="BD313" s="25" t="str">
        <f>IF('1. Live'!BH331='check-Jul''26'!BD331,"",'1. Live'!BH331-'check-Jul''26'!BD331)</f>
        <v/>
      </c>
      <c r="BE313" s="25" t="str">
        <f>IF('1. Live'!BI331='check-Jul''26'!BE331,"",'1. Live'!BI331-'check-Jul''26'!BE331)</f>
        <v/>
      </c>
      <c r="BF313" s="25" t="str">
        <f>IF('1. Live'!BJ331='check-Jul''26'!BF331,"",'1. Live'!BJ331-'check-Jul''26'!BF331)</f>
        <v/>
      </c>
      <c r="BG313" s="25" t="str">
        <f>IF('1. Live'!BK331='check-Jul''26'!BG331,"",'1. Live'!BK331-'check-Jul''26'!BG331)</f>
        <v/>
      </c>
      <c r="BH313" s="25" t="str">
        <f>IF('1. Live'!BL331='check-Jul''26'!BH331,"",'1. Live'!BL331-'check-Jul''26'!BH331)</f>
        <v/>
      </c>
      <c r="BI313" s="25" t="str">
        <f>IF('1. Live'!BM331='check-Jul''26'!BI331,"",'1. Live'!BM331-'check-Jul''26'!BI331)</f>
        <v/>
      </c>
      <c r="BJ313" s="25" t="str">
        <f>IF('1. Live'!BN331='check-Jul''26'!BJ331,"",'1. Live'!BN331-'check-Jul''26'!BJ331)</f>
        <v/>
      </c>
      <c r="BK313" s="25" t="str">
        <f>IF('1. Live'!BO331='check-Jul''26'!BK331,"",'1. Live'!BO331-'check-Jul''26'!BK331)</f>
        <v/>
      </c>
      <c r="BL313" s="25" t="str">
        <f>IF('1. Live'!BP331='check-Jul''26'!BL331,"",'1. Live'!BP331-'check-Jul''26'!BL331)</f>
        <v/>
      </c>
      <c r="BM313" s="25" t="str">
        <f>IF('1. Live'!BQ331='check-Jul''26'!BM331,"",'1. Live'!BQ331-'check-Jul''26'!BM331)</f>
        <v/>
      </c>
      <c r="BN313" s="25" t="str">
        <f>IF('1. Live'!BR331='check-Jul''26'!BN331,"",'1. Live'!BR331-'check-Jul''26'!BN331)</f>
        <v/>
      </c>
      <c r="BO313" s="25" t="str">
        <f>IF('1. Live'!BS331='check-Jul''26'!BO331,"",'1. Live'!BS331-'check-Jul''26'!BO331)</f>
        <v/>
      </c>
      <c r="BP313" s="25" t="str">
        <f>IF('1. Live'!BT331='check-Jul''26'!BP331,"",'1. Live'!BT331-'check-Jul''26'!BP331)</f>
        <v/>
      </c>
      <c r="BQ313" s="25" t="str">
        <f>IF('1. Live'!BU331='check-Jul''26'!BQ331,"",'1. Live'!BU331-'check-Jul''26'!BQ331)</f>
        <v/>
      </c>
      <c r="BR313" s="25" t="str">
        <f>IF('1. Live'!BV331='check-Jul''26'!BR331,"",'1. Live'!BV331-'check-Jul''26'!BR331)</f>
        <v/>
      </c>
      <c r="BS313" s="25" t="str">
        <f>IF('1. Live'!BW331='check-Jul''26'!BS331,"",'1. Live'!BW331-'check-Jul''26'!BS331)</f>
        <v/>
      </c>
      <c r="BT313" s="25" t="str">
        <f>IF('1. Live'!BX331='check-Jul''26'!BT331,"",'1. Live'!BX331-'check-Jul''26'!BT331)</f>
        <v/>
      </c>
      <c r="BU313" s="25" t="str">
        <f>IF('1. Live'!BY331='check-Jul''26'!BU331,"",'1. Live'!BY331-'check-Jul''26'!BU331)</f>
        <v/>
      </c>
      <c r="BV313" s="25" t="str">
        <f>IF('1. Live'!BZ331='check-Jul''26'!BV331,"",'1. Live'!BZ331-'check-Jul''26'!BV331)</f>
        <v/>
      </c>
      <c r="BW313" s="25" t="str">
        <f>IF('1. Live'!CA331='check-Jul''26'!BW331,"",'1. Live'!CA331-'check-Jul''26'!BW331)</f>
        <v/>
      </c>
      <c r="BX313" s="25" t="str">
        <f>IF('1. Live'!CB331='check-Jul''26'!BX331,"",'1. Live'!CB331-'check-Jul''26'!BX331)</f>
        <v/>
      </c>
      <c r="BY313" s="25" t="str">
        <f>IF('1. Live'!CC331='check-Jul''26'!BY331,"",'1. Live'!CC331-'check-Jul''26'!BY331)</f>
        <v/>
      </c>
      <c r="BZ313" s="25" t="str">
        <f>IF('1. Live'!CD331='check-Jul''26'!BZ331,"",'1. Live'!CD331-'check-Jul''26'!BZ331)</f>
        <v/>
      </c>
      <c r="CA313" s="25" t="str">
        <f>IF('1. Live'!CE331='check-Jul''26'!CA331,"",'1. Live'!CE331-'check-Jul''26'!CA331)</f>
        <v/>
      </c>
      <c r="CB313" s="25" t="str">
        <f>IF('1. Live'!CF331='check-Jul''26'!CB331,"",'1. Live'!CF331-'check-Jul''26'!CB331)</f>
        <v/>
      </c>
      <c r="CC313" s="25" t="str">
        <f>IF('1. Live'!CG331='check-Jul''26'!CC331,"",'1. Live'!CG331-'check-Jul''26'!CC331)</f>
        <v/>
      </c>
      <c r="CD313" s="25" t="str">
        <f>IF('1. Live'!CH331='check-Jul''26'!CD331,"",'1. Live'!CH331-'check-Jul''26'!CD331)</f>
        <v/>
      </c>
      <c r="CE313" s="25" t="str">
        <f>IF('1. Live'!CI331='check-Jul''26'!CE331,"",'1. Live'!CI331-'check-Jul''26'!CE331)</f>
        <v/>
      </c>
      <c r="CF313" s="25" t="str">
        <f>IF('1. Live'!CJ331='check-Jul''26'!CF331,"",'1. Live'!CJ331-'check-Jul''26'!CF331)</f>
        <v/>
      </c>
      <c r="CG313" s="25" t="str">
        <f>IF('1. Live'!CK331='check-Jul''26'!CG331,"",'1. Live'!CK331-'check-Jul''26'!CG331)</f>
        <v/>
      </c>
      <c r="CH313" s="25" t="str">
        <f>IF('1. Live'!CL331='check-Jul''26'!CH331,"",'1. Live'!CL331-'check-Jul''26'!CH331)</f>
        <v/>
      </c>
      <c r="CI313" s="25" t="str">
        <f>IF('1. Live'!CM331='check-Jul''26'!CI331,"",'1. Live'!CM331-'check-Jul''26'!CI331)</f>
        <v/>
      </c>
      <c r="CJ313" s="25" t="str">
        <f>IF('1. Live'!CN331='check-Jul''26'!CJ331,"",'1. Live'!CN331-'check-Jul''26'!CJ331)</f>
        <v/>
      </c>
      <c r="CK313" s="25" t="str">
        <f>IF('1. Live'!CO331='check-Jul''26'!CK331,"",'1. Live'!CO331-'check-Jul''26'!CK331)</f>
        <v/>
      </c>
      <c r="CL313" s="25" t="str">
        <f>IF('1. Live'!CP331='check-Jul''26'!CL331,"",'1. Live'!CP331-'check-Jul''26'!CL331)</f>
        <v/>
      </c>
      <c r="CM313" s="25" t="str">
        <f>IF('1. Live'!CQ331='check-Jul''26'!CM331,"",'1. Live'!CQ331-'check-Jul''26'!CM331)</f>
        <v/>
      </c>
      <c r="CN313" s="25" t="str">
        <f>IF('1. Live'!CR331='check-Jul''26'!CN331,"",'1. Live'!CR331-'check-Jul''26'!CN331)</f>
        <v/>
      </c>
      <c r="CO313" s="25" t="str">
        <f>IF('1. Live'!CS331='check-Jul''26'!CO331,"",'1. Live'!CS331-'check-Jul''26'!CO331)</f>
        <v/>
      </c>
      <c r="CP313" s="25" t="str">
        <f>IF('1. Live'!CT331='check-Jul''26'!CP331,"",'1. Live'!CT331-'check-Jul''26'!CP331)</f>
        <v/>
      </c>
      <c r="CQ313" s="25" t="str">
        <f>IF('1. Live'!CU331='check-Jul''26'!CQ331,"",'1. Live'!CU331-'check-Jul''26'!CQ331)</f>
        <v/>
      </c>
      <c r="CR313" s="25" t="str">
        <f>IF('1. Live'!CV331='check-Jul''26'!CR331,"",'1. Live'!CV331-'check-Jul''26'!CR331)</f>
        <v/>
      </c>
      <c r="CS313" s="25" t="str">
        <f>IF('1. Live'!CW331='check-Jul''26'!CS331,"",'1. Live'!CW331-'check-Jul''26'!CS331)</f>
        <v/>
      </c>
      <c r="CT313" s="25" t="str">
        <f>IF('1. Live'!CX331='check-Jul''26'!CT331,"",'1. Live'!CX331-'check-Jul''26'!CT331)</f>
        <v/>
      </c>
      <c r="CU313" s="25" t="str">
        <f>IF('1. Live'!CY331='check-Jul''26'!CU331,"",'1. Live'!CY331-'check-Jul''26'!CU331)</f>
        <v/>
      </c>
      <c r="CV313" s="25" t="str">
        <f>IF('1. Live'!CZ331='check-Jul''26'!CV331,"",'1. Live'!CZ331-'check-Jul''26'!CV331)</f>
        <v/>
      </c>
    </row>
    <row r="314" spans="17:100" x14ac:dyDescent="0.25">
      <c r="Q314" s="26" t="str">
        <f>IF('1. Live'!N332='check-Jul''26'!I332,"",'1. Live'!N332-'check-Jul''26'!I332)</f>
        <v/>
      </c>
      <c r="R314" s="26" t="str">
        <f>IF('1. Live'!O332='check-Jul''26'!J332,"",'1. Live'!O332-'check-Jul''26'!J332)</f>
        <v/>
      </c>
      <c r="S314" s="26" t="str">
        <f>IF('1. Live'!P332='check-Jul''26'!K332,"",'1. Live'!P332-'check-Jul''26'!K332)</f>
        <v/>
      </c>
      <c r="T314" s="26" t="str">
        <f>IF('1. Live'!Q332='check-Jul''26'!L332,"",'1. Live'!Q332-'check-Jul''26'!L332)</f>
        <v/>
      </c>
      <c r="U314" s="80" t="str">
        <f>IF('1. Live'!R332='check-Jul''26'!M332,"",'1. Live'!R332-'check-Jul''26'!M332)</f>
        <v/>
      </c>
      <c r="V314" s="26" t="str">
        <f>IF('1. Live'!S332='check-Jul''26'!N332,"",'1. Live'!S332-'check-Jul''26'!N332)</f>
        <v/>
      </c>
      <c r="W314" s="25" t="str">
        <f>IF('1. Live'!T332='check-Jul''26'!O332,"",'1. Live'!T332-'check-Jul''26'!O332)</f>
        <v/>
      </c>
      <c r="X314" s="25" t="str">
        <f>IF('1. Live'!U332='check-Jul''26'!Q332,"",'1. Live'!U332-'check-Jul''26'!Q332)</f>
        <v/>
      </c>
      <c r="Y314" s="25" t="str">
        <f>IF('1. Live'!V332='check-Jul''26'!R332,"",'1. Live'!V332-'check-Jul''26'!R332)</f>
        <v/>
      </c>
      <c r="Z314" s="25" t="str">
        <f>IF('1. Live'!W332='check-Jul''26'!S332,"",'1. Live'!W332-'check-Jul''26'!S332)</f>
        <v/>
      </c>
      <c r="AA314" s="25" t="str">
        <f>IF('1. Live'!X332='check-Jul''26'!T332,"",'1. Live'!X332-'check-Jul''26'!T332)</f>
        <v/>
      </c>
      <c r="AB314" s="25" t="str">
        <f>IF('1. Live'!AF332='check-Jul''26'!AB332,"",'1. Live'!AF332-'check-Jul''26'!AB332)</f>
        <v/>
      </c>
      <c r="AC314" s="25" t="str">
        <f>IF('1. Live'!AG332='check-Jul''26'!AC332,"",'1. Live'!AG332-'check-Jul''26'!AC332)</f>
        <v/>
      </c>
      <c r="AD314" s="25" t="str">
        <f>IF('1. Live'!AH332='check-Jul''26'!AD332,"",'1. Live'!AH332-'check-Jul''26'!AD332)</f>
        <v/>
      </c>
      <c r="AE314" s="25" t="str">
        <f>IF('1. Live'!AI332='check-Jul''26'!AE332,"",'1. Live'!AI332-'check-Jul''26'!AE332)</f>
        <v/>
      </c>
      <c r="AF314" s="25" t="str">
        <f>IF('1. Live'!AJ332='check-Jul''26'!AF332,"",'1. Live'!AJ332-'check-Jul''26'!AF332)</f>
        <v/>
      </c>
      <c r="AG314" s="25" t="str">
        <f>IF('1. Live'!AK332='check-Jul''26'!AG332,"",'1. Live'!AK332-'check-Jul''26'!AG332)</f>
        <v/>
      </c>
      <c r="AH314" s="25" t="str">
        <f>IF('1. Live'!AL332='check-Jul''26'!AH332,"",'1. Live'!AL332-'check-Jul''26'!AH332)</f>
        <v/>
      </c>
      <c r="AI314" s="25" t="str">
        <f>IF('1. Live'!AM332='check-Jul''26'!AI332,"",'1. Live'!AM332-'check-Jul''26'!AI332)</f>
        <v/>
      </c>
      <c r="AJ314" s="25" t="str">
        <f>IF('1. Live'!AN332='check-Jul''26'!AJ332,"",'1. Live'!AN332-'check-Jul''26'!AJ332)</f>
        <v/>
      </c>
      <c r="AK314" s="25" t="str">
        <f>IF('1. Live'!AO332='check-Jul''26'!AK332,"",'1. Live'!AO332-'check-Jul''26'!AK332)</f>
        <v/>
      </c>
      <c r="AL314" s="25" t="str">
        <f>IF('1. Live'!AP332='check-Jul''26'!AL332,"",'1. Live'!AP332-'check-Jul''26'!AL332)</f>
        <v/>
      </c>
      <c r="AM314" s="25" t="str">
        <f>IF('1. Live'!AQ332='check-Jul''26'!AM332,"",'1. Live'!AQ332-'check-Jul''26'!AM332)</f>
        <v/>
      </c>
      <c r="AN314" s="25" t="str">
        <f>IF('1. Live'!AR332='check-Jul''26'!AN332,"",'1. Live'!AR332-'check-Jul''26'!AN332)</f>
        <v/>
      </c>
      <c r="AO314" s="25" t="str">
        <f>IF('1. Live'!AS332='check-Jul''26'!AO332,"",'1. Live'!AS332-'check-Jul''26'!AO332)</f>
        <v/>
      </c>
      <c r="AP314" s="25" t="str">
        <f>IF('1. Live'!AT332='check-Jul''26'!AP332,"",'1. Live'!AT332-'check-Jul''26'!AP332)</f>
        <v/>
      </c>
      <c r="AQ314" s="25" t="str">
        <f>IF('1. Live'!AU332='check-Jul''26'!AQ332,"",'1. Live'!AU332-'check-Jul''26'!AQ332)</f>
        <v/>
      </c>
      <c r="AR314" s="25" t="str">
        <f>IF('1. Live'!AV332='check-Jul''26'!AR332,"",'1. Live'!AV332-'check-Jul''26'!AR332)</f>
        <v/>
      </c>
      <c r="AS314" s="25" t="str">
        <f>IF('1. Live'!AW332='check-Jul''26'!AS332,"",'1. Live'!AW332-'check-Jul''26'!AS332)</f>
        <v/>
      </c>
      <c r="AT314" s="25" t="str">
        <f>IF('1. Live'!AX332='check-Jul''26'!AT332,"",'1. Live'!AX332-'check-Jul''26'!AT332)</f>
        <v/>
      </c>
      <c r="AU314" s="25" t="str">
        <f>IF('1. Live'!AY332='check-Jul''26'!AU332,"",'1. Live'!AY332-'check-Jul''26'!AU332)</f>
        <v/>
      </c>
      <c r="AV314" s="25" t="str">
        <f>IF('1. Live'!AZ332='check-Jul''26'!AV332,"",'1. Live'!AZ332-'check-Jul''26'!AV332)</f>
        <v/>
      </c>
      <c r="AW314" s="25" t="str">
        <f>IF('1. Live'!BA332='check-Jul''26'!AW332,"",'1. Live'!BA332-'check-Jul''26'!AW332)</f>
        <v/>
      </c>
      <c r="AX314" s="25" t="str">
        <f>IF('1. Live'!BB332='check-Jul''26'!AX332,"",'1. Live'!BB332-'check-Jul''26'!AX332)</f>
        <v/>
      </c>
      <c r="AY314" s="25" t="str">
        <f>IF('1. Live'!BC332='check-Jul''26'!AY332,"",'1. Live'!BC332-'check-Jul''26'!AY332)</f>
        <v/>
      </c>
      <c r="AZ314" s="25" t="str">
        <f>IF('1. Live'!BD332='check-Jul''26'!AZ332,"",'1. Live'!BD332-'check-Jul''26'!AZ332)</f>
        <v/>
      </c>
      <c r="BA314" s="25" t="str">
        <f>IF('1. Live'!BE332='check-Jul''26'!BA332,"",'1. Live'!BE332-'check-Jul''26'!BA332)</f>
        <v/>
      </c>
      <c r="BB314" s="25" t="str">
        <f>IF('1. Live'!BF332='check-Jul''26'!BB332,"",'1. Live'!BF332-'check-Jul''26'!BB332)</f>
        <v/>
      </c>
      <c r="BC314" s="25" t="str">
        <f>IF('1. Live'!BG332='check-Jul''26'!BC332,"",'1. Live'!BG332-'check-Jul''26'!BC332)</f>
        <v/>
      </c>
      <c r="BD314" s="25" t="str">
        <f>IF('1. Live'!BH332='check-Jul''26'!BD332,"",'1. Live'!BH332-'check-Jul''26'!BD332)</f>
        <v/>
      </c>
      <c r="BE314" s="25" t="str">
        <f>IF('1. Live'!BI332='check-Jul''26'!BE332,"",'1. Live'!BI332-'check-Jul''26'!BE332)</f>
        <v/>
      </c>
      <c r="BF314" s="25" t="str">
        <f>IF('1. Live'!BJ332='check-Jul''26'!BF332,"",'1. Live'!BJ332-'check-Jul''26'!BF332)</f>
        <v/>
      </c>
      <c r="BG314" s="25" t="str">
        <f>IF('1. Live'!BK332='check-Jul''26'!BG332,"",'1. Live'!BK332-'check-Jul''26'!BG332)</f>
        <v/>
      </c>
      <c r="BH314" s="25" t="str">
        <f>IF('1. Live'!BL332='check-Jul''26'!BH332,"",'1. Live'!BL332-'check-Jul''26'!BH332)</f>
        <v/>
      </c>
      <c r="BI314" s="25" t="str">
        <f>IF('1. Live'!BM332='check-Jul''26'!BI332,"",'1. Live'!BM332-'check-Jul''26'!BI332)</f>
        <v/>
      </c>
      <c r="BJ314" s="25" t="str">
        <f>IF('1. Live'!BN332='check-Jul''26'!BJ332,"",'1. Live'!BN332-'check-Jul''26'!BJ332)</f>
        <v/>
      </c>
      <c r="BK314" s="25" t="str">
        <f>IF('1. Live'!BO332='check-Jul''26'!BK332,"",'1. Live'!BO332-'check-Jul''26'!BK332)</f>
        <v/>
      </c>
      <c r="BL314" s="25" t="str">
        <f>IF('1. Live'!BP332='check-Jul''26'!BL332,"",'1. Live'!BP332-'check-Jul''26'!BL332)</f>
        <v/>
      </c>
      <c r="BM314" s="25" t="str">
        <f>IF('1. Live'!BQ332='check-Jul''26'!BM332,"",'1. Live'!BQ332-'check-Jul''26'!BM332)</f>
        <v/>
      </c>
      <c r="BN314" s="25" t="str">
        <f>IF('1. Live'!BR332='check-Jul''26'!BN332,"",'1. Live'!BR332-'check-Jul''26'!BN332)</f>
        <v/>
      </c>
      <c r="BO314" s="25" t="str">
        <f>IF('1. Live'!BS332='check-Jul''26'!BO332,"",'1. Live'!BS332-'check-Jul''26'!BO332)</f>
        <v/>
      </c>
      <c r="BP314" s="25" t="str">
        <f>IF('1. Live'!BT332='check-Jul''26'!BP332,"",'1. Live'!BT332-'check-Jul''26'!BP332)</f>
        <v/>
      </c>
      <c r="BQ314" s="25" t="str">
        <f>IF('1. Live'!BU332='check-Jul''26'!BQ332,"",'1. Live'!BU332-'check-Jul''26'!BQ332)</f>
        <v/>
      </c>
      <c r="BR314" s="25" t="str">
        <f>IF('1. Live'!BV332='check-Jul''26'!BR332,"",'1. Live'!BV332-'check-Jul''26'!BR332)</f>
        <v/>
      </c>
      <c r="BS314" s="25" t="str">
        <f>IF('1. Live'!BW332='check-Jul''26'!BS332,"",'1. Live'!BW332-'check-Jul''26'!BS332)</f>
        <v/>
      </c>
      <c r="BT314" s="25" t="str">
        <f>IF('1. Live'!BX332='check-Jul''26'!BT332,"",'1. Live'!BX332-'check-Jul''26'!BT332)</f>
        <v/>
      </c>
      <c r="BU314" s="25" t="str">
        <f>IF('1. Live'!BY332='check-Jul''26'!BU332,"",'1. Live'!BY332-'check-Jul''26'!BU332)</f>
        <v/>
      </c>
      <c r="BV314" s="25" t="str">
        <f>IF('1. Live'!BZ332='check-Jul''26'!BV332,"",'1. Live'!BZ332-'check-Jul''26'!BV332)</f>
        <v/>
      </c>
      <c r="BW314" s="25" t="str">
        <f>IF('1. Live'!CA332='check-Jul''26'!BW332,"",'1. Live'!CA332-'check-Jul''26'!BW332)</f>
        <v/>
      </c>
      <c r="BX314" s="25" t="str">
        <f>IF('1. Live'!CB332='check-Jul''26'!BX332,"",'1. Live'!CB332-'check-Jul''26'!BX332)</f>
        <v/>
      </c>
      <c r="BY314" s="25" t="str">
        <f>IF('1. Live'!CC332='check-Jul''26'!BY332,"",'1. Live'!CC332-'check-Jul''26'!BY332)</f>
        <v/>
      </c>
      <c r="BZ314" s="25" t="str">
        <f>IF('1. Live'!CD332='check-Jul''26'!BZ332,"",'1. Live'!CD332-'check-Jul''26'!BZ332)</f>
        <v/>
      </c>
      <c r="CA314" s="25" t="str">
        <f>IF('1. Live'!CE332='check-Jul''26'!CA332,"",'1. Live'!CE332-'check-Jul''26'!CA332)</f>
        <v/>
      </c>
      <c r="CB314" s="25" t="str">
        <f>IF('1. Live'!CF332='check-Jul''26'!CB332,"",'1. Live'!CF332-'check-Jul''26'!CB332)</f>
        <v/>
      </c>
      <c r="CC314" s="25" t="str">
        <f>IF('1. Live'!CG332='check-Jul''26'!CC332,"",'1. Live'!CG332-'check-Jul''26'!CC332)</f>
        <v/>
      </c>
      <c r="CD314" s="25" t="str">
        <f>IF('1. Live'!CH332='check-Jul''26'!CD332,"",'1. Live'!CH332-'check-Jul''26'!CD332)</f>
        <v/>
      </c>
      <c r="CE314" s="25" t="str">
        <f>IF('1. Live'!CI332='check-Jul''26'!CE332,"",'1. Live'!CI332-'check-Jul''26'!CE332)</f>
        <v/>
      </c>
      <c r="CF314" s="25" t="str">
        <f>IF('1. Live'!CJ332='check-Jul''26'!CF332,"",'1. Live'!CJ332-'check-Jul''26'!CF332)</f>
        <v/>
      </c>
      <c r="CG314" s="25" t="str">
        <f>IF('1. Live'!CK332='check-Jul''26'!CG332,"",'1. Live'!CK332-'check-Jul''26'!CG332)</f>
        <v/>
      </c>
      <c r="CH314" s="25" t="str">
        <f>IF('1. Live'!CL332='check-Jul''26'!CH332,"",'1. Live'!CL332-'check-Jul''26'!CH332)</f>
        <v/>
      </c>
      <c r="CI314" s="25" t="str">
        <f>IF('1. Live'!CM332='check-Jul''26'!CI332,"",'1. Live'!CM332-'check-Jul''26'!CI332)</f>
        <v/>
      </c>
      <c r="CJ314" s="25" t="str">
        <f>IF('1. Live'!CN332='check-Jul''26'!CJ332,"",'1. Live'!CN332-'check-Jul''26'!CJ332)</f>
        <v/>
      </c>
      <c r="CK314" s="25" t="str">
        <f>IF('1. Live'!CO332='check-Jul''26'!CK332,"",'1. Live'!CO332-'check-Jul''26'!CK332)</f>
        <v/>
      </c>
      <c r="CL314" s="25" t="str">
        <f>IF('1. Live'!CP332='check-Jul''26'!CL332,"",'1. Live'!CP332-'check-Jul''26'!CL332)</f>
        <v/>
      </c>
      <c r="CM314" s="25" t="str">
        <f>IF('1. Live'!CQ332='check-Jul''26'!CM332,"",'1. Live'!CQ332-'check-Jul''26'!CM332)</f>
        <v/>
      </c>
      <c r="CN314" s="25" t="str">
        <f>IF('1. Live'!CR332='check-Jul''26'!CN332,"",'1. Live'!CR332-'check-Jul''26'!CN332)</f>
        <v/>
      </c>
      <c r="CO314" s="25" t="str">
        <f>IF('1. Live'!CS332='check-Jul''26'!CO332,"",'1. Live'!CS332-'check-Jul''26'!CO332)</f>
        <v/>
      </c>
      <c r="CP314" s="25" t="str">
        <f>IF('1. Live'!CT332='check-Jul''26'!CP332,"",'1. Live'!CT332-'check-Jul''26'!CP332)</f>
        <v/>
      </c>
      <c r="CQ314" s="25" t="str">
        <f>IF('1. Live'!CU332='check-Jul''26'!CQ332,"",'1. Live'!CU332-'check-Jul''26'!CQ332)</f>
        <v/>
      </c>
      <c r="CR314" s="25" t="str">
        <f>IF('1. Live'!CV332='check-Jul''26'!CR332,"",'1. Live'!CV332-'check-Jul''26'!CR332)</f>
        <v/>
      </c>
      <c r="CS314" s="25" t="str">
        <f>IF('1. Live'!CW332='check-Jul''26'!CS332,"",'1. Live'!CW332-'check-Jul''26'!CS332)</f>
        <v/>
      </c>
      <c r="CT314" s="25" t="str">
        <f>IF('1. Live'!CX332='check-Jul''26'!CT332,"",'1. Live'!CX332-'check-Jul''26'!CT332)</f>
        <v/>
      </c>
      <c r="CU314" s="25" t="str">
        <f>IF('1. Live'!CY332='check-Jul''26'!CU332,"",'1. Live'!CY332-'check-Jul''26'!CU332)</f>
        <v/>
      </c>
      <c r="CV314" s="25" t="str">
        <f>IF('1. Live'!CZ332='check-Jul''26'!CV332,"",'1. Live'!CZ332-'check-Jul''26'!CV332)</f>
        <v/>
      </c>
    </row>
    <row r="315" spans="17:100" x14ac:dyDescent="0.25">
      <c r="Q315" s="26" t="str">
        <f>IF('1. Live'!N333='check-Jul''26'!I333,"",'1. Live'!N333-'check-Jul''26'!I333)</f>
        <v/>
      </c>
      <c r="R315" s="26" t="str">
        <f>IF('1. Live'!O333='check-Jul''26'!J333,"",'1. Live'!O333-'check-Jul''26'!J333)</f>
        <v/>
      </c>
      <c r="S315" s="26" t="str">
        <f>IF('1. Live'!P333='check-Jul''26'!K333,"",'1. Live'!P333-'check-Jul''26'!K333)</f>
        <v/>
      </c>
      <c r="T315" s="26" t="str">
        <f>IF('1. Live'!Q333='check-Jul''26'!L333,"",'1. Live'!Q333-'check-Jul''26'!L333)</f>
        <v/>
      </c>
      <c r="U315" s="80" t="str">
        <f>IF('1. Live'!R333='check-Jul''26'!M333,"",'1. Live'!R333-'check-Jul''26'!M333)</f>
        <v/>
      </c>
      <c r="V315" s="26" t="str">
        <f>IF('1. Live'!S333='check-Jul''26'!N333,"",'1. Live'!S333-'check-Jul''26'!N333)</f>
        <v/>
      </c>
      <c r="W315" s="25" t="str">
        <f>IF('1. Live'!T333='check-Jul''26'!O333,"",'1. Live'!T333-'check-Jul''26'!O333)</f>
        <v/>
      </c>
      <c r="X315" s="25" t="str">
        <f>IF('1. Live'!U333='check-Jul''26'!Q333,"",'1. Live'!U333-'check-Jul''26'!Q333)</f>
        <v/>
      </c>
      <c r="Y315" s="25" t="str">
        <f>IF('1. Live'!V333='check-Jul''26'!R333,"",'1. Live'!V333-'check-Jul''26'!R333)</f>
        <v/>
      </c>
      <c r="Z315" s="25" t="str">
        <f>IF('1. Live'!W333='check-Jul''26'!S333,"",'1. Live'!W333-'check-Jul''26'!S333)</f>
        <v/>
      </c>
      <c r="AA315" s="25" t="str">
        <f>IF('1. Live'!X333='check-Jul''26'!T333,"",'1. Live'!X333-'check-Jul''26'!T333)</f>
        <v/>
      </c>
      <c r="AB315" s="25" t="str">
        <f>IF('1. Live'!AF333='check-Jul''26'!AB333,"",'1. Live'!AF333-'check-Jul''26'!AB333)</f>
        <v/>
      </c>
      <c r="AC315" s="25" t="str">
        <f>IF('1. Live'!AG333='check-Jul''26'!AC333,"",'1. Live'!AG333-'check-Jul''26'!AC333)</f>
        <v/>
      </c>
      <c r="AD315" s="25" t="str">
        <f>IF('1. Live'!AH333='check-Jul''26'!AD333,"",'1. Live'!AH333-'check-Jul''26'!AD333)</f>
        <v/>
      </c>
      <c r="AE315" s="25" t="str">
        <f>IF('1. Live'!AI333='check-Jul''26'!AE333,"",'1. Live'!AI333-'check-Jul''26'!AE333)</f>
        <v/>
      </c>
      <c r="AF315" s="25" t="str">
        <f>IF('1. Live'!AJ333='check-Jul''26'!AF333,"",'1. Live'!AJ333-'check-Jul''26'!AF333)</f>
        <v/>
      </c>
      <c r="AG315" s="25" t="str">
        <f>IF('1. Live'!AK333='check-Jul''26'!AG333,"",'1. Live'!AK333-'check-Jul''26'!AG333)</f>
        <v/>
      </c>
      <c r="AH315" s="25" t="str">
        <f>IF('1. Live'!AL333='check-Jul''26'!AH333,"",'1. Live'!AL333-'check-Jul''26'!AH333)</f>
        <v/>
      </c>
      <c r="AI315" s="25" t="str">
        <f>IF('1. Live'!AM333='check-Jul''26'!AI333,"",'1. Live'!AM333-'check-Jul''26'!AI333)</f>
        <v/>
      </c>
      <c r="AJ315" s="25" t="str">
        <f>IF('1. Live'!AN333='check-Jul''26'!AJ333,"",'1. Live'!AN333-'check-Jul''26'!AJ333)</f>
        <v/>
      </c>
      <c r="AK315" s="25" t="str">
        <f>IF('1. Live'!AO333='check-Jul''26'!AK333,"",'1. Live'!AO333-'check-Jul''26'!AK333)</f>
        <v/>
      </c>
      <c r="AL315" s="25" t="str">
        <f>IF('1. Live'!AP333='check-Jul''26'!AL333,"",'1. Live'!AP333-'check-Jul''26'!AL333)</f>
        <v/>
      </c>
      <c r="AM315" s="25" t="str">
        <f>IF('1. Live'!AQ333='check-Jul''26'!AM333,"",'1. Live'!AQ333-'check-Jul''26'!AM333)</f>
        <v/>
      </c>
      <c r="AN315" s="25" t="str">
        <f>IF('1. Live'!AR333='check-Jul''26'!AN333,"",'1. Live'!AR333-'check-Jul''26'!AN333)</f>
        <v/>
      </c>
      <c r="AO315" s="25" t="str">
        <f>IF('1. Live'!AS333='check-Jul''26'!AO333,"",'1. Live'!AS333-'check-Jul''26'!AO333)</f>
        <v/>
      </c>
      <c r="AP315" s="25" t="str">
        <f>IF('1. Live'!AT333='check-Jul''26'!AP333,"",'1. Live'!AT333-'check-Jul''26'!AP333)</f>
        <v/>
      </c>
      <c r="AQ315" s="25" t="str">
        <f>IF('1. Live'!AU333='check-Jul''26'!AQ333,"",'1. Live'!AU333-'check-Jul''26'!AQ333)</f>
        <v/>
      </c>
      <c r="AR315" s="25" t="str">
        <f>IF('1. Live'!AV333='check-Jul''26'!AR333,"",'1. Live'!AV333-'check-Jul''26'!AR333)</f>
        <v/>
      </c>
      <c r="AS315" s="25" t="str">
        <f>IF('1. Live'!AW333='check-Jul''26'!AS333,"",'1. Live'!AW333-'check-Jul''26'!AS333)</f>
        <v/>
      </c>
      <c r="AT315" s="25" t="str">
        <f>IF('1. Live'!AX333='check-Jul''26'!AT333,"",'1. Live'!AX333-'check-Jul''26'!AT333)</f>
        <v/>
      </c>
      <c r="AU315" s="25" t="str">
        <f>IF('1. Live'!AY333='check-Jul''26'!AU333,"",'1. Live'!AY333-'check-Jul''26'!AU333)</f>
        <v/>
      </c>
      <c r="AV315" s="25" t="str">
        <f>IF('1. Live'!AZ333='check-Jul''26'!AV333,"",'1. Live'!AZ333-'check-Jul''26'!AV333)</f>
        <v/>
      </c>
      <c r="AW315" s="25" t="str">
        <f>IF('1. Live'!BA333='check-Jul''26'!AW333,"",'1. Live'!BA333-'check-Jul''26'!AW333)</f>
        <v/>
      </c>
      <c r="AX315" s="25" t="str">
        <f>IF('1. Live'!BB333='check-Jul''26'!AX333,"",'1. Live'!BB333-'check-Jul''26'!AX333)</f>
        <v/>
      </c>
      <c r="AY315" s="25" t="str">
        <f>IF('1. Live'!BC333='check-Jul''26'!AY333,"",'1. Live'!BC333-'check-Jul''26'!AY333)</f>
        <v/>
      </c>
      <c r="AZ315" s="25" t="str">
        <f>IF('1. Live'!BD333='check-Jul''26'!AZ333,"",'1. Live'!BD333-'check-Jul''26'!AZ333)</f>
        <v/>
      </c>
      <c r="BA315" s="25" t="str">
        <f>IF('1. Live'!BE333='check-Jul''26'!BA333,"",'1. Live'!BE333-'check-Jul''26'!BA333)</f>
        <v/>
      </c>
      <c r="BB315" s="25" t="str">
        <f>IF('1. Live'!BF333='check-Jul''26'!BB333,"",'1. Live'!BF333-'check-Jul''26'!BB333)</f>
        <v/>
      </c>
      <c r="BC315" s="25" t="str">
        <f>IF('1. Live'!BG333='check-Jul''26'!BC333,"",'1. Live'!BG333-'check-Jul''26'!BC333)</f>
        <v/>
      </c>
      <c r="BD315" s="25" t="str">
        <f>IF('1. Live'!BH333='check-Jul''26'!BD333,"",'1. Live'!BH333-'check-Jul''26'!BD333)</f>
        <v/>
      </c>
      <c r="BE315" s="25" t="str">
        <f>IF('1. Live'!BI333='check-Jul''26'!BE333,"",'1. Live'!BI333-'check-Jul''26'!BE333)</f>
        <v/>
      </c>
      <c r="BF315" s="25" t="str">
        <f>IF('1. Live'!BJ333='check-Jul''26'!BF333,"",'1. Live'!BJ333-'check-Jul''26'!BF333)</f>
        <v/>
      </c>
      <c r="BG315" s="25" t="str">
        <f>IF('1. Live'!BK333='check-Jul''26'!BG333,"",'1. Live'!BK333-'check-Jul''26'!BG333)</f>
        <v/>
      </c>
      <c r="BH315" s="25" t="str">
        <f>IF('1. Live'!BL333='check-Jul''26'!BH333,"",'1. Live'!BL333-'check-Jul''26'!BH333)</f>
        <v/>
      </c>
      <c r="BI315" s="25" t="str">
        <f>IF('1. Live'!BM333='check-Jul''26'!BI333,"",'1. Live'!BM333-'check-Jul''26'!BI333)</f>
        <v/>
      </c>
      <c r="BJ315" s="25" t="str">
        <f>IF('1. Live'!BN333='check-Jul''26'!BJ333,"",'1. Live'!BN333-'check-Jul''26'!BJ333)</f>
        <v/>
      </c>
      <c r="BK315" s="25" t="str">
        <f>IF('1. Live'!BO333='check-Jul''26'!BK333,"",'1. Live'!BO333-'check-Jul''26'!BK333)</f>
        <v/>
      </c>
      <c r="BL315" s="25" t="str">
        <f>IF('1. Live'!BP333='check-Jul''26'!BL333,"",'1. Live'!BP333-'check-Jul''26'!BL333)</f>
        <v/>
      </c>
      <c r="BM315" s="25" t="str">
        <f>IF('1. Live'!BQ333='check-Jul''26'!BM333,"",'1. Live'!BQ333-'check-Jul''26'!BM333)</f>
        <v/>
      </c>
      <c r="BN315" s="25" t="str">
        <f>IF('1. Live'!BR333='check-Jul''26'!BN333,"",'1. Live'!BR333-'check-Jul''26'!BN333)</f>
        <v/>
      </c>
      <c r="BO315" s="25" t="str">
        <f>IF('1. Live'!BS333='check-Jul''26'!BO333,"",'1. Live'!BS333-'check-Jul''26'!BO333)</f>
        <v/>
      </c>
      <c r="BP315" s="25" t="str">
        <f>IF('1. Live'!BT333='check-Jul''26'!BP333,"",'1. Live'!BT333-'check-Jul''26'!BP333)</f>
        <v/>
      </c>
      <c r="BQ315" s="25" t="str">
        <f>IF('1. Live'!BU333='check-Jul''26'!BQ333,"",'1. Live'!BU333-'check-Jul''26'!BQ333)</f>
        <v/>
      </c>
      <c r="BR315" s="25" t="str">
        <f>IF('1. Live'!BV333='check-Jul''26'!BR333,"",'1. Live'!BV333-'check-Jul''26'!BR333)</f>
        <v/>
      </c>
      <c r="BS315" s="25" t="str">
        <f>IF('1. Live'!BW333='check-Jul''26'!BS333,"",'1. Live'!BW333-'check-Jul''26'!BS333)</f>
        <v/>
      </c>
      <c r="BT315" s="25" t="str">
        <f>IF('1. Live'!BX333='check-Jul''26'!BT333,"",'1. Live'!BX333-'check-Jul''26'!BT333)</f>
        <v/>
      </c>
      <c r="BU315" s="25" t="str">
        <f>IF('1. Live'!BY333='check-Jul''26'!BU333,"",'1. Live'!BY333-'check-Jul''26'!BU333)</f>
        <v/>
      </c>
      <c r="BV315" s="25" t="str">
        <f>IF('1. Live'!BZ333='check-Jul''26'!BV333,"",'1. Live'!BZ333-'check-Jul''26'!BV333)</f>
        <v/>
      </c>
      <c r="BW315" s="25" t="str">
        <f>IF('1. Live'!CA333='check-Jul''26'!BW333,"",'1. Live'!CA333-'check-Jul''26'!BW333)</f>
        <v/>
      </c>
      <c r="BX315" s="25" t="str">
        <f>IF('1. Live'!CB333='check-Jul''26'!BX333,"",'1. Live'!CB333-'check-Jul''26'!BX333)</f>
        <v/>
      </c>
      <c r="BY315" s="25" t="str">
        <f>IF('1. Live'!CC333='check-Jul''26'!BY333,"",'1. Live'!CC333-'check-Jul''26'!BY333)</f>
        <v/>
      </c>
      <c r="BZ315" s="25" t="str">
        <f>IF('1. Live'!CD333='check-Jul''26'!BZ333,"",'1. Live'!CD333-'check-Jul''26'!BZ333)</f>
        <v/>
      </c>
      <c r="CA315" s="25" t="str">
        <f>IF('1. Live'!CE333='check-Jul''26'!CA333,"",'1. Live'!CE333-'check-Jul''26'!CA333)</f>
        <v/>
      </c>
      <c r="CB315" s="25" t="str">
        <f>IF('1. Live'!CF333='check-Jul''26'!CB333,"",'1. Live'!CF333-'check-Jul''26'!CB333)</f>
        <v/>
      </c>
      <c r="CC315" s="25" t="str">
        <f>IF('1. Live'!CG333='check-Jul''26'!CC333,"",'1. Live'!CG333-'check-Jul''26'!CC333)</f>
        <v/>
      </c>
      <c r="CD315" s="25" t="str">
        <f>IF('1. Live'!CH333='check-Jul''26'!CD333,"",'1. Live'!CH333-'check-Jul''26'!CD333)</f>
        <v/>
      </c>
      <c r="CE315" s="25" t="str">
        <f>IF('1. Live'!CI333='check-Jul''26'!CE333,"",'1. Live'!CI333-'check-Jul''26'!CE333)</f>
        <v/>
      </c>
      <c r="CF315" s="25" t="str">
        <f>IF('1. Live'!CJ333='check-Jul''26'!CF333,"",'1. Live'!CJ333-'check-Jul''26'!CF333)</f>
        <v/>
      </c>
      <c r="CG315" s="25" t="str">
        <f>IF('1. Live'!CK333='check-Jul''26'!CG333,"",'1. Live'!CK333-'check-Jul''26'!CG333)</f>
        <v/>
      </c>
      <c r="CH315" s="25" t="str">
        <f>IF('1. Live'!CL333='check-Jul''26'!CH333,"",'1. Live'!CL333-'check-Jul''26'!CH333)</f>
        <v/>
      </c>
      <c r="CI315" s="25" t="str">
        <f>IF('1. Live'!CM333='check-Jul''26'!CI333,"",'1. Live'!CM333-'check-Jul''26'!CI333)</f>
        <v/>
      </c>
      <c r="CJ315" s="25" t="str">
        <f>IF('1. Live'!CN333='check-Jul''26'!CJ333,"",'1. Live'!CN333-'check-Jul''26'!CJ333)</f>
        <v/>
      </c>
      <c r="CK315" s="25" t="str">
        <f>IF('1. Live'!CO333='check-Jul''26'!CK333,"",'1. Live'!CO333-'check-Jul''26'!CK333)</f>
        <v/>
      </c>
      <c r="CL315" s="25" t="str">
        <f>IF('1. Live'!CP333='check-Jul''26'!CL333,"",'1. Live'!CP333-'check-Jul''26'!CL333)</f>
        <v/>
      </c>
      <c r="CM315" s="25" t="str">
        <f>IF('1. Live'!CQ333='check-Jul''26'!CM333,"",'1. Live'!CQ333-'check-Jul''26'!CM333)</f>
        <v/>
      </c>
      <c r="CN315" s="25" t="str">
        <f>IF('1. Live'!CR333='check-Jul''26'!CN333,"",'1. Live'!CR333-'check-Jul''26'!CN333)</f>
        <v/>
      </c>
      <c r="CO315" s="25" t="str">
        <f>IF('1. Live'!CS333='check-Jul''26'!CO333,"",'1. Live'!CS333-'check-Jul''26'!CO333)</f>
        <v/>
      </c>
      <c r="CP315" s="25" t="str">
        <f>IF('1. Live'!CT333='check-Jul''26'!CP333,"",'1. Live'!CT333-'check-Jul''26'!CP333)</f>
        <v/>
      </c>
      <c r="CQ315" s="25" t="str">
        <f>IF('1. Live'!CU333='check-Jul''26'!CQ333,"",'1. Live'!CU333-'check-Jul''26'!CQ333)</f>
        <v/>
      </c>
      <c r="CR315" s="25" t="str">
        <f>IF('1. Live'!CV333='check-Jul''26'!CR333,"",'1. Live'!CV333-'check-Jul''26'!CR333)</f>
        <v/>
      </c>
      <c r="CS315" s="25" t="str">
        <f>IF('1. Live'!CW333='check-Jul''26'!CS333,"",'1. Live'!CW333-'check-Jul''26'!CS333)</f>
        <v/>
      </c>
      <c r="CT315" s="25" t="str">
        <f>IF('1. Live'!CX333='check-Jul''26'!CT333,"",'1. Live'!CX333-'check-Jul''26'!CT333)</f>
        <v/>
      </c>
      <c r="CU315" s="25" t="str">
        <f>IF('1. Live'!CY333='check-Jul''26'!CU333,"",'1. Live'!CY333-'check-Jul''26'!CU333)</f>
        <v/>
      </c>
      <c r="CV315" s="25" t="str">
        <f>IF('1. Live'!CZ333='check-Jul''26'!CV333,"",'1. Live'!CZ333-'check-Jul''26'!CV333)</f>
        <v/>
      </c>
    </row>
    <row r="316" spans="17:100" x14ac:dyDescent="0.25">
      <c r="Q316" s="26" t="str">
        <f>IF('1. Live'!N334='check-Jul''26'!I334,"",'1. Live'!N334-'check-Jul''26'!I334)</f>
        <v/>
      </c>
      <c r="R316" s="26" t="str">
        <f>IF('1. Live'!O334='check-Jul''26'!J334,"",'1. Live'!O334-'check-Jul''26'!J334)</f>
        <v/>
      </c>
      <c r="S316" s="26" t="str">
        <f>IF('1. Live'!P334='check-Jul''26'!K334,"",'1. Live'!P334-'check-Jul''26'!K334)</f>
        <v/>
      </c>
      <c r="T316" s="26" t="str">
        <f>IF('1. Live'!Q334='check-Jul''26'!L334,"",'1. Live'!Q334-'check-Jul''26'!L334)</f>
        <v/>
      </c>
      <c r="U316" s="80" t="str">
        <f>IF('1. Live'!R334='check-Jul''26'!M334,"",'1. Live'!R334-'check-Jul''26'!M334)</f>
        <v/>
      </c>
      <c r="V316" s="26" t="str">
        <f>IF('1. Live'!S334='check-Jul''26'!N334,"",'1. Live'!S334-'check-Jul''26'!N334)</f>
        <v/>
      </c>
      <c r="W316" s="25" t="str">
        <f>IF('1. Live'!T334='check-Jul''26'!O334,"",'1. Live'!T334-'check-Jul''26'!O334)</f>
        <v/>
      </c>
      <c r="X316" s="25" t="str">
        <f>IF('1. Live'!U334='check-Jul''26'!Q334,"",'1. Live'!U334-'check-Jul''26'!Q334)</f>
        <v/>
      </c>
      <c r="Y316" s="25" t="str">
        <f>IF('1. Live'!V334='check-Jul''26'!R334,"",'1. Live'!V334-'check-Jul''26'!R334)</f>
        <v/>
      </c>
      <c r="Z316" s="25" t="str">
        <f>IF('1. Live'!W334='check-Jul''26'!S334,"",'1. Live'!W334-'check-Jul''26'!S334)</f>
        <v/>
      </c>
      <c r="AA316" s="25" t="str">
        <f>IF('1. Live'!X334='check-Jul''26'!T334,"",'1. Live'!X334-'check-Jul''26'!T334)</f>
        <v/>
      </c>
      <c r="AB316" s="25" t="str">
        <f>IF('1. Live'!AF334='check-Jul''26'!AB334,"",'1. Live'!AF334-'check-Jul''26'!AB334)</f>
        <v/>
      </c>
      <c r="AC316" s="25" t="str">
        <f>IF('1. Live'!AG334='check-Jul''26'!AC334,"",'1. Live'!AG334-'check-Jul''26'!AC334)</f>
        <v/>
      </c>
      <c r="AD316" s="25" t="str">
        <f>IF('1. Live'!AH334='check-Jul''26'!AD334,"",'1. Live'!AH334-'check-Jul''26'!AD334)</f>
        <v/>
      </c>
      <c r="AE316" s="25" t="str">
        <f>IF('1. Live'!AI334='check-Jul''26'!AE334,"",'1. Live'!AI334-'check-Jul''26'!AE334)</f>
        <v/>
      </c>
      <c r="AF316" s="25" t="str">
        <f>IF('1. Live'!AJ334='check-Jul''26'!AF334,"",'1. Live'!AJ334-'check-Jul''26'!AF334)</f>
        <v/>
      </c>
      <c r="AG316" s="25" t="str">
        <f>IF('1. Live'!AK334='check-Jul''26'!AG334,"",'1. Live'!AK334-'check-Jul''26'!AG334)</f>
        <v/>
      </c>
      <c r="AH316" s="25" t="str">
        <f>IF('1. Live'!AL334='check-Jul''26'!AH334,"",'1. Live'!AL334-'check-Jul''26'!AH334)</f>
        <v/>
      </c>
      <c r="AI316" s="25" t="str">
        <f>IF('1. Live'!AM334='check-Jul''26'!AI334,"",'1. Live'!AM334-'check-Jul''26'!AI334)</f>
        <v/>
      </c>
      <c r="AJ316" s="25" t="str">
        <f>IF('1. Live'!AN334='check-Jul''26'!AJ334,"",'1. Live'!AN334-'check-Jul''26'!AJ334)</f>
        <v/>
      </c>
      <c r="AK316" s="25" t="str">
        <f>IF('1. Live'!AO334='check-Jul''26'!AK334,"",'1. Live'!AO334-'check-Jul''26'!AK334)</f>
        <v/>
      </c>
      <c r="AL316" s="25" t="str">
        <f>IF('1. Live'!AP334='check-Jul''26'!AL334,"",'1. Live'!AP334-'check-Jul''26'!AL334)</f>
        <v/>
      </c>
      <c r="AM316" s="25" t="str">
        <f>IF('1. Live'!AQ334='check-Jul''26'!AM334,"",'1. Live'!AQ334-'check-Jul''26'!AM334)</f>
        <v/>
      </c>
      <c r="AN316" s="25" t="str">
        <f>IF('1. Live'!AR334='check-Jul''26'!AN334,"",'1. Live'!AR334-'check-Jul''26'!AN334)</f>
        <v/>
      </c>
      <c r="AO316" s="25" t="str">
        <f>IF('1. Live'!AS334='check-Jul''26'!AO334,"",'1. Live'!AS334-'check-Jul''26'!AO334)</f>
        <v/>
      </c>
      <c r="AP316" s="25" t="str">
        <f>IF('1. Live'!AT334='check-Jul''26'!AP334,"",'1. Live'!AT334-'check-Jul''26'!AP334)</f>
        <v/>
      </c>
      <c r="AQ316" s="25" t="str">
        <f>IF('1. Live'!AU334='check-Jul''26'!AQ334,"",'1. Live'!AU334-'check-Jul''26'!AQ334)</f>
        <v/>
      </c>
      <c r="AR316" s="25" t="str">
        <f>IF('1. Live'!AV334='check-Jul''26'!AR334,"",'1. Live'!AV334-'check-Jul''26'!AR334)</f>
        <v/>
      </c>
      <c r="AS316" s="25" t="str">
        <f>IF('1. Live'!AW334='check-Jul''26'!AS334,"",'1. Live'!AW334-'check-Jul''26'!AS334)</f>
        <v/>
      </c>
      <c r="AT316" s="25" t="str">
        <f>IF('1. Live'!AX334='check-Jul''26'!AT334,"",'1. Live'!AX334-'check-Jul''26'!AT334)</f>
        <v/>
      </c>
      <c r="AU316" s="25" t="str">
        <f>IF('1. Live'!AY334='check-Jul''26'!AU334,"",'1. Live'!AY334-'check-Jul''26'!AU334)</f>
        <v/>
      </c>
      <c r="AV316" s="25" t="str">
        <f>IF('1. Live'!AZ334='check-Jul''26'!AV334,"",'1. Live'!AZ334-'check-Jul''26'!AV334)</f>
        <v/>
      </c>
      <c r="AW316" s="25" t="str">
        <f>IF('1. Live'!BA334='check-Jul''26'!AW334,"",'1. Live'!BA334-'check-Jul''26'!AW334)</f>
        <v/>
      </c>
      <c r="AX316" s="25" t="str">
        <f>IF('1. Live'!BB334='check-Jul''26'!AX334,"",'1. Live'!BB334-'check-Jul''26'!AX334)</f>
        <v/>
      </c>
      <c r="AY316" s="25" t="str">
        <f>IF('1. Live'!BC334='check-Jul''26'!AY334,"",'1. Live'!BC334-'check-Jul''26'!AY334)</f>
        <v/>
      </c>
      <c r="AZ316" s="25" t="str">
        <f>IF('1. Live'!BD334='check-Jul''26'!AZ334,"",'1. Live'!BD334-'check-Jul''26'!AZ334)</f>
        <v/>
      </c>
      <c r="BA316" s="25" t="str">
        <f>IF('1. Live'!BE334='check-Jul''26'!BA334,"",'1. Live'!BE334-'check-Jul''26'!BA334)</f>
        <v/>
      </c>
      <c r="BB316" s="25" t="str">
        <f>IF('1. Live'!BF334='check-Jul''26'!BB334,"",'1. Live'!BF334-'check-Jul''26'!BB334)</f>
        <v/>
      </c>
      <c r="BC316" s="25" t="str">
        <f>IF('1. Live'!BG334='check-Jul''26'!BC334,"",'1. Live'!BG334-'check-Jul''26'!BC334)</f>
        <v/>
      </c>
      <c r="BD316" s="25" t="str">
        <f>IF('1. Live'!BH334='check-Jul''26'!BD334,"",'1. Live'!BH334-'check-Jul''26'!BD334)</f>
        <v/>
      </c>
      <c r="BE316" s="25" t="str">
        <f>IF('1. Live'!BI334='check-Jul''26'!BE334,"",'1. Live'!BI334-'check-Jul''26'!BE334)</f>
        <v/>
      </c>
      <c r="BF316" s="25" t="str">
        <f>IF('1. Live'!BJ334='check-Jul''26'!BF334,"",'1. Live'!BJ334-'check-Jul''26'!BF334)</f>
        <v/>
      </c>
      <c r="BG316" s="25" t="str">
        <f>IF('1. Live'!BK334='check-Jul''26'!BG334,"",'1. Live'!BK334-'check-Jul''26'!BG334)</f>
        <v/>
      </c>
      <c r="BH316" s="25" t="str">
        <f>IF('1. Live'!BL334='check-Jul''26'!BH334,"",'1. Live'!BL334-'check-Jul''26'!BH334)</f>
        <v/>
      </c>
      <c r="BI316" s="25" t="str">
        <f>IF('1. Live'!BM334='check-Jul''26'!BI334,"",'1. Live'!BM334-'check-Jul''26'!BI334)</f>
        <v/>
      </c>
      <c r="BJ316" s="25" t="str">
        <f>IF('1. Live'!BN334='check-Jul''26'!BJ334,"",'1. Live'!BN334-'check-Jul''26'!BJ334)</f>
        <v/>
      </c>
      <c r="BK316" s="25" t="str">
        <f>IF('1. Live'!BO334='check-Jul''26'!BK334,"",'1. Live'!BO334-'check-Jul''26'!BK334)</f>
        <v/>
      </c>
      <c r="BL316" s="25" t="str">
        <f>IF('1. Live'!BP334='check-Jul''26'!BL334,"",'1. Live'!BP334-'check-Jul''26'!BL334)</f>
        <v/>
      </c>
      <c r="BM316" s="25" t="str">
        <f>IF('1. Live'!BQ334='check-Jul''26'!BM334,"",'1. Live'!BQ334-'check-Jul''26'!BM334)</f>
        <v/>
      </c>
      <c r="BN316" s="25" t="str">
        <f>IF('1. Live'!BR334='check-Jul''26'!BN334,"",'1. Live'!BR334-'check-Jul''26'!BN334)</f>
        <v/>
      </c>
      <c r="BO316" s="25" t="str">
        <f>IF('1. Live'!BS334='check-Jul''26'!BO334,"",'1. Live'!BS334-'check-Jul''26'!BO334)</f>
        <v/>
      </c>
      <c r="BP316" s="25" t="str">
        <f>IF('1. Live'!BT334='check-Jul''26'!BP334,"",'1. Live'!BT334-'check-Jul''26'!BP334)</f>
        <v/>
      </c>
      <c r="BQ316" s="25" t="str">
        <f>IF('1. Live'!BU334='check-Jul''26'!BQ334,"",'1. Live'!BU334-'check-Jul''26'!BQ334)</f>
        <v/>
      </c>
      <c r="BR316" s="25" t="str">
        <f>IF('1. Live'!BV334='check-Jul''26'!BR334,"",'1. Live'!BV334-'check-Jul''26'!BR334)</f>
        <v/>
      </c>
      <c r="BS316" s="25" t="str">
        <f>IF('1. Live'!BW334='check-Jul''26'!BS334,"",'1. Live'!BW334-'check-Jul''26'!BS334)</f>
        <v/>
      </c>
      <c r="BT316" s="25" t="str">
        <f>IF('1. Live'!BX334='check-Jul''26'!BT334,"",'1. Live'!BX334-'check-Jul''26'!BT334)</f>
        <v/>
      </c>
      <c r="BU316" s="25" t="str">
        <f>IF('1. Live'!BY334='check-Jul''26'!BU334,"",'1. Live'!BY334-'check-Jul''26'!BU334)</f>
        <v/>
      </c>
      <c r="BV316" s="25" t="str">
        <f>IF('1. Live'!BZ334='check-Jul''26'!BV334,"",'1. Live'!BZ334-'check-Jul''26'!BV334)</f>
        <v/>
      </c>
      <c r="BW316" s="25" t="str">
        <f>IF('1. Live'!CA334='check-Jul''26'!BW334,"",'1. Live'!CA334-'check-Jul''26'!BW334)</f>
        <v/>
      </c>
      <c r="BX316" s="25" t="str">
        <f>IF('1. Live'!CB334='check-Jul''26'!BX334,"",'1. Live'!CB334-'check-Jul''26'!BX334)</f>
        <v/>
      </c>
      <c r="BY316" s="25" t="str">
        <f>IF('1. Live'!CC334='check-Jul''26'!BY334,"",'1. Live'!CC334-'check-Jul''26'!BY334)</f>
        <v/>
      </c>
      <c r="BZ316" s="25" t="str">
        <f>IF('1. Live'!CD334='check-Jul''26'!BZ334,"",'1. Live'!CD334-'check-Jul''26'!BZ334)</f>
        <v/>
      </c>
      <c r="CA316" s="25" t="str">
        <f>IF('1. Live'!CE334='check-Jul''26'!CA334,"",'1. Live'!CE334-'check-Jul''26'!CA334)</f>
        <v/>
      </c>
      <c r="CB316" s="25" t="str">
        <f>IF('1. Live'!CF334='check-Jul''26'!CB334,"",'1. Live'!CF334-'check-Jul''26'!CB334)</f>
        <v/>
      </c>
      <c r="CC316" s="25" t="str">
        <f>IF('1. Live'!CG334='check-Jul''26'!CC334,"",'1. Live'!CG334-'check-Jul''26'!CC334)</f>
        <v/>
      </c>
      <c r="CD316" s="25" t="str">
        <f>IF('1. Live'!CH334='check-Jul''26'!CD334,"",'1. Live'!CH334-'check-Jul''26'!CD334)</f>
        <v/>
      </c>
      <c r="CE316" s="25" t="str">
        <f>IF('1. Live'!CI334='check-Jul''26'!CE334,"",'1. Live'!CI334-'check-Jul''26'!CE334)</f>
        <v/>
      </c>
      <c r="CF316" s="25" t="str">
        <f>IF('1. Live'!CJ334='check-Jul''26'!CF334,"",'1. Live'!CJ334-'check-Jul''26'!CF334)</f>
        <v/>
      </c>
      <c r="CG316" s="25" t="str">
        <f>IF('1. Live'!CK334='check-Jul''26'!CG334,"",'1. Live'!CK334-'check-Jul''26'!CG334)</f>
        <v/>
      </c>
      <c r="CH316" s="25" t="str">
        <f>IF('1. Live'!CL334='check-Jul''26'!CH334,"",'1. Live'!CL334-'check-Jul''26'!CH334)</f>
        <v/>
      </c>
      <c r="CI316" s="25" t="str">
        <f>IF('1. Live'!CM334='check-Jul''26'!CI334,"",'1. Live'!CM334-'check-Jul''26'!CI334)</f>
        <v/>
      </c>
      <c r="CJ316" s="25" t="str">
        <f>IF('1. Live'!CN334='check-Jul''26'!CJ334,"",'1. Live'!CN334-'check-Jul''26'!CJ334)</f>
        <v/>
      </c>
      <c r="CK316" s="25" t="str">
        <f>IF('1. Live'!CO334='check-Jul''26'!CK334,"",'1. Live'!CO334-'check-Jul''26'!CK334)</f>
        <v/>
      </c>
      <c r="CL316" s="25" t="str">
        <f>IF('1. Live'!CP334='check-Jul''26'!CL334,"",'1. Live'!CP334-'check-Jul''26'!CL334)</f>
        <v/>
      </c>
      <c r="CM316" s="25" t="str">
        <f>IF('1. Live'!CQ334='check-Jul''26'!CM334,"",'1. Live'!CQ334-'check-Jul''26'!CM334)</f>
        <v/>
      </c>
      <c r="CN316" s="25" t="str">
        <f>IF('1. Live'!CR334='check-Jul''26'!CN334,"",'1. Live'!CR334-'check-Jul''26'!CN334)</f>
        <v/>
      </c>
      <c r="CO316" s="25" t="str">
        <f>IF('1. Live'!CS334='check-Jul''26'!CO334,"",'1. Live'!CS334-'check-Jul''26'!CO334)</f>
        <v/>
      </c>
      <c r="CP316" s="25" t="str">
        <f>IF('1. Live'!CT334='check-Jul''26'!CP334,"",'1. Live'!CT334-'check-Jul''26'!CP334)</f>
        <v/>
      </c>
      <c r="CQ316" s="25" t="str">
        <f>IF('1. Live'!CU334='check-Jul''26'!CQ334,"",'1. Live'!CU334-'check-Jul''26'!CQ334)</f>
        <v/>
      </c>
      <c r="CR316" s="25" t="str">
        <f>IF('1. Live'!CV334='check-Jul''26'!CR334,"",'1. Live'!CV334-'check-Jul''26'!CR334)</f>
        <v/>
      </c>
      <c r="CS316" s="25" t="str">
        <f>IF('1. Live'!CW334='check-Jul''26'!CS334,"",'1. Live'!CW334-'check-Jul''26'!CS334)</f>
        <v/>
      </c>
      <c r="CT316" s="25" t="str">
        <f>IF('1. Live'!CX334='check-Jul''26'!CT334,"",'1. Live'!CX334-'check-Jul''26'!CT334)</f>
        <v/>
      </c>
      <c r="CU316" s="25" t="str">
        <f>IF('1. Live'!CY334='check-Jul''26'!CU334,"",'1. Live'!CY334-'check-Jul''26'!CU334)</f>
        <v/>
      </c>
      <c r="CV316" s="25" t="str">
        <f>IF('1. Live'!CZ334='check-Jul''26'!CV334,"",'1. Live'!CZ334-'check-Jul''26'!CV334)</f>
        <v/>
      </c>
    </row>
    <row r="317" spans="17:100" x14ac:dyDescent="0.25">
      <c r="Q317" s="26" t="str">
        <f>IF('1. Live'!N335='check-Jul''26'!I335,"",'1. Live'!N335-'check-Jul''26'!I335)</f>
        <v/>
      </c>
      <c r="R317" s="26" t="str">
        <f>IF('1. Live'!O335='check-Jul''26'!J335,"",'1. Live'!O335-'check-Jul''26'!J335)</f>
        <v/>
      </c>
      <c r="S317" s="26" t="str">
        <f>IF('1. Live'!P335='check-Jul''26'!K335,"",'1. Live'!P335-'check-Jul''26'!K335)</f>
        <v/>
      </c>
      <c r="T317" s="26" t="str">
        <f>IF('1. Live'!Q335='check-Jul''26'!L335,"",'1. Live'!Q335-'check-Jul''26'!L335)</f>
        <v/>
      </c>
      <c r="U317" s="80" t="str">
        <f>IF('1. Live'!R335='check-Jul''26'!M335,"",'1. Live'!R335-'check-Jul''26'!M335)</f>
        <v/>
      </c>
      <c r="V317" s="26" t="str">
        <f>IF('1. Live'!S335='check-Jul''26'!N335,"",'1. Live'!S335-'check-Jul''26'!N335)</f>
        <v/>
      </c>
      <c r="W317" s="25" t="str">
        <f>IF('1. Live'!T335='check-Jul''26'!O335,"",'1. Live'!T335-'check-Jul''26'!O335)</f>
        <v/>
      </c>
      <c r="X317" s="25" t="str">
        <f>IF('1. Live'!U335='check-Jul''26'!Q335,"",'1. Live'!U335-'check-Jul''26'!Q335)</f>
        <v/>
      </c>
      <c r="Y317" s="25" t="str">
        <f>IF('1. Live'!V335='check-Jul''26'!R335,"",'1. Live'!V335-'check-Jul''26'!R335)</f>
        <v/>
      </c>
      <c r="Z317" s="25" t="str">
        <f>IF('1. Live'!W335='check-Jul''26'!S335,"",'1. Live'!W335-'check-Jul''26'!S335)</f>
        <v/>
      </c>
      <c r="AA317" s="25" t="str">
        <f>IF('1. Live'!X335='check-Jul''26'!T335,"",'1. Live'!X335-'check-Jul''26'!T335)</f>
        <v/>
      </c>
      <c r="AB317" s="25" t="str">
        <f>IF('1. Live'!AF335='check-Jul''26'!AB335,"",'1. Live'!AF335-'check-Jul''26'!AB335)</f>
        <v/>
      </c>
      <c r="AC317" s="25" t="str">
        <f>IF('1. Live'!AG335='check-Jul''26'!AC335,"",'1. Live'!AG335-'check-Jul''26'!AC335)</f>
        <v/>
      </c>
      <c r="AD317" s="25" t="str">
        <f>IF('1. Live'!AH335='check-Jul''26'!AD335,"",'1. Live'!AH335-'check-Jul''26'!AD335)</f>
        <v/>
      </c>
      <c r="AE317" s="25" t="str">
        <f>IF('1. Live'!AI335='check-Jul''26'!AE335,"",'1. Live'!AI335-'check-Jul''26'!AE335)</f>
        <v/>
      </c>
      <c r="AF317" s="25" t="str">
        <f>IF('1. Live'!AJ335='check-Jul''26'!AF335,"",'1. Live'!AJ335-'check-Jul''26'!AF335)</f>
        <v/>
      </c>
      <c r="AG317" s="25" t="str">
        <f>IF('1. Live'!AK335='check-Jul''26'!AG335,"",'1. Live'!AK335-'check-Jul''26'!AG335)</f>
        <v/>
      </c>
      <c r="AH317" s="25" t="str">
        <f>IF('1. Live'!AL335='check-Jul''26'!AH335,"",'1. Live'!AL335-'check-Jul''26'!AH335)</f>
        <v/>
      </c>
      <c r="AI317" s="25" t="str">
        <f>IF('1. Live'!AM335='check-Jul''26'!AI335,"",'1. Live'!AM335-'check-Jul''26'!AI335)</f>
        <v/>
      </c>
      <c r="AJ317" s="25" t="str">
        <f>IF('1. Live'!AN335='check-Jul''26'!AJ335,"",'1. Live'!AN335-'check-Jul''26'!AJ335)</f>
        <v/>
      </c>
      <c r="AK317" s="25" t="str">
        <f>IF('1. Live'!AO335='check-Jul''26'!AK335,"",'1. Live'!AO335-'check-Jul''26'!AK335)</f>
        <v/>
      </c>
      <c r="AL317" s="25" t="str">
        <f>IF('1. Live'!AP335='check-Jul''26'!AL335,"",'1. Live'!AP335-'check-Jul''26'!AL335)</f>
        <v/>
      </c>
      <c r="AM317" s="25" t="str">
        <f>IF('1. Live'!AQ335='check-Jul''26'!AM335,"",'1. Live'!AQ335-'check-Jul''26'!AM335)</f>
        <v/>
      </c>
      <c r="AN317" s="25" t="str">
        <f>IF('1. Live'!AR335='check-Jul''26'!AN335,"",'1. Live'!AR335-'check-Jul''26'!AN335)</f>
        <v/>
      </c>
      <c r="AO317" s="25" t="str">
        <f>IF('1. Live'!AS335='check-Jul''26'!AO335,"",'1. Live'!AS335-'check-Jul''26'!AO335)</f>
        <v/>
      </c>
      <c r="AP317" s="25" t="str">
        <f>IF('1. Live'!AT335='check-Jul''26'!AP335,"",'1. Live'!AT335-'check-Jul''26'!AP335)</f>
        <v/>
      </c>
      <c r="AQ317" s="25" t="str">
        <f>IF('1. Live'!AU335='check-Jul''26'!AQ335,"",'1. Live'!AU335-'check-Jul''26'!AQ335)</f>
        <v/>
      </c>
      <c r="AR317" s="25" t="str">
        <f>IF('1. Live'!AV335='check-Jul''26'!AR335,"",'1. Live'!AV335-'check-Jul''26'!AR335)</f>
        <v/>
      </c>
      <c r="AS317" s="25" t="str">
        <f>IF('1. Live'!AW335='check-Jul''26'!AS335,"",'1. Live'!AW335-'check-Jul''26'!AS335)</f>
        <v/>
      </c>
      <c r="AT317" s="25" t="str">
        <f>IF('1. Live'!AX335='check-Jul''26'!AT335,"",'1. Live'!AX335-'check-Jul''26'!AT335)</f>
        <v/>
      </c>
      <c r="AU317" s="25" t="str">
        <f>IF('1. Live'!AY335='check-Jul''26'!AU335,"",'1. Live'!AY335-'check-Jul''26'!AU335)</f>
        <v/>
      </c>
      <c r="AV317" s="25" t="str">
        <f>IF('1. Live'!AZ335='check-Jul''26'!AV335,"",'1. Live'!AZ335-'check-Jul''26'!AV335)</f>
        <v/>
      </c>
      <c r="AW317" s="25" t="str">
        <f>IF('1. Live'!BA335='check-Jul''26'!AW335,"",'1. Live'!BA335-'check-Jul''26'!AW335)</f>
        <v/>
      </c>
      <c r="AX317" s="25" t="str">
        <f>IF('1. Live'!BB335='check-Jul''26'!AX335,"",'1. Live'!BB335-'check-Jul''26'!AX335)</f>
        <v/>
      </c>
      <c r="AY317" s="25" t="str">
        <f>IF('1. Live'!BC335='check-Jul''26'!AY335,"",'1. Live'!BC335-'check-Jul''26'!AY335)</f>
        <v/>
      </c>
      <c r="AZ317" s="25" t="str">
        <f>IF('1. Live'!BD335='check-Jul''26'!AZ335,"",'1. Live'!BD335-'check-Jul''26'!AZ335)</f>
        <v/>
      </c>
      <c r="BA317" s="25" t="str">
        <f>IF('1. Live'!BE335='check-Jul''26'!BA335,"",'1. Live'!BE335-'check-Jul''26'!BA335)</f>
        <v/>
      </c>
      <c r="BB317" s="25" t="str">
        <f>IF('1. Live'!BF335='check-Jul''26'!BB335,"",'1. Live'!BF335-'check-Jul''26'!BB335)</f>
        <v/>
      </c>
      <c r="BC317" s="25" t="str">
        <f>IF('1. Live'!BG335='check-Jul''26'!BC335,"",'1. Live'!BG335-'check-Jul''26'!BC335)</f>
        <v/>
      </c>
      <c r="BD317" s="25" t="str">
        <f>IF('1. Live'!BH335='check-Jul''26'!BD335,"",'1. Live'!BH335-'check-Jul''26'!BD335)</f>
        <v/>
      </c>
      <c r="BE317" s="25" t="str">
        <f>IF('1. Live'!BI335='check-Jul''26'!BE335,"",'1. Live'!BI335-'check-Jul''26'!BE335)</f>
        <v/>
      </c>
      <c r="BF317" s="25" t="str">
        <f>IF('1. Live'!BJ335='check-Jul''26'!BF335,"",'1. Live'!BJ335-'check-Jul''26'!BF335)</f>
        <v/>
      </c>
      <c r="BG317" s="25" t="str">
        <f>IF('1. Live'!BK335='check-Jul''26'!BG335,"",'1. Live'!BK335-'check-Jul''26'!BG335)</f>
        <v/>
      </c>
      <c r="BH317" s="25" t="str">
        <f>IF('1. Live'!BL335='check-Jul''26'!BH335,"",'1. Live'!BL335-'check-Jul''26'!BH335)</f>
        <v/>
      </c>
      <c r="BI317" s="25" t="str">
        <f>IF('1. Live'!BM335='check-Jul''26'!BI335,"",'1. Live'!BM335-'check-Jul''26'!BI335)</f>
        <v/>
      </c>
      <c r="BJ317" s="25" t="str">
        <f>IF('1. Live'!BN335='check-Jul''26'!BJ335,"",'1. Live'!BN335-'check-Jul''26'!BJ335)</f>
        <v/>
      </c>
      <c r="BK317" s="25" t="str">
        <f>IF('1. Live'!BO335='check-Jul''26'!BK335,"",'1. Live'!BO335-'check-Jul''26'!BK335)</f>
        <v/>
      </c>
      <c r="BL317" s="25" t="str">
        <f>IF('1. Live'!BP335='check-Jul''26'!BL335,"",'1. Live'!BP335-'check-Jul''26'!BL335)</f>
        <v/>
      </c>
      <c r="BM317" s="25" t="str">
        <f>IF('1. Live'!BQ335='check-Jul''26'!BM335,"",'1. Live'!BQ335-'check-Jul''26'!BM335)</f>
        <v/>
      </c>
      <c r="BN317" s="25" t="str">
        <f>IF('1. Live'!BR335='check-Jul''26'!BN335,"",'1. Live'!BR335-'check-Jul''26'!BN335)</f>
        <v/>
      </c>
      <c r="BO317" s="25" t="str">
        <f>IF('1. Live'!BS335='check-Jul''26'!BO335,"",'1. Live'!BS335-'check-Jul''26'!BO335)</f>
        <v/>
      </c>
      <c r="BP317" s="25" t="str">
        <f>IF('1. Live'!BT335='check-Jul''26'!BP335,"",'1. Live'!BT335-'check-Jul''26'!BP335)</f>
        <v/>
      </c>
      <c r="BQ317" s="25" t="str">
        <f>IF('1. Live'!BU335='check-Jul''26'!BQ335,"",'1. Live'!BU335-'check-Jul''26'!BQ335)</f>
        <v/>
      </c>
      <c r="BR317" s="25" t="str">
        <f>IF('1. Live'!BV335='check-Jul''26'!BR335,"",'1. Live'!BV335-'check-Jul''26'!BR335)</f>
        <v/>
      </c>
      <c r="BS317" s="25" t="str">
        <f>IF('1. Live'!BW335='check-Jul''26'!BS335,"",'1. Live'!BW335-'check-Jul''26'!BS335)</f>
        <v/>
      </c>
      <c r="BT317" s="25" t="str">
        <f>IF('1. Live'!BX335='check-Jul''26'!BT335,"",'1. Live'!BX335-'check-Jul''26'!BT335)</f>
        <v/>
      </c>
      <c r="BU317" s="25" t="str">
        <f>IF('1. Live'!BY335='check-Jul''26'!BU335,"",'1. Live'!BY335-'check-Jul''26'!BU335)</f>
        <v/>
      </c>
      <c r="BV317" s="25" t="str">
        <f>IF('1. Live'!BZ335='check-Jul''26'!BV335,"",'1. Live'!BZ335-'check-Jul''26'!BV335)</f>
        <v/>
      </c>
      <c r="BW317" s="25" t="str">
        <f>IF('1. Live'!CA335='check-Jul''26'!BW335,"",'1. Live'!CA335-'check-Jul''26'!BW335)</f>
        <v/>
      </c>
      <c r="BX317" s="25" t="str">
        <f>IF('1. Live'!CB335='check-Jul''26'!BX335,"",'1. Live'!CB335-'check-Jul''26'!BX335)</f>
        <v/>
      </c>
      <c r="BY317" s="25" t="str">
        <f>IF('1. Live'!CC335='check-Jul''26'!BY335,"",'1. Live'!CC335-'check-Jul''26'!BY335)</f>
        <v/>
      </c>
      <c r="BZ317" s="25" t="str">
        <f>IF('1. Live'!CD335='check-Jul''26'!BZ335,"",'1. Live'!CD335-'check-Jul''26'!BZ335)</f>
        <v/>
      </c>
      <c r="CA317" s="25" t="str">
        <f>IF('1. Live'!CE335='check-Jul''26'!CA335,"",'1. Live'!CE335-'check-Jul''26'!CA335)</f>
        <v/>
      </c>
      <c r="CB317" s="25" t="str">
        <f>IF('1. Live'!CF335='check-Jul''26'!CB335,"",'1. Live'!CF335-'check-Jul''26'!CB335)</f>
        <v/>
      </c>
      <c r="CC317" s="25" t="str">
        <f>IF('1. Live'!CG335='check-Jul''26'!CC335,"",'1. Live'!CG335-'check-Jul''26'!CC335)</f>
        <v/>
      </c>
      <c r="CD317" s="25" t="str">
        <f>IF('1. Live'!CH335='check-Jul''26'!CD335,"",'1. Live'!CH335-'check-Jul''26'!CD335)</f>
        <v/>
      </c>
      <c r="CE317" s="25" t="str">
        <f>IF('1. Live'!CI335='check-Jul''26'!CE335,"",'1. Live'!CI335-'check-Jul''26'!CE335)</f>
        <v/>
      </c>
      <c r="CF317" s="25" t="str">
        <f>IF('1. Live'!CJ335='check-Jul''26'!CF335,"",'1. Live'!CJ335-'check-Jul''26'!CF335)</f>
        <v/>
      </c>
      <c r="CG317" s="25" t="str">
        <f>IF('1. Live'!CK335='check-Jul''26'!CG335,"",'1. Live'!CK335-'check-Jul''26'!CG335)</f>
        <v/>
      </c>
      <c r="CH317" s="25" t="str">
        <f>IF('1. Live'!CL335='check-Jul''26'!CH335,"",'1. Live'!CL335-'check-Jul''26'!CH335)</f>
        <v/>
      </c>
      <c r="CI317" s="25" t="str">
        <f>IF('1. Live'!CM335='check-Jul''26'!CI335,"",'1. Live'!CM335-'check-Jul''26'!CI335)</f>
        <v/>
      </c>
      <c r="CJ317" s="25" t="str">
        <f>IF('1. Live'!CN335='check-Jul''26'!CJ335,"",'1. Live'!CN335-'check-Jul''26'!CJ335)</f>
        <v/>
      </c>
      <c r="CK317" s="25" t="str">
        <f>IF('1. Live'!CO335='check-Jul''26'!CK335,"",'1. Live'!CO335-'check-Jul''26'!CK335)</f>
        <v/>
      </c>
      <c r="CL317" s="25" t="str">
        <f>IF('1. Live'!CP335='check-Jul''26'!CL335,"",'1. Live'!CP335-'check-Jul''26'!CL335)</f>
        <v/>
      </c>
      <c r="CM317" s="25" t="str">
        <f>IF('1. Live'!CQ335='check-Jul''26'!CM335,"",'1. Live'!CQ335-'check-Jul''26'!CM335)</f>
        <v/>
      </c>
      <c r="CN317" s="25" t="str">
        <f>IF('1. Live'!CR335='check-Jul''26'!CN335,"",'1. Live'!CR335-'check-Jul''26'!CN335)</f>
        <v/>
      </c>
      <c r="CO317" s="25" t="str">
        <f>IF('1. Live'!CS335='check-Jul''26'!CO335,"",'1. Live'!CS335-'check-Jul''26'!CO335)</f>
        <v/>
      </c>
      <c r="CP317" s="25" t="str">
        <f>IF('1. Live'!CT335='check-Jul''26'!CP335,"",'1. Live'!CT335-'check-Jul''26'!CP335)</f>
        <v/>
      </c>
      <c r="CQ317" s="25" t="str">
        <f>IF('1. Live'!CU335='check-Jul''26'!CQ335,"",'1. Live'!CU335-'check-Jul''26'!CQ335)</f>
        <v/>
      </c>
      <c r="CR317" s="25" t="str">
        <f>IF('1. Live'!CV335='check-Jul''26'!CR335,"",'1. Live'!CV335-'check-Jul''26'!CR335)</f>
        <v/>
      </c>
      <c r="CS317" s="25" t="str">
        <f>IF('1. Live'!CW335='check-Jul''26'!CS335,"",'1. Live'!CW335-'check-Jul''26'!CS335)</f>
        <v/>
      </c>
      <c r="CT317" s="25" t="str">
        <f>IF('1. Live'!CX335='check-Jul''26'!CT335,"",'1. Live'!CX335-'check-Jul''26'!CT335)</f>
        <v/>
      </c>
      <c r="CU317" s="25" t="str">
        <f>IF('1. Live'!CY335='check-Jul''26'!CU335,"",'1. Live'!CY335-'check-Jul''26'!CU335)</f>
        <v/>
      </c>
      <c r="CV317" s="25" t="str">
        <f>IF('1. Live'!CZ335='check-Jul''26'!CV335,"",'1. Live'!CZ335-'check-Jul''26'!CV335)</f>
        <v/>
      </c>
    </row>
    <row r="318" spans="17:100" x14ac:dyDescent="0.25">
      <c r="Q318" s="26" t="str">
        <f>IF('1. Live'!N336='check-Jul''26'!I336,"",'1. Live'!N336-'check-Jul''26'!I336)</f>
        <v/>
      </c>
      <c r="R318" s="26" t="str">
        <f>IF('1. Live'!O336='check-Jul''26'!J336,"",'1. Live'!O336-'check-Jul''26'!J336)</f>
        <v/>
      </c>
      <c r="S318" s="26" t="str">
        <f>IF('1. Live'!P336='check-Jul''26'!K336,"",'1. Live'!P336-'check-Jul''26'!K336)</f>
        <v/>
      </c>
      <c r="T318" s="26" t="str">
        <f>IF('1. Live'!Q336='check-Jul''26'!L336,"",'1. Live'!Q336-'check-Jul''26'!L336)</f>
        <v/>
      </c>
      <c r="U318" s="80" t="str">
        <f>IF('1. Live'!R336='check-Jul''26'!M336,"",'1. Live'!R336-'check-Jul''26'!M336)</f>
        <v/>
      </c>
      <c r="V318" s="26" t="str">
        <f>IF('1. Live'!S336='check-Jul''26'!N336,"",'1. Live'!S336-'check-Jul''26'!N336)</f>
        <v/>
      </c>
      <c r="W318" s="25" t="str">
        <f>IF('1. Live'!T336='check-Jul''26'!O336,"",'1. Live'!T336-'check-Jul''26'!O336)</f>
        <v/>
      </c>
      <c r="X318" s="25" t="str">
        <f>IF('1. Live'!U336='check-Jul''26'!Q336,"",'1. Live'!U336-'check-Jul''26'!Q336)</f>
        <v/>
      </c>
      <c r="Y318" s="25" t="str">
        <f>IF('1. Live'!V336='check-Jul''26'!R336,"",'1. Live'!V336-'check-Jul''26'!R336)</f>
        <v/>
      </c>
      <c r="Z318" s="25" t="str">
        <f>IF('1. Live'!W336='check-Jul''26'!S336,"",'1. Live'!W336-'check-Jul''26'!S336)</f>
        <v/>
      </c>
      <c r="AA318" s="25" t="str">
        <f>IF('1. Live'!X336='check-Jul''26'!T336,"",'1. Live'!X336-'check-Jul''26'!T336)</f>
        <v/>
      </c>
      <c r="AB318" s="25" t="str">
        <f>IF('1. Live'!AF336='check-Jul''26'!AB336,"",'1. Live'!AF336-'check-Jul''26'!AB336)</f>
        <v/>
      </c>
      <c r="AC318" s="25" t="str">
        <f>IF('1. Live'!AG336='check-Jul''26'!AC336,"",'1. Live'!AG336-'check-Jul''26'!AC336)</f>
        <v/>
      </c>
      <c r="AD318" s="25" t="str">
        <f>IF('1. Live'!AH336='check-Jul''26'!AD336,"",'1. Live'!AH336-'check-Jul''26'!AD336)</f>
        <v/>
      </c>
      <c r="AE318" s="25" t="str">
        <f>IF('1. Live'!AI336='check-Jul''26'!AE336,"",'1. Live'!AI336-'check-Jul''26'!AE336)</f>
        <v/>
      </c>
      <c r="AF318" s="25" t="str">
        <f>IF('1. Live'!AJ336='check-Jul''26'!AF336,"",'1. Live'!AJ336-'check-Jul''26'!AF336)</f>
        <v/>
      </c>
      <c r="AG318" s="25" t="str">
        <f>IF('1. Live'!AK336='check-Jul''26'!AG336,"",'1. Live'!AK336-'check-Jul''26'!AG336)</f>
        <v/>
      </c>
      <c r="AH318" s="25" t="str">
        <f>IF('1. Live'!AL336='check-Jul''26'!AH336,"",'1. Live'!AL336-'check-Jul''26'!AH336)</f>
        <v/>
      </c>
      <c r="AI318" s="25" t="str">
        <f>IF('1. Live'!AM336='check-Jul''26'!AI336,"",'1. Live'!AM336-'check-Jul''26'!AI336)</f>
        <v/>
      </c>
      <c r="AJ318" s="25" t="str">
        <f>IF('1. Live'!AN336='check-Jul''26'!AJ336,"",'1. Live'!AN336-'check-Jul''26'!AJ336)</f>
        <v/>
      </c>
      <c r="AK318" s="25" t="str">
        <f>IF('1. Live'!AO336='check-Jul''26'!AK336,"",'1. Live'!AO336-'check-Jul''26'!AK336)</f>
        <v/>
      </c>
      <c r="AL318" s="25" t="str">
        <f>IF('1. Live'!AP336='check-Jul''26'!AL336,"",'1. Live'!AP336-'check-Jul''26'!AL336)</f>
        <v/>
      </c>
      <c r="AM318" s="25" t="str">
        <f>IF('1. Live'!AQ336='check-Jul''26'!AM336,"",'1. Live'!AQ336-'check-Jul''26'!AM336)</f>
        <v/>
      </c>
      <c r="AN318" s="25" t="str">
        <f>IF('1. Live'!AR336='check-Jul''26'!AN336,"",'1. Live'!AR336-'check-Jul''26'!AN336)</f>
        <v/>
      </c>
      <c r="AO318" s="25" t="str">
        <f>IF('1. Live'!AS336='check-Jul''26'!AO336,"",'1. Live'!AS336-'check-Jul''26'!AO336)</f>
        <v/>
      </c>
      <c r="AP318" s="25" t="str">
        <f>IF('1. Live'!AT336='check-Jul''26'!AP336,"",'1. Live'!AT336-'check-Jul''26'!AP336)</f>
        <v/>
      </c>
      <c r="AQ318" s="25" t="str">
        <f>IF('1. Live'!AU336='check-Jul''26'!AQ336,"",'1. Live'!AU336-'check-Jul''26'!AQ336)</f>
        <v/>
      </c>
      <c r="AR318" s="25" t="str">
        <f>IF('1. Live'!AV336='check-Jul''26'!AR336,"",'1. Live'!AV336-'check-Jul''26'!AR336)</f>
        <v/>
      </c>
      <c r="AS318" s="25" t="str">
        <f>IF('1. Live'!AW336='check-Jul''26'!AS336,"",'1. Live'!AW336-'check-Jul''26'!AS336)</f>
        <v/>
      </c>
      <c r="AT318" s="25" t="str">
        <f>IF('1. Live'!AX336='check-Jul''26'!AT336,"",'1. Live'!AX336-'check-Jul''26'!AT336)</f>
        <v/>
      </c>
      <c r="AU318" s="25" t="str">
        <f>IF('1. Live'!AY336='check-Jul''26'!AU336,"",'1. Live'!AY336-'check-Jul''26'!AU336)</f>
        <v/>
      </c>
      <c r="AV318" s="25" t="str">
        <f>IF('1. Live'!AZ336='check-Jul''26'!AV336,"",'1. Live'!AZ336-'check-Jul''26'!AV336)</f>
        <v/>
      </c>
      <c r="AW318" s="25" t="str">
        <f>IF('1. Live'!BA336='check-Jul''26'!AW336,"",'1. Live'!BA336-'check-Jul''26'!AW336)</f>
        <v/>
      </c>
      <c r="AX318" s="25" t="str">
        <f>IF('1. Live'!BB336='check-Jul''26'!AX336,"",'1. Live'!BB336-'check-Jul''26'!AX336)</f>
        <v/>
      </c>
      <c r="AY318" s="25" t="str">
        <f>IF('1. Live'!BC336='check-Jul''26'!AY336,"",'1. Live'!BC336-'check-Jul''26'!AY336)</f>
        <v/>
      </c>
      <c r="AZ318" s="25" t="str">
        <f>IF('1. Live'!BD336='check-Jul''26'!AZ336,"",'1. Live'!BD336-'check-Jul''26'!AZ336)</f>
        <v/>
      </c>
      <c r="BA318" s="25" t="str">
        <f>IF('1. Live'!BE336='check-Jul''26'!BA336,"",'1. Live'!BE336-'check-Jul''26'!BA336)</f>
        <v/>
      </c>
      <c r="BB318" s="25" t="str">
        <f>IF('1. Live'!BF336='check-Jul''26'!BB336,"",'1. Live'!BF336-'check-Jul''26'!BB336)</f>
        <v/>
      </c>
      <c r="BC318" s="25" t="str">
        <f>IF('1. Live'!BG336='check-Jul''26'!BC336,"",'1. Live'!BG336-'check-Jul''26'!BC336)</f>
        <v/>
      </c>
      <c r="BD318" s="25" t="str">
        <f>IF('1. Live'!BH336='check-Jul''26'!BD336,"",'1. Live'!BH336-'check-Jul''26'!BD336)</f>
        <v/>
      </c>
      <c r="BE318" s="25" t="str">
        <f>IF('1. Live'!BI336='check-Jul''26'!BE336,"",'1. Live'!BI336-'check-Jul''26'!BE336)</f>
        <v/>
      </c>
      <c r="BF318" s="25" t="str">
        <f>IF('1. Live'!BJ336='check-Jul''26'!BF336,"",'1. Live'!BJ336-'check-Jul''26'!BF336)</f>
        <v/>
      </c>
      <c r="BG318" s="25" t="str">
        <f>IF('1. Live'!BK336='check-Jul''26'!BG336,"",'1. Live'!BK336-'check-Jul''26'!BG336)</f>
        <v/>
      </c>
      <c r="BH318" s="25" t="str">
        <f>IF('1. Live'!BL336='check-Jul''26'!BH336,"",'1. Live'!BL336-'check-Jul''26'!BH336)</f>
        <v/>
      </c>
      <c r="BI318" s="25" t="str">
        <f>IF('1. Live'!BM336='check-Jul''26'!BI336,"",'1. Live'!BM336-'check-Jul''26'!BI336)</f>
        <v/>
      </c>
      <c r="BJ318" s="25" t="str">
        <f>IF('1. Live'!BN336='check-Jul''26'!BJ336,"",'1. Live'!BN336-'check-Jul''26'!BJ336)</f>
        <v/>
      </c>
      <c r="BK318" s="25" t="str">
        <f>IF('1. Live'!BO336='check-Jul''26'!BK336,"",'1. Live'!BO336-'check-Jul''26'!BK336)</f>
        <v/>
      </c>
      <c r="BL318" s="25" t="str">
        <f>IF('1. Live'!BP336='check-Jul''26'!BL336,"",'1. Live'!BP336-'check-Jul''26'!BL336)</f>
        <v/>
      </c>
      <c r="BM318" s="25" t="str">
        <f>IF('1. Live'!BQ336='check-Jul''26'!BM336,"",'1. Live'!BQ336-'check-Jul''26'!BM336)</f>
        <v/>
      </c>
      <c r="BN318" s="25" t="str">
        <f>IF('1. Live'!BR336='check-Jul''26'!BN336,"",'1. Live'!BR336-'check-Jul''26'!BN336)</f>
        <v/>
      </c>
      <c r="BO318" s="25" t="str">
        <f>IF('1. Live'!BS336='check-Jul''26'!BO336,"",'1. Live'!BS336-'check-Jul''26'!BO336)</f>
        <v/>
      </c>
      <c r="BP318" s="25" t="str">
        <f>IF('1. Live'!BT336='check-Jul''26'!BP336,"",'1. Live'!BT336-'check-Jul''26'!BP336)</f>
        <v/>
      </c>
      <c r="BQ318" s="25" t="str">
        <f>IF('1. Live'!BU336='check-Jul''26'!BQ336,"",'1. Live'!BU336-'check-Jul''26'!BQ336)</f>
        <v/>
      </c>
      <c r="BR318" s="25" t="str">
        <f>IF('1. Live'!BV336='check-Jul''26'!BR336,"",'1. Live'!BV336-'check-Jul''26'!BR336)</f>
        <v/>
      </c>
      <c r="BS318" s="25" t="str">
        <f>IF('1. Live'!BW336='check-Jul''26'!BS336,"",'1. Live'!BW336-'check-Jul''26'!BS336)</f>
        <v/>
      </c>
      <c r="BT318" s="25" t="str">
        <f>IF('1. Live'!BX336='check-Jul''26'!BT336,"",'1. Live'!BX336-'check-Jul''26'!BT336)</f>
        <v/>
      </c>
      <c r="BU318" s="25" t="str">
        <f>IF('1. Live'!BY336='check-Jul''26'!BU336,"",'1. Live'!BY336-'check-Jul''26'!BU336)</f>
        <v/>
      </c>
      <c r="BV318" s="25" t="str">
        <f>IF('1. Live'!BZ336='check-Jul''26'!BV336,"",'1. Live'!BZ336-'check-Jul''26'!BV336)</f>
        <v/>
      </c>
      <c r="BW318" s="25" t="str">
        <f>IF('1. Live'!CA336='check-Jul''26'!BW336,"",'1. Live'!CA336-'check-Jul''26'!BW336)</f>
        <v/>
      </c>
      <c r="BX318" s="25" t="str">
        <f>IF('1. Live'!CB336='check-Jul''26'!BX336,"",'1. Live'!CB336-'check-Jul''26'!BX336)</f>
        <v/>
      </c>
      <c r="BY318" s="25" t="str">
        <f>IF('1. Live'!CC336='check-Jul''26'!BY336,"",'1. Live'!CC336-'check-Jul''26'!BY336)</f>
        <v/>
      </c>
      <c r="BZ318" s="25" t="str">
        <f>IF('1. Live'!CD336='check-Jul''26'!BZ336,"",'1. Live'!CD336-'check-Jul''26'!BZ336)</f>
        <v/>
      </c>
      <c r="CA318" s="25" t="str">
        <f>IF('1. Live'!CE336='check-Jul''26'!CA336,"",'1. Live'!CE336-'check-Jul''26'!CA336)</f>
        <v/>
      </c>
      <c r="CB318" s="25" t="str">
        <f>IF('1. Live'!CF336='check-Jul''26'!CB336,"",'1. Live'!CF336-'check-Jul''26'!CB336)</f>
        <v/>
      </c>
      <c r="CC318" s="25" t="str">
        <f>IF('1. Live'!CG336='check-Jul''26'!CC336,"",'1. Live'!CG336-'check-Jul''26'!CC336)</f>
        <v/>
      </c>
      <c r="CD318" s="25" t="str">
        <f>IF('1. Live'!CH336='check-Jul''26'!CD336,"",'1. Live'!CH336-'check-Jul''26'!CD336)</f>
        <v/>
      </c>
      <c r="CE318" s="25" t="str">
        <f>IF('1. Live'!CI336='check-Jul''26'!CE336,"",'1. Live'!CI336-'check-Jul''26'!CE336)</f>
        <v/>
      </c>
      <c r="CF318" s="25" t="str">
        <f>IF('1. Live'!CJ336='check-Jul''26'!CF336,"",'1. Live'!CJ336-'check-Jul''26'!CF336)</f>
        <v/>
      </c>
      <c r="CG318" s="25" t="str">
        <f>IF('1. Live'!CK336='check-Jul''26'!CG336,"",'1. Live'!CK336-'check-Jul''26'!CG336)</f>
        <v/>
      </c>
      <c r="CH318" s="25" t="str">
        <f>IF('1. Live'!CL336='check-Jul''26'!CH336,"",'1. Live'!CL336-'check-Jul''26'!CH336)</f>
        <v/>
      </c>
      <c r="CI318" s="25" t="str">
        <f>IF('1. Live'!CM336='check-Jul''26'!CI336,"",'1. Live'!CM336-'check-Jul''26'!CI336)</f>
        <v/>
      </c>
      <c r="CJ318" s="25" t="str">
        <f>IF('1. Live'!CN336='check-Jul''26'!CJ336,"",'1. Live'!CN336-'check-Jul''26'!CJ336)</f>
        <v/>
      </c>
      <c r="CK318" s="25" t="str">
        <f>IF('1. Live'!CO336='check-Jul''26'!CK336,"",'1. Live'!CO336-'check-Jul''26'!CK336)</f>
        <v/>
      </c>
      <c r="CL318" s="25" t="str">
        <f>IF('1. Live'!CP336='check-Jul''26'!CL336,"",'1. Live'!CP336-'check-Jul''26'!CL336)</f>
        <v/>
      </c>
      <c r="CM318" s="25" t="str">
        <f>IF('1. Live'!CQ336='check-Jul''26'!CM336,"",'1. Live'!CQ336-'check-Jul''26'!CM336)</f>
        <v/>
      </c>
      <c r="CN318" s="25" t="str">
        <f>IF('1. Live'!CR336='check-Jul''26'!CN336,"",'1. Live'!CR336-'check-Jul''26'!CN336)</f>
        <v/>
      </c>
      <c r="CO318" s="25" t="str">
        <f>IF('1. Live'!CS336='check-Jul''26'!CO336,"",'1. Live'!CS336-'check-Jul''26'!CO336)</f>
        <v/>
      </c>
      <c r="CP318" s="25" t="str">
        <f>IF('1. Live'!CT336='check-Jul''26'!CP336,"",'1. Live'!CT336-'check-Jul''26'!CP336)</f>
        <v/>
      </c>
      <c r="CQ318" s="25" t="str">
        <f>IF('1. Live'!CU336='check-Jul''26'!CQ336,"",'1. Live'!CU336-'check-Jul''26'!CQ336)</f>
        <v/>
      </c>
      <c r="CR318" s="25" t="str">
        <f>IF('1. Live'!CV336='check-Jul''26'!CR336,"",'1. Live'!CV336-'check-Jul''26'!CR336)</f>
        <v/>
      </c>
      <c r="CS318" s="25" t="str">
        <f>IF('1. Live'!CW336='check-Jul''26'!CS336,"",'1. Live'!CW336-'check-Jul''26'!CS336)</f>
        <v/>
      </c>
      <c r="CT318" s="25" t="str">
        <f>IF('1. Live'!CX336='check-Jul''26'!CT336,"",'1. Live'!CX336-'check-Jul''26'!CT336)</f>
        <v/>
      </c>
      <c r="CU318" s="25" t="str">
        <f>IF('1. Live'!CY336='check-Jul''26'!CU336,"",'1. Live'!CY336-'check-Jul''26'!CU336)</f>
        <v/>
      </c>
      <c r="CV318" s="25" t="str">
        <f>IF('1. Live'!CZ336='check-Jul''26'!CV336,"",'1. Live'!CZ336-'check-Jul''26'!CV336)</f>
        <v/>
      </c>
    </row>
    <row r="319" spans="17:100" x14ac:dyDescent="0.25">
      <c r="Q319" s="26" t="str">
        <f>IF('1. Live'!N337='check-Jul''26'!I337,"",'1. Live'!N337-'check-Jul''26'!I337)</f>
        <v/>
      </c>
      <c r="R319" s="26" t="str">
        <f>IF('1. Live'!O337='check-Jul''26'!J337,"",'1. Live'!O337-'check-Jul''26'!J337)</f>
        <v/>
      </c>
      <c r="S319" s="26" t="str">
        <f>IF('1. Live'!P337='check-Jul''26'!K337,"",'1. Live'!P337-'check-Jul''26'!K337)</f>
        <v/>
      </c>
      <c r="T319" s="26" t="str">
        <f>IF('1. Live'!Q337='check-Jul''26'!L337,"",'1. Live'!Q337-'check-Jul''26'!L337)</f>
        <v/>
      </c>
      <c r="U319" s="80" t="str">
        <f>IF('1. Live'!R337='check-Jul''26'!M337,"",'1. Live'!R337-'check-Jul''26'!M337)</f>
        <v/>
      </c>
      <c r="V319" s="26" t="str">
        <f>IF('1. Live'!S337='check-Jul''26'!N337,"",'1. Live'!S337-'check-Jul''26'!N337)</f>
        <v/>
      </c>
      <c r="W319" s="25" t="str">
        <f>IF('1. Live'!T337='check-Jul''26'!O337,"",'1. Live'!T337-'check-Jul''26'!O337)</f>
        <v/>
      </c>
      <c r="X319" s="25" t="str">
        <f>IF('1. Live'!U337='check-Jul''26'!Q337,"",'1. Live'!U337-'check-Jul''26'!Q337)</f>
        <v/>
      </c>
      <c r="Y319" s="25" t="str">
        <f>IF('1. Live'!V337='check-Jul''26'!R337,"",'1. Live'!V337-'check-Jul''26'!R337)</f>
        <v/>
      </c>
      <c r="Z319" s="25" t="str">
        <f>IF('1. Live'!W337='check-Jul''26'!S337,"",'1. Live'!W337-'check-Jul''26'!S337)</f>
        <v/>
      </c>
      <c r="AA319" s="25" t="str">
        <f>IF('1. Live'!X337='check-Jul''26'!T337,"",'1. Live'!X337-'check-Jul''26'!T337)</f>
        <v/>
      </c>
      <c r="AB319" s="25" t="str">
        <f>IF('1. Live'!AF337='check-Jul''26'!AB337,"",'1. Live'!AF337-'check-Jul''26'!AB337)</f>
        <v/>
      </c>
      <c r="AC319" s="25" t="str">
        <f>IF('1. Live'!AG337='check-Jul''26'!AC337,"",'1. Live'!AG337-'check-Jul''26'!AC337)</f>
        <v/>
      </c>
      <c r="AD319" s="25" t="str">
        <f>IF('1. Live'!AH337='check-Jul''26'!AD337,"",'1. Live'!AH337-'check-Jul''26'!AD337)</f>
        <v/>
      </c>
      <c r="AE319" s="25" t="str">
        <f>IF('1. Live'!AI337='check-Jul''26'!AE337,"",'1. Live'!AI337-'check-Jul''26'!AE337)</f>
        <v/>
      </c>
      <c r="AF319" s="25" t="str">
        <f>IF('1. Live'!AJ337='check-Jul''26'!AF337,"",'1. Live'!AJ337-'check-Jul''26'!AF337)</f>
        <v/>
      </c>
      <c r="AG319" s="25" t="str">
        <f>IF('1. Live'!AK337='check-Jul''26'!AG337,"",'1. Live'!AK337-'check-Jul''26'!AG337)</f>
        <v/>
      </c>
      <c r="AH319" s="25" t="str">
        <f>IF('1. Live'!AL337='check-Jul''26'!AH337,"",'1. Live'!AL337-'check-Jul''26'!AH337)</f>
        <v/>
      </c>
      <c r="AI319" s="25" t="str">
        <f>IF('1. Live'!AM337='check-Jul''26'!AI337,"",'1. Live'!AM337-'check-Jul''26'!AI337)</f>
        <v/>
      </c>
      <c r="AJ319" s="25" t="str">
        <f>IF('1. Live'!AN337='check-Jul''26'!AJ337,"",'1. Live'!AN337-'check-Jul''26'!AJ337)</f>
        <v/>
      </c>
      <c r="AK319" s="25" t="str">
        <f>IF('1. Live'!AO337='check-Jul''26'!AK337,"",'1. Live'!AO337-'check-Jul''26'!AK337)</f>
        <v/>
      </c>
      <c r="AL319" s="25" t="str">
        <f>IF('1. Live'!AP337='check-Jul''26'!AL337,"",'1. Live'!AP337-'check-Jul''26'!AL337)</f>
        <v/>
      </c>
      <c r="AM319" s="25" t="str">
        <f>IF('1. Live'!AQ337='check-Jul''26'!AM337,"",'1. Live'!AQ337-'check-Jul''26'!AM337)</f>
        <v/>
      </c>
      <c r="AN319" s="25" t="str">
        <f>IF('1. Live'!AR337='check-Jul''26'!AN337,"",'1. Live'!AR337-'check-Jul''26'!AN337)</f>
        <v/>
      </c>
      <c r="AO319" s="25" t="str">
        <f>IF('1. Live'!AS337='check-Jul''26'!AO337,"",'1. Live'!AS337-'check-Jul''26'!AO337)</f>
        <v/>
      </c>
      <c r="AP319" s="25" t="str">
        <f>IF('1. Live'!AT337='check-Jul''26'!AP337,"",'1. Live'!AT337-'check-Jul''26'!AP337)</f>
        <v/>
      </c>
      <c r="AQ319" s="25" t="str">
        <f>IF('1. Live'!AU337='check-Jul''26'!AQ337,"",'1. Live'!AU337-'check-Jul''26'!AQ337)</f>
        <v/>
      </c>
      <c r="AR319" s="25" t="str">
        <f>IF('1. Live'!AV337='check-Jul''26'!AR337,"",'1. Live'!AV337-'check-Jul''26'!AR337)</f>
        <v/>
      </c>
      <c r="AS319" s="25" t="str">
        <f>IF('1. Live'!AW337='check-Jul''26'!AS337,"",'1. Live'!AW337-'check-Jul''26'!AS337)</f>
        <v/>
      </c>
      <c r="AT319" s="25" t="str">
        <f>IF('1. Live'!AX337='check-Jul''26'!AT337,"",'1. Live'!AX337-'check-Jul''26'!AT337)</f>
        <v/>
      </c>
      <c r="AU319" s="25" t="str">
        <f>IF('1. Live'!AY337='check-Jul''26'!AU337,"",'1. Live'!AY337-'check-Jul''26'!AU337)</f>
        <v/>
      </c>
      <c r="AV319" s="25" t="str">
        <f>IF('1. Live'!AZ337='check-Jul''26'!AV337,"",'1. Live'!AZ337-'check-Jul''26'!AV337)</f>
        <v/>
      </c>
      <c r="AW319" s="25" t="str">
        <f>IF('1. Live'!BA337='check-Jul''26'!AW337,"",'1. Live'!BA337-'check-Jul''26'!AW337)</f>
        <v/>
      </c>
      <c r="AX319" s="25" t="str">
        <f>IF('1. Live'!BB337='check-Jul''26'!AX337,"",'1. Live'!BB337-'check-Jul''26'!AX337)</f>
        <v/>
      </c>
      <c r="AY319" s="25" t="str">
        <f>IF('1. Live'!BC337='check-Jul''26'!AY337,"",'1. Live'!BC337-'check-Jul''26'!AY337)</f>
        <v/>
      </c>
      <c r="AZ319" s="25" t="str">
        <f>IF('1. Live'!BD337='check-Jul''26'!AZ337,"",'1. Live'!BD337-'check-Jul''26'!AZ337)</f>
        <v/>
      </c>
      <c r="BA319" s="25" t="str">
        <f>IF('1. Live'!BE337='check-Jul''26'!BA337,"",'1. Live'!BE337-'check-Jul''26'!BA337)</f>
        <v/>
      </c>
      <c r="BB319" s="25" t="str">
        <f>IF('1. Live'!BF337='check-Jul''26'!BB337,"",'1. Live'!BF337-'check-Jul''26'!BB337)</f>
        <v/>
      </c>
      <c r="BC319" s="25" t="str">
        <f>IF('1. Live'!BG337='check-Jul''26'!BC337,"",'1. Live'!BG337-'check-Jul''26'!BC337)</f>
        <v/>
      </c>
      <c r="BD319" s="25" t="str">
        <f>IF('1. Live'!BH337='check-Jul''26'!BD337,"",'1. Live'!BH337-'check-Jul''26'!BD337)</f>
        <v/>
      </c>
      <c r="BE319" s="25" t="str">
        <f>IF('1. Live'!BI337='check-Jul''26'!BE337,"",'1. Live'!BI337-'check-Jul''26'!BE337)</f>
        <v/>
      </c>
      <c r="BF319" s="25" t="str">
        <f>IF('1. Live'!BJ337='check-Jul''26'!BF337,"",'1. Live'!BJ337-'check-Jul''26'!BF337)</f>
        <v/>
      </c>
      <c r="BG319" s="25" t="str">
        <f>IF('1. Live'!BK337='check-Jul''26'!BG337,"",'1. Live'!BK337-'check-Jul''26'!BG337)</f>
        <v/>
      </c>
      <c r="BH319" s="25" t="str">
        <f>IF('1. Live'!BL337='check-Jul''26'!BH337,"",'1. Live'!BL337-'check-Jul''26'!BH337)</f>
        <v/>
      </c>
      <c r="BI319" s="25" t="str">
        <f>IF('1. Live'!BM337='check-Jul''26'!BI337,"",'1. Live'!BM337-'check-Jul''26'!BI337)</f>
        <v/>
      </c>
      <c r="BJ319" s="25" t="str">
        <f>IF('1. Live'!BN337='check-Jul''26'!BJ337,"",'1. Live'!BN337-'check-Jul''26'!BJ337)</f>
        <v/>
      </c>
      <c r="BK319" s="25" t="str">
        <f>IF('1. Live'!BO337='check-Jul''26'!BK337,"",'1. Live'!BO337-'check-Jul''26'!BK337)</f>
        <v/>
      </c>
      <c r="BL319" s="25" t="str">
        <f>IF('1. Live'!BP337='check-Jul''26'!BL337,"",'1. Live'!BP337-'check-Jul''26'!BL337)</f>
        <v/>
      </c>
      <c r="BM319" s="25" t="str">
        <f>IF('1. Live'!BQ337='check-Jul''26'!BM337,"",'1. Live'!BQ337-'check-Jul''26'!BM337)</f>
        <v/>
      </c>
      <c r="BN319" s="25" t="str">
        <f>IF('1. Live'!BR337='check-Jul''26'!BN337,"",'1. Live'!BR337-'check-Jul''26'!BN337)</f>
        <v/>
      </c>
      <c r="BO319" s="25" t="str">
        <f>IF('1. Live'!BS337='check-Jul''26'!BO337,"",'1. Live'!BS337-'check-Jul''26'!BO337)</f>
        <v/>
      </c>
      <c r="BP319" s="25" t="str">
        <f>IF('1. Live'!BT337='check-Jul''26'!BP337,"",'1. Live'!BT337-'check-Jul''26'!BP337)</f>
        <v/>
      </c>
      <c r="BQ319" s="25" t="str">
        <f>IF('1. Live'!BU337='check-Jul''26'!BQ337,"",'1. Live'!BU337-'check-Jul''26'!BQ337)</f>
        <v/>
      </c>
      <c r="BR319" s="25" t="str">
        <f>IF('1. Live'!BV337='check-Jul''26'!BR337,"",'1. Live'!BV337-'check-Jul''26'!BR337)</f>
        <v/>
      </c>
      <c r="BS319" s="25" t="str">
        <f>IF('1. Live'!BW337='check-Jul''26'!BS337,"",'1. Live'!BW337-'check-Jul''26'!BS337)</f>
        <v/>
      </c>
      <c r="BT319" s="25" t="str">
        <f>IF('1. Live'!BX337='check-Jul''26'!BT337,"",'1. Live'!BX337-'check-Jul''26'!BT337)</f>
        <v/>
      </c>
      <c r="BU319" s="25" t="str">
        <f>IF('1. Live'!BY337='check-Jul''26'!BU337,"",'1. Live'!BY337-'check-Jul''26'!BU337)</f>
        <v/>
      </c>
      <c r="BV319" s="25" t="str">
        <f>IF('1. Live'!BZ337='check-Jul''26'!BV337,"",'1. Live'!BZ337-'check-Jul''26'!BV337)</f>
        <v/>
      </c>
      <c r="BW319" s="25" t="str">
        <f>IF('1. Live'!CA337='check-Jul''26'!BW337,"",'1. Live'!CA337-'check-Jul''26'!BW337)</f>
        <v/>
      </c>
      <c r="BX319" s="25" t="str">
        <f>IF('1. Live'!CB337='check-Jul''26'!BX337,"",'1. Live'!CB337-'check-Jul''26'!BX337)</f>
        <v/>
      </c>
      <c r="BY319" s="25" t="str">
        <f>IF('1. Live'!CC337='check-Jul''26'!BY337,"",'1. Live'!CC337-'check-Jul''26'!BY337)</f>
        <v/>
      </c>
      <c r="BZ319" s="25" t="str">
        <f>IF('1. Live'!CD337='check-Jul''26'!BZ337,"",'1. Live'!CD337-'check-Jul''26'!BZ337)</f>
        <v/>
      </c>
      <c r="CA319" s="25" t="str">
        <f>IF('1. Live'!CE337='check-Jul''26'!CA337,"",'1. Live'!CE337-'check-Jul''26'!CA337)</f>
        <v/>
      </c>
      <c r="CB319" s="25" t="str">
        <f>IF('1. Live'!CF337='check-Jul''26'!CB337,"",'1. Live'!CF337-'check-Jul''26'!CB337)</f>
        <v/>
      </c>
      <c r="CC319" s="25" t="str">
        <f>IF('1. Live'!CG337='check-Jul''26'!CC337,"",'1. Live'!CG337-'check-Jul''26'!CC337)</f>
        <v/>
      </c>
      <c r="CD319" s="25" t="str">
        <f>IF('1. Live'!CH337='check-Jul''26'!CD337,"",'1. Live'!CH337-'check-Jul''26'!CD337)</f>
        <v/>
      </c>
      <c r="CE319" s="25" t="str">
        <f>IF('1. Live'!CI337='check-Jul''26'!CE337,"",'1. Live'!CI337-'check-Jul''26'!CE337)</f>
        <v/>
      </c>
      <c r="CF319" s="25" t="str">
        <f>IF('1. Live'!CJ337='check-Jul''26'!CF337,"",'1. Live'!CJ337-'check-Jul''26'!CF337)</f>
        <v/>
      </c>
      <c r="CG319" s="25" t="str">
        <f>IF('1. Live'!CK337='check-Jul''26'!CG337,"",'1. Live'!CK337-'check-Jul''26'!CG337)</f>
        <v/>
      </c>
      <c r="CH319" s="25" t="str">
        <f>IF('1. Live'!CL337='check-Jul''26'!CH337,"",'1. Live'!CL337-'check-Jul''26'!CH337)</f>
        <v/>
      </c>
      <c r="CI319" s="25" t="str">
        <f>IF('1. Live'!CM337='check-Jul''26'!CI337,"",'1. Live'!CM337-'check-Jul''26'!CI337)</f>
        <v/>
      </c>
      <c r="CJ319" s="25" t="str">
        <f>IF('1. Live'!CN337='check-Jul''26'!CJ337,"",'1. Live'!CN337-'check-Jul''26'!CJ337)</f>
        <v/>
      </c>
      <c r="CK319" s="25" t="str">
        <f>IF('1. Live'!CO337='check-Jul''26'!CK337,"",'1. Live'!CO337-'check-Jul''26'!CK337)</f>
        <v/>
      </c>
      <c r="CL319" s="25" t="str">
        <f>IF('1. Live'!CP337='check-Jul''26'!CL337,"",'1. Live'!CP337-'check-Jul''26'!CL337)</f>
        <v/>
      </c>
      <c r="CM319" s="25" t="str">
        <f>IF('1. Live'!CQ337='check-Jul''26'!CM337,"",'1. Live'!CQ337-'check-Jul''26'!CM337)</f>
        <v/>
      </c>
      <c r="CN319" s="25" t="str">
        <f>IF('1. Live'!CR337='check-Jul''26'!CN337,"",'1. Live'!CR337-'check-Jul''26'!CN337)</f>
        <v/>
      </c>
      <c r="CO319" s="25" t="str">
        <f>IF('1. Live'!CS337='check-Jul''26'!CO337,"",'1. Live'!CS337-'check-Jul''26'!CO337)</f>
        <v/>
      </c>
      <c r="CP319" s="25" t="str">
        <f>IF('1. Live'!CT337='check-Jul''26'!CP337,"",'1. Live'!CT337-'check-Jul''26'!CP337)</f>
        <v/>
      </c>
      <c r="CQ319" s="25" t="str">
        <f>IF('1. Live'!CU337='check-Jul''26'!CQ337,"",'1. Live'!CU337-'check-Jul''26'!CQ337)</f>
        <v/>
      </c>
      <c r="CR319" s="25" t="str">
        <f>IF('1. Live'!CV337='check-Jul''26'!CR337,"",'1. Live'!CV337-'check-Jul''26'!CR337)</f>
        <v/>
      </c>
      <c r="CS319" s="25" t="str">
        <f>IF('1. Live'!CW337='check-Jul''26'!CS337,"",'1. Live'!CW337-'check-Jul''26'!CS337)</f>
        <v/>
      </c>
      <c r="CT319" s="25" t="str">
        <f>IF('1. Live'!CX337='check-Jul''26'!CT337,"",'1. Live'!CX337-'check-Jul''26'!CT337)</f>
        <v/>
      </c>
      <c r="CU319" s="25" t="str">
        <f>IF('1. Live'!CY337='check-Jul''26'!CU337,"",'1. Live'!CY337-'check-Jul''26'!CU337)</f>
        <v/>
      </c>
      <c r="CV319" s="25" t="str">
        <f>IF('1. Live'!CZ337='check-Jul''26'!CV337,"",'1. Live'!CZ337-'check-Jul''26'!CV337)</f>
        <v/>
      </c>
    </row>
    <row r="320" spans="17:100" x14ac:dyDescent="0.25">
      <c r="Q320" s="26" t="str">
        <f>IF('1. Live'!N338='check-Jul''26'!I338,"",'1. Live'!N338-'check-Jul''26'!I338)</f>
        <v/>
      </c>
      <c r="R320" s="26" t="str">
        <f>IF('1. Live'!O338='check-Jul''26'!J338,"",'1. Live'!O338-'check-Jul''26'!J338)</f>
        <v/>
      </c>
      <c r="S320" s="26" t="str">
        <f>IF('1. Live'!P338='check-Jul''26'!K338,"",'1. Live'!P338-'check-Jul''26'!K338)</f>
        <v/>
      </c>
      <c r="T320" s="26" t="str">
        <f>IF('1. Live'!Q338='check-Jul''26'!L338,"",'1. Live'!Q338-'check-Jul''26'!L338)</f>
        <v/>
      </c>
      <c r="U320" s="80" t="str">
        <f>IF('1. Live'!R338='check-Jul''26'!M338,"",'1. Live'!R338-'check-Jul''26'!M338)</f>
        <v/>
      </c>
      <c r="V320" s="26" t="str">
        <f>IF('1. Live'!S338='check-Jul''26'!N338,"",'1. Live'!S338-'check-Jul''26'!N338)</f>
        <v/>
      </c>
      <c r="W320" s="25" t="str">
        <f>IF('1. Live'!T338='check-Jul''26'!O338,"",'1. Live'!T338-'check-Jul''26'!O338)</f>
        <v/>
      </c>
      <c r="X320" s="25" t="str">
        <f>IF('1. Live'!U338='check-Jul''26'!Q338,"",'1. Live'!U338-'check-Jul''26'!Q338)</f>
        <v/>
      </c>
      <c r="Y320" s="25" t="str">
        <f>IF('1. Live'!V338='check-Jul''26'!R338,"",'1. Live'!V338-'check-Jul''26'!R338)</f>
        <v/>
      </c>
      <c r="Z320" s="25" t="str">
        <f>IF('1. Live'!W338='check-Jul''26'!S338,"",'1. Live'!W338-'check-Jul''26'!S338)</f>
        <v/>
      </c>
      <c r="AA320" s="25" t="str">
        <f>IF('1. Live'!X338='check-Jul''26'!T338,"",'1. Live'!X338-'check-Jul''26'!T338)</f>
        <v/>
      </c>
      <c r="AB320" s="25" t="str">
        <f>IF('1. Live'!AF338='check-Jul''26'!AB338,"",'1. Live'!AF338-'check-Jul''26'!AB338)</f>
        <v/>
      </c>
      <c r="AC320" s="25" t="str">
        <f>IF('1. Live'!AG338='check-Jul''26'!AC338,"",'1. Live'!AG338-'check-Jul''26'!AC338)</f>
        <v/>
      </c>
      <c r="AD320" s="25" t="str">
        <f>IF('1. Live'!AH338='check-Jul''26'!AD338,"",'1. Live'!AH338-'check-Jul''26'!AD338)</f>
        <v/>
      </c>
      <c r="AE320" s="25" t="str">
        <f>IF('1. Live'!AI338='check-Jul''26'!AE338,"",'1. Live'!AI338-'check-Jul''26'!AE338)</f>
        <v/>
      </c>
      <c r="AF320" s="25" t="str">
        <f>IF('1. Live'!AJ338='check-Jul''26'!AF338,"",'1. Live'!AJ338-'check-Jul''26'!AF338)</f>
        <v/>
      </c>
      <c r="AG320" s="25" t="str">
        <f>IF('1. Live'!AK338='check-Jul''26'!AG338,"",'1. Live'!AK338-'check-Jul''26'!AG338)</f>
        <v/>
      </c>
      <c r="AH320" s="25" t="str">
        <f>IF('1. Live'!AL338='check-Jul''26'!AH338,"",'1. Live'!AL338-'check-Jul''26'!AH338)</f>
        <v/>
      </c>
      <c r="AI320" s="25" t="str">
        <f>IF('1. Live'!AM338='check-Jul''26'!AI338,"",'1. Live'!AM338-'check-Jul''26'!AI338)</f>
        <v/>
      </c>
      <c r="AJ320" s="25" t="str">
        <f>IF('1. Live'!AN338='check-Jul''26'!AJ338,"",'1. Live'!AN338-'check-Jul''26'!AJ338)</f>
        <v/>
      </c>
      <c r="AK320" s="25" t="str">
        <f>IF('1. Live'!AO338='check-Jul''26'!AK338,"",'1. Live'!AO338-'check-Jul''26'!AK338)</f>
        <v/>
      </c>
      <c r="AL320" s="25" t="str">
        <f>IF('1. Live'!AP338='check-Jul''26'!AL338,"",'1. Live'!AP338-'check-Jul''26'!AL338)</f>
        <v/>
      </c>
      <c r="AM320" s="25" t="str">
        <f>IF('1. Live'!AQ338='check-Jul''26'!AM338,"",'1. Live'!AQ338-'check-Jul''26'!AM338)</f>
        <v/>
      </c>
      <c r="AN320" s="25" t="str">
        <f>IF('1. Live'!AR338='check-Jul''26'!AN338,"",'1. Live'!AR338-'check-Jul''26'!AN338)</f>
        <v/>
      </c>
      <c r="AO320" s="25" t="str">
        <f>IF('1. Live'!AS338='check-Jul''26'!AO338,"",'1. Live'!AS338-'check-Jul''26'!AO338)</f>
        <v/>
      </c>
      <c r="AP320" s="25" t="str">
        <f>IF('1. Live'!AT338='check-Jul''26'!AP338,"",'1. Live'!AT338-'check-Jul''26'!AP338)</f>
        <v/>
      </c>
      <c r="AQ320" s="25" t="str">
        <f>IF('1. Live'!AU338='check-Jul''26'!AQ338,"",'1. Live'!AU338-'check-Jul''26'!AQ338)</f>
        <v/>
      </c>
      <c r="AR320" s="25" t="str">
        <f>IF('1. Live'!AV338='check-Jul''26'!AR338,"",'1. Live'!AV338-'check-Jul''26'!AR338)</f>
        <v/>
      </c>
      <c r="AS320" s="25" t="str">
        <f>IF('1. Live'!AW338='check-Jul''26'!AS338,"",'1. Live'!AW338-'check-Jul''26'!AS338)</f>
        <v/>
      </c>
      <c r="AT320" s="25" t="str">
        <f>IF('1. Live'!AX338='check-Jul''26'!AT338,"",'1. Live'!AX338-'check-Jul''26'!AT338)</f>
        <v/>
      </c>
      <c r="AU320" s="25" t="str">
        <f>IF('1. Live'!AY338='check-Jul''26'!AU338,"",'1. Live'!AY338-'check-Jul''26'!AU338)</f>
        <v/>
      </c>
      <c r="AV320" s="25" t="str">
        <f>IF('1. Live'!AZ338='check-Jul''26'!AV338,"",'1. Live'!AZ338-'check-Jul''26'!AV338)</f>
        <v/>
      </c>
      <c r="AW320" s="25" t="str">
        <f>IF('1. Live'!BA338='check-Jul''26'!AW338,"",'1. Live'!BA338-'check-Jul''26'!AW338)</f>
        <v/>
      </c>
      <c r="AX320" s="25" t="str">
        <f>IF('1. Live'!BB338='check-Jul''26'!AX338,"",'1. Live'!BB338-'check-Jul''26'!AX338)</f>
        <v/>
      </c>
      <c r="AY320" s="25" t="str">
        <f>IF('1. Live'!BC338='check-Jul''26'!AY338,"",'1. Live'!BC338-'check-Jul''26'!AY338)</f>
        <v/>
      </c>
      <c r="AZ320" s="25" t="str">
        <f>IF('1. Live'!BD338='check-Jul''26'!AZ338,"",'1. Live'!BD338-'check-Jul''26'!AZ338)</f>
        <v/>
      </c>
      <c r="BA320" s="25" t="str">
        <f>IF('1. Live'!BE338='check-Jul''26'!BA338,"",'1. Live'!BE338-'check-Jul''26'!BA338)</f>
        <v/>
      </c>
      <c r="BB320" s="25" t="str">
        <f>IF('1. Live'!BF338='check-Jul''26'!BB338,"",'1. Live'!BF338-'check-Jul''26'!BB338)</f>
        <v/>
      </c>
      <c r="BC320" s="25" t="str">
        <f>IF('1. Live'!BG338='check-Jul''26'!BC338,"",'1. Live'!BG338-'check-Jul''26'!BC338)</f>
        <v/>
      </c>
      <c r="BD320" s="25" t="str">
        <f>IF('1. Live'!BH338='check-Jul''26'!BD338,"",'1. Live'!BH338-'check-Jul''26'!BD338)</f>
        <v/>
      </c>
      <c r="BE320" s="25" t="str">
        <f>IF('1. Live'!BI338='check-Jul''26'!BE338,"",'1. Live'!BI338-'check-Jul''26'!BE338)</f>
        <v/>
      </c>
      <c r="BF320" s="25" t="str">
        <f>IF('1. Live'!BJ338='check-Jul''26'!BF338,"",'1. Live'!BJ338-'check-Jul''26'!BF338)</f>
        <v/>
      </c>
      <c r="BG320" s="25" t="str">
        <f>IF('1. Live'!BK338='check-Jul''26'!BG338,"",'1. Live'!BK338-'check-Jul''26'!BG338)</f>
        <v/>
      </c>
      <c r="BH320" s="25" t="str">
        <f>IF('1. Live'!BL338='check-Jul''26'!BH338,"",'1. Live'!BL338-'check-Jul''26'!BH338)</f>
        <v/>
      </c>
      <c r="BI320" s="25" t="str">
        <f>IF('1. Live'!BM338='check-Jul''26'!BI338,"",'1. Live'!BM338-'check-Jul''26'!BI338)</f>
        <v/>
      </c>
      <c r="BJ320" s="25" t="str">
        <f>IF('1. Live'!BN338='check-Jul''26'!BJ338,"",'1. Live'!BN338-'check-Jul''26'!BJ338)</f>
        <v/>
      </c>
      <c r="BK320" s="25" t="str">
        <f>IF('1. Live'!BO338='check-Jul''26'!BK338,"",'1. Live'!BO338-'check-Jul''26'!BK338)</f>
        <v/>
      </c>
      <c r="BL320" s="25" t="str">
        <f>IF('1. Live'!BP338='check-Jul''26'!BL338,"",'1. Live'!BP338-'check-Jul''26'!BL338)</f>
        <v/>
      </c>
      <c r="BM320" s="25" t="str">
        <f>IF('1. Live'!BQ338='check-Jul''26'!BM338,"",'1. Live'!BQ338-'check-Jul''26'!BM338)</f>
        <v/>
      </c>
      <c r="BN320" s="25" t="str">
        <f>IF('1. Live'!BR338='check-Jul''26'!BN338,"",'1. Live'!BR338-'check-Jul''26'!BN338)</f>
        <v/>
      </c>
      <c r="BO320" s="25" t="str">
        <f>IF('1. Live'!BS338='check-Jul''26'!BO338,"",'1. Live'!BS338-'check-Jul''26'!BO338)</f>
        <v/>
      </c>
      <c r="BP320" s="25" t="str">
        <f>IF('1. Live'!BT338='check-Jul''26'!BP338,"",'1. Live'!BT338-'check-Jul''26'!BP338)</f>
        <v/>
      </c>
      <c r="BQ320" s="25" t="str">
        <f>IF('1. Live'!BU338='check-Jul''26'!BQ338,"",'1. Live'!BU338-'check-Jul''26'!BQ338)</f>
        <v/>
      </c>
      <c r="BR320" s="25" t="str">
        <f>IF('1. Live'!BV338='check-Jul''26'!BR338,"",'1. Live'!BV338-'check-Jul''26'!BR338)</f>
        <v/>
      </c>
      <c r="BS320" s="25" t="str">
        <f>IF('1. Live'!BW338='check-Jul''26'!BS338,"",'1. Live'!BW338-'check-Jul''26'!BS338)</f>
        <v/>
      </c>
      <c r="BT320" s="25" t="str">
        <f>IF('1. Live'!BX338='check-Jul''26'!BT338,"",'1. Live'!BX338-'check-Jul''26'!BT338)</f>
        <v/>
      </c>
      <c r="BU320" s="25" t="str">
        <f>IF('1. Live'!BY338='check-Jul''26'!BU338,"",'1. Live'!BY338-'check-Jul''26'!BU338)</f>
        <v/>
      </c>
      <c r="BV320" s="25" t="str">
        <f>IF('1. Live'!BZ338='check-Jul''26'!BV338,"",'1. Live'!BZ338-'check-Jul''26'!BV338)</f>
        <v/>
      </c>
      <c r="BW320" s="25" t="str">
        <f>IF('1. Live'!CA338='check-Jul''26'!BW338,"",'1. Live'!CA338-'check-Jul''26'!BW338)</f>
        <v/>
      </c>
      <c r="BX320" s="25" t="str">
        <f>IF('1. Live'!CB338='check-Jul''26'!BX338,"",'1. Live'!CB338-'check-Jul''26'!BX338)</f>
        <v/>
      </c>
      <c r="BY320" s="25" t="str">
        <f>IF('1. Live'!CC338='check-Jul''26'!BY338,"",'1. Live'!CC338-'check-Jul''26'!BY338)</f>
        <v/>
      </c>
      <c r="BZ320" s="25" t="str">
        <f>IF('1. Live'!CD338='check-Jul''26'!BZ338,"",'1. Live'!CD338-'check-Jul''26'!BZ338)</f>
        <v/>
      </c>
      <c r="CA320" s="25" t="str">
        <f>IF('1. Live'!CE338='check-Jul''26'!CA338,"",'1. Live'!CE338-'check-Jul''26'!CA338)</f>
        <v/>
      </c>
      <c r="CB320" s="25" t="str">
        <f>IF('1. Live'!CF338='check-Jul''26'!CB338,"",'1. Live'!CF338-'check-Jul''26'!CB338)</f>
        <v/>
      </c>
      <c r="CC320" s="25" t="str">
        <f>IF('1. Live'!CG338='check-Jul''26'!CC338,"",'1. Live'!CG338-'check-Jul''26'!CC338)</f>
        <v/>
      </c>
      <c r="CD320" s="25" t="str">
        <f>IF('1. Live'!CH338='check-Jul''26'!CD338,"",'1. Live'!CH338-'check-Jul''26'!CD338)</f>
        <v/>
      </c>
      <c r="CE320" s="25" t="str">
        <f>IF('1. Live'!CI338='check-Jul''26'!CE338,"",'1. Live'!CI338-'check-Jul''26'!CE338)</f>
        <v/>
      </c>
      <c r="CF320" s="25" t="str">
        <f>IF('1. Live'!CJ338='check-Jul''26'!CF338,"",'1. Live'!CJ338-'check-Jul''26'!CF338)</f>
        <v/>
      </c>
      <c r="CG320" s="25" t="str">
        <f>IF('1. Live'!CK338='check-Jul''26'!CG338,"",'1. Live'!CK338-'check-Jul''26'!CG338)</f>
        <v/>
      </c>
      <c r="CH320" s="25" t="str">
        <f>IF('1. Live'!CL338='check-Jul''26'!CH338,"",'1. Live'!CL338-'check-Jul''26'!CH338)</f>
        <v/>
      </c>
      <c r="CI320" s="25" t="str">
        <f>IF('1. Live'!CM338='check-Jul''26'!CI338,"",'1. Live'!CM338-'check-Jul''26'!CI338)</f>
        <v/>
      </c>
      <c r="CJ320" s="25" t="str">
        <f>IF('1. Live'!CN338='check-Jul''26'!CJ338,"",'1. Live'!CN338-'check-Jul''26'!CJ338)</f>
        <v/>
      </c>
      <c r="CK320" s="25" t="str">
        <f>IF('1. Live'!CO338='check-Jul''26'!CK338,"",'1. Live'!CO338-'check-Jul''26'!CK338)</f>
        <v/>
      </c>
      <c r="CL320" s="25" t="str">
        <f>IF('1. Live'!CP338='check-Jul''26'!CL338,"",'1. Live'!CP338-'check-Jul''26'!CL338)</f>
        <v/>
      </c>
      <c r="CM320" s="25" t="str">
        <f>IF('1. Live'!CQ338='check-Jul''26'!CM338,"",'1. Live'!CQ338-'check-Jul''26'!CM338)</f>
        <v/>
      </c>
      <c r="CN320" s="25" t="str">
        <f>IF('1. Live'!CR338='check-Jul''26'!CN338,"",'1. Live'!CR338-'check-Jul''26'!CN338)</f>
        <v/>
      </c>
      <c r="CO320" s="25" t="str">
        <f>IF('1. Live'!CS338='check-Jul''26'!CO338,"",'1. Live'!CS338-'check-Jul''26'!CO338)</f>
        <v/>
      </c>
      <c r="CP320" s="25" t="str">
        <f>IF('1. Live'!CT338='check-Jul''26'!CP338,"",'1. Live'!CT338-'check-Jul''26'!CP338)</f>
        <v/>
      </c>
      <c r="CQ320" s="25" t="str">
        <f>IF('1. Live'!CU338='check-Jul''26'!CQ338,"",'1. Live'!CU338-'check-Jul''26'!CQ338)</f>
        <v/>
      </c>
      <c r="CR320" s="25" t="str">
        <f>IF('1. Live'!CV338='check-Jul''26'!CR338,"",'1. Live'!CV338-'check-Jul''26'!CR338)</f>
        <v/>
      </c>
      <c r="CS320" s="25" t="str">
        <f>IF('1. Live'!CW338='check-Jul''26'!CS338,"",'1. Live'!CW338-'check-Jul''26'!CS338)</f>
        <v/>
      </c>
      <c r="CT320" s="25" t="str">
        <f>IF('1. Live'!CX338='check-Jul''26'!CT338,"",'1. Live'!CX338-'check-Jul''26'!CT338)</f>
        <v/>
      </c>
      <c r="CU320" s="25" t="str">
        <f>IF('1. Live'!CY338='check-Jul''26'!CU338,"",'1. Live'!CY338-'check-Jul''26'!CU338)</f>
        <v/>
      </c>
      <c r="CV320" s="25" t="str">
        <f>IF('1. Live'!CZ338='check-Jul''26'!CV338,"",'1. Live'!CZ338-'check-Jul''26'!CV338)</f>
        <v/>
      </c>
    </row>
    <row r="321" spans="17:100" x14ac:dyDescent="0.25">
      <c r="Q321" s="26" t="str">
        <f>IF('1. Live'!N339='check-Jul''26'!I339,"",'1. Live'!N339-'check-Jul''26'!I339)</f>
        <v/>
      </c>
      <c r="R321" s="26" t="str">
        <f>IF('1. Live'!O339='check-Jul''26'!J339,"",'1. Live'!O339-'check-Jul''26'!J339)</f>
        <v/>
      </c>
      <c r="S321" s="26" t="str">
        <f>IF('1. Live'!P339='check-Jul''26'!K339,"",'1. Live'!P339-'check-Jul''26'!K339)</f>
        <v/>
      </c>
      <c r="T321" s="26" t="str">
        <f>IF('1. Live'!Q339='check-Jul''26'!L339,"",'1. Live'!Q339-'check-Jul''26'!L339)</f>
        <v/>
      </c>
      <c r="U321" s="80" t="str">
        <f>IF('1. Live'!R339='check-Jul''26'!M339,"",'1. Live'!R339-'check-Jul''26'!M339)</f>
        <v/>
      </c>
      <c r="V321" s="26" t="str">
        <f>IF('1. Live'!S339='check-Jul''26'!N339,"",'1. Live'!S339-'check-Jul''26'!N339)</f>
        <v/>
      </c>
      <c r="W321" s="25" t="str">
        <f>IF('1. Live'!T339='check-Jul''26'!O339,"",'1. Live'!T339-'check-Jul''26'!O339)</f>
        <v/>
      </c>
      <c r="X321" s="25" t="str">
        <f>IF('1. Live'!U339='check-Jul''26'!Q339,"",'1. Live'!U339-'check-Jul''26'!Q339)</f>
        <v/>
      </c>
      <c r="Y321" s="25" t="str">
        <f>IF('1. Live'!V339='check-Jul''26'!R339,"",'1. Live'!V339-'check-Jul''26'!R339)</f>
        <v/>
      </c>
      <c r="Z321" s="25" t="str">
        <f>IF('1. Live'!W339='check-Jul''26'!S339,"",'1. Live'!W339-'check-Jul''26'!S339)</f>
        <v/>
      </c>
      <c r="AA321" s="25" t="str">
        <f>IF('1. Live'!X339='check-Jul''26'!T339,"",'1. Live'!X339-'check-Jul''26'!T339)</f>
        <v/>
      </c>
      <c r="AB321" s="25" t="str">
        <f>IF('1. Live'!AF339='check-Jul''26'!AB339,"",'1. Live'!AF339-'check-Jul''26'!AB339)</f>
        <v/>
      </c>
      <c r="AC321" s="25" t="str">
        <f>IF('1. Live'!AG339='check-Jul''26'!AC339,"",'1. Live'!AG339-'check-Jul''26'!AC339)</f>
        <v/>
      </c>
      <c r="AD321" s="25" t="str">
        <f>IF('1. Live'!AH339='check-Jul''26'!AD339,"",'1. Live'!AH339-'check-Jul''26'!AD339)</f>
        <v/>
      </c>
      <c r="AE321" s="25" t="str">
        <f>IF('1. Live'!AI339='check-Jul''26'!AE339,"",'1. Live'!AI339-'check-Jul''26'!AE339)</f>
        <v/>
      </c>
      <c r="AF321" s="25" t="str">
        <f>IF('1. Live'!AJ339='check-Jul''26'!AF339,"",'1. Live'!AJ339-'check-Jul''26'!AF339)</f>
        <v/>
      </c>
      <c r="AG321" s="25" t="str">
        <f>IF('1. Live'!AK339='check-Jul''26'!AG339,"",'1. Live'!AK339-'check-Jul''26'!AG339)</f>
        <v/>
      </c>
      <c r="AH321" s="25" t="str">
        <f>IF('1. Live'!AL339='check-Jul''26'!AH339,"",'1. Live'!AL339-'check-Jul''26'!AH339)</f>
        <v/>
      </c>
      <c r="AI321" s="25" t="str">
        <f>IF('1. Live'!AM339='check-Jul''26'!AI339,"",'1. Live'!AM339-'check-Jul''26'!AI339)</f>
        <v/>
      </c>
      <c r="AJ321" s="25" t="str">
        <f>IF('1. Live'!AN339='check-Jul''26'!AJ339,"",'1. Live'!AN339-'check-Jul''26'!AJ339)</f>
        <v/>
      </c>
      <c r="AK321" s="25" t="str">
        <f>IF('1. Live'!AO339='check-Jul''26'!AK339,"",'1. Live'!AO339-'check-Jul''26'!AK339)</f>
        <v/>
      </c>
      <c r="AL321" s="25" t="str">
        <f>IF('1. Live'!AP339='check-Jul''26'!AL339,"",'1. Live'!AP339-'check-Jul''26'!AL339)</f>
        <v/>
      </c>
      <c r="AM321" s="25" t="str">
        <f>IF('1. Live'!AQ339='check-Jul''26'!AM339,"",'1. Live'!AQ339-'check-Jul''26'!AM339)</f>
        <v/>
      </c>
      <c r="AN321" s="25" t="str">
        <f>IF('1. Live'!AR339='check-Jul''26'!AN339,"",'1. Live'!AR339-'check-Jul''26'!AN339)</f>
        <v/>
      </c>
      <c r="AO321" s="25" t="str">
        <f>IF('1. Live'!AS339='check-Jul''26'!AO339,"",'1. Live'!AS339-'check-Jul''26'!AO339)</f>
        <v/>
      </c>
      <c r="AP321" s="25" t="str">
        <f>IF('1. Live'!AT339='check-Jul''26'!AP339,"",'1. Live'!AT339-'check-Jul''26'!AP339)</f>
        <v/>
      </c>
      <c r="AQ321" s="25" t="str">
        <f>IF('1. Live'!AU339='check-Jul''26'!AQ339,"",'1. Live'!AU339-'check-Jul''26'!AQ339)</f>
        <v/>
      </c>
      <c r="AR321" s="25" t="str">
        <f>IF('1. Live'!AV339='check-Jul''26'!AR339,"",'1. Live'!AV339-'check-Jul''26'!AR339)</f>
        <v/>
      </c>
      <c r="AS321" s="25" t="str">
        <f>IF('1. Live'!AW339='check-Jul''26'!AS339,"",'1. Live'!AW339-'check-Jul''26'!AS339)</f>
        <v/>
      </c>
      <c r="AT321" s="25" t="str">
        <f>IF('1. Live'!AX339='check-Jul''26'!AT339,"",'1. Live'!AX339-'check-Jul''26'!AT339)</f>
        <v/>
      </c>
      <c r="AU321" s="25" t="str">
        <f>IF('1. Live'!AY339='check-Jul''26'!AU339,"",'1. Live'!AY339-'check-Jul''26'!AU339)</f>
        <v/>
      </c>
      <c r="AV321" s="25" t="str">
        <f>IF('1. Live'!AZ339='check-Jul''26'!AV339,"",'1. Live'!AZ339-'check-Jul''26'!AV339)</f>
        <v/>
      </c>
      <c r="AW321" s="25" t="str">
        <f>IF('1. Live'!BA339='check-Jul''26'!AW339,"",'1. Live'!BA339-'check-Jul''26'!AW339)</f>
        <v/>
      </c>
      <c r="AX321" s="25" t="str">
        <f>IF('1. Live'!BB339='check-Jul''26'!AX339,"",'1. Live'!BB339-'check-Jul''26'!AX339)</f>
        <v/>
      </c>
      <c r="AY321" s="25" t="str">
        <f>IF('1. Live'!BC339='check-Jul''26'!AY339,"",'1. Live'!BC339-'check-Jul''26'!AY339)</f>
        <v/>
      </c>
      <c r="AZ321" s="25" t="str">
        <f>IF('1. Live'!BD339='check-Jul''26'!AZ339,"",'1. Live'!BD339-'check-Jul''26'!AZ339)</f>
        <v/>
      </c>
      <c r="BA321" s="25" t="str">
        <f>IF('1. Live'!BE339='check-Jul''26'!BA339,"",'1. Live'!BE339-'check-Jul''26'!BA339)</f>
        <v/>
      </c>
      <c r="BB321" s="25" t="str">
        <f>IF('1. Live'!BF339='check-Jul''26'!BB339,"",'1. Live'!BF339-'check-Jul''26'!BB339)</f>
        <v/>
      </c>
      <c r="BC321" s="25" t="str">
        <f>IF('1. Live'!BG339='check-Jul''26'!BC339,"",'1. Live'!BG339-'check-Jul''26'!BC339)</f>
        <v/>
      </c>
      <c r="BD321" s="25" t="str">
        <f>IF('1. Live'!BH339='check-Jul''26'!BD339,"",'1. Live'!BH339-'check-Jul''26'!BD339)</f>
        <v/>
      </c>
      <c r="BE321" s="25" t="str">
        <f>IF('1. Live'!BI339='check-Jul''26'!BE339,"",'1. Live'!BI339-'check-Jul''26'!BE339)</f>
        <v/>
      </c>
      <c r="BF321" s="25" t="str">
        <f>IF('1. Live'!BJ339='check-Jul''26'!BF339,"",'1. Live'!BJ339-'check-Jul''26'!BF339)</f>
        <v/>
      </c>
      <c r="BG321" s="25" t="str">
        <f>IF('1. Live'!BK339='check-Jul''26'!BG339,"",'1. Live'!BK339-'check-Jul''26'!BG339)</f>
        <v/>
      </c>
      <c r="BH321" s="25" t="str">
        <f>IF('1. Live'!BL339='check-Jul''26'!BH339,"",'1. Live'!BL339-'check-Jul''26'!BH339)</f>
        <v/>
      </c>
      <c r="BI321" s="25" t="str">
        <f>IF('1. Live'!BM339='check-Jul''26'!BI339,"",'1. Live'!BM339-'check-Jul''26'!BI339)</f>
        <v/>
      </c>
      <c r="BJ321" s="25" t="str">
        <f>IF('1. Live'!BN339='check-Jul''26'!BJ339,"",'1. Live'!BN339-'check-Jul''26'!BJ339)</f>
        <v/>
      </c>
      <c r="BK321" s="25" t="str">
        <f>IF('1. Live'!BO339='check-Jul''26'!BK339,"",'1. Live'!BO339-'check-Jul''26'!BK339)</f>
        <v/>
      </c>
      <c r="BL321" s="25" t="str">
        <f>IF('1. Live'!BP339='check-Jul''26'!BL339,"",'1. Live'!BP339-'check-Jul''26'!BL339)</f>
        <v/>
      </c>
      <c r="BM321" s="25" t="str">
        <f>IF('1. Live'!BQ339='check-Jul''26'!BM339,"",'1. Live'!BQ339-'check-Jul''26'!BM339)</f>
        <v/>
      </c>
      <c r="BN321" s="25" t="str">
        <f>IF('1. Live'!BR339='check-Jul''26'!BN339,"",'1. Live'!BR339-'check-Jul''26'!BN339)</f>
        <v/>
      </c>
      <c r="BO321" s="25" t="str">
        <f>IF('1. Live'!BS339='check-Jul''26'!BO339,"",'1. Live'!BS339-'check-Jul''26'!BO339)</f>
        <v/>
      </c>
      <c r="BP321" s="25" t="str">
        <f>IF('1. Live'!BT339='check-Jul''26'!BP339,"",'1. Live'!BT339-'check-Jul''26'!BP339)</f>
        <v/>
      </c>
      <c r="BQ321" s="25" t="str">
        <f>IF('1. Live'!BU339='check-Jul''26'!BQ339,"",'1. Live'!BU339-'check-Jul''26'!BQ339)</f>
        <v/>
      </c>
      <c r="BR321" s="25" t="str">
        <f>IF('1. Live'!BV339='check-Jul''26'!BR339,"",'1. Live'!BV339-'check-Jul''26'!BR339)</f>
        <v/>
      </c>
      <c r="BS321" s="25" t="str">
        <f>IF('1. Live'!BW339='check-Jul''26'!BS339,"",'1. Live'!BW339-'check-Jul''26'!BS339)</f>
        <v/>
      </c>
      <c r="BT321" s="25" t="str">
        <f>IF('1. Live'!BX339='check-Jul''26'!BT339,"",'1. Live'!BX339-'check-Jul''26'!BT339)</f>
        <v/>
      </c>
      <c r="BU321" s="25" t="str">
        <f>IF('1. Live'!BY339='check-Jul''26'!BU339,"",'1. Live'!BY339-'check-Jul''26'!BU339)</f>
        <v/>
      </c>
      <c r="BV321" s="25" t="str">
        <f>IF('1. Live'!BZ339='check-Jul''26'!BV339,"",'1. Live'!BZ339-'check-Jul''26'!BV339)</f>
        <v/>
      </c>
      <c r="BW321" s="25" t="str">
        <f>IF('1. Live'!CA339='check-Jul''26'!BW339,"",'1. Live'!CA339-'check-Jul''26'!BW339)</f>
        <v/>
      </c>
      <c r="BX321" s="25" t="str">
        <f>IF('1. Live'!CB339='check-Jul''26'!BX339,"",'1. Live'!CB339-'check-Jul''26'!BX339)</f>
        <v/>
      </c>
      <c r="BY321" s="25" t="str">
        <f>IF('1. Live'!CC339='check-Jul''26'!BY339,"",'1. Live'!CC339-'check-Jul''26'!BY339)</f>
        <v/>
      </c>
      <c r="BZ321" s="25" t="str">
        <f>IF('1. Live'!CD339='check-Jul''26'!BZ339,"",'1. Live'!CD339-'check-Jul''26'!BZ339)</f>
        <v/>
      </c>
      <c r="CA321" s="25" t="str">
        <f>IF('1. Live'!CE339='check-Jul''26'!CA339,"",'1. Live'!CE339-'check-Jul''26'!CA339)</f>
        <v/>
      </c>
      <c r="CB321" s="25" t="str">
        <f>IF('1. Live'!CF339='check-Jul''26'!CB339,"",'1. Live'!CF339-'check-Jul''26'!CB339)</f>
        <v/>
      </c>
      <c r="CC321" s="25" t="str">
        <f>IF('1. Live'!CG339='check-Jul''26'!CC339,"",'1. Live'!CG339-'check-Jul''26'!CC339)</f>
        <v/>
      </c>
      <c r="CD321" s="25" t="str">
        <f>IF('1. Live'!CH339='check-Jul''26'!CD339,"",'1. Live'!CH339-'check-Jul''26'!CD339)</f>
        <v/>
      </c>
      <c r="CE321" s="25" t="str">
        <f>IF('1. Live'!CI339='check-Jul''26'!CE339,"",'1. Live'!CI339-'check-Jul''26'!CE339)</f>
        <v/>
      </c>
      <c r="CF321" s="25" t="str">
        <f>IF('1. Live'!CJ339='check-Jul''26'!CF339,"",'1. Live'!CJ339-'check-Jul''26'!CF339)</f>
        <v/>
      </c>
      <c r="CG321" s="25" t="str">
        <f>IF('1. Live'!CK339='check-Jul''26'!CG339,"",'1. Live'!CK339-'check-Jul''26'!CG339)</f>
        <v/>
      </c>
      <c r="CH321" s="25" t="str">
        <f>IF('1. Live'!CL339='check-Jul''26'!CH339,"",'1. Live'!CL339-'check-Jul''26'!CH339)</f>
        <v/>
      </c>
      <c r="CI321" s="25" t="str">
        <f>IF('1. Live'!CM339='check-Jul''26'!CI339,"",'1. Live'!CM339-'check-Jul''26'!CI339)</f>
        <v/>
      </c>
      <c r="CJ321" s="25" t="str">
        <f>IF('1. Live'!CN339='check-Jul''26'!CJ339,"",'1. Live'!CN339-'check-Jul''26'!CJ339)</f>
        <v/>
      </c>
      <c r="CK321" s="25" t="str">
        <f>IF('1. Live'!CO339='check-Jul''26'!CK339,"",'1. Live'!CO339-'check-Jul''26'!CK339)</f>
        <v/>
      </c>
      <c r="CL321" s="25" t="str">
        <f>IF('1. Live'!CP339='check-Jul''26'!CL339,"",'1. Live'!CP339-'check-Jul''26'!CL339)</f>
        <v/>
      </c>
      <c r="CM321" s="25" t="str">
        <f>IF('1. Live'!CQ339='check-Jul''26'!CM339,"",'1. Live'!CQ339-'check-Jul''26'!CM339)</f>
        <v/>
      </c>
      <c r="CN321" s="25" t="str">
        <f>IF('1. Live'!CR339='check-Jul''26'!CN339,"",'1. Live'!CR339-'check-Jul''26'!CN339)</f>
        <v/>
      </c>
      <c r="CO321" s="25" t="str">
        <f>IF('1. Live'!CS339='check-Jul''26'!CO339,"",'1. Live'!CS339-'check-Jul''26'!CO339)</f>
        <v/>
      </c>
      <c r="CP321" s="25" t="str">
        <f>IF('1. Live'!CT339='check-Jul''26'!CP339,"",'1. Live'!CT339-'check-Jul''26'!CP339)</f>
        <v/>
      </c>
      <c r="CQ321" s="25" t="str">
        <f>IF('1. Live'!CU339='check-Jul''26'!CQ339,"",'1. Live'!CU339-'check-Jul''26'!CQ339)</f>
        <v/>
      </c>
      <c r="CR321" s="25" t="str">
        <f>IF('1. Live'!CV339='check-Jul''26'!CR339,"",'1. Live'!CV339-'check-Jul''26'!CR339)</f>
        <v/>
      </c>
      <c r="CS321" s="25" t="str">
        <f>IF('1. Live'!CW339='check-Jul''26'!CS339,"",'1. Live'!CW339-'check-Jul''26'!CS339)</f>
        <v/>
      </c>
      <c r="CT321" s="25" t="str">
        <f>IF('1. Live'!CX339='check-Jul''26'!CT339,"",'1. Live'!CX339-'check-Jul''26'!CT339)</f>
        <v/>
      </c>
      <c r="CU321" s="25" t="str">
        <f>IF('1. Live'!CY339='check-Jul''26'!CU339,"",'1. Live'!CY339-'check-Jul''26'!CU339)</f>
        <v/>
      </c>
      <c r="CV321" s="25" t="str">
        <f>IF('1. Live'!CZ339='check-Jul''26'!CV339,"",'1. Live'!CZ339-'check-Jul''26'!CV339)</f>
        <v/>
      </c>
    </row>
    <row r="322" spans="17:100" x14ac:dyDescent="0.25">
      <c r="Q322" s="26" t="str">
        <f>IF('1. Live'!N340='check-Jul''26'!I340,"",'1. Live'!N340-'check-Jul''26'!I340)</f>
        <v/>
      </c>
      <c r="R322" s="26" t="str">
        <f>IF('1. Live'!O340='check-Jul''26'!J340,"",'1. Live'!O340-'check-Jul''26'!J340)</f>
        <v/>
      </c>
      <c r="S322" s="26" t="str">
        <f>IF('1. Live'!P340='check-Jul''26'!K340,"",'1. Live'!P340-'check-Jul''26'!K340)</f>
        <v/>
      </c>
      <c r="T322" s="26" t="str">
        <f>IF('1. Live'!Q340='check-Jul''26'!L340,"",'1. Live'!Q340-'check-Jul''26'!L340)</f>
        <v/>
      </c>
      <c r="U322" s="80" t="str">
        <f>IF('1. Live'!R340='check-Jul''26'!M340,"",'1. Live'!R340-'check-Jul''26'!M340)</f>
        <v/>
      </c>
      <c r="V322" s="26" t="str">
        <f>IF('1. Live'!S340='check-Jul''26'!N340,"",'1. Live'!S340-'check-Jul''26'!N340)</f>
        <v/>
      </c>
      <c r="W322" s="25" t="str">
        <f>IF('1. Live'!T340='check-Jul''26'!O340,"",'1. Live'!T340-'check-Jul''26'!O340)</f>
        <v/>
      </c>
      <c r="X322" s="25" t="str">
        <f>IF('1. Live'!U340='check-Jul''26'!Q340,"",'1. Live'!U340-'check-Jul''26'!Q340)</f>
        <v/>
      </c>
      <c r="Y322" s="25" t="str">
        <f>IF('1. Live'!V340='check-Jul''26'!R340,"",'1. Live'!V340-'check-Jul''26'!R340)</f>
        <v/>
      </c>
      <c r="Z322" s="25" t="str">
        <f>IF('1. Live'!W340='check-Jul''26'!S340,"",'1. Live'!W340-'check-Jul''26'!S340)</f>
        <v/>
      </c>
      <c r="AA322" s="25" t="str">
        <f>IF('1. Live'!X340='check-Jul''26'!T340,"",'1. Live'!X340-'check-Jul''26'!T340)</f>
        <v/>
      </c>
      <c r="AB322" s="25" t="str">
        <f>IF('1. Live'!AF340='check-Jul''26'!AB340,"",'1. Live'!AF340-'check-Jul''26'!AB340)</f>
        <v/>
      </c>
      <c r="AC322" s="25" t="str">
        <f>IF('1. Live'!AG340='check-Jul''26'!AC340,"",'1. Live'!AG340-'check-Jul''26'!AC340)</f>
        <v/>
      </c>
      <c r="AD322" s="25" t="str">
        <f>IF('1. Live'!AH340='check-Jul''26'!AD340,"",'1. Live'!AH340-'check-Jul''26'!AD340)</f>
        <v/>
      </c>
      <c r="AE322" s="25" t="str">
        <f>IF('1. Live'!AI340='check-Jul''26'!AE340,"",'1. Live'!AI340-'check-Jul''26'!AE340)</f>
        <v/>
      </c>
      <c r="AF322" s="25" t="str">
        <f>IF('1. Live'!AJ340='check-Jul''26'!AF340,"",'1. Live'!AJ340-'check-Jul''26'!AF340)</f>
        <v/>
      </c>
      <c r="AG322" s="25" t="str">
        <f>IF('1. Live'!AK340='check-Jul''26'!AG340,"",'1. Live'!AK340-'check-Jul''26'!AG340)</f>
        <v/>
      </c>
      <c r="AH322" s="25" t="str">
        <f>IF('1. Live'!AL340='check-Jul''26'!AH340,"",'1. Live'!AL340-'check-Jul''26'!AH340)</f>
        <v/>
      </c>
      <c r="AI322" s="25" t="str">
        <f>IF('1. Live'!AM340='check-Jul''26'!AI340,"",'1. Live'!AM340-'check-Jul''26'!AI340)</f>
        <v/>
      </c>
      <c r="AJ322" s="25" t="str">
        <f>IF('1. Live'!AN340='check-Jul''26'!AJ340,"",'1. Live'!AN340-'check-Jul''26'!AJ340)</f>
        <v/>
      </c>
      <c r="AK322" s="25" t="str">
        <f>IF('1. Live'!AO340='check-Jul''26'!AK340,"",'1. Live'!AO340-'check-Jul''26'!AK340)</f>
        <v/>
      </c>
      <c r="AL322" s="25" t="str">
        <f>IF('1. Live'!AP340='check-Jul''26'!AL340,"",'1. Live'!AP340-'check-Jul''26'!AL340)</f>
        <v/>
      </c>
      <c r="AM322" s="25" t="str">
        <f>IF('1. Live'!AQ340='check-Jul''26'!AM340,"",'1. Live'!AQ340-'check-Jul''26'!AM340)</f>
        <v/>
      </c>
      <c r="AN322" s="25" t="str">
        <f>IF('1. Live'!AR340='check-Jul''26'!AN340,"",'1. Live'!AR340-'check-Jul''26'!AN340)</f>
        <v/>
      </c>
      <c r="AO322" s="25" t="str">
        <f>IF('1. Live'!AS340='check-Jul''26'!AO340,"",'1. Live'!AS340-'check-Jul''26'!AO340)</f>
        <v/>
      </c>
      <c r="AP322" s="25" t="str">
        <f>IF('1. Live'!AT340='check-Jul''26'!AP340,"",'1. Live'!AT340-'check-Jul''26'!AP340)</f>
        <v/>
      </c>
      <c r="AQ322" s="25" t="str">
        <f>IF('1. Live'!AU340='check-Jul''26'!AQ340,"",'1. Live'!AU340-'check-Jul''26'!AQ340)</f>
        <v/>
      </c>
      <c r="AR322" s="25" t="str">
        <f>IF('1. Live'!AV340='check-Jul''26'!AR340,"",'1. Live'!AV340-'check-Jul''26'!AR340)</f>
        <v/>
      </c>
      <c r="AS322" s="25" t="str">
        <f>IF('1. Live'!AW340='check-Jul''26'!AS340,"",'1. Live'!AW340-'check-Jul''26'!AS340)</f>
        <v/>
      </c>
      <c r="AT322" s="25" t="str">
        <f>IF('1. Live'!AX340='check-Jul''26'!AT340,"",'1. Live'!AX340-'check-Jul''26'!AT340)</f>
        <v/>
      </c>
      <c r="AU322" s="25" t="str">
        <f>IF('1. Live'!AY340='check-Jul''26'!AU340,"",'1. Live'!AY340-'check-Jul''26'!AU340)</f>
        <v/>
      </c>
      <c r="AV322" s="25" t="str">
        <f>IF('1. Live'!AZ340='check-Jul''26'!AV340,"",'1. Live'!AZ340-'check-Jul''26'!AV340)</f>
        <v/>
      </c>
      <c r="AW322" s="25" t="str">
        <f>IF('1. Live'!BA340='check-Jul''26'!AW340,"",'1. Live'!BA340-'check-Jul''26'!AW340)</f>
        <v/>
      </c>
      <c r="AX322" s="25" t="str">
        <f>IF('1. Live'!BB340='check-Jul''26'!AX340,"",'1. Live'!BB340-'check-Jul''26'!AX340)</f>
        <v/>
      </c>
      <c r="AY322" s="25" t="str">
        <f>IF('1. Live'!BC340='check-Jul''26'!AY340,"",'1. Live'!BC340-'check-Jul''26'!AY340)</f>
        <v/>
      </c>
      <c r="AZ322" s="25" t="str">
        <f>IF('1. Live'!BD340='check-Jul''26'!AZ340,"",'1. Live'!BD340-'check-Jul''26'!AZ340)</f>
        <v/>
      </c>
      <c r="BA322" s="25" t="str">
        <f>IF('1. Live'!BE340='check-Jul''26'!BA340,"",'1. Live'!BE340-'check-Jul''26'!BA340)</f>
        <v/>
      </c>
      <c r="BB322" s="25" t="str">
        <f>IF('1. Live'!BF340='check-Jul''26'!BB340,"",'1. Live'!BF340-'check-Jul''26'!BB340)</f>
        <v/>
      </c>
      <c r="BC322" s="25" t="str">
        <f>IF('1. Live'!BG340='check-Jul''26'!BC340,"",'1. Live'!BG340-'check-Jul''26'!BC340)</f>
        <v/>
      </c>
      <c r="BD322" s="25" t="str">
        <f>IF('1. Live'!BH340='check-Jul''26'!BD340,"",'1. Live'!BH340-'check-Jul''26'!BD340)</f>
        <v/>
      </c>
      <c r="BE322" s="25" t="str">
        <f>IF('1. Live'!BI340='check-Jul''26'!BE340,"",'1. Live'!BI340-'check-Jul''26'!BE340)</f>
        <v/>
      </c>
      <c r="BF322" s="25" t="str">
        <f>IF('1. Live'!BJ340='check-Jul''26'!BF340,"",'1. Live'!BJ340-'check-Jul''26'!BF340)</f>
        <v/>
      </c>
      <c r="BG322" s="25" t="str">
        <f>IF('1. Live'!BK340='check-Jul''26'!BG340,"",'1. Live'!BK340-'check-Jul''26'!BG340)</f>
        <v/>
      </c>
      <c r="BH322" s="25" t="str">
        <f>IF('1. Live'!BL340='check-Jul''26'!BH340,"",'1. Live'!BL340-'check-Jul''26'!BH340)</f>
        <v/>
      </c>
      <c r="BI322" s="25" t="str">
        <f>IF('1. Live'!BM340='check-Jul''26'!BI340,"",'1. Live'!BM340-'check-Jul''26'!BI340)</f>
        <v/>
      </c>
      <c r="BJ322" s="25" t="str">
        <f>IF('1. Live'!BN340='check-Jul''26'!BJ340,"",'1. Live'!BN340-'check-Jul''26'!BJ340)</f>
        <v/>
      </c>
      <c r="BK322" s="25" t="str">
        <f>IF('1. Live'!BO340='check-Jul''26'!BK340,"",'1. Live'!BO340-'check-Jul''26'!BK340)</f>
        <v/>
      </c>
      <c r="BL322" s="25" t="str">
        <f>IF('1. Live'!BP340='check-Jul''26'!BL340,"",'1. Live'!BP340-'check-Jul''26'!BL340)</f>
        <v/>
      </c>
      <c r="BM322" s="25" t="str">
        <f>IF('1. Live'!BQ340='check-Jul''26'!BM340,"",'1. Live'!BQ340-'check-Jul''26'!BM340)</f>
        <v/>
      </c>
      <c r="BN322" s="25" t="str">
        <f>IF('1. Live'!BR340='check-Jul''26'!BN340,"",'1. Live'!BR340-'check-Jul''26'!BN340)</f>
        <v/>
      </c>
      <c r="BO322" s="25" t="str">
        <f>IF('1. Live'!BS340='check-Jul''26'!BO340,"",'1. Live'!BS340-'check-Jul''26'!BO340)</f>
        <v/>
      </c>
      <c r="BP322" s="25" t="str">
        <f>IF('1. Live'!BT340='check-Jul''26'!BP340,"",'1. Live'!BT340-'check-Jul''26'!BP340)</f>
        <v/>
      </c>
      <c r="BQ322" s="25" t="str">
        <f>IF('1. Live'!BU340='check-Jul''26'!BQ340,"",'1. Live'!BU340-'check-Jul''26'!BQ340)</f>
        <v/>
      </c>
      <c r="BR322" s="25" t="str">
        <f>IF('1. Live'!BV340='check-Jul''26'!BR340,"",'1. Live'!BV340-'check-Jul''26'!BR340)</f>
        <v/>
      </c>
      <c r="BS322" s="25" t="str">
        <f>IF('1. Live'!BW340='check-Jul''26'!BS340,"",'1. Live'!BW340-'check-Jul''26'!BS340)</f>
        <v/>
      </c>
      <c r="BT322" s="25" t="str">
        <f>IF('1. Live'!BX340='check-Jul''26'!BT340,"",'1. Live'!BX340-'check-Jul''26'!BT340)</f>
        <v/>
      </c>
      <c r="BU322" s="25" t="str">
        <f>IF('1. Live'!BY340='check-Jul''26'!BU340,"",'1. Live'!BY340-'check-Jul''26'!BU340)</f>
        <v/>
      </c>
      <c r="BV322" s="25" t="str">
        <f>IF('1. Live'!BZ340='check-Jul''26'!BV340,"",'1. Live'!BZ340-'check-Jul''26'!BV340)</f>
        <v/>
      </c>
      <c r="BW322" s="25" t="str">
        <f>IF('1. Live'!CA340='check-Jul''26'!BW340,"",'1. Live'!CA340-'check-Jul''26'!BW340)</f>
        <v/>
      </c>
      <c r="BX322" s="25" t="str">
        <f>IF('1. Live'!CB340='check-Jul''26'!BX340,"",'1. Live'!CB340-'check-Jul''26'!BX340)</f>
        <v/>
      </c>
      <c r="BY322" s="25" t="str">
        <f>IF('1. Live'!CC340='check-Jul''26'!BY340,"",'1. Live'!CC340-'check-Jul''26'!BY340)</f>
        <v/>
      </c>
      <c r="BZ322" s="25" t="str">
        <f>IF('1. Live'!CD340='check-Jul''26'!BZ340,"",'1. Live'!CD340-'check-Jul''26'!BZ340)</f>
        <v/>
      </c>
      <c r="CA322" s="25" t="str">
        <f>IF('1. Live'!CE340='check-Jul''26'!CA340,"",'1. Live'!CE340-'check-Jul''26'!CA340)</f>
        <v/>
      </c>
      <c r="CB322" s="25" t="str">
        <f>IF('1. Live'!CF340='check-Jul''26'!CB340,"",'1. Live'!CF340-'check-Jul''26'!CB340)</f>
        <v/>
      </c>
      <c r="CC322" s="25" t="str">
        <f>IF('1. Live'!CG340='check-Jul''26'!CC340,"",'1. Live'!CG340-'check-Jul''26'!CC340)</f>
        <v/>
      </c>
      <c r="CD322" s="25" t="str">
        <f>IF('1. Live'!CH340='check-Jul''26'!CD340,"",'1. Live'!CH340-'check-Jul''26'!CD340)</f>
        <v/>
      </c>
      <c r="CE322" s="25" t="str">
        <f>IF('1. Live'!CI340='check-Jul''26'!CE340,"",'1. Live'!CI340-'check-Jul''26'!CE340)</f>
        <v/>
      </c>
      <c r="CF322" s="25" t="str">
        <f>IF('1. Live'!CJ340='check-Jul''26'!CF340,"",'1. Live'!CJ340-'check-Jul''26'!CF340)</f>
        <v/>
      </c>
      <c r="CG322" s="25" t="str">
        <f>IF('1. Live'!CK340='check-Jul''26'!CG340,"",'1. Live'!CK340-'check-Jul''26'!CG340)</f>
        <v/>
      </c>
      <c r="CH322" s="25" t="str">
        <f>IF('1. Live'!CL340='check-Jul''26'!CH340,"",'1. Live'!CL340-'check-Jul''26'!CH340)</f>
        <v/>
      </c>
      <c r="CI322" s="25" t="str">
        <f>IF('1. Live'!CM340='check-Jul''26'!CI340,"",'1. Live'!CM340-'check-Jul''26'!CI340)</f>
        <v/>
      </c>
      <c r="CJ322" s="25" t="str">
        <f>IF('1. Live'!CN340='check-Jul''26'!CJ340,"",'1. Live'!CN340-'check-Jul''26'!CJ340)</f>
        <v/>
      </c>
      <c r="CK322" s="25" t="str">
        <f>IF('1. Live'!CO340='check-Jul''26'!CK340,"",'1. Live'!CO340-'check-Jul''26'!CK340)</f>
        <v/>
      </c>
      <c r="CL322" s="25" t="str">
        <f>IF('1. Live'!CP340='check-Jul''26'!CL340,"",'1. Live'!CP340-'check-Jul''26'!CL340)</f>
        <v/>
      </c>
      <c r="CM322" s="25" t="str">
        <f>IF('1. Live'!CQ340='check-Jul''26'!CM340,"",'1. Live'!CQ340-'check-Jul''26'!CM340)</f>
        <v/>
      </c>
      <c r="CN322" s="25" t="str">
        <f>IF('1. Live'!CR340='check-Jul''26'!CN340,"",'1. Live'!CR340-'check-Jul''26'!CN340)</f>
        <v/>
      </c>
      <c r="CO322" s="25" t="str">
        <f>IF('1. Live'!CS340='check-Jul''26'!CO340,"",'1. Live'!CS340-'check-Jul''26'!CO340)</f>
        <v/>
      </c>
      <c r="CP322" s="25" t="str">
        <f>IF('1. Live'!CT340='check-Jul''26'!CP340,"",'1. Live'!CT340-'check-Jul''26'!CP340)</f>
        <v/>
      </c>
      <c r="CQ322" s="25" t="str">
        <f>IF('1. Live'!CU340='check-Jul''26'!CQ340,"",'1. Live'!CU340-'check-Jul''26'!CQ340)</f>
        <v/>
      </c>
      <c r="CR322" s="25" t="str">
        <f>IF('1. Live'!CV340='check-Jul''26'!CR340,"",'1. Live'!CV340-'check-Jul''26'!CR340)</f>
        <v/>
      </c>
      <c r="CS322" s="25" t="str">
        <f>IF('1. Live'!CW340='check-Jul''26'!CS340,"",'1. Live'!CW340-'check-Jul''26'!CS340)</f>
        <v/>
      </c>
      <c r="CT322" s="25" t="str">
        <f>IF('1. Live'!CX340='check-Jul''26'!CT340,"",'1. Live'!CX340-'check-Jul''26'!CT340)</f>
        <v/>
      </c>
      <c r="CU322" s="25" t="str">
        <f>IF('1. Live'!CY340='check-Jul''26'!CU340,"",'1. Live'!CY340-'check-Jul''26'!CU340)</f>
        <v/>
      </c>
      <c r="CV322" s="25" t="str">
        <f>IF('1. Live'!CZ340='check-Jul''26'!CV340,"",'1. Live'!CZ340-'check-Jul''26'!CV340)</f>
        <v/>
      </c>
    </row>
    <row r="323" spans="17:100" x14ac:dyDescent="0.25">
      <c r="Q323" s="26" t="str">
        <f>IF('1. Live'!N341='check-Jul''26'!I341,"",'1. Live'!N341-'check-Jul''26'!I341)</f>
        <v/>
      </c>
      <c r="R323" s="26" t="str">
        <f>IF('1. Live'!O341='check-Jul''26'!J341,"",'1. Live'!O341-'check-Jul''26'!J341)</f>
        <v/>
      </c>
      <c r="S323" s="26" t="str">
        <f>IF('1. Live'!P341='check-Jul''26'!K341,"",'1. Live'!P341-'check-Jul''26'!K341)</f>
        <v/>
      </c>
      <c r="T323" s="26" t="str">
        <f>IF('1. Live'!Q341='check-Jul''26'!L341,"",'1. Live'!Q341-'check-Jul''26'!L341)</f>
        <v/>
      </c>
      <c r="U323" s="80" t="str">
        <f>IF('1. Live'!R341='check-Jul''26'!M341,"",'1. Live'!R341-'check-Jul''26'!M341)</f>
        <v/>
      </c>
      <c r="V323" s="26" t="str">
        <f>IF('1. Live'!S341='check-Jul''26'!N341,"",'1. Live'!S341-'check-Jul''26'!N341)</f>
        <v/>
      </c>
      <c r="W323" s="25" t="str">
        <f>IF('1. Live'!T341='check-Jul''26'!O341,"",'1. Live'!T341-'check-Jul''26'!O341)</f>
        <v/>
      </c>
      <c r="X323" s="25" t="str">
        <f>IF('1. Live'!U341='check-Jul''26'!Q341,"",'1. Live'!U341-'check-Jul''26'!Q341)</f>
        <v/>
      </c>
      <c r="Y323" s="25" t="str">
        <f>IF('1. Live'!V341='check-Jul''26'!R341,"",'1. Live'!V341-'check-Jul''26'!R341)</f>
        <v/>
      </c>
      <c r="Z323" s="25" t="str">
        <f>IF('1. Live'!W341='check-Jul''26'!S341,"",'1. Live'!W341-'check-Jul''26'!S341)</f>
        <v/>
      </c>
      <c r="AA323" s="25" t="str">
        <f>IF('1. Live'!X341='check-Jul''26'!T341,"",'1. Live'!X341-'check-Jul''26'!T341)</f>
        <v/>
      </c>
      <c r="AB323" s="25" t="str">
        <f>IF('1. Live'!AF341='check-Jul''26'!AB341,"",'1. Live'!AF341-'check-Jul''26'!AB341)</f>
        <v/>
      </c>
      <c r="AC323" s="25" t="str">
        <f>IF('1. Live'!AG341='check-Jul''26'!AC341,"",'1. Live'!AG341-'check-Jul''26'!AC341)</f>
        <v/>
      </c>
      <c r="AD323" s="25" t="str">
        <f>IF('1. Live'!AH341='check-Jul''26'!AD341,"",'1. Live'!AH341-'check-Jul''26'!AD341)</f>
        <v/>
      </c>
      <c r="AE323" s="25" t="str">
        <f>IF('1. Live'!AI341='check-Jul''26'!AE341,"",'1. Live'!AI341-'check-Jul''26'!AE341)</f>
        <v/>
      </c>
      <c r="AF323" s="25" t="str">
        <f>IF('1. Live'!AJ341='check-Jul''26'!AF341,"",'1. Live'!AJ341-'check-Jul''26'!AF341)</f>
        <v/>
      </c>
      <c r="AG323" s="25" t="str">
        <f>IF('1. Live'!AK341='check-Jul''26'!AG341,"",'1. Live'!AK341-'check-Jul''26'!AG341)</f>
        <v/>
      </c>
      <c r="AH323" s="25" t="str">
        <f>IF('1. Live'!AL341='check-Jul''26'!AH341,"",'1. Live'!AL341-'check-Jul''26'!AH341)</f>
        <v/>
      </c>
      <c r="AI323" s="25" t="str">
        <f>IF('1. Live'!AM341='check-Jul''26'!AI341,"",'1. Live'!AM341-'check-Jul''26'!AI341)</f>
        <v/>
      </c>
      <c r="AJ323" s="25" t="str">
        <f>IF('1. Live'!AN341='check-Jul''26'!AJ341,"",'1. Live'!AN341-'check-Jul''26'!AJ341)</f>
        <v/>
      </c>
      <c r="AK323" s="25" t="str">
        <f>IF('1. Live'!AO341='check-Jul''26'!AK341,"",'1. Live'!AO341-'check-Jul''26'!AK341)</f>
        <v/>
      </c>
      <c r="AL323" s="25" t="str">
        <f>IF('1. Live'!AP341='check-Jul''26'!AL341,"",'1. Live'!AP341-'check-Jul''26'!AL341)</f>
        <v/>
      </c>
      <c r="AM323" s="25" t="str">
        <f>IF('1. Live'!AQ341='check-Jul''26'!AM341,"",'1. Live'!AQ341-'check-Jul''26'!AM341)</f>
        <v/>
      </c>
      <c r="AN323" s="25" t="str">
        <f>IF('1. Live'!AR341='check-Jul''26'!AN341,"",'1. Live'!AR341-'check-Jul''26'!AN341)</f>
        <v/>
      </c>
      <c r="AO323" s="25" t="str">
        <f>IF('1. Live'!AS341='check-Jul''26'!AO341,"",'1. Live'!AS341-'check-Jul''26'!AO341)</f>
        <v/>
      </c>
      <c r="AP323" s="25" t="str">
        <f>IF('1. Live'!AT341='check-Jul''26'!AP341,"",'1. Live'!AT341-'check-Jul''26'!AP341)</f>
        <v/>
      </c>
      <c r="AQ323" s="25" t="str">
        <f>IF('1. Live'!AU341='check-Jul''26'!AQ341,"",'1. Live'!AU341-'check-Jul''26'!AQ341)</f>
        <v/>
      </c>
      <c r="AR323" s="25" t="str">
        <f>IF('1. Live'!AV341='check-Jul''26'!AR341,"",'1. Live'!AV341-'check-Jul''26'!AR341)</f>
        <v/>
      </c>
      <c r="AS323" s="25" t="str">
        <f>IF('1. Live'!AW341='check-Jul''26'!AS341,"",'1. Live'!AW341-'check-Jul''26'!AS341)</f>
        <v/>
      </c>
      <c r="AT323" s="25" t="str">
        <f>IF('1. Live'!AX341='check-Jul''26'!AT341,"",'1. Live'!AX341-'check-Jul''26'!AT341)</f>
        <v/>
      </c>
      <c r="AU323" s="25" t="str">
        <f>IF('1. Live'!AY341='check-Jul''26'!AU341,"",'1. Live'!AY341-'check-Jul''26'!AU341)</f>
        <v/>
      </c>
      <c r="AV323" s="25" t="str">
        <f>IF('1. Live'!AZ341='check-Jul''26'!AV341,"",'1. Live'!AZ341-'check-Jul''26'!AV341)</f>
        <v/>
      </c>
      <c r="AW323" s="25" t="str">
        <f>IF('1. Live'!BA341='check-Jul''26'!AW341,"",'1. Live'!BA341-'check-Jul''26'!AW341)</f>
        <v/>
      </c>
      <c r="AX323" s="25" t="str">
        <f>IF('1. Live'!BB341='check-Jul''26'!AX341,"",'1. Live'!BB341-'check-Jul''26'!AX341)</f>
        <v/>
      </c>
      <c r="AY323" s="25" t="str">
        <f>IF('1. Live'!BC341='check-Jul''26'!AY341,"",'1. Live'!BC341-'check-Jul''26'!AY341)</f>
        <v/>
      </c>
      <c r="AZ323" s="25" t="str">
        <f>IF('1. Live'!BD341='check-Jul''26'!AZ341,"",'1. Live'!BD341-'check-Jul''26'!AZ341)</f>
        <v/>
      </c>
      <c r="BA323" s="25" t="str">
        <f>IF('1. Live'!BE341='check-Jul''26'!BA341,"",'1. Live'!BE341-'check-Jul''26'!BA341)</f>
        <v/>
      </c>
      <c r="BB323" s="25" t="str">
        <f>IF('1. Live'!BF341='check-Jul''26'!BB341,"",'1. Live'!BF341-'check-Jul''26'!BB341)</f>
        <v/>
      </c>
      <c r="BC323" s="25" t="str">
        <f>IF('1. Live'!BG341='check-Jul''26'!BC341,"",'1. Live'!BG341-'check-Jul''26'!BC341)</f>
        <v/>
      </c>
      <c r="BD323" s="25" t="str">
        <f>IF('1. Live'!BH341='check-Jul''26'!BD341,"",'1. Live'!BH341-'check-Jul''26'!BD341)</f>
        <v/>
      </c>
      <c r="BE323" s="25" t="str">
        <f>IF('1. Live'!BI341='check-Jul''26'!BE341,"",'1. Live'!BI341-'check-Jul''26'!BE341)</f>
        <v/>
      </c>
      <c r="BF323" s="25" t="str">
        <f>IF('1. Live'!BJ341='check-Jul''26'!BF341,"",'1. Live'!BJ341-'check-Jul''26'!BF341)</f>
        <v/>
      </c>
      <c r="BG323" s="25" t="str">
        <f>IF('1. Live'!BK341='check-Jul''26'!BG341,"",'1. Live'!BK341-'check-Jul''26'!BG341)</f>
        <v/>
      </c>
      <c r="BH323" s="25" t="str">
        <f>IF('1. Live'!BL341='check-Jul''26'!BH341,"",'1. Live'!BL341-'check-Jul''26'!BH341)</f>
        <v/>
      </c>
      <c r="BI323" s="25" t="str">
        <f>IF('1. Live'!BM341='check-Jul''26'!BI341,"",'1. Live'!BM341-'check-Jul''26'!BI341)</f>
        <v/>
      </c>
      <c r="BJ323" s="25" t="str">
        <f>IF('1. Live'!BN341='check-Jul''26'!BJ341,"",'1. Live'!BN341-'check-Jul''26'!BJ341)</f>
        <v/>
      </c>
      <c r="BK323" s="25" t="str">
        <f>IF('1. Live'!BO341='check-Jul''26'!BK341,"",'1. Live'!BO341-'check-Jul''26'!BK341)</f>
        <v/>
      </c>
      <c r="BL323" s="25" t="str">
        <f>IF('1. Live'!BP341='check-Jul''26'!BL341,"",'1. Live'!BP341-'check-Jul''26'!BL341)</f>
        <v/>
      </c>
      <c r="BM323" s="25" t="str">
        <f>IF('1. Live'!BQ341='check-Jul''26'!BM341,"",'1. Live'!BQ341-'check-Jul''26'!BM341)</f>
        <v/>
      </c>
      <c r="BN323" s="25" t="str">
        <f>IF('1. Live'!BR341='check-Jul''26'!BN341,"",'1. Live'!BR341-'check-Jul''26'!BN341)</f>
        <v/>
      </c>
      <c r="BO323" s="25" t="str">
        <f>IF('1. Live'!BS341='check-Jul''26'!BO341,"",'1. Live'!BS341-'check-Jul''26'!BO341)</f>
        <v/>
      </c>
      <c r="BP323" s="25" t="str">
        <f>IF('1. Live'!BT341='check-Jul''26'!BP341,"",'1. Live'!BT341-'check-Jul''26'!BP341)</f>
        <v/>
      </c>
      <c r="BQ323" s="25" t="str">
        <f>IF('1. Live'!BU341='check-Jul''26'!BQ341,"",'1. Live'!BU341-'check-Jul''26'!BQ341)</f>
        <v/>
      </c>
      <c r="BR323" s="25" t="str">
        <f>IF('1. Live'!BV341='check-Jul''26'!BR341,"",'1. Live'!BV341-'check-Jul''26'!BR341)</f>
        <v/>
      </c>
      <c r="BS323" s="25" t="str">
        <f>IF('1. Live'!BW341='check-Jul''26'!BS341,"",'1. Live'!BW341-'check-Jul''26'!BS341)</f>
        <v/>
      </c>
      <c r="BT323" s="25" t="str">
        <f>IF('1. Live'!BX341='check-Jul''26'!BT341,"",'1. Live'!BX341-'check-Jul''26'!BT341)</f>
        <v/>
      </c>
      <c r="BU323" s="25" t="str">
        <f>IF('1. Live'!BY341='check-Jul''26'!BU341,"",'1. Live'!BY341-'check-Jul''26'!BU341)</f>
        <v/>
      </c>
      <c r="BV323" s="25" t="str">
        <f>IF('1. Live'!BZ341='check-Jul''26'!BV341,"",'1. Live'!BZ341-'check-Jul''26'!BV341)</f>
        <v/>
      </c>
      <c r="BW323" s="25" t="str">
        <f>IF('1. Live'!CA341='check-Jul''26'!BW341,"",'1. Live'!CA341-'check-Jul''26'!BW341)</f>
        <v/>
      </c>
      <c r="BX323" s="25" t="str">
        <f>IF('1. Live'!CB341='check-Jul''26'!BX341,"",'1. Live'!CB341-'check-Jul''26'!BX341)</f>
        <v/>
      </c>
      <c r="BY323" s="25" t="str">
        <f>IF('1. Live'!CC341='check-Jul''26'!BY341,"",'1. Live'!CC341-'check-Jul''26'!BY341)</f>
        <v/>
      </c>
      <c r="BZ323" s="25" t="str">
        <f>IF('1. Live'!CD341='check-Jul''26'!BZ341,"",'1. Live'!CD341-'check-Jul''26'!BZ341)</f>
        <v/>
      </c>
      <c r="CA323" s="25" t="str">
        <f>IF('1. Live'!CE341='check-Jul''26'!CA341,"",'1. Live'!CE341-'check-Jul''26'!CA341)</f>
        <v/>
      </c>
      <c r="CB323" s="25" t="str">
        <f>IF('1. Live'!CF341='check-Jul''26'!CB341,"",'1. Live'!CF341-'check-Jul''26'!CB341)</f>
        <v/>
      </c>
      <c r="CC323" s="25" t="str">
        <f>IF('1. Live'!CG341='check-Jul''26'!CC341,"",'1. Live'!CG341-'check-Jul''26'!CC341)</f>
        <v/>
      </c>
      <c r="CD323" s="25" t="str">
        <f>IF('1. Live'!CH341='check-Jul''26'!CD341,"",'1. Live'!CH341-'check-Jul''26'!CD341)</f>
        <v/>
      </c>
      <c r="CE323" s="25" t="str">
        <f>IF('1. Live'!CI341='check-Jul''26'!CE341,"",'1. Live'!CI341-'check-Jul''26'!CE341)</f>
        <v/>
      </c>
      <c r="CF323" s="25" t="str">
        <f>IF('1. Live'!CJ341='check-Jul''26'!CF341,"",'1. Live'!CJ341-'check-Jul''26'!CF341)</f>
        <v/>
      </c>
      <c r="CG323" s="25" t="str">
        <f>IF('1. Live'!CK341='check-Jul''26'!CG341,"",'1. Live'!CK341-'check-Jul''26'!CG341)</f>
        <v/>
      </c>
      <c r="CH323" s="25" t="str">
        <f>IF('1. Live'!CL341='check-Jul''26'!CH341,"",'1. Live'!CL341-'check-Jul''26'!CH341)</f>
        <v/>
      </c>
      <c r="CI323" s="25" t="str">
        <f>IF('1. Live'!CM341='check-Jul''26'!CI341,"",'1. Live'!CM341-'check-Jul''26'!CI341)</f>
        <v/>
      </c>
      <c r="CJ323" s="25" t="str">
        <f>IF('1. Live'!CN341='check-Jul''26'!CJ341,"",'1. Live'!CN341-'check-Jul''26'!CJ341)</f>
        <v/>
      </c>
      <c r="CK323" s="25" t="str">
        <f>IF('1. Live'!CO341='check-Jul''26'!CK341,"",'1. Live'!CO341-'check-Jul''26'!CK341)</f>
        <v/>
      </c>
      <c r="CL323" s="25" t="str">
        <f>IF('1. Live'!CP341='check-Jul''26'!CL341,"",'1. Live'!CP341-'check-Jul''26'!CL341)</f>
        <v/>
      </c>
      <c r="CM323" s="25" t="str">
        <f>IF('1. Live'!CQ341='check-Jul''26'!CM341,"",'1. Live'!CQ341-'check-Jul''26'!CM341)</f>
        <v/>
      </c>
      <c r="CN323" s="25" t="str">
        <f>IF('1. Live'!CR341='check-Jul''26'!CN341,"",'1. Live'!CR341-'check-Jul''26'!CN341)</f>
        <v/>
      </c>
      <c r="CO323" s="25" t="str">
        <f>IF('1. Live'!CS341='check-Jul''26'!CO341,"",'1. Live'!CS341-'check-Jul''26'!CO341)</f>
        <v/>
      </c>
      <c r="CP323" s="25" t="str">
        <f>IF('1. Live'!CT341='check-Jul''26'!CP341,"",'1. Live'!CT341-'check-Jul''26'!CP341)</f>
        <v/>
      </c>
      <c r="CQ323" s="25" t="str">
        <f>IF('1. Live'!CU341='check-Jul''26'!CQ341,"",'1. Live'!CU341-'check-Jul''26'!CQ341)</f>
        <v/>
      </c>
      <c r="CR323" s="25" t="str">
        <f>IF('1. Live'!CV341='check-Jul''26'!CR341,"",'1. Live'!CV341-'check-Jul''26'!CR341)</f>
        <v/>
      </c>
      <c r="CS323" s="25" t="str">
        <f>IF('1. Live'!CW341='check-Jul''26'!CS341,"",'1. Live'!CW341-'check-Jul''26'!CS341)</f>
        <v/>
      </c>
      <c r="CT323" s="25" t="str">
        <f>IF('1. Live'!CX341='check-Jul''26'!CT341,"",'1. Live'!CX341-'check-Jul''26'!CT341)</f>
        <v/>
      </c>
      <c r="CU323" s="25" t="str">
        <f>IF('1. Live'!CY341='check-Jul''26'!CU341,"",'1. Live'!CY341-'check-Jul''26'!CU341)</f>
        <v/>
      </c>
      <c r="CV323" s="25" t="str">
        <f>IF('1. Live'!CZ341='check-Jul''26'!CV341,"",'1. Live'!CZ341-'check-Jul''26'!CV341)</f>
        <v/>
      </c>
    </row>
    <row r="324" spans="17:100" x14ac:dyDescent="0.25">
      <c r="Q324" s="26" t="str">
        <f>IF('1. Live'!N342='check-Jul''26'!I342,"",'1. Live'!N342-'check-Jul''26'!I342)</f>
        <v/>
      </c>
      <c r="R324" s="26" t="str">
        <f>IF('1. Live'!O342='check-Jul''26'!J342,"",'1. Live'!O342-'check-Jul''26'!J342)</f>
        <v/>
      </c>
      <c r="S324" s="26" t="str">
        <f>IF('1. Live'!P342='check-Jul''26'!K342,"",'1. Live'!P342-'check-Jul''26'!K342)</f>
        <v/>
      </c>
      <c r="T324" s="26" t="str">
        <f>IF('1. Live'!Q342='check-Jul''26'!L342,"",'1. Live'!Q342-'check-Jul''26'!L342)</f>
        <v/>
      </c>
      <c r="U324" s="80" t="str">
        <f>IF('1. Live'!R342='check-Jul''26'!M342,"",'1. Live'!R342-'check-Jul''26'!M342)</f>
        <v/>
      </c>
      <c r="V324" s="26" t="str">
        <f>IF('1. Live'!S342='check-Jul''26'!N342,"",'1. Live'!S342-'check-Jul''26'!N342)</f>
        <v/>
      </c>
      <c r="W324" s="25" t="str">
        <f>IF('1. Live'!T342='check-Jul''26'!O342,"",'1. Live'!T342-'check-Jul''26'!O342)</f>
        <v/>
      </c>
      <c r="X324" s="25" t="str">
        <f>IF('1. Live'!U342='check-Jul''26'!Q342,"",'1. Live'!U342-'check-Jul''26'!Q342)</f>
        <v/>
      </c>
      <c r="Y324" s="25" t="str">
        <f>IF('1. Live'!V342='check-Jul''26'!R342,"",'1. Live'!V342-'check-Jul''26'!R342)</f>
        <v/>
      </c>
      <c r="Z324" s="25" t="str">
        <f>IF('1. Live'!W342='check-Jul''26'!S342,"",'1. Live'!W342-'check-Jul''26'!S342)</f>
        <v/>
      </c>
      <c r="AA324" s="25" t="str">
        <f>IF('1. Live'!X342='check-Jul''26'!T342,"",'1. Live'!X342-'check-Jul''26'!T342)</f>
        <v/>
      </c>
      <c r="AB324" s="25" t="str">
        <f>IF('1. Live'!AF342='check-Jul''26'!AB342,"",'1. Live'!AF342-'check-Jul''26'!AB342)</f>
        <v/>
      </c>
      <c r="AC324" s="25" t="str">
        <f>IF('1. Live'!AG342='check-Jul''26'!AC342,"",'1. Live'!AG342-'check-Jul''26'!AC342)</f>
        <v/>
      </c>
      <c r="AD324" s="25" t="str">
        <f>IF('1. Live'!AH342='check-Jul''26'!AD342,"",'1. Live'!AH342-'check-Jul''26'!AD342)</f>
        <v/>
      </c>
      <c r="AE324" s="25" t="str">
        <f>IF('1. Live'!AI342='check-Jul''26'!AE342,"",'1. Live'!AI342-'check-Jul''26'!AE342)</f>
        <v/>
      </c>
      <c r="AF324" s="25" t="str">
        <f>IF('1. Live'!AJ342='check-Jul''26'!AF342,"",'1. Live'!AJ342-'check-Jul''26'!AF342)</f>
        <v/>
      </c>
      <c r="AG324" s="25" t="str">
        <f>IF('1. Live'!AK342='check-Jul''26'!AG342,"",'1. Live'!AK342-'check-Jul''26'!AG342)</f>
        <v/>
      </c>
      <c r="AH324" s="25" t="str">
        <f>IF('1. Live'!AL342='check-Jul''26'!AH342,"",'1. Live'!AL342-'check-Jul''26'!AH342)</f>
        <v/>
      </c>
      <c r="AI324" s="25" t="str">
        <f>IF('1. Live'!AM342='check-Jul''26'!AI342,"",'1. Live'!AM342-'check-Jul''26'!AI342)</f>
        <v/>
      </c>
      <c r="AJ324" s="25" t="str">
        <f>IF('1. Live'!AN342='check-Jul''26'!AJ342,"",'1. Live'!AN342-'check-Jul''26'!AJ342)</f>
        <v/>
      </c>
      <c r="AK324" s="25" t="str">
        <f>IF('1. Live'!AO342='check-Jul''26'!AK342,"",'1. Live'!AO342-'check-Jul''26'!AK342)</f>
        <v/>
      </c>
      <c r="AL324" s="25" t="str">
        <f>IF('1. Live'!AP342='check-Jul''26'!AL342,"",'1. Live'!AP342-'check-Jul''26'!AL342)</f>
        <v/>
      </c>
      <c r="AM324" s="25" t="str">
        <f>IF('1. Live'!AQ342='check-Jul''26'!AM342,"",'1. Live'!AQ342-'check-Jul''26'!AM342)</f>
        <v/>
      </c>
      <c r="AN324" s="25" t="str">
        <f>IF('1. Live'!AR342='check-Jul''26'!AN342,"",'1. Live'!AR342-'check-Jul''26'!AN342)</f>
        <v/>
      </c>
      <c r="AO324" s="25" t="str">
        <f>IF('1. Live'!AS342='check-Jul''26'!AO342,"",'1. Live'!AS342-'check-Jul''26'!AO342)</f>
        <v/>
      </c>
      <c r="AP324" s="25" t="str">
        <f>IF('1. Live'!AT342='check-Jul''26'!AP342,"",'1. Live'!AT342-'check-Jul''26'!AP342)</f>
        <v/>
      </c>
      <c r="AQ324" s="25" t="str">
        <f>IF('1. Live'!AU342='check-Jul''26'!AQ342,"",'1. Live'!AU342-'check-Jul''26'!AQ342)</f>
        <v/>
      </c>
      <c r="AR324" s="25" t="str">
        <f>IF('1. Live'!AV342='check-Jul''26'!AR342,"",'1. Live'!AV342-'check-Jul''26'!AR342)</f>
        <v/>
      </c>
      <c r="AS324" s="25" t="str">
        <f>IF('1. Live'!AW342='check-Jul''26'!AS342,"",'1. Live'!AW342-'check-Jul''26'!AS342)</f>
        <v/>
      </c>
      <c r="AT324" s="25" t="str">
        <f>IF('1. Live'!AX342='check-Jul''26'!AT342,"",'1. Live'!AX342-'check-Jul''26'!AT342)</f>
        <v/>
      </c>
      <c r="AU324" s="25" t="str">
        <f>IF('1. Live'!AY342='check-Jul''26'!AU342,"",'1. Live'!AY342-'check-Jul''26'!AU342)</f>
        <v/>
      </c>
      <c r="AV324" s="25" t="str">
        <f>IF('1. Live'!AZ342='check-Jul''26'!AV342,"",'1. Live'!AZ342-'check-Jul''26'!AV342)</f>
        <v/>
      </c>
      <c r="AW324" s="25" t="str">
        <f>IF('1. Live'!BA342='check-Jul''26'!AW342,"",'1. Live'!BA342-'check-Jul''26'!AW342)</f>
        <v/>
      </c>
      <c r="AX324" s="25" t="str">
        <f>IF('1. Live'!BB342='check-Jul''26'!AX342,"",'1. Live'!BB342-'check-Jul''26'!AX342)</f>
        <v/>
      </c>
      <c r="AY324" s="25" t="str">
        <f>IF('1. Live'!BC342='check-Jul''26'!AY342,"",'1. Live'!BC342-'check-Jul''26'!AY342)</f>
        <v/>
      </c>
      <c r="AZ324" s="25" t="str">
        <f>IF('1. Live'!BD342='check-Jul''26'!AZ342,"",'1. Live'!BD342-'check-Jul''26'!AZ342)</f>
        <v/>
      </c>
      <c r="BA324" s="25" t="str">
        <f>IF('1. Live'!BE342='check-Jul''26'!BA342,"",'1. Live'!BE342-'check-Jul''26'!BA342)</f>
        <v/>
      </c>
      <c r="BB324" s="25" t="str">
        <f>IF('1. Live'!BF342='check-Jul''26'!BB342,"",'1. Live'!BF342-'check-Jul''26'!BB342)</f>
        <v/>
      </c>
      <c r="BC324" s="25" t="str">
        <f>IF('1. Live'!BG342='check-Jul''26'!BC342,"",'1. Live'!BG342-'check-Jul''26'!BC342)</f>
        <v/>
      </c>
      <c r="BD324" s="25" t="str">
        <f>IF('1. Live'!BH342='check-Jul''26'!BD342,"",'1. Live'!BH342-'check-Jul''26'!BD342)</f>
        <v/>
      </c>
      <c r="BE324" s="25" t="str">
        <f>IF('1. Live'!BI342='check-Jul''26'!BE342,"",'1. Live'!BI342-'check-Jul''26'!BE342)</f>
        <v/>
      </c>
      <c r="BF324" s="25" t="str">
        <f>IF('1. Live'!BJ342='check-Jul''26'!BF342,"",'1. Live'!BJ342-'check-Jul''26'!BF342)</f>
        <v/>
      </c>
      <c r="BG324" s="25" t="str">
        <f>IF('1. Live'!BK342='check-Jul''26'!BG342,"",'1. Live'!BK342-'check-Jul''26'!BG342)</f>
        <v/>
      </c>
      <c r="BH324" s="25" t="str">
        <f>IF('1. Live'!BL342='check-Jul''26'!BH342,"",'1. Live'!BL342-'check-Jul''26'!BH342)</f>
        <v/>
      </c>
      <c r="BI324" s="25" t="str">
        <f>IF('1. Live'!BM342='check-Jul''26'!BI342,"",'1. Live'!BM342-'check-Jul''26'!BI342)</f>
        <v/>
      </c>
      <c r="BJ324" s="25" t="str">
        <f>IF('1. Live'!BN342='check-Jul''26'!BJ342,"",'1. Live'!BN342-'check-Jul''26'!BJ342)</f>
        <v/>
      </c>
      <c r="BK324" s="25" t="str">
        <f>IF('1. Live'!BO342='check-Jul''26'!BK342,"",'1. Live'!BO342-'check-Jul''26'!BK342)</f>
        <v/>
      </c>
      <c r="BL324" s="25" t="str">
        <f>IF('1. Live'!BP342='check-Jul''26'!BL342,"",'1. Live'!BP342-'check-Jul''26'!BL342)</f>
        <v/>
      </c>
      <c r="BM324" s="25" t="str">
        <f>IF('1. Live'!BQ342='check-Jul''26'!BM342,"",'1. Live'!BQ342-'check-Jul''26'!BM342)</f>
        <v/>
      </c>
      <c r="BN324" s="25" t="str">
        <f>IF('1. Live'!BR342='check-Jul''26'!BN342,"",'1. Live'!BR342-'check-Jul''26'!BN342)</f>
        <v/>
      </c>
      <c r="BO324" s="25" t="str">
        <f>IF('1. Live'!BS342='check-Jul''26'!BO342,"",'1. Live'!BS342-'check-Jul''26'!BO342)</f>
        <v/>
      </c>
      <c r="BP324" s="25" t="str">
        <f>IF('1. Live'!BT342='check-Jul''26'!BP342,"",'1. Live'!BT342-'check-Jul''26'!BP342)</f>
        <v/>
      </c>
      <c r="BQ324" s="25" t="str">
        <f>IF('1. Live'!BU342='check-Jul''26'!BQ342,"",'1. Live'!BU342-'check-Jul''26'!BQ342)</f>
        <v/>
      </c>
      <c r="BR324" s="25" t="str">
        <f>IF('1. Live'!BV342='check-Jul''26'!BR342,"",'1. Live'!BV342-'check-Jul''26'!BR342)</f>
        <v/>
      </c>
      <c r="BS324" s="25" t="str">
        <f>IF('1. Live'!BW342='check-Jul''26'!BS342,"",'1. Live'!BW342-'check-Jul''26'!BS342)</f>
        <v/>
      </c>
      <c r="BT324" s="25" t="str">
        <f>IF('1. Live'!BX342='check-Jul''26'!BT342,"",'1. Live'!BX342-'check-Jul''26'!BT342)</f>
        <v/>
      </c>
      <c r="BU324" s="25" t="str">
        <f>IF('1. Live'!BY342='check-Jul''26'!BU342,"",'1. Live'!BY342-'check-Jul''26'!BU342)</f>
        <v/>
      </c>
      <c r="BV324" s="25" t="str">
        <f>IF('1. Live'!BZ342='check-Jul''26'!BV342,"",'1. Live'!BZ342-'check-Jul''26'!BV342)</f>
        <v/>
      </c>
      <c r="BW324" s="25" t="str">
        <f>IF('1. Live'!CA342='check-Jul''26'!BW342,"",'1. Live'!CA342-'check-Jul''26'!BW342)</f>
        <v/>
      </c>
      <c r="BX324" s="25" t="str">
        <f>IF('1. Live'!CB342='check-Jul''26'!BX342,"",'1. Live'!CB342-'check-Jul''26'!BX342)</f>
        <v/>
      </c>
      <c r="BY324" s="25" t="str">
        <f>IF('1. Live'!CC342='check-Jul''26'!BY342,"",'1. Live'!CC342-'check-Jul''26'!BY342)</f>
        <v/>
      </c>
      <c r="BZ324" s="25" t="str">
        <f>IF('1. Live'!CD342='check-Jul''26'!BZ342,"",'1. Live'!CD342-'check-Jul''26'!BZ342)</f>
        <v/>
      </c>
      <c r="CA324" s="25" t="str">
        <f>IF('1. Live'!CE342='check-Jul''26'!CA342,"",'1. Live'!CE342-'check-Jul''26'!CA342)</f>
        <v/>
      </c>
      <c r="CB324" s="25" t="str">
        <f>IF('1. Live'!CF342='check-Jul''26'!CB342,"",'1. Live'!CF342-'check-Jul''26'!CB342)</f>
        <v/>
      </c>
      <c r="CC324" s="25" t="str">
        <f>IF('1. Live'!CG342='check-Jul''26'!CC342,"",'1. Live'!CG342-'check-Jul''26'!CC342)</f>
        <v/>
      </c>
      <c r="CD324" s="25" t="str">
        <f>IF('1. Live'!CH342='check-Jul''26'!CD342,"",'1. Live'!CH342-'check-Jul''26'!CD342)</f>
        <v/>
      </c>
      <c r="CE324" s="25" t="str">
        <f>IF('1. Live'!CI342='check-Jul''26'!CE342,"",'1. Live'!CI342-'check-Jul''26'!CE342)</f>
        <v/>
      </c>
      <c r="CF324" s="25" t="str">
        <f>IF('1. Live'!CJ342='check-Jul''26'!CF342,"",'1. Live'!CJ342-'check-Jul''26'!CF342)</f>
        <v/>
      </c>
      <c r="CG324" s="25" t="str">
        <f>IF('1. Live'!CK342='check-Jul''26'!CG342,"",'1. Live'!CK342-'check-Jul''26'!CG342)</f>
        <v/>
      </c>
      <c r="CH324" s="25" t="str">
        <f>IF('1. Live'!CL342='check-Jul''26'!CH342,"",'1. Live'!CL342-'check-Jul''26'!CH342)</f>
        <v/>
      </c>
      <c r="CI324" s="25" t="str">
        <f>IF('1. Live'!CM342='check-Jul''26'!CI342,"",'1. Live'!CM342-'check-Jul''26'!CI342)</f>
        <v/>
      </c>
      <c r="CJ324" s="25" t="str">
        <f>IF('1. Live'!CN342='check-Jul''26'!CJ342,"",'1. Live'!CN342-'check-Jul''26'!CJ342)</f>
        <v/>
      </c>
      <c r="CK324" s="25" t="str">
        <f>IF('1. Live'!CO342='check-Jul''26'!CK342,"",'1. Live'!CO342-'check-Jul''26'!CK342)</f>
        <v/>
      </c>
      <c r="CL324" s="25" t="str">
        <f>IF('1. Live'!CP342='check-Jul''26'!CL342,"",'1. Live'!CP342-'check-Jul''26'!CL342)</f>
        <v/>
      </c>
      <c r="CM324" s="25" t="str">
        <f>IF('1. Live'!CQ342='check-Jul''26'!CM342,"",'1. Live'!CQ342-'check-Jul''26'!CM342)</f>
        <v/>
      </c>
      <c r="CN324" s="25" t="str">
        <f>IF('1. Live'!CR342='check-Jul''26'!CN342,"",'1. Live'!CR342-'check-Jul''26'!CN342)</f>
        <v/>
      </c>
      <c r="CO324" s="25" t="str">
        <f>IF('1. Live'!CS342='check-Jul''26'!CO342,"",'1. Live'!CS342-'check-Jul''26'!CO342)</f>
        <v/>
      </c>
      <c r="CP324" s="25" t="str">
        <f>IF('1. Live'!CT342='check-Jul''26'!CP342,"",'1. Live'!CT342-'check-Jul''26'!CP342)</f>
        <v/>
      </c>
      <c r="CQ324" s="25" t="str">
        <f>IF('1. Live'!CU342='check-Jul''26'!CQ342,"",'1. Live'!CU342-'check-Jul''26'!CQ342)</f>
        <v/>
      </c>
      <c r="CR324" s="25" t="str">
        <f>IF('1. Live'!CV342='check-Jul''26'!CR342,"",'1. Live'!CV342-'check-Jul''26'!CR342)</f>
        <v/>
      </c>
      <c r="CS324" s="25" t="str">
        <f>IF('1. Live'!CW342='check-Jul''26'!CS342,"",'1. Live'!CW342-'check-Jul''26'!CS342)</f>
        <v/>
      </c>
      <c r="CT324" s="25" t="str">
        <f>IF('1. Live'!CX342='check-Jul''26'!CT342,"",'1. Live'!CX342-'check-Jul''26'!CT342)</f>
        <v/>
      </c>
      <c r="CU324" s="25" t="str">
        <f>IF('1. Live'!CY342='check-Jul''26'!CU342,"",'1. Live'!CY342-'check-Jul''26'!CU342)</f>
        <v/>
      </c>
      <c r="CV324" s="25" t="str">
        <f>IF('1. Live'!CZ342='check-Jul''26'!CV342,"",'1. Live'!CZ342-'check-Jul''26'!CV342)</f>
        <v/>
      </c>
    </row>
    <row r="325" spans="17:100" x14ac:dyDescent="0.25">
      <c r="Q325" s="26" t="str">
        <f>IF('1. Live'!N343='check-Jul''26'!I343,"",'1. Live'!N343-'check-Jul''26'!I343)</f>
        <v/>
      </c>
      <c r="R325" s="26" t="str">
        <f>IF('1. Live'!O343='check-Jul''26'!J343,"",'1. Live'!O343-'check-Jul''26'!J343)</f>
        <v/>
      </c>
      <c r="S325" s="26" t="str">
        <f>IF('1. Live'!P343='check-Jul''26'!K343,"",'1. Live'!P343-'check-Jul''26'!K343)</f>
        <v/>
      </c>
      <c r="T325" s="26" t="str">
        <f>IF('1. Live'!Q343='check-Jul''26'!L343,"",'1. Live'!Q343-'check-Jul''26'!L343)</f>
        <v/>
      </c>
      <c r="U325" s="80" t="str">
        <f>IF('1. Live'!R343='check-Jul''26'!M343,"",'1. Live'!R343-'check-Jul''26'!M343)</f>
        <v/>
      </c>
      <c r="V325" s="26" t="str">
        <f>IF('1. Live'!S343='check-Jul''26'!N343,"",'1. Live'!S343-'check-Jul''26'!N343)</f>
        <v/>
      </c>
      <c r="W325" s="25" t="str">
        <f>IF('1. Live'!T343='check-Jul''26'!O343,"",'1. Live'!T343-'check-Jul''26'!O343)</f>
        <v/>
      </c>
      <c r="X325" s="25" t="str">
        <f>IF('1. Live'!U343='check-Jul''26'!Q343,"",'1. Live'!U343-'check-Jul''26'!Q343)</f>
        <v/>
      </c>
      <c r="Y325" s="25" t="str">
        <f>IF('1. Live'!V343='check-Jul''26'!R343,"",'1. Live'!V343-'check-Jul''26'!R343)</f>
        <v/>
      </c>
      <c r="Z325" s="25" t="str">
        <f>IF('1. Live'!W343='check-Jul''26'!S343,"",'1. Live'!W343-'check-Jul''26'!S343)</f>
        <v/>
      </c>
      <c r="AA325" s="25" t="str">
        <f>IF('1. Live'!X343='check-Jul''26'!T343,"",'1. Live'!X343-'check-Jul''26'!T343)</f>
        <v/>
      </c>
      <c r="AB325" s="25" t="str">
        <f>IF('1. Live'!AF343='check-Jul''26'!AB343,"",'1. Live'!AF343-'check-Jul''26'!AB343)</f>
        <v/>
      </c>
      <c r="AC325" s="25" t="str">
        <f>IF('1. Live'!AG343='check-Jul''26'!AC343,"",'1. Live'!AG343-'check-Jul''26'!AC343)</f>
        <v/>
      </c>
      <c r="AD325" s="25" t="str">
        <f>IF('1. Live'!AH343='check-Jul''26'!AD343,"",'1. Live'!AH343-'check-Jul''26'!AD343)</f>
        <v/>
      </c>
      <c r="AE325" s="25" t="str">
        <f>IF('1. Live'!AI343='check-Jul''26'!AE343,"",'1. Live'!AI343-'check-Jul''26'!AE343)</f>
        <v/>
      </c>
      <c r="AF325" s="25" t="str">
        <f>IF('1. Live'!AJ343='check-Jul''26'!AF343,"",'1. Live'!AJ343-'check-Jul''26'!AF343)</f>
        <v/>
      </c>
      <c r="AG325" s="25" t="str">
        <f>IF('1. Live'!AK343='check-Jul''26'!AG343,"",'1. Live'!AK343-'check-Jul''26'!AG343)</f>
        <v/>
      </c>
      <c r="AH325" s="25" t="str">
        <f>IF('1. Live'!AL343='check-Jul''26'!AH343,"",'1. Live'!AL343-'check-Jul''26'!AH343)</f>
        <v/>
      </c>
      <c r="AI325" s="25" t="str">
        <f>IF('1. Live'!AM343='check-Jul''26'!AI343,"",'1. Live'!AM343-'check-Jul''26'!AI343)</f>
        <v/>
      </c>
      <c r="AJ325" s="25" t="str">
        <f>IF('1. Live'!AN343='check-Jul''26'!AJ343,"",'1. Live'!AN343-'check-Jul''26'!AJ343)</f>
        <v/>
      </c>
      <c r="AK325" s="25" t="str">
        <f>IF('1. Live'!AO343='check-Jul''26'!AK343,"",'1. Live'!AO343-'check-Jul''26'!AK343)</f>
        <v/>
      </c>
      <c r="AL325" s="25" t="str">
        <f>IF('1. Live'!AP343='check-Jul''26'!AL343,"",'1. Live'!AP343-'check-Jul''26'!AL343)</f>
        <v/>
      </c>
      <c r="AM325" s="25" t="str">
        <f>IF('1. Live'!AQ343='check-Jul''26'!AM343,"",'1. Live'!AQ343-'check-Jul''26'!AM343)</f>
        <v/>
      </c>
      <c r="AN325" s="25" t="str">
        <f>IF('1. Live'!AR343='check-Jul''26'!AN343,"",'1. Live'!AR343-'check-Jul''26'!AN343)</f>
        <v/>
      </c>
      <c r="AO325" s="25" t="str">
        <f>IF('1. Live'!AS343='check-Jul''26'!AO343,"",'1. Live'!AS343-'check-Jul''26'!AO343)</f>
        <v/>
      </c>
      <c r="AP325" s="25" t="str">
        <f>IF('1. Live'!AT343='check-Jul''26'!AP343,"",'1. Live'!AT343-'check-Jul''26'!AP343)</f>
        <v/>
      </c>
      <c r="AQ325" s="25" t="str">
        <f>IF('1. Live'!AU343='check-Jul''26'!AQ343,"",'1. Live'!AU343-'check-Jul''26'!AQ343)</f>
        <v/>
      </c>
      <c r="AR325" s="25" t="str">
        <f>IF('1. Live'!AV343='check-Jul''26'!AR343,"",'1. Live'!AV343-'check-Jul''26'!AR343)</f>
        <v/>
      </c>
      <c r="AS325" s="25" t="str">
        <f>IF('1. Live'!AW343='check-Jul''26'!AS343,"",'1. Live'!AW343-'check-Jul''26'!AS343)</f>
        <v/>
      </c>
      <c r="AT325" s="25" t="str">
        <f>IF('1. Live'!AX343='check-Jul''26'!AT343,"",'1. Live'!AX343-'check-Jul''26'!AT343)</f>
        <v/>
      </c>
      <c r="AU325" s="25" t="str">
        <f>IF('1. Live'!AY343='check-Jul''26'!AU343,"",'1. Live'!AY343-'check-Jul''26'!AU343)</f>
        <v/>
      </c>
      <c r="AV325" s="25" t="str">
        <f>IF('1. Live'!AZ343='check-Jul''26'!AV343,"",'1. Live'!AZ343-'check-Jul''26'!AV343)</f>
        <v/>
      </c>
      <c r="AW325" s="25" t="str">
        <f>IF('1. Live'!BA343='check-Jul''26'!AW343,"",'1. Live'!BA343-'check-Jul''26'!AW343)</f>
        <v/>
      </c>
      <c r="AX325" s="25" t="str">
        <f>IF('1. Live'!BB343='check-Jul''26'!AX343,"",'1. Live'!BB343-'check-Jul''26'!AX343)</f>
        <v/>
      </c>
      <c r="AY325" s="25" t="str">
        <f>IF('1. Live'!BC343='check-Jul''26'!AY343,"",'1. Live'!BC343-'check-Jul''26'!AY343)</f>
        <v/>
      </c>
      <c r="AZ325" s="25" t="str">
        <f>IF('1. Live'!BD343='check-Jul''26'!AZ343,"",'1. Live'!BD343-'check-Jul''26'!AZ343)</f>
        <v/>
      </c>
      <c r="BA325" s="25" t="str">
        <f>IF('1. Live'!BE343='check-Jul''26'!BA343,"",'1. Live'!BE343-'check-Jul''26'!BA343)</f>
        <v/>
      </c>
      <c r="BB325" s="25" t="str">
        <f>IF('1. Live'!BF343='check-Jul''26'!BB343,"",'1. Live'!BF343-'check-Jul''26'!BB343)</f>
        <v/>
      </c>
      <c r="BC325" s="25" t="str">
        <f>IF('1. Live'!BG343='check-Jul''26'!BC343,"",'1. Live'!BG343-'check-Jul''26'!BC343)</f>
        <v/>
      </c>
      <c r="BD325" s="25" t="str">
        <f>IF('1. Live'!BH343='check-Jul''26'!BD343,"",'1. Live'!BH343-'check-Jul''26'!BD343)</f>
        <v/>
      </c>
      <c r="BE325" s="25" t="str">
        <f>IF('1. Live'!BI343='check-Jul''26'!BE343,"",'1. Live'!BI343-'check-Jul''26'!BE343)</f>
        <v/>
      </c>
      <c r="BF325" s="25" t="str">
        <f>IF('1. Live'!BJ343='check-Jul''26'!BF343,"",'1. Live'!BJ343-'check-Jul''26'!BF343)</f>
        <v/>
      </c>
      <c r="BG325" s="25" t="str">
        <f>IF('1. Live'!BK343='check-Jul''26'!BG343,"",'1. Live'!BK343-'check-Jul''26'!BG343)</f>
        <v/>
      </c>
      <c r="BH325" s="25" t="str">
        <f>IF('1. Live'!BL343='check-Jul''26'!BH343,"",'1. Live'!BL343-'check-Jul''26'!BH343)</f>
        <v/>
      </c>
      <c r="BI325" s="25" t="str">
        <f>IF('1. Live'!BM343='check-Jul''26'!BI343,"",'1. Live'!BM343-'check-Jul''26'!BI343)</f>
        <v/>
      </c>
      <c r="BJ325" s="25" t="str">
        <f>IF('1. Live'!BN343='check-Jul''26'!BJ343,"",'1. Live'!BN343-'check-Jul''26'!BJ343)</f>
        <v/>
      </c>
      <c r="BK325" s="25" t="str">
        <f>IF('1. Live'!BO343='check-Jul''26'!BK343,"",'1. Live'!BO343-'check-Jul''26'!BK343)</f>
        <v/>
      </c>
      <c r="BL325" s="25" t="str">
        <f>IF('1. Live'!BP343='check-Jul''26'!BL343,"",'1. Live'!BP343-'check-Jul''26'!BL343)</f>
        <v/>
      </c>
      <c r="BM325" s="25" t="str">
        <f>IF('1. Live'!BQ343='check-Jul''26'!BM343,"",'1. Live'!BQ343-'check-Jul''26'!BM343)</f>
        <v/>
      </c>
      <c r="BN325" s="25" t="str">
        <f>IF('1. Live'!BR343='check-Jul''26'!BN343,"",'1. Live'!BR343-'check-Jul''26'!BN343)</f>
        <v/>
      </c>
      <c r="BO325" s="25" t="str">
        <f>IF('1. Live'!BS343='check-Jul''26'!BO343,"",'1. Live'!BS343-'check-Jul''26'!BO343)</f>
        <v/>
      </c>
      <c r="BP325" s="25" t="str">
        <f>IF('1. Live'!BT343='check-Jul''26'!BP343,"",'1. Live'!BT343-'check-Jul''26'!BP343)</f>
        <v/>
      </c>
      <c r="BQ325" s="25" t="str">
        <f>IF('1. Live'!BU343='check-Jul''26'!BQ343,"",'1. Live'!BU343-'check-Jul''26'!BQ343)</f>
        <v/>
      </c>
      <c r="BR325" s="25" t="str">
        <f>IF('1. Live'!BV343='check-Jul''26'!BR343,"",'1. Live'!BV343-'check-Jul''26'!BR343)</f>
        <v/>
      </c>
      <c r="BS325" s="25" t="str">
        <f>IF('1. Live'!BW343='check-Jul''26'!BS343,"",'1. Live'!BW343-'check-Jul''26'!BS343)</f>
        <v/>
      </c>
      <c r="BT325" s="25" t="str">
        <f>IF('1. Live'!BX343='check-Jul''26'!BT343,"",'1. Live'!BX343-'check-Jul''26'!BT343)</f>
        <v/>
      </c>
      <c r="BU325" s="25" t="str">
        <f>IF('1. Live'!BY343='check-Jul''26'!BU343,"",'1. Live'!BY343-'check-Jul''26'!BU343)</f>
        <v/>
      </c>
      <c r="BV325" s="25" t="str">
        <f>IF('1. Live'!BZ343='check-Jul''26'!BV343,"",'1. Live'!BZ343-'check-Jul''26'!BV343)</f>
        <v/>
      </c>
      <c r="BW325" s="25" t="str">
        <f>IF('1. Live'!CA343='check-Jul''26'!BW343,"",'1. Live'!CA343-'check-Jul''26'!BW343)</f>
        <v/>
      </c>
      <c r="BX325" s="25" t="str">
        <f>IF('1. Live'!CB343='check-Jul''26'!BX343,"",'1. Live'!CB343-'check-Jul''26'!BX343)</f>
        <v/>
      </c>
      <c r="BY325" s="25" t="str">
        <f>IF('1. Live'!CC343='check-Jul''26'!BY343,"",'1. Live'!CC343-'check-Jul''26'!BY343)</f>
        <v/>
      </c>
      <c r="BZ325" s="25" t="str">
        <f>IF('1. Live'!CD343='check-Jul''26'!BZ343,"",'1. Live'!CD343-'check-Jul''26'!BZ343)</f>
        <v/>
      </c>
      <c r="CA325" s="25" t="str">
        <f>IF('1. Live'!CE343='check-Jul''26'!CA343,"",'1. Live'!CE343-'check-Jul''26'!CA343)</f>
        <v/>
      </c>
      <c r="CB325" s="25" t="str">
        <f>IF('1. Live'!CF343='check-Jul''26'!CB343,"",'1. Live'!CF343-'check-Jul''26'!CB343)</f>
        <v/>
      </c>
      <c r="CC325" s="25" t="str">
        <f>IF('1. Live'!CG343='check-Jul''26'!CC343,"",'1. Live'!CG343-'check-Jul''26'!CC343)</f>
        <v/>
      </c>
      <c r="CD325" s="25" t="str">
        <f>IF('1. Live'!CH343='check-Jul''26'!CD343,"",'1. Live'!CH343-'check-Jul''26'!CD343)</f>
        <v/>
      </c>
      <c r="CE325" s="25" t="str">
        <f>IF('1. Live'!CI343='check-Jul''26'!CE343,"",'1. Live'!CI343-'check-Jul''26'!CE343)</f>
        <v/>
      </c>
      <c r="CF325" s="25" t="str">
        <f>IF('1. Live'!CJ343='check-Jul''26'!CF343,"",'1. Live'!CJ343-'check-Jul''26'!CF343)</f>
        <v/>
      </c>
      <c r="CG325" s="25" t="str">
        <f>IF('1. Live'!CK343='check-Jul''26'!CG343,"",'1. Live'!CK343-'check-Jul''26'!CG343)</f>
        <v/>
      </c>
      <c r="CH325" s="25" t="str">
        <f>IF('1. Live'!CL343='check-Jul''26'!CH343,"",'1. Live'!CL343-'check-Jul''26'!CH343)</f>
        <v/>
      </c>
      <c r="CI325" s="25" t="str">
        <f>IF('1. Live'!CM343='check-Jul''26'!CI343,"",'1. Live'!CM343-'check-Jul''26'!CI343)</f>
        <v/>
      </c>
      <c r="CJ325" s="25" t="str">
        <f>IF('1. Live'!CN343='check-Jul''26'!CJ343,"",'1. Live'!CN343-'check-Jul''26'!CJ343)</f>
        <v/>
      </c>
      <c r="CK325" s="25" t="str">
        <f>IF('1. Live'!CO343='check-Jul''26'!CK343,"",'1. Live'!CO343-'check-Jul''26'!CK343)</f>
        <v/>
      </c>
      <c r="CL325" s="25" t="str">
        <f>IF('1. Live'!CP343='check-Jul''26'!CL343,"",'1. Live'!CP343-'check-Jul''26'!CL343)</f>
        <v/>
      </c>
      <c r="CM325" s="25" t="str">
        <f>IF('1. Live'!CQ343='check-Jul''26'!CM343,"",'1. Live'!CQ343-'check-Jul''26'!CM343)</f>
        <v/>
      </c>
      <c r="CN325" s="25" t="str">
        <f>IF('1. Live'!CR343='check-Jul''26'!CN343,"",'1. Live'!CR343-'check-Jul''26'!CN343)</f>
        <v/>
      </c>
      <c r="CO325" s="25" t="str">
        <f>IF('1. Live'!CS343='check-Jul''26'!CO343,"",'1. Live'!CS343-'check-Jul''26'!CO343)</f>
        <v/>
      </c>
      <c r="CP325" s="25" t="str">
        <f>IF('1. Live'!CT343='check-Jul''26'!CP343,"",'1. Live'!CT343-'check-Jul''26'!CP343)</f>
        <v/>
      </c>
      <c r="CQ325" s="25" t="str">
        <f>IF('1. Live'!CU343='check-Jul''26'!CQ343,"",'1. Live'!CU343-'check-Jul''26'!CQ343)</f>
        <v/>
      </c>
      <c r="CR325" s="25" t="str">
        <f>IF('1. Live'!CV343='check-Jul''26'!CR343,"",'1. Live'!CV343-'check-Jul''26'!CR343)</f>
        <v/>
      </c>
      <c r="CS325" s="25" t="str">
        <f>IF('1. Live'!CW343='check-Jul''26'!CS343,"",'1. Live'!CW343-'check-Jul''26'!CS343)</f>
        <v/>
      </c>
      <c r="CT325" s="25" t="str">
        <f>IF('1. Live'!CX343='check-Jul''26'!CT343,"",'1. Live'!CX343-'check-Jul''26'!CT343)</f>
        <v/>
      </c>
      <c r="CU325" s="25" t="str">
        <f>IF('1. Live'!CY343='check-Jul''26'!CU343,"",'1. Live'!CY343-'check-Jul''26'!CU343)</f>
        <v/>
      </c>
      <c r="CV325" s="25" t="str">
        <f>IF('1. Live'!CZ343='check-Jul''26'!CV343,"",'1. Live'!CZ343-'check-Jul''26'!CV343)</f>
        <v/>
      </c>
    </row>
    <row r="326" spans="17:100" x14ac:dyDescent="0.25">
      <c r="Q326" s="26" t="str">
        <f>IF('1. Live'!N344='check-Jul''26'!I344,"",'1. Live'!N344-'check-Jul''26'!I344)</f>
        <v/>
      </c>
      <c r="R326" s="26" t="str">
        <f>IF('1. Live'!O344='check-Jul''26'!J344,"",'1. Live'!O344-'check-Jul''26'!J344)</f>
        <v/>
      </c>
      <c r="S326" s="26" t="str">
        <f>IF('1. Live'!P344='check-Jul''26'!K344,"",'1. Live'!P344-'check-Jul''26'!K344)</f>
        <v/>
      </c>
      <c r="T326" s="26" t="str">
        <f>IF('1. Live'!Q344='check-Jul''26'!L344,"",'1. Live'!Q344-'check-Jul''26'!L344)</f>
        <v/>
      </c>
      <c r="U326" s="80" t="str">
        <f>IF('1. Live'!R344='check-Jul''26'!M344,"",'1. Live'!R344-'check-Jul''26'!M344)</f>
        <v/>
      </c>
      <c r="V326" s="26" t="str">
        <f>IF('1. Live'!S344='check-Jul''26'!N344,"",'1. Live'!S344-'check-Jul''26'!N344)</f>
        <v/>
      </c>
      <c r="W326" s="25" t="str">
        <f>IF('1. Live'!T344='check-Jul''26'!O344,"",'1. Live'!T344-'check-Jul''26'!O344)</f>
        <v/>
      </c>
      <c r="X326" s="25" t="str">
        <f>IF('1. Live'!U344='check-Jul''26'!Q344,"",'1. Live'!U344-'check-Jul''26'!Q344)</f>
        <v/>
      </c>
      <c r="Y326" s="25" t="str">
        <f>IF('1. Live'!V344='check-Jul''26'!R344,"",'1. Live'!V344-'check-Jul''26'!R344)</f>
        <v/>
      </c>
      <c r="Z326" s="25" t="str">
        <f>IF('1. Live'!W344='check-Jul''26'!S344,"",'1. Live'!W344-'check-Jul''26'!S344)</f>
        <v/>
      </c>
      <c r="AA326" s="25" t="str">
        <f>IF('1. Live'!X344='check-Jul''26'!T344,"",'1. Live'!X344-'check-Jul''26'!T344)</f>
        <v/>
      </c>
      <c r="AB326" s="25" t="str">
        <f>IF('1. Live'!AF344='check-Jul''26'!AB344,"",'1. Live'!AF344-'check-Jul''26'!AB344)</f>
        <v/>
      </c>
      <c r="AC326" s="25" t="str">
        <f>IF('1. Live'!AG344='check-Jul''26'!AC344,"",'1. Live'!AG344-'check-Jul''26'!AC344)</f>
        <v/>
      </c>
      <c r="AD326" s="25" t="str">
        <f>IF('1. Live'!AH344='check-Jul''26'!AD344,"",'1. Live'!AH344-'check-Jul''26'!AD344)</f>
        <v/>
      </c>
      <c r="AE326" s="25" t="str">
        <f>IF('1. Live'!AI344='check-Jul''26'!AE344,"",'1. Live'!AI344-'check-Jul''26'!AE344)</f>
        <v/>
      </c>
      <c r="AF326" s="25" t="str">
        <f>IF('1. Live'!AJ344='check-Jul''26'!AF344,"",'1. Live'!AJ344-'check-Jul''26'!AF344)</f>
        <v/>
      </c>
      <c r="AG326" s="25" t="str">
        <f>IF('1. Live'!AK344='check-Jul''26'!AG344,"",'1. Live'!AK344-'check-Jul''26'!AG344)</f>
        <v/>
      </c>
      <c r="AH326" s="25" t="str">
        <f>IF('1. Live'!AL344='check-Jul''26'!AH344,"",'1. Live'!AL344-'check-Jul''26'!AH344)</f>
        <v/>
      </c>
      <c r="AI326" s="25" t="str">
        <f>IF('1. Live'!AM344='check-Jul''26'!AI344,"",'1. Live'!AM344-'check-Jul''26'!AI344)</f>
        <v/>
      </c>
      <c r="AJ326" s="25" t="str">
        <f>IF('1. Live'!AN344='check-Jul''26'!AJ344,"",'1. Live'!AN344-'check-Jul''26'!AJ344)</f>
        <v/>
      </c>
      <c r="AK326" s="25" t="str">
        <f>IF('1. Live'!AO344='check-Jul''26'!AK344,"",'1. Live'!AO344-'check-Jul''26'!AK344)</f>
        <v/>
      </c>
      <c r="AL326" s="25" t="str">
        <f>IF('1. Live'!AP344='check-Jul''26'!AL344,"",'1. Live'!AP344-'check-Jul''26'!AL344)</f>
        <v/>
      </c>
      <c r="AM326" s="25" t="str">
        <f>IF('1. Live'!AQ344='check-Jul''26'!AM344,"",'1. Live'!AQ344-'check-Jul''26'!AM344)</f>
        <v/>
      </c>
      <c r="AN326" s="25" t="str">
        <f>IF('1. Live'!AR344='check-Jul''26'!AN344,"",'1. Live'!AR344-'check-Jul''26'!AN344)</f>
        <v/>
      </c>
      <c r="AO326" s="25" t="str">
        <f>IF('1. Live'!AS344='check-Jul''26'!AO344,"",'1. Live'!AS344-'check-Jul''26'!AO344)</f>
        <v/>
      </c>
      <c r="AP326" s="25" t="str">
        <f>IF('1. Live'!AT344='check-Jul''26'!AP344,"",'1. Live'!AT344-'check-Jul''26'!AP344)</f>
        <v/>
      </c>
      <c r="AQ326" s="25" t="str">
        <f>IF('1. Live'!AU344='check-Jul''26'!AQ344,"",'1. Live'!AU344-'check-Jul''26'!AQ344)</f>
        <v/>
      </c>
      <c r="AR326" s="25" t="str">
        <f>IF('1. Live'!AV344='check-Jul''26'!AR344,"",'1. Live'!AV344-'check-Jul''26'!AR344)</f>
        <v/>
      </c>
      <c r="AS326" s="25" t="str">
        <f>IF('1. Live'!AW344='check-Jul''26'!AS344,"",'1. Live'!AW344-'check-Jul''26'!AS344)</f>
        <v/>
      </c>
      <c r="AT326" s="25" t="str">
        <f>IF('1. Live'!AX344='check-Jul''26'!AT344,"",'1. Live'!AX344-'check-Jul''26'!AT344)</f>
        <v/>
      </c>
      <c r="AU326" s="25" t="str">
        <f>IF('1. Live'!AY344='check-Jul''26'!AU344,"",'1. Live'!AY344-'check-Jul''26'!AU344)</f>
        <v/>
      </c>
      <c r="AV326" s="25" t="str">
        <f>IF('1. Live'!AZ344='check-Jul''26'!AV344,"",'1. Live'!AZ344-'check-Jul''26'!AV344)</f>
        <v/>
      </c>
      <c r="AW326" s="25" t="str">
        <f>IF('1. Live'!BA344='check-Jul''26'!AW344,"",'1. Live'!BA344-'check-Jul''26'!AW344)</f>
        <v/>
      </c>
      <c r="AX326" s="25" t="str">
        <f>IF('1. Live'!BB344='check-Jul''26'!AX344,"",'1. Live'!BB344-'check-Jul''26'!AX344)</f>
        <v/>
      </c>
      <c r="AY326" s="25" t="str">
        <f>IF('1. Live'!BC344='check-Jul''26'!AY344,"",'1. Live'!BC344-'check-Jul''26'!AY344)</f>
        <v/>
      </c>
      <c r="AZ326" s="25" t="str">
        <f>IF('1. Live'!BD344='check-Jul''26'!AZ344,"",'1. Live'!BD344-'check-Jul''26'!AZ344)</f>
        <v/>
      </c>
      <c r="BA326" s="25" t="str">
        <f>IF('1. Live'!BE344='check-Jul''26'!BA344,"",'1. Live'!BE344-'check-Jul''26'!BA344)</f>
        <v/>
      </c>
      <c r="BB326" s="25" t="str">
        <f>IF('1. Live'!BF344='check-Jul''26'!BB344,"",'1. Live'!BF344-'check-Jul''26'!BB344)</f>
        <v/>
      </c>
      <c r="BC326" s="25" t="str">
        <f>IF('1. Live'!BG344='check-Jul''26'!BC344,"",'1. Live'!BG344-'check-Jul''26'!BC344)</f>
        <v/>
      </c>
      <c r="BD326" s="25" t="str">
        <f>IF('1. Live'!BH344='check-Jul''26'!BD344,"",'1. Live'!BH344-'check-Jul''26'!BD344)</f>
        <v/>
      </c>
      <c r="BE326" s="25" t="str">
        <f>IF('1. Live'!BI344='check-Jul''26'!BE344,"",'1. Live'!BI344-'check-Jul''26'!BE344)</f>
        <v/>
      </c>
      <c r="BF326" s="25" t="str">
        <f>IF('1. Live'!BJ344='check-Jul''26'!BF344,"",'1. Live'!BJ344-'check-Jul''26'!BF344)</f>
        <v/>
      </c>
      <c r="BG326" s="25" t="str">
        <f>IF('1. Live'!BK344='check-Jul''26'!BG344,"",'1. Live'!BK344-'check-Jul''26'!BG344)</f>
        <v/>
      </c>
      <c r="BH326" s="25" t="str">
        <f>IF('1. Live'!BL344='check-Jul''26'!BH344,"",'1. Live'!BL344-'check-Jul''26'!BH344)</f>
        <v/>
      </c>
      <c r="BI326" s="25" t="str">
        <f>IF('1. Live'!BM344='check-Jul''26'!BI344,"",'1. Live'!BM344-'check-Jul''26'!BI344)</f>
        <v/>
      </c>
      <c r="BJ326" s="25" t="str">
        <f>IF('1. Live'!BN344='check-Jul''26'!BJ344,"",'1. Live'!BN344-'check-Jul''26'!BJ344)</f>
        <v/>
      </c>
      <c r="BK326" s="25" t="str">
        <f>IF('1. Live'!BO344='check-Jul''26'!BK344,"",'1. Live'!BO344-'check-Jul''26'!BK344)</f>
        <v/>
      </c>
      <c r="BL326" s="25" t="str">
        <f>IF('1. Live'!BP344='check-Jul''26'!BL344,"",'1. Live'!BP344-'check-Jul''26'!BL344)</f>
        <v/>
      </c>
      <c r="BM326" s="25" t="str">
        <f>IF('1. Live'!BQ344='check-Jul''26'!BM344,"",'1. Live'!BQ344-'check-Jul''26'!BM344)</f>
        <v/>
      </c>
      <c r="BN326" s="25" t="str">
        <f>IF('1. Live'!BR344='check-Jul''26'!BN344,"",'1. Live'!BR344-'check-Jul''26'!BN344)</f>
        <v/>
      </c>
      <c r="BO326" s="25" t="str">
        <f>IF('1. Live'!BS344='check-Jul''26'!BO344,"",'1. Live'!BS344-'check-Jul''26'!BO344)</f>
        <v/>
      </c>
      <c r="BP326" s="25" t="str">
        <f>IF('1. Live'!BT344='check-Jul''26'!BP344,"",'1. Live'!BT344-'check-Jul''26'!BP344)</f>
        <v/>
      </c>
      <c r="BQ326" s="25" t="str">
        <f>IF('1. Live'!BU344='check-Jul''26'!BQ344,"",'1. Live'!BU344-'check-Jul''26'!BQ344)</f>
        <v/>
      </c>
      <c r="BR326" s="25" t="str">
        <f>IF('1. Live'!BV344='check-Jul''26'!BR344,"",'1. Live'!BV344-'check-Jul''26'!BR344)</f>
        <v/>
      </c>
      <c r="BS326" s="25" t="str">
        <f>IF('1. Live'!BW344='check-Jul''26'!BS344,"",'1. Live'!BW344-'check-Jul''26'!BS344)</f>
        <v/>
      </c>
      <c r="BT326" s="25" t="str">
        <f>IF('1. Live'!BX344='check-Jul''26'!BT344,"",'1. Live'!BX344-'check-Jul''26'!BT344)</f>
        <v/>
      </c>
      <c r="BU326" s="25" t="str">
        <f>IF('1. Live'!BY344='check-Jul''26'!BU344,"",'1. Live'!BY344-'check-Jul''26'!BU344)</f>
        <v/>
      </c>
      <c r="BV326" s="25" t="str">
        <f>IF('1. Live'!BZ344='check-Jul''26'!BV344,"",'1. Live'!BZ344-'check-Jul''26'!BV344)</f>
        <v/>
      </c>
      <c r="BW326" s="25" t="str">
        <f>IF('1. Live'!CA344='check-Jul''26'!BW344,"",'1. Live'!CA344-'check-Jul''26'!BW344)</f>
        <v/>
      </c>
      <c r="BX326" s="25" t="str">
        <f>IF('1. Live'!CB344='check-Jul''26'!BX344,"",'1. Live'!CB344-'check-Jul''26'!BX344)</f>
        <v/>
      </c>
      <c r="BY326" s="25" t="str">
        <f>IF('1. Live'!CC344='check-Jul''26'!BY344,"",'1. Live'!CC344-'check-Jul''26'!BY344)</f>
        <v/>
      </c>
      <c r="BZ326" s="25" t="str">
        <f>IF('1. Live'!CD344='check-Jul''26'!BZ344,"",'1. Live'!CD344-'check-Jul''26'!BZ344)</f>
        <v/>
      </c>
      <c r="CA326" s="25" t="str">
        <f>IF('1. Live'!CE344='check-Jul''26'!CA344,"",'1. Live'!CE344-'check-Jul''26'!CA344)</f>
        <v/>
      </c>
      <c r="CB326" s="25" t="str">
        <f>IF('1. Live'!CF344='check-Jul''26'!CB344,"",'1. Live'!CF344-'check-Jul''26'!CB344)</f>
        <v/>
      </c>
      <c r="CC326" s="25" t="str">
        <f>IF('1. Live'!CG344='check-Jul''26'!CC344,"",'1. Live'!CG344-'check-Jul''26'!CC344)</f>
        <v/>
      </c>
      <c r="CD326" s="25" t="str">
        <f>IF('1. Live'!CH344='check-Jul''26'!CD344,"",'1. Live'!CH344-'check-Jul''26'!CD344)</f>
        <v/>
      </c>
      <c r="CE326" s="25" t="str">
        <f>IF('1. Live'!CI344='check-Jul''26'!CE344,"",'1. Live'!CI344-'check-Jul''26'!CE344)</f>
        <v/>
      </c>
      <c r="CF326" s="25" t="str">
        <f>IF('1. Live'!CJ344='check-Jul''26'!CF344,"",'1. Live'!CJ344-'check-Jul''26'!CF344)</f>
        <v/>
      </c>
      <c r="CG326" s="25" t="str">
        <f>IF('1. Live'!CK344='check-Jul''26'!CG344,"",'1. Live'!CK344-'check-Jul''26'!CG344)</f>
        <v/>
      </c>
      <c r="CH326" s="25" t="str">
        <f>IF('1. Live'!CL344='check-Jul''26'!CH344,"",'1. Live'!CL344-'check-Jul''26'!CH344)</f>
        <v/>
      </c>
      <c r="CI326" s="25" t="str">
        <f>IF('1. Live'!CM344='check-Jul''26'!CI344,"",'1. Live'!CM344-'check-Jul''26'!CI344)</f>
        <v/>
      </c>
      <c r="CJ326" s="25" t="str">
        <f>IF('1. Live'!CN344='check-Jul''26'!CJ344,"",'1. Live'!CN344-'check-Jul''26'!CJ344)</f>
        <v/>
      </c>
      <c r="CK326" s="25" t="str">
        <f>IF('1. Live'!CO344='check-Jul''26'!CK344,"",'1. Live'!CO344-'check-Jul''26'!CK344)</f>
        <v/>
      </c>
      <c r="CL326" s="25" t="str">
        <f>IF('1. Live'!CP344='check-Jul''26'!CL344,"",'1. Live'!CP344-'check-Jul''26'!CL344)</f>
        <v/>
      </c>
      <c r="CM326" s="25" t="str">
        <f>IF('1. Live'!CQ344='check-Jul''26'!CM344,"",'1. Live'!CQ344-'check-Jul''26'!CM344)</f>
        <v/>
      </c>
      <c r="CN326" s="25" t="str">
        <f>IF('1. Live'!CR344='check-Jul''26'!CN344,"",'1. Live'!CR344-'check-Jul''26'!CN344)</f>
        <v/>
      </c>
      <c r="CO326" s="25" t="str">
        <f>IF('1. Live'!CS344='check-Jul''26'!CO344,"",'1. Live'!CS344-'check-Jul''26'!CO344)</f>
        <v/>
      </c>
      <c r="CP326" s="25" t="str">
        <f>IF('1. Live'!CT344='check-Jul''26'!CP344,"",'1. Live'!CT344-'check-Jul''26'!CP344)</f>
        <v/>
      </c>
      <c r="CQ326" s="25" t="str">
        <f>IF('1. Live'!CU344='check-Jul''26'!CQ344,"",'1. Live'!CU344-'check-Jul''26'!CQ344)</f>
        <v/>
      </c>
      <c r="CR326" s="25" t="str">
        <f>IF('1. Live'!CV344='check-Jul''26'!CR344,"",'1. Live'!CV344-'check-Jul''26'!CR344)</f>
        <v/>
      </c>
      <c r="CS326" s="25" t="str">
        <f>IF('1. Live'!CW344='check-Jul''26'!CS344,"",'1. Live'!CW344-'check-Jul''26'!CS344)</f>
        <v/>
      </c>
      <c r="CT326" s="25" t="str">
        <f>IF('1. Live'!CX344='check-Jul''26'!CT344,"",'1. Live'!CX344-'check-Jul''26'!CT344)</f>
        <v/>
      </c>
      <c r="CU326" s="25" t="str">
        <f>IF('1. Live'!CY344='check-Jul''26'!CU344,"",'1. Live'!CY344-'check-Jul''26'!CU344)</f>
        <v/>
      </c>
      <c r="CV326" s="25" t="str">
        <f>IF('1. Live'!CZ344='check-Jul''26'!CV344,"",'1. Live'!CZ344-'check-Jul''26'!CV344)</f>
        <v/>
      </c>
    </row>
    <row r="327" spans="17:100" x14ac:dyDescent="0.25">
      <c r="Q327" s="26" t="str">
        <f>IF('1. Live'!N345='check-Jul''26'!I345,"",'1. Live'!N345-'check-Jul''26'!I345)</f>
        <v/>
      </c>
      <c r="R327" s="26" t="str">
        <f>IF('1. Live'!O345='check-Jul''26'!J345,"",'1. Live'!O345-'check-Jul''26'!J345)</f>
        <v/>
      </c>
      <c r="S327" s="26" t="str">
        <f>IF('1. Live'!P345='check-Jul''26'!K345,"",'1. Live'!P345-'check-Jul''26'!K345)</f>
        <v/>
      </c>
      <c r="T327" s="26" t="str">
        <f>IF('1. Live'!Q345='check-Jul''26'!L345,"",'1. Live'!Q345-'check-Jul''26'!L345)</f>
        <v/>
      </c>
      <c r="U327" s="80" t="str">
        <f>IF('1. Live'!R345='check-Jul''26'!M345,"",'1. Live'!R345-'check-Jul''26'!M345)</f>
        <v/>
      </c>
      <c r="V327" s="26" t="str">
        <f>IF('1. Live'!S345='check-Jul''26'!N345,"",'1. Live'!S345-'check-Jul''26'!N345)</f>
        <v/>
      </c>
      <c r="W327" s="25" t="str">
        <f>IF('1. Live'!T345='check-Jul''26'!O345,"",'1. Live'!T345-'check-Jul''26'!O345)</f>
        <v/>
      </c>
      <c r="X327" s="25" t="str">
        <f>IF('1. Live'!U345='check-Jul''26'!Q345,"",'1. Live'!U345-'check-Jul''26'!Q345)</f>
        <v/>
      </c>
      <c r="Y327" s="25" t="str">
        <f>IF('1. Live'!V345='check-Jul''26'!R345,"",'1. Live'!V345-'check-Jul''26'!R345)</f>
        <v/>
      </c>
      <c r="Z327" s="25" t="str">
        <f>IF('1. Live'!W345='check-Jul''26'!S345,"",'1. Live'!W345-'check-Jul''26'!S345)</f>
        <v/>
      </c>
      <c r="AA327" s="25" t="str">
        <f>IF('1. Live'!X345='check-Jul''26'!T345,"",'1. Live'!X345-'check-Jul''26'!T345)</f>
        <v/>
      </c>
      <c r="AB327" s="25" t="str">
        <f>IF('1. Live'!AF345='check-Jul''26'!AB345,"",'1. Live'!AF345-'check-Jul''26'!AB345)</f>
        <v/>
      </c>
      <c r="AC327" s="25" t="str">
        <f>IF('1. Live'!AG345='check-Jul''26'!AC345,"",'1. Live'!AG345-'check-Jul''26'!AC345)</f>
        <v/>
      </c>
      <c r="AD327" s="25" t="str">
        <f>IF('1. Live'!AH345='check-Jul''26'!AD345,"",'1. Live'!AH345-'check-Jul''26'!AD345)</f>
        <v/>
      </c>
      <c r="AE327" s="25" t="str">
        <f>IF('1. Live'!AI345='check-Jul''26'!AE345,"",'1. Live'!AI345-'check-Jul''26'!AE345)</f>
        <v/>
      </c>
      <c r="AF327" s="25" t="str">
        <f>IF('1. Live'!AJ345='check-Jul''26'!AF345,"",'1. Live'!AJ345-'check-Jul''26'!AF345)</f>
        <v/>
      </c>
      <c r="AG327" s="25" t="str">
        <f>IF('1. Live'!AK345='check-Jul''26'!AG345,"",'1. Live'!AK345-'check-Jul''26'!AG345)</f>
        <v/>
      </c>
      <c r="AH327" s="25" t="str">
        <f>IF('1. Live'!AL345='check-Jul''26'!AH345,"",'1. Live'!AL345-'check-Jul''26'!AH345)</f>
        <v/>
      </c>
      <c r="AI327" s="25" t="str">
        <f>IF('1. Live'!AM345='check-Jul''26'!AI345,"",'1. Live'!AM345-'check-Jul''26'!AI345)</f>
        <v/>
      </c>
      <c r="AJ327" s="25" t="str">
        <f>IF('1. Live'!AN345='check-Jul''26'!AJ345,"",'1. Live'!AN345-'check-Jul''26'!AJ345)</f>
        <v/>
      </c>
      <c r="AK327" s="25" t="str">
        <f>IF('1. Live'!AO345='check-Jul''26'!AK345,"",'1. Live'!AO345-'check-Jul''26'!AK345)</f>
        <v/>
      </c>
      <c r="AL327" s="25" t="str">
        <f>IF('1. Live'!AP345='check-Jul''26'!AL345,"",'1. Live'!AP345-'check-Jul''26'!AL345)</f>
        <v/>
      </c>
      <c r="AM327" s="25" t="str">
        <f>IF('1. Live'!AQ345='check-Jul''26'!AM345,"",'1. Live'!AQ345-'check-Jul''26'!AM345)</f>
        <v/>
      </c>
      <c r="AN327" s="25" t="str">
        <f>IF('1. Live'!AR345='check-Jul''26'!AN345,"",'1. Live'!AR345-'check-Jul''26'!AN345)</f>
        <v/>
      </c>
      <c r="AO327" s="25" t="str">
        <f>IF('1. Live'!AS345='check-Jul''26'!AO345,"",'1. Live'!AS345-'check-Jul''26'!AO345)</f>
        <v/>
      </c>
      <c r="AP327" s="25" t="str">
        <f>IF('1. Live'!AT345='check-Jul''26'!AP345,"",'1. Live'!AT345-'check-Jul''26'!AP345)</f>
        <v/>
      </c>
      <c r="AQ327" s="25" t="str">
        <f>IF('1. Live'!AU345='check-Jul''26'!AQ345,"",'1. Live'!AU345-'check-Jul''26'!AQ345)</f>
        <v/>
      </c>
      <c r="AR327" s="25" t="str">
        <f>IF('1. Live'!AV345='check-Jul''26'!AR345,"",'1. Live'!AV345-'check-Jul''26'!AR345)</f>
        <v/>
      </c>
      <c r="AS327" s="25" t="str">
        <f>IF('1. Live'!AW345='check-Jul''26'!AS345,"",'1. Live'!AW345-'check-Jul''26'!AS345)</f>
        <v/>
      </c>
      <c r="AT327" s="25" t="str">
        <f>IF('1. Live'!AX345='check-Jul''26'!AT345,"",'1. Live'!AX345-'check-Jul''26'!AT345)</f>
        <v/>
      </c>
      <c r="AU327" s="25" t="str">
        <f>IF('1. Live'!AY345='check-Jul''26'!AU345,"",'1. Live'!AY345-'check-Jul''26'!AU345)</f>
        <v/>
      </c>
      <c r="AV327" s="25" t="str">
        <f>IF('1. Live'!AZ345='check-Jul''26'!AV345,"",'1. Live'!AZ345-'check-Jul''26'!AV345)</f>
        <v/>
      </c>
      <c r="AW327" s="25" t="str">
        <f>IF('1. Live'!BA345='check-Jul''26'!AW345,"",'1. Live'!BA345-'check-Jul''26'!AW345)</f>
        <v/>
      </c>
      <c r="AX327" s="25" t="str">
        <f>IF('1. Live'!BB345='check-Jul''26'!AX345,"",'1. Live'!BB345-'check-Jul''26'!AX345)</f>
        <v/>
      </c>
      <c r="AY327" s="25" t="str">
        <f>IF('1. Live'!BC345='check-Jul''26'!AY345,"",'1. Live'!BC345-'check-Jul''26'!AY345)</f>
        <v/>
      </c>
      <c r="AZ327" s="25" t="str">
        <f>IF('1. Live'!BD345='check-Jul''26'!AZ345,"",'1. Live'!BD345-'check-Jul''26'!AZ345)</f>
        <v/>
      </c>
      <c r="BA327" s="25" t="str">
        <f>IF('1. Live'!BE345='check-Jul''26'!BA345,"",'1. Live'!BE345-'check-Jul''26'!BA345)</f>
        <v/>
      </c>
      <c r="BB327" s="25" t="str">
        <f>IF('1. Live'!BF345='check-Jul''26'!BB345,"",'1. Live'!BF345-'check-Jul''26'!BB345)</f>
        <v/>
      </c>
      <c r="BC327" s="25" t="str">
        <f>IF('1. Live'!BG345='check-Jul''26'!BC345,"",'1. Live'!BG345-'check-Jul''26'!BC345)</f>
        <v/>
      </c>
      <c r="BD327" s="25" t="str">
        <f>IF('1. Live'!BH345='check-Jul''26'!BD345,"",'1. Live'!BH345-'check-Jul''26'!BD345)</f>
        <v/>
      </c>
      <c r="BE327" s="25" t="str">
        <f>IF('1. Live'!BI345='check-Jul''26'!BE345,"",'1. Live'!BI345-'check-Jul''26'!BE345)</f>
        <v/>
      </c>
      <c r="BF327" s="25" t="str">
        <f>IF('1. Live'!BJ345='check-Jul''26'!BF345,"",'1. Live'!BJ345-'check-Jul''26'!BF345)</f>
        <v/>
      </c>
      <c r="BG327" s="25" t="str">
        <f>IF('1. Live'!BK345='check-Jul''26'!BG345,"",'1. Live'!BK345-'check-Jul''26'!BG345)</f>
        <v/>
      </c>
      <c r="BH327" s="25" t="str">
        <f>IF('1. Live'!BL345='check-Jul''26'!BH345,"",'1. Live'!BL345-'check-Jul''26'!BH345)</f>
        <v/>
      </c>
      <c r="BI327" s="25" t="str">
        <f>IF('1. Live'!BM345='check-Jul''26'!BI345,"",'1. Live'!BM345-'check-Jul''26'!BI345)</f>
        <v/>
      </c>
      <c r="BJ327" s="25" t="str">
        <f>IF('1. Live'!BN345='check-Jul''26'!BJ345,"",'1. Live'!BN345-'check-Jul''26'!BJ345)</f>
        <v/>
      </c>
      <c r="BK327" s="25" t="str">
        <f>IF('1. Live'!BO345='check-Jul''26'!BK345,"",'1. Live'!BO345-'check-Jul''26'!BK345)</f>
        <v/>
      </c>
      <c r="BL327" s="25" t="str">
        <f>IF('1. Live'!BP345='check-Jul''26'!BL345,"",'1. Live'!BP345-'check-Jul''26'!BL345)</f>
        <v/>
      </c>
      <c r="BM327" s="25" t="str">
        <f>IF('1. Live'!BQ345='check-Jul''26'!BM345,"",'1. Live'!BQ345-'check-Jul''26'!BM345)</f>
        <v/>
      </c>
      <c r="BN327" s="25" t="str">
        <f>IF('1. Live'!BR345='check-Jul''26'!BN345,"",'1. Live'!BR345-'check-Jul''26'!BN345)</f>
        <v/>
      </c>
      <c r="BO327" s="25" t="str">
        <f>IF('1. Live'!BS345='check-Jul''26'!BO345,"",'1. Live'!BS345-'check-Jul''26'!BO345)</f>
        <v/>
      </c>
      <c r="BP327" s="25" t="str">
        <f>IF('1. Live'!BT345='check-Jul''26'!BP345,"",'1. Live'!BT345-'check-Jul''26'!BP345)</f>
        <v/>
      </c>
      <c r="BQ327" s="25" t="str">
        <f>IF('1. Live'!BU345='check-Jul''26'!BQ345,"",'1. Live'!BU345-'check-Jul''26'!BQ345)</f>
        <v/>
      </c>
      <c r="BR327" s="25" t="str">
        <f>IF('1. Live'!BV345='check-Jul''26'!BR345,"",'1. Live'!BV345-'check-Jul''26'!BR345)</f>
        <v/>
      </c>
      <c r="BS327" s="25" t="str">
        <f>IF('1. Live'!BW345='check-Jul''26'!BS345,"",'1. Live'!BW345-'check-Jul''26'!BS345)</f>
        <v/>
      </c>
      <c r="BT327" s="25" t="str">
        <f>IF('1. Live'!BX345='check-Jul''26'!BT345,"",'1. Live'!BX345-'check-Jul''26'!BT345)</f>
        <v/>
      </c>
      <c r="BU327" s="25" t="str">
        <f>IF('1. Live'!BY345='check-Jul''26'!BU345,"",'1. Live'!BY345-'check-Jul''26'!BU345)</f>
        <v/>
      </c>
      <c r="BV327" s="25" t="str">
        <f>IF('1. Live'!BZ345='check-Jul''26'!BV345,"",'1. Live'!BZ345-'check-Jul''26'!BV345)</f>
        <v/>
      </c>
      <c r="BW327" s="25" t="str">
        <f>IF('1. Live'!CA345='check-Jul''26'!BW345,"",'1. Live'!CA345-'check-Jul''26'!BW345)</f>
        <v/>
      </c>
      <c r="BX327" s="25" t="str">
        <f>IF('1. Live'!CB345='check-Jul''26'!BX345,"",'1. Live'!CB345-'check-Jul''26'!BX345)</f>
        <v/>
      </c>
      <c r="BY327" s="25" t="str">
        <f>IF('1. Live'!CC345='check-Jul''26'!BY345,"",'1. Live'!CC345-'check-Jul''26'!BY345)</f>
        <v/>
      </c>
      <c r="BZ327" s="25" t="str">
        <f>IF('1. Live'!CD345='check-Jul''26'!BZ345,"",'1. Live'!CD345-'check-Jul''26'!BZ345)</f>
        <v/>
      </c>
      <c r="CA327" s="25" t="str">
        <f>IF('1. Live'!CE345='check-Jul''26'!CA345,"",'1. Live'!CE345-'check-Jul''26'!CA345)</f>
        <v/>
      </c>
      <c r="CB327" s="25" t="str">
        <f>IF('1. Live'!CF345='check-Jul''26'!CB345,"",'1. Live'!CF345-'check-Jul''26'!CB345)</f>
        <v/>
      </c>
      <c r="CC327" s="25" t="str">
        <f>IF('1. Live'!CG345='check-Jul''26'!CC345,"",'1. Live'!CG345-'check-Jul''26'!CC345)</f>
        <v/>
      </c>
      <c r="CD327" s="25" t="str">
        <f>IF('1. Live'!CH345='check-Jul''26'!CD345,"",'1. Live'!CH345-'check-Jul''26'!CD345)</f>
        <v/>
      </c>
      <c r="CE327" s="25" t="str">
        <f>IF('1. Live'!CI345='check-Jul''26'!CE345,"",'1. Live'!CI345-'check-Jul''26'!CE345)</f>
        <v/>
      </c>
      <c r="CF327" s="25" t="str">
        <f>IF('1. Live'!CJ345='check-Jul''26'!CF345,"",'1. Live'!CJ345-'check-Jul''26'!CF345)</f>
        <v/>
      </c>
      <c r="CG327" s="25" t="str">
        <f>IF('1. Live'!CK345='check-Jul''26'!CG345,"",'1. Live'!CK345-'check-Jul''26'!CG345)</f>
        <v/>
      </c>
      <c r="CH327" s="25" t="str">
        <f>IF('1. Live'!CL345='check-Jul''26'!CH345,"",'1. Live'!CL345-'check-Jul''26'!CH345)</f>
        <v/>
      </c>
      <c r="CI327" s="25" t="str">
        <f>IF('1. Live'!CM345='check-Jul''26'!CI345,"",'1. Live'!CM345-'check-Jul''26'!CI345)</f>
        <v/>
      </c>
      <c r="CJ327" s="25" t="str">
        <f>IF('1. Live'!CN345='check-Jul''26'!CJ345,"",'1. Live'!CN345-'check-Jul''26'!CJ345)</f>
        <v/>
      </c>
      <c r="CK327" s="25" t="str">
        <f>IF('1. Live'!CO345='check-Jul''26'!CK345,"",'1. Live'!CO345-'check-Jul''26'!CK345)</f>
        <v/>
      </c>
      <c r="CL327" s="25" t="str">
        <f>IF('1. Live'!CP345='check-Jul''26'!CL345,"",'1. Live'!CP345-'check-Jul''26'!CL345)</f>
        <v/>
      </c>
      <c r="CM327" s="25" t="str">
        <f>IF('1. Live'!CQ345='check-Jul''26'!CM345,"",'1. Live'!CQ345-'check-Jul''26'!CM345)</f>
        <v/>
      </c>
      <c r="CN327" s="25" t="str">
        <f>IF('1. Live'!CR345='check-Jul''26'!CN345,"",'1. Live'!CR345-'check-Jul''26'!CN345)</f>
        <v/>
      </c>
      <c r="CO327" s="25" t="str">
        <f>IF('1. Live'!CS345='check-Jul''26'!CO345,"",'1. Live'!CS345-'check-Jul''26'!CO345)</f>
        <v/>
      </c>
      <c r="CP327" s="25" t="str">
        <f>IF('1. Live'!CT345='check-Jul''26'!CP345,"",'1. Live'!CT345-'check-Jul''26'!CP345)</f>
        <v/>
      </c>
      <c r="CQ327" s="25" t="str">
        <f>IF('1. Live'!CU345='check-Jul''26'!CQ345,"",'1. Live'!CU345-'check-Jul''26'!CQ345)</f>
        <v/>
      </c>
      <c r="CR327" s="25" t="str">
        <f>IF('1. Live'!CV345='check-Jul''26'!CR345,"",'1. Live'!CV345-'check-Jul''26'!CR345)</f>
        <v/>
      </c>
      <c r="CS327" s="25" t="str">
        <f>IF('1. Live'!CW345='check-Jul''26'!CS345,"",'1. Live'!CW345-'check-Jul''26'!CS345)</f>
        <v/>
      </c>
      <c r="CT327" s="25" t="str">
        <f>IF('1. Live'!CX345='check-Jul''26'!CT345,"",'1. Live'!CX345-'check-Jul''26'!CT345)</f>
        <v/>
      </c>
      <c r="CU327" s="25" t="str">
        <f>IF('1. Live'!CY345='check-Jul''26'!CU345,"",'1. Live'!CY345-'check-Jul''26'!CU345)</f>
        <v/>
      </c>
      <c r="CV327" s="25" t="str">
        <f>IF('1. Live'!CZ345='check-Jul''26'!CV345,"",'1. Live'!CZ345-'check-Jul''26'!CV345)</f>
        <v/>
      </c>
    </row>
    <row r="328" spans="17:100" x14ac:dyDescent="0.25">
      <c r="Q328" s="26" t="str">
        <f>IF('1. Live'!N346='check-Jul''26'!I346,"",'1. Live'!N346-'check-Jul''26'!I346)</f>
        <v/>
      </c>
      <c r="R328" s="26" t="str">
        <f>IF('1. Live'!O346='check-Jul''26'!J346,"",'1. Live'!O346-'check-Jul''26'!J346)</f>
        <v/>
      </c>
      <c r="S328" s="26" t="str">
        <f>IF('1. Live'!P346='check-Jul''26'!K346,"",'1. Live'!P346-'check-Jul''26'!K346)</f>
        <v/>
      </c>
      <c r="T328" s="26" t="str">
        <f>IF('1. Live'!Q346='check-Jul''26'!L346,"",'1. Live'!Q346-'check-Jul''26'!L346)</f>
        <v/>
      </c>
      <c r="U328" s="80" t="str">
        <f>IF('1. Live'!R346='check-Jul''26'!M346,"",'1. Live'!R346-'check-Jul''26'!M346)</f>
        <v/>
      </c>
      <c r="V328" s="26" t="str">
        <f>IF('1. Live'!S346='check-Jul''26'!N346,"",'1. Live'!S346-'check-Jul''26'!N346)</f>
        <v/>
      </c>
      <c r="W328" s="25" t="str">
        <f>IF('1. Live'!T346='check-Jul''26'!O346,"",'1. Live'!T346-'check-Jul''26'!O346)</f>
        <v/>
      </c>
      <c r="X328" s="25" t="str">
        <f>IF('1. Live'!U346='check-Jul''26'!Q346,"",'1. Live'!U346-'check-Jul''26'!Q346)</f>
        <v/>
      </c>
      <c r="Y328" s="25" t="str">
        <f>IF('1. Live'!V346='check-Jul''26'!R346,"",'1. Live'!V346-'check-Jul''26'!R346)</f>
        <v/>
      </c>
      <c r="Z328" s="25" t="str">
        <f>IF('1. Live'!W346='check-Jul''26'!S346,"",'1. Live'!W346-'check-Jul''26'!S346)</f>
        <v/>
      </c>
      <c r="AA328" s="25" t="str">
        <f>IF('1. Live'!X346='check-Jul''26'!T346,"",'1. Live'!X346-'check-Jul''26'!T346)</f>
        <v/>
      </c>
      <c r="AB328" s="25" t="str">
        <f>IF('1. Live'!AF346='check-Jul''26'!AB346,"",'1. Live'!AF346-'check-Jul''26'!AB346)</f>
        <v/>
      </c>
      <c r="AC328" s="25" t="str">
        <f>IF('1. Live'!AG346='check-Jul''26'!AC346,"",'1. Live'!AG346-'check-Jul''26'!AC346)</f>
        <v/>
      </c>
      <c r="AD328" s="25" t="str">
        <f>IF('1. Live'!AH346='check-Jul''26'!AD346,"",'1. Live'!AH346-'check-Jul''26'!AD346)</f>
        <v/>
      </c>
      <c r="AE328" s="25" t="str">
        <f>IF('1. Live'!AI346='check-Jul''26'!AE346,"",'1. Live'!AI346-'check-Jul''26'!AE346)</f>
        <v/>
      </c>
      <c r="AF328" s="25" t="str">
        <f>IF('1. Live'!AJ346='check-Jul''26'!AF346,"",'1. Live'!AJ346-'check-Jul''26'!AF346)</f>
        <v/>
      </c>
      <c r="AG328" s="25" t="str">
        <f>IF('1. Live'!AK346='check-Jul''26'!AG346,"",'1. Live'!AK346-'check-Jul''26'!AG346)</f>
        <v/>
      </c>
      <c r="AH328" s="25" t="str">
        <f>IF('1. Live'!AL346='check-Jul''26'!AH346,"",'1. Live'!AL346-'check-Jul''26'!AH346)</f>
        <v/>
      </c>
      <c r="AI328" s="25" t="str">
        <f>IF('1. Live'!AM346='check-Jul''26'!AI346,"",'1. Live'!AM346-'check-Jul''26'!AI346)</f>
        <v/>
      </c>
      <c r="AJ328" s="25" t="str">
        <f>IF('1. Live'!AN346='check-Jul''26'!AJ346,"",'1. Live'!AN346-'check-Jul''26'!AJ346)</f>
        <v/>
      </c>
      <c r="AK328" s="25" t="str">
        <f>IF('1. Live'!AO346='check-Jul''26'!AK346,"",'1. Live'!AO346-'check-Jul''26'!AK346)</f>
        <v/>
      </c>
      <c r="AL328" s="25" t="str">
        <f>IF('1. Live'!AP346='check-Jul''26'!AL346,"",'1. Live'!AP346-'check-Jul''26'!AL346)</f>
        <v/>
      </c>
      <c r="AM328" s="25" t="str">
        <f>IF('1. Live'!AQ346='check-Jul''26'!AM346,"",'1. Live'!AQ346-'check-Jul''26'!AM346)</f>
        <v/>
      </c>
      <c r="AN328" s="25" t="str">
        <f>IF('1. Live'!AR346='check-Jul''26'!AN346,"",'1. Live'!AR346-'check-Jul''26'!AN346)</f>
        <v/>
      </c>
      <c r="AO328" s="25" t="str">
        <f>IF('1. Live'!AS346='check-Jul''26'!AO346,"",'1. Live'!AS346-'check-Jul''26'!AO346)</f>
        <v/>
      </c>
      <c r="AP328" s="25" t="str">
        <f>IF('1. Live'!AT346='check-Jul''26'!AP346,"",'1. Live'!AT346-'check-Jul''26'!AP346)</f>
        <v/>
      </c>
      <c r="AQ328" s="25" t="str">
        <f>IF('1. Live'!AU346='check-Jul''26'!AQ346,"",'1. Live'!AU346-'check-Jul''26'!AQ346)</f>
        <v/>
      </c>
      <c r="AR328" s="25" t="str">
        <f>IF('1. Live'!AV346='check-Jul''26'!AR346,"",'1. Live'!AV346-'check-Jul''26'!AR346)</f>
        <v/>
      </c>
      <c r="AS328" s="25" t="str">
        <f>IF('1. Live'!AW346='check-Jul''26'!AS346,"",'1. Live'!AW346-'check-Jul''26'!AS346)</f>
        <v/>
      </c>
      <c r="AT328" s="25" t="str">
        <f>IF('1. Live'!AX346='check-Jul''26'!AT346,"",'1. Live'!AX346-'check-Jul''26'!AT346)</f>
        <v/>
      </c>
      <c r="AU328" s="25" t="str">
        <f>IF('1. Live'!AY346='check-Jul''26'!AU346,"",'1. Live'!AY346-'check-Jul''26'!AU346)</f>
        <v/>
      </c>
      <c r="AV328" s="25" t="str">
        <f>IF('1. Live'!AZ346='check-Jul''26'!AV346,"",'1. Live'!AZ346-'check-Jul''26'!AV346)</f>
        <v/>
      </c>
      <c r="AW328" s="25" t="str">
        <f>IF('1. Live'!BA346='check-Jul''26'!AW346,"",'1. Live'!BA346-'check-Jul''26'!AW346)</f>
        <v/>
      </c>
      <c r="AX328" s="25" t="str">
        <f>IF('1. Live'!BB346='check-Jul''26'!AX346,"",'1. Live'!BB346-'check-Jul''26'!AX346)</f>
        <v/>
      </c>
      <c r="AY328" s="25" t="str">
        <f>IF('1. Live'!BC346='check-Jul''26'!AY346,"",'1. Live'!BC346-'check-Jul''26'!AY346)</f>
        <v/>
      </c>
      <c r="AZ328" s="25" t="str">
        <f>IF('1. Live'!BD346='check-Jul''26'!AZ346,"",'1. Live'!BD346-'check-Jul''26'!AZ346)</f>
        <v/>
      </c>
      <c r="BA328" s="25" t="str">
        <f>IF('1. Live'!BE346='check-Jul''26'!BA346,"",'1. Live'!BE346-'check-Jul''26'!BA346)</f>
        <v/>
      </c>
      <c r="BB328" s="25" t="str">
        <f>IF('1. Live'!BF346='check-Jul''26'!BB346,"",'1. Live'!BF346-'check-Jul''26'!BB346)</f>
        <v/>
      </c>
      <c r="BC328" s="25" t="str">
        <f>IF('1. Live'!BG346='check-Jul''26'!BC346,"",'1. Live'!BG346-'check-Jul''26'!BC346)</f>
        <v/>
      </c>
      <c r="BD328" s="25" t="str">
        <f>IF('1. Live'!BH346='check-Jul''26'!BD346,"",'1. Live'!BH346-'check-Jul''26'!BD346)</f>
        <v/>
      </c>
      <c r="BE328" s="25" t="str">
        <f>IF('1. Live'!BI346='check-Jul''26'!BE346,"",'1. Live'!BI346-'check-Jul''26'!BE346)</f>
        <v/>
      </c>
      <c r="BF328" s="25" t="str">
        <f>IF('1. Live'!BJ346='check-Jul''26'!BF346,"",'1. Live'!BJ346-'check-Jul''26'!BF346)</f>
        <v/>
      </c>
      <c r="BG328" s="25" t="str">
        <f>IF('1. Live'!BK346='check-Jul''26'!BG346,"",'1. Live'!BK346-'check-Jul''26'!BG346)</f>
        <v/>
      </c>
      <c r="BH328" s="25" t="str">
        <f>IF('1. Live'!BL346='check-Jul''26'!BH346,"",'1. Live'!BL346-'check-Jul''26'!BH346)</f>
        <v/>
      </c>
      <c r="BI328" s="25" t="str">
        <f>IF('1. Live'!BM346='check-Jul''26'!BI346,"",'1. Live'!BM346-'check-Jul''26'!BI346)</f>
        <v/>
      </c>
      <c r="BJ328" s="25" t="str">
        <f>IF('1. Live'!BN346='check-Jul''26'!BJ346,"",'1. Live'!BN346-'check-Jul''26'!BJ346)</f>
        <v/>
      </c>
      <c r="BK328" s="25" t="str">
        <f>IF('1. Live'!BO346='check-Jul''26'!BK346,"",'1. Live'!BO346-'check-Jul''26'!BK346)</f>
        <v/>
      </c>
      <c r="BL328" s="25" t="str">
        <f>IF('1. Live'!BP346='check-Jul''26'!BL346,"",'1. Live'!BP346-'check-Jul''26'!BL346)</f>
        <v/>
      </c>
      <c r="BM328" s="25" t="str">
        <f>IF('1. Live'!BQ346='check-Jul''26'!BM346,"",'1. Live'!BQ346-'check-Jul''26'!BM346)</f>
        <v/>
      </c>
      <c r="BN328" s="25" t="str">
        <f>IF('1. Live'!BR346='check-Jul''26'!BN346,"",'1. Live'!BR346-'check-Jul''26'!BN346)</f>
        <v/>
      </c>
      <c r="BO328" s="25" t="str">
        <f>IF('1. Live'!BS346='check-Jul''26'!BO346,"",'1. Live'!BS346-'check-Jul''26'!BO346)</f>
        <v/>
      </c>
      <c r="BP328" s="25" t="str">
        <f>IF('1. Live'!BT346='check-Jul''26'!BP346,"",'1. Live'!BT346-'check-Jul''26'!BP346)</f>
        <v/>
      </c>
      <c r="BQ328" s="25" t="str">
        <f>IF('1. Live'!BU346='check-Jul''26'!BQ346,"",'1. Live'!BU346-'check-Jul''26'!BQ346)</f>
        <v/>
      </c>
      <c r="BR328" s="25" t="str">
        <f>IF('1. Live'!BV346='check-Jul''26'!BR346,"",'1. Live'!BV346-'check-Jul''26'!BR346)</f>
        <v/>
      </c>
      <c r="BS328" s="25" t="str">
        <f>IF('1. Live'!BW346='check-Jul''26'!BS346,"",'1. Live'!BW346-'check-Jul''26'!BS346)</f>
        <v/>
      </c>
      <c r="BT328" s="25" t="str">
        <f>IF('1. Live'!BX346='check-Jul''26'!BT346,"",'1. Live'!BX346-'check-Jul''26'!BT346)</f>
        <v/>
      </c>
      <c r="BU328" s="25" t="str">
        <f>IF('1. Live'!BY346='check-Jul''26'!BU346,"",'1. Live'!BY346-'check-Jul''26'!BU346)</f>
        <v/>
      </c>
      <c r="BV328" s="25" t="str">
        <f>IF('1. Live'!BZ346='check-Jul''26'!BV346,"",'1. Live'!BZ346-'check-Jul''26'!BV346)</f>
        <v/>
      </c>
      <c r="BW328" s="25" t="str">
        <f>IF('1. Live'!CA346='check-Jul''26'!BW346,"",'1. Live'!CA346-'check-Jul''26'!BW346)</f>
        <v/>
      </c>
      <c r="BX328" s="25" t="str">
        <f>IF('1. Live'!CB346='check-Jul''26'!BX346,"",'1. Live'!CB346-'check-Jul''26'!BX346)</f>
        <v/>
      </c>
      <c r="BY328" s="25" t="str">
        <f>IF('1. Live'!CC346='check-Jul''26'!BY346,"",'1. Live'!CC346-'check-Jul''26'!BY346)</f>
        <v/>
      </c>
      <c r="BZ328" s="25" t="str">
        <f>IF('1. Live'!CD346='check-Jul''26'!BZ346,"",'1. Live'!CD346-'check-Jul''26'!BZ346)</f>
        <v/>
      </c>
      <c r="CA328" s="25" t="str">
        <f>IF('1. Live'!CE346='check-Jul''26'!CA346,"",'1. Live'!CE346-'check-Jul''26'!CA346)</f>
        <v/>
      </c>
      <c r="CB328" s="25" t="str">
        <f>IF('1. Live'!CF346='check-Jul''26'!CB346,"",'1. Live'!CF346-'check-Jul''26'!CB346)</f>
        <v/>
      </c>
      <c r="CC328" s="25" t="str">
        <f>IF('1. Live'!CG346='check-Jul''26'!CC346,"",'1. Live'!CG346-'check-Jul''26'!CC346)</f>
        <v/>
      </c>
      <c r="CD328" s="25" t="str">
        <f>IF('1. Live'!CH346='check-Jul''26'!CD346,"",'1. Live'!CH346-'check-Jul''26'!CD346)</f>
        <v/>
      </c>
      <c r="CE328" s="25" t="str">
        <f>IF('1. Live'!CI346='check-Jul''26'!CE346,"",'1. Live'!CI346-'check-Jul''26'!CE346)</f>
        <v/>
      </c>
      <c r="CF328" s="25" t="str">
        <f>IF('1. Live'!CJ346='check-Jul''26'!CF346,"",'1. Live'!CJ346-'check-Jul''26'!CF346)</f>
        <v/>
      </c>
      <c r="CG328" s="25" t="str">
        <f>IF('1. Live'!CK346='check-Jul''26'!CG346,"",'1. Live'!CK346-'check-Jul''26'!CG346)</f>
        <v/>
      </c>
      <c r="CH328" s="25" t="str">
        <f>IF('1. Live'!CL346='check-Jul''26'!CH346,"",'1. Live'!CL346-'check-Jul''26'!CH346)</f>
        <v/>
      </c>
      <c r="CI328" s="25" t="str">
        <f>IF('1. Live'!CM346='check-Jul''26'!CI346,"",'1. Live'!CM346-'check-Jul''26'!CI346)</f>
        <v/>
      </c>
      <c r="CJ328" s="25" t="str">
        <f>IF('1. Live'!CN346='check-Jul''26'!CJ346,"",'1. Live'!CN346-'check-Jul''26'!CJ346)</f>
        <v/>
      </c>
      <c r="CK328" s="25" t="str">
        <f>IF('1. Live'!CO346='check-Jul''26'!CK346,"",'1. Live'!CO346-'check-Jul''26'!CK346)</f>
        <v/>
      </c>
      <c r="CL328" s="25" t="str">
        <f>IF('1. Live'!CP346='check-Jul''26'!CL346,"",'1. Live'!CP346-'check-Jul''26'!CL346)</f>
        <v/>
      </c>
      <c r="CM328" s="25" t="str">
        <f>IF('1. Live'!CQ346='check-Jul''26'!CM346,"",'1. Live'!CQ346-'check-Jul''26'!CM346)</f>
        <v/>
      </c>
      <c r="CN328" s="25" t="str">
        <f>IF('1. Live'!CR346='check-Jul''26'!CN346,"",'1. Live'!CR346-'check-Jul''26'!CN346)</f>
        <v/>
      </c>
      <c r="CO328" s="25" t="str">
        <f>IF('1. Live'!CS346='check-Jul''26'!CO346,"",'1. Live'!CS346-'check-Jul''26'!CO346)</f>
        <v/>
      </c>
      <c r="CP328" s="25" t="str">
        <f>IF('1. Live'!CT346='check-Jul''26'!CP346,"",'1. Live'!CT346-'check-Jul''26'!CP346)</f>
        <v/>
      </c>
      <c r="CQ328" s="25" t="str">
        <f>IF('1. Live'!CU346='check-Jul''26'!CQ346,"",'1. Live'!CU346-'check-Jul''26'!CQ346)</f>
        <v/>
      </c>
      <c r="CR328" s="25" t="str">
        <f>IF('1. Live'!CV346='check-Jul''26'!CR346,"",'1. Live'!CV346-'check-Jul''26'!CR346)</f>
        <v/>
      </c>
      <c r="CS328" s="25" t="str">
        <f>IF('1. Live'!CW346='check-Jul''26'!CS346,"",'1. Live'!CW346-'check-Jul''26'!CS346)</f>
        <v/>
      </c>
      <c r="CT328" s="25" t="str">
        <f>IF('1. Live'!CX346='check-Jul''26'!CT346,"",'1. Live'!CX346-'check-Jul''26'!CT346)</f>
        <v/>
      </c>
      <c r="CU328" s="25" t="str">
        <f>IF('1. Live'!CY346='check-Jul''26'!CU346,"",'1. Live'!CY346-'check-Jul''26'!CU346)</f>
        <v/>
      </c>
      <c r="CV328" s="25" t="str">
        <f>IF('1. Live'!CZ346='check-Jul''26'!CV346,"",'1. Live'!CZ346-'check-Jul''26'!CV346)</f>
        <v/>
      </c>
    </row>
    <row r="329" spans="17:100" x14ac:dyDescent="0.25">
      <c r="Q329" s="26" t="str">
        <f>IF('1. Live'!N347='check-Jul''26'!I347,"",'1. Live'!N347-'check-Jul''26'!I347)</f>
        <v/>
      </c>
      <c r="R329" s="26" t="str">
        <f>IF('1. Live'!O347='check-Jul''26'!J347,"",'1. Live'!O347-'check-Jul''26'!J347)</f>
        <v/>
      </c>
      <c r="S329" s="26" t="str">
        <f>IF('1. Live'!P347='check-Jul''26'!K347,"",'1. Live'!P347-'check-Jul''26'!K347)</f>
        <v/>
      </c>
      <c r="T329" s="26" t="str">
        <f>IF('1. Live'!Q347='check-Jul''26'!L347,"",'1. Live'!Q347-'check-Jul''26'!L347)</f>
        <v/>
      </c>
      <c r="U329" s="80" t="str">
        <f>IF('1. Live'!R347='check-Jul''26'!M347,"",'1. Live'!R347-'check-Jul''26'!M347)</f>
        <v/>
      </c>
      <c r="V329" s="26" t="str">
        <f>IF('1. Live'!S347='check-Jul''26'!N347,"",'1. Live'!S347-'check-Jul''26'!N347)</f>
        <v/>
      </c>
      <c r="W329" s="25" t="str">
        <f>IF('1. Live'!T347='check-Jul''26'!O347,"",'1. Live'!T347-'check-Jul''26'!O347)</f>
        <v/>
      </c>
      <c r="X329" s="25" t="str">
        <f>IF('1. Live'!U347='check-Jul''26'!Q347,"",'1. Live'!U347-'check-Jul''26'!Q347)</f>
        <v/>
      </c>
      <c r="Y329" s="25" t="str">
        <f>IF('1. Live'!V347='check-Jul''26'!R347,"",'1. Live'!V347-'check-Jul''26'!R347)</f>
        <v/>
      </c>
      <c r="Z329" s="25" t="str">
        <f>IF('1. Live'!W347='check-Jul''26'!S347,"",'1. Live'!W347-'check-Jul''26'!S347)</f>
        <v/>
      </c>
      <c r="AA329" s="25" t="str">
        <f>IF('1. Live'!X347='check-Jul''26'!T347,"",'1. Live'!X347-'check-Jul''26'!T347)</f>
        <v/>
      </c>
      <c r="AB329" s="25" t="str">
        <f>IF('1. Live'!AF347='check-Jul''26'!AB347,"",'1. Live'!AF347-'check-Jul''26'!AB347)</f>
        <v/>
      </c>
      <c r="AC329" s="25" t="str">
        <f>IF('1. Live'!AG347='check-Jul''26'!AC347,"",'1. Live'!AG347-'check-Jul''26'!AC347)</f>
        <v/>
      </c>
      <c r="AD329" s="25" t="str">
        <f>IF('1. Live'!AH347='check-Jul''26'!AD347,"",'1. Live'!AH347-'check-Jul''26'!AD347)</f>
        <v/>
      </c>
      <c r="AE329" s="25" t="str">
        <f>IF('1. Live'!AI347='check-Jul''26'!AE347,"",'1. Live'!AI347-'check-Jul''26'!AE347)</f>
        <v/>
      </c>
      <c r="AF329" s="25" t="str">
        <f>IF('1. Live'!AJ347='check-Jul''26'!AF347,"",'1. Live'!AJ347-'check-Jul''26'!AF347)</f>
        <v/>
      </c>
      <c r="AG329" s="25" t="str">
        <f>IF('1. Live'!AK347='check-Jul''26'!AG347,"",'1. Live'!AK347-'check-Jul''26'!AG347)</f>
        <v/>
      </c>
      <c r="AH329" s="25" t="str">
        <f>IF('1. Live'!AL347='check-Jul''26'!AH347,"",'1. Live'!AL347-'check-Jul''26'!AH347)</f>
        <v/>
      </c>
      <c r="AI329" s="25" t="str">
        <f>IF('1. Live'!AM347='check-Jul''26'!AI347,"",'1. Live'!AM347-'check-Jul''26'!AI347)</f>
        <v/>
      </c>
      <c r="AJ329" s="25" t="str">
        <f>IF('1. Live'!AN347='check-Jul''26'!AJ347,"",'1. Live'!AN347-'check-Jul''26'!AJ347)</f>
        <v/>
      </c>
      <c r="AK329" s="25" t="str">
        <f>IF('1. Live'!AO347='check-Jul''26'!AK347,"",'1. Live'!AO347-'check-Jul''26'!AK347)</f>
        <v/>
      </c>
      <c r="AL329" s="25" t="str">
        <f>IF('1. Live'!AP347='check-Jul''26'!AL347,"",'1. Live'!AP347-'check-Jul''26'!AL347)</f>
        <v/>
      </c>
      <c r="AM329" s="25" t="str">
        <f>IF('1. Live'!AQ347='check-Jul''26'!AM347,"",'1. Live'!AQ347-'check-Jul''26'!AM347)</f>
        <v/>
      </c>
      <c r="AN329" s="25" t="str">
        <f>IF('1. Live'!AR347='check-Jul''26'!AN347,"",'1. Live'!AR347-'check-Jul''26'!AN347)</f>
        <v/>
      </c>
      <c r="AO329" s="25" t="str">
        <f>IF('1. Live'!AS347='check-Jul''26'!AO347,"",'1. Live'!AS347-'check-Jul''26'!AO347)</f>
        <v/>
      </c>
      <c r="AP329" s="25" t="str">
        <f>IF('1. Live'!AT347='check-Jul''26'!AP347,"",'1. Live'!AT347-'check-Jul''26'!AP347)</f>
        <v/>
      </c>
      <c r="AQ329" s="25" t="str">
        <f>IF('1. Live'!AU347='check-Jul''26'!AQ347,"",'1. Live'!AU347-'check-Jul''26'!AQ347)</f>
        <v/>
      </c>
      <c r="AR329" s="25" t="str">
        <f>IF('1. Live'!AV347='check-Jul''26'!AR347,"",'1. Live'!AV347-'check-Jul''26'!AR347)</f>
        <v/>
      </c>
      <c r="AS329" s="25" t="str">
        <f>IF('1. Live'!AW347='check-Jul''26'!AS347,"",'1. Live'!AW347-'check-Jul''26'!AS347)</f>
        <v/>
      </c>
      <c r="AT329" s="25" t="str">
        <f>IF('1. Live'!AX347='check-Jul''26'!AT347,"",'1. Live'!AX347-'check-Jul''26'!AT347)</f>
        <v/>
      </c>
      <c r="AU329" s="25" t="str">
        <f>IF('1. Live'!AY347='check-Jul''26'!AU347,"",'1. Live'!AY347-'check-Jul''26'!AU347)</f>
        <v/>
      </c>
      <c r="AV329" s="25" t="str">
        <f>IF('1. Live'!AZ347='check-Jul''26'!AV347,"",'1. Live'!AZ347-'check-Jul''26'!AV347)</f>
        <v/>
      </c>
      <c r="AW329" s="25" t="str">
        <f>IF('1. Live'!BA347='check-Jul''26'!AW347,"",'1. Live'!BA347-'check-Jul''26'!AW347)</f>
        <v/>
      </c>
      <c r="AX329" s="25" t="str">
        <f>IF('1. Live'!BB347='check-Jul''26'!AX347,"",'1. Live'!BB347-'check-Jul''26'!AX347)</f>
        <v/>
      </c>
      <c r="AY329" s="25" t="str">
        <f>IF('1. Live'!BC347='check-Jul''26'!AY347,"",'1. Live'!BC347-'check-Jul''26'!AY347)</f>
        <v/>
      </c>
      <c r="AZ329" s="25" t="str">
        <f>IF('1. Live'!BD347='check-Jul''26'!AZ347,"",'1. Live'!BD347-'check-Jul''26'!AZ347)</f>
        <v/>
      </c>
      <c r="BA329" s="25" t="str">
        <f>IF('1. Live'!BE347='check-Jul''26'!BA347,"",'1. Live'!BE347-'check-Jul''26'!BA347)</f>
        <v/>
      </c>
      <c r="BB329" s="25" t="str">
        <f>IF('1. Live'!BF347='check-Jul''26'!BB347,"",'1. Live'!BF347-'check-Jul''26'!BB347)</f>
        <v/>
      </c>
      <c r="BC329" s="25" t="str">
        <f>IF('1. Live'!BG347='check-Jul''26'!BC347,"",'1. Live'!BG347-'check-Jul''26'!BC347)</f>
        <v/>
      </c>
      <c r="BD329" s="25" t="str">
        <f>IF('1. Live'!BH347='check-Jul''26'!BD347,"",'1. Live'!BH347-'check-Jul''26'!BD347)</f>
        <v/>
      </c>
      <c r="BE329" s="25" t="str">
        <f>IF('1. Live'!BI347='check-Jul''26'!BE347,"",'1. Live'!BI347-'check-Jul''26'!BE347)</f>
        <v/>
      </c>
      <c r="BF329" s="25" t="str">
        <f>IF('1. Live'!BJ347='check-Jul''26'!BF347,"",'1. Live'!BJ347-'check-Jul''26'!BF347)</f>
        <v/>
      </c>
      <c r="BG329" s="25" t="str">
        <f>IF('1. Live'!BK347='check-Jul''26'!BG347,"",'1. Live'!BK347-'check-Jul''26'!BG347)</f>
        <v/>
      </c>
      <c r="BH329" s="25" t="str">
        <f>IF('1. Live'!BL347='check-Jul''26'!BH347,"",'1. Live'!BL347-'check-Jul''26'!BH347)</f>
        <v/>
      </c>
      <c r="BI329" s="25" t="str">
        <f>IF('1. Live'!BM347='check-Jul''26'!BI347,"",'1. Live'!BM347-'check-Jul''26'!BI347)</f>
        <v/>
      </c>
      <c r="BJ329" s="25" t="str">
        <f>IF('1. Live'!BN347='check-Jul''26'!BJ347,"",'1. Live'!BN347-'check-Jul''26'!BJ347)</f>
        <v/>
      </c>
      <c r="BK329" s="25" t="str">
        <f>IF('1. Live'!BO347='check-Jul''26'!BK347,"",'1. Live'!BO347-'check-Jul''26'!BK347)</f>
        <v/>
      </c>
      <c r="BL329" s="25" t="str">
        <f>IF('1. Live'!BP347='check-Jul''26'!BL347,"",'1. Live'!BP347-'check-Jul''26'!BL347)</f>
        <v/>
      </c>
      <c r="BM329" s="25" t="str">
        <f>IF('1. Live'!BQ347='check-Jul''26'!BM347,"",'1. Live'!BQ347-'check-Jul''26'!BM347)</f>
        <v/>
      </c>
      <c r="BN329" s="25" t="str">
        <f>IF('1. Live'!BR347='check-Jul''26'!BN347,"",'1. Live'!BR347-'check-Jul''26'!BN347)</f>
        <v/>
      </c>
      <c r="BO329" s="25" t="str">
        <f>IF('1. Live'!BS347='check-Jul''26'!BO347,"",'1. Live'!BS347-'check-Jul''26'!BO347)</f>
        <v/>
      </c>
      <c r="BP329" s="25" t="str">
        <f>IF('1. Live'!BT347='check-Jul''26'!BP347,"",'1. Live'!BT347-'check-Jul''26'!BP347)</f>
        <v/>
      </c>
      <c r="BQ329" s="25" t="str">
        <f>IF('1. Live'!BU347='check-Jul''26'!BQ347,"",'1. Live'!BU347-'check-Jul''26'!BQ347)</f>
        <v/>
      </c>
      <c r="BR329" s="25" t="str">
        <f>IF('1. Live'!BV347='check-Jul''26'!BR347,"",'1. Live'!BV347-'check-Jul''26'!BR347)</f>
        <v/>
      </c>
      <c r="BS329" s="25" t="str">
        <f>IF('1. Live'!BW347='check-Jul''26'!BS347,"",'1. Live'!BW347-'check-Jul''26'!BS347)</f>
        <v/>
      </c>
      <c r="BT329" s="25" t="str">
        <f>IF('1. Live'!BX347='check-Jul''26'!BT347,"",'1. Live'!BX347-'check-Jul''26'!BT347)</f>
        <v/>
      </c>
      <c r="BU329" s="25" t="str">
        <f>IF('1. Live'!BY347='check-Jul''26'!BU347,"",'1. Live'!BY347-'check-Jul''26'!BU347)</f>
        <v/>
      </c>
      <c r="BV329" s="25" t="str">
        <f>IF('1. Live'!BZ347='check-Jul''26'!BV347,"",'1. Live'!BZ347-'check-Jul''26'!BV347)</f>
        <v/>
      </c>
      <c r="BW329" s="25" t="str">
        <f>IF('1. Live'!CA347='check-Jul''26'!BW347,"",'1. Live'!CA347-'check-Jul''26'!BW347)</f>
        <v/>
      </c>
      <c r="BX329" s="25" t="str">
        <f>IF('1. Live'!CB347='check-Jul''26'!BX347,"",'1. Live'!CB347-'check-Jul''26'!BX347)</f>
        <v/>
      </c>
      <c r="BY329" s="25" t="str">
        <f>IF('1. Live'!CC347='check-Jul''26'!BY347,"",'1. Live'!CC347-'check-Jul''26'!BY347)</f>
        <v/>
      </c>
      <c r="BZ329" s="25" t="str">
        <f>IF('1. Live'!CD347='check-Jul''26'!BZ347,"",'1. Live'!CD347-'check-Jul''26'!BZ347)</f>
        <v/>
      </c>
      <c r="CA329" s="25" t="str">
        <f>IF('1. Live'!CE347='check-Jul''26'!CA347,"",'1. Live'!CE347-'check-Jul''26'!CA347)</f>
        <v/>
      </c>
      <c r="CB329" s="25" t="str">
        <f>IF('1. Live'!CF347='check-Jul''26'!CB347,"",'1. Live'!CF347-'check-Jul''26'!CB347)</f>
        <v/>
      </c>
      <c r="CC329" s="25" t="str">
        <f>IF('1. Live'!CG347='check-Jul''26'!CC347,"",'1. Live'!CG347-'check-Jul''26'!CC347)</f>
        <v/>
      </c>
      <c r="CD329" s="25" t="str">
        <f>IF('1. Live'!CH347='check-Jul''26'!CD347,"",'1. Live'!CH347-'check-Jul''26'!CD347)</f>
        <v/>
      </c>
      <c r="CE329" s="25" t="str">
        <f>IF('1. Live'!CI347='check-Jul''26'!CE347,"",'1. Live'!CI347-'check-Jul''26'!CE347)</f>
        <v/>
      </c>
      <c r="CF329" s="25" t="str">
        <f>IF('1. Live'!CJ347='check-Jul''26'!CF347,"",'1. Live'!CJ347-'check-Jul''26'!CF347)</f>
        <v/>
      </c>
      <c r="CG329" s="25" t="str">
        <f>IF('1. Live'!CK347='check-Jul''26'!CG347,"",'1. Live'!CK347-'check-Jul''26'!CG347)</f>
        <v/>
      </c>
      <c r="CH329" s="25" t="str">
        <f>IF('1. Live'!CL347='check-Jul''26'!CH347,"",'1. Live'!CL347-'check-Jul''26'!CH347)</f>
        <v/>
      </c>
      <c r="CI329" s="25" t="str">
        <f>IF('1. Live'!CM347='check-Jul''26'!CI347,"",'1. Live'!CM347-'check-Jul''26'!CI347)</f>
        <v/>
      </c>
      <c r="CJ329" s="25" t="str">
        <f>IF('1. Live'!CN347='check-Jul''26'!CJ347,"",'1. Live'!CN347-'check-Jul''26'!CJ347)</f>
        <v/>
      </c>
      <c r="CK329" s="25" t="str">
        <f>IF('1. Live'!CO347='check-Jul''26'!CK347,"",'1. Live'!CO347-'check-Jul''26'!CK347)</f>
        <v/>
      </c>
      <c r="CL329" s="25" t="str">
        <f>IF('1. Live'!CP347='check-Jul''26'!CL347,"",'1. Live'!CP347-'check-Jul''26'!CL347)</f>
        <v/>
      </c>
      <c r="CM329" s="25" t="str">
        <f>IF('1. Live'!CQ347='check-Jul''26'!CM347,"",'1. Live'!CQ347-'check-Jul''26'!CM347)</f>
        <v/>
      </c>
      <c r="CN329" s="25" t="str">
        <f>IF('1. Live'!CR347='check-Jul''26'!CN347,"",'1. Live'!CR347-'check-Jul''26'!CN347)</f>
        <v/>
      </c>
      <c r="CO329" s="25" t="str">
        <f>IF('1. Live'!CS347='check-Jul''26'!CO347,"",'1. Live'!CS347-'check-Jul''26'!CO347)</f>
        <v/>
      </c>
      <c r="CP329" s="25" t="str">
        <f>IF('1. Live'!CT347='check-Jul''26'!CP347,"",'1. Live'!CT347-'check-Jul''26'!CP347)</f>
        <v/>
      </c>
      <c r="CQ329" s="25" t="str">
        <f>IF('1. Live'!CU347='check-Jul''26'!CQ347,"",'1. Live'!CU347-'check-Jul''26'!CQ347)</f>
        <v/>
      </c>
      <c r="CR329" s="25" t="str">
        <f>IF('1. Live'!CV347='check-Jul''26'!CR347,"",'1. Live'!CV347-'check-Jul''26'!CR347)</f>
        <v/>
      </c>
      <c r="CS329" s="25" t="str">
        <f>IF('1. Live'!CW347='check-Jul''26'!CS347,"",'1. Live'!CW347-'check-Jul''26'!CS347)</f>
        <v/>
      </c>
      <c r="CT329" s="25" t="str">
        <f>IF('1. Live'!CX347='check-Jul''26'!CT347,"",'1. Live'!CX347-'check-Jul''26'!CT347)</f>
        <v/>
      </c>
      <c r="CU329" s="25" t="str">
        <f>IF('1. Live'!CY347='check-Jul''26'!CU347,"",'1. Live'!CY347-'check-Jul''26'!CU347)</f>
        <v/>
      </c>
      <c r="CV329" s="25" t="str">
        <f>IF('1. Live'!CZ347='check-Jul''26'!CV347,"",'1. Live'!CZ347-'check-Jul''26'!CV347)</f>
        <v/>
      </c>
    </row>
    <row r="330" spans="17:100" x14ac:dyDescent="0.25">
      <c r="Q330" s="26" t="str">
        <f>IF('1. Live'!N348='check-Jul''26'!I348,"",'1. Live'!N348-'check-Jul''26'!I348)</f>
        <v/>
      </c>
      <c r="R330" s="26" t="str">
        <f>IF('1. Live'!O348='check-Jul''26'!J348,"",'1. Live'!O348-'check-Jul''26'!J348)</f>
        <v/>
      </c>
      <c r="S330" s="26" t="str">
        <f>IF('1. Live'!P348='check-Jul''26'!K348,"",'1. Live'!P348-'check-Jul''26'!K348)</f>
        <v/>
      </c>
      <c r="T330" s="26" t="str">
        <f>IF('1. Live'!Q348='check-Jul''26'!L348,"",'1. Live'!Q348-'check-Jul''26'!L348)</f>
        <v/>
      </c>
      <c r="U330" s="80" t="str">
        <f>IF('1. Live'!R348='check-Jul''26'!M348,"",'1. Live'!R348-'check-Jul''26'!M348)</f>
        <v/>
      </c>
      <c r="V330" s="26" t="str">
        <f>IF('1. Live'!S348='check-Jul''26'!N348,"",'1. Live'!S348-'check-Jul''26'!N348)</f>
        <v/>
      </c>
      <c r="W330" s="25" t="str">
        <f>IF('1. Live'!T348='check-Jul''26'!O348,"",'1. Live'!T348-'check-Jul''26'!O348)</f>
        <v/>
      </c>
      <c r="X330" s="25" t="str">
        <f>IF('1. Live'!U348='check-Jul''26'!Q348,"",'1. Live'!U348-'check-Jul''26'!Q348)</f>
        <v/>
      </c>
      <c r="Y330" s="25" t="str">
        <f>IF('1. Live'!V348='check-Jul''26'!R348,"",'1. Live'!V348-'check-Jul''26'!R348)</f>
        <v/>
      </c>
      <c r="Z330" s="25" t="str">
        <f>IF('1. Live'!W348='check-Jul''26'!S348,"",'1. Live'!W348-'check-Jul''26'!S348)</f>
        <v/>
      </c>
      <c r="AA330" s="25" t="str">
        <f>IF('1. Live'!X348='check-Jul''26'!T348,"",'1. Live'!X348-'check-Jul''26'!T348)</f>
        <v/>
      </c>
      <c r="AB330" s="25" t="str">
        <f>IF('1. Live'!AF348='check-Jul''26'!AB348,"",'1. Live'!AF348-'check-Jul''26'!AB348)</f>
        <v/>
      </c>
      <c r="AC330" s="25" t="str">
        <f>IF('1. Live'!AG348='check-Jul''26'!AC348,"",'1. Live'!AG348-'check-Jul''26'!AC348)</f>
        <v/>
      </c>
      <c r="AD330" s="25" t="str">
        <f>IF('1. Live'!AH348='check-Jul''26'!AD348,"",'1. Live'!AH348-'check-Jul''26'!AD348)</f>
        <v/>
      </c>
      <c r="AE330" s="25" t="str">
        <f>IF('1. Live'!AI348='check-Jul''26'!AE348,"",'1. Live'!AI348-'check-Jul''26'!AE348)</f>
        <v/>
      </c>
      <c r="AF330" s="25" t="str">
        <f>IF('1. Live'!AJ348='check-Jul''26'!AF348,"",'1. Live'!AJ348-'check-Jul''26'!AF348)</f>
        <v/>
      </c>
      <c r="AG330" s="25" t="str">
        <f>IF('1. Live'!AK348='check-Jul''26'!AG348,"",'1. Live'!AK348-'check-Jul''26'!AG348)</f>
        <v/>
      </c>
      <c r="AH330" s="25" t="str">
        <f>IF('1. Live'!AL348='check-Jul''26'!AH348,"",'1. Live'!AL348-'check-Jul''26'!AH348)</f>
        <v/>
      </c>
      <c r="AI330" s="25" t="str">
        <f>IF('1. Live'!AM348='check-Jul''26'!AI348,"",'1. Live'!AM348-'check-Jul''26'!AI348)</f>
        <v/>
      </c>
      <c r="AJ330" s="25" t="str">
        <f>IF('1. Live'!AN348='check-Jul''26'!AJ348,"",'1. Live'!AN348-'check-Jul''26'!AJ348)</f>
        <v/>
      </c>
      <c r="AK330" s="25" t="str">
        <f>IF('1. Live'!AO348='check-Jul''26'!AK348,"",'1. Live'!AO348-'check-Jul''26'!AK348)</f>
        <v/>
      </c>
      <c r="AL330" s="25" t="str">
        <f>IF('1. Live'!AP348='check-Jul''26'!AL348,"",'1. Live'!AP348-'check-Jul''26'!AL348)</f>
        <v/>
      </c>
      <c r="AM330" s="25" t="str">
        <f>IF('1. Live'!AQ348='check-Jul''26'!AM348,"",'1. Live'!AQ348-'check-Jul''26'!AM348)</f>
        <v/>
      </c>
      <c r="AN330" s="25" t="str">
        <f>IF('1. Live'!AR348='check-Jul''26'!AN348,"",'1. Live'!AR348-'check-Jul''26'!AN348)</f>
        <v/>
      </c>
      <c r="AO330" s="25" t="str">
        <f>IF('1. Live'!AS348='check-Jul''26'!AO348,"",'1. Live'!AS348-'check-Jul''26'!AO348)</f>
        <v/>
      </c>
      <c r="AP330" s="25" t="str">
        <f>IF('1. Live'!AT348='check-Jul''26'!AP348,"",'1. Live'!AT348-'check-Jul''26'!AP348)</f>
        <v/>
      </c>
      <c r="AQ330" s="25" t="str">
        <f>IF('1. Live'!AU348='check-Jul''26'!AQ348,"",'1. Live'!AU348-'check-Jul''26'!AQ348)</f>
        <v/>
      </c>
      <c r="AR330" s="25" t="str">
        <f>IF('1. Live'!AV348='check-Jul''26'!AR348,"",'1. Live'!AV348-'check-Jul''26'!AR348)</f>
        <v/>
      </c>
      <c r="AS330" s="25" t="str">
        <f>IF('1. Live'!AW348='check-Jul''26'!AS348,"",'1. Live'!AW348-'check-Jul''26'!AS348)</f>
        <v/>
      </c>
      <c r="AT330" s="25" t="str">
        <f>IF('1. Live'!AX348='check-Jul''26'!AT348,"",'1. Live'!AX348-'check-Jul''26'!AT348)</f>
        <v/>
      </c>
      <c r="AU330" s="25" t="str">
        <f>IF('1. Live'!AY348='check-Jul''26'!AU348,"",'1. Live'!AY348-'check-Jul''26'!AU348)</f>
        <v/>
      </c>
      <c r="AV330" s="25" t="str">
        <f>IF('1. Live'!AZ348='check-Jul''26'!AV348,"",'1. Live'!AZ348-'check-Jul''26'!AV348)</f>
        <v/>
      </c>
      <c r="AW330" s="25" t="str">
        <f>IF('1. Live'!BA348='check-Jul''26'!AW348,"",'1. Live'!BA348-'check-Jul''26'!AW348)</f>
        <v/>
      </c>
      <c r="AX330" s="25" t="str">
        <f>IF('1. Live'!BB348='check-Jul''26'!AX348,"",'1. Live'!BB348-'check-Jul''26'!AX348)</f>
        <v/>
      </c>
      <c r="AY330" s="25" t="str">
        <f>IF('1. Live'!BC348='check-Jul''26'!AY348,"",'1. Live'!BC348-'check-Jul''26'!AY348)</f>
        <v/>
      </c>
      <c r="AZ330" s="25" t="str">
        <f>IF('1. Live'!BD348='check-Jul''26'!AZ348,"",'1. Live'!BD348-'check-Jul''26'!AZ348)</f>
        <v/>
      </c>
      <c r="BA330" s="25" t="str">
        <f>IF('1. Live'!BE348='check-Jul''26'!BA348,"",'1. Live'!BE348-'check-Jul''26'!BA348)</f>
        <v/>
      </c>
      <c r="BB330" s="25" t="str">
        <f>IF('1. Live'!BF348='check-Jul''26'!BB348,"",'1. Live'!BF348-'check-Jul''26'!BB348)</f>
        <v/>
      </c>
      <c r="BC330" s="25" t="str">
        <f>IF('1. Live'!BG348='check-Jul''26'!BC348,"",'1. Live'!BG348-'check-Jul''26'!BC348)</f>
        <v/>
      </c>
      <c r="BD330" s="25" t="str">
        <f>IF('1. Live'!BH348='check-Jul''26'!BD348,"",'1. Live'!BH348-'check-Jul''26'!BD348)</f>
        <v/>
      </c>
      <c r="BE330" s="25" t="str">
        <f>IF('1. Live'!BI348='check-Jul''26'!BE348,"",'1. Live'!BI348-'check-Jul''26'!BE348)</f>
        <v/>
      </c>
      <c r="BF330" s="25" t="str">
        <f>IF('1. Live'!BJ348='check-Jul''26'!BF348,"",'1. Live'!BJ348-'check-Jul''26'!BF348)</f>
        <v/>
      </c>
      <c r="BG330" s="25" t="str">
        <f>IF('1. Live'!BK348='check-Jul''26'!BG348,"",'1. Live'!BK348-'check-Jul''26'!BG348)</f>
        <v/>
      </c>
      <c r="BH330" s="25" t="str">
        <f>IF('1. Live'!BL348='check-Jul''26'!BH348,"",'1. Live'!BL348-'check-Jul''26'!BH348)</f>
        <v/>
      </c>
      <c r="BI330" s="25" t="str">
        <f>IF('1. Live'!BM348='check-Jul''26'!BI348,"",'1. Live'!BM348-'check-Jul''26'!BI348)</f>
        <v/>
      </c>
      <c r="BJ330" s="25" t="str">
        <f>IF('1. Live'!BN348='check-Jul''26'!BJ348,"",'1. Live'!BN348-'check-Jul''26'!BJ348)</f>
        <v/>
      </c>
      <c r="BK330" s="25" t="str">
        <f>IF('1. Live'!BO348='check-Jul''26'!BK348,"",'1. Live'!BO348-'check-Jul''26'!BK348)</f>
        <v/>
      </c>
      <c r="BL330" s="25" t="str">
        <f>IF('1. Live'!BP348='check-Jul''26'!BL348,"",'1. Live'!BP348-'check-Jul''26'!BL348)</f>
        <v/>
      </c>
      <c r="BM330" s="25" t="str">
        <f>IF('1. Live'!BQ348='check-Jul''26'!BM348,"",'1. Live'!BQ348-'check-Jul''26'!BM348)</f>
        <v/>
      </c>
      <c r="BN330" s="25" t="str">
        <f>IF('1. Live'!BR348='check-Jul''26'!BN348,"",'1. Live'!BR348-'check-Jul''26'!BN348)</f>
        <v/>
      </c>
      <c r="BO330" s="25" t="str">
        <f>IF('1. Live'!BS348='check-Jul''26'!BO348,"",'1. Live'!BS348-'check-Jul''26'!BO348)</f>
        <v/>
      </c>
      <c r="BP330" s="25" t="str">
        <f>IF('1. Live'!BT348='check-Jul''26'!BP348,"",'1. Live'!BT348-'check-Jul''26'!BP348)</f>
        <v/>
      </c>
      <c r="BQ330" s="25" t="str">
        <f>IF('1. Live'!BU348='check-Jul''26'!BQ348,"",'1. Live'!BU348-'check-Jul''26'!BQ348)</f>
        <v/>
      </c>
      <c r="BR330" s="25" t="str">
        <f>IF('1. Live'!BV348='check-Jul''26'!BR348,"",'1. Live'!BV348-'check-Jul''26'!BR348)</f>
        <v/>
      </c>
      <c r="BS330" s="25" t="str">
        <f>IF('1. Live'!BW348='check-Jul''26'!BS348,"",'1. Live'!BW348-'check-Jul''26'!BS348)</f>
        <v/>
      </c>
      <c r="BT330" s="25" t="str">
        <f>IF('1. Live'!BX348='check-Jul''26'!BT348,"",'1. Live'!BX348-'check-Jul''26'!BT348)</f>
        <v/>
      </c>
      <c r="BU330" s="25" t="str">
        <f>IF('1. Live'!BY348='check-Jul''26'!BU348,"",'1. Live'!BY348-'check-Jul''26'!BU348)</f>
        <v/>
      </c>
      <c r="BV330" s="25" t="str">
        <f>IF('1. Live'!BZ348='check-Jul''26'!BV348,"",'1. Live'!BZ348-'check-Jul''26'!BV348)</f>
        <v/>
      </c>
      <c r="BW330" s="25" t="str">
        <f>IF('1. Live'!CA348='check-Jul''26'!BW348,"",'1. Live'!CA348-'check-Jul''26'!BW348)</f>
        <v/>
      </c>
      <c r="BX330" s="25" t="str">
        <f>IF('1. Live'!CB348='check-Jul''26'!BX348,"",'1. Live'!CB348-'check-Jul''26'!BX348)</f>
        <v/>
      </c>
      <c r="BY330" s="25" t="str">
        <f>IF('1. Live'!CC348='check-Jul''26'!BY348,"",'1. Live'!CC348-'check-Jul''26'!BY348)</f>
        <v/>
      </c>
      <c r="BZ330" s="25" t="str">
        <f>IF('1. Live'!CD348='check-Jul''26'!BZ348,"",'1. Live'!CD348-'check-Jul''26'!BZ348)</f>
        <v/>
      </c>
      <c r="CA330" s="25" t="str">
        <f>IF('1. Live'!CE348='check-Jul''26'!CA348,"",'1. Live'!CE348-'check-Jul''26'!CA348)</f>
        <v/>
      </c>
      <c r="CB330" s="25" t="str">
        <f>IF('1. Live'!CF348='check-Jul''26'!CB348,"",'1. Live'!CF348-'check-Jul''26'!CB348)</f>
        <v/>
      </c>
      <c r="CC330" s="25" t="str">
        <f>IF('1. Live'!CG348='check-Jul''26'!CC348,"",'1. Live'!CG348-'check-Jul''26'!CC348)</f>
        <v/>
      </c>
      <c r="CD330" s="25" t="str">
        <f>IF('1. Live'!CH348='check-Jul''26'!CD348,"",'1. Live'!CH348-'check-Jul''26'!CD348)</f>
        <v/>
      </c>
      <c r="CE330" s="25" t="str">
        <f>IF('1. Live'!CI348='check-Jul''26'!CE348,"",'1. Live'!CI348-'check-Jul''26'!CE348)</f>
        <v/>
      </c>
      <c r="CF330" s="25" t="str">
        <f>IF('1. Live'!CJ348='check-Jul''26'!CF348,"",'1. Live'!CJ348-'check-Jul''26'!CF348)</f>
        <v/>
      </c>
      <c r="CG330" s="25" t="str">
        <f>IF('1. Live'!CK348='check-Jul''26'!CG348,"",'1. Live'!CK348-'check-Jul''26'!CG348)</f>
        <v/>
      </c>
      <c r="CH330" s="25" t="str">
        <f>IF('1. Live'!CL348='check-Jul''26'!CH348,"",'1. Live'!CL348-'check-Jul''26'!CH348)</f>
        <v/>
      </c>
      <c r="CI330" s="25" t="str">
        <f>IF('1. Live'!CM348='check-Jul''26'!CI348,"",'1. Live'!CM348-'check-Jul''26'!CI348)</f>
        <v/>
      </c>
      <c r="CJ330" s="25" t="str">
        <f>IF('1. Live'!CN348='check-Jul''26'!CJ348,"",'1. Live'!CN348-'check-Jul''26'!CJ348)</f>
        <v/>
      </c>
      <c r="CK330" s="25" t="str">
        <f>IF('1. Live'!CO348='check-Jul''26'!CK348,"",'1. Live'!CO348-'check-Jul''26'!CK348)</f>
        <v/>
      </c>
      <c r="CL330" s="25" t="str">
        <f>IF('1. Live'!CP348='check-Jul''26'!CL348,"",'1. Live'!CP348-'check-Jul''26'!CL348)</f>
        <v/>
      </c>
      <c r="CM330" s="25" t="str">
        <f>IF('1. Live'!CQ348='check-Jul''26'!CM348,"",'1. Live'!CQ348-'check-Jul''26'!CM348)</f>
        <v/>
      </c>
      <c r="CN330" s="25" t="str">
        <f>IF('1. Live'!CR348='check-Jul''26'!CN348,"",'1. Live'!CR348-'check-Jul''26'!CN348)</f>
        <v/>
      </c>
      <c r="CO330" s="25" t="str">
        <f>IF('1. Live'!CS348='check-Jul''26'!CO348,"",'1. Live'!CS348-'check-Jul''26'!CO348)</f>
        <v/>
      </c>
      <c r="CP330" s="25" t="str">
        <f>IF('1. Live'!CT348='check-Jul''26'!CP348,"",'1. Live'!CT348-'check-Jul''26'!CP348)</f>
        <v/>
      </c>
      <c r="CQ330" s="25" t="str">
        <f>IF('1. Live'!CU348='check-Jul''26'!CQ348,"",'1. Live'!CU348-'check-Jul''26'!CQ348)</f>
        <v/>
      </c>
      <c r="CR330" s="25" t="str">
        <f>IF('1. Live'!CV348='check-Jul''26'!CR348,"",'1. Live'!CV348-'check-Jul''26'!CR348)</f>
        <v/>
      </c>
      <c r="CS330" s="25" t="str">
        <f>IF('1. Live'!CW348='check-Jul''26'!CS348,"",'1. Live'!CW348-'check-Jul''26'!CS348)</f>
        <v/>
      </c>
      <c r="CT330" s="25" t="str">
        <f>IF('1. Live'!CX348='check-Jul''26'!CT348,"",'1. Live'!CX348-'check-Jul''26'!CT348)</f>
        <v/>
      </c>
      <c r="CU330" s="25" t="str">
        <f>IF('1. Live'!CY348='check-Jul''26'!CU348,"",'1. Live'!CY348-'check-Jul''26'!CU348)</f>
        <v/>
      </c>
      <c r="CV330" s="25" t="str">
        <f>IF('1. Live'!CZ348='check-Jul''26'!CV348,"",'1. Live'!CZ348-'check-Jul''26'!CV348)</f>
        <v/>
      </c>
    </row>
    <row r="331" spans="17:100" x14ac:dyDescent="0.25">
      <c r="Q331" s="26" t="str">
        <f>IF('1. Live'!N349='check-Jul''26'!I349,"",'1. Live'!N349-'check-Jul''26'!I349)</f>
        <v/>
      </c>
      <c r="R331" s="26" t="str">
        <f>IF('1. Live'!O349='check-Jul''26'!J349,"",'1. Live'!O349-'check-Jul''26'!J349)</f>
        <v/>
      </c>
      <c r="S331" s="26" t="str">
        <f>IF('1. Live'!P349='check-Jul''26'!K349,"",'1. Live'!P349-'check-Jul''26'!K349)</f>
        <v/>
      </c>
      <c r="T331" s="26" t="str">
        <f>IF('1. Live'!Q349='check-Jul''26'!L349,"",'1. Live'!Q349-'check-Jul''26'!L349)</f>
        <v/>
      </c>
      <c r="U331" s="80" t="str">
        <f>IF('1. Live'!R349='check-Jul''26'!M349,"",'1. Live'!R349-'check-Jul''26'!M349)</f>
        <v/>
      </c>
      <c r="V331" s="26" t="str">
        <f>IF('1. Live'!S349='check-Jul''26'!N349,"",'1. Live'!S349-'check-Jul''26'!N349)</f>
        <v/>
      </c>
      <c r="W331" s="25" t="str">
        <f>IF('1. Live'!T349='check-Jul''26'!O349,"",'1. Live'!T349-'check-Jul''26'!O349)</f>
        <v/>
      </c>
      <c r="X331" s="25" t="str">
        <f>IF('1. Live'!U349='check-Jul''26'!Q349,"",'1. Live'!U349-'check-Jul''26'!Q349)</f>
        <v/>
      </c>
      <c r="Y331" s="25" t="str">
        <f>IF('1. Live'!V349='check-Jul''26'!R349,"",'1. Live'!V349-'check-Jul''26'!R349)</f>
        <v/>
      </c>
      <c r="Z331" s="25" t="str">
        <f>IF('1. Live'!W349='check-Jul''26'!S349,"",'1. Live'!W349-'check-Jul''26'!S349)</f>
        <v/>
      </c>
      <c r="AA331" s="25" t="str">
        <f>IF('1. Live'!X349='check-Jul''26'!T349,"",'1. Live'!X349-'check-Jul''26'!T349)</f>
        <v/>
      </c>
      <c r="AB331" s="25" t="str">
        <f>IF('1. Live'!AF349='check-Jul''26'!AB349,"",'1. Live'!AF349-'check-Jul''26'!AB349)</f>
        <v/>
      </c>
      <c r="AC331" s="25" t="str">
        <f>IF('1. Live'!AG349='check-Jul''26'!AC349,"",'1. Live'!AG349-'check-Jul''26'!AC349)</f>
        <v/>
      </c>
      <c r="AD331" s="25" t="str">
        <f>IF('1. Live'!AH349='check-Jul''26'!AD349,"",'1. Live'!AH349-'check-Jul''26'!AD349)</f>
        <v/>
      </c>
      <c r="AE331" s="25" t="str">
        <f>IF('1. Live'!AI349='check-Jul''26'!AE349,"",'1. Live'!AI349-'check-Jul''26'!AE349)</f>
        <v/>
      </c>
      <c r="AF331" s="25" t="str">
        <f>IF('1. Live'!AJ349='check-Jul''26'!AF349,"",'1. Live'!AJ349-'check-Jul''26'!AF349)</f>
        <v/>
      </c>
      <c r="AG331" s="25" t="str">
        <f>IF('1. Live'!AK349='check-Jul''26'!AG349,"",'1. Live'!AK349-'check-Jul''26'!AG349)</f>
        <v/>
      </c>
      <c r="AH331" s="25" t="str">
        <f>IF('1. Live'!AL349='check-Jul''26'!AH349,"",'1. Live'!AL349-'check-Jul''26'!AH349)</f>
        <v/>
      </c>
      <c r="AI331" s="25" t="str">
        <f>IF('1. Live'!AM349='check-Jul''26'!AI349,"",'1. Live'!AM349-'check-Jul''26'!AI349)</f>
        <v/>
      </c>
      <c r="AJ331" s="25" t="str">
        <f>IF('1. Live'!AN349='check-Jul''26'!AJ349,"",'1. Live'!AN349-'check-Jul''26'!AJ349)</f>
        <v/>
      </c>
      <c r="AK331" s="25" t="str">
        <f>IF('1. Live'!AO349='check-Jul''26'!AK349,"",'1. Live'!AO349-'check-Jul''26'!AK349)</f>
        <v/>
      </c>
      <c r="AL331" s="25" t="str">
        <f>IF('1. Live'!AP349='check-Jul''26'!AL349,"",'1. Live'!AP349-'check-Jul''26'!AL349)</f>
        <v/>
      </c>
      <c r="AM331" s="25" t="str">
        <f>IF('1. Live'!AQ349='check-Jul''26'!AM349,"",'1. Live'!AQ349-'check-Jul''26'!AM349)</f>
        <v/>
      </c>
      <c r="AN331" s="25" t="str">
        <f>IF('1. Live'!AR349='check-Jul''26'!AN349,"",'1. Live'!AR349-'check-Jul''26'!AN349)</f>
        <v/>
      </c>
      <c r="AO331" s="25" t="str">
        <f>IF('1. Live'!AS349='check-Jul''26'!AO349,"",'1. Live'!AS349-'check-Jul''26'!AO349)</f>
        <v/>
      </c>
      <c r="AP331" s="25" t="str">
        <f>IF('1. Live'!AT349='check-Jul''26'!AP349,"",'1. Live'!AT349-'check-Jul''26'!AP349)</f>
        <v/>
      </c>
      <c r="AQ331" s="25" t="str">
        <f>IF('1. Live'!AU349='check-Jul''26'!AQ349,"",'1. Live'!AU349-'check-Jul''26'!AQ349)</f>
        <v/>
      </c>
      <c r="AR331" s="25" t="str">
        <f>IF('1. Live'!AV349='check-Jul''26'!AR349,"",'1. Live'!AV349-'check-Jul''26'!AR349)</f>
        <v/>
      </c>
      <c r="AS331" s="25" t="str">
        <f>IF('1. Live'!AW349='check-Jul''26'!AS349,"",'1. Live'!AW349-'check-Jul''26'!AS349)</f>
        <v/>
      </c>
      <c r="AT331" s="25" t="str">
        <f>IF('1. Live'!AX349='check-Jul''26'!AT349,"",'1. Live'!AX349-'check-Jul''26'!AT349)</f>
        <v/>
      </c>
      <c r="AU331" s="25" t="str">
        <f>IF('1. Live'!AY349='check-Jul''26'!AU349,"",'1. Live'!AY349-'check-Jul''26'!AU349)</f>
        <v/>
      </c>
      <c r="AV331" s="25" t="str">
        <f>IF('1. Live'!AZ349='check-Jul''26'!AV349,"",'1. Live'!AZ349-'check-Jul''26'!AV349)</f>
        <v/>
      </c>
      <c r="AW331" s="25" t="str">
        <f>IF('1. Live'!BA349='check-Jul''26'!AW349,"",'1. Live'!BA349-'check-Jul''26'!AW349)</f>
        <v/>
      </c>
      <c r="AX331" s="25" t="str">
        <f>IF('1. Live'!BB349='check-Jul''26'!AX349,"",'1. Live'!BB349-'check-Jul''26'!AX349)</f>
        <v/>
      </c>
      <c r="AY331" s="25" t="str">
        <f>IF('1. Live'!BC349='check-Jul''26'!AY349,"",'1. Live'!BC349-'check-Jul''26'!AY349)</f>
        <v/>
      </c>
      <c r="AZ331" s="25" t="str">
        <f>IF('1. Live'!BD349='check-Jul''26'!AZ349,"",'1. Live'!BD349-'check-Jul''26'!AZ349)</f>
        <v/>
      </c>
      <c r="BA331" s="25" t="str">
        <f>IF('1. Live'!BE349='check-Jul''26'!BA349,"",'1. Live'!BE349-'check-Jul''26'!BA349)</f>
        <v/>
      </c>
      <c r="BB331" s="25" t="str">
        <f>IF('1. Live'!BF349='check-Jul''26'!BB349,"",'1. Live'!BF349-'check-Jul''26'!BB349)</f>
        <v/>
      </c>
      <c r="BC331" s="25" t="str">
        <f>IF('1. Live'!BG349='check-Jul''26'!BC349,"",'1. Live'!BG349-'check-Jul''26'!BC349)</f>
        <v/>
      </c>
      <c r="BD331" s="25" t="str">
        <f>IF('1. Live'!BH349='check-Jul''26'!BD349,"",'1. Live'!BH349-'check-Jul''26'!BD349)</f>
        <v/>
      </c>
      <c r="BE331" s="25" t="str">
        <f>IF('1. Live'!BI349='check-Jul''26'!BE349,"",'1. Live'!BI349-'check-Jul''26'!BE349)</f>
        <v/>
      </c>
      <c r="BF331" s="25" t="str">
        <f>IF('1. Live'!BJ349='check-Jul''26'!BF349,"",'1. Live'!BJ349-'check-Jul''26'!BF349)</f>
        <v/>
      </c>
      <c r="BG331" s="25" t="str">
        <f>IF('1. Live'!BK349='check-Jul''26'!BG349,"",'1. Live'!BK349-'check-Jul''26'!BG349)</f>
        <v/>
      </c>
      <c r="BH331" s="25" t="str">
        <f>IF('1. Live'!BL349='check-Jul''26'!BH349,"",'1. Live'!BL349-'check-Jul''26'!BH349)</f>
        <v/>
      </c>
      <c r="BI331" s="25" t="str">
        <f>IF('1. Live'!BM349='check-Jul''26'!BI349,"",'1. Live'!BM349-'check-Jul''26'!BI349)</f>
        <v/>
      </c>
      <c r="BJ331" s="25" t="str">
        <f>IF('1. Live'!BN349='check-Jul''26'!BJ349,"",'1. Live'!BN349-'check-Jul''26'!BJ349)</f>
        <v/>
      </c>
      <c r="BK331" s="25" t="str">
        <f>IF('1. Live'!BO349='check-Jul''26'!BK349,"",'1. Live'!BO349-'check-Jul''26'!BK349)</f>
        <v/>
      </c>
      <c r="BL331" s="25" t="str">
        <f>IF('1. Live'!BP349='check-Jul''26'!BL349,"",'1. Live'!BP349-'check-Jul''26'!BL349)</f>
        <v/>
      </c>
      <c r="BM331" s="25" t="str">
        <f>IF('1. Live'!BQ349='check-Jul''26'!BM349,"",'1. Live'!BQ349-'check-Jul''26'!BM349)</f>
        <v/>
      </c>
      <c r="BN331" s="25" t="str">
        <f>IF('1. Live'!BR349='check-Jul''26'!BN349,"",'1. Live'!BR349-'check-Jul''26'!BN349)</f>
        <v/>
      </c>
      <c r="BO331" s="25" t="str">
        <f>IF('1. Live'!BS349='check-Jul''26'!BO349,"",'1. Live'!BS349-'check-Jul''26'!BO349)</f>
        <v/>
      </c>
      <c r="BP331" s="25" t="str">
        <f>IF('1. Live'!BT349='check-Jul''26'!BP349,"",'1. Live'!BT349-'check-Jul''26'!BP349)</f>
        <v/>
      </c>
      <c r="BQ331" s="25" t="str">
        <f>IF('1. Live'!BU349='check-Jul''26'!BQ349,"",'1. Live'!BU349-'check-Jul''26'!BQ349)</f>
        <v/>
      </c>
      <c r="BR331" s="25" t="str">
        <f>IF('1. Live'!BV349='check-Jul''26'!BR349,"",'1. Live'!BV349-'check-Jul''26'!BR349)</f>
        <v/>
      </c>
      <c r="BS331" s="25" t="str">
        <f>IF('1. Live'!BW349='check-Jul''26'!BS349,"",'1. Live'!BW349-'check-Jul''26'!BS349)</f>
        <v/>
      </c>
      <c r="BT331" s="25" t="str">
        <f>IF('1. Live'!BX349='check-Jul''26'!BT349,"",'1. Live'!BX349-'check-Jul''26'!BT349)</f>
        <v/>
      </c>
      <c r="BU331" s="25" t="str">
        <f>IF('1. Live'!BY349='check-Jul''26'!BU349,"",'1. Live'!BY349-'check-Jul''26'!BU349)</f>
        <v/>
      </c>
      <c r="BV331" s="25" t="str">
        <f>IF('1. Live'!BZ349='check-Jul''26'!BV349,"",'1. Live'!BZ349-'check-Jul''26'!BV349)</f>
        <v/>
      </c>
      <c r="BW331" s="25" t="str">
        <f>IF('1. Live'!CA349='check-Jul''26'!BW349,"",'1. Live'!CA349-'check-Jul''26'!BW349)</f>
        <v/>
      </c>
      <c r="BX331" s="25" t="str">
        <f>IF('1. Live'!CB349='check-Jul''26'!BX349,"",'1. Live'!CB349-'check-Jul''26'!BX349)</f>
        <v/>
      </c>
      <c r="BY331" s="25" t="str">
        <f>IF('1. Live'!CC349='check-Jul''26'!BY349,"",'1. Live'!CC349-'check-Jul''26'!BY349)</f>
        <v/>
      </c>
      <c r="BZ331" s="25" t="str">
        <f>IF('1. Live'!CD349='check-Jul''26'!BZ349,"",'1. Live'!CD349-'check-Jul''26'!BZ349)</f>
        <v/>
      </c>
      <c r="CA331" s="25" t="str">
        <f>IF('1. Live'!CE349='check-Jul''26'!CA349,"",'1. Live'!CE349-'check-Jul''26'!CA349)</f>
        <v/>
      </c>
      <c r="CB331" s="25" t="str">
        <f>IF('1. Live'!CF349='check-Jul''26'!CB349,"",'1. Live'!CF349-'check-Jul''26'!CB349)</f>
        <v/>
      </c>
      <c r="CC331" s="25" t="str">
        <f>IF('1. Live'!CG349='check-Jul''26'!CC349,"",'1. Live'!CG349-'check-Jul''26'!CC349)</f>
        <v/>
      </c>
      <c r="CD331" s="25" t="str">
        <f>IF('1. Live'!CH349='check-Jul''26'!CD349,"",'1. Live'!CH349-'check-Jul''26'!CD349)</f>
        <v/>
      </c>
      <c r="CE331" s="25" t="str">
        <f>IF('1. Live'!CI349='check-Jul''26'!CE349,"",'1. Live'!CI349-'check-Jul''26'!CE349)</f>
        <v/>
      </c>
      <c r="CF331" s="25" t="str">
        <f>IF('1. Live'!CJ349='check-Jul''26'!CF349,"",'1. Live'!CJ349-'check-Jul''26'!CF349)</f>
        <v/>
      </c>
      <c r="CG331" s="25" t="str">
        <f>IF('1. Live'!CK349='check-Jul''26'!CG349,"",'1. Live'!CK349-'check-Jul''26'!CG349)</f>
        <v/>
      </c>
      <c r="CH331" s="25" t="str">
        <f>IF('1. Live'!CL349='check-Jul''26'!CH349,"",'1. Live'!CL349-'check-Jul''26'!CH349)</f>
        <v/>
      </c>
      <c r="CI331" s="25" t="str">
        <f>IF('1. Live'!CM349='check-Jul''26'!CI349,"",'1. Live'!CM349-'check-Jul''26'!CI349)</f>
        <v/>
      </c>
      <c r="CJ331" s="25" t="str">
        <f>IF('1. Live'!CN349='check-Jul''26'!CJ349,"",'1. Live'!CN349-'check-Jul''26'!CJ349)</f>
        <v/>
      </c>
      <c r="CK331" s="25" t="str">
        <f>IF('1. Live'!CO349='check-Jul''26'!CK349,"",'1. Live'!CO349-'check-Jul''26'!CK349)</f>
        <v/>
      </c>
      <c r="CL331" s="25" t="str">
        <f>IF('1. Live'!CP349='check-Jul''26'!CL349,"",'1. Live'!CP349-'check-Jul''26'!CL349)</f>
        <v/>
      </c>
      <c r="CM331" s="25" t="str">
        <f>IF('1. Live'!CQ349='check-Jul''26'!CM349,"",'1. Live'!CQ349-'check-Jul''26'!CM349)</f>
        <v/>
      </c>
      <c r="CN331" s="25" t="str">
        <f>IF('1. Live'!CR349='check-Jul''26'!CN349,"",'1. Live'!CR349-'check-Jul''26'!CN349)</f>
        <v/>
      </c>
      <c r="CO331" s="25" t="str">
        <f>IF('1. Live'!CS349='check-Jul''26'!CO349,"",'1. Live'!CS349-'check-Jul''26'!CO349)</f>
        <v/>
      </c>
      <c r="CP331" s="25" t="str">
        <f>IF('1. Live'!CT349='check-Jul''26'!CP349,"",'1. Live'!CT349-'check-Jul''26'!CP349)</f>
        <v/>
      </c>
      <c r="CQ331" s="25" t="str">
        <f>IF('1. Live'!CU349='check-Jul''26'!CQ349,"",'1. Live'!CU349-'check-Jul''26'!CQ349)</f>
        <v/>
      </c>
      <c r="CR331" s="25" t="str">
        <f>IF('1. Live'!CV349='check-Jul''26'!CR349,"",'1. Live'!CV349-'check-Jul''26'!CR349)</f>
        <v/>
      </c>
      <c r="CS331" s="25" t="str">
        <f>IF('1. Live'!CW349='check-Jul''26'!CS349,"",'1. Live'!CW349-'check-Jul''26'!CS349)</f>
        <v/>
      </c>
      <c r="CT331" s="25" t="str">
        <f>IF('1. Live'!CX349='check-Jul''26'!CT349,"",'1. Live'!CX349-'check-Jul''26'!CT349)</f>
        <v/>
      </c>
      <c r="CU331" s="25" t="str">
        <f>IF('1. Live'!CY349='check-Jul''26'!CU349,"",'1. Live'!CY349-'check-Jul''26'!CU349)</f>
        <v/>
      </c>
      <c r="CV331" s="25" t="str">
        <f>IF('1. Live'!CZ349='check-Jul''26'!CV349,"",'1. Live'!CZ349-'check-Jul''26'!CV349)</f>
        <v/>
      </c>
    </row>
    <row r="332" spans="17:100" x14ac:dyDescent="0.25">
      <c r="Q332" s="26" t="str">
        <f>IF('1. Live'!N350='check-Jul''26'!I350,"",'1. Live'!N350-'check-Jul''26'!I350)</f>
        <v/>
      </c>
      <c r="R332" s="26" t="str">
        <f>IF('1. Live'!O350='check-Jul''26'!J350,"",'1. Live'!O350-'check-Jul''26'!J350)</f>
        <v/>
      </c>
      <c r="S332" s="26" t="str">
        <f>IF('1. Live'!P350='check-Jul''26'!K350,"",'1. Live'!P350-'check-Jul''26'!K350)</f>
        <v/>
      </c>
      <c r="T332" s="26" t="str">
        <f>IF('1. Live'!Q350='check-Jul''26'!L350,"",'1. Live'!Q350-'check-Jul''26'!L350)</f>
        <v/>
      </c>
      <c r="U332" s="80" t="str">
        <f>IF('1. Live'!R350='check-Jul''26'!M350,"",'1. Live'!R350-'check-Jul''26'!M350)</f>
        <v/>
      </c>
      <c r="V332" s="26" t="str">
        <f>IF('1. Live'!S350='check-Jul''26'!N350,"",'1. Live'!S350-'check-Jul''26'!N350)</f>
        <v/>
      </c>
      <c r="W332" s="25" t="str">
        <f>IF('1. Live'!T350='check-Jul''26'!O350,"",'1. Live'!T350-'check-Jul''26'!O350)</f>
        <v/>
      </c>
      <c r="X332" s="25" t="str">
        <f>IF('1. Live'!U350='check-Jul''26'!Q350,"",'1. Live'!U350-'check-Jul''26'!Q350)</f>
        <v/>
      </c>
      <c r="Y332" s="25" t="str">
        <f>IF('1. Live'!V350='check-Jul''26'!R350,"",'1. Live'!V350-'check-Jul''26'!R350)</f>
        <v/>
      </c>
      <c r="Z332" s="25" t="str">
        <f>IF('1. Live'!W350='check-Jul''26'!S350,"",'1. Live'!W350-'check-Jul''26'!S350)</f>
        <v/>
      </c>
      <c r="AA332" s="25" t="str">
        <f>IF('1. Live'!X350='check-Jul''26'!T350,"",'1. Live'!X350-'check-Jul''26'!T350)</f>
        <v/>
      </c>
      <c r="AB332" s="25" t="str">
        <f>IF('1. Live'!AF350='check-Jul''26'!AB350,"",'1. Live'!AF350-'check-Jul''26'!AB350)</f>
        <v/>
      </c>
      <c r="AC332" s="25" t="str">
        <f>IF('1. Live'!AG350='check-Jul''26'!AC350,"",'1. Live'!AG350-'check-Jul''26'!AC350)</f>
        <v/>
      </c>
      <c r="AD332" s="25" t="str">
        <f>IF('1. Live'!AH350='check-Jul''26'!AD350,"",'1. Live'!AH350-'check-Jul''26'!AD350)</f>
        <v/>
      </c>
      <c r="AE332" s="25" t="str">
        <f>IF('1. Live'!AI350='check-Jul''26'!AE350,"",'1. Live'!AI350-'check-Jul''26'!AE350)</f>
        <v/>
      </c>
      <c r="AF332" s="25" t="str">
        <f>IF('1. Live'!AJ350='check-Jul''26'!AF350,"",'1. Live'!AJ350-'check-Jul''26'!AF350)</f>
        <v/>
      </c>
      <c r="AG332" s="25" t="str">
        <f>IF('1. Live'!AK350='check-Jul''26'!AG350,"",'1. Live'!AK350-'check-Jul''26'!AG350)</f>
        <v/>
      </c>
      <c r="AH332" s="25" t="str">
        <f>IF('1. Live'!AL350='check-Jul''26'!AH350,"",'1. Live'!AL350-'check-Jul''26'!AH350)</f>
        <v/>
      </c>
      <c r="AI332" s="25" t="str">
        <f>IF('1. Live'!AM350='check-Jul''26'!AI350,"",'1. Live'!AM350-'check-Jul''26'!AI350)</f>
        <v/>
      </c>
      <c r="AJ332" s="25" t="str">
        <f>IF('1. Live'!AN350='check-Jul''26'!AJ350,"",'1. Live'!AN350-'check-Jul''26'!AJ350)</f>
        <v/>
      </c>
      <c r="AK332" s="25" t="str">
        <f>IF('1. Live'!AO350='check-Jul''26'!AK350,"",'1. Live'!AO350-'check-Jul''26'!AK350)</f>
        <v/>
      </c>
      <c r="AL332" s="25" t="str">
        <f>IF('1. Live'!AP350='check-Jul''26'!AL350,"",'1. Live'!AP350-'check-Jul''26'!AL350)</f>
        <v/>
      </c>
      <c r="AM332" s="25" t="str">
        <f>IF('1. Live'!AQ350='check-Jul''26'!AM350,"",'1. Live'!AQ350-'check-Jul''26'!AM350)</f>
        <v/>
      </c>
      <c r="AN332" s="25" t="str">
        <f>IF('1. Live'!AR350='check-Jul''26'!AN350,"",'1. Live'!AR350-'check-Jul''26'!AN350)</f>
        <v/>
      </c>
      <c r="AO332" s="25" t="str">
        <f>IF('1. Live'!AS350='check-Jul''26'!AO350,"",'1. Live'!AS350-'check-Jul''26'!AO350)</f>
        <v/>
      </c>
      <c r="AP332" s="25" t="str">
        <f>IF('1. Live'!AT350='check-Jul''26'!AP350,"",'1. Live'!AT350-'check-Jul''26'!AP350)</f>
        <v/>
      </c>
      <c r="AQ332" s="25" t="str">
        <f>IF('1. Live'!AU350='check-Jul''26'!AQ350,"",'1. Live'!AU350-'check-Jul''26'!AQ350)</f>
        <v/>
      </c>
      <c r="AR332" s="25" t="str">
        <f>IF('1. Live'!AV350='check-Jul''26'!AR350,"",'1. Live'!AV350-'check-Jul''26'!AR350)</f>
        <v/>
      </c>
      <c r="AS332" s="25" t="str">
        <f>IF('1. Live'!AW350='check-Jul''26'!AS350,"",'1. Live'!AW350-'check-Jul''26'!AS350)</f>
        <v/>
      </c>
      <c r="AT332" s="25" t="str">
        <f>IF('1. Live'!AX350='check-Jul''26'!AT350,"",'1. Live'!AX350-'check-Jul''26'!AT350)</f>
        <v/>
      </c>
      <c r="AU332" s="25" t="str">
        <f>IF('1. Live'!AY350='check-Jul''26'!AU350,"",'1. Live'!AY350-'check-Jul''26'!AU350)</f>
        <v/>
      </c>
      <c r="AV332" s="25" t="str">
        <f>IF('1. Live'!AZ350='check-Jul''26'!AV350,"",'1. Live'!AZ350-'check-Jul''26'!AV350)</f>
        <v/>
      </c>
      <c r="AW332" s="25" t="str">
        <f>IF('1. Live'!BA350='check-Jul''26'!AW350,"",'1. Live'!BA350-'check-Jul''26'!AW350)</f>
        <v/>
      </c>
      <c r="AX332" s="25" t="str">
        <f>IF('1. Live'!BB350='check-Jul''26'!AX350,"",'1. Live'!BB350-'check-Jul''26'!AX350)</f>
        <v/>
      </c>
      <c r="AY332" s="25" t="str">
        <f>IF('1. Live'!BC350='check-Jul''26'!AY350,"",'1. Live'!BC350-'check-Jul''26'!AY350)</f>
        <v/>
      </c>
      <c r="AZ332" s="25" t="str">
        <f>IF('1. Live'!BD350='check-Jul''26'!AZ350,"",'1. Live'!BD350-'check-Jul''26'!AZ350)</f>
        <v/>
      </c>
      <c r="BA332" s="25" t="str">
        <f>IF('1. Live'!BE350='check-Jul''26'!BA350,"",'1. Live'!BE350-'check-Jul''26'!BA350)</f>
        <v/>
      </c>
      <c r="BB332" s="25" t="str">
        <f>IF('1. Live'!BF350='check-Jul''26'!BB350,"",'1. Live'!BF350-'check-Jul''26'!BB350)</f>
        <v/>
      </c>
      <c r="BC332" s="25" t="str">
        <f>IF('1. Live'!BG350='check-Jul''26'!BC350,"",'1. Live'!BG350-'check-Jul''26'!BC350)</f>
        <v/>
      </c>
      <c r="BD332" s="25" t="str">
        <f>IF('1. Live'!BH350='check-Jul''26'!BD350,"",'1. Live'!BH350-'check-Jul''26'!BD350)</f>
        <v/>
      </c>
      <c r="BE332" s="25" t="str">
        <f>IF('1. Live'!BI350='check-Jul''26'!BE350,"",'1. Live'!BI350-'check-Jul''26'!BE350)</f>
        <v/>
      </c>
      <c r="BF332" s="25" t="str">
        <f>IF('1. Live'!BJ350='check-Jul''26'!BF350,"",'1. Live'!BJ350-'check-Jul''26'!BF350)</f>
        <v/>
      </c>
      <c r="BG332" s="25" t="str">
        <f>IF('1. Live'!BK350='check-Jul''26'!BG350,"",'1. Live'!BK350-'check-Jul''26'!BG350)</f>
        <v/>
      </c>
      <c r="BH332" s="25" t="str">
        <f>IF('1. Live'!BL350='check-Jul''26'!BH350,"",'1. Live'!BL350-'check-Jul''26'!BH350)</f>
        <v/>
      </c>
      <c r="BI332" s="25" t="str">
        <f>IF('1. Live'!BM350='check-Jul''26'!BI350,"",'1. Live'!BM350-'check-Jul''26'!BI350)</f>
        <v/>
      </c>
      <c r="BJ332" s="25" t="str">
        <f>IF('1. Live'!BN350='check-Jul''26'!BJ350,"",'1. Live'!BN350-'check-Jul''26'!BJ350)</f>
        <v/>
      </c>
      <c r="BK332" s="25" t="str">
        <f>IF('1. Live'!BO350='check-Jul''26'!BK350,"",'1. Live'!BO350-'check-Jul''26'!BK350)</f>
        <v/>
      </c>
      <c r="BL332" s="25" t="str">
        <f>IF('1. Live'!BP350='check-Jul''26'!BL350,"",'1. Live'!BP350-'check-Jul''26'!BL350)</f>
        <v/>
      </c>
      <c r="BM332" s="25" t="str">
        <f>IF('1. Live'!BQ350='check-Jul''26'!BM350,"",'1. Live'!BQ350-'check-Jul''26'!BM350)</f>
        <v/>
      </c>
      <c r="BN332" s="25" t="str">
        <f>IF('1. Live'!BR350='check-Jul''26'!BN350,"",'1. Live'!BR350-'check-Jul''26'!BN350)</f>
        <v/>
      </c>
      <c r="BO332" s="25" t="str">
        <f>IF('1. Live'!BS350='check-Jul''26'!BO350,"",'1. Live'!BS350-'check-Jul''26'!BO350)</f>
        <v/>
      </c>
      <c r="BP332" s="25" t="str">
        <f>IF('1. Live'!BT350='check-Jul''26'!BP350,"",'1. Live'!BT350-'check-Jul''26'!BP350)</f>
        <v/>
      </c>
      <c r="BQ332" s="25" t="str">
        <f>IF('1. Live'!BU350='check-Jul''26'!BQ350,"",'1. Live'!BU350-'check-Jul''26'!BQ350)</f>
        <v/>
      </c>
      <c r="BR332" s="25" t="str">
        <f>IF('1. Live'!BV350='check-Jul''26'!BR350,"",'1. Live'!BV350-'check-Jul''26'!BR350)</f>
        <v/>
      </c>
      <c r="BS332" s="25" t="str">
        <f>IF('1. Live'!BW350='check-Jul''26'!BS350,"",'1. Live'!BW350-'check-Jul''26'!BS350)</f>
        <v/>
      </c>
      <c r="BT332" s="25" t="str">
        <f>IF('1. Live'!BX350='check-Jul''26'!BT350,"",'1. Live'!BX350-'check-Jul''26'!BT350)</f>
        <v/>
      </c>
      <c r="BU332" s="25" t="str">
        <f>IF('1. Live'!BY350='check-Jul''26'!BU350,"",'1. Live'!BY350-'check-Jul''26'!BU350)</f>
        <v/>
      </c>
      <c r="BV332" s="25" t="str">
        <f>IF('1. Live'!BZ350='check-Jul''26'!BV350,"",'1. Live'!BZ350-'check-Jul''26'!BV350)</f>
        <v/>
      </c>
      <c r="BW332" s="25" t="str">
        <f>IF('1. Live'!CA350='check-Jul''26'!BW350,"",'1. Live'!CA350-'check-Jul''26'!BW350)</f>
        <v/>
      </c>
      <c r="BX332" s="25" t="str">
        <f>IF('1. Live'!CB350='check-Jul''26'!BX350,"",'1. Live'!CB350-'check-Jul''26'!BX350)</f>
        <v/>
      </c>
      <c r="BY332" s="25" t="str">
        <f>IF('1. Live'!CC350='check-Jul''26'!BY350,"",'1. Live'!CC350-'check-Jul''26'!BY350)</f>
        <v/>
      </c>
      <c r="BZ332" s="25" t="str">
        <f>IF('1. Live'!CD350='check-Jul''26'!BZ350,"",'1. Live'!CD350-'check-Jul''26'!BZ350)</f>
        <v/>
      </c>
      <c r="CA332" s="25" t="str">
        <f>IF('1. Live'!CE350='check-Jul''26'!CA350,"",'1. Live'!CE350-'check-Jul''26'!CA350)</f>
        <v/>
      </c>
      <c r="CB332" s="25" t="str">
        <f>IF('1. Live'!CF350='check-Jul''26'!CB350,"",'1. Live'!CF350-'check-Jul''26'!CB350)</f>
        <v/>
      </c>
      <c r="CC332" s="25" t="str">
        <f>IF('1. Live'!CG350='check-Jul''26'!CC350,"",'1. Live'!CG350-'check-Jul''26'!CC350)</f>
        <v/>
      </c>
      <c r="CD332" s="25" t="str">
        <f>IF('1. Live'!CH350='check-Jul''26'!CD350,"",'1. Live'!CH350-'check-Jul''26'!CD350)</f>
        <v/>
      </c>
      <c r="CE332" s="25" t="str">
        <f>IF('1. Live'!CI350='check-Jul''26'!CE350,"",'1. Live'!CI350-'check-Jul''26'!CE350)</f>
        <v/>
      </c>
      <c r="CF332" s="25" t="str">
        <f>IF('1. Live'!CJ350='check-Jul''26'!CF350,"",'1. Live'!CJ350-'check-Jul''26'!CF350)</f>
        <v/>
      </c>
      <c r="CG332" s="25" t="str">
        <f>IF('1. Live'!CK350='check-Jul''26'!CG350,"",'1. Live'!CK350-'check-Jul''26'!CG350)</f>
        <v/>
      </c>
      <c r="CH332" s="25" t="str">
        <f>IF('1. Live'!CL350='check-Jul''26'!CH350,"",'1. Live'!CL350-'check-Jul''26'!CH350)</f>
        <v/>
      </c>
      <c r="CI332" s="25" t="str">
        <f>IF('1. Live'!CM350='check-Jul''26'!CI350,"",'1. Live'!CM350-'check-Jul''26'!CI350)</f>
        <v/>
      </c>
      <c r="CJ332" s="25" t="str">
        <f>IF('1. Live'!CN350='check-Jul''26'!CJ350,"",'1. Live'!CN350-'check-Jul''26'!CJ350)</f>
        <v/>
      </c>
      <c r="CK332" s="25" t="str">
        <f>IF('1. Live'!CO350='check-Jul''26'!CK350,"",'1. Live'!CO350-'check-Jul''26'!CK350)</f>
        <v/>
      </c>
      <c r="CL332" s="25" t="str">
        <f>IF('1. Live'!CP350='check-Jul''26'!CL350,"",'1. Live'!CP350-'check-Jul''26'!CL350)</f>
        <v/>
      </c>
      <c r="CM332" s="25" t="str">
        <f>IF('1. Live'!CQ350='check-Jul''26'!CM350,"",'1. Live'!CQ350-'check-Jul''26'!CM350)</f>
        <v/>
      </c>
      <c r="CN332" s="25" t="str">
        <f>IF('1. Live'!CR350='check-Jul''26'!CN350,"",'1. Live'!CR350-'check-Jul''26'!CN350)</f>
        <v/>
      </c>
      <c r="CO332" s="25" t="str">
        <f>IF('1. Live'!CS350='check-Jul''26'!CO350,"",'1. Live'!CS350-'check-Jul''26'!CO350)</f>
        <v/>
      </c>
      <c r="CP332" s="25" t="str">
        <f>IF('1. Live'!CT350='check-Jul''26'!CP350,"",'1. Live'!CT350-'check-Jul''26'!CP350)</f>
        <v/>
      </c>
      <c r="CQ332" s="25" t="str">
        <f>IF('1. Live'!CU350='check-Jul''26'!CQ350,"",'1. Live'!CU350-'check-Jul''26'!CQ350)</f>
        <v/>
      </c>
      <c r="CR332" s="25" t="str">
        <f>IF('1. Live'!CV350='check-Jul''26'!CR350,"",'1. Live'!CV350-'check-Jul''26'!CR350)</f>
        <v/>
      </c>
      <c r="CS332" s="25" t="str">
        <f>IF('1. Live'!CW350='check-Jul''26'!CS350,"",'1. Live'!CW350-'check-Jul''26'!CS350)</f>
        <v/>
      </c>
      <c r="CT332" s="25" t="str">
        <f>IF('1. Live'!CX350='check-Jul''26'!CT350,"",'1. Live'!CX350-'check-Jul''26'!CT350)</f>
        <v/>
      </c>
      <c r="CU332" s="25" t="str">
        <f>IF('1. Live'!CY350='check-Jul''26'!CU350,"",'1. Live'!CY350-'check-Jul''26'!CU350)</f>
        <v/>
      </c>
      <c r="CV332" s="25" t="str">
        <f>IF('1. Live'!CZ350='check-Jul''26'!CV350,"",'1. Live'!CZ350-'check-Jul''26'!CV350)</f>
        <v/>
      </c>
    </row>
    <row r="333" spans="17:100" x14ac:dyDescent="0.25">
      <c r="Q333" s="26" t="str">
        <f>IF('1. Live'!N351='check-Jul''26'!I351,"",'1. Live'!N351-'check-Jul''26'!I351)</f>
        <v/>
      </c>
      <c r="R333" s="26" t="str">
        <f>IF('1. Live'!O351='check-Jul''26'!J351,"",'1. Live'!O351-'check-Jul''26'!J351)</f>
        <v/>
      </c>
      <c r="S333" s="26" t="str">
        <f>IF('1. Live'!P351='check-Jul''26'!K351,"",'1. Live'!P351-'check-Jul''26'!K351)</f>
        <v/>
      </c>
      <c r="T333" s="26" t="str">
        <f>IF('1. Live'!Q351='check-Jul''26'!L351,"",'1. Live'!Q351-'check-Jul''26'!L351)</f>
        <v/>
      </c>
      <c r="U333" s="80" t="str">
        <f>IF('1. Live'!R351='check-Jul''26'!M351,"",'1. Live'!R351-'check-Jul''26'!M351)</f>
        <v/>
      </c>
      <c r="V333" s="26" t="str">
        <f>IF('1. Live'!S351='check-Jul''26'!N351,"",'1. Live'!S351-'check-Jul''26'!N351)</f>
        <v/>
      </c>
      <c r="W333" s="25" t="str">
        <f>IF('1. Live'!T351='check-Jul''26'!O351,"",'1. Live'!T351-'check-Jul''26'!O351)</f>
        <v/>
      </c>
      <c r="X333" s="25" t="str">
        <f>IF('1. Live'!U351='check-Jul''26'!Q351,"",'1. Live'!U351-'check-Jul''26'!Q351)</f>
        <v/>
      </c>
      <c r="Y333" s="25" t="str">
        <f>IF('1. Live'!V351='check-Jul''26'!R351,"",'1. Live'!V351-'check-Jul''26'!R351)</f>
        <v/>
      </c>
      <c r="Z333" s="25" t="str">
        <f>IF('1. Live'!W351='check-Jul''26'!S351,"",'1. Live'!W351-'check-Jul''26'!S351)</f>
        <v/>
      </c>
      <c r="AA333" s="25" t="str">
        <f>IF('1. Live'!X351='check-Jul''26'!T351,"",'1. Live'!X351-'check-Jul''26'!T351)</f>
        <v/>
      </c>
      <c r="AB333" s="25" t="str">
        <f>IF('1. Live'!AF351='check-Jul''26'!AB351,"",'1. Live'!AF351-'check-Jul''26'!AB351)</f>
        <v/>
      </c>
      <c r="AC333" s="25" t="str">
        <f>IF('1. Live'!AG351='check-Jul''26'!AC351,"",'1. Live'!AG351-'check-Jul''26'!AC351)</f>
        <v/>
      </c>
      <c r="AD333" s="25" t="str">
        <f>IF('1. Live'!AH351='check-Jul''26'!AD351,"",'1. Live'!AH351-'check-Jul''26'!AD351)</f>
        <v/>
      </c>
      <c r="AE333" s="25" t="str">
        <f>IF('1. Live'!AI351='check-Jul''26'!AE351,"",'1. Live'!AI351-'check-Jul''26'!AE351)</f>
        <v/>
      </c>
      <c r="AF333" s="25" t="str">
        <f>IF('1. Live'!AJ351='check-Jul''26'!AF351,"",'1. Live'!AJ351-'check-Jul''26'!AF351)</f>
        <v/>
      </c>
      <c r="AG333" s="25" t="str">
        <f>IF('1. Live'!AK351='check-Jul''26'!AG351,"",'1. Live'!AK351-'check-Jul''26'!AG351)</f>
        <v/>
      </c>
      <c r="AH333" s="25" t="str">
        <f>IF('1. Live'!AL351='check-Jul''26'!AH351,"",'1. Live'!AL351-'check-Jul''26'!AH351)</f>
        <v/>
      </c>
      <c r="AI333" s="25" t="str">
        <f>IF('1. Live'!AM351='check-Jul''26'!AI351,"",'1. Live'!AM351-'check-Jul''26'!AI351)</f>
        <v/>
      </c>
      <c r="AJ333" s="25" t="str">
        <f>IF('1. Live'!AN351='check-Jul''26'!AJ351,"",'1. Live'!AN351-'check-Jul''26'!AJ351)</f>
        <v/>
      </c>
      <c r="AK333" s="25" t="str">
        <f>IF('1. Live'!AO351='check-Jul''26'!AK351,"",'1. Live'!AO351-'check-Jul''26'!AK351)</f>
        <v/>
      </c>
      <c r="AL333" s="25" t="str">
        <f>IF('1. Live'!AP351='check-Jul''26'!AL351,"",'1. Live'!AP351-'check-Jul''26'!AL351)</f>
        <v/>
      </c>
      <c r="AM333" s="25" t="str">
        <f>IF('1. Live'!AQ351='check-Jul''26'!AM351,"",'1. Live'!AQ351-'check-Jul''26'!AM351)</f>
        <v/>
      </c>
      <c r="AN333" s="25" t="str">
        <f>IF('1. Live'!AR351='check-Jul''26'!AN351,"",'1. Live'!AR351-'check-Jul''26'!AN351)</f>
        <v/>
      </c>
      <c r="AO333" s="25" t="str">
        <f>IF('1. Live'!AS351='check-Jul''26'!AO351,"",'1. Live'!AS351-'check-Jul''26'!AO351)</f>
        <v/>
      </c>
      <c r="AP333" s="25" t="str">
        <f>IF('1. Live'!AT351='check-Jul''26'!AP351,"",'1. Live'!AT351-'check-Jul''26'!AP351)</f>
        <v/>
      </c>
      <c r="AQ333" s="25" t="str">
        <f>IF('1. Live'!AU351='check-Jul''26'!AQ351,"",'1. Live'!AU351-'check-Jul''26'!AQ351)</f>
        <v/>
      </c>
      <c r="AR333" s="25" t="str">
        <f>IF('1. Live'!AV351='check-Jul''26'!AR351,"",'1. Live'!AV351-'check-Jul''26'!AR351)</f>
        <v/>
      </c>
      <c r="AS333" s="25" t="str">
        <f>IF('1. Live'!AW351='check-Jul''26'!AS351,"",'1. Live'!AW351-'check-Jul''26'!AS351)</f>
        <v/>
      </c>
      <c r="AT333" s="25" t="str">
        <f>IF('1. Live'!AX351='check-Jul''26'!AT351,"",'1. Live'!AX351-'check-Jul''26'!AT351)</f>
        <v/>
      </c>
      <c r="AU333" s="25" t="str">
        <f>IF('1. Live'!AY351='check-Jul''26'!AU351,"",'1. Live'!AY351-'check-Jul''26'!AU351)</f>
        <v/>
      </c>
      <c r="AV333" s="25" t="str">
        <f>IF('1. Live'!AZ351='check-Jul''26'!AV351,"",'1. Live'!AZ351-'check-Jul''26'!AV351)</f>
        <v/>
      </c>
      <c r="AW333" s="25" t="str">
        <f>IF('1. Live'!BA351='check-Jul''26'!AW351,"",'1. Live'!BA351-'check-Jul''26'!AW351)</f>
        <v/>
      </c>
      <c r="AX333" s="25" t="str">
        <f>IF('1. Live'!BB351='check-Jul''26'!AX351,"",'1. Live'!BB351-'check-Jul''26'!AX351)</f>
        <v/>
      </c>
      <c r="AY333" s="25" t="str">
        <f>IF('1. Live'!BC351='check-Jul''26'!AY351,"",'1. Live'!BC351-'check-Jul''26'!AY351)</f>
        <v/>
      </c>
      <c r="AZ333" s="25" t="str">
        <f>IF('1. Live'!BD351='check-Jul''26'!AZ351,"",'1. Live'!BD351-'check-Jul''26'!AZ351)</f>
        <v/>
      </c>
      <c r="BA333" s="25" t="str">
        <f>IF('1. Live'!BE351='check-Jul''26'!BA351,"",'1. Live'!BE351-'check-Jul''26'!BA351)</f>
        <v/>
      </c>
      <c r="BB333" s="25" t="str">
        <f>IF('1. Live'!BF351='check-Jul''26'!BB351,"",'1. Live'!BF351-'check-Jul''26'!BB351)</f>
        <v/>
      </c>
      <c r="BC333" s="25" t="str">
        <f>IF('1. Live'!BG351='check-Jul''26'!BC351,"",'1. Live'!BG351-'check-Jul''26'!BC351)</f>
        <v/>
      </c>
      <c r="BD333" s="25" t="str">
        <f>IF('1. Live'!BH351='check-Jul''26'!BD351,"",'1. Live'!BH351-'check-Jul''26'!BD351)</f>
        <v/>
      </c>
      <c r="BE333" s="25" t="str">
        <f>IF('1. Live'!BI351='check-Jul''26'!BE351,"",'1. Live'!BI351-'check-Jul''26'!BE351)</f>
        <v/>
      </c>
      <c r="BF333" s="25" t="str">
        <f>IF('1. Live'!BJ351='check-Jul''26'!BF351,"",'1. Live'!BJ351-'check-Jul''26'!BF351)</f>
        <v/>
      </c>
      <c r="BG333" s="25" t="str">
        <f>IF('1. Live'!BK351='check-Jul''26'!BG351,"",'1. Live'!BK351-'check-Jul''26'!BG351)</f>
        <v/>
      </c>
      <c r="BH333" s="25" t="str">
        <f>IF('1. Live'!BL351='check-Jul''26'!BH351,"",'1. Live'!BL351-'check-Jul''26'!BH351)</f>
        <v/>
      </c>
      <c r="BI333" s="25" t="str">
        <f>IF('1. Live'!BM351='check-Jul''26'!BI351,"",'1. Live'!BM351-'check-Jul''26'!BI351)</f>
        <v/>
      </c>
      <c r="BJ333" s="25" t="str">
        <f>IF('1. Live'!BN351='check-Jul''26'!BJ351,"",'1. Live'!BN351-'check-Jul''26'!BJ351)</f>
        <v/>
      </c>
      <c r="BK333" s="25" t="str">
        <f>IF('1. Live'!BO351='check-Jul''26'!BK351,"",'1. Live'!BO351-'check-Jul''26'!BK351)</f>
        <v/>
      </c>
      <c r="BL333" s="25" t="str">
        <f>IF('1. Live'!BP351='check-Jul''26'!BL351,"",'1. Live'!BP351-'check-Jul''26'!BL351)</f>
        <v/>
      </c>
      <c r="BM333" s="25" t="str">
        <f>IF('1. Live'!BQ351='check-Jul''26'!BM351,"",'1. Live'!BQ351-'check-Jul''26'!BM351)</f>
        <v/>
      </c>
      <c r="BN333" s="25" t="str">
        <f>IF('1. Live'!BR351='check-Jul''26'!BN351,"",'1. Live'!BR351-'check-Jul''26'!BN351)</f>
        <v/>
      </c>
      <c r="BO333" s="25" t="str">
        <f>IF('1. Live'!BS351='check-Jul''26'!BO351,"",'1. Live'!BS351-'check-Jul''26'!BO351)</f>
        <v/>
      </c>
      <c r="BP333" s="25" t="str">
        <f>IF('1. Live'!BT351='check-Jul''26'!BP351,"",'1. Live'!BT351-'check-Jul''26'!BP351)</f>
        <v/>
      </c>
      <c r="BQ333" s="25" t="str">
        <f>IF('1. Live'!BU351='check-Jul''26'!BQ351,"",'1. Live'!BU351-'check-Jul''26'!BQ351)</f>
        <v/>
      </c>
      <c r="BR333" s="25" t="str">
        <f>IF('1. Live'!BV351='check-Jul''26'!BR351,"",'1. Live'!BV351-'check-Jul''26'!BR351)</f>
        <v/>
      </c>
      <c r="BS333" s="25" t="str">
        <f>IF('1. Live'!BW351='check-Jul''26'!BS351,"",'1. Live'!BW351-'check-Jul''26'!BS351)</f>
        <v/>
      </c>
      <c r="BT333" s="25" t="str">
        <f>IF('1. Live'!BX351='check-Jul''26'!BT351,"",'1. Live'!BX351-'check-Jul''26'!BT351)</f>
        <v/>
      </c>
      <c r="BU333" s="25" t="str">
        <f>IF('1. Live'!BY351='check-Jul''26'!BU351,"",'1. Live'!BY351-'check-Jul''26'!BU351)</f>
        <v/>
      </c>
      <c r="BV333" s="25" t="str">
        <f>IF('1. Live'!BZ351='check-Jul''26'!BV351,"",'1. Live'!BZ351-'check-Jul''26'!BV351)</f>
        <v/>
      </c>
      <c r="BW333" s="25" t="str">
        <f>IF('1. Live'!CA351='check-Jul''26'!BW351,"",'1. Live'!CA351-'check-Jul''26'!BW351)</f>
        <v/>
      </c>
      <c r="BX333" s="25" t="str">
        <f>IF('1. Live'!CB351='check-Jul''26'!BX351,"",'1. Live'!CB351-'check-Jul''26'!BX351)</f>
        <v/>
      </c>
      <c r="BY333" s="25" t="str">
        <f>IF('1. Live'!CC351='check-Jul''26'!BY351,"",'1. Live'!CC351-'check-Jul''26'!BY351)</f>
        <v/>
      </c>
      <c r="BZ333" s="25" t="str">
        <f>IF('1. Live'!CD351='check-Jul''26'!BZ351,"",'1. Live'!CD351-'check-Jul''26'!BZ351)</f>
        <v/>
      </c>
      <c r="CA333" s="25" t="str">
        <f>IF('1. Live'!CE351='check-Jul''26'!CA351,"",'1. Live'!CE351-'check-Jul''26'!CA351)</f>
        <v/>
      </c>
      <c r="CB333" s="25" t="str">
        <f>IF('1. Live'!CF351='check-Jul''26'!CB351,"",'1. Live'!CF351-'check-Jul''26'!CB351)</f>
        <v/>
      </c>
      <c r="CC333" s="25" t="str">
        <f>IF('1. Live'!CG351='check-Jul''26'!CC351,"",'1. Live'!CG351-'check-Jul''26'!CC351)</f>
        <v/>
      </c>
      <c r="CD333" s="25" t="str">
        <f>IF('1. Live'!CH351='check-Jul''26'!CD351,"",'1. Live'!CH351-'check-Jul''26'!CD351)</f>
        <v/>
      </c>
      <c r="CE333" s="25" t="str">
        <f>IF('1. Live'!CI351='check-Jul''26'!CE351,"",'1. Live'!CI351-'check-Jul''26'!CE351)</f>
        <v/>
      </c>
      <c r="CF333" s="25" t="str">
        <f>IF('1. Live'!CJ351='check-Jul''26'!CF351,"",'1. Live'!CJ351-'check-Jul''26'!CF351)</f>
        <v/>
      </c>
      <c r="CG333" s="25" t="str">
        <f>IF('1. Live'!CK351='check-Jul''26'!CG351,"",'1. Live'!CK351-'check-Jul''26'!CG351)</f>
        <v/>
      </c>
      <c r="CH333" s="25" t="str">
        <f>IF('1. Live'!CL351='check-Jul''26'!CH351,"",'1. Live'!CL351-'check-Jul''26'!CH351)</f>
        <v/>
      </c>
      <c r="CI333" s="25" t="str">
        <f>IF('1. Live'!CM351='check-Jul''26'!CI351,"",'1. Live'!CM351-'check-Jul''26'!CI351)</f>
        <v/>
      </c>
      <c r="CJ333" s="25" t="str">
        <f>IF('1. Live'!CN351='check-Jul''26'!CJ351,"",'1. Live'!CN351-'check-Jul''26'!CJ351)</f>
        <v/>
      </c>
      <c r="CK333" s="25" t="str">
        <f>IF('1. Live'!CO351='check-Jul''26'!CK351,"",'1. Live'!CO351-'check-Jul''26'!CK351)</f>
        <v/>
      </c>
      <c r="CL333" s="25" t="str">
        <f>IF('1. Live'!CP351='check-Jul''26'!CL351,"",'1. Live'!CP351-'check-Jul''26'!CL351)</f>
        <v/>
      </c>
      <c r="CM333" s="25" t="str">
        <f>IF('1. Live'!CQ351='check-Jul''26'!CM351,"",'1. Live'!CQ351-'check-Jul''26'!CM351)</f>
        <v/>
      </c>
      <c r="CN333" s="25" t="str">
        <f>IF('1. Live'!CR351='check-Jul''26'!CN351,"",'1. Live'!CR351-'check-Jul''26'!CN351)</f>
        <v/>
      </c>
      <c r="CO333" s="25" t="str">
        <f>IF('1. Live'!CS351='check-Jul''26'!CO351,"",'1. Live'!CS351-'check-Jul''26'!CO351)</f>
        <v/>
      </c>
      <c r="CP333" s="25" t="str">
        <f>IF('1. Live'!CT351='check-Jul''26'!CP351,"",'1. Live'!CT351-'check-Jul''26'!CP351)</f>
        <v/>
      </c>
      <c r="CQ333" s="25" t="str">
        <f>IF('1. Live'!CU351='check-Jul''26'!CQ351,"",'1. Live'!CU351-'check-Jul''26'!CQ351)</f>
        <v/>
      </c>
      <c r="CR333" s="25" t="str">
        <f>IF('1. Live'!CV351='check-Jul''26'!CR351,"",'1. Live'!CV351-'check-Jul''26'!CR351)</f>
        <v/>
      </c>
      <c r="CS333" s="25" t="str">
        <f>IF('1. Live'!CW351='check-Jul''26'!CS351,"",'1. Live'!CW351-'check-Jul''26'!CS351)</f>
        <v/>
      </c>
      <c r="CT333" s="25" t="str">
        <f>IF('1. Live'!CX351='check-Jul''26'!CT351,"",'1. Live'!CX351-'check-Jul''26'!CT351)</f>
        <v/>
      </c>
      <c r="CU333" s="25" t="str">
        <f>IF('1. Live'!CY351='check-Jul''26'!CU351,"",'1. Live'!CY351-'check-Jul''26'!CU351)</f>
        <v/>
      </c>
      <c r="CV333" s="25" t="str">
        <f>IF('1. Live'!CZ351='check-Jul''26'!CV351,"",'1. Live'!CZ351-'check-Jul''26'!CV351)</f>
        <v/>
      </c>
    </row>
    <row r="334" spans="17:100" x14ac:dyDescent="0.25">
      <c r="Q334" s="26" t="str">
        <f>IF('1. Live'!N352='check-Jul''26'!I352,"",'1. Live'!N352-'check-Jul''26'!I352)</f>
        <v/>
      </c>
      <c r="R334" s="26" t="str">
        <f>IF('1. Live'!O352='check-Jul''26'!J352,"",'1. Live'!O352-'check-Jul''26'!J352)</f>
        <v/>
      </c>
      <c r="S334" s="26" t="str">
        <f>IF('1. Live'!P352='check-Jul''26'!K352,"",'1. Live'!P352-'check-Jul''26'!K352)</f>
        <v/>
      </c>
      <c r="T334" s="26" t="str">
        <f>IF('1. Live'!Q352='check-Jul''26'!L352,"",'1. Live'!Q352-'check-Jul''26'!L352)</f>
        <v/>
      </c>
      <c r="U334" s="80" t="str">
        <f>IF('1. Live'!R352='check-Jul''26'!M352,"",'1. Live'!R352-'check-Jul''26'!M352)</f>
        <v/>
      </c>
      <c r="V334" s="26" t="str">
        <f>IF('1. Live'!S352='check-Jul''26'!N352,"",'1. Live'!S352-'check-Jul''26'!N352)</f>
        <v/>
      </c>
      <c r="W334" s="25" t="str">
        <f>IF('1. Live'!T352='check-Jul''26'!O352,"",'1. Live'!T352-'check-Jul''26'!O352)</f>
        <v/>
      </c>
      <c r="X334" s="25" t="str">
        <f>IF('1. Live'!U352='check-Jul''26'!Q352,"",'1. Live'!U352-'check-Jul''26'!Q352)</f>
        <v/>
      </c>
      <c r="Y334" s="25" t="str">
        <f>IF('1. Live'!V352='check-Jul''26'!R352,"",'1. Live'!V352-'check-Jul''26'!R352)</f>
        <v/>
      </c>
      <c r="Z334" s="25" t="str">
        <f>IF('1. Live'!W352='check-Jul''26'!S352,"",'1. Live'!W352-'check-Jul''26'!S352)</f>
        <v/>
      </c>
      <c r="AA334" s="25" t="str">
        <f>IF('1. Live'!X352='check-Jul''26'!T352,"",'1. Live'!X352-'check-Jul''26'!T352)</f>
        <v/>
      </c>
      <c r="AB334" s="25" t="str">
        <f>IF('1. Live'!AF352='check-Jul''26'!AB352,"",'1. Live'!AF352-'check-Jul''26'!AB352)</f>
        <v/>
      </c>
      <c r="AC334" s="25" t="str">
        <f>IF('1. Live'!AG352='check-Jul''26'!AC352,"",'1. Live'!AG352-'check-Jul''26'!AC352)</f>
        <v/>
      </c>
      <c r="AD334" s="25" t="str">
        <f>IF('1. Live'!AH352='check-Jul''26'!AD352,"",'1. Live'!AH352-'check-Jul''26'!AD352)</f>
        <v/>
      </c>
      <c r="AE334" s="25" t="str">
        <f>IF('1. Live'!AI352='check-Jul''26'!AE352,"",'1. Live'!AI352-'check-Jul''26'!AE352)</f>
        <v/>
      </c>
      <c r="AF334" s="25" t="str">
        <f>IF('1. Live'!AJ352='check-Jul''26'!AF352,"",'1. Live'!AJ352-'check-Jul''26'!AF352)</f>
        <v/>
      </c>
      <c r="AG334" s="25" t="str">
        <f>IF('1. Live'!AK352='check-Jul''26'!AG352,"",'1. Live'!AK352-'check-Jul''26'!AG352)</f>
        <v/>
      </c>
      <c r="AH334" s="25" t="str">
        <f>IF('1. Live'!AL352='check-Jul''26'!AH352,"",'1. Live'!AL352-'check-Jul''26'!AH352)</f>
        <v/>
      </c>
      <c r="AI334" s="25" t="str">
        <f>IF('1. Live'!AM352='check-Jul''26'!AI352,"",'1. Live'!AM352-'check-Jul''26'!AI352)</f>
        <v/>
      </c>
      <c r="AJ334" s="25" t="str">
        <f>IF('1. Live'!AN352='check-Jul''26'!AJ352,"",'1. Live'!AN352-'check-Jul''26'!AJ352)</f>
        <v/>
      </c>
      <c r="AK334" s="25" t="str">
        <f>IF('1. Live'!AO352='check-Jul''26'!AK352,"",'1. Live'!AO352-'check-Jul''26'!AK352)</f>
        <v/>
      </c>
      <c r="AL334" s="25" t="str">
        <f>IF('1. Live'!AP352='check-Jul''26'!AL352,"",'1. Live'!AP352-'check-Jul''26'!AL352)</f>
        <v/>
      </c>
      <c r="AM334" s="25" t="str">
        <f>IF('1. Live'!AQ352='check-Jul''26'!AM352,"",'1. Live'!AQ352-'check-Jul''26'!AM352)</f>
        <v/>
      </c>
      <c r="AN334" s="25" t="str">
        <f>IF('1. Live'!AR352='check-Jul''26'!AN352,"",'1. Live'!AR352-'check-Jul''26'!AN352)</f>
        <v/>
      </c>
      <c r="AO334" s="25" t="str">
        <f>IF('1. Live'!AS352='check-Jul''26'!AO352,"",'1. Live'!AS352-'check-Jul''26'!AO352)</f>
        <v/>
      </c>
      <c r="AP334" s="25" t="str">
        <f>IF('1. Live'!AT352='check-Jul''26'!AP352,"",'1. Live'!AT352-'check-Jul''26'!AP352)</f>
        <v/>
      </c>
      <c r="AQ334" s="25" t="str">
        <f>IF('1. Live'!AU352='check-Jul''26'!AQ352,"",'1. Live'!AU352-'check-Jul''26'!AQ352)</f>
        <v/>
      </c>
      <c r="AR334" s="25" t="str">
        <f>IF('1. Live'!AV352='check-Jul''26'!AR352,"",'1. Live'!AV352-'check-Jul''26'!AR352)</f>
        <v/>
      </c>
      <c r="AS334" s="25" t="str">
        <f>IF('1. Live'!AW352='check-Jul''26'!AS352,"",'1. Live'!AW352-'check-Jul''26'!AS352)</f>
        <v/>
      </c>
      <c r="AT334" s="25" t="str">
        <f>IF('1. Live'!AX352='check-Jul''26'!AT352,"",'1. Live'!AX352-'check-Jul''26'!AT352)</f>
        <v/>
      </c>
      <c r="AU334" s="25" t="str">
        <f>IF('1. Live'!AY352='check-Jul''26'!AU352,"",'1. Live'!AY352-'check-Jul''26'!AU352)</f>
        <v/>
      </c>
      <c r="AV334" s="25" t="str">
        <f>IF('1. Live'!AZ352='check-Jul''26'!AV352,"",'1. Live'!AZ352-'check-Jul''26'!AV352)</f>
        <v/>
      </c>
      <c r="AW334" s="25" t="str">
        <f>IF('1. Live'!BA352='check-Jul''26'!AW352,"",'1. Live'!BA352-'check-Jul''26'!AW352)</f>
        <v/>
      </c>
      <c r="AX334" s="25" t="str">
        <f>IF('1. Live'!BB352='check-Jul''26'!AX352,"",'1. Live'!BB352-'check-Jul''26'!AX352)</f>
        <v/>
      </c>
      <c r="AY334" s="25" t="str">
        <f>IF('1. Live'!BC352='check-Jul''26'!AY352,"",'1. Live'!BC352-'check-Jul''26'!AY352)</f>
        <v/>
      </c>
      <c r="AZ334" s="25" t="str">
        <f>IF('1. Live'!BD352='check-Jul''26'!AZ352,"",'1. Live'!BD352-'check-Jul''26'!AZ352)</f>
        <v/>
      </c>
      <c r="BA334" s="25" t="str">
        <f>IF('1. Live'!BE352='check-Jul''26'!BA352,"",'1. Live'!BE352-'check-Jul''26'!BA352)</f>
        <v/>
      </c>
      <c r="BB334" s="25" t="str">
        <f>IF('1. Live'!BF352='check-Jul''26'!BB352,"",'1. Live'!BF352-'check-Jul''26'!BB352)</f>
        <v/>
      </c>
      <c r="BC334" s="25" t="str">
        <f>IF('1. Live'!BG352='check-Jul''26'!BC352,"",'1. Live'!BG352-'check-Jul''26'!BC352)</f>
        <v/>
      </c>
      <c r="BD334" s="25" t="str">
        <f>IF('1. Live'!BH352='check-Jul''26'!BD352,"",'1. Live'!BH352-'check-Jul''26'!BD352)</f>
        <v/>
      </c>
      <c r="BE334" s="25" t="str">
        <f>IF('1. Live'!BI352='check-Jul''26'!BE352,"",'1. Live'!BI352-'check-Jul''26'!BE352)</f>
        <v/>
      </c>
      <c r="BF334" s="25" t="str">
        <f>IF('1. Live'!BJ352='check-Jul''26'!BF352,"",'1. Live'!BJ352-'check-Jul''26'!BF352)</f>
        <v/>
      </c>
      <c r="BG334" s="25" t="str">
        <f>IF('1. Live'!BK352='check-Jul''26'!BG352,"",'1. Live'!BK352-'check-Jul''26'!BG352)</f>
        <v/>
      </c>
      <c r="BH334" s="25" t="str">
        <f>IF('1. Live'!BL352='check-Jul''26'!BH352,"",'1. Live'!BL352-'check-Jul''26'!BH352)</f>
        <v/>
      </c>
      <c r="BI334" s="25" t="str">
        <f>IF('1. Live'!BM352='check-Jul''26'!BI352,"",'1. Live'!BM352-'check-Jul''26'!BI352)</f>
        <v/>
      </c>
      <c r="BJ334" s="25" t="str">
        <f>IF('1. Live'!BN352='check-Jul''26'!BJ352,"",'1. Live'!BN352-'check-Jul''26'!BJ352)</f>
        <v/>
      </c>
      <c r="BK334" s="25" t="str">
        <f>IF('1. Live'!BO352='check-Jul''26'!BK352,"",'1. Live'!BO352-'check-Jul''26'!BK352)</f>
        <v/>
      </c>
      <c r="BL334" s="25" t="str">
        <f>IF('1. Live'!BP352='check-Jul''26'!BL352,"",'1. Live'!BP352-'check-Jul''26'!BL352)</f>
        <v/>
      </c>
      <c r="BM334" s="25" t="str">
        <f>IF('1. Live'!BQ352='check-Jul''26'!BM352,"",'1. Live'!BQ352-'check-Jul''26'!BM352)</f>
        <v/>
      </c>
      <c r="BN334" s="25" t="str">
        <f>IF('1. Live'!BR352='check-Jul''26'!BN352,"",'1. Live'!BR352-'check-Jul''26'!BN352)</f>
        <v/>
      </c>
      <c r="BO334" s="25" t="str">
        <f>IF('1. Live'!BS352='check-Jul''26'!BO352,"",'1. Live'!BS352-'check-Jul''26'!BO352)</f>
        <v/>
      </c>
      <c r="BP334" s="25" t="str">
        <f>IF('1. Live'!BT352='check-Jul''26'!BP352,"",'1. Live'!BT352-'check-Jul''26'!BP352)</f>
        <v/>
      </c>
      <c r="BQ334" s="25" t="str">
        <f>IF('1. Live'!BU352='check-Jul''26'!BQ352,"",'1. Live'!BU352-'check-Jul''26'!BQ352)</f>
        <v/>
      </c>
      <c r="BR334" s="25" t="str">
        <f>IF('1. Live'!BV352='check-Jul''26'!BR352,"",'1. Live'!BV352-'check-Jul''26'!BR352)</f>
        <v/>
      </c>
      <c r="BS334" s="25" t="str">
        <f>IF('1. Live'!BW352='check-Jul''26'!BS352,"",'1. Live'!BW352-'check-Jul''26'!BS352)</f>
        <v/>
      </c>
      <c r="BT334" s="25" t="str">
        <f>IF('1. Live'!BX352='check-Jul''26'!BT352,"",'1. Live'!BX352-'check-Jul''26'!BT352)</f>
        <v/>
      </c>
      <c r="BU334" s="25" t="str">
        <f>IF('1. Live'!BY352='check-Jul''26'!BU352,"",'1. Live'!BY352-'check-Jul''26'!BU352)</f>
        <v/>
      </c>
      <c r="BV334" s="25" t="str">
        <f>IF('1. Live'!BZ352='check-Jul''26'!BV352,"",'1. Live'!BZ352-'check-Jul''26'!BV352)</f>
        <v/>
      </c>
      <c r="BW334" s="25" t="str">
        <f>IF('1. Live'!CA352='check-Jul''26'!BW352,"",'1. Live'!CA352-'check-Jul''26'!BW352)</f>
        <v/>
      </c>
      <c r="BX334" s="25" t="str">
        <f>IF('1. Live'!CB352='check-Jul''26'!BX352,"",'1. Live'!CB352-'check-Jul''26'!BX352)</f>
        <v/>
      </c>
      <c r="BY334" s="25" t="str">
        <f>IF('1. Live'!CC352='check-Jul''26'!BY352,"",'1. Live'!CC352-'check-Jul''26'!BY352)</f>
        <v/>
      </c>
      <c r="BZ334" s="25" t="str">
        <f>IF('1. Live'!CD352='check-Jul''26'!BZ352,"",'1. Live'!CD352-'check-Jul''26'!BZ352)</f>
        <v/>
      </c>
      <c r="CA334" s="25" t="str">
        <f>IF('1. Live'!CE352='check-Jul''26'!CA352,"",'1. Live'!CE352-'check-Jul''26'!CA352)</f>
        <v/>
      </c>
      <c r="CB334" s="25" t="str">
        <f>IF('1. Live'!CF352='check-Jul''26'!CB352,"",'1. Live'!CF352-'check-Jul''26'!CB352)</f>
        <v/>
      </c>
      <c r="CC334" s="25" t="str">
        <f>IF('1. Live'!CG352='check-Jul''26'!CC352,"",'1. Live'!CG352-'check-Jul''26'!CC352)</f>
        <v/>
      </c>
      <c r="CD334" s="25" t="str">
        <f>IF('1. Live'!CH352='check-Jul''26'!CD352,"",'1. Live'!CH352-'check-Jul''26'!CD352)</f>
        <v/>
      </c>
      <c r="CE334" s="25" t="str">
        <f>IF('1. Live'!CI352='check-Jul''26'!CE352,"",'1. Live'!CI352-'check-Jul''26'!CE352)</f>
        <v/>
      </c>
      <c r="CF334" s="25" t="str">
        <f>IF('1. Live'!CJ352='check-Jul''26'!CF352,"",'1. Live'!CJ352-'check-Jul''26'!CF352)</f>
        <v/>
      </c>
      <c r="CG334" s="25" t="str">
        <f>IF('1. Live'!CK352='check-Jul''26'!CG352,"",'1. Live'!CK352-'check-Jul''26'!CG352)</f>
        <v/>
      </c>
      <c r="CH334" s="25" t="str">
        <f>IF('1. Live'!CL352='check-Jul''26'!CH352,"",'1. Live'!CL352-'check-Jul''26'!CH352)</f>
        <v/>
      </c>
      <c r="CI334" s="25" t="str">
        <f>IF('1. Live'!CM352='check-Jul''26'!CI352,"",'1. Live'!CM352-'check-Jul''26'!CI352)</f>
        <v/>
      </c>
      <c r="CJ334" s="25" t="str">
        <f>IF('1. Live'!CN352='check-Jul''26'!CJ352,"",'1. Live'!CN352-'check-Jul''26'!CJ352)</f>
        <v/>
      </c>
      <c r="CK334" s="25" t="str">
        <f>IF('1. Live'!CO352='check-Jul''26'!CK352,"",'1. Live'!CO352-'check-Jul''26'!CK352)</f>
        <v/>
      </c>
      <c r="CL334" s="25" t="str">
        <f>IF('1. Live'!CP352='check-Jul''26'!CL352,"",'1. Live'!CP352-'check-Jul''26'!CL352)</f>
        <v/>
      </c>
      <c r="CM334" s="25" t="str">
        <f>IF('1. Live'!CQ352='check-Jul''26'!CM352,"",'1. Live'!CQ352-'check-Jul''26'!CM352)</f>
        <v/>
      </c>
      <c r="CN334" s="25" t="str">
        <f>IF('1. Live'!CR352='check-Jul''26'!CN352,"",'1. Live'!CR352-'check-Jul''26'!CN352)</f>
        <v/>
      </c>
      <c r="CO334" s="25" t="str">
        <f>IF('1. Live'!CS352='check-Jul''26'!CO352,"",'1. Live'!CS352-'check-Jul''26'!CO352)</f>
        <v/>
      </c>
      <c r="CP334" s="25" t="str">
        <f>IF('1. Live'!CT352='check-Jul''26'!CP352,"",'1. Live'!CT352-'check-Jul''26'!CP352)</f>
        <v/>
      </c>
      <c r="CQ334" s="25" t="str">
        <f>IF('1. Live'!CU352='check-Jul''26'!CQ352,"",'1. Live'!CU352-'check-Jul''26'!CQ352)</f>
        <v/>
      </c>
      <c r="CR334" s="25" t="str">
        <f>IF('1. Live'!CV352='check-Jul''26'!CR352,"",'1. Live'!CV352-'check-Jul''26'!CR352)</f>
        <v/>
      </c>
      <c r="CS334" s="25" t="str">
        <f>IF('1. Live'!CW352='check-Jul''26'!CS352,"",'1. Live'!CW352-'check-Jul''26'!CS352)</f>
        <v/>
      </c>
      <c r="CT334" s="25" t="str">
        <f>IF('1. Live'!CX352='check-Jul''26'!CT352,"",'1. Live'!CX352-'check-Jul''26'!CT352)</f>
        <v/>
      </c>
      <c r="CU334" s="25" t="str">
        <f>IF('1. Live'!CY352='check-Jul''26'!CU352,"",'1. Live'!CY352-'check-Jul''26'!CU352)</f>
        <v/>
      </c>
      <c r="CV334" s="25" t="str">
        <f>IF('1. Live'!CZ352='check-Jul''26'!CV352,"",'1. Live'!CZ352-'check-Jul''26'!CV352)</f>
        <v/>
      </c>
    </row>
    <row r="335" spans="17:100" x14ac:dyDescent="0.25">
      <c r="Q335" s="26" t="str">
        <f>IF('1. Live'!N353='check-Jul''26'!I353,"",'1. Live'!N353-'check-Jul''26'!I353)</f>
        <v/>
      </c>
      <c r="R335" s="26" t="str">
        <f>IF('1. Live'!O353='check-Jul''26'!J353,"",'1. Live'!O353-'check-Jul''26'!J353)</f>
        <v/>
      </c>
      <c r="S335" s="26" t="str">
        <f>IF('1. Live'!P353='check-Jul''26'!K353,"",'1. Live'!P353-'check-Jul''26'!K353)</f>
        <v/>
      </c>
      <c r="T335" s="26" t="str">
        <f>IF('1. Live'!Q353='check-Jul''26'!L353,"",'1. Live'!Q353-'check-Jul''26'!L353)</f>
        <v/>
      </c>
      <c r="U335" s="80" t="str">
        <f>IF('1. Live'!R353='check-Jul''26'!M353,"",'1. Live'!R353-'check-Jul''26'!M353)</f>
        <v/>
      </c>
      <c r="V335" s="26" t="str">
        <f>IF('1. Live'!S353='check-Jul''26'!N353,"",'1. Live'!S353-'check-Jul''26'!N353)</f>
        <v/>
      </c>
      <c r="W335" s="25" t="str">
        <f>IF('1. Live'!T353='check-Jul''26'!O353,"",'1. Live'!T353-'check-Jul''26'!O353)</f>
        <v/>
      </c>
      <c r="X335" s="25" t="str">
        <f>IF('1. Live'!U353='check-Jul''26'!Q353,"",'1. Live'!U353-'check-Jul''26'!Q353)</f>
        <v/>
      </c>
      <c r="Y335" s="25" t="str">
        <f>IF('1. Live'!V353='check-Jul''26'!R353,"",'1. Live'!V353-'check-Jul''26'!R353)</f>
        <v/>
      </c>
      <c r="Z335" s="25" t="str">
        <f>IF('1. Live'!W353='check-Jul''26'!S353,"",'1. Live'!W353-'check-Jul''26'!S353)</f>
        <v/>
      </c>
      <c r="AA335" s="25" t="str">
        <f>IF('1. Live'!X353='check-Jul''26'!T353,"",'1. Live'!X353-'check-Jul''26'!T353)</f>
        <v/>
      </c>
      <c r="AB335" s="25" t="str">
        <f>IF('1. Live'!AF353='check-Jul''26'!AB353,"",'1. Live'!AF353-'check-Jul''26'!AB353)</f>
        <v/>
      </c>
      <c r="AC335" s="25" t="str">
        <f>IF('1. Live'!AG353='check-Jul''26'!AC353,"",'1. Live'!AG353-'check-Jul''26'!AC353)</f>
        <v/>
      </c>
      <c r="AD335" s="25" t="str">
        <f>IF('1. Live'!AH353='check-Jul''26'!AD353,"",'1. Live'!AH353-'check-Jul''26'!AD353)</f>
        <v/>
      </c>
      <c r="AE335" s="25" t="str">
        <f>IF('1. Live'!AI353='check-Jul''26'!AE353,"",'1. Live'!AI353-'check-Jul''26'!AE353)</f>
        <v/>
      </c>
      <c r="AF335" s="25" t="str">
        <f>IF('1. Live'!AJ353='check-Jul''26'!AF353,"",'1. Live'!AJ353-'check-Jul''26'!AF353)</f>
        <v/>
      </c>
      <c r="AG335" s="25" t="str">
        <f>IF('1. Live'!AK353='check-Jul''26'!AG353,"",'1. Live'!AK353-'check-Jul''26'!AG353)</f>
        <v/>
      </c>
      <c r="AH335" s="25" t="str">
        <f>IF('1. Live'!AL353='check-Jul''26'!AH353,"",'1. Live'!AL353-'check-Jul''26'!AH353)</f>
        <v/>
      </c>
      <c r="AI335" s="25" t="str">
        <f>IF('1. Live'!AM353='check-Jul''26'!AI353,"",'1. Live'!AM353-'check-Jul''26'!AI353)</f>
        <v/>
      </c>
      <c r="AJ335" s="25" t="str">
        <f>IF('1. Live'!AN353='check-Jul''26'!AJ353,"",'1. Live'!AN353-'check-Jul''26'!AJ353)</f>
        <v/>
      </c>
      <c r="AK335" s="25" t="str">
        <f>IF('1. Live'!AO353='check-Jul''26'!AK353,"",'1. Live'!AO353-'check-Jul''26'!AK353)</f>
        <v/>
      </c>
      <c r="AL335" s="25" t="str">
        <f>IF('1. Live'!AP353='check-Jul''26'!AL353,"",'1. Live'!AP353-'check-Jul''26'!AL353)</f>
        <v/>
      </c>
      <c r="AM335" s="25" t="str">
        <f>IF('1. Live'!AQ353='check-Jul''26'!AM353,"",'1. Live'!AQ353-'check-Jul''26'!AM353)</f>
        <v/>
      </c>
      <c r="AN335" s="25" t="str">
        <f>IF('1. Live'!AR353='check-Jul''26'!AN353,"",'1. Live'!AR353-'check-Jul''26'!AN353)</f>
        <v/>
      </c>
      <c r="AO335" s="25" t="str">
        <f>IF('1. Live'!AS353='check-Jul''26'!AO353,"",'1. Live'!AS353-'check-Jul''26'!AO353)</f>
        <v/>
      </c>
      <c r="AP335" s="25" t="str">
        <f>IF('1. Live'!AT353='check-Jul''26'!AP353,"",'1. Live'!AT353-'check-Jul''26'!AP353)</f>
        <v/>
      </c>
      <c r="AQ335" s="25" t="str">
        <f>IF('1. Live'!AU353='check-Jul''26'!AQ353,"",'1. Live'!AU353-'check-Jul''26'!AQ353)</f>
        <v/>
      </c>
      <c r="AR335" s="25" t="str">
        <f>IF('1. Live'!AV353='check-Jul''26'!AR353,"",'1. Live'!AV353-'check-Jul''26'!AR353)</f>
        <v/>
      </c>
      <c r="AS335" s="25" t="str">
        <f>IF('1. Live'!AW353='check-Jul''26'!AS353,"",'1. Live'!AW353-'check-Jul''26'!AS353)</f>
        <v/>
      </c>
      <c r="AT335" s="25" t="str">
        <f>IF('1. Live'!AX353='check-Jul''26'!AT353,"",'1. Live'!AX353-'check-Jul''26'!AT353)</f>
        <v/>
      </c>
      <c r="AU335" s="25" t="str">
        <f>IF('1. Live'!AY353='check-Jul''26'!AU353,"",'1. Live'!AY353-'check-Jul''26'!AU353)</f>
        <v/>
      </c>
      <c r="AV335" s="25" t="str">
        <f>IF('1. Live'!AZ353='check-Jul''26'!AV353,"",'1. Live'!AZ353-'check-Jul''26'!AV353)</f>
        <v/>
      </c>
      <c r="AW335" s="25" t="str">
        <f>IF('1. Live'!BA353='check-Jul''26'!AW353,"",'1. Live'!BA353-'check-Jul''26'!AW353)</f>
        <v/>
      </c>
      <c r="AX335" s="25" t="str">
        <f>IF('1. Live'!BB353='check-Jul''26'!AX353,"",'1. Live'!BB353-'check-Jul''26'!AX353)</f>
        <v/>
      </c>
      <c r="AY335" s="25" t="str">
        <f>IF('1. Live'!BC353='check-Jul''26'!AY353,"",'1. Live'!BC353-'check-Jul''26'!AY353)</f>
        <v/>
      </c>
      <c r="AZ335" s="25" t="str">
        <f>IF('1. Live'!BD353='check-Jul''26'!AZ353,"",'1. Live'!BD353-'check-Jul''26'!AZ353)</f>
        <v/>
      </c>
      <c r="BA335" s="25" t="str">
        <f>IF('1. Live'!BE353='check-Jul''26'!BA353,"",'1. Live'!BE353-'check-Jul''26'!BA353)</f>
        <v/>
      </c>
      <c r="BB335" s="25" t="str">
        <f>IF('1. Live'!BF353='check-Jul''26'!BB353,"",'1. Live'!BF353-'check-Jul''26'!BB353)</f>
        <v/>
      </c>
      <c r="BC335" s="25" t="str">
        <f>IF('1. Live'!BG353='check-Jul''26'!BC353,"",'1. Live'!BG353-'check-Jul''26'!BC353)</f>
        <v/>
      </c>
      <c r="BD335" s="25" t="str">
        <f>IF('1. Live'!BH353='check-Jul''26'!BD353,"",'1. Live'!BH353-'check-Jul''26'!BD353)</f>
        <v/>
      </c>
      <c r="BE335" s="25" t="str">
        <f>IF('1. Live'!BI353='check-Jul''26'!BE353,"",'1. Live'!BI353-'check-Jul''26'!BE353)</f>
        <v/>
      </c>
      <c r="BF335" s="25" t="str">
        <f>IF('1. Live'!BJ353='check-Jul''26'!BF353,"",'1. Live'!BJ353-'check-Jul''26'!BF353)</f>
        <v/>
      </c>
      <c r="BG335" s="25" t="str">
        <f>IF('1. Live'!BK353='check-Jul''26'!BG353,"",'1. Live'!BK353-'check-Jul''26'!BG353)</f>
        <v/>
      </c>
      <c r="BH335" s="25" t="str">
        <f>IF('1. Live'!BL353='check-Jul''26'!BH353,"",'1. Live'!BL353-'check-Jul''26'!BH353)</f>
        <v/>
      </c>
      <c r="BI335" s="25" t="str">
        <f>IF('1. Live'!BM353='check-Jul''26'!BI353,"",'1. Live'!BM353-'check-Jul''26'!BI353)</f>
        <v/>
      </c>
      <c r="BJ335" s="25" t="str">
        <f>IF('1. Live'!BN353='check-Jul''26'!BJ353,"",'1. Live'!BN353-'check-Jul''26'!BJ353)</f>
        <v/>
      </c>
      <c r="BK335" s="25" t="str">
        <f>IF('1. Live'!BO353='check-Jul''26'!BK353,"",'1. Live'!BO353-'check-Jul''26'!BK353)</f>
        <v/>
      </c>
      <c r="BL335" s="25" t="str">
        <f>IF('1. Live'!BP353='check-Jul''26'!BL353,"",'1. Live'!BP353-'check-Jul''26'!BL353)</f>
        <v/>
      </c>
      <c r="BM335" s="25" t="str">
        <f>IF('1. Live'!BQ353='check-Jul''26'!BM353,"",'1. Live'!BQ353-'check-Jul''26'!BM353)</f>
        <v/>
      </c>
      <c r="BN335" s="25" t="str">
        <f>IF('1. Live'!BR353='check-Jul''26'!BN353,"",'1. Live'!BR353-'check-Jul''26'!BN353)</f>
        <v/>
      </c>
      <c r="BO335" s="25" t="str">
        <f>IF('1. Live'!BS353='check-Jul''26'!BO353,"",'1. Live'!BS353-'check-Jul''26'!BO353)</f>
        <v/>
      </c>
      <c r="BP335" s="25" t="str">
        <f>IF('1. Live'!BT353='check-Jul''26'!BP353,"",'1. Live'!BT353-'check-Jul''26'!BP353)</f>
        <v/>
      </c>
      <c r="BQ335" s="25" t="str">
        <f>IF('1. Live'!BU353='check-Jul''26'!BQ353,"",'1. Live'!BU353-'check-Jul''26'!BQ353)</f>
        <v/>
      </c>
      <c r="BR335" s="25" t="str">
        <f>IF('1. Live'!BV353='check-Jul''26'!BR353,"",'1. Live'!BV353-'check-Jul''26'!BR353)</f>
        <v/>
      </c>
      <c r="BS335" s="25" t="str">
        <f>IF('1. Live'!BW353='check-Jul''26'!BS353,"",'1. Live'!BW353-'check-Jul''26'!BS353)</f>
        <v/>
      </c>
      <c r="BT335" s="25" t="str">
        <f>IF('1. Live'!BX353='check-Jul''26'!BT353,"",'1. Live'!BX353-'check-Jul''26'!BT353)</f>
        <v/>
      </c>
      <c r="BU335" s="25" t="str">
        <f>IF('1. Live'!BY353='check-Jul''26'!BU353,"",'1. Live'!BY353-'check-Jul''26'!BU353)</f>
        <v/>
      </c>
      <c r="BV335" s="25" t="str">
        <f>IF('1. Live'!BZ353='check-Jul''26'!BV353,"",'1. Live'!BZ353-'check-Jul''26'!BV353)</f>
        <v/>
      </c>
      <c r="BW335" s="25" t="str">
        <f>IF('1. Live'!CA353='check-Jul''26'!BW353,"",'1. Live'!CA353-'check-Jul''26'!BW353)</f>
        <v/>
      </c>
      <c r="BX335" s="25" t="str">
        <f>IF('1. Live'!CB353='check-Jul''26'!BX353,"",'1. Live'!CB353-'check-Jul''26'!BX353)</f>
        <v/>
      </c>
      <c r="BY335" s="25" t="str">
        <f>IF('1. Live'!CC353='check-Jul''26'!BY353,"",'1. Live'!CC353-'check-Jul''26'!BY353)</f>
        <v/>
      </c>
      <c r="BZ335" s="25" t="str">
        <f>IF('1. Live'!CD353='check-Jul''26'!BZ353,"",'1. Live'!CD353-'check-Jul''26'!BZ353)</f>
        <v/>
      </c>
      <c r="CA335" s="25" t="str">
        <f>IF('1. Live'!CE353='check-Jul''26'!CA353,"",'1. Live'!CE353-'check-Jul''26'!CA353)</f>
        <v/>
      </c>
      <c r="CB335" s="25" t="str">
        <f>IF('1. Live'!CF353='check-Jul''26'!CB353,"",'1. Live'!CF353-'check-Jul''26'!CB353)</f>
        <v/>
      </c>
      <c r="CC335" s="25" t="str">
        <f>IF('1. Live'!CG353='check-Jul''26'!CC353,"",'1. Live'!CG353-'check-Jul''26'!CC353)</f>
        <v/>
      </c>
      <c r="CD335" s="25" t="str">
        <f>IF('1. Live'!CH353='check-Jul''26'!CD353,"",'1. Live'!CH353-'check-Jul''26'!CD353)</f>
        <v/>
      </c>
      <c r="CE335" s="25" t="str">
        <f>IF('1. Live'!CI353='check-Jul''26'!CE353,"",'1. Live'!CI353-'check-Jul''26'!CE353)</f>
        <v/>
      </c>
      <c r="CF335" s="25" t="str">
        <f>IF('1. Live'!CJ353='check-Jul''26'!CF353,"",'1. Live'!CJ353-'check-Jul''26'!CF353)</f>
        <v/>
      </c>
      <c r="CG335" s="25" t="str">
        <f>IF('1. Live'!CK353='check-Jul''26'!CG353,"",'1. Live'!CK353-'check-Jul''26'!CG353)</f>
        <v/>
      </c>
      <c r="CH335" s="25" t="str">
        <f>IF('1. Live'!CL353='check-Jul''26'!CH353,"",'1. Live'!CL353-'check-Jul''26'!CH353)</f>
        <v/>
      </c>
      <c r="CI335" s="25" t="str">
        <f>IF('1. Live'!CM353='check-Jul''26'!CI353,"",'1. Live'!CM353-'check-Jul''26'!CI353)</f>
        <v/>
      </c>
      <c r="CJ335" s="25" t="str">
        <f>IF('1. Live'!CN353='check-Jul''26'!CJ353,"",'1. Live'!CN353-'check-Jul''26'!CJ353)</f>
        <v/>
      </c>
      <c r="CK335" s="25" t="str">
        <f>IF('1. Live'!CO353='check-Jul''26'!CK353,"",'1. Live'!CO353-'check-Jul''26'!CK353)</f>
        <v/>
      </c>
      <c r="CL335" s="25" t="str">
        <f>IF('1. Live'!CP353='check-Jul''26'!CL353,"",'1. Live'!CP353-'check-Jul''26'!CL353)</f>
        <v/>
      </c>
      <c r="CM335" s="25" t="str">
        <f>IF('1. Live'!CQ353='check-Jul''26'!CM353,"",'1. Live'!CQ353-'check-Jul''26'!CM353)</f>
        <v/>
      </c>
      <c r="CN335" s="25" t="str">
        <f>IF('1. Live'!CR353='check-Jul''26'!CN353,"",'1. Live'!CR353-'check-Jul''26'!CN353)</f>
        <v/>
      </c>
      <c r="CO335" s="25" t="str">
        <f>IF('1. Live'!CS353='check-Jul''26'!CO353,"",'1. Live'!CS353-'check-Jul''26'!CO353)</f>
        <v/>
      </c>
      <c r="CP335" s="25" t="str">
        <f>IF('1. Live'!CT353='check-Jul''26'!CP353,"",'1. Live'!CT353-'check-Jul''26'!CP353)</f>
        <v/>
      </c>
      <c r="CQ335" s="25" t="str">
        <f>IF('1. Live'!CU353='check-Jul''26'!CQ353,"",'1. Live'!CU353-'check-Jul''26'!CQ353)</f>
        <v/>
      </c>
      <c r="CR335" s="25" t="str">
        <f>IF('1. Live'!CV353='check-Jul''26'!CR353,"",'1. Live'!CV353-'check-Jul''26'!CR353)</f>
        <v/>
      </c>
      <c r="CS335" s="25" t="str">
        <f>IF('1. Live'!CW353='check-Jul''26'!CS353,"",'1. Live'!CW353-'check-Jul''26'!CS353)</f>
        <v/>
      </c>
      <c r="CT335" s="25" t="str">
        <f>IF('1. Live'!CX353='check-Jul''26'!CT353,"",'1. Live'!CX353-'check-Jul''26'!CT353)</f>
        <v/>
      </c>
      <c r="CU335" s="25" t="str">
        <f>IF('1. Live'!CY353='check-Jul''26'!CU353,"",'1. Live'!CY353-'check-Jul''26'!CU353)</f>
        <v/>
      </c>
      <c r="CV335" s="25" t="str">
        <f>IF('1. Live'!CZ353='check-Jul''26'!CV353,"",'1. Live'!CZ353-'check-Jul''26'!CV353)</f>
        <v/>
      </c>
    </row>
    <row r="336" spans="17:100" x14ac:dyDescent="0.25">
      <c r="Q336" s="26" t="str">
        <f>IF('1. Live'!N354='check-Jul''26'!I354,"",'1. Live'!N354-'check-Jul''26'!I354)</f>
        <v/>
      </c>
      <c r="R336" s="26" t="str">
        <f>IF('1. Live'!O354='check-Jul''26'!J354,"",'1. Live'!O354-'check-Jul''26'!J354)</f>
        <v/>
      </c>
      <c r="S336" s="26" t="str">
        <f>IF('1. Live'!P354='check-Jul''26'!K354,"",'1. Live'!P354-'check-Jul''26'!K354)</f>
        <v/>
      </c>
      <c r="T336" s="26" t="str">
        <f>IF('1. Live'!Q354='check-Jul''26'!L354,"",'1. Live'!Q354-'check-Jul''26'!L354)</f>
        <v/>
      </c>
      <c r="U336" s="80" t="str">
        <f>IF('1. Live'!R354='check-Jul''26'!M354,"",'1. Live'!R354-'check-Jul''26'!M354)</f>
        <v/>
      </c>
      <c r="V336" s="26" t="str">
        <f>IF('1. Live'!S354='check-Jul''26'!N354,"",'1. Live'!S354-'check-Jul''26'!N354)</f>
        <v/>
      </c>
      <c r="W336" s="25" t="str">
        <f>IF('1. Live'!T354='check-Jul''26'!O354,"",'1. Live'!T354-'check-Jul''26'!O354)</f>
        <v/>
      </c>
      <c r="X336" s="25" t="str">
        <f>IF('1. Live'!U354='check-Jul''26'!Q354,"",'1. Live'!U354-'check-Jul''26'!Q354)</f>
        <v/>
      </c>
      <c r="Y336" s="25" t="str">
        <f>IF('1. Live'!V354='check-Jul''26'!R354,"",'1. Live'!V354-'check-Jul''26'!R354)</f>
        <v/>
      </c>
      <c r="Z336" s="25" t="str">
        <f>IF('1. Live'!W354='check-Jul''26'!S354,"",'1. Live'!W354-'check-Jul''26'!S354)</f>
        <v/>
      </c>
      <c r="AA336" s="25" t="str">
        <f>IF('1. Live'!X354='check-Jul''26'!T354,"",'1. Live'!X354-'check-Jul''26'!T354)</f>
        <v/>
      </c>
      <c r="AB336" s="25" t="str">
        <f>IF('1. Live'!AF354='check-Jul''26'!AB354,"",'1. Live'!AF354-'check-Jul''26'!AB354)</f>
        <v/>
      </c>
      <c r="AC336" s="25" t="str">
        <f>IF('1. Live'!AG354='check-Jul''26'!AC354,"",'1. Live'!AG354-'check-Jul''26'!AC354)</f>
        <v/>
      </c>
      <c r="AD336" s="25" t="str">
        <f>IF('1. Live'!AH354='check-Jul''26'!AD354,"",'1. Live'!AH354-'check-Jul''26'!AD354)</f>
        <v/>
      </c>
      <c r="AE336" s="25" t="str">
        <f>IF('1. Live'!AI354='check-Jul''26'!AE354,"",'1. Live'!AI354-'check-Jul''26'!AE354)</f>
        <v/>
      </c>
      <c r="AF336" s="25" t="str">
        <f>IF('1. Live'!AJ354='check-Jul''26'!AF354,"",'1. Live'!AJ354-'check-Jul''26'!AF354)</f>
        <v/>
      </c>
      <c r="AG336" s="25" t="str">
        <f>IF('1. Live'!AK354='check-Jul''26'!AG354,"",'1. Live'!AK354-'check-Jul''26'!AG354)</f>
        <v/>
      </c>
      <c r="AH336" s="25" t="str">
        <f>IF('1. Live'!AL354='check-Jul''26'!AH354,"",'1. Live'!AL354-'check-Jul''26'!AH354)</f>
        <v/>
      </c>
      <c r="AI336" s="25" t="str">
        <f>IF('1. Live'!AM354='check-Jul''26'!AI354,"",'1. Live'!AM354-'check-Jul''26'!AI354)</f>
        <v/>
      </c>
      <c r="AJ336" s="25" t="str">
        <f>IF('1. Live'!AN354='check-Jul''26'!AJ354,"",'1. Live'!AN354-'check-Jul''26'!AJ354)</f>
        <v/>
      </c>
      <c r="AK336" s="25" t="str">
        <f>IF('1. Live'!AO354='check-Jul''26'!AK354,"",'1. Live'!AO354-'check-Jul''26'!AK354)</f>
        <v/>
      </c>
      <c r="AL336" s="25" t="str">
        <f>IF('1. Live'!AP354='check-Jul''26'!AL354,"",'1. Live'!AP354-'check-Jul''26'!AL354)</f>
        <v/>
      </c>
      <c r="AM336" s="25" t="str">
        <f>IF('1. Live'!AQ354='check-Jul''26'!AM354,"",'1. Live'!AQ354-'check-Jul''26'!AM354)</f>
        <v/>
      </c>
      <c r="AN336" s="25" t="str">
        <f>IF('1. Live'!AR354='check-Jul''26'!AN354,"",'1. Live'!AR354-'check-Jul''26'!AN354)</f>
        <v/>
      </c>
      <c r="AO336" s="25" t="str">
        <f>IF('1. Live'!AS354='check-Jul''26'!AO354,"",'1. Live'!AS354-'check-Jul''26'!AO354)</f>
        <v/>
      </c>
      <c r="AP336" s="25" t="str">
        <f>IF('1. Live'!AT354='check-Jul''26'!AP354,"",'1. Live'!AT354-'check-Jul''26'!AP354)</f>
        <v/>
      </c>
      <c r="AQ336" s="25" t="str">
        <f>IF('1. Live'!AU354='check-Jul''26'!AQ354,"",'1. Live'!AU354-'check-Jul''26'!AQ354)</f>
        <v/>
      </c>
      <c r="AR336" s="25" t="str">
        <f>IF('1. Live'!AV354='check-Jul''26'!AR354,"",'1. Live'!AV354-'check-Jul''26'!AR354)</f>
        <v/>
      </c>
      <c r="AS336" s="25" t="str">
        <f>IF('1. Live'!AW354='check-Jul''26'!AS354,"",'1. Live'!AW354-'check-Jul''26'!AS354)</f>
        <v/>
      </c>
      <c r="AT336" s="25" t="str">
        <f>IF('1. Live'!AX354='check-Jul''26'!AT354,"",'1. Live'!AX354-'check-Jul''26'!AT354)</f>
        <v/>
      </c>
      <c r="AU336" s="25" t="str">
        <f>IF('1. Live'!AY354='check-Jul''26'!AU354,"",'1. Live'!AY354-'check-Jul''26'!AU354)</f>
        <v/>
      </c>
      <c r="AV336" s="25" t="str">
        <f>IF('1. Live'!AZ354='check-Jul''26'!AV354,"",'1. Live'!AZ354-'check-Jul''26'!AV354)</f>
        <v/>
      </c>
      <c r="AW336" s="25" t="str">
        <f>IF('1. Live'!BA354='check-Jul''26'!AW354,"",'1. Live'!BA354-'check-Jul''26'!AW354)</f>
        <v/>
      </c>
      <c r="AX336" s="25" t="str">
        <f>IF('1. Live'!BB354='check-Jul''26'!AX354,"",'1. Live'!BB354-'check-Jul''26'!AX354)</f>
        <v/>
      </c>
      <c r="AY336" s="25" t="str">
        <f>IF('1. Live'!BC354='check-Jul''26'!AY354,"",'1. Live'!BC354-'check-Jul''26'!AY354)</f>
        <v/>
      </c>
      <c r="AZ336" s="25" t="str">
        <f>IF('1. Live'!BD354='check-Jul''26'!AZ354,"",'1. Live'!BD354-'check-Jul''26'!AZ354)</f>
        <v/>
      </c>
      <c r="BA336" s="25" t="str">
        <f>IF('1. Live'!BE354='check-Jul''26'!BA354,"",'1. Live'!BE354-'check-Jul''26'!BA354)</f>
        <v/>
      </c>
      <c r="BB336" s="25" t="str">
        <f>IF('1. Live'!BF354='check-Jul''26'!BB354,"",'1. Live'!BF354-'check-Jul''26'!BB354)</f>
        <v/>
      </c>
      <c r="BC336" s="25" t="str">
        <f>IF('1. Live'!BG354='check-Jul''26'!BC354,"",'1. Live'!BG354-'check-Jul''26'!BC354)</f>
        <v/>
      </c>
      <c r="BD336" s="25" t="str">
        <f>IF('1. Live'!BH354='check-Jul''26'!BD354,"",'1. Live'!BH354-'check-Jul''26'!BD354)</f>
        <v/>
      </c>
      <c r="BE336" s="25" t="str">
        <f>IF('1. Live'!BI354='check-Jul''26'!BE354,"",'1. Live'!BI354-'check-Jul''26'!BE354)</f>
        <v/>
      </c>
      <c r="BF336" s="25" t="str">
        <f>IF('1. Live'!BJ354='check-Jul''26'!BF354,"",'1. Live'!BJ354-'check-Jul''26'!BF354)</f>
        <v/>
      </c>
      <c r="BG336" s="25" t="str">
        <f>IF('1. Live'!BK354='check-Jul''26'!BG354,"",'1. Live'!BK354-'check-Jul''26'!BG354)</f>
        <v/>
      </c>
      <c r="BH336" s="25" t="str">
        <f>IF('1. Live'!BL354='check-Jul''26'!BH354,"",'1. Live'!BL354-'check-Jul''26'!BH354)</f>
        <v/>
      </c>
      <c r="BI336" s="25" t="str">
        <f>IF('1. Live'!BM354='check-Jul''26'!BI354,"",'1. Live'!BM354-'check-Jul''26'!BI354)</f>
        <v/>
      </c>
      <c r="BJ336" s="25" t="str">
        <f>IF('1. Live'!BN354='check-Jul''26'!BJ354,"",'1. Live'!BN354-'check-Jul''26'!BJ354)</f>
        <v/>
      </c>
      <c r="BK336" s="25" t="str">
        <f>IF('1. Live'!BO354='check-Jul''26'!BK354,"",'1. Live'!BO354-'check-Jul''26'!BK354)</f>
        <v/>
      </c>
      <c r="BL336" s="25" t="str">
        <f>IF('1. Live'!BP354='check-Jul''26'!BL354,"",'1. Live'!BP354-'check-Jul''26'!BL354)</f>
        <v/>
      </c>
      <c r="BM336" s="25" t="str">
        <f>IF('1. Live'!BQ354='check-Jul''26'!BM354,"",'1. Live'!BQ354-'check-Jul''26'!BM354)</f>
        <v/>
      </c>
      <c r="BN336" s="25" t="str">
        <f>IF('1. Live'!BR354='check-Jul''26'!BN354,"",'1. Live'!BR354-'check-Jul''26'!BN354)</f>
        <v/>
      </c>
      <c r="BO336" s="25" t="str">
        <f>IF('1. Live'!BS354='check-Jul''26'!BO354,"",'1. Live'!BS354-'check-Jul''26'!BO354)</f>
        <v/>
      </c>
      <c r="BP336" s="25" t="str">
        <f>IF('1. Live'!BT354='check-Jul''26'!BP354,"",'1. Live'!BT354-'check-Jul''26'!BP354)</f>
        <v/>
      </c>
      <c r="BQ336" s="25" t="str">
        <f>IF('1. Live'!BU354='check-Jul''26'!BQ354,"",'1. Live'!BU354-'check-Jul''26'!BQ354)</f>
        <v/>
      </c>
      <c r="BR336" s="25" t="str">
        <f>IF('1. Live'!BV354='check-Jul''26'!BR354,"",'1. Live'!BV354-'check-Jul''26'!BR354)</f>
        <v/>
      </c>
      <c r="BS336" s="25" t="str">
        <f>IF('1. Live'!BW354='check-Jul''26'!BS354,"",'1. Live'!BW354-'check-Jul''26'!BS354)</f>
        <v/>
      </c>
      <c r="BT336" s="25" t="str">
        <f>IF('1. Live'!BX354='check-Jul''26'!BT354,"",'1. Live'!BX354-'check-Jul''26'!BT354)</f>
        <v/>
      </c>
      <c r="BU336" s="25" t="str">
        <f>IF('1. Live'!BY354='check-Jul''26'!BU354,"",'1. Live'!BY354-'check-Jul''26'!BU354)</f>
        <v/>
      </c>
      <c r="BV336" s="25" t="str">
        <f>IF('1. Live'!BZ354='check-Jul''26'!BV354,"",'1. Live'!BZ354-'check-Jul''26'!BV354)</f>
        <v/>
      </c>
      <c r="BW336" s="25" t="str">
        <f>IF('1. Live'!CA354='check-Jul''26'!BW354,"",'1. Live'!CA354-'check-Jul''26'!BW354)</f>
        <v/>
      </c>
      <c r="BX336" s="25" t="str">
        <f>IF('1. Live'!CB354='check-Jul''26'!BX354,"",'1. Live'!CB354-'check-Jul''26'!BX354)</f>
        <v/>
      </c>
      <c r="BY336" s="25" t="str">
        <f>IF('1. Live'!CC354='check-Jul''26'!BY354,"",'1. Live'!CC354-'check-Jul''26'!BY354)</f>
        <v/>
      </c>
      <c r="BZ336" s="25" t="str">
        <f>IF('1. Live'!CD354='check-Jul''26'!BZ354,"",'1. Live'!CD354-'check-Jul''26'!BZ354)</f>
        <v/>
      </c>
      <c r="CA336" s="25" t="str">
        <f>IF('1. Live'!CE354='check-Jul''26'!CA354,"",'1. Live'!CE354-'check-Jul''26'!CA354)</f>
        <v/>
      </c>
      <c r="CB336" s="25" t="str">
        <f>IF('1. Live'!CF354='check-Jul''26'!CB354,"",'1. Live'!CF354-'check-Jul''26'!CB354)</f>
        <v/>
      </c>
      <c r="CC336" s="25" t="str">
        <f>IF('1. Live'!CG354='check-Jul''26'!CC354,"",'1. Live'!CG354-'check-Jul''26'!CC354)</f>
        <v/>
      </c>
      <c r="CD336" s="25" t="str">
        <f>IF('1. Live'!CH354='check-Jul''26'!CD354,"",'1. Live'!CH354-'check-Jul''26'!CD354)</f>
        <v/>
      </c>
      <c r="CE336" s="25" t="str">
        <f>IF('1. Live'!CI354='check-Jul''26'!CE354,"",'1. Live'!CI354-'check-Jul''26'!CE354)</f>
        <v/>
      </c>
      <c r="CF336" s="25" t="str">
        <f>IF('1. Live'!CJ354='check-Jul''26'!CF354,"",'1. Live'!CJ354-'check-Jul''26'!CF354)</f>
        <v/>
      </c>
      <c r="CG336" s="25" t="str">
        <f>IF('1. Live'!CK354='check-Jul''26'!CG354,"",'1. Live'!CK354-'check-Jul''26'!CG354)</f>
        <v/>
      </c>
      <c r="CH336" s="25" t="str">
        <f>IF('1. Live'!CL354='check-Jul''26'!CH354,"",'1. Live'!CL354-'check-Jul''26'!CH354)</f>
        <v/>
      </c>
      <c r="CI336" s="25" t="str">
        <f>IF('1. Live'!CM354='check-Jul''26'!CI354,"",'1. Live'!CM354-'check-Jul''26'!CI354)</f>
        <v/>
      </c>
      <c r="CJ336" s="25" t="str">
        <f>IF('1. Live'!CN354='check-Jul''26'!CJ354,"",'1. Live'!CN354-'check-Jul''26'!CJ354)</f>
        <v/>
      </c>
      <c r="CK336" s="25" t="str">
        <f>IF('1. Live'!CO354='check-Jul''26'!CK354,"",'1. Live'!CO354-'check-Jul''26'!CK354)</f>
        <v/>
      </c>
      <c r="CL336" s="25" t="str">
        <f>IF('1. Live'!CP354='check-Jul''26'!CL354,"",'1. Live'!CP354-'check-Jul''26'!CL354)</f>
        <v/>
      </c>
      <c r="CM336" s="25" t="str">
        <f>IF('1. Live'!CQ354='check-Jul''26'!CM354,"",'1. Live'!CQ354-'check-Jul''26'!CM354)</f>
        <v/>
      </c>
      <c r="CN336" s="25" t="str">
        <f>IF('1. Live'!CR354='check-Jul''26'!CN354,"",'1. Live'!CR354-'check-Jul''26'!CN354)</f>
        <v/>
      </c>
      <c r="CO336" s="25" t="str">
        <f>IF('1. Live'!CS354='check-Jul''26'!CO354,"",'1. Live'!CS354-'check-Jul''26'!CO354)</f>
        <v/>
      </c>
      <c r="CP336" s="25" t="str">
        <f>IF('1. Live'!CT354='check-Jul''26'!CP354,"",'1. Live'!CT354-'check-Jul''26'!CP354)</f>
        <v/>
      </c>
      <c r="CQ336" s="25" t="str">
        <f>IF('1. Live'!CU354='check-Jul''26'!CQ354,"",'1. Live'!CU354-'check-Jul''26'!CQ354)</f>
        <v/>
      </c>
      <c r="CR336" s="25" t="str">
        <f>IF('1. Live'!CV354='check-Jul''26'!CR354,"",'1. Live'!CV354-'check-Jul''26'!CR354)</f>
        <v/>
      </c>
      <c r="CS336" s="25" t="str">
        <f>IF('1. Live'!CW354='check-Jul''26'!CS354,"",'1. Live'!CW354-'check-Jul''26'!CS354)</f>
        <v/>
      </c>
      <c r="CT336" s="25" t="str">
        <f>IF('1. Live'!CX354='check-Jul''26'!CT354,"",'1. Live'!CX354-'check-Jul''26'!CT354)</f>
        <v/>
      </c>
      <c r="CU336" s="25" t="str">
        <f>IF('1. Live'!CY354='check-Jul''26'!CU354,"",'1. Live'!CY354-'check-Jul''26'!CU354)</f>
        <v/>
      </c>
      <c r="CV336" s="25" t="str">
        <f>IF('1. Live'!CZ354='check-Jul''26'!CV354,"",'1. Live'!CZ354-'check-Jul''26'!CV354)</f>
        <v/>
      </c>
    </row>
    <row r="337" spans="17:100" x14ac:dyDescent="0.25">
      <c r="Q337" s="26" t="str">
        <f>IF('1. Live'!N355='check-Jul''26'!I355,"",'1. Live'!N355-'check-Jul''26'!I355)</f>
        <v/>
      </c>
      <c r="R337" s="26" t="str">
        <f>IF('1. Live'!O355='check-Jul''26'!J355,"",'1. Live'!O355-'check-Jul''26'!J355)</f>
        <v/>
      </c>
      <c r="S337" s="26" t="str">
        <f>IF('1. Live'!P355='check-Jul''26'!K355,"",'1. Live'!P355-'check-Jul''26'!K355)</f>
        <v/>
      </c>
      <c r="T337" s="26" t="str">
        <f>IF('1. Live'!Q355='check-Jul''26'!L355,"",'1. Live'!Q355-'check-Jul''26'!L355)</f>
        <v/>
      </c>
      <c r="U337" s="80" t="str">
        <f>IF('1. Live'!R355='check-Jul''26'!M355,"",'1. Live'!R355-'check-Jul''26'!M355)</f>
        <v/>
      </c>
      <c r="V337" s="26" t="str">
        <f>IF('1. Live'!S355='check-Jul''26'!N355,"",'1. Live'!S355-'check-Jul''26'!N355)</f>
        <v/>
      </c>
      <c r="W337" s="25" t="str">
        <f>IF('1. Live'!T355='check-Jul''26'!O355,"",'1. Live'!T355-'check-Jul''26'!O355)</f>
        <v/>
      </c>
      <c r="X337" s="25" t="str">
        <f>IF('1. Live'!U355='check-Jul''26'!Q355,"",'1. Live'!U355-'check-Jul''26'!Q355)</f>
        <v/>
      </c>
      <c r="Y337" s="25" t="str">
        <f>IF('1. Live'!V355='check-Jul''26'!R355,"",'1. Live'!V355-'check-Jul''26'!R355)</f>
        <v/>
      </c>
      <c r="Z337" s="25" t="str">
        <f>IF('1. Live'!W355='check-Jul''26'!S355,"",'1. Live'!W355-'check-Jul''26'!S355)</f>
        <v/>
      </c>
      <c r="AA337" s="25" t="str">
        <f>IF('1. Live'!X355='check-Jul''26'!T355,"",'1. Live'!X355-'check-Jul''26'!T355)</f>
        <v/>
      </c>
      <c r="AB337" s="25" t="str">
        <f>IF('1. Live'!AF355='check-Jul''26'!AB355,"",'1. Live'!AF355-'check-Jul''26'!AB355)</f>
        <v/>
      </c>
      <c r="AC337" s="25" t="str">
        <f>IF('1. Live'!AG355='check-Jul''26'!AC355,"",'1. Live'!AG355-'check-Jul''26'!AC355)</f>
        <v/>
      </c>
      <c r="AD337" s="25" t="str">
        <f>IF('1. Live'!AH355='check-Jul''26'!AD355,"",'1. Live'!AH355-'check-Jul''26'!AD355)</f>
        <v/>
      </c>
      <c r="AE337" s="25" t="str">
        <f>IF('1. Live'!AI355='check-Jul''26'!AE355,"",'1. Live'!AI355-'check-Jul''26'!AE355)</f>
        <v/>
      </c>
      <c r="AF337" s="25" t="str">
        <f>IF('1. Live'!AJ355='check-Jul''26'!AF355,"",'1. Live'!AJ355-'check-Jul''26'!AF355)</f>
        <v/>
      </c>
      <c r="AG337" s="25" t="str">
        <f>IF('1. Live'!AK355='check-Jul''26'!AG355,"",'1. Live'!AK355-'check-Jul''26'!AG355)</f>
        <v/>
      </c>
      <c r="AH337" s="25" t="str">
        <f>IF('1. Live'!AL355='check-Jul''26'!AH355,"",'1. Live'!AL355-'check-Jul''26'!AH355)</f>
        <v/>
      </c>
      <c r="AI337" s="25" t="str">
        <f>IF('1. Live'!AM355='check-Jul''26'!AI355,"",'1. Live'!AM355-'check-Jul''26'!AI355)</f>
        <v/>
      </c>
      <c r="AJ337" s="25" t="str">
        <f>IF('1. Live'!AN355='check-Jul''26'!AJ355,"",'1. Live'!AN355-'check-Jul''26'!AJ355)</f>
        <v/>
      </c>
      <c r="AK337" s="25" t="str">
        <f>IF('1. Live'!AO355='check-Jul''26'!AK355,"",'1. Live'!AO355-'check-Jul''26'!AK355)</f>
        <v/>
      </c>
      <c r="AL337" s="25" t="str">
        <f>IF('1. Live'!AP355='check-Jul''26'!AL355,"",'1. Live'!AP355-'check-Jul''26'!AL355)</f>
        <v/>
      </c>
      <c r="AM337" s="25" t="str">
        <f>IF('1. Live'!AQ355='check-Jul''26'!AM355,"",'1. Live'!AQ355-'check-Jul''26'!AM355)</f>
        <v/>
      </c>
      <c r="AN337" s="25" t="str">
        <f>IF('1. Live'!AR355='check-Jul''26'!AN355,"",'1. Live'!AR355-'check-Jul''26'!AN355)</f>
        <v/>
      </c>
      <c r="AO337" s="25" t="str">
        <f>IF('1. Live'!AS355='check-Jul''26'!AO355,"",'1. Live'!AS355-'check-Jul''26'!AO355)</f>
        <v/>
      </c>
      <c r="AP337" s="25" t="str">
        <f>IF('1. Live'!AT355='check-Jul''26'!AP355,"",'1. Live'!AT355-'check-Jul''26'!AP355)</f>
        <v/>
      </c>
      <c r="AQ337" s="25" t="str">
        <f>IF('1. Live'!AU355='check-Jul''26'!AQ355,"",'1. Live'!AU355-'check-Jul''26'!AQ355)</f>
        <v/>
      </c>
      <c r="AR337" s="25" t="str">
        <f>IF('1. Live'!AV355='check-Jul''26'!AR355,"",'1. Live'!AV355-'check-Jul''26'!AR355)</f>
        <v/>
      </c>
      <c r="AS337" s="25" t="str">
        <f>IF('1. Live'!AW355='check-Jul''26'!AS355,"",'1. Live'!AW355-'check-Jul''26'!AS355)</f>
        <v/>
      </c>
      <c r="AT337" s="25" t="str">
        <f>IF('1. Live'!AX355='check-Jul''26'!AT355,"",'1. Live'!AX355-'check-Jul''26'!AT355)</f>
        <v/>
      </c>
      <c r="AU337" s="25" t="str">
        <f>IF('1. Live'!AY355='check-Jul''26'!AU355,"",'1. Live'!AY355-'check-Jul''26'!AU355)</f>
        <v/>
      </c>
      <c r="AV337" s="25" t="str">
        <f>IF('1. Live'!AZ355='check-Jul''26'!AV355,"",'1. Live'!AZ355-'check-Jul''26'!AV355)</f>
        <v/>
      </c>
      <c r="AW337" s="25" t="str">
        <f>IF('1. Live'!BA355='check-Jul''26'!AW355,"",'1. Live'!BA355-'check-Jul''26'!AW355)</f>
        <v/>
      </c>
      <c r="AX337" s="25" t="str">
        <f>IF('1. Live'!BB355='check-Jul''26'!AX355,"",'1. Live'!BB355-'check-Jul''26'!AX355)</f>
        <v/>
      </c>
      <c r="AY337" s="25" t="str">
        <f>IF('1. Live'!BC355='check-Jul''26'!AY355,"",'1. Live'!BC355-'check-Jul''26'!AY355)</f>
        <v/>
      </c>
      <c r="AZ337" s="25" t="str">
        <f>IF('1. Live'!BD355='check-Jul''26'!AZ355,"",'1. Live'!BD355-'check-Jul''26'!AZ355)</f>
        <v/>
      </c>
      <c r="BA337" s="25" t="str">
        <f>IF('1. Live'!BE355='check-Jul''26'!BA355,"",'1. Live'!BE355-'check-Jul''26'!BA355)</f>
        <v/>
      </c>
      <c r="BB337" s="25" t="str">
        <f>IF('1. Live'!BF355='check-Jul''26'!BB355,"",'1. Live'!BF355-'check-Jul''26'!BB355)</f>
        <v/>
      </c>
      <c r="BC337" s="25" t="str">
        <f>IF('1. Live'!BG355='check-Jul''26'!BC355,"",'1. Live'!BG355-'check-Jul''26'!BC355)</f>
        <v/>
      </c>
      <c r="BD337" s="25" t="str">
        <f>IF('1. Live'!BH355='check-Jul''26'!BD355,"",'1. Live'!BH355-'check-Jul''26'!BD355)</f>
        <v/>
      </c>
      <c r="BE337" s="25" t="str">
        <f>IF('1. Live'!BI355='check-Jul''26'!BE355,"",'1. Live'!BI355-'check-Jul''26'!BE355)</f>
        <v/>
      </c>
      <c r="BF337" s="25" t="str">
        <f>IF('1. Live'!BJ355='check-Jul''26'!BF355,"",'1. Live'!BJ355-'check-Jul''26'!BF355)</f>
        <v/>
      </c>
      <c r="BG337" s="25" t="str">
        <f>IF('1. Live'!BK355='check-Jul''26'!BG355,"",'1. Live'!BK355-'check-Jul''26'!BG355)</f>
        <v/>
      </c>
      <c r="BH337" s="25" t="str">
        <f>IF('1. Live'!BL355='check-Jul''26'!BH355,"",'1. Live'!BL355-'check-Jul''26'!BH355)</f>
        <v/>
      </c>
      <c r="BI337" s="25" t="str">
        <f>IF('1. Live'!BM355='check-Jul''26'!BI355,"",'1. Live'!BM355-'check-Jul''26'!BI355)</f>
        <v/>
      </c>
      <c r="BJ337" s="25" t="str">
        <f>IF('1. Live'!BN355='check-Jul''26'!BJ355,"",'1. Live'!BN355-'check-Jul''26'!BJ355)</f>
        <v/>
      </c>
      <c r="BK337" s="25" t="str">
        <f>IF('1. Live'!BO355='check-Jul''26'!BK355,"",'1. Live'!BO355-'check-Jul''26'!BK355)</f>
        <v/>
      </c>
      <c r="BL337" s="25" t="str">
        <f>IF('1. Live'!BP355='check-Jul''26'!BL355,"",'1. Live'!BP355-'check-Jul''26'!BL355)</f>
        <v/>
      </c>
      <c r="BM337" s="25" t="str">
        <f>IF('1. Live'!BQ355='check-Jul''26'!BM355,"",'1. Live'!BQ355-'check-Jul''26'!BM355)</f>
        <v/>
      </c>
      <c r="BN337" s="25" t="str">
        <f>IF('1. Live'!BR355='check-Jul''26'!BN355,"",'1. Live'!BR355-'check-Jul''26'!BN355)</f>
        <v/>
      </c>
      <c r="BO337" s="25" t="str">
        <f>IF('1. Live'!BS355='check-Jul''26'!BO355,"",'1. Live'!BS355-'check-Jul''26'!BO355)</f>
        <v/>
      </c>
      <c r="BP337" s="25" t="str">
        <f>IF('1. Live'!BT355='check-Jul''26'!BP355,"",'1. Live'!BT355-'check-Jul''26'!BP355)</f>
        <v/>
      </c>
      <c r="BQ337" s="25" t="str">
        <f>IF('1. Live'!BU355='check-Jul''26'!BQ355,"",'1. Live'!BU355-'check-Jul''26'!BQ355)</f>
        <v/>
      </c>
      <c r="BR337" s="25" t="str">
        <f>IF('1. Live'!BV355='check-Jul''26'!BR355,"",'1. Live'!BV355-'check-Jul''26'!BR355)</f>
        <v/>
      </c>
      <c r="BS337" s="25" t="str">
        <f>IF('1. Live'!BW355='check-Jul''26'!BS355,"",'1. Live'!BW355-'check-Jul''26'!BS355)</f>
        <v/>
      </c>
      <c r="BT337" s="25" t="str">
        <f>IF('1. Live'!BX355='check-Jul''26'!BT355,"",'1. Live'!BX355-'check-Jul''26'!BT355)</f>
        <v/>
      </c>
      <c r="BU337" s="25" t="str">
        <f>IF('1. Live'!BY355='check-Jul''26'!BU355,"",'1. Live'!BY355-'check-Jul''26'!BU355)</f>
        <v/>
      </c>
      <c r="BV337" s="25" t="str">
        <f>IF('1. Live'!BZ355='check-Jul''26'!BV355,"",'1. Live'!BZ355-'check-Jul''26'!BV355)</f>
        <v/>
      </c>
      <c r="BW337" s="25" t="str">
        <f>IF('1. Live'!CA355='check-Jul''26'!BW355,"",'1. Live'!CA355-'check-Jul''26'!BW355)</f>
        <v/>
      </c>
      <c r="BX337" s="25" t="str">
        <f>IF('1. Live'!CB355='check-Jul''26'!BX355,"",'1. Live'!CB355-'check-Jul''26'!BX355)</f>
        <v/>
      </c>
      <c r="BY337" s="25" t="str">
        <f>IF('1. Live'!CC355='check-Jul''26'!BY355,"",'1. Live'!CC355-'check-Jul''26'!BY355)</f>
        <v/>
      </c>
      <c r="BZ337" s="25" t="str">
        <f>IF('1. Live'!CD355='check-Jul''26'!BZ355,"",'1. Live'!CD355-'check-Jul''26'!BZ355)</f>
        <v/>
      </c>
      <c r="CA337" s="25" t="str">
        <f>IF('1. Live'!CE355='check-Jul''26'!CA355,"",'1. Live'!CE355-'check-Jul''26'!CA355)</f>
        <v/>
      </c>
      <c r="CB337" s="25" t="str">
        <f>IF('1. Live'!CF355='check-Jul''26'!CB355,"",'1. Live'!CF355-'check-Jul''26'!CB355)</f>
        <v/>
      </c>
      <c r="CC337" s="25" t="str">
        <f>IF('1. Live'!CG355='check-Jul''26'!CC355,"",'1. Live'!CG355-'check-Jul''26'!CC355)</f>
        <v/>
      </c>
      <c r="CD337" s="25" t="str">
        <f>IF('1. Live'!CH355='check-Jul''26'!CD355,"",'1. Live'!CH355-'check-Jul''26'!CD355)</f>
        <v/>
      </c>
      <c r="CE337" s="25" t="str">
        <f>IF('1. Live'!CI355='check-Jul''26'!CE355,"",'1. Live'!CI355-'check-Jul''26'!CE355)</f>
        <v/>
      </c>
      <c r="CF337" s="25" t="str">
        <f>IF('1. Live'!CJ355='check-Jul''26'!CF355,"",'1. Live'!CJ355-'check-Jul''26'!CF355)</f>
        <v/>
      </c>
      <c r="CG337" s="25" t="str">
        <f>IF('1. Live'!CK355='check-Jul''26'!CG355,"",'1. Live'!CK355-'check-Jul''26'!CG355)</f>
        <v/>
      </c>
      <c r="CH337" s="25" t="str">
        <f>IF('1. Live'!CL355='check-Jul''26'!CH355,"",'1. Live'!CL355-'check-Jul''26'!CH355)</f>
        <v/>
      </c>
      <c r="CI337" s="25" t="str">
        <f>IF('1. Live'!CM355='check-Jul''26'!CI355,"",'1. Live'!CM355-'check-Jul''26'!CI355)</f>
        <v/>
      </c>
      <c r="CJ337" s="25" t="str">
        <f>IF('1. Live'!CN355='check-Jul''26'!CJ355,"",'1. Live'!CN355-'check-Jul''26'!CJ355)</f>
        <v/>
      </c>
      <c r="CK337" s="25" t="str">
        <f>IF('1. Live'!CO355='check-Jul''26'!CK355,"",'1. Live'!CO355-'check-Jul''26'!CK355)</f>
        <v/>
      </c>
      <c r="CL337" s="25" t="str">
        <f>IF('1. Live'!CP355='check-Jul''26'!CL355,"",'1. Live'!CP355-'check-Jul''26'!CL355)</f>
        <v/>
      </c>
      <c r="CM337" s="25" t="str">
        <f>IF('1. Live'!CQ355='check-Jul''26'!CM355,"",'1. Live'!CQ355-'check-Jul''26'!CM355)</f>
        <v/>
      </c>
      <c r="CN337" s="25" t="str">
        <f>IF('1. Live'!CR355='check-Jul''26'!CN355,"",'1. Live'!CR355-'check-Jul''26'!CN355)</f>
        <v/>
      </c>
      <c r="CO337" s="25" t="str">
        <f>IF('1. Live'!CS355='check-Jul''26'!CO355,"",'1. Live'!CS355-'check-Jul''26'!CO355)</f>
        <v/>
      </c>
      <c r="CP337" s="25" t="str">
        <f>IF('1. Live'!CT355='check-Jul''26'!CP355,"",'1. Live'!CT355-'check-Jul''26'!CP355)</f>
        <v/>
      </c>
      <c r="CQ337" s="25" t="str">
        <f>IF('1. Live'!CU355='check-Jul''26'!CQ355,"",'1. Live'!CU355-'check-Jul''26'!CQ355)</f>
        <v/>
      </c>
      <c r="CR337" s="25" t="str">
        <f>IF('1. Live'!CV355='check-Jul''26'!CR355,"",'1. Live'!CV355-'check-Jul''26'!CR355)</f>
        <v/>
      </c>
      <c r="CS337" s="25" t="str">
        <f>IF('1. Live'!CW355='check-Jul''26'!CS355,"",'1. Live'!CW355-'check-Jul''26'!CS355)</f>
        <v/>
      </c>
      <c r="CT337" s="25" t="str">
        <f>IF('1. Live'!CX355='check-Jul''26'!CT355,"",'1. Live'!CX355-'check-Jul''26'!CT355)</f>
        <v/>
      </c>
      <c r="CU337" s="25" t="str">
        <f>IF('1. Live'!CY355='check-Jul''26'!CU355,"",'1. Live'!CY355-'check-Jul''26'!CU355)</f>
        <v/>
      </c>
      <c r="CV337" s="25" t="str">
        <f>IF('1. Live'!CZ355='check-Jul''26'!CV355,"",'1. Live'!CZ355-'check-Jul''26'!CV355)</f>
        <v/>
      </c>
    </row>
    <row r="338" spans="17:100" x14ac:dyDescent="0.25">
      <c r="Q338" s="26" t="str">
        <f>IF('1. Live'!N356='check-Jul''26'!I356,"",'1. Live'!N356-'check-Jul''26'!I356)</f>
        <v/>
      </c>
      <c r="R338" s="26" t="str">
        <f>IF('1. Live'!O356='check-Jul''26'!J356,"",'1. Live'!O356-'check-Jul''26'!J356)</f>
        <v/>
      </c>
      <c r="S338" s="26" t="str">
        <f>IF('1. Live'!P356='check-Jul''26'!K356,"",'1. Live'!P356-'check-Jul''26'!K356)</f>
        <v/>
      </c>
      <c r="T338" s="26" t="str">
        <f>IF('1. Live'!Q356='check-Jul''26'!L356,"",'1. Live'!Q356-'check-Jul''26'!L356)</f>
        <v/>
      </c>
      <c r="U338" s="80" t="str">
        <f>IF('1. Live'!R356='check-Jul''26'!M356,"",'1. Live'!R356-'check-Jul''26'!M356)</f>
        <v/>
      </c>
      <c r="V338" s="26" t="str">
        <f>IF('1. Live'!S356='check-Jul''26'!N356,"",'1. Live'!S356-'check-Jul''26'!N356)</f>
        <v/>
      </c>
      <c r="W338" s="25" t="str">
        <f>IF('1. Live'!T356='check-Jul''26'!O356,"",'1. Live'!T356-'check-Jul''26'!O356)</f>
        <v/>
      </c>
      <c r="X338" s="25" t="str">
        <f>IF('1. Live'!U356='check-Jul''26'!Q356,"",'1. Live'!U356-'check-Jul''26'!Q356)</f>
        <v/>
      </c>
      <c r="Y338" s="25" t="str">
        <f>IF('1. Live'!V356='check-Jul''26'!R356,"",'1. Live'!V356-'check-Jul''26'!R356)</f>
        <v/>
      </c>
      <c r="Z338" s="25" t="str">
        <f>IF('1. Live'!W356='check-Jul''26'!S356,"",'1. Live'!W356-'check-Jul''26'!S356)</f>
        <v/>
      </c>
      <c r="AA338" s="25" t="str">
        <f>IF('1. Live'!X356='check-Jul''26'!T356,"",'1. Live'!X356-'check-Jul''26'!T356)</f>
        <v/>
      </c>
      <c r="AB338" s="25" t="str">
        <f>IF('1. Live'!AF356='check-Jul''26'!AB356,"",'1. Live'!AF356-'check-Jul''26'!AB356)</f>
        <v/>
      </c>
      <c r="AC338" s="25" t="str">
        <f>IF('1. Live'!AG356='check-Jul''26'!AC356,"",'1. Live'!AG356-'check-Jul''26'!AC356)</f>
        <v/>
      </c>
      <c r="AD338" s="25" t="str">
        <f>IF('1. Live'!AH356='check-Jul''26'!AD356,"",'1. Live'!AH356-'check-Jul''26'!AD356)</f>
        <v/>
      </c>
      <c r="AE338" s="25" t="str">
        <f>IF('1. Live'!AI356='check-Jul''26'!AE356,"",'1. Live'!AI356-'check-Jul''26'!AE356)</f>
        <v/>
      </c>
      <c r="AF338" s="25" t="str">
        <f>IF('1. Live'!AJ356='check-Jul''26'!AF356,"",'1. Live'!AJ356-'check-Jul''26'!AF356)</f>
        <v/>
      </c>
      <c r="AG338" s="25" t="str">
        <f>IF('1. Live'!AK356='check-Jul''26'!AG356,"",'1. Live'!AK356-'check-Jul''26'!AG356)</f>
        <v/>
      </c>
      <c r="AH338" s="25" t="str">
        <f>IF('1. Live'!AL356='check-Jul''26'!AH356,"",'1. Live'!AL356-'check-Jul''26'!AH356)</f>
        <v/>
      </c>
      <c r="AI338" s="25" t="str">
        <f>IF('1. Live'!AM356='check-Jul''26'!AI356,"",'1. Live'!AM356-'check-Jul''26'!AI356)</f>
        <v/>
      </c>
      <c r="AJ338" s="25" t="str">
        <f>IF('1. Live'!AN356='check-Jul''26'!AJ356,"",'1. Live'!AN356-'check-Jul''26'!AJ356)</f>
        <v/>
      </c>
      <c r="AK338" s="25" t="str">
        <f>IF('1. Live'!AO356='check-Jul''26'!AK356,"",'1. Live'!AO356-'check-Jul''26'!AK356)</f>
        <v/>
      </c>
      <c r="AL338" s="25" t="str">
        <f>IF('1. Live'!AP356='check-Jul''26'!AL356,"",'1. Live'!AP356-'check-Jul''26'!AL356)</f>
        <v/>
      </c>
      <c r="AM338" s="25" t="str">
        <f>IF('1. Live'!AQ356='check-Jul''26'!AM356,"",'1. Live'!AQ356-'check-Jul''26'!AM356)</f>
        <v/>
      </c>
      <c r="AN338" s="25" t="str">
        <f>IF('1. Live'!AR356='check-Jul''26'!AN356,"",'1. Live'!AR356-'check-Jul''26'!AN356)</f>
        <v/>
      </c>
      <c r="AO338" s="25" t="str">
        <f>IF('1. Live'!AS356='check-Jul''26'!AO356,"",'1. Live'!AS356-'check-Jul''26'!AO356)</f>
        <v/>
      </c>
      <c r="AP338" s="25" t="str">
        <f>IF('1. Live'!AT356='check-Jul''26'!AP356,"",'1. Live'!AT356-'check-Jul''26'!AP356)</f>
        <v/>
      </c>
      <c r="AQ338" s="25" t="str">
        <f>IF('1. Live'!AU356='check-Jul''26'!AQ356,"",'1. Live'!AU356-'check-Jul''26'!AQ356)</f>
        <v/>
      </c>
      <c r="AR338" s="25" t="str">
        <f>IF('1. Live'!AV356='check-Jul''26'!AR356,"",'1. Live'!AV356-'check-Jul''26'!AR356)</f>
        <v/>
      </c>
      <c r="AS338" s="25" t="str">
        <f>IF('1. Live'!AW356='check-Jul''26'!AS356,"",'1. Live'!AW356-'check-Jul''26'!AS356)</f>
        <v/>
      </c>
      <c r="AT338" s="25" t="str">
        <f>IF('1. Live'!AX356='check-Jul''26'!AT356,"",'1. Live'!AX356-'check-Jul''26'!AT356)</f>
        <v/>
      </c>
      <c r="AU338" s="25" t="str">
        <f>IF('1. Live'!AY356='check-Jul''26'!AU356,"",'1. Live'!AY356-'check-Jul''26'!AU356)</f>
        <v/>
      </c>
      <c r="AV338" s="25" t="str">
        <f>IF('1. Live'!AZ356='check-Jul''26'!AV356,"",'1. Live'!AZ356-'check-Jul''26'!AV356)</f>
        <v/>
      </c>
      <c r="AW338" s="25" t="str">
        <f>IF('1. Live'!BA356='check-Jul''26'!AW356,"",'1. Live'!BA356-'check-Jul''26'!AW356)</f>
        <v/>
      </c>
      <c r="AX338" s="25" t="str">
        <f>IF('1. Live'!BB356='check-Jul''26'!AX356,"",'1. Live'!BB356-'check-Jul''26'!AX356)</f>
        <v/>
      </c>
      <c r="AY338" s="25" t="str">
        <f>IF('1. Live'!BC356='check-Jul''26'!AY356,"",'1. Live'!BC356-'check-Jul''26'!AY356)</f>
        <v/>
      </c>
      <c r="AZ338" s="25" t="str">
        <f>IF('1. Live'!BD356='check-Jul''26'!AZ356,"",'1. Live'!BD356-'check-Jul''26'!AZ356)</f>
        <v/>
      </c>
      <c r="BA338" s="25" t="str">
        <f>IF('1. Live'!BE356='check-Jul''26'!BA356,"",'1. Live'!BE356-'check-Jul''26'!BA356)</f>
        <v/>
      </c>
      <c r="BB338" s="25" t="str">
        <f>IF('1. Live'!BF356='check-Jul''26'!BB356,"",'1. Live'!BF356-'check-Jul''26'!BB356)</f>
        <v/>
      </c>
      <c r="BC338" s="25" t="str">
        <f>IF('1. Live'!BG356='check-Jul''26'!BC356,"",'1. Live'!BG356-'check-Jul''26'!BC356)</f>
        <v/>
      </c>
      <c r="BD338" s="25" t="str">
        <f>IF('1. Live'!BH356='check-Jul''26'!BD356,"",'1. Live'!BH356-'check-Jul''26'!BD356)</f>
        <v/>
      </c>
      <c r="BE338" s="25" t="str">
        <f>IF('1. Live'!BI356='check-Jul''26'!BE356,"",'1. Live'!BI356-'check-Jul''26'!BE356)</f>
        <v/>
      </c>
      <c r="BF338" s="25" t="str">
        <f>IF('1. Live'!BJ356='check-Jul''26'!BF356,"",'1. Live'!BJ356-'check-Jul''26'!BF356)</f>
        <v/>
      </c>
      <c r="BG338" s="25" t="str">
        <f>IF('1. Live'!BK356='check-Jul''26'!BG356,"",'1. Live'!BK356-'check-Jul''26'!BG356)</f>
        <v/>
      </c>
      <c r="BH338" s="25" t="str">
        <f>IF('1. Live'!BL356='check-Jul''26'!BH356,"",'1. Live'!BL356-'check-Jul''26'!BH356)</f>
        <v/>
      </c>
      <c r="BI338" s="25" t="str">
        <f>IF('1. Live'!BM356='check-Jul''26'!BI356,"",'1. Live'!BM356-'check-Jul''26'!BI356)</f>
        <v/>
      </c>
      <c r="BJ338" s="25" t="str">
        <f>IF('1. Live'!BN356='check-Jul''26'!BJ356,"",'1. Live'!BN356-'check-Jul''26'!BJ356)</f>
        <v/>
      </c>
      <c r="BK338" s="25" t="str">
        <f>IF('1. Live'!BO356='check-Jul''26'!BK356,"",'1. Live'!BO356-'check-Jul''26'!BK356)</f>
        <v/>
      </c>
      <c r="BL338" s="25" t="str">
        <f>IF('1. Live'!BP356='check-Jul''26'!BL356,"",'1. Live'!BP356-'check-Jul''26'!BL356)</f>
        <v/>
      </c>
      <c r="BM338" s="25" t="str">
        <f>IF('1. Live'!BQ356='check-Jul''26'!BM356,"",'1. Live'!BQ356-'check-Jul''26'!BM356)</f>
        <v/>
      </c>
      <c r="BN338" s="25" t="str">
        <f>IF('1. Live'!BR356='check-Jul''26'!BN356,"",'1. Live'!BR356-'check-Jul''26'!BN356)</f>
        <v/>
      </c>
      <c r="BO338" s="25" t="str">
        <f>IF('1. Live'!BS356='check-Jul''26'!BO356,"",'1. Live'!BS356-'check-Jul''26'!BO356)</f>
        <v/>
      </c>
      <c r="BP338" s="25" t="str">
        <f>IF('1. Live'!BT356='check-Jul''26'!BP356,"",'1. Live'!BT356-'check-Jul''26'!BP356)</f>
        <v/>
      </c>
      <c r="BQ338" s="25" t="str">
        <f>IF('1. Live'!BU356='check-Jul''26'!BQ356,"",'1. Live'!BU356-'check-Jul''26'!BQ356)</f>
        <v/>
      </c>
      <c r="BR338" s="25" t="str">
        <f>IF('1. Live'!BV356='check-Jul''26'!BR356,"",'1. Live'!BV356-'check-Jul''26'!BR356)</f>
        <v/>
      </c>
      <c r="BS338" s="25" t="str">
        <f>IF('1. Live'!BW356='check-Jul''26'!BS356,"",'1. Live'!BW356-'check-Jul''26'!BS356)</f>
        <v/>
      </c>
      <c r="BT338" s="25" t="str">
        <f>IF('1. Live'!BX356='check-Jul''26'!BT356,"",'1. Live'!BX356-'check-Jul''26'!BT356)</f>
        <v/>
      </c>
      <c r="BU338" s="25" t="str">
        <f>IF('1. Live'!BY356='check-Jul''26'!BU356,"",'1. Live'!BY356-'check-Jul''26'!BU356)</f>
        <v/>
      </c>
      <c r="BV338" s="25" t="str">
        <f>IF('1. Live'!BZ356='check-Jul''26'!BV356,"",'1. Live'!BZ356-'check-Jul''26'!BV356)</f>
        <v/>
      </c>
      <c r="BW338" s="25" t="str">
        <f>IF('1. Live'!CA356='check-Jul''26'!BW356,"",'1. Live'!CA356-'check-Jul''26'!BW356)</f>
        <v/>
      </c>
      <c r="BX338" s="25" t="str">
        <f>IF('1. Live'!CB356='check-Jul''26'!BX356,"",'1. Live'!CB356-'check-Jul''26'!BX356)</f>
        <v/>
      </c>
      <c r="BY338" s="25" t="str">
        <f>IF('1. Live'!CC356='check-Jul''26'!BY356,"",'1. Live'!CC356-'check-Jul''26'!BY356)</f>
        <v/>
      </c>
      <c r="BZ338" s="25" t="str">
        <f>IF('1. Live'!CD356='check-Jul''26'!BZ356,"",'1. Live'!CD356-'check-Jul''26'!BZ356)</f>
        <v/>
      </c>
      <c r="CA338" s="25" t="str">
        <f>IF('1. Live'!CE356='check-Jul''26'!CA356,"",'1. Live'!CE356-'check-Jul''26'!CA356)</f>
        <v/>
      </c>
      <c r="CB338" s="25" t="str">
        <f>IF('1. Live'!CF356='check-Jul''26'!CB356,"",'1. Live'!CF356-'check-Jul''26'!CB356)</f>
        <v/>
      </c>
      <c r="CC338" s="25" t="str">
        <f>IF('1. Live'!CG356='check-Jul''26'!CC356,"",'1. Live'!CG356-'check-Jul''26'!CC356)</f>
        <v/>
      </c>
      <c r="CD338" s="25" t="str">
        <f>IF('1. Live'!CH356='check-Jul''26'!CD356,"",'1. Live'!CH356-'check-Jul''26'!CD356)</f>
        <v/>
      </c>
      <c r="CE338" s="25" t="str">
        <f>IF('1. Live'!CI356='check-Jul''26'!CE356,"",'1. Live'!CI356-'check-Jul''26'!CE356)</f>
        <v/>
      </c>
      <c r="CF338" s="25" t="str">
        <f>IF('1. Live'!CJ356='check-Jul''26'!CF356,"",'1. Live'!CJ356-'check-Jul''26'!CF356)</f>
        <v/>
      </c>
      <c r="CG338" s="25" t="str">
        <f>IF('1. Live'!CK356='check-Jul''26'!CG356,"",'1. Live'!CK356-'check-Jul''26'!CG356)</f>
        <v/>
      </c>
      <c r="CH338" s="25" t="str">
        <f>IF('1. Live'!CL356='check-Jul''26'!CH356,"",'1. Live'!CL356-'check-Jul''26'!CH356)</f>
        <v/>
      </c>
      <c r="CI338" s="25" t="str">
        <f>IF('1. Live'!CM356='check-Jul''26'!CI356,"",'1. Live'!CM356-'check-Jul''26'!CI356)</f>
        <v/>
      </c>
      <c r="CJ338" s="25" t="str">
        <f>IF('1. Live'!CN356='check-Jul''26'!CJ356,"",'1. Live'!CN356-'check-Jul''26'!CJ356)</f>
        <v/>
      </c>
      <c r="CK338" s="25" t="str">
        <f>IF('1. Live'!CO356='check-Jul''26'!CK356,"",'1. Live'!CO356-'check-Jul''26'!CK356)</f>
        <v/>
      </c>
      <c r="CL338" s="25" t="str">
        <f>IF('1. Live'!CP356='check-Jul''26'!CL356,"",'1. Live'!CP356-'check-Jul''26'!CL356)</f>
        <v/>
      </c>
      <c r="CM338" s="25" t="str">
        <f>IF('1. Live'!CQ356='check-Jul''26'!CM356,"",'1. Live'!CQ356-'check-Jul''26'!CM356)</f>
        <v/>
      </c>
      <c r="CN338" s="25" t="str">
        <f>IF('1. Live'!CR356='check-Jul''26'!CN356,"",'1. Live'!CR356-'check-Jul''26'!CN356)</f>
        <v/>
      </c>
      <c r="CO338" s="25" t="str">
        <f>IF('1. Live'!CS356='check-Jul''26'!CO356,"",'1. Live'!CS356-'check-Jul''26'!CO356)</f>
        <v/>
      </c>
      <c r="CP338" s="25" t="str">
        <f>IF('1. Live'!CT356='check-Jul''26'!CP356,"",'1. Live'!CT356-'check-Jul''26'!CP356)</f>
        <v/>
      </c>
      <c r="CQ338" s="25" t="str">
        <f>IF('1. Live'!CU356='check-Jul''26'!CQ356,"",'1. Live'!CU356-'check-Jul''26'!CQ356)</f>
        <v/>
      </c>
      <c r="CR338" s="25" t="str">
        <f>IF('1. Live'!CV356='check-Jul''26'!CR356,"",'1. Live'!CV356-'check-Jul''26'!CR356)</f>
        <v/>
      </c>
      <c r="CS338" s="25" t="str">
        <f>IF('1. Live'!CW356='check-Jul''26'!CS356,"",'1. Live'!CW356-'check-Jul''26'!CS356)</f>
        <v/>
      </c>
      <c r="CT338" s="25" t="str">
        <f>IF('1. Live'!CX356='check-Jul''26'!CT356,"",'1. Live'!CX356-'check-Jul''26'!CT356)</f>
        <v/>
      </c>
      <c r="CU338" s="25" t="str">
        <f>IF('1. Live'!CY356='check-Jul''26'!CU356,"",'1. Live'!CY356-'check-Jul''26'!CU356)</f>
        <v/>
      </c>
      <c r="CV338" s="25" t="str">
        <f>IF('1. Live'!CZ356='check-Jul''26'!CV356,"",'1. Live'!CZ356-'check-Jul''26'!CV356)</f>
        <v/>
      </c>
    </row>
    <row r="339" spans="17:100" x14ac:dyDescent="0.25">
      <c r="Q339" s="26" t="str">
        <f>IF('1. Live'!N357='check-Jul''26'!I357,"",'1. Live'!N357-'check-Jul''26'!I357)</f>
        <v/>
      </c>
      <c r="R339" s="26" t="str">
        <f>IF('1. Live'!O357='check-Jul''26'!J357,"",'1. Live'!O357-'check-Jul''26'!J357)</f>
        <v/>
      </c>
      <c r="S339" s="26" t="str">
        <f>IF('1. Live'!P357='check-Jul''26'!K357,"",'1. Live'!P357-'check-Jul''26'!K357)</f>
        <v/>
      </c>
      <c r="T339" s="26" t="str">
        <f>IF('1. Live'!Q357='check-Jul''26'!L357,"",'1. Live'!Q357-'check-Jul''26'!L357)</f>
        <v/>
      </c>
      <c r="U339" s="80" t="str">
        <f>IF('1. Live'!R357='check-Jul''26'!M357,"",'1. Live'!R357-'check-Jul''26'!M357)</f>
        <v/>
      </c>
      <c r="V339" s="26" t="str">
        <f>IF('1. Live'!S357='check-Jul''26'!N357,"",'1. Live'!S357-'check-Jul''26'!N357)</f>
        <v/>
      </c>
      <c r="W339" s="25" t="str">
        <f>IF('1. Live'!T357='check-Jul''26'!O357,"",'1. Live'!T357-'check-Jul''26'!O357)</f>
        <v/>
      </c>
      <c r="X339" s="25" t="str">
        <f>IF('1. Live'!U357='check-Jul''26'!Q357,"",'1. Live'!U357-'check-Jul''26'!Q357)</f>
        <v/>
      </c>
      <c r="Y339" s="25" t="str">
        <f>IF('1. Live'!V357='check-Jul''26'!R357,"",'1. Live'!V357-'check-Jul''26'!R357)</f>
        <v/>
      </c>
      <c r="Z339" s="25" t="str">
        <f>IF('1. Live'!W357='check-Jul''26'!S357,"",'1. Live'!W357-'check-Jul''26'!S357)</f>
        <v/>
      </c>
      <c r="AA339" s="25" t="str">
        <f>IF('1. Live'!X357='check-Jul''26'!T357,"",'1. Live'!X357-'check-Jul''26'!T357)</f>
        <v/>
      </c>
      <c r="AB339" s="25" t="str">
        <f>IF('1. Live'!AF357='check-Jul''26'!AB357,"",'1. Live'!AF357-'check-Jul''26'!AB357)</f>
        <v/>
      </c>
      <c r="AC339" s="25" t="str">
        <f>IF('1. Live'!AG357='check-Jul''26'!AC357,"",'1. Live'!AG357-'check-Jul''26'!AC357)</f>
        <v/>
      </c>
      <c r="AD339" s="25" t="str">
        <f>IF('1. Live'!AH357='check-Jul''26'!AD357,"",'1. Live'!AH357-'check-Jul''26'!AD357)</f>
        <v/>
      </c>
      <c r="AE339" s="25" t="str">
        <f>IF('1. Live'!AI357='check-Jul''26'!AE357,"",'1. Live'!AI357-'check-Jul''26'!AE357)</f>
        <v/>
      </c>
      <c r="AF339" s="25" t="str">
        <f>IF('1. Live'!AJ357='check-Jul''26'!AF357,"",'1. Live'!AJ357-'check-Jul''26'!AF357)</f>
        <v/>
      </c>
      <c r="AG339" s="25" t="str">
        <f>IF('1. Live'!AK357='check-Jul''26'!AG357,"",'1. Live'!AK357-'check-Jul''26'!AG357)</f>
        <v/>
      </c>
      <c r="AH339" s="25" t="str">
        <f>IF('1. Live'!AL357='check-Jul''26'!AH357,"",'1. Live'!AL357-'check-Jul''26'!AH357)</f>
        <v/>
      </c>
      <c r="AI339" s="25" t="str">
        <f>IF('1. Live'!AM357='check-Jul''26'!AI357,"",'1. Live'!AM357-'check-Jul''26'!AI357)</f>
        <v/>
      </c>
      <c r="AJ339" s="25" t="str">
        <f>IF('1. Live'!AN357='check-Jul''26'!AJ357,"",'1. Live'!AN357-'check-Jul''26'!AJ357)</f>
        <v/>
      </c>
      <c r="AK339" s="25" t="str">
        <f>IF('1. Live'!AO357='check-Jul''26'!AK357,"",'1. Live'!AO357-'check-Jul''26'!AK357)</f>
        <v/>
      </c>
      <c r="AL339" s="25" t="str">
        <f>IF('1. Live'!AP357='check-Jul''26'!AL357,"",'1. Live'!AP357-'check-Jul''26'!AL357)</f>
        <v/>
      </c>
      <c r="AM339" s="25" t="str">
        <f>IF('1. Live'!AQ357='check-Jul''26'!AM357,"",'1. Live'!AQ357-'check-Jul''26'!AM357)</f>
        <v/>
      </c>
      <c r="AN339" s="25" t="str">
        <f>IF('1. Live'!AR357='check-Jul''26'!AN357,"",'1. Live'!AR357-'check-Jul''26'!AN357)</f>
        <v/>
      </c>
      <c r="AO339" s="25" t="str">
        <f>IF('1. Live'!AS357='check-Jul''26'!AO357,"",'1. Live'!AS357-'check-Jul''26'!AO357)</f>
        <v/>
      </c>
      <c r="AP339" s="25" t="str">
        <f>IF('1. Live'!AT357='check-Jul''26'!AP357,"",'1. Live'!AT357-'check-Jul''26'!AP357)</f>
        <v/>
      </c>
      <c r="AQ339" s="25" t="str">
        <f>IF('1. Live'!AU357='check-Jul''26'!AQ357,"",'1. Live'!AU357-'check-Jul''26'!AQ357)</f>
        <v/>
      </c>
      <c r="AR339" s="25" t="str">
        <f>IF('1. Live'!AV357='check-Jul''26'!AR357,"",'1. Live'!AV357-'check-Jul''26'!AR357)</f>
        <v/>
      </c>
      <c r="AS339" s="25" t="str">
        <f>IF('1. Live'!AW357='check-Jul''26'!AS357,"",'1. Live'!AW357-'check-Jul''26'!AS357)</f>
        <v/>
      </c>
      <c r="AT339" s="25" t="str">
        <f>IF('1. Live'!AX357='check-Jul''26'!AT357,"",'1. Live'!AX357-'check-Jul''26'!AT357)</f>
        <v/>
      </c>
      <c r="AU339" s="25" t="str">
        <f>IF('1. Live'!AY357='check-Jul''26'!AU357,"",'1. Live'!AY357-'check-Jul''26'!AU357)</f>
        <v/>
      </c>
      <c r="AV339" s="25" t="str">
        <f>IF('1. Live'!AZ357='check-Jul''26'!AV357,"",'1. Live'!AZ357-'check-Jul''26'!AV357)</f>
        <v/>
      </c>
      <c r="AW339" s="25" t="str">
        <f>IF('1. Live'!BA357='check-Jul''26'!AW357,"",'1. Live'!BA357-'check-Jul''26'!AW357)</f>
        <v/>
      </c>
      <c r="AX339" s="25" t="str">
        <f>IF('1. Live'!BB357='check-Jul''26'!AX357,"",'1. Live'!BB357-'check-Jul''26'!AX357)</f>
        <v/>
      </c>
      <c r="AY339" s="25" t="str">
        <f>IF('1. Live'!BC357='check-Jul''26'!AY357,"",'1. Live'!BC357-'check-Jul''26'!AY357)</f>
        <v/>
      </c>
      <c r="AZ339" s="25" t="str">
        <f>IF('1. Live'!BD357='check-Jul''26'!AZ357,"",'1. Live'!BD357-'check-Jul''26'!AZ357)</f>
        <v/>
      </c>
      <c r="BA339" s="25" t="str">
        <f>IF('1. Live'!BE357='check-Jul''26'!BA357,"",'1. Live'!BE357-'check-Jul''26'!BA357)</f>
        <v/>
      </c>
      <c r="BB339" s="25" t="str">
        <f>IF('1. Live'!BF357='check-Jul''26'!BB357,"",'1. Live'!BF357-'check-Jul''26'!BB357)</f>
        <v/>
      </c>
      <c r="BC339" s="25" t="str">
        <f>IF('1. Live'!BG357='check-Jul''26'!BC357,"",'1. Live'!BG357-'check-Jul''26'!BC357)</f>
        <v/>
      </c>
      <c r="BD339" s="25" t="str">
        <f>IF('1. Live'!BH357='check-Jul''26'!BD357,"",'1. Live'!BH357-'check-Jul''26'!BD357)</f>
        <v/>
      </c>
      <c r="BE339" s="25" t="str">
        <f>IF('1. Live'!BI357='check-Jul''26'!BE357,"",'1. Live'!BI357-'check-Jul''26'!BE357)</f>
        <v/>
      </c>
      <c r="BF339" s="25" t="str">
        <f>IF('1. Live'!BJ357='check-Jul''26'!BF357,"",'1. Live'!BJ357-'check-Jul''26'!BF357)</f>
        <v/>
      </c>
      <c r="BG339" s="25" t="str">
        <f>IF('1. Live'!BK357='check-Jul''26'!BG357,"",'1. Live'!BK357-'check-Jul''26'!BG357)</f>
        <v/>
      </c>
      <c r="BH339" s="25" t="str">
        <f>IF('1. Live'!BL357='check-Jul''26'!BH357,"",'1. Live'!BL357-'check-Jul''26'!BH357)</f>
        <v/>
      </c>
      <c r="BI339" s="25" t="str">
        <f>IF('1. Live'!BM357='check-Jul''26'!BI357,"",'1. Live'!BM357-'check-Jul''26'!BI357)</f>
        <v/>
      </c>
      <c r="BJ339" s="25" t="str">
        <f>IF('1. Live'!BN357='check-Jul''26'!BJ357,"",'1. Live'!BN357-'check-Jul''26'!BJ357)</f>
        <v/>
      </c>
      <c r="BK339" s="25" t="str">
        <f>IF('1. Live'!BO357='check-Jul''26'!BK357,"",'1. Live'!BO357-'check-Jul''26'!BK357)</f>
        <v/>
      </c>
      <c r="BL339" s="25" t="str">
        <f>IF('1. Live'!BP357='check-Jul''26'!BL357,"",'1. Live'!BP357-'check-Jul''26'!BL357)</f>
        <v/>
      </c>
      <c r="BM339" s="25" t="str">
        <f>IF('1. Live'!BQ357='check-Jul''26'!BM357,"",'1. Live'!BQ357-'check-Jul''26'!BM357)</f>
        <v/>
      </c>
      <c r="BN339" s="25" t="str">
        <f>IF('1. Live'!BR357='check-Jul''26'!BN357,"",'1. Live'!BR357-'check-Jul''26'!BN357)</f>
        <v/>
      </c>
      <c r="BO339" s="25" t="str">
        <f>IF('1. Live'!BS357='check-Jul''26'!BO357,"",'1. Live'!BS357-'check-Jul''26'!BO357)</f>
        <v/>
      </c>
      <c r="BP339" s="25" t="str">
        <f>IF('1. Live'!BT357='check-Jul''26'!BP357,"",'1. Live'!BT357-'check-Jul''26'!BP357)</f>
        <v/>
      </c>
      <c r="BQ339" s="25" t="str">
        <f>IF('1. Live'!BU357='check-Jul''26'!BQ357,"",'1. Live'!BU357-'check-Jul''26'!BQ357)</f>
        <v/>
      </c>
      <c r="BR339" s="25" t="str">
        <f>IF('1. Live'!BV357='check-Jul''26'!BR357,"",'1. Live'!BV357-'check-Jul''26'!BR357)</f>
        <v/>
      </c>
      <c r="BS339" s="25" t="str">
        <f>IF('1. Live'!BW357='check-Jul''26'!BS357,"",'1. Live'!BW357-'check-Jul''26'!BS357)</f>
        <v/>
      </c>
      <c r="BT339" s="25" t="str">
        <f>IF('1. Live'!BX357='check-Jul''26'!BT357,"",'1. Live'!BX357-'check-Jul''26'!BT357)</f>
        <v/>
      </c>
      <c r="BU339" s="25" t="str">
        <f>IF('1. Live'!BY357='check-Jul''26'!BU357,"",'1. Live'!BY357-'check-Jul''26'!BU357)</f>
        <v/>
      </c>
      <c r="BV339" s="25" t="str">
        <f>IF('1. Live'!BZ357='check-Jul''26'!BV357,"",'1. Live'!BZ357-'check-Jul''26'!BV357)</f>
        <v/>
      </c>
      <c r="BW339" s="25" t="str">
        <f>IF('1. Live'!CA357='check-Jul''26'!BW357,"",'1. Live'!CA357-'check-Jul''26'!BW357)</f>
        <v/>
      </c>
      <c r="BX339" s="25" t="str">
        <f>IF('1. Live'!CB357='check-Jul''26'!BX357,"",'1. Live'!CB357-'check-Jul''26'!BX357)</f>
        <v/>
      </c>
      <c r="BY339" s="25" t="str">
        <f>IF('1. Live'!CC357='check-Jul''26'!BY357,"",'1. Live'!CC357-'check-Jul''26'!BY357)</f>
        <v/>
      </c>
      <c r="BZ339" s="25" t="str">
        <f>IF('1. Live'!CD357='check-Jul''26'!BZ357,"",'1. Live'!CD357-'check-Jul''26'!BZ357)</f>
        <v/>
      </c>
      <c r="CA339" s="25" t="str">
        <f>IF('1. Live'!CE357='check-Jul''26'!CA357,"",'1. Live'!CE357-'check-Jul''26'!CA357)</f>
        <v/>
      </c>
      <c r="CB339" s="25" t="str">
        <f>IF('1. Live'!CF357='check-Jul''26'!CB357,"",'1. Live'!CF357-'check-Jul''26'!CB357)</f>
        <v/>
      </c>
      <c r="CC339" s="25" t="str">
        <f>IF('1. Live'!CG357='check-Jul''26'!CC357,"",'1. Live'!CG357-'check-Jul''26'!CC357)</f>
        <v/>
      </c>
      <c r="CD339" s="25" t="str">
        <f>IF('1. Live'!CH357='check-Jul''26'!CD357,"",'1. Live'!CH357-'check-Jul''26'!CD357)</f>
        <v/>
      </c>
      <c r="CE339" s="25" t="str">
        <f>IF('1. Live'!CI357='check-Jul''26'!CE357,"",'1. Live'!CI357-'check-Jul''26'!CE357)</f>
        <v/>
      </c>
      <c r="CF339" s="25" t="str">
        <f>IF('1. Live'!CJ357='check-Jul''26'!CF357,"",'1. Live'!CJ357-'check-Jul''26'!CF357)</f>
        <v/>
      </c>
      <c r="CG339" s="25" t="str">
        <f>IF('1. Live'!CK357='check-Jul''26'!CG357,"",'1. Live'!CK357-'check-Jul''26'!CG357)</f>
        <v/>
      </c>
      <c r="CH339" s="25" t="str">
        <f>IF('1. Live'!CL357='check-Jul''26'!CH357,"",'1. Live'!CL357-'check-Jul''26'!CH357)</f>
        <v/>
      </c>
      <c r="CI339" s="25" t="str">
        <f>IF('1. Live'!CM357='check-Jul''26'!CI357,"",'1. Live'!CM357-'check-Jul''26'!CI357)</f>
        <v/>
      </c>
      <c r="CJ339" s="25" t="str">
        <f>IF('1. Live'!CN357='check-Jul''26'!CJ357,"",'1. Live'!CN357-'check-Jul''26'!CJ357)</f>
        <v/>
      </c>
      <c r="CK339" s="25" t="str">
        <f>IF('1. Live'!CO357='check-Jul''26'!CK357,"",'1. Live'!CO357-'check-Jul''26'!CK357)</f>
        <v/>
      </c>
      <c r="CL339" s="25" t="str">
        <f>IF('1. Live'!CP357='check-Jul''26'!CL357,"",'1. Live'!CP357-'check-Jul''26'!CL357)</f>
        <v/>
      </c>
      <c r="CM339" s="25" t="str">
        <f>IF('1. Live'!CQ357='check-Jul''26'!CM357,"",'1. Live'!CQ357-'check-Jul''26'!CM357)</f>
        <v/>
      </c>
      <c r="CN339" s="25" t="str">
        <f>IF('1. Live'!CR357='check-Jul''26'!CN357,"",'1. Live'!CR357-'check-Jul''26'!CN357)</f>
        <v/>
      </c>
      <c r="CO339" s="25" t="str">
        <f>IF('1. Live'!CS357='check-Jul''26'!CO357,"",'1. Live'!CS357-'check-Jul''26'!CO357)</f>
        <v/>
      </c>
      <c r="CP339" s="25" t="str">
        <f>IF('1. Live'!CT357='check-Jul''26'!CP357,"",'1. Live'!CT357-'check-Jul''26'!CP357)</f>
        <v/>
      </c>
      <c r="CQ339" s="25" t="str">
        <f>IF('1. Live'!CU357='check-Jul''26'!CQ357,"",'1. Live'!CU357-'check-Jul''26'!CQ357)</f>
        <v/>
      </c>
      <c r="CR339" s="25" t="str">
        <f>IF('1. Live'!CV357='check-Jul''26'!CR357,"",'1. Live'!CV357-'check-Jul''26'!CR357)</f>
        <v/>
      </c>
      <c r="CS339" s="25" t="str">
        <f>IF('1. Live'!CW357='check-Jul''26'!CS357,"",'1. Live'!CW357-'check-Jul''26'!CS357)</f>
        <v/>
      </c>
      <c r="CT339" s="25" t="str">
        <f>IF('1. Live'!CX357='check-Jul''26'!CT357,"",'1. Live'!CX357-'check-Jul''26'!CT357)</f>
        <v/>
      </c>
      <c r="CU339" s="25" t="str">
        <f>IF('1. Live'!CY357='check-Jul''26'!CU357,"",'1. Live'!CY357-'check-Jul''26'!CU357)</f>
        <v/>
      </c>
      <c r="CV339" s="25" t="str">
        <f>IF('1. Live'!CZ357='check-Jul''26'!CV357,"",'1. Live'!CZ357-'check-Jul''26'!CV357)</f>
        <v/>
      </c>
    </row>
    <row r="340" spans="17:100" x14ac:dyDescent="0.25">
      <c r="Q340" s="26" t="str">
        <f>IF('1. Live'!N358='check-Jul''26'!I358,"",'1. Live'!N358-'check-Jul''26'!I358)</f>
        <v/>
      </c>
      <c r="R340" s="26" t="str">
        <f>IF('1. Live'!O358='check-Jul''26'!J358,"",'1. Live'!O358-'check-Jul''26'!J358)</f>
        <v/>
      </c>
      <c r="S340" s="26" t="str">
        <f>IF('1. Live'!P358='check-Jul''26'!K358,"",'1. Live'!P358-'check-Jul''26'!K358)</f>
        <v/>
      </c>
      <c r="T340" s="26" t="str">
        <f>IF('1. Live'!Q358='check-Jul''26'!L358,"",'1. Live'!Q358-'check-Jul''26'!L358)</f>
        <v/>
      </c>
      <c r="U340" s="80" t="str">
        <f>IF('1. Live'!R358='check-Jul''26'!M358,"",'1. Live'!R358-'check-Jul''26'!M358)</f>
        <v/>
      </c>
      <c r="V340" s="26" t="str">
        <f>IF('1. Live'!S358='check-Jul''26'!N358,"",'1. Live'!S358-'check-Jul''26'!N358)</f>
        <v/>
      </c>
      <c r="W340" s="25" t="str">
        <f>IF('1. Live'!T358='check-Jul''26'!O358,"",'1. Live'!T358-'check-Jul''26'!O358)</f>
        <v/>
      </c>
      <c r="X340" s="25" t="str">
        <f>IF('1. Live'!U358='check-Jul''26'!Q358,"",'1. Live'!U358-'check-Jul''26'!Q358)</f>
        <v/>
      </c>
      <c r="Y340" s="25" t="str">
        <f>IF('1. Live'!V358='check-Jul''26'!R358,"",'1. Live'!V358-'check-Jul''26'!R358)</f>
        <v/>
      </c>
      <c r="Z340" s="25" t="str">
        <f>IF('1. Live'!W358='check-Jul''26'!S358,"",'1. Live'!W358-'check-Jul''26'!S358)</f>
        <v/>
      </c>
      <c r="AA340" s="25" t="str">
        <f>IF('1. Live'!X358='check-Jul''26'!T358,"",'1. Live'!X358-'check-Jul''26'!T358)</f>
        <v/>
      </c>
      <c r="AB340" s="25" t="str">
        <f>IF('1. Live'!AF358='check-Jul''26'!AB358,"",'1. Live'!AF358-'check-Jul''26'!AB358)</f>
        <v/>
      </c>
      <c r="AC340" s="25" t="str">
        <f>IF('1. Live'!AG358='check-Jul''26'!AC358,"",'1. Live'!AG358-'check-Jul''26'!AC358)</f>
        <v/>
      </c>
      <c r="AD340" s="25" t="str">
        <f>IF('1. Live'!AH358='check-Jul''26'!AD358,"",'1. Live'!AH358-'check-Jul''26'!AD358)</f>
        <v/>
      </c>
      <c r="AE340" s="25" t="str">
        <f>IF('1. Live'!AI358='check-Jul''26'!AE358,"",'1. Live'!AI358-'check-Jul''26'!AE358)</f>
        <v/>
      </c>
      <c r="AF340" s="25" t="str">
        <f>IF('1. Live'!AJ358='check-Jul''26'!AF358,"",'1. Live'!AJ358-'check-Jul''26'!AF358)</f>
        <v/>
      </c>
      <c r="AG340" s="25" t="str">
        <f>IF('1. Live'!AK358='check-Jul''26'!AG358,"",'1. Live'!AK358-'check-Jul''26'!AG358)</f>
        <v/>
      </c>
      <c r="AH340" s="25" t="str">
        <f>IF('1. Live'!AL358='check-Jul''26'!AH358,"",'1. Live'!AL358-'check-Jul''26'!AH358)</f>
        <v/>
      </c>
      <c r="AI340" s="25" t="str">
        <f>IF('1. Live'!AM358='check-Jul''26'!AI358,"",'1. Live'!AM358-'check-Jul''26'!AI358)</f>
        <v/>
      </c>
      <c r="AJ340" s="25" t="str">
        <f>IF('1. Live'!AN358='check-Jul''26'!AJ358,"",'1. Live'!AN358-'check-Jul''26'!AJ358)</f>
        <v/>
      </c>
      <c r="AK340" s="25" t="str">
        <f>IF('1. Live'!AO358='check-Jul''26'!AK358,"",'1. Live'!AO358-'check-Jul''26'!AK358)</f>
        <v/>
      </c>
      <c r="AL340" s="25" t="str">
        <f>IF('1. Live'!AP358='check-Jul''26'!AL358,"",'1. Live'!AP358-'check-Jul''26'!AL358)</f>
        <v/>
      </c>
      <c r="AM340" s="25" t="str">
        <f>IF('1. Live'!AQ358='check-Jul''26'!AM358,"",'1. Live'!AQ358-'check-Jul''26'!AM358)</f>
        <v/>
      </c>
      <c r="AN340" s="25" t="str">
        <f>IF('1. Live'!AR358='check-Jul''26'!AN358,"",'1. Live'!AR358-'check-Jul''26'!AN358)</f>
        <v/>
      </c>
      <c r="AO340" s="25" t="str">
        <f>IF('1. Live'!AS358='check-Jul''26'!AO358,"",'1. Live'!AS358-'check-Jul''26'!AO358)</f>
        <v/>
      </c>
      <c r="AP340" s="25" t="str">
        <f>IF('1. Live'!AT358='check-Jul''26'!AP358,"",'1. Live'!AT358-'check-Jul''26'!AP358)</f>
        <v/>
      </c>
      <c r="AQ340" s="25" t="str">
        <f>IF('1. Live'!AU358='check-Jul''26'!AQ358,"",'1. Live'!AU358-'check-Jul''26'!AQ358)</f>
        <v/>
      </c>
      <c r="AR340" s="25" t="str">
        <f>IF('1. Live'!AV358='check-Jul''26'!AR358,"",'1. Live'!AV358-'check-Jul''26'!AR358)</f>
        <v/>
      </c>
      <c r="AS340" s="25" t="str">
        <f>IF('1. Live'!AW358='check-Jul''26'!AS358,"",'1. Live'!AW358-'check-Jul''26'!AS358)</f>
        <v/>
      </c>
      <c r="AT340" s="25" t="str">
        <f>IF('1. Live'!AX358='check-Jul''26'!AT358,"",'1. Live'!AX358-'check-Jul''26'!AT358)</f>
        <v/>
      </c>
      <c r="AU340" s="25" t="str">
        <f>IF('1. Live'!AY358='check-Jul''26'!AU358,"",'1. Live'!AY358-'check-Jul''26'!AU358)</f>
        <v/>
      </c>
      <c r="AV340" s="25" t="str">
        <f>IF('1. Live'!AZ358='check-Jul''26'!AV358,"",'1. Live'!AZ358-'check-Jul''26'!AV358)</f>
        <v/>
      </c>
      <c r="AW340" s="25" t="str">
        <f>IF('1. Live'!BA358='check-Jul''26'!AW358,"",'1. Live'!BA358-'check-Jul''26'!AW358)</f>
        <v/>
      </c>
      <c r="AX340" s="25" t="str">
        <f>IF('1. Live'!BB358='check-Jul''26'!AX358,"",'1. Live'!BB358-'check-Jul''26'!AX358)</f>
        <v/>
      </c>
      <c r="AY340" s="25" t="str">
        <f>IF('1. Live'!BC358='check-Jul''26'!AY358,"",'1. Live'!BC358-'check-Jul''26'!AY358)</f>
        <v/>
      </c>
      <c r="AZ340" s="25" t="str">
        <f>IF('1. Live'!BD358='check-Jul''26'!AZ358,"",'1. Live'!BD358-'check-Jul''26'!AZ358)</f>
        <v/>
      </c>
      <c r="BA340" s="25" t="str">
        <f>IF('1. Live'!BE358='check-Jul''26'!BA358,"",'1. Live'!BE358-'check-Jul''26'!BA358)</f>
        <v/>
      </c>
      <c r="BB340" s="25" t="str">
        <f>IF('1. Live'!BF358='check-Jul''26'!BB358,"",'1. Live'!BF358-'check-Jul''26'!BB358)</f>
        <v/>
      </c>
      <c r="BC340" s="25" t="str">
        <f>IF('1. Live'!BG358='check-Jul''26'!BC358,"",'1. Live'!BG358-'check-Jul''26'!BC358)</f>
        <v/>
      </c>
      <c r="BD340" s="25" t="str">
        <f>IF('1. Live'!BH358='check-Jul''26'!BD358,"",'1. Live'!BH358-'check-Jul''26'!BD358)</f>
        <v/>
      </c>
      <c r="BE340" s="25" t="str">
        <f>IF('1. Live'!BI358='check-Jul''26'!BE358,"",'1. Live'!BI358-'check-Jul''26'!BE358)</f>
        <v/>
      </c>
      <c r="BF340" s="25" t="str">
        <f>IF('1. Live'!BJ358='check-Jul''26'!BF358,"",'1. Live'!BJ358-'check-Jul''26'!BF358)</f>
        <v/>
      </c>
      <c r="BG340" s="25" t="str">
        <f>IF('1. Live'!BK358='check-Jul''26'!BG358,"",'1. Live'!BK358-'check-Jul''26'!BG358)</f>
        <v/>
      </c>
      <c r="BH340" s="25" t="str">
        <f>IF('1. Live'!BL358='check-Jul''26'!BH358,"",'1. Live'!BL358-'check-Jul''26'!BH358)</f>
        <v/>
      </c>
      <c r="BI340" s="25" t="str">
        <f>IF('1. Live'!BM358='check-Jul''26'!BI358,"",'1. Live'!BM358-'check-Jul''26'!BI358)</f>
        <v/>
      </c>
      <c r="BJ340" s="25" t="str">
        <f>IF('1. Live'!BN358='check-Jul''26'!BJ358,"",'1. Live'!BN358-'check-Jul''26'!BJ358)</f>
        <v/>
      </c>
      <c r="BK340" s="25" t="str">
        <f>IF('1. Live'!BO358='check-Jul''26'!BK358,"",'1. Live'!BO358-'check-Jul''26'!BK358)</f>
        <v/>
      </c>
      <c r="BL340" s="25" t="str">
        <f>IF('1. Live'!BP358='check-Jul''26'!BL358,"",'1. Live'!BP358-'check-Jul''26'!BL358)</f>
        <v/>
      </c>
      <c r="BM340" s="25" t="str">
        <f>IF('1. Live'!BQ358='check-Jul''26'!BM358,"",'1. Live'!BQ358-'check-Jul''26'!BM358)</f>
        <v/>
      </c>
      <c r="BN340" s="25" t="str">
        <f>IF('1. Live'!BR358='check-Jul''26'!BN358,"",'1. Live'!BR358-'check-Jul''26'!BN358)</f>
        <v/>
      </c>
      <c r="BO340" s="25" t="str">
        <f>IF('1. Live'!BS358='check-Jul''26'!BO358,"",'1. Live'!BS358-'check-Jul''26'!BO358)</f>
        <v/>
      </c>
      <c r="BP340" s="25" t="str">
        <f>IF('1. Live'!BT358='check-Jul''26'!BP358,"",'1. Live'!BT358-'check-Jul''26'!BP358)</f>
        <v/>
      </c>
      <c r="BQ340" s="25" t="str">
        <f>IF('1. Live'!BU358='check-Jul''26'!BQ358,"",'1. Live'!BU358-'check-Jul''26'!BQ358)</f>
        <v/>
      </c>
      <c r="BR340" s="25" t="str">
        <f>IF('1. Live'!BV358='check-Jul''26'!BR358,"",'1. Live'!BV358-'check-Jul''26'!BR358)</f>
        <v/>
      </c>
      <c r="BS340" s="25" t="str">
        <f>IF('1. Live'!BW358='check-Jul''26'!BS358,"",'1. Live'!BW358-'check-Jul''26'!BS358)</f>
        <v/>
      </c>
      <c r="BT340" s="25" t="str">
        <f>IF('1. Live'!BX358='check-Jul''26'!BT358,"",'1. Live'!BX358-'check-Jul''26'!BT358)</f>
        <v/>
      </c>
      <c r="BU340" s="25" t="str">
        <f>IF('1. Live'!BY358='check-Jul''26'!BU358,"",'1. Live'!BY358-'check-Jul''26'!BU358)</f>
        <v/>
      </c>
      <c r="BV340" s="25" t="str">
        <f>IF('1. Live'!BZ358='check-Jul''26'!BV358,"",'1. Live'!BZ358-'check-Jul''26'!BV358)</f>
        <v/>
      </c>
      <c r="BW340" s="25" t="str">
        <f>IF('1. Live'!CA358='check-Jul''26'!BW358,"",'1. Live'!CA358-'check-Jul''26'!BW358)</f>
        <v/>
      </c>
      <c r="BX340" s="25" t="str">
        <f>IF('1. Live'!CB358='check-Jul''26'!BX358,"",'1. Live'!CB358-'check-Jul''26'!BX358)</f>
        <v/>
      </c>
      <c r="BY340" s="25" t="str">
        <f>IF('1. Live'!CC358='check-Jul''26'!BY358,"",'1. Live'!CC358-'check-Jul''26'!BY358)</f>
        <v/>
      </c>
      <c r="BZ340" s="25" t="str">
        <f>IF('1. Live'!CD358='check-Jul''26'!BZ358,"",'1. Live'!CD358-'check-Jul''26'!BZ358)</f>
        <v/>
      </c>
      <c r="CA340" s="25" t="str">
        <f>IF('1. Live'!CE358='check-Jul''26'!CA358,"",'1. Live'!CE358-'check-Jul''26'!CA358)</f>
        <v/>
      </c>
      <c r="CB340" s="25" t="str">
        <f>IF('1. Live'!CF358='check-Jul''26'!CB358,"",'1. Live'!CF358-'check-Jul''26'!CB358)</f>
        <v/>
      </c>
      <c r="CC340" s="25" t="str">
        <f>IF('1. Live'!CG358='check-Jul''26'!CC358,"",'1. Live'!CG358-'check-Jul''26'!CC358)</f>
        <v/>
      </c>
      <c r="CD340" s="25" t="str">
        <f>IF('1. Live'!CH358='check-Jul''26'!CD358,"",'1. Live'!CH358-'check-Jul''26'!CD358)</f>
        <v/>
      </c>
      <c r="CE340" s="25" t="str">
        <f>IF('1. Live'!CI358='check-Jul''26'!CE358,"",'1. Live'!CI358-'check-Jul''26'!CE358)</f>
        <v/>
      </c>
      <c r="CF340" s="25" t="str">
        <f>IF('1. Live'!CJ358='check-Jul''26'!CF358,"",'1. Live'!CJ358-'check-Jul''26'!CF358)</f>
        <v/>
      </c>
      <c r="CG340" s="25" t="str">
        <f>IF('1. Live'!CK358='check-Jul''26'!CG358,"",'1. Live'!CK358-'check-Jul''26'!CG358)</f>
        <v/>
      </c>
      <c r="CH340" s="25" t="str">
        <f>IF('1. Live'!CL358='check-Jul''26'!CH358,"",'1. Live'!CL358-'check-Jul''26'!CH358)</f>
        <v/>
      </c>
      <c r="CI340" s="25" t="str">
        <f>IF('1. Live'!CM358='check-Jul''26'!CI358,"",'1. Live'!CM358-'check-Jul''26'!CI358)</f>
        <v/>
      </c>
      <c r="CJ340" s="25" t="str">
        <f>IF('1. Live'!CN358='check-Jul''26'!CJ358,"",'1. Live'!CN358-'check-Jul''26'!CJ358)</f>
        <v/>
      </c>
      <c r="CK340" s="25" t="str">
        <f>IF('1. Live'!CO358='check-Jul''26'!CK358,"",'1. Live'!CO358-'check-Jul''26'!CK358)</f>
        <v/>
      </c>
      <c r="CL340" s="25" t="str">
        <f>IF('1. Live'!CP358='check-Jul''26'!CL358,"",'1. Live'!CP358-'check-Jul''26'!CL358)</f>
        <v/>
      </c>
      <c r="CM340" s="25" t="str">
        <f>IF('1. Live'!CQ358='check-Jul''26'!CM358,"",'1. Live'!CQ358-'check-Jul''26'!CM358)</f>
        <v/>
      </c>
      <c r="CN340" s="25" t="str">
        <f>IF('1. Live'!CR358='check-Jul''26'!CN358,"",'1. Live'!CR358-'check-Jul''26'!CN358)</f>
        <v/>
      </c>
      <c r="CO340" s="25" t="str">
        <f>IF('1. Live'!CS358='check-Jul''26'!CO358,"",'1. Live'!CS358-'check-Jul''26'!CO358)</f>
        <v/>
      </c>
      <c r="CP340" s="25" t="str">
        <f>IF('1. Live'!CT358='check-Jul''26'!CP358,"",'1. Live'!CT358-'check-Jul''26'!CP358)</f>
        <v/>
      </c>
      <c r="CQ340" s="25" t="str">
        <f>IF('1. Live'!CU358='check-Jul''26'!CQ358,"",'1. Live'!CU358-'check-Jul''26'!CQ358)</f>
        <v/>
      </c>
      <c r="CR340" s="25" t="str">
        <f>IF('1. Live'!CV358='check-Jul''26'!CR358,"",'1. Live'!CV358-'check-Jul''26'!CR358)</f>
        <v/>
      </c>
      <c r="CS340" s="25" t="str">
        <f>IF('1. Live'!CW358='check-Jul''26'!CS358,"",'1. Live'!CW358-'check-Jul''26'!CS358)</f>
        <v/>
      </c>
      <c r="CT340" s="25" t="str">
        <f>IF('1. Live'!CX358='check-Jul''26'!CT358,"",'1. Live'!CX358-'check-Jul''26'!CT358)</f>
        <v/>
      </c>
      <c r="CU340" s="25" t="str">
        <f>IF('1. Live'!CY358='check-Jul''26'!CU358,"",'1. Live'!CY358-'check-Jul''26'!CU358)</f>
        <v/>
      </c>
      <c r="CV340" s="25" t="str">
        <f>IF('1. Live'!CZ358='check-Jul''26'!CV358,"",'1. Live'!CZ358-'check-Jul''26'!CV358)</f>
        <v/>
      </c>
    </row>
    <row r="341" spans="17:100" x14ac:dyDescent="0.25">
      <c r="Q341" s="26" t="str">
        <f>IF('1. Live'!N359='check-Jul''26'!I359,"",'1. Live'!N359-'check-Jul''26'!I359)</f>
        <v/>
      </c>
      <c r="R341" s="26" t="str">
        <f>IF('1. Live'!O359='check-Jul''26'!J359,"",'1. Live'!O359-'check-Jul''26'!J359)</f>
        <v/>
      </c>
      <c r="S341" s="26" t="str">
        <f>IF('1. Live'!P359='check-Jul''26'!K359,"",'1. Live'!P359-'check-Jul''26'!K359)</f>
        <v/>
      </c>
      <c r="T341" s="26" t="str">
        <f>IF('1. Live'!Q359='check-Jul''26'!L359,"",'1. Live'!Q359-'check-Jul''26'!L359)</f>
        <v/>
      </c>
      <c r="U341" s="80" t="str">
        <f>IF('1. Live'!R359='check-Jul''26'!M359,"",'1. Live'!R359-'check-Jul''26'!M359)</f>
        <v/>
      </c>
      <c r="V341" s="26" t="str">
        <f>IF('1. Live'!S359='check-Jul''26'!N359,"",'1. Live'!S359-'check-Jul''26'!N359)</f>
        <v/>
      </c>
      <c r="W341" s="25" t="str">
        <f>IF('1. Live'!T359='check-Jul''26'!O359,"",'1. Live'!T359-'check-Jul''26'!O359)</f>
        <v/>
      </c>
      <c r="X341" s="25" t="str">
        <f>IF('1. Live'!U359='check-Jul''26'!Q359,"",'1. Live'!U359-'check-Jul''26'!Q359)</f>
        <v/>
      </c>
      <c r="Y341" s="25" t="str">
        <f>IF('1. Live'!V359='check-Jul''26'!R359,"",'1. Live'!V359-'check-Jul''26'!R359)</f>
        <v/>
      </c>
      <c r="Z341" s="25" t="str">
        <f>IF('1. Live'!W359='check-Jul''26'!S359,"",'1. Live'!W359-'check-Jul''26'!S359)</f>
        <v/>
      </c>
      <c r="AA341" s="25" t="str">
        <f>IF('1. Live'!X359='check-Jul''26'!T359,"",'1. Live'!X359-'check-Jul''26'!T359)</f>
        <v/>
      </c>
      <c r="AB341" s="25" t="str">
        <f>IF('1. Live'!AF359='check-Jul''26'!AB359,"",'1. Live'!AF359-'check-Jul''26'!AB359)</f>
        <v/>
      </c>
      <c r="AC341" s="25" t="str">
        <f>IF('1. Live'!AG359='check-Jul''26'!AC359,"",'1. Live'!AG359-'check-Jul''26'!AC359)</f>
        <v/>
      </c>
      <c r="AD341" s="25" t="str">
        <f>IF('1. Live'!AH359='check-Jul''26'!AD359,"",'1. Live'!AH359-'check-Jul''26'!AD359)</f>
        <v/>
      </c>
      <c r="AE341" s="25" t="str">
        <f>IF('1. Live'!AI359='check-Jul''26'!AE359,"",'1. Live'!AI359-'check-Jul''26'!AE359)</f>
        <v/>
      </c>
      <c r="AF341" s="25" t="str">
        <f>IF('1. Live'!AJ359='check-Jul''26'!AF359,"",'1. Live'!AJ359-'check-Jul''26'!AF359)</f>
        <v/>
      </c>
      <c r="AG341" s="25" t="str">
        <f>IF('1. Live'!AK359='check-Jul''26'!AG359,"",'1. Live'!AK359-'check-Jul''26'!AG359)</f>
        <v/>
      </c>
      <c r="AH341" s="25" t="str">
        <f>IF('1. Live'!AL359='check-Jul''26'!AH359,"",'1. Live'!AL359-'check-Jul''26'!AH359)</f>
        <v/>
      </c>
      <c r="AI341" s="25" t="str">
        <f>IF('1. Live'!AM359='check-Jul''26'!AI359,"",'1. Live'!AM359-'check-Jul''26'!AI359)</f>
        <v/>
      </c>
      <c r="AJ341" s="25" t="str">
        <f>IF('1. Live'!AN359='check-Jul''26'!AJ359,"",'1. Live'!AN359-'check-Jul''26'!AJ359)</f>
        <v/>
      </c>
      <c r="AK341" s="25" t="str">
        <f>IF('1. Live'!AO359='check-Jul''26'!AK359,"",'1. Live'!AO359-'check-Jul''26'!AK359)</f>
        <v/>
      </c>
      <c r="AL341" s="25" t="str">
        <f>IF('1. Live'!AP359='check-Jul''26'!AL359,"",'1. Live'!AP359-'check-Jul''26'!AL359)</f>
        <v/>
      </c>
      <c r="AM341" s="25" t="str">
        <f>IF('1. Live'!AQ359='check-Jul''26'!AM359,"",'1. Live'!AQ359-'check-Jul''26'!AM359)</f>
        <v/>
      </c>
      <c r="AN341" s="25" t="str">
        <f>IF('1. Live'!AR359='check-Jul''26'!AN359,"",'1. Live'!AR359-'check-Jul''26'!AN359)</f>
        <v/>
      </c>
      <c r="AO341" s="25" t="str">
        <f>IF('1. Live'!AS359='check-Jul''26'!AO359,"",'1. Live'!AS359-'check-Jul''26'!AO359)</f>
        <v/>
      </c>
      <c r="AP341" s="25" t="str">
        <f>IF('1. Live'!AT359='check-Jul''26'!AP359,"",'1. Live'!AT359-'check-Jul''26'!AP359)</f>
        <v/>
      </c>
      <c r="AQ341" s="25" t="str">
        <f>IF('1. Live'!AU359='check-Jul''26'!AQ359,"",'1. Live'!AU359-'check-Jul''26'!AQ359)</f>
        <v/>
      </c>
      <c r="AR341" s="25" t="str">
        <f>IF('1. Live'!AV359='check-Jul''26'!AR359,"",'1. Live'!AV359-'check-Jul''26'!AR359)</f>
        <v/>
      </c>
      <c r="AS341" s="25" t="str">
        <f>IF('1. Live'!AW359='check-Jul''26'!AS359,"",'1. Live'!AW359-'check-Jul''26'!AS359)</f>
        <v/>
      </c>
      <c r="AT341" s="25" t="str">
        <f>IF('1. Live'!AX359='check-Jul''26'!AT359,"",'1. Live'!AX359-'check-Jul''26'!AT359)</f>
        <v/>
      </c>
      <c r="AU341" s="25" t="str">
        <f>IF('1. Live'!AY359='check-Jul''26'!AU359,"",'1. Live'!AY359-'check-Jul''26'!AU359)</f>
        <v/>
      </c>
      <c r="AV341" s="25" t="str">
        <f>IF('1. Live'!AZ359='check-Jul''26'!AV359,"",'1. Live'!AZ359-'check-Jul''26'!AV359)</f>
        <v/>
      </c>
      <c r="AW341" s="25" t="str">
        <f>IF('1. Live'!BA359='check-Jul''26'!AW359,"",'1. Live'!BA359-'check-Jul''26'!AW359)</f>
        <v/>
      </c>
      <c r="AX341" s="25" t="str">
        <f>IF('1. Live'!BB359='check-Jul''26'!AX359,"",'1. Live'!BB359-'check-Jul''26'!AX359)</f>
        <v/>
      </c>
      <c r="AY341" s="25" t="str">
        <f>IF('1. Live'!BC359='check-Jul''26'!AY359,"",'1. Live'!BC359-'check-Jul''26'!AY359)</f>
        <v/>
      </c>
      <c r="AZ341" s="25" t="str">
        <f>IF('1. Live'!BD359='check-Jul''26'!AZ359,"",'1. Live'!BD359-'check-Jul''26'!AZ359)</f>
        <v/>
      </c>
      <c r="BA341" s="25" t="str">
        <f>IF('1. Live'!BE359='check-Jul''26'!BA359,"",'1. Live'!BE359-'check-Jul''26'!BA359)</f>
        <v/>
      </c>
      <c r="BB341" s="25" t="str">
        <f>IF('1. Live'!BF359='check-Jul''26'!BB359,"",'1. Live'!BF359-'check-Jul''26'!BB359)</f>
        <v/>
      </c>
      <c r="BC341" s="25" t="str">
        <f>IF('1. Live'!BG359='check-Jul''26'!BC359,"",'1. Live'!BG359-'check-Jul''26'!BC359)</f>
        <v/>
      </c>
      <c r="BD341" s="25" t="str">
        <f>IF('1. Live'!BH359='check-Jul''26'!BD359,"",'1. Live'!BH359-'check-Jul''26'!BD359)</f>
        <v/>
      </c>
      <c r="BE341" s="25" t="str">
        <f>IF('1. Live'!BI359='check-Jul''26'!BE359,"",'1. Live'!BI359-'check-Jul''26'!BE359)</f>
        <v/>
      </c>
      <c r="BF341" s="25" t="str">
        <f>IF('1. Live'!BJ359='check-Jul''26'!BF359,"",'1. Live'!BJ359-'check-Jul''26'!BF359)</f>
        <v/>
      </c>
      <c r="BG341" s="25" t="str">
        <f>IF('1. Live'!BK359='check-Jul''26'!BG359,"",'1. Live'!BK359-'check-Jul''26'!BG359)</f>
        <v/>
      </c>
      <c r="BH341" s="25" t="str">
        <f>IF('1. Live'!BL359='check-Jul''26'!BH359,"",'1. Live'!BL359-'check-Jul''26'!BH359)</f>
        <v/>
      </c>
      <c r="BI341" s="25" t="str">
        <f>IF('1. Live'!BM359='check-Jul''26'!BI359,"",'1. Live'!BM359-'check-Jul''26'!BI359)</f>
        <v/>
      </c>
      <c r="BJ341" s="25" t="str">
        <f>IF('1. Live'!BN359='check-Jul''26'!BJ359,"",'1. Live'!BN359-'check-Jul''26'!BJ359)</f>
        <v/>
      </c>
      <c r="BK341" s="25" t="str">
        <f>IF('1. Live'!BO359='check-Jul''26'!BK359,"",'1. Live'!BO359-'check-Jul''26'!BK359)</f>
        <v/>
      </c>
      <c r="BL341" s="25" t="str">
        <f>IF('1. Live'!BP359='check-Jul''26'!BL359,"",'1. Live'!BP359-'check-Jul''26'!BL359)</f>
        <v/>
      </c>
      <c r="BM341" s="25" t="str">
        <f>IF('1. Live'!BQ359='check-Jul''26'!BM359,"",'1. Live'!BQ359-'check-Jul''26'!BM359)</f>
        <v/>
      </c>
      <c r="BN341" s="25" t="str">
        <f>IF('1. Live'!BR359='check-Jul''26'!BN359,"",'1. Live'!BR359-'check-Jul''26'!BN359)</f>
        <v/>
      </c>
      <c r="BO341" s="25" t="str">
        <f>IF('1. Live'!BS359='check-Jul''26'!BO359,"",'1. Live'!BS359-'check-Jul''26'!BO359)</f>
        <v/>
      </c>
      <c r="BP341" s="25" t="str">
        <f>IF('1. Live'!BT359='check-Jul''26'!BP359,"",'1. Live'!BT359-'check-Jul''26'!BP359)</f>
        <v/>
      </c>
      <c r="BQ341" s="25" t="str">
        <f>IF('1. Live'!BU359='check-Jul''26'!BQ359,"",'1. Live'!BU359-'check-Jul''26'!BQ359)</f>
        <v/>
      </c>
      <c r="BR341" s="25" t="str">
        <f>IF('1. Live'!BV359='check-Jul''26'!BR359,"",'1. Live'!BV359-'check-Jul''26'!BR359)</f>
        <v/>
      </c>
      <c r="BS341" s="25" t="str">
        <f>IF('1. Live'!BW359='check-Jul''26'!BS359,"",'1. Live'!BW359-'check-Jul''26'!BS359)</f>
        <v/>
      </c>
      <c r="BT341" s="25" t="str">
        <f>IF('1. Live'!BX359='check-Jul''26'!BT359,"",'1. Live'!BX359-'check-Jul''26'!BT359)</f>
        <v/>
      </c>
      <c r="BU341" s="25" t="str">
        <f>IF('1. Live'!BY359='check-Jul''26'!BU359,"",'1. Live'!BY359-'check-Jul''26'!BU359)</f>
        <v/>
      </c>
      <c r="BV341" s="25" t="str">
        <f>IF('1. Live'!BZ359='check-Jul''26'!BV359,"",'1. Live'!BZ359-'check-Jul''26'!BV359)</f>
        <v/>
      </c>
      <c r="BW341" s="25" t="str">
        <f>IF('1. Live'!CA359='check-Jul''26'!BW359,"",'1. Live'!CA359-'check-Jul''26'!BW359)</f>
        <v/>
      </c>
      <c r="BX341" s="25" t="str">
        <f>IF('1. Live'!CB359='check-Jul''26'!BX359,"",'1. Live'!CB359-'check-Jul''26'!BX359)</f>
        <v/>
      </c>
      <c r="BY341" s="25" t="str">
        <f>IF('1. Live'!CC359='check-Jul''26'!BY359,"",'1. Live'!CC359-'check-Jul''26'!BY359)</f>
        <v/>
      </c>
      <c r="BZ341" s="25" t="str">
        <f>IF('1. Live'!CD359='check-Jul''26'!BZ359,"",'1. Live'!CD359-'check-Jul''26'!BZ359)</f>
        <v/>
      </c>
      <c r="CA341" s="25" t="str">
        <f>IF('1. Live'!CE359='check-Jul''26'!CA359,"",'1. Live'!CE359-'check-Jul''26'!CA359)</f>
        <v/>
      </c>
      <c r="CB341" s="25" t="str">
        <f>IF('1. Live'!CF359='check-Jul''26'!CB359,"",'1. Live'!CF359-'check-Jul''26'!CB359)</f>
        <v/>
      </c>
      <c r="CC341" s="25" t="str">
        <f>IF('1. Live'!CG359='check-Jul''26'!CC359,"",'1. Live'!CG359-'check-Jul''26'!CC359)</f>
        <v/>
      </c>
      <c r="CD341" s="25" t="str">
        <f>IF('1. Live'!CH359='check-Jul''26'!CD359,"",'1. Live'!CH359-'check-Jul''26'!CD359)</f>
        <v/>
      </c>
      <c r="CE341" s="25" t="str">
        <f>IF('1. Live'!CI359='check-Jul''26'!CE359,"",'1. Live'!CI359-'check-Jul''26'!CE359)</f>
        <v/>
      </c>
      <c r="CF341" s="25" t="str">
        <f>IF('1. Live'!CJ359='check-Jul''26'!CF359,"",'1. Live'!CJ359-'check-Jul''26'!CF359)</f>
        <v/>
      </c>
      <c r="CG341" s="25" t="str">
        <f>IF('1. Live'!CK359='check-Jul''26'!CG359,"",'1. Live'!CK359-'check-Jul''26'!CG359)</f>
        <v/>
      </c>
      <c r="CH341" s="25" t="str">
        <f>IF('1. Live'!CL359='check-Jul''26'!CH359,"",'1. Live'!CL359-'check-Jul''26'!CH359)</f>
        <v/>
      </c>
      <c r="CI341" s="25" t="str">
        <f>IF('1. Live'!CM359='check-Jul''26'!CI359,"",'1. Live'!CM359-'check-Jul''26'!CI359)</f>
        <v/>
      </c>
      <c r="CJ341" s="25" t="str">
        <f>IF('1. Live'!CN359='check-Jul''26'!CJ359,"",'1. Live'!CN359-'check-Jul''26'!CJ359)</f>
        <v/>
      </c>
      <c r="CK341" s="25" t="str">
        <f>IF('1. Live'!CO359='check-Jul''26'!CK359,"",'1. Live'!CO359-'check-Jul''26'!CK359)</f>
        <v/>
      </c>
      <c r="CL341" s="25" t="str">
        <f>IF('1. Live'!CP359='check-Jul''26'!CL359,"",'1. Live'!CP359-'check-Jul''26'!CL359)</f>
        <v/>
      </c>
      <c r="CM341" s="25" t="str">
        <f>IF('1. Live'!CQ359='check-Jul''26'!CM359,"",'1. Live'!CQ359-'check-Jul''26'!CM359)</f>
        <v/>
      </c>
      <c r="CN341" s="25" t="str">
        <f>IF('1. Live'!CR359='check-Jul''26'!CN359,"",'1. Live'!CR359-'check-Jul''26'!CN359)</f>
        <v/>
      </c>
      <c r="CO341" s="25" t="str">
        <f>IF('1. Live'!CS359='check-Jul''26'!CO359,"",'1. Live'!CS359-'check-Jul''26'!CO359)</f>
        <v/>
      </c>
      <c r="CP341" s="25" t="str">
        <f>IF('1. Live'!CT359='check-Jul''26'!CP359,"",'1. Live'!CT359-'check-Jul''26'!CP359)</f>
        <v/>
      </c>
      <c r="CQ341" s="25" t="str">
        <f>IF('1. Live'!CU359='check-Jul''26'!CQ359,"",'1. Live'!CU359-'check-Jul''26'!CQ359)</f>
        <v/>
      </c>
      <c r="CR341" s="25" t="str">
        <f>IF('1. Live'!CV359='check-Jul''26'!CR359,"",'1. Live'!CV359-'check-Jul''26'!CR359)</f>
        <v/>
      </c>
      <c r="CS341" s="25" t="str">
        <f>IF('1. Live'!CW359='check-Jul''26'!CS359,"",'1. Live'!CW359-'check-Jul''26'!CS359)</f>
        <v/>
      </c>
      <c r="CT341" s="25" t="str">
        <f>IF('1. Live'!CX359='check-Jul''26'!CT359,"",'1. Live'!CX359-'check-Jul''26'!CT359)</f>
        <v/>
      </c>
      <c r="CU341" s="25" t="str">
        <f>IF('1. Live'!CY359='check-Jul''26'!CU359,"",'1. Live'!CY359-'check-Jul''26'!CU359)</f>
        <v/>
      </c>
      <c r="CV341" s="25" t="str">
        <f>IF('1. Live'!CZ359='check-Jul''26'!CV359,"",'1. Live'!CZ359-'check-Jul''26'!CV359)</f>
        <v/>
      </c>
    </row>
    <row r="342" spans="17:100" x14ac:dyDescent="0.25">
      <c r="Q342" s="26" t="str">
        <f>IF('1. Live'!N360='check-Jul''26'!I360,"",'1. Live'!N360-'check-Jul''26'!I360)</f>
        <v/>
      </c>
      <c r="R342" s="26" t="str">
        <f>IF('1. Live'!O360='check-Jul''26'!J360,"",'1. Live'!O360-'check-Jul''26'!J360)</f>
        <v/>
      </c>
      <c r="S342" s="26" t="str">
        <f>IF('1. Live'!P360='check-Jul''26'!K360,"",'1. Live'!P360-'check-Jul''26'!K360)</f>
        <v/>
      </c>
      <c r="T342" s="26" t="str">
        <f>IF('1. Live'!Q360='check-Jul''26'!L360,"",'1. Live'!Q360-'check-Jul''26'!L360)</f>
        <v/>
      </c>
      <c r="U342" s="80" t="str">
        <f>IF('1. Live'!R360='check-Jul''26'!M360,"",'1. Live'!R360-'check-Jul''26'!M360)</f>
        <v/>
      </c>
      <c r="V342" s="26" t="str">
        <f>IF('1. Live'!S360='check-Jul''26'!N360,"",'1. Live'!S360-'check-Jul''26'!N360)</f>
        <v/>
      </c>
      <c r="W342" s="25" t="str">
        <f>IF('1. Live'!T360='check-Jul''26'!O360,"",'1. Live'!T360-'check-Jul''26'!O360)</f>
        <v/>
      </c>
      <c r="X342" s="25" t="str">
        <f>IF('1. Live'!U360='check-Jul''26'!Q360,"",'1. Live'!U360-'check-Jul''26'!Q360)</f>
        <v/>
      </c>
      <c r="Y342" s="25" t="str">
        <f>IF('1. Live'!V360='check-Jul''26'!R360,"",'1. Live'!V360-'check-Jul''26'!R360)</f>
        <v/>
      </c>
      <c r="Z342" s="25" t="str">
        <f>IF('1. Live'!W360='check-Jul''26'!S360,"",'1. Live'!W360-'check-Jul''26'!S360)</f>
        <v/>
      </c>
      <c r="AA342" s="25" t="str">
        <f>IF('1. Live'!X360='check-Jul''26'!T360,"",'1. Live'!X360-'check-Jul''26'!T360)</f>
        <v/>
      </c>
      <c r="AB342" s="25" t="str">
        <f>IF('1. Live'!AF360='check-Jul''26'!AB360,"",'1. Live'!AF360-'check-Jul''26'!AB360)</f>
        <v/>
      </c>
      <c r="AC342" s="25" t="str">
        <f>IF('1. Live'!AG360='check-Jul''26'!AC360,"",'1. Live'!AG360-'check-Jul''26'!AC360)</f>
        <v/>
      </c>
      <c r="AD342" s="25" t="str">
        <f>IF('1. Live'!AH360='check-Jul''26'!AD360,"",'1. Live'!AH360-'check-Jul''26'!AD360)</f>
        <v/>
      </c>
      <c r="AE342" s="25" t="str">
        <f>IF('1. Live'!AI360='check-Jul''26'!AE360,"",'1. Live'!AI360-'check-Jul''26'!AE360)</f>
        <v/>
      </c>
      <c r="AF342" s="25" t="str">
        <f>IF('1. Live'!AJ360='check-Jul''26'!AF360,"",'1. Live'!AJ360-'check-Jul''26'!AF360)</f>
        <v/>
      </c>
      <c r="AG342" s="25" t="str">
        <f>IF('1. Live'!AK360='check-Jul''26'!AG360,"",'1. Live'!AK360-'check-Jul''26'!AG360)</f>
        <v/>
      </c>
      <c r="AH342" s="25" t="str">
        <f>IF('1. Live'!AL360='check-Jul''26'!AH360,"",'1. Live'!AL360-'check-Jul''26'!AH360)</f>
        <v/>
      </c>
      <c r="AI342" s="25" t="str">
        <f>IF('1. Live'!AM360='check-Jul''26'!AI360,"",'1. Live'!AM360-'check-Jul''26'!AI360)</f>
        <v/>
      </c>
      <c r="AJ342" s="25" t="str">
        <f>IF('1. Live'!AN360='check-Jul''26'!AJ360,"",'1. Live'!AN360-'check-Jul''26'!AJ360)</f>
        <v/>
      </c>
      <c r="AK342" s="25" t="str">
        <f>IF('1. Live'!AO360='check-Jul''26'!AK360,"",'1. Live'!AO360-'check-Jul''26'!AK360)</f>
        <v/>
      </c>
      <c r="AL342" s="25" t="str">
        <f>IF('1. Live'!AP360='check-Jul''26'!AL360,"",'1. Live'!AP360-'check-Jul''26'!AL360)</f>
        <v/>
      </c>
      <c r="AM342" s="25" t="str">
        <f>IF('1. Live'!AQ360='check-Jul''26'!AM360,"",'1. Live'!AQ360-'check-Jul''26'!AM360)</f>
        <v/>
      </c>
      <c r="AN342" s="25" t="str">
        <f>IF('1. Live'!AR360='check-Jul''26'!AN360,"",'1. Live'!AR360-'check-Jul''26'!AN360)</f>
        <v/>
      </c>
      <c r="AO342" s="25" t="str">
        <f>IF('1. Live'!AS360='check-Jul''26'!AO360,"",'1. Live'!AS360-'check-Jul''26'!AO360)</f>
        <v/>
      </c>
      <c r="AP342" s="25" t="str">
        <f>IF('1. Live'!AT360='check-Jul''26'!AP360,"",'1. Live'!AT360-'check-Jul''26'!AP360)</f>
        <v/>
      </c>
      <c r="AQ342" s="25" t="str">
        <f>IF('1. Live'!AU360='check-Jul''26'!AQ360,"",'1. Live'!AU360-'check-Jul''26'!AQ360)</f>
        <v/>
      </c>
      <c r="AR342" s="25" t="str">
        <f>IF('1. Live'!AV360='check-Jul''26'!AR360,"",'1. Live'!AV360-'check-Jul''26'!AR360)</f>
        <v/>
      </c>
      <c r="AS342" s="25" t="str">
        <f>IF('1. Live'!AW360='check-Jul''26'!AS360,"",'1. Live'!AW360-'check-Jul''26'!AS360)</f>
        <v/>
      </c>
      <c r="AT342" s="25" t="str">
        <f>IF('1. Live'!AX360='check-Jul''26'!AT360,"",'1. Live'!AX360-'check-Jul''26'!AT360)</f>
        <v/>
      </c>
      <c r="AU342" s="25" t="str">
        <f>IF('1. Live'!AY360='check-Jul''26'!AU360,"",'1. Live'!AY360-'check-Jul''26'!AU360)</f>
        <v/>
      </c>
      <c r="AV342" s="25" t="str">
        <f>IF('1. Live'!AZ360='check-Jul''26'!AV360,"",'1. Live'!AZ360-'check-Jul''26'!AV360)</f>
        <v/>
      </c>
      <c r="AW342" s="25" t="str">
        <f>IF('1. Live'!BA360='check-Jul''26'!AW360,"",'1. Live'!BA360-'check-Jul''26'!AW360)</f>
        <v/>
      </c>
      <c r="AX342" s="25" t="str">
        <f>IF('1. Live'!BB360='check-Jul''26'!AX360,"",'1. Live'!BB360-'check-Jul''26'!AX360)</f>
        <v/>
      </c>
      <c r="AY342" s="25" t="str">
        <f>IF('1. Live'!BC360='check-Jul''26'!AY360,"",'1. Live'!BC360-'check-Jul''26'!AY360)</f>
        <v/>
      </c>
      <c r="AZ342" s="25" t="str">
        <f>IF('1. Live'!BD360='check-Jul''26'!AZ360,"",'1. Live'!BD360-'check-Jul''26'!AZ360)</f>
        <v/>
      </c>
      <c r="BA342" s="25" t="str">
        <f>IF('1. Live'!BE360='check-Jul''26'!BA360,"",'1. Live'!BE360-'check-Jul''26'!BA360)</f>
        <v/>
      </c>
      <c r="BB342" s="25" t="str">
        <f>IF('1. Live'!BF360='check-Jul''26'!BB360,"",'1. Live'!BF360-'check-Jul''26'!BB360)</f>
        <v/>
      </c>
      <c r="BC342" s="25" t="str">
        <f>IF('1. Live'!BG360='check-Jul''26'!BC360,"",'1. Live'!BG360-'check-Jul''26'!BC360)</f>
        <v/>
      </c>
      <c r="BD342" s="25" t="str">
        <f>IF('1. Live'!BH360='check-Jul''26'!BD360,"",'1. Live'!BH360-'check-Jul''26'!BD360)</f>
        <v/>
      </c>
      <c r="BE342" s="25" t="str">
        <f>IF('1. Live'!BI360='check-Jul''26'!BE360,"",'1. Live'!BI360-'check-Jul''26'!BE360)</f>
        <v/>
      </c>
      <c r="BF342" s="25" t="str">
        <f>IF('1. Live'!BJ360='check-Jul''26'!BF360,"",'1. Live'!BJ360-'check-Jul''26'!BF360)</f>
        <v/>
      </c>
      <c r="BG342" s="25" t="str">
        <f>IF('1. Live'!BK360='check-Jul''26'!BG360,"",'1. Live'!BK360-'check-Jul''26'!BG360)</f>
        <v/>
      </c>
      <c r="BH342" s="25" t="str">
        <f>IF('1. Live'!BL360='check-Jul''26'!BH360,"",'1. Live'!BL360-'check-Jul''26'!BH360)</f>
        <v/>
      </c>
      <c r="BI342" s="25" t="str">
        <f>IF('1. Live'!BM360='check-Jul''26'!BI360,"",'1. Live'!BM360-'check-Jul''26'!BI360)</f>
        <v/>
      </c>
      <c r="BJ342" s="25" t="str">
        <f>IF('1. Live'!BN360='check-Jul''26'!BJ360,"",'1. Live'!BN360-'check-Jul''26'!BJ360)</f>
        <v/>
      </c>
      <c r="BK342" s="25" t="str">
        <f>IF('1. Live'!BO360='check-Jul''26'!BK360,"",'1. Live'!BO360-'check-Jul''26'!BK360)</f>
        <v/>
      </c>
      <c r="BL342" s="25" t="str">
        <f>IF('1. Live'!BP360='check-Jul''26'!BL360,"",'1. Live'!BP360-'check-Jul''26'!BL360)</f>
        <v/>
      </c>
      <c r="BM342" s="25" t="str">
        <f>IF('1. Live'!BQ360='check-Jul''26'!BM360,"",'1. Live'!BQ360-'check-Jul''26'!BM360)</f>
        <v/>
      </c>
      <c r="BN342" s="25" t="str">
        <f>IF('1. Live'!BR360='check-Jul''26'!BN360,"",'1. Live'!BR360-'check-Jul''26'!BN360)</f>
        <v/>
      </c>
      <c r="BO342" s="25" t="str">
        <f>IF('1. Live'!BS360='check-Jul''26'!BO360,"",'1. Live'!BS360-'check-Jul''26'!BO360)</f>
        <v/>
      </c>
      <c r="BP342" s="25" t="str">
        <f>IF('1. Live'!BT360='check-Jul''26'!BP360,"",'1. Live'!BT360-'check-Jul''26'!BP360)</f>
        <v/>
      </c>
      <c r="BQ342" s="25" t="str">
        <f>IF('1. Live'!BU360='check-Jul''26'!BQ360,"",'1. Live'!BU360-'check-Jul''26'!BQ360)</f>
        <v/>
      </c>
      <c r="BR342" s="25" t="str">
        <f>IF('1. Live'!BV360='check-Jul''26'!BR360,"",'1. Live'!BV360-'check-Jul''26'!BR360)</f>
        <v/>
      </c>
      <c r="BS342" s="25" t="str">
        <f>IF('1. Live'!BW360='check-Jul''26'!BS360,"",'1. Live'!BW360-'check-Jul''26'!BS360)</f>
        <v/>
      </c>
      <c r="BT342" s="25" t="str">
        <f>IF('1. Live'!BX360='check-Jul''26'!BT360,"",'1. Live'!BX360-'check-Jul''26'!BT360)</f>
        <v/>
      </c>
      <c r="BU342" s="25" t="str">
        <f>IF('1. Live'!BY360='check-Jul''26'!BU360,"",'1. Live'!BY360-'check-Jul''26'!BU360)</f>
        <v/>
      </c>
      <c r="BV342" s="25" t="str">
        <f>IF('1. Live'!BZ360='check-Jul''26'!BV360,"",'1. Live'!BZ360-'check-Jul''26'!BV360)</f>
        <v/>
      </c>
      <c r="BW342" s="25" t="str">
        <f>IF('1. Live'!CA360='check-Jul''26'!BW360,"",'1. Live'!CA360-'check-Jul''26'!BW360)</f>
        <v/>
      </c>
      <c r="BX342" s="25" t="str">
        <f>IF('1. Live'!CB360='check-Jul''26'!BX360,"",'1. Live'!CB360-'check-Jul''26'!BX360)</f>
        <v/>
      </c>
      <c r="BY342" s="25" t="str">
        <f>IF('1. Live'!CC360='check-Jul''26'!BY360,"",'1. Live'!CC360-'check-Jul''26'!BY360)</f>
        <v/>
      </c>
      <c r="BZ342" s="25" t="str">
        <f>IF('1. Live'!CD360='check-Jul''26'!BZ360,"",'1. Live'!CD360-'check-Jul''26'!BZ360)</f>
        <v/>
      </c>
      <c r="CA342" s="25" t="str">
        <f>IF('1. Live'!CE360='check-Jul''26'!CA360,"",'1. Live'!CE360-'check-Jul''26'!CA360)</f>
        <v/>
      </c>
      <c r="CB342" s="25" t="str">
        <f>IF('1. Live'!CF360='check-Jul''26'!CB360,"",'1. Live'!CF360-'check-Jul''26'!CB360)</f>
        <v/>
      </c>
      <c r="CC342" s="25" t="str">
        <f>IF('1. Live'!CG360='check-Jul''26'!CC360,"",'1. Live'!CG360-'check-Jul''26'!CC360)</f>
        <v/>
      </c>
      <c r="CD342" s="25" t="str">
        <f>IF('1. Live'!CH360='check-Jul''26'!CD360,"",'1. Live'!CH360-'check-Jul''26'!CD360)</f>
        <v/>
      </c>
      <c r="CE342" s="25" t="str">
        <f>IF('1. Live'!CI360='check-Jul''26'!CE360,"",'1. Live'!CI360-'check-Jul''26'!CE360)</f>
        <v/>
      </c>
      <c r="CF342" s="25" t="str">
        <f>IF('1. Live'!CJ360='check-Jul''26'!CF360,"",'1. Live'!CJ360-'check-Jul''26'!CF360)</f>
        <v/>
      </c>
      <c r="CG342" s="25" t="str">
        <f>IF('1. Live'!CK360='check-Jul''26'!CG360,"",'1. Live'!CK360-'check-Jul''26'!CG360)</f>
        <v/>
      </c>
      <c r="CH342" s="25" t="str">
        <f>IF('1. Live'!CL360='check-Jul''26'!CH360,"",'1. Live'!CL360-'check-Jul''26'!CH360)</f>
        <v/>
      </c>
      <c r="CI342" s="25" t="str">
        <f>IF('1. Live'!CM360='check-Jul''26'!CI360,"",'1. Live'!CM360-'check-Jul''26'!CI360)</f>
        <v/>
      </c>
      <c r="CJ342" s="25" t="str">
        <f>IF('1. Live'!CN360='check-Jul''26'!CJ360,"",'1. Live'!CN360-'check-Jul''26'!CJ360)</f>
        <v/>
      </c>
      <c r="CK342" s="25" t="str">
        <f>IF('1. Live'!CO360='check-Jul''26'!CK360,"",'1. Live'!CO360-'check-Jul''26'!CK360)</f>
        <v/>
      </c>
      <c r="CL342" s="25" t="str">
        <f>IF('1. Live'!CP360='check-Jul''26'!CL360,"",'1. Live'!CP360-'check-Jul''26'!CL360)</f>
        <v/>
      </c>
      <c r="CM342" s="25" t="str">
        <f>IF('1. Live'!CQ360='check-Jul''26'!CM360,"",'1. Live'!CQ360-'check-Jul''26'!CM360)</f>
        <v/>
      </c>
      <c r="CN342" s="25" t="str">
        <f>IF('1. Live'!CR360='check-Jul''26'!CN360,"",'1. Live'!CR360-'check-Jul''26'!CN360)</f>
        <v/>
      </c>
      <c r="CO342" s="25" t="str">
        <f>IF('1. Live'!CS360='check-Jul''26'!CO360,"",'1. Live'!CS360-'check-Jul''26'!CO360)</f>
        <v/>
      </c>
      <c r="CP342" s="25" t="str">
        <f>IF('1. Live'!CT360='check-Jul''26'!CP360,"",'1. Live'!CT360-'check-Jul''26'!CP360)</f>
        <v/>
      </c>
      <c r="CQ342" s="25" t="str">
        <f>IF('1. Live'!CU360='check-Jul''26'!CQ360,"",'1. Live'!CU360-'check-Jul''26'!CQ360)</f>
        <v/>
      </c>
      <c r="CR342" s="25" t="str">
        <f>IF('1. Live'!CV360='check-Jul''26'!CR360,"",'1. Live'!CV360-'check-Jul''26'!CR360)</f>
        <v/>
      </c>
      <c r="CS342" s="25" t="str">
        <f>IF('1. Live'!CW360='check-Jul''26'!CS360,"",'1. Live'!CW360-'check-Jul''26'!CS360)</f>
        <v/>
      </c>
      <c r="CT342" s="25" t="str">
        <f>IF('1. Live'!CX360='check-Jul''26'!CT360,"",'1. Live'!CX360-'check-Jul''26'!CT360)</f>
        <v/>
      </c>
      <c r="CU342" s="25" t="str">
        <f>IF('1. Live'!CY360='check-Jul''26'!CU360,"",'1. Live'!CY360-'check-Jul''26'!CU360)</f>
        <v/>
      </c>
      <c r="CV342" s="25" t="str">
        <f>IF('1. Live'!CZ360='check-Jul''26'!CV360,"",'1. Live'!CZ360-'check-Jul''26'!CV360)</f>
        <v/>
      </c>
    </row>
    <row r="343" spans="17:100" x14ac:dyDescent="0.25">
      <c r="Q343" s="26" t="str">
        <f>IF('1. Live'!N361='check-Jul''26'!I361,"",'1. Live'!N361-'check-Jul''26'!I361)</f>
        <v/>
      </c>
      <c r="R343" s="26" t="str">
        <f>IF('1. Live'!O361='check-Jul''26'!J361,"",'1. Live'!O361-'check-Jul''26'!J361)</f>
        <v/>
      </c>
      <c r="S343" s="26" t="str">
        <f>IF('1. Live'!P361='check-Jul''26'!K361,"",'1. Live'!P361-'check-Jul''26'!K361)</f>
        <v/>
      </c>
      <c r="T343" s="26" t="str">
        <f>IF('1. Live'!Q361='check-Jul''26'!L361,"",'1. Live'!Q361-'check-Jul''26'!L361)</f>
        <v/>
      </c>
      <c r="U343" s="80" t="str">
        <f>IF('1. Live'!R361='check-Jul''26'!M361,"",'1. Live'!R361-'check-Jul''26'!M361)</f>
        <v/>
      </c>
      <c r="V343" s="26" t="str">
        <f>IF('1. Live'!S361='check-Jul''26'!N361,"",'1. Live'!S361-'check-Jul''26'!N361)</f>
        <v/>
      </c>
      <c r="W343" s="25" t="str">
        <f>IF('1. Live'!T361='check-Jul''26'!O361,"",'1. Live'!T361-'check-Jul''26'!O361)</f>
        <v/>
      </c>
      <c r="X343" s="25" t="str">
        <f>IF('1. Live'!U361='check-Jul''26'!Q361,"",'1. Live'!U361-'check-Jul''26'!Q361)</f>
        <v/>
      </c>
      <c r="Y343" s="25" t="str">
        <f>IF('1. Live'!V361='check-Jul''26'!R361,"",'1. Live'!V361-'check-Jul''26'!R361)</f>
        <v/>
      </c>
      <c r="Z343" s="25" t="str">
        <f>IF('1. Live'!W361='check-Jul''26'!S361,"",'1. Live'!W361-'check-Jul''26'!S361)</f>
        <v/>
      </c>
      <c r="AA343" s="25" t="str">
        <f>IF('1. Live'!X361='check-Jul''26'!T361,"",'1. Live'!X361-'check-Jul''26'!T361)</f>
        <v/>
      </c>
      <c r="AB343" s="25" t="str">
        <f>IF('1. Live'!AF361='check-Jul''26'!AB361,"",'1. Live'!AF361-'check-Jul''26'!AB361)</f>
        <v/>
      </c>
      <c r="AC343" s="25" t="str">
        <f>IF('1. Live'!AG361='check-Jul''26'!AC361,"",'1. Live'!AG361-'check-Jul''26'!AC361)</f>
        <v/>
      </c>
      <c r="AD343" s="25" t="str">
        <f>IF('1. Live'!AH361='check-Jul''26'!AD361,"",'1. Live'!AH361-'check-Jul''26'!AD361)</f>
        <v/>
      </c>
      <c r="AE343" s="25" t="str">
        <f>IF('1. Live'!AI361='check-Jul''26'!AE361,"",'1. Live'!AI361-'check-Jul''26'!AE361)</f>
        <v/>
      </c>
      <c r="AF343" s="25" t="str">
        <f>IF('1. Live'!AJ361='check-Jul''26'!AF361,"",'1. Live'!AJ361-'check-Jul''26'!AF361)</f>
        <v/>
      </c>
      <c r="AG343" s="25" t="str">
        <f>IF('1. Live'!AK361='check-Jul''26'!AG361,"",'1. Live'!AK361-'check-Jul''26'!AG361)</f>
        <v/>
      </c>
      <c r="AH343" s="25" t="str">
        <f>IF('1. Live'!AL361='check-Jul''26'!AH361,"",'1. Live'!AL361-'check-Jul''26'!AH361)</f>
        <v/>
      </c>
      <c r="AI343" s="25" t="str">
        <f>IF('1. Live'!AM361='check-Jul''26'!AI361,"",'1. Live'!AM361-'check-Jul''26'!AI361)</f>
        <v/>
      </c>
      <c r="AJ343" s="25" t="str">
        <f>IF('1. Live'!AN361='check-Jul''26'!AJ361,"",'1. Live'!AN361-'check-Jul''26'!AJ361)</f>
        <v/>
      </c>
      <c r="AK343" s="25" t="str">
        <f>IF('1. Live'!AO361='check-Jul''26'!AK361,"",'1. Live'!AO361-'check-Jul''26'!AK361)</f>
        <v/>
      </c>
      <c r="AL343" s="25" t="str">
        <f>IF('1. Live'!AP361='check-Jul''26'!AL361,"",'1. Live'!AP361-'check-Jul''26'!AL361)</f>
        <v/>
      </c>
      <c r="AM343" s="25" t="str">
        <f>IF('1. Live'!AQ361='check-Jul''26'!AM361,"",'1. Live'!AQ361-'check-Jul''26'!AM361)</f>
        <v/>
      </c>
      <c r="AN343" s="25" t="str">
        <f>IF('1. Live'!AR361='check-Jul''26'!AN361,"",'1. Live'!AR361-'check-Jul''26'!AN361)</f>
        <v/>
      </c>
      <c r="AO343" s="25" t="str">
        <f>IF('1. Live'!AS361='check-Jul''26'!AO361,"",'1. Live'!AS361-'check-Jul''26'!AO361)</f>
        <v/>
      </c>
      <c r="AP343" s="25" t="str">
        <f>IF('1. Live'!AT361='check-Jul''26'!AP361,"",'1. Live'!AT361-'check-Jul''26'!AP361)</f>
        <v/>
      </c>
      <c r="AQ343" s="25" t="str">
        <f>IF('1. Live'!AU361='check-Jul''26'!AQ361,"",'1. Live'!AU361-'check-Jul''26'!AQ361)</f>
        <v/>
      </c>
      <c r="AR343" s="25" t="str">
        <f>IF('1. Live'!AV361='check-Jul''26'!AR361,"",'1. Live'!AV361-'check-Jul''26'!AR361)</f>
        <v/>
      </c>
      <c r="AS343" s="25" t="str">
        <f>IF('1. Live'!AW361='check-Jul''26'!AS361,"",'1. Live'!AW361-'check-Jul''26'!AS361)</f>
        <v/>
      </c>
      <c r="AT343" s="25" t="str">
        <f>IF('1. Live'!AX361='check-Jul''26'!AT361,"",'1. Live'!AX361-'check-Jul''26'!AT361)</f>
        <v/>
      </c>
      <c r="AU343" s="25" t="str">
        <f>IF('1. Live'!AY361='check-Jul''26'!AU361,"",'1. Live'!AY361-'check-Jul''26'!AU361)</f>
        <v/>
      </c>
      <c r="AV343" s="25" t="str">
        <f>IF('1. Live'!AZ361='check-Jul''26'!AV361,"",'1. Live'!AZ361-'check-Jul''26'!AV361)</f>
        <v/>
      </c>
      <c r="AW343" s="25" t="str">
        <f>IF('1. Live'!BA361='check-Jul''26'!AW361,"",'1. Live'!BA361-'check-Jul''26'!AW361)</f>
        <v/>
      </c>
      <c r="AX343" s="25" t="str">
        <f>IF('1. Live'!BB361='check-Jul''26'!AX361,"",'1. Live'!BB361-'check-Jul''26'!AX361)</f>
        <v/>
      </c>
      <c r="AY343" s="25" t="str">
        <f>IF('1. Live'!BC361='check-Jul''26'!AY361,"",'1. Live'!BC361-'check-Jul''26'!AY361)</f>
        <v/>
      </c>
      <c r="AZ343" s="25" t="str">
        <f>IF('1. Live'!BD361='check-Jul''26'!AZ361,"",'1. Live'!BD361-'check-Jul''26'!AZ361)</f>
        <v/>
      </c>
      <c r="BA343" s="25" t="str">
        <f>IF('1. Live'!BE361='check-Jul''26'!BA361,"",'1. Live'!BE361-'check-Jul''26'!BA361)</f>
        <v/>
      </c>
      <c r="BB343" s="25" t="str">
        <f>IF('1. Live'!BF361='check-Jul''26'!BB361,"",'1. Live'!BF361-'check-Jul''26'!BB361)</f>
        <v/>
      </c>
      <c r="BC343" s="25" t="str">
        <f>IF('1. Live'!BG361='check-Jul''26'!BC361,"",'1. Live'!BG361-'check-Jul''26'!BC361)</f>
        <v/>
      </c>
      <c r="BD343" s="25" t="str">
        <f>IF('1. Live'!BH361='check-Jul''26'!BD361,"",'1. Live'!BH361-'check-Jul''26'!BD361)</f>
        <v/>
      </c>
      <c r="BE343" s="25" t="str">
        <f>IF('1. Live'!BI361='check-Jul''26'!BE361,"",'1. Live'!BI361-'check-Jul''26'!BE361)</f>
        <v/>
      </c>
      <c r="BF343" s="25" t="str">
        <f>IF('1. Live'!BJ361='check-Jul''26'!BF361,"",'1. Live'!BJ361-'check-Jul''26'!BF361)</f>
        <v/>
      </c>
      <c r="BG343" s="25" t="str">
        <f>IF('1. Live'!BK361='check-Jul''26'!BG361,"",'1. Live'!BK361-'check-Jul''26'!BG361)</f>
        <v/>
      </c>
      <c r="BH343" s="25" t="str">
        <f>IF('1. Live'!BL361='check-Jul''26'!BH361,"",'1. Live'!BL361-'check-Jul''26'!BH361)</f>
        <v/>
      </c>
      <c r="BI343" s="25" t="str">
        <f>IF('1. Live'!BM361='check-Jul''26'!BI361,"",'1. Live'!BM361-'check-Jul''26'!BI361)</f>
        <v/>
      </c>
      <c r="BJ343" s="25" t="str">
        <f>IF('1. Live'!BN361='check-Jul''26'!BJ361,"",'1. Live'!BN361-'check-Jul''26'!BJ361)</f>
        <v/>
      </c>
      <c r="BK343" s="25" t="str">
        <f>IF('1. Live'!BO361='check-Jul''26'!BK361,"",'1. Live'!BO361-'check-Jul''26'!BK361)</f>
        <v/>
      </c>
      <c r="BL343" s="25" t="str">
        <f>IF('1. Live'!BP361='check-Jul''26'!BL361,"",'1. Live'!BP361-'check-Jul''26'!BL361)</f>
        <v/>
      </c>
      <c r="BM343" s="25" t="str">
        <f>IF('1. Live'!BQ361='check-Jul''26'!BM361,"",'1. Live'!BQ361-'check-Jul''26'!BM361)</f>
        <v/>
      </c>
      <c r="BN343" s="25" t="str">
        <f>IF('1. Live'!BR361='check-Jul''26'!BN361,"",'1. Live'!BR361-'check-Jul''26'!BN361)</f>
        <v/>
      </c>
      <c r="BO343" s="25" t="str">
        <f>IF('1. Live'!BS361='check-Jul''26'!BO361,"",'1. Live'!BS361-'check-Jul''26'!BO361)</f>
        <v/>
      </c>
      <c r="BP343" s="25" t="str">
        <f>IF('1. Live'!BT361='check-Jul''26'!BP361,"",'1. Live'!BT361-'check-Jul''26'!BP361)</f>
        <v/>
      </c>
      <c r="BQ343" s="25" t="str">
        <f>IF('1. Live'!BU361='check-Jul''26'!BQ361,"",'1. Live'!BU361-'check-Jul''26'!BQ361)</f>
        <v/>
      </c>
      <c r="BR343" s="25" t="str">
        <f>IF('1. Live'!BV361='check-Jul''26'!BR361,"",'1. Live'!BV361-'check-Jul''26'!BR361)</f>
        <v/>
      </c>
      <c r="BS343" s="25" t="str">
        <f>IF('1. Live'!BW361='check-Jul''26'!BS361,"",'1. Live'!BW361-'check-Jul''26'!BS361)</f>
        <v/>
      </c>
      <c r="BT343" s="25" t="str">
        <f>IF('1. Live'!BX361='check-Jul''26'!BT361,"",'1. Live'!BX361-'check-Jul''26'!BT361)</f>
        <v/>
      </c>
      <c r="BU343" s="25" t="str">
        <f>IF('1. Live'!BY361='check-Jul''26'!BU361,"",'1. Live'!BY361-'check-Jul''26'!BU361)</f>
        <v/>
      </c>
      <c r="BV343" s="25" t="str">
        <f>IF('1. Live'!BZ361='check-Jul''26'!BV361,"",'1. Live'!BZ361-'check-Jul''26'!BV361)</f>
        <v/>
      </c>
      <c r="BW343" s="25" t="str">
        <f>IF('1. Live'!CA361='check-Jul''26'!BW361,"",'1. Live'!CA361-'check-Jul''26'!BW361)</f>
        <v/>
      </c>
      <c r="BX343" s="25" t="str">
        <f>IF('1. Live'!CB361='check-Jul''26'!BX361,"",'1. Live'!CB361-'check-Jul''26'!BX361)</f>
        <v/>
      </c>
      <c r="BY343" s="25" t="str">
        <f>IF('1. Live'!CC361='check-Jul''26'!BY361,"",'1. Live'!CC361-'check-Jul''26'!BY361)</f>
        <v/>
      </c>
      <c r="BZ343" s="25" t="str">
        <f>IF('1. Live'!CD361='check-Jul''26'!BZ361,"",'1. Live'!CD361-'check-Jul''26'!BZ361)</f>
        <v/>
      </c>
      <c r="CA343" s="25" t="str">
        <f>IF('1. Live'!CE361='check-Jul''26'!CA361,"",'1. Live'!CE361-'check-Jul''26'!CA361)</f>
        <v/>
      </c>
      <c r="CB343" s="25" t="str">
        <f>IF('1. Live'!CF361='check-Jul''26'!CB361,"",'1. Live'!CF361-'check-Jul''26'!CB361)</f>
        <v/>
      </c>
      <c r="CC343" s="25" t="str">
        <f>IF('1. Live'!CG361='check-Jul''26'!CC361,"",'1. Live'!CG361-'check-Jul''26'!CC361)</f>
        <v/>
      </c>
      <c r="CD343" s="25" t="str">
        <f>IF('1. Live'!CH361='check-Jul''26'!CD361,"",'1. Live'!CH361-'check-Jul''26'!CD361)</f>
        <v/>
      </c>
      <c r="CE343" s="25" t="str">
        <f>IF('1. Live'!CI361='check-Jul''26'!CE361,"",'1. Live'!CI361-'check-Jul''26'!CE361)</f>
        <v/>
      </c>
      <c r="CF343" s="25" t="str">
        <f>IF('1. Live'!CJ361='check-Jul''26'!CF361,"",'1. Live'!CJ361-'check-Jul''26'!CF361)</f>
        <v/>
      </c>
      <c r="CG343" s="25" t="str">
        <f>IF('1. Live'!CK361='check-Jul''26'!CG361,"",'1. Live'!CK361-'check-Jul''26'!CG361)</f>
        <v/>
      </c>
      <c r="CH343" s="25" t="str">
        <f>IF('1. Live'!CL361='check-Jul''26'!CH361,"",'1. Live'!CL361-'check-Jul''26'!CH361)</f>
        <v/>
      </c>
      <c r="CI343" s="25" t="str">
        <f>IF('1. Live'!CM361='check-Jul''26'!CI361,"",'1. Live'!CM361-'check-Jul''26'!CI361)</f>
        <v/>
      </c>
      <c r="CJ343" s="25" t="str">
        <f>IF('1. Live'!CN361='check-Jul''26'!CJ361,"",'1. Live'!CN361-'check-Jul''26'!CJ361)</f>
        <v/>
      </c>
      <c r="CK343" s="25" t="str">
        <f>IF('1. Live'!CO361='check-Jul''26'!CK361,"",'1. Live'!CO361-'check-Jul''26'!CK361)</f>
        <v/>
      </c>
      <c r="CL343" s="25" t="str">
        <f>IF('1. Live'!CP361='check-Jul''26'!CL361,"",'1. Live'!CP361-'check-Jul''26'!CL361)</f>
        <v/>
      </c>
      <c r="CM343" s="25" t="str">
        <f>IF('1. Live'!CQ361='check-Jul''26'!CM361,"",'1. Live'!CQ361-'check-Jul''26'!CM361)</f>
        <v/>
      </c>
      <c r="CN343" s="25" t="str">
        <f>IF('1. Live'!CR361='check-Jul''26'!CN361,"",'1. Live'!CR361-'check-Jul''26'!CN361)</f>
        <v/>
      </c>
      <c r="CO343" s="25" t="str">
        <f>IF('1. Live'!CS361='check-Jul''26'!CO361,"",'1. Live'!CS361-'check-Jul''26'!CO361)</f>
        <v/>
      </c>
      <c r="CP343" s="25" t="str">
        <f>IF('1. Live'!CT361='check-Jul''26'!CP361,"",'1. Live'!CT361-'check-Jul''26'!CP361)</f>
        <v/>
      </c>
      <c r="CQ343" s="25" t="str">
        <f>IF('1. Live'!CU361='check-Jul''26'!CQ361,"",'1. Live'!CU361-'check-Jul''26'!CQ361)</f>
        <v/>
      </c>
      <c r="CR343" s="25" t="str">
        <f>IF('1. Live'!CV361='check-Jul''26'!CR361,"",'1. Live'!CV361-'check-Jul''26'!CR361)</f>
        <v/>
      </c>
      <c r="CS343" s="25" t="str">
        <f>IF('1. Live'!CW361='check-Jul''26'!CS361,"",'1. Live'!CW361-'check-Jul''26'!CS361)</f>
        <v/>
      </c>
      <c r="CT343" s="25" t="str">
        <f>IF('1. Live'!CX361='check-Jul''26'!CT361,"",'1. Live'!CX361-'check-Jul''26'!CT361)</f>
        <v/>
      </c>
      <c r="CU343" s="25" t="str">
        <f>IF('1. Live'!CY361='check-Jul''26'!CU361,"",'1. Live'!CY361-'check-Jul''26'!CU361)</f>
        <v/>
      </c>
      <c r="CV343" s="25" t="str">
        <f>IF('1. Live'!CZ361='check-Jul''26'!CV361,"",'1. Live'!CZ361-'check-Jul''26'!CV361)</f>
        <v/>
      </c>
    </row>
    <row r="344" spans="17:100" x14ac:dyDescent="0.25">
      <c r="Q344" s="26" t="str">
        <f>IF('1. Live'!N362='check-Jul''26'!I362,"",'1. Live'!N362-'check-Jul''26'!I362)</f>
        <v/>
      </c>
      <c r="R344" s="26" t="str">
        <f>IF('1. Live'!O362='check-Jul''26'!J362,"",'1. Live'!O362-'check-Jul''26'!J362)</f>
        <v/>
      </c>
      <c r="S344" s="26" t="str">
        <f>IF('1. Live'!P362='check-Jul''26'!K362,"",'1. Live'!P362-'check-Jul''26'!K362)</f>
        <v/>
      </c>
      <c r="T344" s="26" t="str">
        <f>IF('1. Live'!Q362='check-Jul''26'!L362,"",'1. Live'!Q362-'check-Jul''26'!L362)</f>
        <v/>
      </c>
      <c r="U344" s="80" t="str">
        <f>IF('1. Live'!R362='check-Jul''26'!M362,"",'1. Live'!R362-'check-Jul''26'!M362)</f>
        <v/>
      </c>
      <c r="V344" s="26" t="str">
        <f>IF('1. Live'!S362='check-Jul''26'!N362,"",'1. Live'!S362-'check-Jul''26'!N362)</f>
        <v/>
      </c>
      <c r="W344" s="25" t="str">
        <f>IF('1. Live'!T362='check-Jul''26'!O362,"",'1. Live'!T362-'check-Jul''26'!O362)</f>
        <v/>
      </c>
      <c r="X344" s="25" t="str">
        <f>IF('1. Live'!U362='check-Jul''26'!Q362,"",'1. Live'!U362-'check-Jul''26'!Q362)</f>
        <v/>
      </c>
      <c r="Y344" s="25" t="str">
        <f>IF('1. Live'!V362='check-Jul''26'!R362,"",'1. Live'!V362-'check-Jul''26'!R362)</f>
        <v/>
      </c>
      <c r="Z344" s="25" t="str">
        <f>IF('1. Live'!W362='check-Jul''26'!S362,"",'1. Live'!W362-'check-Jul''26'!S362)</f>
        <v/>
      </c>
      <c r="AA344" s="25" t="str">
        <f>IF('1. Live'!X362='check-Jul''26'!T362,"",'1. Live'!X362-'check-Jul''26'!T362)</f>
        <v/>
      </c>
      <c r="AB344" s="25" t="str">
        <f>IF('1. Live'!AF362='check-Jul''26'!AB362,"",'1. Live'!AF362-'check-Jul''26'!AB362)</f>
        <v/>
      </c>
      <c r="AC344" s="25" t="str">
        <f>IF('1. Live'!AG362='check-Jul''26'!AC362,"",'1. Live'!AG362-'check-Jul''26'!AC362)</f>
        <v/>
      </c>
      <c r="AD344" s="25" t="str">
        <f>IF('1. Live'!AH362='check-Jul''26'!AD362,"",'1. Live'!AH362-'check-Jul''26'!AD362)</f>
        <v/>
      </c>
      <c r="AE344" s="25" t="str">
        <f>IF('1. Live'!AI362='check-Jul''26'!AE362,"",'1. Live'!AI362-'check-Jul''26'!AE362)</f>
        <v/>
      </c>
      <c r="AF344" s="25" t="str">
        <f>IF('1. Live'!AJ362='check-Jul''26'!AF362,"",'1. Live'!AJ362-'check-Jul''26'!AF362)</f>
        <v/>
      </c>
      <c r="AG344" s="25" t="str">
        <f>IF('1. Live'!AK362='check-Jul''26'!AG362,"",'1. Live'!AK362-'check-Jul''26'!AG362)</f>
        <v/>
      </c>
      <c r="AH344" s="25" t="str">
        <f>IF('1. Live'!AL362='check-Jul''26'!AH362,"",'1. Live'!AL362-'check-Jul''26'!AH362)</f>
        <v/>
      </c>
      <c r="AI344" s="25" t="str">
        <f>IF('1. Live'!AM362='check-Jul''26'!AI362,"",'1. Live'!AM362-'check-Jul''26'!AI362)</f>
        <v/>
      </c>
      <c r="AJ344" s="25" t="str">
        <f>IF('1. Live'!AN362='check-Jul''26'!AJ362,"",'1. Live'!AN362-'check-Jul''26'!AJ362)</f>
        <v/>
      </c>
      <c r="AK344" s="25" t="str">
        <f>IF('1. Live'!AO362='check-Jul''26'!AK362,"",'1. Live'!AO362-'check-Jul''26'!AK362)</f>
        <v/>
      </c>
      <c r="AL344" s="25" t="str">
        <f>IF('1. Live'!AP362='check-Jul''26'!AL362,"",'1. Live'!AP362-'check-Jul''26'!AL362)</f>
        <v/>
      </c>
      <c r="AM344" s="25" t="str">
        <f>IF('1. Live'!AQ362='check-Jul''26'!AM362,"",'1. Live'!AQ362-'check-Jul''26'!AM362)</f>
        <v/>
      </c>
      <c r="AN344" s="25" t="str">
        <f>IF('1. Live'!AR362='check-Jul''26'!AN362,"",'1. Live'!AR362-'check-Jul''26'!AN362)</f>
        <v/>
      </c>
      <c r="AO344" s="25" t="str">
        <f>IF('1. Live'!AS362='check-Jul''26'!AO362,"",'1. Live'!AS362-'check-Jul''26'!AO362)</f>
        <v/>
      </c>
      <c r="AP344" s="25" t="str">
        <f>IF('1. Live'!AT362='check-Jul''26'!AP362,"",'1. Live'!AT362-'check-Jul''26'!AP362)</f>
        <v/>
      </c>
      <c r="AQ344" s="25" t="str">
        <f>IF('1. Live'!AU362='check-Jul''26'!AQ362,"",'1. Live'!AU362-'check-Jul''26'!AQ362)</f>
        <v/>
      </c>
      <c r="AR344" s="25" t="str">
        <f>IF('1. Live'!AV362='check-Jul''26'!AR362,"",'1. Live'!AV362-'check-Jul''26'!AR362)</f>
        <v/>
      </c>
      <c r="AS344" s="25" t="str">
        <f>IF('1. Live'!AW362='check-Jul''26'!AS362,"",'1. Live'!AW362-'check-Jul''26'!AS362)</f>
        <v/>
      </c>
      <c r="AT344" s="25" t="str">
        <f>IF('1. Live'!AX362='check-Jul''26'!AT362,"",'1. Live'!AX362-'check-Jul''26'!AT362)</f>
        <v/>
      </c>
      <c r="AU344" s="25" t="str">
        <f>IF('1. Live'!AY362='check-Jul''26'!AU362,"",'1. Live'!AY362-'check-Jul''26'!AU362)</f>
        <v/>
      </c>
      <c r="AV344" s="25" t="str">
        <f>IF('1. Live'!AZ362='check-Jul''26'!AV362,"",'1. Live'!AZ362-'check-Jul''26'!AV362)</f>
        <v/>
      </c>
      <c r="AW344" s="25" t="str">
        <f>IF('1. Live'!BA362='check-Jul''26'!AW362,"",'1. Live'!BA362-'check-Jul''26'!AW362)</f>
        <v/>
      </c>
      <c r="AX344" s="25" t="str">
        <f>IF('1. Live'!BB362='check-Jul''26'!AX362,"",'1. Live'!BB362-'check-Jul''26'!AX362)</f>
        <v/>
      </c>
      <c r="AY344" s="25" t="str">
        <f>IF('1. Live'!BC362='check-Jul''26'!AY362,"",'1. Live'!BC362-'check-Jul''26'!AY362)</f>
        <v/>
      </c>
      <c r="AZ344" s="25" t="str">
        <f>IF('1. Live'!BD362='check-Jul''26'!AZ362,"",'1. Live'!BD362-'check-Jul''26'!AZ362)</f>
        <v/>
      </c>
      <c r="BA344" s="25" t="str">
        <f>IF('1. Live'!BE362='check-Jul''26'!BA362,"",'1. Live'!BE362-'check-Jul''26'!BA362)</f>
        <v/>
      </c>
      <c r="BB344" s="25" t="str">
        <f>IF('1. Live'!BF362='check-Jul''26'!BB362,"",'1. Live'!BF362-'check-Jul''26'!BB362)</f>
        <v/>
      </c>
      <c r="BC344" s="25" t="str">
        <f>IF('1. Live'!BG362='check-Jul''26'!BC362,"",'1. Live'!BG362-'check-Jul''26'!BC362)</f>
        <v/>
      </c>
      <c r="BD344" s="25" t="str">
        <f>IF('1. Live'!BH362='check-Jul''26'!BD362,"",'1. Live'!BH362-'check-Jul''26'!BD362)</f>
        <v/>
      </c>
      <c r="BE344" s="25" t="str">
        <f>IF('1. Live'!BI362='check-Jul''26'!BE362,"",'1. Live'!BI362-'check-Jul''26'!BE362)</f>
        <v/>
      </c>
      <c r="BF344" s="25" t="str">
        <f>IF('1. Live'!BJ362='check-Jul''26'!BF362,"",'1. Live'!BJ362-'check-Jul''26'!BF362)</f>
        <v/>
      </c>
      <c r="BG344" s="25" t="str">
        <f>IF('1. Live'!BK362='check-Jul''26'!BG362,"",'1. Live'!BK362-'check-Jul''26'!BG362)</f>
        <v/>
      </c>
      <c r="BH344" s="25" t="str">
        <f>IF('1. Live'!BL362='check-Jul''26'!BH362,"",'1. Live'!BL362-'check-Jul''26'!BH362)</f>
        <v/>
      </c>
      <c r="BI344" s="25" t="str">
        <f>IF('1. Live'!BM362='check-Jul''26'!BI362,"",'1. Live'!BM362-'check-Jul''26'!BI362)</f>
        <v/>
      </c>
      <c r="BJ344" s="25" t="str">
        <f>IF('1. Live'!BN362='check-Jul''26'!BJ362,"",'1. Live'!BN362-'check-Jul''26'!BJ362)</f>
        <v/>
      </c>
      <c r="BK344" s="25" t="str">
        <f>IF('1. Live'!BO362='check-Jul''26'!BK362,"",'1. Live'!BO362-'check-Jul''26'!BK362)</f>
        <v/>
      </c>
      <c r="BL344" s="25" t="str">
        <f>IF('1. Live'!BP362='check-Jul''26'!BL362,"",'1. Live'!BP362-'check-Jul''26'!BL362)</f>
        <v/>
      </c>
      <c r="BM344" s="25" t="str">
        <f>IF('1. Live'!BQ362='check-Jul''26'!BM362,"",'1. Live'!BQ362-'check-Jul''26'!BM362)</f>
        <v/>
      </c>
      <c r="BN344" s="25" t="str">
        <f>IF('1. Live'!BR362='check-Jul''26'!BN362,"",'1. Live'!BR362-'check-Jul''26'!BN362)</f>
        <v/>
      </c>
      <c r="BO344" s="25" t="str">
        <f>IF('1. Live'!BS362='check-Jul''26'!BO362,"",'1. Live'!BS362-'check-Jul''26'!BO362)</f>
        <v/>
      </c>
      <c r="BP344" s="25" t="str">
        <f>IF('1. Live'!BT362='check-Jul''26'!BP362,"",'1. Live'!BT362-'check-Jul''26'!BP362)</f>
        <v/>
      </c>
      <c r="BQ344" s="25" t="str">
        <f>IF('1. Live'!BU362='check-Jul''26'!BQ362,"",'1. Live'!BU362-'check-Jul''26'!BQ362)</f>
        <v/>
      </c>
      <c r="BR344" s="25" t="str">
        <f>IF('1. Live'!BV362='check-Jul''26'!BR362,"",'1. Live'!BV362-'check-Jul''26'!BR362)</f>
        <v/>
      </c>
      <c r="BS344" s="25" t="str">
        <f>IF('1. Live'!BW362='check-Jul''26'!BS362,"",'1. Live'!BW362-'check-Jul''26'!BS362)</f>
        <v/>
      </c>
      <c r="BT344" s="25" t="str">
        <f>IF('1. Live'!BX362='check-Jul''26'!BT362,"",'1. Live'!BX362-'check-Jul''26'!BT362)</f>
        <v/>
      </c>
      <c r="BU344" s="25" t="str">
        <f>IF('1. Live'!BY362='check-Jul''26'!BU362,"",'1. Live'!BY362-'check-Jul''26'!BU362)</f>
        <v/>
      </c>
      <c r="BV344" s="25" t="str">
        <f>IF('1. Live'!BZ362='check-Jul''26'!BV362,"",'1. Live'!BZ362-'check-Jul''26'!BV362)</f>
        <v/>
      </c>
      <c r="BW344" s="25" t="str">
        <f>IF('1. Live'!CA362='check-Jul''26'!BW362,"",'1. Live'!CA362-'check-Jul''26'!BW362)</f>
        <v/>
      </c>
      <c r="BX344" s="25" t="str">
        <f>IF('1. Live'!CB362='check-Jul''26'!BX362,"",'1. Live'!CB362-'check-Jul''26'!BX362)</f>
        <v/>
      </c>
      <c r="BY344" s="25" t="str">
        <f>IF('1. Live'!CC362='check-Jul''26'!BY362,"",'1. Live'!CC362-'check-Jul''26'!BY362)</f>
        <v/>
      </c>
      <c r="BZ344" s="25" t="str">
        <f>IF('1. Live'!CD362='check-Jul''26'!BZ362,"",'1. Live'!CD362-'check-Jul''26'!BZ362)</f>
        <v/>
      </c>
      <c r="CA344" s="25" t="str">
        <f>IF('1. Live'!CE362='check-Jul''26'!CA362,"",'1. Live'!CE362-'check-Jul''26'!CA362)</f>
        <v/>
      </c>
      <c r="CB344" s="25" t="str">
        <f>IF('1. Live'!CF362='check-Jul''26'!CB362,"",'1. Live'!CF362-'check-Jul''26'!CB362)</f>
        <v/>
      </c>
      <c r="CC344" s="25" t="str">
        <f>IF('1. Live'!CG362='check-Jul''26'!CC362,"",'1. Live'!CG362-'check-Jul''26'!CC362)</f>
        <v/>
      </c>
      <c r="CD344" s="25" t="str">
        <f>IF('1. Live'!CH362='check-Jul''26'!CD362,"",'1. Live'!CH362-'check-Jul''26'!CD362)</f>
        <v/>
      </c>
      <c r="CE344" s="25" t="str">
        <f>IF('1. Live'!CI362='check-Jul''26'!CE362,"",'1. Live'!CI362-'check-Jul''26'!CE362)</f>
        <v/>
      </c>
      <c r="CF344" s="25" t="str">
        <f>IF('1. Live'!CJ362='check-Jul''26'!CF362,"",'1. Live'!CJ362-'check-Jul''26'!CF362)</f>
        <v/>
      </c>
      <c r="CG344" s="25" t="str">
        <f>IF('1. Live'!CK362='check-Jul''26'!CG362,"",'1. Live'!CK362-'check-Jul''26'!CG362)</f>
        <v/>
      </c>
      <c r="CH344" s="25" t="str">
        <f>IF('1. Live'!CL362='check-Jul''26'!CH362,"",'1. Live'!CL362-'check-Jul''26'!CH362)</f>
        <v/>
      </c>
      <c r="CI344" s="25" t="str">
        <f>IF('1. Live'!CM362='check-Jul''26'!CI362,"",'1. Live'!CM362-'check-Jul''26'!CI362)</f>
        <v/>
      </c>
      <c r="CJ344" s="25" t="str">
        <f>IF('1. Live'!CN362='check-Jul''26'!CJ362,"",'1. Live'!CN362-'check-Jul''26'!CJ362)</f>
        <v/>
      </c>
      <c r="CK344" s="25" t="str">
        <f>IF('1. Live'!CO362='check-Jul''26'!CK362,"",'1. Live'!CO362-'check-Jul''26'!CK362)</f>
        <v/>
      </c>
      <c r="CL344" s="25" t="str">
        <f>IF('1. Live'!CP362='check-Jul''26'!CL362,"",'1. Live'!CP362-'check-Jul''26'!CL362)</f>
        <v/>
      </c>
      <c r="CM344" s="25" t="str">
        <f>IF('1. Live'!CQ362='check-Jul''26'!CM362,"",'1. Live'!CQ362-'check-Jul''26'!CM362)</f>
        <v/>
      </c>
      <c r="CN344" s="25" t="str">
        <f>IF('1. Live'!CR362='check-Jul''26'!CN362,"",'1. Live'!CR362-'check-Jul''26'!CN362)</f>
        <v/>
      </c>
      <c r="CO344" s="25" t="str">
        <f>IF('1. Live'!CS362='check-Jul''26'!CO362,"",'1. Live'!CS362-'check-Jul''26'!CO362)</f>
        <v/>
      </c>
      <c r="CP344" s="25" t="str">
        <f>IF('1. Live'!CT362='check-Jul''26'!CP362,"",'1. Live'!CT362-'check-Jul''26'!CP362)</f>
        <v/>
      </c>
      <c r="CQ344" s="25" t="str">
        <f>IF('1. Live'!CU362='check-Jul''26'!CQ362,"",'1. Live'!CU362-'check-Jul''26'!CQ362)</f>
        <v/>
      </c>
      <c r="CR344" s="25" t="str">
        <f>IF('1. Live'!CV362='check-Jul''26'!CR362,"",'1. Live'!CV362-'check-Jul''26'!CR362)</f>
        <v/>
      </c>
      <c r="CS344" s="25" t="str">
        <f>IF('1. Live'!CW362='check-Jul''26'!CS362,"",'1. Live'!CW362-'check-Jul''26'!CS362)</f>
        <v/>
      </c>
      <c r="CT344" s="25" t="str">
        <f>IF('1. Live'!CX362='check-Jul''26'!CT362,"",'1. Live'!CX362-'check-Jul''26'!CT362)</f>
        <v/>
      </c>
      <c r="CU344" s="25" t="str">
        <f>IF('1. Live'!CY362='check-Jul''26'!CU362,"",'1. Live'!CY362-'check-Jul''26'!CU362)</f>
        <v/>
      </c>
      <c r="CV344" s="25" t="str">
        <f>IF('1. Live'!CZ362='check-Jul''26'!CV362,"",'1. Live'!CZ362-'check-Jul''26'!CV362)</f>
        <v/>
      </c>
    </row>
    <row r="345" spans="17:100" x14ac:dyDescent="0.25">
      <c r="Q345" s="26" t="str">
        <f>IF('1. Live'!N363='check-Jul''26'!I363,"",'1. Live'!N363-'check-Jul''26'!I363)</f>
        <v/>
      </c>
      <c r="R345" s="26" t="str">
        <f>IF('1. Live'!O363='check-Jul''26'!J363,"",'1. Live'!O363-'check-Jul''26'!J363)</f>
        <v/>
      </c>
      <c r="S345" s="26" t="str">
        <f>IF('1. Live'!P363='check-Jul''26'!K363,"",'1. Live'!P363-'check-Jul''26'!K363)</f>
        <v/>
      </c>
      <c r="T345" s="26" t="str">
        <f>IF('1. Live'!Q363='check-Jul''26'!L363,"",'1. Live'!Q363-'check-Jul''26'!L363)</f>
        <v/>
      </c>
      <c r="U345" s="80" t="str">
        <f>IF('1. Live'!R363='check-Jul''26'!M363,"",'1. Live'!R363-'check-Jul''26'!M363)</f>
        <v/>
      </c>
      <c r="V345" s="26" t="str">
        <f>IF('1. Live'!S363='check-Jul''26'!N363,"",'1. Live'!S363-'check-Jul''26'!N363)</f>
        <v/>
      </c>
      <c r="W345" s="25" t="str">
        <f>IF('1. Live'!T363='check-Jul''26'!O363,"",'1. Live'!T363-'check-Jul''26'!O363)</f>
        <v/>
      </c>
      <c r="X345" s="25" t="str">
        <f>IF('1. Live'!U363='check-Jul''26'!Q363,"",'1. Live'!U363-'check-Jul''26'!Q363)</f>
        <v/>
      </c>
      <c r="Y345" s="25" t="str">
        <f>IF('1. Live'!V363='check-Jul''26'!R363,"",'1. Live'!V363-'check-Jul''26'!R363)</f>
        <v/>
      </c>
      <c r="Z345" s="25" t="str">
        <f>IF('1. Live'!W363='check-Jul''26'!S363,"",'1. Live'!W363-'check-Jul''26'!S363)</f>
        <v/>
      </c>
      <c r="AA345" s="25" t="str">
        <f>IF('1. Live'!X363='check-Jul''26'!T363,"",'1. Live'!X363-'check-Jul''26'!T363)</f>
        <v/>
      </c>
      <c r="AB345" s="25" t="str">
        <f>IF('1. Live'!AF363='check-Jul''26'!AB363,"",'1. Live'!AF363-'check-Jul''26'!AB363)</f>
        <v/>
      </c>
      <c r="AC345" s="25" t="str">
        <f>IF('1. Live'!AG363='check-Jul''26'!AC363,"",'1. Live'!AG363-'check-Jul''26'!AC363)</f>
        <v/>
      </c>
      <c r="AD345" s="25" t="str">
        <f>IF('1. Live'!AH363='check-Jul''26'!AD363,"",'1. Live'!AH363-'check-Jul''26'!AD363)</f>
        <v/>
      </c>
      <c r="AE345" s="25" t="str">
        <f>IF('1. Live'!AI363='check-Jul''26'!AE363,"",'1. Live'!AI363-'check-Jul''26'!AE363)</f>
        <v/>
      </c>
      <c r="AF345" s="25" t="str">
        <f>IF('1. Live'!AJ363='check-Jul''26'!AF363,"",'1. Live'!AJ363-'check-Jul''26'!AF363)</f>
        <v/>
      </c>
      <c r="AG345" s="25" t="str">
        <f>IF('1. Live'!AK363='check-Jul''26'!AG363,"",'1. Live'!AK363-'check-Jul''26'!AG363)</f>
        <v/>
      </c>
      <c r="AH345" s="25" t="str">
        <f>IF('1. Live'!AL363='check-Jul''26'!AH363,"",'1. Live'!AL363-'check-Jul''26'!AH363)</f>
        <v/>
      </c>
      <c r="AI345" s="25" t="str">
        <f>IF('1. Live'!AM363='check-Jul''26'!AI363,"",'1. Live'!AM363-'check-Jul''26'!AI363)</f>
        <v/>
      </c>
      <c r="AJ345" s="25" t="str">
        <f>IF('1. Live'!AN363='check-Jul''26'!AJ363,"",'1. Live'!AN363-'check-Jul''26'!AJ363)</f>
        <v/>
      </c>
      <c r="AK345" s="25" t="str">
        <f>IF('1. Live'!AO363='check-Jul''26'!AK363,"",'1. Live'!AO363-'check-Jul''26'!AK363)</f>
        <v/>
      </c>
      <c r="AL345" s="25" t="str">
        <f>IF('1. Live'!AP363='check-Jul''26'!AL363,"",'1. Live'!AP363-'check-Jul''26'!AL363)</f>
        <v/>
      </c>
      <c r="AM345" s="25" t="str">
        <f>IF('1. Live'!AQ363='check-Jul''26'!AM363,"",'1. Live'!AQ363-'check-Jul''26'!AM363)</f>
        <v/>
      </c>
      <c r="AN345" s="25" t="str">
        <f>IF('1. Live'!AR363='check-Jul''26'!AN363,"",'1. Live'!AR363-'check-Jul''26'!AN363)</f>
        <v/>
      </c>
      <c r="AO345" s="25" t="str">
        <f>IF('1. Live'!AS363='check-Jul''26'!AO363,"",'1. Live'!AS363-'check-Jul''26'!AO363)</f>
        <v/>
      </c>
      <c r="AP345" s="25" t="str">
        <f>IF('1. Live'!AT363='check-Jul''26'!AP363,"",'1. Live'!AT363-'check-Jul''26'!AP363)</f>
        <v/>
      </c>
      <c r="AQ345" s="25" t="str">
        <f>IF('1. Live'!AU363='check-Jul''26'!AQ363,"",'1. Live'!AU363-'check-Jul''26'!AQ363)</f>
        <v/>
      </c>
      <c r="AR345" s="25" t="str">
        <f>IF('1. Live'!AV363='check-Jul''26'!AR363,"",'1. Live'!AV363-'check-Jul''26'!AR363)</f>
        <v/>
      </c>
      <c r="AS345" s="25" t="str">
        <f>IF('1. Live'!AW363='check-Jul''26'!AS363,"",'1. Live'!AW363-'check-Jul''26'!AS363)</f>
        <v/>
      </c>
      <c r="AT345" s="25" t="str">
        <f>IF('1. Live'!AX363='check-Jul''26'!AT363,"",'1. Live'!AX363-'check-Jul''26'!AT363)</f>
        <v/>
      </c>
      <c r="AU345" s="25" t="str">
        <f>IF('1. Live'!AY363='check-Jul''26'!AU363,"",'1. Live'!AY363-'check-Jul''26'!AU363)</f>
        <v/>
      </c>
      <c r="AV345" s="25" t="str">
        <f>IF('1. Live'!AZ363='check-Jul''26'!AV363,"",'1. Live'!AZ363-'check-Jul''26'!AV363)</f>
        <v/>
      </c>
      <c r="AW345" s="25" t="str">
        <f>IF('1. Live'!BA363='check-Jul''26'!AW363,"",'1. Live'!BA363-'check-Jul''26'!AW363)</f>
        <v/>
      </c>
      <c r="AX345" s="25" t="str">
        <f>IF('1. Live'!BB363='check-Jul''26'!AX363,"",'1. Live'!BB363-'check-Jul''26'!AX363)</f>
        <v/>
      </c>
      <c r="AY345" s="25" t="str">
        <f>IF('1. Live'!BC363='check-Jul''26'!AY363,"",'1. Live'!BC363-'check-Jul''26'!AY363)</f>
        <v/>
      </c>
      <c r="AZ345" s="25" t="str">
        <f>IF('1. Live'!BD363='check-Jul''26'!AZ363,"",'1. Live'!BD363-'check-Jul''26'!AZ363)</f>
        <v/>
      </c>
      <c r="BA345" s="25" t="str">
        <f>IF('1. Live'!BE363='check-Jul''26'!BA363,"",'1. Live'!BE363-'check-Jul''26'!BA363)</f>
        <v/>
      </c>
      <c r="BB345" s="25" t="str">
        <f>IF('1. Live'!BF363='check-Jul''26'!BB363,"",'1. Live'!BF363-'check-Jul''26'!BB363)</f>
        <v/>
      </c>
      <c r="BC345" s="25" t="str">
        <f>IF('1. Live'!BG363='check-Jul''26'!BC363,"",'1. Live'!BG363-'check-Jul''26'!BC363)</f>
        <v/>
      </c>
      <c r="BD345" s="25" t="str">
        <f>IF('1. Live'!BH363='check-Jul''26'!BD363,"",'1. Live'!BH363-'check-Jul''26'!BD363)</f>
        <v/>
      </c>
      <c r="BE345" s="25" t="str">
        <f>IF('1. Live'!BI363='check-Jul''26'!BE363,"",'1. Live'!BI363-'check-Jul''26'!BE363)</f>
        <v/>
      </c>
      <c r="BF345" s="25" t="str">
        <f>IF('1. Live'!BJ363='check-Jul''26'!BF363,"",'1. Live'!BJ363-'check-Jul''26'!BF363)</f>
        <v/>
      </c>
      <c r="BG345" s="25" t="str">
        <f>IF('1. Live'!BK363='check-Jul''26'!BG363,"",'1. Live'!BK363-'check-Jul''26'!BG363)</f>
        <v/>
      </c>
      <c r="BH345" s="25" t="str">
        <f>IF('1. Live'!BL363='check-Jul''26'!BH363,"",'1. Live'!BL363-'check-Jul''26'!BH363)</f>
        <v/>
      </c>
      <c r="BI345" s="25" t="str">
        <f>IF('1. Live'!BM363='check-Jul''26'!BI363,"",'1. Live'!BM363-'check-Jul''26'!BI363)</f>
        <v/>
      </c>
      <c r="BJ345" s="25" t="str">
        <f>IF('1. Live'!BN363='check-Jul''26'!BJ363,"",'1. Live'!BN363-'check-Jul''26'!BJ363)</f>
        <v/>
      </c>
      <c r="BK345" s="25" t="str">
        <f>IF('1. Live'!BO363='check-Jul''26'!BK363,"",'1. Live'!BO363-'check-Jul''26'!BK363)</f>
        <v/>
      </c>
      <c r="BL345" s="25" t="str">
        <f>IF('1. Live'!BP363='check-Jul''26'!BL363,"",'1. Live'!BP363-'check-Jul''26'!BL363)</f>
        <v/>
      </c>
      <c r="BM345" s="25" t="str">
        <f>IF('1. Live'!BQ363='check-Jul''26'!BM363,"",'1. Live'!BQ363-'check-Jul''26'!BM363)</f>
        <v/>
      </c>
      <c r="BN345" s="25" t="str">
        <f>IF('1. Live'!BR363='check-Jul''26'!BN363,"",'1. Live'!BR363-'check-Jul''26'!BN363)</f>
        <v/>
      </c>
      <c r="BO345" s="25" t="str">
        <f>IF('1. Live'!BS363='check-Jul''26'!BO363,"",'1. Live'!BS363-'check-Jul''26'!BO363)</f>
        <v/>
      </c>
      <c r="BP345" s="25" t="str">
        <f>IF('1. Live'!BT363='check-Jul''26'!BP363,"",'1. Live'!BT363-'check-Jul''26'!BP363)</f>
        <v/>
      </c>
      <c r="BQ345" s="25" t="str">
        <f>IF('1. Live'!BU363='check-Jul''26'!BQ363,"",'1. Live'!BU363-'check-Jul''26'!BQ363)</f>
        <v/>
      </c>
      <c r="BR345" s="25" t="str">
        <f>IF('1. Live'!BV363='check-Jul''26'!BR363,"",'1. Live'!BV363-'check-Jul''26'!BR363)</f>
        <v/>
      </c>
      <c r="BS345" s="25" t="str">
        <f>IF('1. Live'!BW363='check-Jul''26'!BS363,"",'1. Live'!BW363-'check-Jul''26'!BS363)</f>
        <v/>
      </c>
      <c r="BT345" s="25" t="str">
        <f>IF('1. Live'!BX363='check-Jul''26'!BT363,"",'1. Live'!BX363-'check-Jul''26'!BT363)</f>
        <v/>
      </c>
      <c r="BU345" s="25" t="str">
        <f>IF('1. Live'!BY363='check-Jul''26'!BU363,"",'1. Live'!BY363-'check-Jul''26'!BU363)</f>
        <v/>
      </c>
      <c r="BV345" s="25" t="str">
        <f>IF('1. Live'!BZ363='check-Jul''26'!BV363,"",'1. Live'!BZ363-'check-Jul''26'!BV363)</f>
        <v/>
      </c>
      <c r="BW345" s="25" t="str">
        <f>IF('1. Live'!CA363='check-Jul''26'!BW363,"",'1. Live'!CA363-'check-Jul''26'!BW363)</f>
        <v/>
      </c>
      <c r="BX345" s="25" t="str">
        <f>IF('1. Live'!CB363='check-Jul''26'!BX363,"",'1. Live'!CB363-'check-Jul''26'!BX363)</f>
        <v/>
      </c>
      <c r="BY345" s="25" t="str">
        <f>IF('1. Live'!CC363='check-Jul''26'!BY363,"",'1. Live'!CC363-'check-Jul''26'!BY363)</f>
        <v/>
      </c>
      <c r="BZ345" s="25" t="str">
        <f>IF('1. Live'!CD363='check-Jul''26'!BZ363,"",'1. Live'!CD363-'check-Jul''26'!BZ363)</f>
        <v/>
      </c>
      <c r="CA345" s="25" t="str">
        <f>IF('1. Live'!CE363='check-Jul''26'!CA363,"",'1. Live'!CE363-'check-Jul''26'!CA363)</f>
        <v/>
      </c>
      <c r="CB345" s="25" t="str">
        <f>IF('1. Live'!CF363='check-Jul''26'!CB363,"",'1. Live'!CF363-'check-Jul''26'!CB363)</f>
        <v/>
      </c>
      <c r="CC345" s="25" t="str">
        <f>IF('1. Live'!CG363='check-Jul''26'!CC363,"",'1. Live'!CG363-'check-Jul''26'!CC363)</f>
        <v/>
      </c>
      <c r="CD345" s="25" t="str">
        <f>IF('1. Live'!CH363='check-Jul''26'!CD363,"",'1. Live'!CH363-'check-Jul''26'!CD363)</f>
        <v/>
      </c>
      <c r="CE345" s="25" t="str">
        <f>IF('1. Live'!CI363='check-Jul''26'!CE363,"",'1. Live'!CI363-'check-Jul''26'!CE363)</f>
        <v/>
      </c>
      <c r="CF345" s="25" t="str">
        <f>IF('1. Live'!CJ363='check-Jul''26'!CF363,"",'1. Live'!CJ363-'check-Jul''26'!CF363)</f>
        <v/>
      </c>
      <c r="CG345" s="25" t="str">
        <f>IF('1. Live'!CK363='check-Jul''26'!CG363,"",'1. Live'!CK363-'check-Jul''26'!CG363)</f>
        <v/>
      </c>
      <c r="CH345" s="25" t="str">
        <f>IF('1. Live'!CL363='check-Jul''26'!CH363,"",'1. Live'!CL363-'check-Jul''26'!CH363)</f>
        <v/>
      </c>
      <c r="CI345" s="25" t="str">
        <f>IF('1. Live'!CM363='check-Jul''26'!CI363,"",'1. Live'!CM363-'check-Jul''26'!CI363)</f>
        <v/>
      </c>
      <c r="CJ345" s="25" t="str">
        <f>IF('1. Live'!CN363='check-Jul''26'!CJ363,"",'1. Live'!CN363-'check-Jul''26'!CJ363)</f>
        <v/>
      </c>
      <c r="CK345" s="25" t="str">
        <f>IF('1. Live'!CO363='check-Jul''26'!CK363,"",'1. Live'!CO363-'check-Jul''26'!CK363)</f>
        <v/>
      </c>
      <c r="CL345" s="25" t="str">
        <f>IF('1. Live'!CP363='check-Jul''26'!CL363,"",'1. Live'!CP363-'check-Jul''26'!CL363)</f>
        <v/>
      </c>
      <c r="CM345" s="25" t="str">
        <f>IF('1. Live'!CQ363='check-Jul''26'!CM363,"",'1. Live'!CQ363-'check-Jul''26'!CM363)</f>
        <v/>
      </c>
      <c r="CN345" s="25" t="str">
        <f>IF('1. Live'!CR363='check-Jul''26'!CN363,"",'1. Live'!CR363-'check-Jul''26'!CN363)</f>
        <v/>
      </c>
      <c r="CO345" s="25" t="str">
        <f>IF('1. Live'!CS363='check-Jul''26'!CO363,"",'1. Live'!CS363-'check-Jul''26'!CO363)</f>
        <v/>
      </c>
      <c r="CP345" s="25" t="str">
        <f>IF('1. Live'!CT363='check-Jul''26'!CP363,"",'1. Live'!CT363-'check-Jul''26'!CP363)</f>
        <v/>
      </c>
      <c r="CQ345" s="25" t="str">
        <f>IF('1. Live'!CU363='check-Jul''26'!CQ363,"",'1. Live'!CU363-'check-Jul''26'!CQ363)</f>
        <v/>
      </c>
      <c r="CR345" s="25" t="str">
        <f>IF('1. Live'!CV363='check-Jul''26'!CR363,"",'1. Live'!CV363-'check-Jul''26'!CR363)</f>
        <v/>
      </c>
      <c r="CS345" s="25" t="str">
        <f>IF('1. Live'!CW363='check-Jul''26'!CS363,"",'1. Live'!CW363-'check-Jul''26'!CS363)</f>
        <v/>
      </c>
      <c r="CT345" s="25" t="str">
        <f>IF('1. Live'!CX363='check-Jul''26'!CT363,"",'1. Live'!CX363-'check-Jul''26'!CT363)</f>
        <v/>
      </c>
      <c r="CU345" s="25" t="str">
        <f>IF('1. Live'!CY363='check-Jul''26'!CU363,"",'1. Live'!CY363-'check-Jul''26'!CU363)</f>
        <v/>
      </c>
      <c r="CV345" s="25" t="str">
        <f>IF('1. Live'!CZ363='check-Jul''26'!CV363,"",'1. Live'!CZ363-'check-Jul''26'!CV363)</f>
        <v/>
      </c>
    </row>
    <row r="346" spans="17:100" x14ac:dyDescent="0.25">
      <c r="Q346" s="26" t="str">
        <f>IF('1. Live'!N364='check-Jul''26'!I364,"",'1. Live'!N364-'check-Jul''26'!I364)</f>
        <v/>
      </c>
      <c r="R346" s="26" t="str">
        <f>IF('1. Live'!O364='check-Jul''26'!J364,"",'1. Live'!O364-'check-Jul''26'!J364)</f>
        <v/>
      </c>
      <c r="S346" s="26" t="str">
        <f>IF('1. Live'!P364='check-Jul''26'!K364,"",'1. Live'!P364-'check-Jul''26'!K364)</f>
        <v/>
      </c>
      <c r="T346" s="26" t="str">
        <f>IF('1. Live'!Q364='check-Jul''26'!L364,"",'1. Live'!Q364-'check-Jul''26'!L364)</f>
        <v/>
      </c>
      <c r="U346" s="80" t="str">
        <f>IF('1. Live'!R364='check-Jul''26'!M364,"",'1. Live'!R364-'check-Jul''26'!M364)</f>
        <v/>
      </c>
      <c r="V346" s="26" t="str">
        <f>IF('1. Live'!S364='check-Jul''26'!N364,"",'1. Live'!S364-'check-Jul''26'!N364)</f>
        <v/>
      </c>
      <c r="W346" s="25" t="str">
        <f>IF('1. Live'!T364='check-Jul''26'!O364,"",'1. Live'!T364-'check-Jul''26'!O364)</f>
        <v/>
      </c>
      <c r="X346" s="25" t="str">
        <f>IF('1. Live'!U364='check-Jul''26'!Q364,"",'1. Live'!U364-'check-Jul''26'!Q364)</f>
        <v/>
      </c>
      <c r="Y346" s="25" t="str">
        <f>IF('1. Live'!V364='check-Jul''26'!R364,"",'1. Live'!V364-'check-Jul''26'!R364)</f>
        <v/>
      </c>
      <c r="Z346" s="25" t="str">
        <f>IF('1. Live'!W364='check-Jul''26'!S364,"",'1. Live'!W364-'check-Jul''26'!S364)</f>
        <v/>
      </c>
      <c r="AA346" s="25" t="str">
        <f>IF('1. Live'!X364='check-Jul''26'!T364,"",'1. Live'!X364-'check-Jul''26'!T364)</f>
        <v/>
      </c>
      <c r="AB346" s="25" t="str">
        <f>IF('1. Live'!AF364='check-Jul''26'!AB364,"",'1. Live'!AF364-'check-Jul''26'!AB364)</f>
        <v/>
      </c>
      <c r="AC346" s="25" t="str">
        <f>IF('1. Live'!AG364='check-Jul''26'!AC364,"",'1. Live'!AG364-'check-Jul''26'!AC364)</f>
        <v/>
      </c>
      <c r="AD346" s="25" t="str">
        <f>IF('1. Live'!AH364='check-Jul''26'!AD364,"",'1. Live'!AH364-'check-Jul''26'!AD364)</f>
        <v/>
      </c>
      <c r="AE346" s="25" t="str">
        <f>IF('1. Live'!AI364='check-Jul''26'!AE364,"",'1. Live'!AI364-'check-Jul''26'!AE364)</f>
        <v/>
      </c>
      <c r="AF346" s="25" t="str">
        <f>IF('1. Live'!AJ364='check-Jul''26'!AF364,"",'1. Live'!AJ364-'check-Jul''26'!AF364)</f>
        <v/>
      </c>
      <c r="AG346" s="25" t="str">
        <f>IF('1. Live'!AK364='check-Jul''26'!AG364,"",'1. Live'!AK364-'check-Jul''26'!AG364)</f>
        <v/>
      </c>
      <c r="AH346" s="25" t="str">
        <f>IF('1. Live'!AL364='check-Jul''26'!AH364,"",'1. Live'!AL364-'check-Jul''26'!AH364)</f>
        <v/>
      </c>
      <c r="AI346" s="25" t="str">
        <f>IF('1. Live'!AM364='check-Jul''26'!AI364,"",'1. Live'!AM364-'check-Jul''26'!AI364)</f>
        <v/>
      </c>
      <c r="AJ346" s="25" t="str">
        <f>IF('1. Live'!AN364='check-Jul''26'!AJ364,"",'1. Live'!AN364-'check-Jul''26'!AJ364)</f>
        <v/>
      </c>
      <c r="AK346" s="25" t="str">
        <f>IF('1. Live'!AO364='check-Jul''26'!AK364,"",'1. Live'!AO364-'check-Jul''26'!AK364)</f>
        <v/>
      </c>
      <c r="AL346" s="25" t="str">
        <f>IF('1. Live'!AP364='check-Jul''26'!AL364,"",'1. Live'!AP364-'check-Jul''26'!AL364)</f>
        <v/>
      </c>
      <c r="AM346" s="25" t="str">
        <f>IF('1. Live'!AQ364='check-Jul''26'!AM364,"",'1. Live'!AQ364-'check-Jul''26'!AM364)</f>
        <v/>
      </c>
      <c r="AN346" s="25" t="str">
        <f>IF('1. Live'!AR364='check-Jul''26'!AN364,"",'1. Live'!AR364-'check-Jul''26'!AN364)</f>
        <v/>
      </c>
      <c r="AO346" s="25" t="str">
        <f>IF('1. Live'!AS364='check-Jul''26'!AO364,"",'1. Live'!AS364-'check-Jul''26'!AO364)</f>
        <v/>
      </c>
      <c r="AP346" s="25" t="str">
        <f>IF('1. Live'!AT364='check-Jul''26'!AP364,"",'1. Live'!AT364-'check-Jul''26'!AP364)</f>
        <v/>
      </c>
      <c r="AQ346" s="25" t="str">
        <f>IF('1. Live'!AU364='check-Jul''26'!AQ364,"",'1. Live'!AU364-'check-Jul''26'!AQ364)</f>
        <v/>
      </c>
      <c r="AR346" s="25" t="str">
        <f>IF('1. Live'!AV364='check-Jul''26'!AR364,"",'1. Live'!AV364-'check-Jul''26'!AR364)</f>
        <v/>
      </c>
      <c r="AS346" s="25" t="str">
        <f>IF('1. Live'!AW364='check-Jul''26'!AS364,"",'1. Live'!AW364-'check-Jul''26'!AS364)</f>
        <v/>
      </c>
      <c r="AT346" s="25" t="str">
        <f>IF('1. Live'!AX364='check-Jul''26'!AT364,"",'1. Live'!AX364-'check-Jul''26'!AT364)</f>
        <v/>
      </c>
      <c r="AU346" s="25" t="str">
        <f>IF('1. Live'!AY364='check-Jul''26'!AU364,"",'1. Live'!AY364-'check-Jul''26'!AU364)</f>
        <v/>
      </c>
      <c r="AV346" s="25" t="str">
        <f>IF('1. Live'!AZ364='check-Jul''26'!AV364,"",'1. Live'!AZ364-'check-Jul''26'!AV364)</f>
        <v/>
      </c>
      <c r="AW346" s="25" t="str">
        <f>IF('1. Live'!BA364='check-Jul''26'!AW364,"",'1. Live'!BA364-'check-Jul''26'!AW364)</f>
        <v/>
      </c>
      <c r="AX346" s="25" t="str">
        <f>IF('1. Live'!BB364='check-Jul''26'!AX364,"",'1. Live'!BB364-'check-Jul''26'!AX364)</f>
        <v/>
      </c>
      <c r="AY346" s="25" t="str">
        <f>IF('1. Live'!BC364='check-Jul''26'!AY364,"",'1. Live'!BC364-'check-Jul''26'!AY364)</f>
        <v/>
      </c>
      <c r="AZ346" s="25" t="str">
        <f>IF('1. Live'!BD364='check-Jul''26'!AZ364,"",'1. Live'!BD364-'check-Jul''26'!AZ364)</f>
        <v/>
      </c>
      <c r="BA346" s="25" t="str">
        <f>IF('1. Live'!BE364='check-Jul''26'!BA364,"",'1. Live'!BE364-'check-Jul''26'!BA364)</f>
        <v/>
      </c>
      <c r="BB346" s="25" t="str">
        <f>IF('1. Live'!BF364='check-Jul''26'!BB364,"",'1. Live'!BF364-'check-Jul''26'!BB364)</f>
        <v/>
      </c>
      <c r="BC346" s="25" t="str">
        <f>IF('1. Live'!BG364='check-Jul''26'!BC364,"",'1. Live'!BG364-'check-Jul''26'!BC364)</f>
        <v/>
      </c>
      <c r="BD346" s="25" t="str">
        <f>IF('1. Live'!BH364='check-Jul''26'!BD364,"",'1. Live'!BH364-'check-Jul''26'!BD364)</f>
        <v/>
      </c>
      <c r="BE346" s="25" t="str">
        <f>IF('1. Live'!BI364='check-Jul''26'!BE364,"",'1. Live'!BI364-'check-Jul''26'!BE364)</f>
        <v/>
      </c>
      <c r="BF346" s="25" t="str">
        <f>IF('1. Live'!BJ364='check-Jul''26'!BF364,"",'1. Live'!BJ364-'check-Jul''26'!BF364)</f>
        <v/>
      </c>
      <c r="BG346" s="25" t="str">
        <f>IF('1. Live'!BK364='check-Jul''26'!BG364,"",'1. Live'!BK364-'check-Jul''26'!BG364)</f>
        <v/>
      </c>
      <c r="BH346" s="25" t="str">
        <f>IF('1. Live'!BL364='check-Jul''26'!BH364,"",'1. Live'!BL364-'check-Jul''26'!BH364)</f>
        <v/>
      </c>
      <c r="BI346" s="25" t="str">
        <f>IF('1. Live'!BM364='check-Jul''26'!BI364,"",'1. Live'!BM364-'check-Jul''26'!BI364)</f>
        <v/>
      </c>
      <c r="BJ346" s="25" t="str">
        <f>IF('1. Live'!BN364='check-Jul''26'!BJ364,"",'1. Live'!BN364-'check-Jul''26'!BJ364)</f>
        <v/>
      </c>
      <c r="BK346" s="25" t="str">
        <f>IF('1. Live'!BO364='check-Jul''26'!BK364,"",'1. Live'!BO364-'check-Jul''26'!BK364)</f>
        <v/>
      </c>
      <c r="BL346" s="25" t="str">
        <f>IF('1. Live'!BP364='check-Jul''26'!BL364,"",'1. Live'!BP364-'check-Jul''26'!BL364)</f>
        <v/>
      </c>
      <c r="BM346" s="25" t="str">
        <f>IF('1. Live'!BQ364='check-Jul''26'!BM364,"",'1. Live'!BQ364-'check-Jul''26'!BM364)</f>
        <v/>
      </c>
      <c r="BN346" s="25" t="str">
        <f>IF('1. Live'!BR364='check-Jul''26'!BN364,"",'1. Live'!BR364-'check-Jul''26'!BN364)</f>
        <v/>
      </c>
      <c r="BO346" s="25" t="str">
        <f>IF('1. Live'!BS364='check-Jul''26'!BO364,"",'1. Live'!BS364-'check-Jul''26'!BO364)</f>
        <v/>
      </c>
      <c r="BP346" s="25" t="str">
        <f>IF('1. Live'!BT364='check-Jul''26'!BP364,"",'1. Live'!BT364-'check-Jul''26'!BP364)</f>
        <v/>
      </c>
      <c r="BQ346" s="25" t="str">
        <f>IF('1. Live'!BU364='check-Jul''26'!BQ364,"",'1. Live'!BU364-'check-Jul''26'!BQ364)</f>
        <v/>
      </c>
      <c r="BR346" s="25" t="str">
        <f>IF('1. Live'!BV364='check-Jul''26'!BR364,"",'1. Live'!BV364-'check-Jul''26'!BR364)</f>
        <v/>
      </c>
      <c r="BS346" s="25" t="str">
        <f>IF('1. Live'!BW364='check-Jul''26'!BS364,"",'1. Live'!BW364-'check-Jul''26'!BS364)</f>
        <v/>
      </c>
      <c r="BT346" s="25" t="str">
        <f>IF('1. Live'!BX364='check-Jul''26'!BT364,"",'1. Live'!BX364-'check-Jul''26'!BT364)</f>
        <v/>
      </c>
      <c r="BU346" s="25" t="str">
        <f>IF('1. Live'!BY364='check-Jul''26'!BU364,"",'1. Live'!BY364-'check-Jul''26'!BU364)</f>
        <v/>
      </c>
      <c r="BV346" s="25" t="str">
        <f>IF('1. Live'!BZ364='check-Jul''26'!BV364,"",'1. Live'!BZ364-'check-Jul''26'!BV364)</f>
        <v/>
      </c>
      <c r="BW346" s="25" t="str">
        <f>IF('1. Live'!CA364='check-Jul''26'!BW364,"",'1. Live'!CA364-'check-Jul''26'!BW364)</f>
        <v/>
      </c>
      <c r="BX346" s="25" t="str">
        <f>IF('1. Live'!CB364='check-Jul''26'!BX364,"",'1. Live'!CB364-'check-Jul''26'!BX364)</f>
        <v/>
      </c>
      <c r="BY346" s="25" t="str">
        <f>IF('1. Live'!CC364='check-Jul''26'!BY364,"",'1. Live'!CC364-'check-Jul''26'!BY364)</f>
        <v/>
      </c>
      <c r="BZ346" s="25" t="str">
        <f>IF('1. Live'!CD364='check-Jul''26'!BZ364,"",'1. Live'!CD364-'check-Jul''26'!BZ364)</f>
        <v/>
      </c>
      <c r="CA346" s="25" t="str">
        <f>IF('1. Live'!CE364='check-Jul''26'!CA364,"",'1. Live'!CE364-'check-Jul''26'!CA364)</f>
        <v/>
      </c>
      <c r="CB346" s="25" t="str">
        <f>IF('1. Live'!CF364='check-Jul''26'!CB364,"",'1. Live'!CF364-'check-Jul''26'!CB364)</f>
        <v/>
      </c>
      <c r="CC346" s="25" t="str">
        <f>IF('1. Live'!CG364='check-Jul''26'!CC364,"",'1. Live'!CG364-'check-Jul''26'!CC364)</f>
        <v/>
      </c>
      <c r="CD346" s="25" t="str">
        <f>IF('1. Live'!CH364='check-Jul''26'!CD364,"",'1. Live'!CH364-'check-Jul''26'!CD364)</f>
        <v/>
      </c>
      <c r="CE346" s="25" t="str">
        <f>IF('1. Live'!CI364='check-Jul''26'!CE364,"",'1. Live'!CI364-'check-Jul''26'!CE364)</f>
        <v/>
      </c>
      <c r="CF346" s="25" t="str">
        <f>IF('1. Live'!CJ364='check-Jul''26'!CF364,"",'1. Live'!CJ364-'check-Jul''26'!CF364)</f>
        <v/>
      </c>
      <c r="CG346" s="25" t="str">
        <f>IF('1. Live'!CK364='check-Jul''26'!CG364,"",'1. Live'!CK364-'check-Jul''26'!CG364)</f>
        <v/>
      </c>
      <c r="CH346" s="25" t="str">
        <f>IF('1. Live'!CL364='check-Jul''26'!CH364,"",'1. Live'!CL364-'check-Jul''26'!CH364)</f>
        <v/>
      </c>
      <c r="CI346" s="25" t="str">
        <f>IF('1. Live'!CM364='check-Jul''26'!CI364,"",'1. Live'!CM364-'check-Jul''26'!CI364)</f>
        <v/>
      </c>
      <c r="CJ346" s="25" t="str">
        <f>IF('1. Live'!CN364='check-Jul''26'!CJ364,"",'1. Live'!CN364-'check-Jul''26'!CJ364)</f>
        <v/>
      </c>
      <c r="CK346" s="25" t="str">
        <f>IF('1. Live'!CO364='check-Jul''26'!CK364,"",'1. Live'!CO364-'check-Jul''26'!CK364)</f>
        <v/>
      </c>
      <c r="CL346" s="25" t="str">
        <f>IF('1. Live'!CP364='check-Jul''26'!CL364,"",'1. Live'!CP364-'check-Jul''26'!CL364)</f>
        <v/>
      </c>
      <c r="CM346" s="25" t="str">
        <f>IF('1. Live'!CQ364='check-Jul''26'!CM364,"",'1. Live'!CQ364-'check-Jul''26'!CM364)</f>
        <v/>
      </c>
      <c r="CN346" s="25" t="str">
        <f>IF('1. Live'!CR364='check-Jul''26'!CN364,"",'1. Live'!CR364-'check-Jul''26'!CN364)</f>
        <v/>
      </c>
      <c r="CO346" s="25" t="str">
        <f>IF('1. Live'!CS364='check-Jul''26'!CO364,"",'1. Live'!CS364-'check-Jul''26'!CO364)</f>
        <v/>
      </c>
      <c r="CP346" s="25" t="str">
        <f>IF('1. Live'!CT364='check-Jul''26'!CP364,"",'1. Live'!CT364-'check-Jul''26'!CP364)</f>
        <v/>
      </c>
      <c r="CQ346" s="25" t="str">
        <f>IF('1. Live'!CU364='check-Jul''26'!CQ364,"",'1. Live'!CU364-'check-Jul''26'!CQ364)</f>
        <v/>
      </c>
      <c r="CR346" s="25" t="str">
        <f>IF('1. Live'!CV364='check-Jul''26'!CR364,"",'1. Live'!CV364-'check-Jul''26'!CR364)</f>
        <v/>
      </c>
      <c r="CS346" s="25" t="str">
        <f>IF('1. Live'!CW364='check-Jul''26'!CS364,"",'1. Live'!CW364-'check-Jul''26'!CS364)</f>
        <v/>
      </c>
      <c r="CT346" s="25" t="str">
        <f>IF('1. Live'!CX364='check-Jul''26'!CT364,"",'1. Live'!CX364-'check-Jul''26'!CT364)</f>
        <v/>
      </c>
      <c r="CU346" s="25" t="str">
        <f>IF('1. Live'!CY364='check-Jul''26'!CU364,"",'1. Live'!CY364-'check-Jul''26'!CU364)</f>
        <v/>
      </c>
      <c r="CV346" s="25" t="str">
        <f>IF('1. Live'!CZ364='check-Jul''26'!CV364,"",'1. Live'!CZ364-'check-Jul''26'!CV364)</f>
        <v/>
      </c>
    </row>
    <row r="347" spans="17:100" x14ac:dyDescent="0.25">
      <c r="Q347" s="26" t="str">
        <f>IF('1. Live'!N365='check-Jul''26'!I365,"",'1. Live'!N365-'check-Jul''26'!I365)</f>
        <v/>
      </c>
      <c r="R347" s="26" t="str">
        <f>IF('1. Live'!O365='check-Jul''26'!J365,"",'1. Live'!O365-'check-Jul''26'!J365)</f>
        <v/>
      </c>
      <c r="S347" s="26" t="str">
        <f>IF('1. Live'!P365='check-Jul''26'!K365,"",'1. Live'!P365-'check-Jul''26'!K365)</f>
        <v/>
      </c>
      <c r="T347" s="26" t="str">
        <f>IF('1. Live'!Q365='check-Jul''26'!L365,"",'1. Live'!Q365-'check-Jul''26'!L365)</f>
        <v/>
      </c>
      <c r="U347" s="80" t="str">
        <f>IF('1. Live'!R365='check-Jul''26'!M365,"",'1. Live'!R365-'check-Jul''26'!M365)</f>
        <v/>
      </c>
      <c r="V347" s="26" t="str">
        <f>IF('1. Live'!S365='check-Jul''26'!N365,"",'1. Live'!S365-'check-Jul''26'!N365)</f>
        <v/>
      </c>
      <c r="W347" s="25" t="str">
        <f>IF('1. Live'!T365='check-Jul''26'!O365,"",'1. Live'!T365-'check-Jul''26'!O365)</f>
        <v/>
      </c>
      <c r="X347" s="25" t="str">
        <f>IF('1. Live'!U365='check-Jul''26'!Q365,"",'1. Live'!U365-'check-Jul''26'!Q365)</f>
        <v/>
      </c>
      <c r="Y347" s="25" t="str">
        <f>IF('1. Live'!V365='check-Jul''26'!R365,"",'1. Live'!V365-'check-Jul''26'!R365)</f>
        <v/>
      </c>
      <c r="Z347" s="25" t="str">
        <f>IF('1. Live'!W365='check-Jul''26'!S365,"",'1. Live'!W365-'check-Jul''26'!S365)</f>
        <v/>
      </c>
      <c r="AA347" s="25" t="str">
        <f>IF('1. Live'!X365='check-Jul''26'!T365,"",'1. Live'!X365-'check-Jul''26'!T365)</f>
        <v/>
      </c>
      <c r="AB347" s="25" t="str">
        <f>IF('1. Live'!AF365='check-Jul''26'!AB365,"",'1. Live'!AF365-'check-Jul''26'!AB365)</f>
        <v/>
      </c>
      <c r="AC347" s="25" t="str">
        <f>IF('1. Live'!AG365='check-Jul''26'!AC365,"",'1. Live'!AG365-'check-Jul''26'!AC365)</f>
        <v/>
      </c>
      <c r="AD347" s="25" t="str">
        <f>IF('1. Live'!AH365='check-Jul''26'!AD365,"",'1. Live'!AH365-'check-Jul''26'!AD365)</f>
        <v/>
      </c>
      <c r="AE347" s="25" t="str">
        <f>IF('1. Live'!AI365='check-Jul''26'!AE365,"",'1. Live'!AI365-'check-Jul''26'!AE365)</f>
        <v/>
      </c>
      <c r="AF347" s="25" t="str">
        <f>IF('1. Live'!AJ365='check-Jul''26'!AF365,"",'1. Live'!AJ365-'check-Jul''26'!AF365)</f>
        <v/>
      </c>
      <c r="AG347" s="25" t="str">
        <f>IF('1. Live'!AK365='check-Jul''26'!AG365,"",'1. Live'!AK365-'check-Jul''26'!AG365)</f>
        <v/>
      </c>
      <c r="AH347" s="25" t="str">
        <f>IF('1. Live'!AL365='check-Jul''26'!AH365,"",'1. Live'!AL365-'check-Jul''26'!AH365)</f>
        <v/>
      </c>
      <c r="AI347" s="25" t="str">
        <f>IF('1. Live'!AM365='check-Jul''26'!AI365,"",'1. Live'!AM365-'check-Jul''26'!AI365)</f>
        <v/>
      </c>
      <c r="AJ347" s="25" t="str">
        <f>IF('1. Live'!AN365='check-Jul''26'!AJ365,"",'1. Live'!AN365-'check-Jul''26'!AJ365)</f>
        <v/>
      </c>
      <c r="AK347" s="25" t="str">
        <f>IF('1. Live'!AO365='check-Jul''26'!AK365,"",'1. Live'!AO365-'check-Jul''26'!AK365)</f>
        <v/>
      </c>
      <c r="AL347" s="25" t="str">
        <f>IF('1. Live'!AP365='check-Jul''26'!AL365,"",'1. Live'!AP365-'check-Jul''26'!AL365)</f>
        <v/>
      </c>
      <c r="AM347" s="25" t="str">
        <f>IF('1. Live'!AQ365='check-Jul''26'!AM365,"",'1. Live'!AQ365-'check-Jul''26'!AM365)</f>
        <v/>
      </c>
      <c r="AN347" s="25" t="str">
        <f>IF('1. Live'!AR365='check-Jul''26'!AN365,"",'1. Live'!AR365-'check-Jul''26'!AN365)</f>
        <v/>
      </c>
      <c r="AO347" s="25" t="str">
        <f>IF('1. Live'!AS365='check-Jul''26'!AO365,"",'1. Live'!AS365-'check-Jul''26'!AO365)</f>
        <v/>
      </c>
      <c r="AP347" s="25" t="str">
        <f>IF('1. Live'!AT365='check-Jul''26'!AP365,"",'1. Live'!AT365-'check-Jul''26'!AP365)</f>
        <v/>
      </c>
      <c r="AQ347" s="25" t="str">
        <f>IF('1. Live'!AU365='check-Jul''26'!AQ365,"",'1. Live'!AU365-'check-Jul''26'!AQ365)</f>
        <v/>
      </c>
      <c r="AR347" s="25" t="str">
        <f>IF('1. Live'!AV365='check-Jul''26'!AR365,"",'1. Live'!AV365-'check-Jul''26'!AR365)</f>
        <v/>
      </c>
      <c r="AS347" s="25" t="str">
        <f>IF('1. Live'!AW365='check-Jul''26'!AS365,"",'1. Live'!AW365-'check-Jul''26'!AS365)</f>
        <v/>
      </c>
      <c r="AT347" s="25" t="str">
        <f>IF('1. Live'!AX365='check-Jul''26'!AT365,"",'1. Live'!AX365-'check-Jul''26'!AT365)</f>
        <v/>
      </c>
      <c r="AU347" s="25" t="str">
        <f>IF('1. Live'!AY365='check-Jul''26'!AU365,"",'1. Live'!AY365-'check-Jul''26'!AU365)</f>
        <v/>
      </c>
      <c r="AV347" s="25" t="str">
        <f>IF('1. Live'!AZ365='check-Jul''26'!AV365,"",'1. Live'!AZ365-'check-Jul''26'!AV365)</f>
        <v/>
      </c>
      <c r="AW347" s="25" t="str">
        <f>IF('1. Live'!BA365='check-Jul''26'!AW365,"",'1. Live'!BA365-'check-Jul''26'!AW365)</f>
        <v/>
      </c>
      <c r="AX347" s="25" t="str">
        <f>IF('1. Live'!BB365='check-Jul''26'!AX365,"",'1. Live'!BB365-'check-Jul''26'!AX365)</f>
        <v/>
      </c>
      <c r="AY347" s="25" t="str">
        <f>IF('1. Live'!BC365='check-Jul''26'!AY365,"",'1. Live'!BC365-'check-Jul''26'!AY365)</f>
        <v/>
      </c>
      <c r="AZ347" s="25" t="str">
        <f>IF('1. Live'!BD365='check-Jul''26'!AZ365,"",'1. Live'!BD365-'check-Jul''26'!AZ365)</f>
        <v/>
      </c>
      <c r="BA347" s="25" t="str">
        <f>IF('1. Live'!BE365='check-Jul''26'!BA365,"",'1. Live'!BE365-'check-Jul''26'!BA365)</f>
        <v/>
      </c>
      <c r="BB347" s="25" t="str">
        <f>IF('1. Live'!BF365='check-Jul''26'!BB365,"",'1. Live'!BF365-'check-Jul''26'!BB365)</f>
        <v/>
      </c>
      <c r="BC347" s="25" t="str">
        <f>IF('1. Live'!BG365='check-Jul''26'!BC365,"",'1. Live'!BG365-'check-Jul''26'!BC365)</f>
        <v/>
      </c>
      <c r="BD347" s="25" t="str">
        <f>IF('1. Live'!BH365='check-Jul''26'!BD365,"",'1. Live'!BH365-'check-Jul''26'!BD365)</f>
        <v/>
      </c>
      <c r="BE347" s="25" t="str">
        <f>IF('1. Live'!BI365='check-Jul''26'!BE365,"",'1. Live'!BI365-'check-Jul''26'!BE365)</f>
        <v/>
      </c>
      <c r="BF347" s="25" t="str">
        <f>IF('1. Live'!BJ365='check-Jul''26'!BF365,"",'1. Live'!BJ365-'check-Jul''26'!BF365)</f>
        <v/>
      </c>
      <c r="BG347" s="25" t="str">
        <f>IF('1. Live'!BK365='check-Jul''26'!BG365,"",'1. Live'!BK365-'check-Jul''26'!BG365)</f>
        <v/>
      </c>
      <c r="BH347" s="25" t="str">
        <f>IF('1. Live'!BL365='check-Jul''26'!BH365,"",'1. Live'!BL365-'check-Jul''26'!BH365)</f>
        <v/>
      </c>
      <c r="BI347" s="25" t="str">
        <f>IF('1. Live'!BM365='check-Jul''26'!BI365,"",'1. Live'!BM365-'check-Jul''26'!BI365)</f>
        <v/>
      </c>
      <c r="BJ347" s="25" t="str">
        <f>IF('1. Live'!BN365='check-Jul''26'!BJ365,"",'1. Live'!BN365-'check-Jul''26'!BJ365)</f>
        <v/>
      </c>
      <c r="BK347" s="25" t="str">
        <f>IF('1. Live'!BO365='check-Jul''26'!BK365,"",'1. Live'!BO365-'check-Jul''26'!BK365)</f>
        <v/>
      </c>
      <c r="BL347" s="25" t="str">
        <f>IF('1. Live'!BP365='check-Jul''26'!BL365,"",'1. Live'!BP365-'check-Jul''26'!BL365)</f>
        <v/>
      </c>
      <c r="BM347" s="25" t="str">
        <f>IF('1. Live'!BQ365='check-Jul''26'!BM365,"",'1. Live'!BQ365-'check-Jul''26'!BM365)</f>
        <v/>
      </c>
      <c r="BN347" s="25" t="str">
        <f>IF('1. Live'!BR365='check-Jul''26'!BN365,"",'1. Live'!BR365-'check-Jul''26'!BN365)</f>
        <v/>
      </c>
      <c r="BO347" s="25" t="str">
        <f>IF('1. Live'!BS365='check-Jul''26'!BO365,"",'1. Live'!BS365-'check-Jul''26'!BO365)</f>
        <v/>
      </c>
      <c r="BP347" s="25" t="str">
        <f>IF('1. Live'!BT365='check-Jul''26'!BP365,"",'1. Live'!BT365-'check-Jul''26'!BP365)</f>
        <v/>
      </c>
      <c r="BQ347" s="25" t="str">
        <f>IF('1. Live'!BU365='check-Jul''26'!BQ365,"",'1. Live'!BU365-'check-Jul''26'!BQ365)</f>
        <v/>
      </c>
      <c r="BR347" s="25" t="str">
        <f>IF('1. Live'!BV365='check-Jul''26'!BR365,"",'1. Live'!BV365-'check-Jul''26'!BR365)</f>
        <v/>
      </c>
      <c r="BS347" s="25" t="str">
        <f>IF('1. Live'!BW365='check-Jul''26'!BS365,"",'1. Live'!BW365-'check-Jul''26'!BS365)</f>
        <v/>
      </c>
      <c r="BT347" s="25" t="str">
        <f>IF('1. Live'!BX365='check-Jul''26'!BT365,"",'1. Live'!BX365-'check-Jul''26'!BT365)</f>
        <v/>
      </c>
      <c r="BU347" s="25" t="str">
        <f>IF('1. Live'!BY365='check-Jul''26'!BU365,"",'1. Live'!BY365-'check-Jul''26'!BU365)</f>
        <v/>
      </c>
      <c r="BV347" s="25" t="str">
        <f>IF('1. Live'!BZ365='check-Jul''26'!BV365,"",'1. Live'!BZ365-'check-Jul''26'!BV365)</f>
        <v/>
      </c>
      <c r="BW347" s="25" t="str">
        <f>IF('1. Live'!CA365='check-Jul''26'!BW365,"",'1. Live'!CA365-'check-Jul''26'!BW365)</f>
        <v/>
      </c>
      <c r="BX347" s="25" t="str">
        <f>IF('1. Live'!CB365='check-Jul''26'!BX365,"",'1. Live'!CB365-'check-Jul''26'!BX365)</f>
        <v/>
      </c>
      <c r="BY347" s="25" t="str">
        <f>IF('1. Live'!CC365='check-Jul''26'!BY365,"",'1. Live'!CC365-'check-Jul''26'!BY365)</f>
        <v/>
      </c>
      <c r="BZ347" s="25" t="str">
        <f>IF('1. Live'!CD365='check-Jul''26'!BZ365,"",'1. Live'!CD365-'check-Jul''26'!BZ365)</f>
        <v/>
      </c>
      <c r="CA347" s="25" t="str">
        <f>IF('1. Live'!CE365='check-Jul''26'!CA365,"",'1. Live'!CE365-'check-Jul''26'!CA365)</f>
        <v/>
      </c>
      <c r="CB347" s="25" t="str">
        <f>IF('1. Live'!CF365='check-Jul''26'!CB365,"",'1. Live'!CF365-'check-Jul''26'!CB365)</f>
        <v/>
      </c>
      <c r="CC347" s="25" t="str">
        <f>IF('1. Live'!CG365='check-Jul''26'!CC365,"",'1. Live'!CG365-'check-Jul''26'!CC365)</f>
        <v/>
      </c>
      <c r="CD347" s="25" t="str">
        <f>IF('1. Live'!CH365='check-Jul''26'!CD365,"",'1. Live'!CH365-'check-Jul''26'!CD365)</f>
        <v/>
      </c>
      <c r="CE347" s="25" t="str">
        <f>IF('1. Live'!CI365='check-Jul''26'!CE365,"",'1. Live'!CI365-'check-Jul''26'!CE365)</f>
        <v/>
      </c>
      <c r="CF347" s="25" t="str">
        <f>IF('1. Live'!CJ365='check-Jul''26'!CF365,"",'1. Live'!CJ365-'check-Jul''26'!CF365)</f>
        <v/>
      </c>
      <c r="CG347" s="25" t="str">
        <f>IF('1. Live'!CK365='check-Jul''26'!CG365,"",'1. Live'!CK365-'check-Jul''26'!CG365)</f>
        <v/>
      </c>
      <c r="CH347" s="25" t="str">
        <f>IF('1. Live'!CL365='check-Jul''26'!CH365,"",'1. Live'!CL365-'check-Jul''26'!CH365)</f>
        <v/>
      </c>
      <c r="CI347" s="25" t="str">
        <f>IF('1. Live'!CM365='check-Jul''26'!CI365,"",'1. Live'!CM365-'check-Jul''26'!CI365)</f>
        <v/>
      </c>
      <c r="CJ347" s="25" t="str">
        <f>IF('1. Live'!CN365='check-Jul''26'!CJ365,"",'1. Live'!CN365-'check-Jul''26'!CJ365)</f>
        <v/>
      </c>
      <c r="CK347" s="25" t="str">
        <f>IF('1. Live'!CO365='check-Jul''26'!CK365,"",'1. Live'!CO365-'check-Jul''26'!CK365)</f>
        <v/>
      </c>
      <c r="CL347" s="25" t="str">
        <f>IF('1. Live'!CP365='check-Jul''26'!CL365,"",'1. Live'!CP365-'check-Jul''26'!CL365)</f>
        <v/>
      </c>
      <c r="CM347" s="25" t="str">
        <f>IF('1. Live'!CQ365='check-Jul''26'!CM365,"",'1. Live'!CQ365-'check-Jul''26'!CM365)</f>
        <v/>
      </c>
      <c r="CN347" s="25" t="str">
        <f>IF('1. Live'!CR365='check-Jul''26'!CN365,"",'1. Live'!CR365-'check-Jul''26'!CN365)</f>
        <v/>
      </c>
      <c r="CO347" s="25" t="str">
        <f>IF('1. Live'!CS365='check-Jul''26'!CO365,"",'1. Live'!CS365-'check-Jul''26'!CO365)</f>
        <v/>
      </c>
      <c r="CP347" s="25" t="str">
        <f>IF('1. Live'!CT365='check-Jul''26'!CP365,"",'1. Live'!CT365-'check-Jul''26'!CP365)</f>
        <v/>
      </c>
      <c r="CQ347" s="25" t="str">
        <f>IF('1. Live'!CU365='check-Jul''26'!CQ365,"",'1. Live'!CU365-'check-Jul''26'!CQ365)</f>
        <v/>
      </c>
      <c r="CR347" s="25" t="str">
        <f>IF('1. Live'!CV365='check-Jul''26'!CR365,"",'1. Live'!CV365-'check-Jul''26'!CR365)</f>
        <v/>
      </c>
      <c r="CS347" s="25" t="str">
        <f>IF('1. Live'!CW365='check-Jul''26'!CS365,"",'1. Live'!CW365-'check-Jul''26'!CS365)</f>
        <v/>
      </c>
      <c r="CT347" s="25" t="str">
        <f>IF('1. Live'!CX365='check-Jul''26'!CT365,"",'1. Live'!CX365-'check-Jul''26'!CT365)</f>
        <v/>
      </c>
      <c r="CU347" s="25" t="str">
        <f>IF('1. Live'!CY365='check-Jul''26'!CU365,"",'1. Live'!CY365-'check-Jul''26'!CU365)</f>
        <v/>
      </c>
      <c r="CV347" s="25" t="str">
        <f>IF('1. Live'!CZ365='check-Jul''26'!CV365,"",'1. Live'!CZ365-'check-Jul''26'!CV365)</f>
        <v/>
      </c>
    </row>
    <row r="348" spans="17:100" x14ac:dyDescent="0.25">
      <c r="Q348" s="26" t="str">
        <f>IF('1. Live'!N366='check-Jul''26'!I366,"",'1. Live'!N366-'check-Jul''26'!I366)</f>
        <v/>
      </c>
      <c r="R348" s="26" t="str">
        <f>IF('1. Live'!O366='check-Jul''26'!J366,"",'1. Live'!O366-'check-Jul''26'!J366)</f>
        <v/>
      </c>
      <c r="S348" s="26" t="str">
        <f>IF('1. Live'!P366='check-Jul''26'!K366,"",'1. Live'!P366-'check-Jul''26'!K366)</f>
        <v/>
      </c>
      <c r="T348" s="26" t="str">
        <f>IF('1. Live'!Q366='check-Jul''26'!L366,"",'1. Live'!Q366-'check-Jul''26'!L366)</f>
        <v/>
      </c>
      <c r="U348" s="80" t="str">
        <f>IF('1. Live'!R366='check-Jul''26'!M366,"",'1. Live'!R366-'check-Jul''26'!M366)</f>
        <v/>
      </c>
      <c r="V348" s="26" t="str">
        <f>IF('1. Live'!S366='check-Jul''26'!N366,"",'1. Live'!S366-'check-Jul''26'!N366)</f>
        <v/>
      </c>
      <c r="W348" s="25" t="str">
        <f>IF('1. Live'!T366='check-Jul''26'!O366,"",'1. Live'!T366-'check-Jul''26'!O366)</f>
        <v/>
      </c>
      <c r="X348" s="25" t="str">
        <f>IF('1. Live'!U366='check-Jul''26'!Q366,"",'1. Live'!U366-'check-Jul''26'!Q366)</f>
        <v/>
      </c>
      <c r="Y348" s="25" t="str">
        <f>IF('1. Live'!V366='check-Jul''26'!R366,"",'1. Live'!V366-'check-Jul''26'!R366)</f>
        <v/>
      </c>
      <c r="Z348" s="25" t="str">
        <f>IF('1. Live'!W366='check-Jul''26'!S366,"",'1. Live'!W366-'check-Jul''26'!S366)</f>
        <v/>
      </c>
      <c r="AA348" s="25" t="str">
        <f>IF('1. Live'!X366='check-Jul''26'!T366,"",'1. Live'!X366-'check-Jul''26'!T366)</f>
        <v/>
      </c>
      <c r="AB348" s="25" t="str">
        <f>IF('1. Live'!AF366='check-Jul''26'!AB366,"",'1. Live'!AF366-'check-Jul''26'!AB366)</f>
        <v/>
      </c>
      <c r="AC348" s="25" t="str">
        <f>IF('1. Live'!AG366='check-Jul''26'!AC366,"",'1. Live'!AG366-'check-Jul''26'!AC366)</f>
        <v/>
      </c>
      <c r="AD348" s="25" t="str">
        <f>IF('1. Live'!AH366='check-Jul''26'!AD366,"",'1. Live'!AH366-'check-Jul''26'!AD366)</f>
        <v/>
      </c>
      <c r="AE348" s="25" t="str">
        <f>IF('1. Live'!AI366='check-Jul''26'!AE366,"",'1. Live'!AI366-'check-Jul''26'!AE366)</f>
        <v/>
      </c>
      <c r="AF348" s="25" t="str">
        <f>IF('1. Live'!AJ366='check-Jul''26'!AF366,"",'1. Live'!AJ366-'check-Jul''26'!AF366)</f>
        <v/>
      </c>
      <c r="AG348" s="25" t="str">
        <f>IF('1. Live'!AK366='check-Jul''26'!AG366,"",'1. Live'!AK366-'check-Jul''26'!AG366)</f>
        <v/>
      </c>
      <c r="AH348" s="25" t="str">
        <f>IF('1. Live'!AL366='check-Jul''26'!AH366,"",'1. Live'!AL366-'check-Jul''26'!AH366)</f>
        <v/>
      </c>
      <c r="AI348" s="25" t="str">
        <f>IF('1. Live'!AM366='check-Jul''26'!AI366,"",'1. Live'!AM366-'check-Jul''26'!AI366)</f>
        <v/>
      </c>
      <c r="AJ348" s="25" t="str">
        <f>IF('1. Live'!AN366='check-Jul''26'!AJ366,"",'1. Live'!AN366-'check-Jul''26'!AJ366)</f>
        <v/>
      </c>
      <c r="AK348" s="25" t="str">
        <f>IF('1. Live'!AO366='check-Jul''26'!AK366,"",'1. Live'!AO366-'check-Jul''26'!AK366)</f>
        <v/>
      </c>
      <c r="AL348" s="25" t="str">
        <f>IF('1. Live'!AP366='check-Jul''26'!AL366,"",'1. Live'!AP366-'check-Jul''26'!AL366)</f>
        <v/>
      </c>
      <c r="AM348" s="25" t="str">
        <f>IF('1. Live'!AQ366='check-Jul''26'!AM366,"",'1. Live'!AQ366-'check-Jul''26'!AM366)</f>
        <v/>
      </c>
      <c r="AN348" s="25" t="str">
        <f>IF('1. Live'!AR366='check-Jul''26'!AN366,"",'1. Live'!AR366-'check-Jul''26'!AN366)</f>
        <v/>
      </c>
      <c r="AO348" s="25" t="str">
        <f>IF('1. Live'!AS366='check-Jul''26'!AO366,"",'1. Live'!AS366-'check-Jul''26'!AO366)</f>
        <v/>
      </c>
      <c r="AP348" s="25" t="str">
        <f>IF('1. Live'!AT366='check-Jul''26'!AP366,"",'1. Live'!AT366-'check-Jul''26'!AP366)</f>
        <v/>
      </c>
      <c r="AQ348" s="25" t="str">
        <f>IF('1. Live'!AU366='check-Jul''26'!AQ366,"",'1. Live'!AU366-'check-Jul''26'!AQ366)</f>
        <v/>
      </c>
      <c r="AR348" s="25" t="str">
        <f>IF('1. Live'!AV366='check-Jul''26'!AR366,"",'1. Live'!AV366-'check-Jul''26'!AR366)</f>
        <v/>
      </c>
      <c r="AS348" s="25" t="str">
        <f>IF('1. Live'!AW366='check-Jul''26'!AS366,"",'1. Live'!AW366-'check-Jul''26'!AS366)</f>
        <v/>
      </c>
      <c r="AT348" s="25" t="str">
        <f>IF('1. Live'!AX366='check-Jul''26'!AT366,"",'1. Live'!AX366-'check-Jul''26'!AT366)</f>
        <v/>
      </c>
      <c r="AU348" s="25" t="str">
        <f>IF('1. Live'!AY366='check-Jul''26'!AU366,"",'1. Live'!AY366-'check-Jul''26'!AU366)</f>
        <v/>
      </c>
      <c r="AV348" s="25" t="str">
        <f>IF('1. Live'!AZ366='check-Jul''26'!AV366,"",'1. Live'!AZ366-'check-Jul''26'!AV366)</f>
        <v/>
      </c>
      <c r="AW348" s="25" t="str">
        <f>IF('1. Live'!BA366='check-Jul''26'!AW366,"",'1. Live'!BA366-'check-Jul''26'!AW366)</f>
        <v/>
      </c>
      <c r="AX348" s="25" t="str">
        <f>IF('1. Live'!BB366='check-Jul''26'!AX366,"",'1. Live'!BB366-'check-Jul''26'!AX366)</f>
        <v/>
      </c>
      <c r="AY348" s="25" t="str">
        <f>IF('1. Live'!BC366='check-Jul''26'!AY366,"",'1. Live'!BC366-'check-Jul''26'!AY366)</f>
        <v/>
      </c>
      <c r="AZ348" s="25" t="str">
        <f>IF('1. Live'!BD366='check-Jul''26'!AZ366,"",'1. Live'!BD366-'check-Jul''26'!AZ366)</f>
        <v/>
      </c>
      <c r="BA348" s="25" t="str">
        <f>IF('1. Live'!BE366='check-Jul''26'!BA366,"",'1. Live'!BE366-'check-Jul''26'!BA366)</f>
        <v/>
      </c>
      <c r="BB348" s="25" t="str">
        <f>IF('1. Live'!BF366='check-Jul''26'!BB366,"",'1. Live'!BF366-'check-Jul''26'!BB366)</f>
        <v/>
      </c>
      <c r="BC348" s="25" t="str">
        <f>IF('1. Live'!BG366='check-Jul''26'!BC366,"",'1. Live'!BG366-'check-Jul''26'!BC366)</f>
        <v/>
      </c>
      <c r="BD348" s="25" t="str">
        <f>IF('1. Live'!BH366='check-Jul''26'!BD366,"",'1. Live'!BH366-'check-Jul''26'!BD366)</f>
        <v/>
      </c>
      <c r="BE348" s="25" t="str">
        <f>IF('1. Live'!BI366='check-Jul''26'!BE366,"",'1. Live'!BI366-'check-Jul''26'!BE366)</f>
        <v/>
      </c>
      <c r="BF348" s="25" t="str">
        <f>IF('1. Live'!BJ366='check-Jul''26'!BF366,"",'1. Live'!BJ366-'check-Jul''26'!BF366)</f>
        <v/>
      </c>
      <c r="BG348" s="25" t="str">
        <f>IF('1. Live'!BK366='check-Jul''26'!BG366,"",'1. Live'!BK366-'check-Jul''26'!BG366)</f>
        <v/>
      </c>
      <c r="BH348" s="25" t="str">
        <f>IF('1. Live'!BL366='check-Jul''26'!BH366,"",'1. Live'!BL366-'check-Jul''26'!BH366)</f>
        <v/>
      </c>
      <c r="BI348" s="25" t="str">
        <f>IF('1. Live'!BM366='check-Jul''26'!BI366,"",'1. Live'!BM366-'check-Jul''26'!BI366)</f>
        <v/>
      </c>
      <c r="BJ348" s="25" t="str">
        <f>IF('1. Live'!BN366='check-Jul''26'!BJ366,"",'1. Live'!BN366-'check-Jul''26'!BJ366)</f>
        <v/>
      </c>
      <c r="BK348" s="25" t="str">
        <f>IF('1. Live'!BO366='check-Jul''26'!BK366,"",'1. Live'!BO366-'check-Jul''26'!BK366)</f>
        <v/>
      </c>
      <c r="BL348" s="25" t="str">
        <f>IF('1. Live'!BP366='check-Jul''26'!BL366,"",'1. Live'!BP366-'check-Jul''26'!BL366)</f>
        <v/>
      </c>
      <c r="BM348" s="25" t="str">
        <f>IF('1. Live'!BQ366='check-Jul''26'!BM366,"",'1. Live'!BQ366-'check-Jul''26'!BM366)</f>
        <v/>
      </c>
      <c r="BN348" s="25" t="str">
        <f>IF('1. Live'!BR366='check-Jul''26'!BN366,"",'1. Live'!BR366-'check-Jul''26'!BN366)</f>
        <v/>
      </c>
      <c r="BO348" s="25" t="str">
        <f>IF('1. Live'!BS366='check-Jul''26'!BO366,"",'1. Live'!BS366-'check-Jul''26'!BO366)</f>
        <v/>
      </c>
      <c r="BP348" s="25" t="str">
        <f>IF('1. Live'!BT366='check-Jul''26'!BP366,"",'1. Live'!BT366-'check-Jul''26'!BP366)</f>
        <v/>
      </c>
      <c r="BQ348" s="25" t="str">
        <f>IF('1. Live'!BU366='check-Jul''26'!BQ366,"",'1. Live'!BU366-'check-Jul''26'!BQ366)</f>
        <v/>
      </c>
      <c r="BR348" s="25" t="str">
        <f>IF('1. Live'!BV366='check-Jul''26'!BR366,"",'1. Live'!BV366-'check-Jul''26'!BR366)</f>
        <v/>
      </c>
      <c r="BS348" s="25" t="str">
        <f>IF('1. Live'!BW366='check-Jul''26'!BS366,"",'1. Live'!BW366-'check-Jul''26'!BS366)</f>
        <v/>
      </c>
      <c r="BT348" s="25" t="str">
        <f>IF('1. Live'!BX366='check-Jul''26'!BT366,"",'1. Live'!BX366-'check-Jul''26'!BT366)</f>
        <v/>
      </c>
      <c r="BU348" s="25" t="str">
        <f>IF('1. Live'!BY366='check-Jul''26'!BU366,"",'1. Live'!BY366-'check-Jul''26'!BU366)</f>
        <v/>
      </c>
      <c r="BV348" s="25" t="str">
        <f>IF('1. Live'!BZ366='check-Jul''26'!BV366,"",'1. Live'!BZ366-'check-Jul''26'!BV366)</f>
        <v/>
      </c>
      <c r="BW348" s="25" t="str">
        <f>IF('1. Live'!CA366='check-Jul''26'!BW366,"",'1. Live'!CA366-'check-Jul''26'!BW366)</f>
        <v/>
      </c>
      <c r="BX348" s="25" t="str">
        <f>IF('1. Live'!CB366='check-Jul''26'!BX366,"",'1. Live'!CB366-'check-Jul''26'!BX366)</f>
        <v/>
      </c>
      <c r="BY348" s="25" t="str">
        <f>IF('1. Live'!CC366='check-Jul''26'!BY366,"",'1. Live'!CC366-'check-Jul''26'!BY366)</f>
        <v/>
      </c>
      <c r="BZ348" s="25" t="str">
        <f>IF('1. Live'!CD366='check-Jul''26'!BZ366,"",'1. Live'!CD366-'check-Jul''26'!BZ366)</f>
        <v/>
      </c>
      <c r="CA348" s="25" t="str">
        <f>IF('1. Live'!CE366='check-Jul''26'!CA366,"",'1. Live'!CE366-'check-Jul''26'!CA366)</f>
        <v/>
      </c>
      <c r="CB348" s="25" t="str">
        <f>IF('1. Live'!CF366='check-Jul''26'!CB366,"",'1. Live'!CF366-'check-Jul''26'!CB366)</f>
        <v/>
      </c>
      <c r="CC348" s="25" t="str">
        <f>IF('1. Live'!CG366='check-Jul''26'!CC366,"",'1. Live'!CG366-'check-Jul''26'!CC366)</f>
        <v/>
      </c>
      <c r="CD348" s="25" t="str">
        <f>IF('1. Live'!CH366='check-Jul''26'!CD366,"",'1. Live'!CH366-'check-Jul''26'!CD366)</f>
        <v/>
      </c>
      <c r="CE348" s="25" t="str">
        <f>IF('1. Live'!CI366='check-Jul''26'!CE366,"",'1. Live'!CI366-'check-Jul''26'!CE366)</f>
        <v/>
      </c>
      <c r="CF348" s="25" t="str">
        <f>IF('1. Live'!CJ366='check-Jul''26'!CF366,"",'1. Live'!CJ366-'check-Jul''26'!CF366)</f>
        <v/>
      </c>
      <c r="CG348" s="25" t="str">
        <f>IF('1. Live'!CK366='check-Jul''26'!CG366,"",'1. Live'!CK366-'check-Jul''26'!CG366)</f>
        <v/>
      </c>
      <c r="CH348" s="25" t="str">
        <f>IF('1. Live'!CL366='check-Jul''26'!CH366,"",'1. Live'!CL366-'check-Jul''26'!CH366)</f>
        <v/>
      </c>
      <c r="CI348" s="25" t="str">
        <f>IF('1. Live'!CM366='check-Jul''26'!CI366,"",'1. Live'!CM366-'check-Jul''26'!CI366)</f>
        <v/>
      </c>
      <c r="CJ348" s="25" t="str">
        <f>IF('1. Live'!CN366='check-Jul''26'!CJ366,"",'1. Live'!CN366-'check-Jul''26'!CJ366)</f>
        <v/>
      </c>
      <c r="CK348" s="25" t="str">
        <f>IF('1. Live'!CO366='check-Jul''26'!CK366,"",'1. Live'!CO366-'check-Jul''26'!CK366)</f>
        <v/>
      </c>
      <c r="CL348" s="25" t="str">
        <f>IF('1. Live'!CP366='check-Jul''26'!CL366,"",'1. Live'!CP366-'check-Jul''26'!CL366)</f>
        <v/>
      </c>
      <c r="CM348" s="25" t="str">
        <f>IF('1. Live'!CQ366='check-Jul''26'!CM366,"",'1. Live'!CQ366-'check-Jul''26'!CM366)</f>
        <v/>
      </c>
      <c r="CN348" s="25" t="str">
        <f>IF('1. Live'!CR366='check-Jul''26'!CN366,"",'1. Live'!CR366-'check-Jul''26'!CN366)</f>
        <v/>
      </c>
      <c r="CO348" s="25" t="str">
        <f>IF('1. Live'!CS366='check-Jul''26'!CO366,"",'1. Live'!CS366-'check-Jul''26'!CO366)</f>
        <v/>
      </c>
      <c r="CP348" s="25" t="str">
        <f>IF('1. Live'!CT366='check-Jul''26'!CP366,"",'1. Live'!CT366-'check-Jul''26'!CP366)</f>
        <v/>
      </c>
      <c r="CQ348" s="25" t="str">
        <f>IF('1. Live'!CU366='check-Jul''26'!CQ366,"",'1. Live'!CU366-'check-Jul''26'!CQ366)</f>
        <v/>
      </c>
      <c r="CR348" s="25" t="str">
        <f>IF('1. Live'!CV366='check-Jul''26'!CR366,"",'1. Live'!CV366-'check-Jul''26'!CR366)</f>
        <v/>
      </c>
      <c r="CS348" s="25" t="str">
        <f>IF('1. Live'!CW366='check-Jul''26'!CS366,"",'1. Live'!CW366-'check-Jul''26'!CS366)</f>
        <v/>
      </c>
      <c r="CT348" s="25" t="str">
        <f>IF('1. Live'!CX366='check-Jul''26'!CT366,"",'1. Live'!CX366-'check-Jul''26'!CT366)</f>
        <v/>
      </c>
      <c r="CU348" s="25" t="str">
        <f>IF('1. Live'!CY366='check-Jul''26'!CU366,"",'1. Live'!CY366-'check-Jul''26'!CU366)</f>
        <v/>
      </c>
      <c r="CV348" s="25" t="str">
        <f>IF('1. Live'!CZ366='check-Jul''26'!CV366,"",'1. Live'!CZ366-'check-Jul''26'!CV366)</f>
        <v/>
      </c>
    </row>
    <row r="349" spans="17:100" x14ac:dyDescent="0.25">
      <c r="Q349" s="26" t="str">
        <f>IF('1. Live'!N367='check-Jul''26'!I367,"",'1. Live'!N367-'check-Jul''26'!I367)</f>
        <v/>
      </c>
      <c r="R349" s="26" t="str">
        <f>IF('1. Live'!O367='check-Jul''26'!J367,"",'1. Live'!O367-'check-Jul''26'!J367)</f>
        <v/>
      </c>
      <c r="S349" s="26" t="str">
        <f>IF('1. Live'!P367='check-Jul''26'!K367,"",'1. Live'!P367-'check-Jul''26'!K367)</f>
        <v/>
      </c>
      <c r="T349" s="26" t="str">
        <f>IF('1. Live'!Q367='check-Jul''26'!L367,"",'1. Live'!Q367-'check-Jul''26'!L367)</f>
        <v/>
      </c>
      <c r="U349" s="80" t="str">
        <f>IF('1. Live'!R367='check-Jul''26'!M367,"",'1. Live'!R367-'check-Jul''26'!M367)</f>
        <v/>
      </c>
      <c r="V349" s="26" t="str">
        <f>IF('1. Live'!S367='check-Jul''26'!N367,"",'1. Live'!S367-'check-Jul''26'!N367)</f>
        <v/>
      </c>
      <c r="W349" s="25" t="str">
        <f>IF('1. Live'!T367='check-Jul''26'!O367,"",'1. Live'!T367-'check-Jul''26'!O367)</f>
        <v/>
      </c>
      <c r="X349" s="25" t="str">
        <f>IF('1. Live'!U367='check-Jul''26'!Q367,"",'1. Live'!U367-'check-Jul''26'!Q367)</f>
        <v/>
      </c>
      <c r="Y349" s="25" t="str">
        <f>IF('1. Live'!V367='check-Jul''26'!R367,"",'1. Live'!V367-'check-Jul''26'!R367)</f>
        <v/>
      </c>
      <c r="Z349" s="25" t="str">
        <f>IF('1. Live'!W367='check-Jul''26'!S367,"",'1. Live'!W367-'check-Jul''26'!S367)</f>
        <v/>
      </c>
      <c r="AA349" s="25" t="str">
        <f>IF('1. Live'!X367='check-Jul''26'!T367,"",'1. Live'!X367-'check-Jul''26'!T367)</f>
        <v/>
      </c>
      <c r="AB349" s="25" t="str">
        <f>IF('1. Live'!AF367='check-Jul''26'!AB367,"",'1. Live'!AF367-'check-Jul''26'!AB367)</f>
        <v/>
      </c>
      <c r="AC349" s="25" t="str">
        <f>IF('1. Live'!AG367='check-Jul''26'!AC367,"",'1. Live'!AG367-'check-Jul''26'!AC367)</f>
        <v/>
      </c>
      <c r="AD349" s="25" t="str">
        <f>IF('1. Live'!AH367='check-Jul''26'!AD367,"",'1. Live'!AH367-'check-Jul''26'!AD367)</f>
        <v/>
      </c>
      <c r="AE349" s="25" t="str">
        <f>IF('1. Live'!AI367='check-Jul''26'!AE367,"",'1. Live'!AI367-'check-Jul''26'!AE367)</f>
        <v/>
      </c>
      <c r="AF349" s="25" t="str">
        <f>IF('1. Live'!AJ367='check-Jul''26'!AF367,"",'1. Live'!AJ367-'check-Jul''26'!AF367)</f>
        <v/>
      </c>
      <c r="AG349" s="25" t="str">
        <f>IF('1. Live'!AK367='check-Jul''26'!AG367,"",'1. Live'!AK367-'check-Jul''26'!AG367)</f>
        <v/>
      </c>
      <c r="AH349" s="25" t="str">
        <f>IF('1. Live'!AL367='check-Jul''26'!AH367,"",'1. Live'!AL367-'check-Jul''26'!AH367)</f>
        <v/>
      </c>
      <c r="AI349" s="25" t="str">
        <f>IF('1. Live'!AM367='check-Jul''26'!AI367,"",'1. Live'!AM367-'check-Jul''26'!AI367)</f>
        <v/>
      </c>
      <c r="AJ349" s="25" t="str">
        <f>IF('1. Live'!AN367='check-Jul''26'!AJ367,"",'1. Live'!AN367-'check-Jul''26'!AJ367)</f>
        <v/>
      </c>
      <c r="AK349" s="25" t="str">
        <f>IF('1. Live'!AO367='check-Jul''26'!AK367,"",'1. Live'!AO367-'check-Jul''26'!AK367)</f>
        <v/>
      </c>
      <c r="AL349" s="25" t="str">
        <f>IF('1. Live'!AP367='check-Jul''26'!AL367,"",'1. Live'!AP367-'check-Jul''26'!AL367)</f>
        <v/>
      </c>
      <c r="AM349" s="25" t="str">
        <f>IF('1. Live'!AQ367='check-Jul''26'!AM367,"",'1. Live'!AQ367-'check-Jul''26'!AM367)</f>
        <v/>
      </c>
      <c r="AN349" s="25" t="str">
        <f>IF('1. Live'!AR367='check-Jul''26'!AN367,"",'1. Live'!AR367-'check-Jul''26'!AN367)</f>
        <v/>
      </c>
      <c r="AO349" s="25" t="str">
        <f>IF('1. Live'!AS367='check-Jul''26'!AO367,"",'1. Live'!AS367-'check-Jul''26'!AO367)</f>
        <v/>
      </c>
      <c r="AP349" s="25" t="str">
        <f>IF('1. Live'!AT367='check-Jul''26'!AP367,"",'1. Live'!AT367-'check-Jul''26'!AP367)</f>
        <v/>
      </c>
      <c r="AQ349" s="25" t="str">
        <f>IF('1. Live'!AU367='check-Jul''26'!AQ367,"",'1. Live'!AU367-'check-Jul''26'!AQ367)</f>
        <v/>
      </c>
      <c r="AR349" s="25" t="str">
        <f>IF('1. Live'!AV367='check-Jul''26'!AR367,"",'1. Live'!AV367-'check-Jul''26'!AR367)</f>
        <v/>
      </c>
      <c r="AS349" s="25" t="str">
        <f>IF('1. Live'!AW367='check-Jul''26'!AS367,"",'1. Live'!AW367-'check-Jul''26'!AS367)</f>
        <v/>
      </c>
      <c r="AT349" s="25" t="str">
        <f>IF('1. Live'!AX367='check-Jul''26'!AT367,"",'1. Live'!AX367-'check-Jul''26'!AT367)</f>
        <v/>
      </c>
      <c r="AU349" s="25" t="str">
        <f>IF('1. Live'!AY367='check-Jul''26'!AU367,"",'1. Live'!AY367-'check-Jul''26'!AU367)</f>
        <v/>
      </c>
      <c r="AV349" s="25" t="str">
        <f>IF('1. Live'!AZ367='check-Jul''26'!AV367,"",'1. Live'!AZ367-'check-Jul''26'!AV367)</f>
        <v/>
      </c>
      <c r="AW349" s="25" t="str">
        <f>IF('1. Live'!BA367='check-Jul''26'!AW367,"",'1. Live'!BA367-'check-Jul''26'!AW367)</f>
        <v/>
      </c>
      <c r="AX349" s="25" t="str">
        <f>IF('1. Live'!BB367='check-Jul''26'!AX367,"",'1. Live'!BB367-'check-Jul''26'!AX367)</f>
        <v/>
      </c>
      <c r="AY349" s="25" t="str">
        <f>IF('1. Live'!BC367='check-Jul''26'!AY367,"",'1. Live'!BC367-'check-Jul''26'!AY367)</f>
        <v/>
      </c>
      <c r="AZ349" s="25" t="str">
        <f>IF('1. Live'!BD367='check-Jul''26'!AZ367,"",'1. Live'!BD367-'check-Jul''26'!AZ367)</f>
        <v/>
      </c>
      <c r="BA349" s="25" t="str">
        <f>IF('1. Live'!BE367='check-Jul''26'!BA367,"",'1. Live'!BE367-'check-Jul''26'!BA367)</f>
        <v/>
      </c>
      <c r="BB349" s="25" t="str">
        <f>IF('1. Live'!BF367='check-Jul''26'!BB367,"",'1. Live'!BF367-'check-Jul''26'!BB367)</f>
        <v/>
      </c>
      <c r="BC349" s="25" t="str">
        <f>IF('1. Live'!BG367='check-Jul''26'!BC367,"",'1. Live'!BG367-'check-Jul''26'!BC367)</f>
        <v/>
      </c>
      <c r="BD349" s="25" t="str">
        <f>IF('1. Live'!BH367='check-Jul''26'!BD367,"",'1. Live'!BH367-'check-Jul''26'!BD367)</f>
        <v/>
      </c>
      <c r="BE349" s="25" t="str">
        <f>IF('1. Live'!BI367='check-Jul''26'!BE367,"",'1. Live'!BI367-'check-Jul''26'!BE367)</f>
        <v/>
      </c>
      <c r="BF349" s="25" t="str">
        <f>IF('1. Live'!BJ367='check-Jul''26'!BF367,"",'1. Live'!BJ367-'check-Jul''26'!BF367)</f>
        <v/>
      </c>
      <c r="BG349" s="25" t="str">
        <f>IF('1. Live'!BK367='check-Jul''26'!BG367,"",'1. Live'!BK367-'check-Jul''26'!BG367)</f>
        <v/>
      </c>
      <c r="BH349" s="25" t="str">
        <f>IF('1. Live'!BL367='check-Jul''26'!BH367,"",'1. Live'!BL367-'check-Jul''26'!BH367)</f>
        <v/>
      </c>
      <c r="BI349" s="25" t="str">
        <f>IF('1. Live'!BM367='check-Jul''26'!BI367,"",'1. Live'!BM367-'check-Jul''26'!BI367)</f>
        <v/>
      </c>
      <c r="BJ349" s="25" t="str">
        <f>IF('1. Live'!BN367='check-Jul''26'!BJ367,"",'1. Live'!BN367-'check-Jul''26'!BJ367)</f>
        <v/>
      </c>
      <c r="BK349" s="25" t="str">
        <f>IF('1. Live'!BO367='check-Jul''26'!BK367,"",'1. Live'!BO367-'check-Jul''26'!BK367)</f>
        <v/>
      </c>
      <c r="BL349" s="25" t="str">
        <f>IF('1. Live'!BP367='check-Jul''26'!BL367,"",'1. Live'!BP367-'check-Jul''26'!BL367)</f>
        <v/>
      </c>
      <c r="BM349" s="25" t="str">
        <f>IF('1. Live'!BQ367='check-Jul''26'!BM367,"",'1. Live'!BQ367-'check-Jul''26'!BM367)</f>
        <v/>
      </c>
      <c r="BN349" s="25" t="str">
        <f>IF('1. Live'!BR367='check-Jul''26'!BN367,"",'1. Live'!BR367-'check-Jul''26'!BN367)</f>
        <v/>
      </c>
      <c r="BO349" s="25" t="str">
        <f>IF('1. Live'!BS367='check-Jul''26'!BO367,"",'1. Live'!BS367-'check-Jul''26'!BO367)</f>
        <v/>
      </c>
      <c r="BP349" s="25" t="str">
        <f>IF('1. Live'!BT367='check-Jul''26'!BP367,"",'1. Live'!BT367-'check-Jul''26'!BP367)</f>
        <v/>
      </c>
      <c r="BQ349" s="25" t="str">
        <f>IF('1. Live'!BU367='check-Jul''26'!BQ367,"",'1. Live'!BU367-'check-Jul''26'!BQ367)</f>
        <v/>
      </c>
      <c r="BR349" s="25" t="str">
        <f>IF('1. Live'!BV367='check-Jul''26'!BR367,"",'1. Live'!BV367-'check-Jul''26'!BR367)</f>
        <v/>
      </c>
      <c r="BS349" s="25" t="str">
        <f>IF('1. Live'!BW367='check-Jul''26'!BS367,"",'1. Live'!BW367-'check-Jul''26'!BS367)</f>
        <v/>
      </c>
      <c r="BT349" s="25" t="str">
        <f>IF('1. Live'!BX367='check-Jul''26'!BT367,"",'1. Live'!BX367-'check-Jul''26'!BT367)</f>
        <v/>
      </c>
      <c r="BU349" s="25" t="str">
        <f>IF('1. Live'!BY367='check-Jul''26'!BU367,"",'1. Live'!BY367-'check-Jul''26'!BU367)</f>
        <v/>
      </c>
      <c r="BV349" s="25" t="str">
        <f>IF('1. Live'!BZ367='check-Jul''26'!BV367,"",'1. Live'!BZ367-'check-Jul''26'!BV367)</f>
        <v/>
      </c>
      <c r="BW349" s="25" t="str">
        <f>IF('1. Live'!CA367='check-Jul''26'!BW367,"",'1. Live'!CA367-'check-Jul''26'!BW367)</f>
        <v/>
      </c>
      <c r="BX349" s="25" t="str">
        <f>IF('1. Live'!CB367='check-Jul''26'!BX367,"",'1. Live'!CB367-'check-Jul''26'!BX367)</f>
        <v/>
      </c>
      <c r="BY349" s="25" t="str">
        <f>IF('1. Live'!CC367='check-Jul''26'!BY367,"",'1. Live'!CC367-'check-Jul''26'!BY367)</f>
        <v/>
      </c>
      <c r="BZ349" s="25" t="str">
        <f>IF('1. Live'!CD367='check-Jul''26'!BZ367,"",'1. Live'!CD367-'check-Jul''26'!BZ367)</f>
        <v/>
      </c>
      <c r="CA349" s="25" t="str">
        <f>IF('1. Live'!CE367='check-Jul''26'!CA367,"",'1. Live'!CE367-'check-Jul''26'!CA367)</f>
        <v/>
      </c>
      <c r="CB349" s="25" t="str">
        <f>IF('1. Live'!CF367='check-Jul''26'!CB367,"",'1. Live'!CF367-'check-Jul''26'!CB367)</f>
        <v/>
      </c>
      <c r="CC349" s="25" t="str">
        <f>IF('1. Live'!CG367='check-Jul''26'!CC367,"",'1. Live'!CG367-'check-Jul''26'!CC367)</f>
        <v/>
      </c>
      <c r="CD349" s="25" t="str">
        <f>IF('1. Live'!CH367='check-Jul''26'!CD367,"",'1. Live'!CH367-'check-Jul''26'!CD367)</f>
        <v/>
      </c>
      <c r="CE349" s="25" t="str">
        <f>IF('1. Live'!CI367='check-Jul''26'!CE367,"",'1. Live'!CI367-'check-Jul''26'!CE367)</f>
        <v/>
      </c>
      <c r="CF349" s="25" t="str">
        <f>IF('1. Live'!CJ367='check-Jul''26'!CF367,"",'1. Live'!CJ367-'check-Jul''26'!CF367)</f>
        <v/>
      </c>
      <c r="CG349" s="25" t="str">
        <f>IF('1. Live'!CK367='check-Jul''26'!CG367,"",'1. Live'!CK367-'check-Jul''26'!CG367)</f>
        <v/>
      </c>
      <c r="CH349" s="25" t="str">
        <f>IF('1. Live'!CL367='check-Jul''26'!CH367,"",'1. Live'!CL367-'check-Jul''26'!CH367)</f>
        <v/>
      </c>
      <c r="CI349" s="25" t="str">
        <f>IF('1. Live'!CM367='check-Jul''26'!CI367,"",'1. Live'!CM367-'check-Jul''26'!CI367)</f>
        <v/>
      </c>
      <c r="CJ349" s="25" t="str">
        <f>IF('1. Live'!CN367='check-Jul''26'!CJ367,"",'1. Live'!CN367-'check-Jul''26'!CJ367)</f>
        <v/>
      </c>
      <c r="CK349" s="25" t="str">
        <f>IF('1. Live'!CO367='check-Jul''26'!CK367,"",'1. Live'!CO367-'check-Jul''26'!CK367)</f>
        <v/>
      </c>
      <c r="CL349" s="25" t="str">
        <f>IF('1. Live'!CP367='check-Jul''26'!CL367,"",'1. Live'!CP367-'check-Jul''26'!CL367)</f>
        <v/>
      </c>
      <c r="CM349" s="25" t="str">
        <f>IF('1. Live'!CQ367='check-Jul''26'!CM367,"",'1. Live'!CQ367-'check-Jul''26'!CM367)</f>
        <v/>
      </c>
      <c r="CN349" s="25" t="str">
        <f>IF('1. Live'!CR367='check-Jul''26'!CN367,"",'1. Live'!CR367-'check-Jul''26'!CN367)</f>
        <v/>
      </c>
      <c r="CO349" s="25" t="str">
        <f>IF('1. Live'!CS367='check-Jul''26'!CO367,"",'1. Live'!CS367-'check-Jul''26'!CO367)</f>
        <v/>
      </c>
      <c r="CP349" s="25" t="str">
        <f>IF('1. Live'!CT367='check-Jul''26'!CP367,"",'1. Live'!CT367-'check-Jul''26'!CP367)</f>
        <v/>
      </c>
      <c r="CQ349" s="25" t="str">
        <f>IF('1. Live'!CU367='check-Jul''26'!CQ367,"",'1. Live'!CU367-'check-Jul''26'!CQ367)</f>
        <v/>
      </c>
      <c r="CR349" s="25" t="str">
        <f>IF('1. Live'!CV367='check-Jul''26'!CR367,"",'1. Live'!CV367-'check-Jul''26'!CR367)</f>
        <v/>
      </c>
      <c r="CS349" s="25" t="str">
        <f>IF('1. Live'!CW367='check-Jul''26'!CS367,"",'1. Live'!CW367-'check-Jul''26'!CS367)</f>
        <v/>
      </c>
      <c r="CT349" s="25" t="str">
        <f>IF('1. Live'!CX367='check-Jul''26'!CT367,"",'1. Live'!CX367-'check-Jul''26'!CT367)</f>
        <v/>
      </c>
      <c r="CU349" s="25" t="str">
        <f>IF('1. Live'!CY367='check-Jul''26'!CU367,"",'1. Live'!CY367-'check-Jul''26'!CU367)</f>
        <v/>
      </c>
      <c r="CV349" s="25" t="str">
        <f>IF('1. Live'!CZ367='check-Jul''26'!CV367,"",'1. Live'!CZ367-'check-Jul''26'!CV367)</f>
        <v/>
      </c>
    </row>
    <row r="350" spans="17:100" x14ac:dyDescent="0.25">
      <c r="Q350" s="26" t="str">
        <f>IF('1. Live'!N368='check-Jul''26'!I368,"",'1. Live'!N368-'check-Jul''26'!I368)</f>
        <v/>
      </c>
      <c r="R350" s="26" t="str">
        <f>IF('1. Live'!O368='check-Jul''26'!J368,"",'1. Live'!O368-'check-Jul''26'!J368)</f>
        <v/>
      </c>
      <c r="S350" s="26" t="str">
        <f>IF('1. Live'!P368='check-Jul''26'!K368,"",'1. Live'!P368-'check-Jul''26'!K368)</f>
        <v/>
      </c>
      <c r="T350" s="26" t="str">
        <f>IF('1. Live'!Q368='check-Jul''26'!L368,"",'1. Live'!Q368-'check-Jul''26'!L368)</f>
        <v/>
      </c>
      <c r="U350" s="80" t="str">
        <f>IF('1. Live'!R368='check-Jul''26'!M368,"",'1. Live'!R368-'check-Jul''26'!M368)</f>
        <v/>
      </c>
      <c r="V350" s="26" t="str">
        <f>IF('1. Live'!S368='check-Jul''26'!N368,"",'1. Live'!S368-'check-Jul''26'!N368)</f>
        <v/>
      </c>
      <c r="W350" s="25" t="str">
        <f>IF('1. Live'!T368='check-Jul''26'!O368,"",'1. Live'!T368-'check-Jul''26'!O368)</f>
        <v/>
      </c>
      <c r="X350" s="25" t="str">
        <f>IF('1. Live'!U368='check-Jul''26'!Q368,"",'1. Live'!U368-'check-Jul''26'!Q368)</f>
        <v/>
      </c>
      <c r="Y350" s="25" t="str">
        <f>IF('1. Live'!V368='check-Jul''26'!R368,"",'1. Live'!V368-'check-Jul''26'!R368)</f>
        <v/>
      </c>
      <c r="Z350" s="25" t="str">
        <f>IF('1. Live'!W368='check-Jul''26'!S368,"",'1. Live'!W368-'check-Jul''26'!S368)</f>
        <v/>
      </c>
      <c r="AA350" s="25" t="str">
        <f>IF('1. Live'!X368='check-Jul''26'!T368,"",'1. Live'!X368-'check-Jul''26'!T368)</f>
        <v/>
      </c>
      <c r="AB350" s="25" t="str">
        <f>IF('1. Live'!AF368='check-Jul''26'!AB368,"",'1. Live'!AF368-'check-Jul''26'!AB368)</f>
        <v/>
      </c>
      <c r="AC350" s="25" t="str">
        <f>IF('1. Live'!AG368='check-Jul''26'!AC368,"",'1. Live'!AG368-'check-Jul''26'!AC368)</f>
        <v/>
      </c>
      <c r="AD350" s="25" t="str">
        <f>IF('1. Live'!AH368='check-Jul''26'!AD368,"",'1. Live'!AH368-'check-Jul''26'!AD368)</f>
        <v/>
      </c>
      <c r="AE350" s="25" t="str">
        <f>IF('1. Live'!AI368='check-Jul''26'!AE368,"",'1. Live'!AI368-'check-Jul''26'!AE368)</f>
        <v/>
      </c>
      <c r="AF350" s="25" t="str">
        <f>IF('1. Live'!AJ368='check-Jul''26'!AF368,"",'1. Live'!AJ368-'check-Jul''26'!AF368)</f>
        <v/>
      </c>
      <c r="AG350" s="25" t="str">
        <f>IF('1. Live'!AK368='check-Jul''26'!AG368,"",'1. Live'!AK368-'check-Jul''26'!AG368)</f>
        <v/>
      </c>
      <c r="AH350" s="25" t="str">
        <f>IF('1. Live'!AL368='check-Jul''26'!AH368,"",'1. Live'!AL368-'check-Jul''26'!AH368)</f>
        <v/>
      </c>
      <c r="AI350" s="25" t="str">
        <f>IF('1. Live'!AM368='check-Jul''26'!AI368,"",'1. Live'!AM368-'check-Jul''26'!AI368)</f>
        <v/>
      </c>
      <c r="AJ350" s="25" t="str">
        <f>IF('1. Live'!AN368='check-Jul''26'!AJ368,"",'1. Live'!AN368-'check-Jul''26'!AJ368)</f>
        <v/>
      </c>
      <c r="AK350" s="25" t="str">
        <f>IF('1. Live'!AO368='check-Jul''26'!AK368,"",'1. Live'!AO368-'check-Jul''26'!AK368)</f>
        <v/>
      </c>
      <c r="AL350" s="25" t="str">
        <f>IF('1. Live'!AP368='check-Jul''26'!AL368,"",'1. Live'!AP368-'check-Jul''26'!AL368)</f>
        <v/>
      </c>
      <c r="AM350" s="25" t="str">
        <f>IF('1. Live'!AQ368='check-Jul''26'!AM368,"",'1. Live'!AQ368-'check-Jul''26'!AM368)</f>
        <v/>
      </c>
      <c r="AN350" s="25" t="str">
        <f>IF('1. Live'!AR368='check-Jul''26'!AN368,"",'1. Live'!AR368-'check-Jul''26'!AN368)</f>
        <v/>
      </c>
      <c r="AO350" s="25" t="str">
        <f>IF('1. Live'!AS368='check-Jul''26'!AO368,"",'1. Live'!AS368-'check-Jul''26'!AO368)</f>
        <v/>
      </c>
      <c r="AP350" s="25" t="str">
        <f>IF('1. Live'!AT368='check-Jul''26'!AP368,"",'1. Live'!AT368-'check-Jul''26'!AP368)</f>
        <v/>
      </c>
      <c r="AQ350" s="25" t="str">
        <f>IF('1. Live'!AU368='check-Jul''26'!AQ368,"",'1. Live'!AU368-'check-Jul''26'!AQ368)</f>
        <v/>
      </c>
      <c r="AR350" s="25" t="str">
        <f>IF('1. Live'!AV368='check-Jul''26'!AR368,"",'1. Live'!AV368-'check-Jul''26'!AR368)</f>
        <v/>
      </c>
      <c r="AS350" s="25" t="str">
        <f>IF('1. Live'!AW368='check-Jul''26'!AS368,"",'1. Live'!AW368-'check-Jul''26'!AS368)</f>
        <v/>
      </c>
      <c r="AT350" s="25" t="str">
        <f>IF('1. Live'!AX368='check-Jul''26'!AT368,"",'1. Live'!AX368-'check-Jul''26'!AT368)</f>
        <v/>
      </c>
      <c r="AU350" s="25" t="str">
        <f>IF('1. Live'!AY368='check-Jul''26'!AU368,"",'1. Live'!AY368-'check-Jul''26'!AU368)</f>
        <v/>
      </c>
      <c r="AV350" s="25" t="str">
        <f>IF('1. Live'!AZ368='check-Jul''26'!AV368,"",'1. Live'!AZ368-'check-Jul''26'!AV368)</f>
        <v/>
      </c>
      <c r="AW350" s="25" t="str">
        <f>IF('1. Live'!BA368='check-Jul''26'!AW368,"",'1. Live'!BA368-'check-Jul''26'!AW368)</f>
        <v/>
      </c>
      <c r="AX350" s="25" t="str">
        <f>IF('1. Live'!BB368='check-Jul''26'!AX368,"",'1. Live'!BB368-'check-Jul''26'!AX368)</f>
        <v/>
      </c>
      <c r="AY350" s="25" t="str">
        <f>IF('1. Live'!BC368='check-Jul''26'!AY368,"",'1. Live'!BC368-'check-Jul''26'!AY368)</f>
        <v/>
      </c>
      <c r="AZ350" s="25" t="str">
        <f>IF('1. Live'!BD368='check-Jul''26'!AZ368,"",'1. Live'!BD368-'check-Jul''26'!AZ368)</f>
        <v/>
      </c>
      <c r="BA350" s="25" t="str">
        <f>IF('1. Live'!BE368='check-Jul''26'!BA368,"",'1. Live'!BE368-'check-Jul''26'!BA368)</f>
        <v/>
      </c>
      <c r="BB350" s="25" t="str">
        <f>IF('1. Live'!BF368='check-Jul''26'!BB368,"",'1. Live'!BF368-'check-Jul''26'!BB368)</f>
        <v/>
      </c>
      <c r="BC350" s="25" t="str">
        <f>IF('1. Live'!BG368='check-Jul''26'!BC368,"",'1. Live'!BG368-'check-Jul''26'!BC368)</f>
        <v/>
      </c>
      <c r="BD350" s="25" t="str">
        <f>IF('1. Live'!BH368='check-Jul''26'!BD368,"",'1. Live'!BH368-'check-Jul''26'!BD368)</f>
        <v/>
      </c>
      <c r="BE350" s="25" t="str">
        <f>IF('1. Live'!BI368='check-Jul''26'!BE368,"",'1. Live'!BI368-'check-Jul''26'!BE368)</f>
        <v/>
      </c>
      <c r="BF350" s="25" t="str">
        <f>IF('1. Live'!BJ368='check-Jul''26'!BF368,"",'1. Live'!BJ368-'check-Jul''26'!BF368)</f>
        <v/>
      </c>
      <c r="BG350" s="25" t="str">
        <f>IF('1. Live'!BK368='check-Jul''26'!BG368,"",'1. Live'!BK368-'check-Jul''26'!BG368)</f>
        <v/>
      </c>
      <c r="BH350" s="25" t="str">
        <f>IF('1. Live'!BL368='check-Jul''26'!BH368,"",'1. Live'!BL368-'check-Jul''26'!BH368)</f>
        <v/>
      </c>
      <c r="BI350" s="25" t="str">
        <f>IF('1. Live'!BM368='check-Jul''26'!BI368,"",'1. Live'!BM368-'check-Jul''26'!BI368)</f>
        <v/>
      </c>
      <c r="BJ350" s="25" t="str">
        <f>IF('1. Live'!BN368='check-Jul''26'!BJ368,"",'1. Live'!BN368-'check-Jul''26'!BJ368)</f>
        <v/>
      </c>
      <c r="BK350" s="25" t="str">
        <f>IF('1. Live'!BO368='check-Jul''26'!BK368,"",'1. Live'!BO368-'check-Jul''26'!BK368)</f>
        <v/>
      </c>
      <c r="BL350" s="25" t="str">
        <f>IF('1. Live'!BP368='check-Jul''26'!BL368,"",'1. Live'!BP368-'check-Jul''26'!BL368)</f>
        <v/>
      </c>
      <c r="BM350" s="25" t="str">
        <f>IF('1. Live'!BQ368='check-Jul''26'!BM368,"",'1. Live'!BQ368-'check-Jul''26'!BM368)</f>
        <v/>
      </c>
      <c r="BN350" s="25" t="str">
        <f>IF('1. Live'!BR368='check-Jul''26'!BN368,"",'1. Live'!BR368-'check-Jul''26'!BN368)</f>
        <v/>
      </c>
      <c r="BO350" s="25" t="str">
        <f>IF('1. Live'!BS368='check-Jul''26'!BO368,"",'1. Live'!BS368-'check-Jul''26'!BO368)</f>
        <v/>
      </c>
      <c r="BP350" s="25" t="str">
        <f>IF('1. Live'!BT368='check-Jul''26'!BP368,"",'1. Live'!BT368-'check-Jul''26'!BP368)</f>
        <v/>
      </c>
      <c r="BQ350" s="25" t="str">
        <f>IF('1. Live'!BU368='check-Jul''26'!BQ368,"",'1. Live'!BU368-'check-Jul''26'!BQ368)</f>
        <v/>
      </c>
      <c r="BR350" s="25" t="str">
        <f>IF('1. Live'!BV368='check-Jul''26'!BR368,"",'1. Live'!BV368-'check-Jul''26'!BR368)</f>
        <v/>
      </c>
      <c r="BS350" s="25" t="str">
        <f>IF('1. Live'!BW368='check-Jul''26'!BS368,"",'1. Live'!BW368-'check-Jul''26'!BS368)</f>
        <v/>
      </c>
      <c r="BT350" s="25" t="str">
        <f>IF('1. Live'!BX368='check-Jul''26'!BT368,"",'1. Live'!BX368-'check-Jul''26'!BT368)</f>
        <v/>
      </c>
      <c r="BU350" s="25" t="str">
        <f>IF('1. Live'!BY368='check-Jul''26'!BU368,"",'1. Live'!BY368-'check-Jul''26'!BU368)</f>
        <v/>
      </c>
      <c r="BV350" s="25" t="str">
        <f>IF('1. Live'!BZ368='check-Jul''26'!BV368,"",'1. Live'!BZ368-'check-Jul''26'!BV368)</f>
        <v/>
      </c>
      <c r="BW350" s="25" t="str">
        <f>IF('1. Live'!CA368='check-Jul''26'!BW368,"",'1. Live'!CA368-'check-Jul''26'!BW368)</f>
        <v/>
      </c>
      <c r="BX350" s="25" t="str">
        <f>IF('1. Live'!CB368='check-Jul''26'!BX368,"",'1. Live'!CB368-'check-Jul''26'!BX368)</f>
        <v/>
      </c>
      <c r="BY350" s="25" t="str">
        <f>IF('1. Live'!CC368='check-Jul''26'!BY368,"",'1. Live'!CC368-'check-Jul''26'!BY368)</f>
        <v/>
      </c>
      <c r="BZ350" s="25" t="str">
        <f>IF('1. Live'!CD368='check-Jul''26'!BZ368,"",'1. Live'!CD368-'check-Jul''26'!BZ368)</f>
        <v/>
      </c>
      <c r="CA350" s="25" t="str">
        <f>IF('1. Live'!CE368='check-Jul''26'!CA368,"",'1. Live'!CE368-'check-Jul''26'!CA368)</f>
        <v/>
      </c>
      <c r="CB350" s="25" t="str">
        <f>IF('1. Live'!CF368='check-Jul''26'!CB368,"",'1. Live'!CF368-'check-Jul''26'!CB368)</f>
        <v/>
      </c>
      <c r="CC350" s="25" t="str">
        <f>IF('1. Live'!CG368='check-Jul''26'!CC368,"",'1. Live'!CG368-'check-Jul''26'!CC368)</f>
        <v/>
      </c>
      <c r="CD350" s="25" t="str">
        <f>IF('1. Live'!CH368='check-Jul''26'!CD368,"",'1. Live'!CH368-'check-Jul''26'!CD368)</f>
        <v/>
      </c>
      <c r="CE350" s="25" t="str">
        <f>IF('1. Live'!CI368='check-Jul''26'!CE368,"",'1. Live'!CI368-'check-Jul''26'!CE368)</f>
        <v/>
      </c>
      <c r="CF350" s="25" t="str">
        <f>IF('1. Live'!CJ368='check-Jul''26'!CF368,"",'1. Live'!CJ368-'check-Jul''26'!CF368)</f>
        <v/>
      </c>
      <c r="CG350" s="25" t="str">
        <f>IF('1. Live'!CK368='check-Jul''26'!CG368,"",'1. Live'!CK368-'check-Jul''26'!CG368)</f>
        <v/>
      </c>
      <c r="CH350" s="25" t="str">
        <f>IF('1. Live'!CL368='check-Jul''26'!CH368,"",'1. Live'!CL368-'check-Jul''26'!CH368)</f>
        <v/>
      </c>
      <c r="CI350" s="25" t="str">
        <f>IF('1. Live'!CM368='check-Jul''26'!CI368,"",'1. Live'!CM368-'check-Jul''26'!CI368)</f>
        <v/>
      </c>
      <c r="CJ350" s="25" t="str">
        <f>IF('1. Live'!CN368='check-Jul''26'!CJ368,"",'1. Live'!CN368-'check-Jul''26'!CJ368)</f>
        <v/>
      </c>
      <c r="CK350" s="25" t="str">
        <f>IF('1. Live'!CO368='check-Jul''26'!CK368,"",'1. Live'!CO368-'check-Jul''26'!CK368)</f>
        <v/>
      </c>
      <c r="CL350" s="25" t="str">
        <f>IF('1. Live'!CP368='check-Jul''26'!CL368,"",'1. Live'!CP368-'check-Jul''26'!CL368)</f>
        <v/>
      </c>
      <c r="CM350" s="25" t="str">
        <f>IF('1. Live'!CQ368='check-Jul''26'!CM368,"",'1. Live'!CQ368-'check-Jul''26'!CM368)</f>
        <v/>
      </c>
      <c r="CN350" s="25" t="str">
        <f>IF('1. Live'!CR368='check-Jul''26'!CN368,"",'1. Live'!CR368-'check-Jul''26'!CN368)</f>
        <v/>
      </c>
      <c r="CO350" s="25" t="str">
        <f>IF('1. Live'!CS368='check-Jul''26'!CO368,"",'1. Live'!CS368-'check-Jul''26'!CO368)</f>
        <v/>
      </c>
      <c r="CP350" s="25" t="str">
        <f>IF('1. Live'!CT368='check-Jul''26'!CP368,"",'1. Live'!CT368-'check-Jul''26'!CP368)</f>
        <v/>
      </c>
      <c r="CQ350" s="25" t="str">
        <f>IF('1. Live'!CU368='check-Jul''26'!CQ368,"",'1. Live'!CU368-'check-Jul''26'!CQ368)</f>
        <v/>
      </c>
      <c r="CR350" s="25" t="str">
        <f>IF('1. Live'!CV368='check-Jul''26'!CR368,"",'1. Live'!CV368-'check-Jul''26'!CR368)</f>
        <v/>
      </c>
      <c r="CS350" s="25" t="str">
        <f>IF('1. Live'!CW368='check-Jul''26'!CS368,"",'1. Live'!CW368-'check-Jul''26'!CS368)</f>
        <v/>
      </c>
      <c r="CT350" s="25" t="str">
        <f>IF('1. Live'!CX368='check-Jul''26'!CT368,"",'1. Live'!CX368-'check-Jul''26'!CT368)</f>
        <v/>
      </c>
      <c r="CU350" s="25" t="str">
        <f>IF('1. Live'!CY368='check-Jul''26'!CU368,"",'1. Live'!CY368-'check-Jul''26'!CU368)</f>
        <v/>
      </c>
      <c r="CV350" s="25" t="str">
        <f>IF('1. Live'!CZ368='check-Jul''26'!CV368,"",'1. Live'!CZ368-'check-Jul''26'!CV368)</f>
        <v/>
      </c>
    </row>
    <row r="351" spans="17:100" x14ac:dyDescent="0.25">
      <c r="Q351" s="26" t="str">
        <f>IF('1. Live'!N369='check-Jul''26'!I369,"",'1. Live'!N369-'check-Jul''26'!I369)</f>
        <v/>
      </c>
      <c r="R351" s="26" t="str">
        <f>IF('1. Live'!O369='check-Jul''26'!J369,"",'1. Live'!O369-'check-Jul''26'!J369)</f>
        <v/>
      </c>
      <c r="S351" s="26" t="str">
        <f>IF('1. Live'!P369='check-Jul''26'!K369,"",'1. Live'!P369-'check-Jul''26'!K369)</f>
        <v/>
      </c>
      <c r="T351" s="26" t="str">
        <f>IF('1. Live'!Q369='check-Jul''26'!L369,"",'1. Live'!Q369-'check-Jul''26'!L369)</f>
        <v/>
      </c>
      <c r="U351" s="80" t="str">
        <f>IF('1. Live'!R369='check-Jul''26'!M369,"",'1. Live'!R369-'check-Jul''26'!M369)</f>
        <v/>
      </c>
      <c r="V351" s="26" t="str">
        <f>IF('1. Live'!S369='check-Jul''26'!N369,"",'1. Live'!S369-'check-Jul''26'!N369)</f>
        <v/>
      </c>
      <c r="W351" s="25" t="str">
        <f>IF('1. Live'!T369='check-Jul''26'!O369,"",'1. Live'!T369-'check-Jul''26'!O369)</f>
        <v/>
      </c>
      <c r="X351" s="25" t="str">
        <f>IF('1. Live'!U369='check-Jul''26'!Q369,"",'1. Live'!U369-'check-Jul''26'!Q369)</f>
        <v/>
      </c>
      <c r="Y351" s="25" t="str">
        <f>IF('1. Live'!V369='check-Jul''26'!R369,"",'1. Live'!V369-'check-Jul''26'!R369)</f>
        <v/>
      </c>
      <c r="Z351" s="25" t="str">
        <f>IF('1. Live'!W369='check-Jul''26'!S369,"",'1. Live'!W369-'check-Jul''26'!S369)</f>
        <v/>
      </c>
      <c r="AA351" s="25" t="str">
        <f>IF('1. Live'!X369='check-Jul''26'!T369,"",'1. Live'!X369-'check-Jul''26'!T369)</f>
        <v/>
      </c>
      <c r="AB351" s="25" t="str">
        <f>IF('1. Live'!AF369='check-Jul''26'!AB369,"",'1. Live'!AF369-'check-Jul''26'!AB369)</f>
        <v/>
      </c>
      <c r="AC351" s="25" t="str">
        <f>IF('1. Live'!AG369='check-Jul''26'!AC369,"",'1. Live'!AG369-'check-Jul''26'!AC369)</f>
        <v/>
      </c>
      <c r="AD351" s="25" t="str">
        <f>IF('1. Live'!AH369='check-Jul''26'!AD369,"",'1. Live'!AH369-'check-Jul''26'!AD369)</f>
        <v/>
      </c>
      <c r="AE351" s="25" t="str">
        <f>IF('1. Live'!AI369='check-Jul''26'!AE369,"",'1. Live'!AI369-'check-Jul''26'!AE369)</f>
        <v/>
      </c>
      <c r="AF351" s="25" t="str">
        <f>IF('1. Live'!AJ369='check-Jul''26'!AF369,"",'1. Live'!AJ369-'check-Jul''26'!AF369)</f>
        <v/>
      </c>
      <c r="AG351" s="25" t="str">
        <f>IF('1. Live'!AK369='check-Jul''26'!AG369,"",'1. Live'!AK369-'check-Jul''26'!AG369)</f>
        <v/>
      </c>
      <c r="AH351" s="25" t="str">
        <f>IF('1. Live'!AL369='check-Jul''26'!AH369,"",'1. Live'!AL369-'check-Jul''26'!AH369)</f>
        <v/>
      </c>
      <c r="AI351" s="25" t="str">
        <f>IF('1. Live'!AM369='check-Jul''26'!AI369,"",'1. Live'!AM369-'check-Jul''26'!AI369)</f>
        <v/>
      </c>
      <c r="AJ351" s="25" t="str">
        <f>IF('1. Live'!AN369='check-Jul''26'!AJ369,"",'1. Live'!AN369-'check-Jul''26'!AJ369)</f>
        <v/>
      </c>
      <c r="AK351" s="25" t="str">
        <f>IF('1. Live'!AO369='check-Jul''26'!AK369,"",'1. Live'!AO369-'check-Jul''26'!AK369)</f>
        <v/>
      </c>
      <c r="AL351" s="25" t="str">
        <f>IF('1. Live'!AP369='check-Jul''26'!AL369,"",'1. Live'!AP369-'check-Jul''26'!AL369)</f>
        <v/>
      </c>
      <c r="AM351" s="25" t="str">
        <f>IF('1. Live'!AQ369='check-Jul''26'!AM369,"",'1. Live'!AQ369-'check-Jul''26'!AM369)</f>
        <v/>
      </c>
      <c r="AN351" s="25" t="str">
        <f>IF('1. Live'!AR369='check-Jul''26'!AN369,"",'1. Live'!AR369-'check-Jul''26'!AN369)</f>
        <v/>
      </c>
      <c r="AO351" s="25" t="str">
        <f>IF('1. Live'!AS369='check-Jul''26'!AO369,"",'1. Live'!AS369-'check-Jul''26'!AO369)</f>
        <v/>
      </c>
      <c r="AP351" s="25" t="str">
        <f>IF('1. Live'!AT369='check-Jul''26'!AP369,"",'1. Live'!AT369-'check-Jul''26'!AP369)</f>
        <v/>
      </c>
      <c r="AQ351" s="25" t="str">
        <f>IF('1. Live'!AU369='check-Jul''26'!AQ369,"",'1. Live'!AU369-'check-Jul''26'!AQ369)</f>
        <v/>
      </c>
      <c r="AR351" s="25" t="str">
        <f>IF('1. Live'!AV369='check-Jul''26'!AR369,"",'1. Live'!AV369-'check-Jul''26'!AR369)</f>
        <v/>
      </c>
      <c r="AS351" s="25" t="str">
        <f>IF('1. Live'!AW369='check-Jul''26'!AS369,"",'1. Live'!AW369-'check-Jul''26'!AS369)</f>
        <v/>
      </c>
      <c r="AT351" s="25" t="str">
        <f>IF('1. Live'!AX369='check-Jul''26'!AT369,"",'1. Live'!AX369-'check-Jul''26'!AT369)</f>
        <v/>
      </c>
      <c r="AU351" s="25" t="str">
        <f>IF('1. Live'!AY369='check-Jul''26'!AU369,"",'1. Live'!AY369-'check-Jul''26'!AU369)</f>
        <v/>
      </c>
      <c r="AV351" s="25" t="str">
        <f>IF('1. Live'!AZ369='check-Jul''26'!AV369,"",'1. Live'!AZ369-'check-Jul''26'!AV369)</f>
        <v/>
      </c>
      <c r="AW351" s="25" t="str">
        <f>IF('1. Live'!BA369='check-Jul''26'!AW369,"",'1. Live'!BA369-'check-Jul''26'!AW369)</f>
        <v/>
      </c>
      <c r="AX351" s="25" t="str">
        <f>IF('1. Live'!BB369='check-Jul''26'!AX369,"",'1. Live'!BB369-'check-Jul''26'!AX369)</f>
        <v/>
      </c>
      <c r="AY351" s="25" t="str">
        <f>IF('1. Live'!BC369='check-Jul''26'!AY369,"",'1. Live'!BC369-'check-Jul''26'!AY369)</f>
        <v/>
      </c>
      <c r="AZ351" s="25" t="str">
        <f>IF('1. Live'!BD369='check-Jul''26'!AZ369,"",'1. Live'!BD369-'check-Jul''26'!AZ369)</f>
        <v/>
      </c>
      <c r="BA351" s="25" t="str">
        <f>IF('1. Live'!BE369='check-Jul''26'!BA369,"",'1. Live'!BE369-'check-Jul''26'!BA369)</f>
        <v/>
      </c>
      <c r="BB351" s="25" t="str">
        <f>IF('1. Live'!BF369='check-Jul''26'!BB369,"",'1. Live'!BF369-'check-Jul''26'!BB369)</f>
        <v/>
      </c>
      <c r="BC351" s="25" t="str">
        <f>IF('1. Live'!BG369='check-Jul''26'!BC369,"",'1. Live'!BG369-'check-Jul''26'!BC369)</f>
        <v/>
      </c>
      <c r="BD351" s="25" t="str">
        <f>IF('1. Live'!BH369='check-Jul''26'!BD369,"",'1. Live'!BH369-'check-Jul''26'!BD369)</f>
        <v/>
      </c>
      <c r="BE351" s="25" t="str">
        <f>IF('1. Live'!BI369='check-Jul''26'!BE369,"",'1. Live'!BI369-'check-Jul''26'!BE369)</f>
        <v/>
      </c>
      <c r="BF351" s="25" t="str">
        <f>IF('1. Live'!BJ369='check-Jul''26'!BF369,"",'1. Live'!BJ369-'check-Jul''26'!BF369)</f>
        <v/>
      </c>
      <c r="BG351" s="25" t="str">
        <f>IF('1. Live'!BK369='check-Jul''26'!BG369,"",'1. Live'!BK369-'check-Jul''26'!BG369)</f>
        <v/>
      </c>
      <c r="BH351" s="25" t="str">
        <f>IF('1. Live'!BL369='check-Jul''26'!BH369,"",'1. Live'!BL369-'check-Jul''26'!BH369)</f>
        <v/>
      </c>
      <c r="BI351" s="25" t="str">
        <f>IF('1. Live'!BM369='check-Jul''26'!BI369,"",'1. Live'!BM369-'check-Jul''26'!BI369)</f>
        <v/>
      </c>
      <c r="BJ351" s="25" t="str">
        <f>IF('1. Live'!BN369='check-Jul''26'!BJ369,"",'1. Live'!BN369-'check-Jul''26'!BJ369)</f>
        <v/>
      </c>
      <c r="BK351" s="25" t="str">
        <f>IF('1. Live'!BO369='check-Jul''26'!BK369,"",'1. Live'!BO369-'check-Jul''26'!BK369)</f>
        <v/>
      </c>
      <c r="BL351" s="25" t="str">
        <f>IF('1. Live'!BP369='check-Jul''26'!BL369,"",'1. Live'!BP369-'check-Jul''26'!BL369)</f>
        <v/>
      </c>
      <c r="BM351" s="25" t="str">
        <f>IF('1. Live'!BQ369='check-Jul''26'!BM369,"",'1. Live'!BQ369-'check-Jul''26'!BM369)</f>
        <v/>
      </c>
      <c r="BN351" s="25" t="str">
        <f>IF('1. Live'!BR369='check-Jul''26'!BN369,"",'1. Live'!BR369-'check-Jul''26'!BN369)</f>
        <v/>
      </c>
      <c r="BO351" s="25" t="str">
        <f>IF('1. Live'!BS369='check-Jul''26'!BO369,"",'1. Live'!BS369-'check-Jul''26'!BO369)</f>
        <v/>
      </c>
      <c r="BP351" s="25" t="str">
        <f>IF('1. Live'!BT369='check-Jul''26'!BP369,"",'1. Live'!BT369-'check-Jul''26'!BP369)</f>
        <v/>
      </c>
      <c r="BQ351" s="25" t="str">
        <f>IF('1. Live'!BU369='check-Jul''26'!BQ369,"",'1. Live'!BU369-'check-Jul''26'!BQ369)</f>
        <v/>
      </c>
      <c r="BR351" s="25" t="str">
        <f>IF('1. Live'!BV369='check-Jul''26'!BR369,"",'1. Live'!BV369-'check-Jul''26'!BR369)</f>
        <v/>
      </c>
      <c r="BS351" s="25" t="str">
        <f>IF('1. Live'!BW369='check-Jul''26'!BS369,"",'1. Live'!BW369-'check-Jul''26'!BS369)</f>
        <v/>
      </c>
      <c r="BT351" s="25" t="str">
        <f>IF('1. Live'!BX369='check-Jul''26'!BT369,"",'1. Live'!BX369-'check-Jul''26'!BT369)</f>
        <v/>
      </c>
      <c r="BU351" s="25" t="str">
        <f>IF('1. Live'!BY369='check-Jul''26'!BU369,"",'1. Live'!BY369-'check-Jul''26'!BU369)</f>
        <v/>
      </c>
      <c r="BV351" s="25" t="str">
        <f>IF('1. Live'!BZ369='check-Jul''26'!BV369,"",'1. Live'!BZ369-'check-Jul''26'!BV369)</f>
        <v/>
      </c>
      <c r="BW351" s="25" t="str">
        <f>IF('1. Live'!CA369='check-Jul''26'!BW369,"",'1. Live'!CA369-'check-Jul''26'!BW369)</f>
        <v/>
      </c>
      <c r="BX351" s="25" t="str">
        <f>IF('1. Live'!CB369='check-Jul''26'!BX369,"",'1. Live'!CB369-'check-Jul''26'!BX369)</f>
        <v/>
      </c>
      <c r="BY351" s="25" t="str">
        <f>IF('1. Live'!CC369='check-Jul''26'!BY369,"",'1. Live'!CC369-'check-Jul''26'!BY369)</f>
        <v/>
      </c>
      <c r="BZ351" s="25" t="str">
        <f>IF('1. Live'!CD369='check-Jul''26'!BZ369,"",'1. Live'!CD369-'check-Jul''26'!BZ369)</f>
        <v/>
      </c>
      <c r="CA351" s="25" t="str">
        <f>IF('1. Live'!CE369='check-Jul''26'!CA369,"",'1. Live'!CE369-'check-Jul''26'!CA369)</f>
        <v/>
      </c>
      <c r="CB351" s="25" t="str">
        <f>IF('1. Live'!CF369='check-Jul''26'!CB369,"",'1. Live'!CF369-'check-Jul''26'!CB369)</f>
        <v/>
      </c>
      <c r="CC351" s="25" t="str">
        <f>IF('1. Live'!CG369='check-Jul''26'!CC369,"",'1. Live'!CG369-'check-Jul''26'!CC369)</f>
        <v/>
      </c>
      <c r="CD351" s="25" t="str">
        <f>IF('1. Live'!CH369='check-Jul''26'!CD369,"",'1. Live'!CH369-'check-Jul''26'!CD369)</f>
        <v/>
      </c>
      <c r="CE351" s="25" t="str">
        <f>IF('1. Live'!CI369='check-Jul''26'!CE369,"",'1. Live'!CI369-'check-Jul''26'!CE369)</f>
        <v/>
      </c>
      <c r="CF351" s="25" t="str">
        <f>IF('1. Live'!CJ369='check-Jul''26'!CF369,"",'1. Live'!CJ369-'check-Jul''26'!CF369)</f>
        <v/>
      </c>
      <c r="CG351" s="25" t="str">
        <f>IF('1. Live'!CK369='check-Jul''26'!CG369,"",'1. Live'!CK369-'check-Jul''26'!CG369)</f>
        <v/>
      </c>
      <c r="CH351" s="25" t="str">
        <f>IF('1. Live'!CL369='check-Jul''26'!CH369,"",'1. Live'!CL369-'check-Jul''26'!CH369)</f>
        <v/>
      </c>
      <c r="CI351" s="25" t="str">
        <f>IF('1. Live'!CM369='check-Jul''26'!CI369,"",'1. Live'!CM369-'check-Jul''26'!CI369)</f>
        <v/>
      </c>
      <c r="CJ351" s="25" t="str">
        <f>IF('1. Live'!CN369='check-Jul''26'!CJ369,"",'1. Live'!CN369-'check-Jul''26'!CJ369)</f>
        <v/>
      </c>
      <c r="CK351" s="25" t="str">
        <f>IF('1. Live'!CO369='check-Jul''26'!CK369,"",'1. Live'!CO369-'check-Jul''26'!CK369)</f>
        <v/>
      </c>
      <c r="CL351" s="25" t="str">
        <f>IF('1. Live'!CP369='check-Jul''26'!CL369,"",'1. Live'!CP369-'check-Jul''26'!CL369)</f>
        <v/>
      </c>
      <c r="CM351" s="25" t="str">
        <f>IF('1. Live'!CQ369='check-Jul''26'!CM369,"",'1. Live'!CQ369-'check-Jul''26'!CM369)</f>
        <v/>
      </c>
      <c r="CN351" s="25" t="str">
        <f>IF('1. Live'!CR369='check-Jul''26'!CN369,"",'1. Live'!CR369-'check-Jul''26'!CN369)</f>
        <v/>
      </c>
      <c r="CO351" s="25" t="str">
        <f>IF('1. Live'!CS369='check-Jul''26'!CO369,"",'1. Live'!CS369-'check-Jul''26'!CO369)</f>
        <v/>
      </c>
      <c r="CP351" s="25" t="str">
        <f>IF('1. Live'!CT369='check-Jul''26'!CP369,"",'1. Live'!CT369-'check-Jul''26'!CP369)</f>
        <v/>
      </c>
      <c r="CQ351" s="25" t="str">
        <f>IF('1. Live'!CU369='check-Jul''26'!CQ369,"",'1. Live'!CU369-'check-Jul''26'!CQ369)</f>
        <v/>
      </c>
      <c r="CR351" s="25" t="str">
        <f>IF('1. Live'!CV369='check-Jul''26'!CR369,"",'1. Live'!CV369-'check-Jul''26'!CR369)</f>
        <v/>
      </c>
      <c r="CS351" s="25" t="str">
        <f>IF('1. Live'!CW369='check-Jul''26'!CS369,"",'1. Live'!CW369-'check-Jul''26'!CS369)</f>
        <v/>
      </c>
      <c r="CT351" s="25" t="str">
        <f>IF('1. Live'!CX369='check-Jul''26'!CT369,"",'1. Live'!CX369-'check-Jul''26'!CT369)</f>
        <v/>
      </c>
      <c r="CU351" s="25" t="str">
        <f>IF('1. Live'!CY369='check-Jul''26'!CU369,"",'1. Live'!CY369-'check-Jul''26'!CU369)</f>
        <v/>
      </c>
      <c r="CV351" s="25" t="str">
        <f>IF('1. Live'!CZ369='check-Jul''26'!CV369,"",'1. Live'!CZ369-'check-Jul''26'!CV369)</f>
        <v/>
      </c>
    </row>
    <row r="352" spans="17:100" x14ac:dyDescent="0.25">
      <c r="Q352" s="26" t="str">
        <f>IF('1. Live'!N370='check-Jul''26'!I370,"",'1. Live'!N370-'check-Jul''26'!I370)</f>
        <v/>
      </c>
      <c r="R352" s="26" t="str">
        <f>IF('1. Live'!O370='check-Jul''26'!J370,"",'1. Live'!O370-'check-Jul''26'!J370)</f>
        <v/>
      </c>
      <c r="S352" s="26" t="str">
        <f>IF('1. Live'!P370='check-Jul''26'!K370,"",'1. Live'!P370-'check-Jul''26'!K370)</f>
        <v/>
      </c>
      <c r="T352" s="26" t="str">
        <f>IF('1. Live'!Q370='check-Jul''26'!L370,"",'1. Live'!Q370-'check-Jul''26'!L370)</f>
        <v/>
      </c>
      <c r="U352" s="80" t="str">
        <f>IF('1. Live'!R370='check-Jul''26'!M370,"",'1. Live'!R370-'check-Jul''26'!M370)</f>
        <v/>
      </c>
      <c r="V352" s="26" t="str">
        <f>IF('1. Live'!S370='check-Jul''26'!N370,"",'1. Live'!S370-'check-Jul''26'!N370)</f>
        <v/>
      </c>
      <c r="W352" s="25" t="str">
        <f>IF('1. Live'!T370='check-Jul''26'!O370,"",'1. Live'!T370-'check-Jul''26'!O370)</f>
        <v/>
      </c>
      <c r="X352" s="25" t="str">
        <f>IF('1. Live'!U370='check-Jul''26'!Q370,"",'1. Live'!U370-'check-Jul''26'!Q370)</f>
        <v/>
      </c>
      <c r="Y352" s="25" t="str">
        <f>IF('1. Live'!V370='check-Jul''26'!R370,"",'1. Live'!V370-'check-Jul''26'!R370)</f>
        <v/>
      </c>
      <c r="Z352" s="25" t="str">
        <f>IF('1. Live'!W370='check-Jul''26'!S370,"",'1. Live'!W370-'check-Jul''26'!S370)</f>
        <v/>
      </c>
      <c r="AA352" s="25" t="str">
        <f>IF('1. Live'!X370='check-Jul''26'!T370,"",'1. Live'!X370-'check-Jul''26'!T370)</f>
        <v/>
      </c>
      <c r="AB352" s="25" t="str">
        <f>IF('1. Live'!AF370='check-Jul''26'!AB370,"",'1. Live'!AF370-'check-Jul''26'!AB370)</f>
        <v/>
      </c>
      <c r="AC352" s="25" t="str">
        <f>IF('1. Live'!AG370='check-Jul''26'!AC370,"",'1. Live'!AG370-'check-Jul''26'!AC370)</f>
        <v/>
      </c>
      <c r="AD352" s="25" t="str">
        <f>IF('1. Live'!AH370='check-Jul''26'!AD370,"",'1. Live'!AH370-'check-Jul''26'!AD370)</f>
        <v/>
      </c>
      <c r="AE352" s="25" t="str">
        <f>IF('1. Live'!AI370='check-Jul''26'!AE370,"",'1. Live'!AI370-'check-Jul''26'!AE370)</f>
        <v/>
      </c>
      <c r="AF352" s="25" t="str">
        <f>IF('1. Live'!AJ370='check-Jul''26'!AF370,"",'1. Live'!AJ370-'check-Jul''26'!AF370)</f>
        <v/>
      </c>
      <c r="AG352" s="25" t="str">
        <f>IF('1. Live'!AK370='check-Jul''26'!AG370,"",'1. Live'!AK370-'check-Jul''26'!AG370)</f>
        <v/>
      </c>
      <c r="AH352" s="25" t="str">
        <f>IF('1. Live'!AL370='check-Jul''26'!AH370,"",'1. Live'!AL370-'check-Jul''26'!AH370)</f>
        <v/>
      </c>
      <c r="AI352" s="25" t="str">
        <f>IF('1. Live'!AM370='check-Jul''26'!AI370,"",'1. Live'!AM370-'check-Jul''26'!AI370)</f>
        <v/>
      </c>
      <c r="AJ352" s="25" t="str">
        <f>IF('1. Live'!AN370='check-Jul''26'!AJ370,"",'1. Live'!AN370-'check-Jul''26'!AJ370)</f>
        <v/>
      </c>
      <c r="AK352" s="25" t="str">
        <f>IF('1. Live'!AO370='check-Jul''26'!AK370,"",'1. Live'!AO370-'check-Jul''26'!AK370)</f>
        <v/>
      </c>
      <c r="AL352" s="25" t="str">
        <f>IF('1. Live'!AP370='check-Jul''26'!AL370,"",'1. Live'!AP370-'check-Jul''26'!AL370)</f>
        <v/>
      </c>
      <c r="AM352" s="25" t="str">
        <f>IF('1. Live'!AQ370='check-Jul''26'!AM370,"",'1. Live'!AQ370-'check-Jul''26'!AM370)</f>
        <v/>
      </c>
      <c r="AN352" s="25" t="str">
        <f>IF('1. Live'!AR370='check-Jul''26'!AN370,"",'1. Live'!AR370-'check-Jul''26'!AN370)</f>
        <v/>
      </c>
      <c r="AO352" s="25" t="str">
        <f>IF('1. Live'!AS370='check-Jul''26'!AO370,"",'1. Live'!AS370-'check-Jul''26'!AO370)</f>
        <v/>
      </c>
      <c r="AP352" s="25" t="str">
        <f>IF('1. Live'!AT370='check-Jul''26'!AP370,"",'1. Live'!AT370-'check-Jul''26'!AP370)</f>
        <v/>
      </c>
      <c r="AQ352" s="25" t="str">
        <f>IF('1. Live'!AU370='check-Jul''26'!AQ370,"",'1. Live'!AU370-'check-Jul''26'!AQ370)</f>
        <v/>
      </c>
      <c r="AR352" s="25" t="str">
        <f>IF('1. Live'!AV370='check-Jul''26'!AR370,"",'1. Live'!AV370-'check-Jul''26'!AR370)</f>
        <v/>
      </c>
      <c r="AS352" s="25" t="str">
        <f>IF('1. Live'!AW370='check-Jul''26'!AS370,"",'1. Live'!AW370-'check-Jul''26'!AS370)</f>
        <v/>
      </c>
      <c r="AT352" s="25" t="str">
        <f>IF('1. Live'!AX370='check-Jul''26'!AT370,"",'1. Live'!AX370-'check-Jul''26'!AT370)</f>
        <v/>
      </c>
      <c r="AU352" s="25" t="str">
        <f>IF('1. Live'!AY370='check-Jul''26'!AU370,"",'1. Live'!AY370-'check-Jul''26'!AU370)</f>
        <v/>
      </c>
      <c r="AV352" s="25" t="str">
        <f>IF('1. Live'!AZ370='check-Jul''26'!AV370,"",'1. Live'!AZ370-'check-Jul''26'!AV370)</f>
        <v/>
      </c>
      <c r="AW352" s="25" t="str">
        <f>IF('1. Live'!BA370='check-Jul''26'!AW370,"",'1. Live'!BA370-'check-Jul''26'!AW370)</f>
        <v/>
      </c>
      <c r="AX352" s="25" t="str">
        <f>IF('1. Live'!BB370='check-Jul''26'!AX370,"",'1. Live'!BB370-'check-Jul''26'!AX370)</f>
        <v/>
      </c>
      <c r="AY352" s="25" t="str">
        <f>IF('1. Live'!BC370='check-Jul''26'!AY370,"",'1. Live'!BC370-'check-Jul''26'!AY370)</f>
        <v/>
      </c>
      <c r="AZ352" s="25" t="str">
        <f>IF('1. Live'!BD370='check-Jul''26'!AZ370,"",'1. Live'!BD370-'check-Jul''26'!AZ370)</f>
        <v/>
      </c>
      <c r="BA352" s="25" t="str">
        <f>IF('1. Live'!BE370='check-Jul''26'!BA370,"",'1. Live'!BE370-'check-Jul''26'!BA370)</f>
        <v/>
      </c>
      <c r="BB352" s="25" t="str">
        <f>IF('1. Live'!BF370='check-Jul''26'!BB370,"",'1. Live'!BF370-'check-Jul''26'!BB370)</f>
        <v/>
      </c>
      <c r="BC352" s="25" t="str">
        <f>IF('1. Live'!BG370='check-Jul''26'!BC370,"",'1. Live'!BG370-'check-Jul''26'!BC370)</f>
        <v/>
      </c>
      <c r="BD352" s="25" t="str">
        <f>IF('1. Live'!BH370='check-Jul''26'!BD370,"",'1. Live'!BH370-'check-Jul''26'!BD370)</f>
        <v/>
      </c>
      <c r="BE352" s="25" t="str">
        <f>IF('1. Live'!BI370='check-Jul''26'!BE370,"",'1. Live'!BI370-'check-Jul''26'!BE370)</f>
        <v/>
      </c>
      <c r="BF352" s="25" t="str">
        <f>IF('1. Live'!BJ370='check-Jul''26'!BF370,"",'1. Live'!BJ370-'check-Jul''26'!BF370)</f>
        <v/>
      </c>
      <c r="BG352" s="25" t="str">
        <f>IF('1. Live'!BK370='check-Jul''26'!BG370,"",'1. Live'!BK370-'check-Jul''26'!BG370)</f>
        <v/>
      </c>
      <c r="BH352" s="25" t="str">
        <f>IF('1. Live'!BL370='check-Jul''26'!BH370,"",'1. Live'!BL370-'check-Jul''26'!BH370)</f>
        <v/>
      </c>
      <c r="BI352" s="25" t="str">
        <f>IF('1. Live'!BM370='check-Jul''26'!BI370,"",'1. Live'!BM370-'check-Jul''26'!BI370)</f>
        <v/>
      </c>
      <c r="BJ352" s="25" t="str">
        <f>IF('1. Live'!BN370='check-Jul''26'!BJ370,"",'1. Live'!BN370-'check-Jul''26'!BJ370)</f>
        <v/>
      </c>
      <c r="BK352" s="25" t="str">
        <f>IF('1. Live'!BO370='check-Jul''26'!BK370,"",'1. Live'!BO370-'check-Jul''26'!BK370)</f>
        <v/>
      </c>
      <c r="BL352" s="25" t="str">
        <f>IF('1. Live'!BP370='check-Jul''26'!BL370,"",'1. Live'!BP370-'check-Jul''26'!BL370)</f>
        <v/>
      </c>
      <c r="BM352" s="25" t="str">
        <f>IF('1. Live'!BQ370='check-Jul''26'!BM370,"",'1. Live'!BQ370-'check-Jul''26'!BM370)</f>
        <v/>
      </c>
      <c r="BN352" s="25" t="str">
        <f>IF('1. Live'!BR370='check-Jul''26'!BN370,"",'1. Live'!BR370-'check-Jul''26'!BN370)</f>
        <v/>
      </c>
      <c r="BO352" s="25" t="str">
        <f>IF('1. Live'!BS370='check-Jul''26'!BO370,"",'1. Live'!BS370-'check-Jul''26'!BO370)</f>
        <v/>
      </c>
      <c r="BP352" s="25" t="str">
        <f>IF('1. Live'!BT370='check-Jul''26'!BP370,"",'1. Live'!BT370-'check-Jul''26'!BP370)</f>
        <v/>
      </c>
      <c r="BQ352" s="25" t="str">
        <f>IF('1. Live'!BU370='check-Jul''26'!BQ370,"",'1. Live'!BU370-'check-Jul''26'!BQ370)</f>
        <v/>
      </c>
      <c r="BR352" s="25" t="str">
        <f>IF('1. Live'!BV370='check-Jul''26'!BR370,"",'1. Live'!BV370-'check-Jul''26'!BR370)</f>
        <v/>
      </c>
      <c r="BS352" s="25" t="str">
        <f>IF('1. Live'!BW370='check-Jul''26'!BS370,"",'1. Live'!BW370-'check-Jul''26'!BS370)</f>
        <v/>
      </c>
      <c r="BT352" s="25" t="str">
        <f>IF('1. Live'!BX370='check-Jul''26'!BT370,"",'1. Live'!BX370-'check-Jul''26'!BT370)</f>
        <v/>
      </c>
      <c r="BU352" s="25" t="str">
        <f>IF('1. Live'!BY370='check-Jul''26'!BU370,"",'1. Live'!BY370-'check-Jul''26'!BU370)</f>
        <v/>
      </c>
      <c r="BV352" s="25" t="str">
        <f>IF('1. Live'!BZ370='check-Jul''26'!BV370,"",'1. Live'!BZ370-'check-Jul''26'!BV370)</f>
        <v/>
      </c>
      <c r="BW352" s="25" t="str">
        <f>IF('1. Live'!CA370='check-Jul''26'!BW370,"",'1. Live'!CA370-'check-Jul''26'!BW370)</f>
        <v/>
      </c>
      <c r="BX352" s="25" t="str">
        <f>IF('1. Live'!CB370='check-Jul''26'!BX370,"",'1. Live'!CB370-'check-Jul''26'!BX370)</f>
        <v/>
      </c>
      <c r="BY352" s="25" t="str">
        <f>IF('1. Live'!CC370='check-Jul''26'!BY370,"",'1. Live'!CC370-'check-Jul''26'!BY370)</f>
        <v/>
      </c>
      <c r="BZ352" s="25" t="str">
        <f>IF('1. Live'!CD370='check-Jul''26'!BZ370,"",'1. Live'!CD370-'check-Jul''26'!BZ370)</f>
        <v/>
      </c>
      <c r="CA352" s="25" t="str">
        <f>IF('1. Live'!CE370='check-Jul''26'!CA370,"",'1. Live'!CE370-'check-Jul''26'!CA370)</f>
        <v/>
      </c>
      <c r="CB352" s="25" t="str">
        <f>IF('1. Live'!CF370='check-Jul''26'!CB370,"",'1. Live'!CF370-'check-Jul''26'!CB370)</f>
        <v/>
      </c>
      <c r="CC352" s="25" t="str">
        <f>IF('1. Live'!CG370='check-Jul''26'!CC370,"",'1. Live'!CG370-'check-Jul''26'!CC370)</f>
        <v/>
      </c>
      <c r="CD352" s="25" t="str">
        <f>IF('1. Live'!CH370='check-Jul''26'!CD370,"",'1. Live'!CH370-'check-Jul''26'!CD370)</f>
        <v/>
      </c>
      <c r="CE352" s="25" t="str">
        <f>IF('1. Live'!CI370='check-Jul''26'!CE370,"",'1. Live'!CI370-'check-Jul''26'!CE370)</f>
        <v/>
      </c>
      <c r="CF352" s="25" t="str">
        <f>IF('1. Live'!CJ370='check-Jul''26'!CF370,"",'1. Live'!CJ370-'check-Jul''26'!CF370)</f>
        <v/>
      </c>
      <c r="CG352" s="25" t="str">
        <f>IF('1. Live'!CK370='check-Jul''26'!CG370,"",'1. Live'!CK370-'check-Jul''26'!CG370)</f>
        <v/>
      </c>
      <c r="CH352" s="25" t="str">
        <f>IF('1. Live'!CL370='check-Jul''26'!CH370,"",'1. Live'!CL370-'check-Jul''26'!CH370)</f>
        <v/>
      </c>
      <c r="CI352" s="25" t="str">
        <f>IF('1. Live'!CM370='check-Jul''26'!CI370,"",'1. Live'!CM370-'check-Jul''26'!CI370)</f>
        <v/>
      </c>
      <c r="CJ352" s="25" t="str">
        <f>IF('1. Live'!CN370='check-Jul''26'!CJ370,"",'1. Live'!CN370-'check-Jul''26'!CJ370)</f>
        <v/>
      </c>
      <c r="CK352" s="25" t="str">
        <f>IF('1. Live'!CO370='check-Jul''26'!CK370,"",'1. Live'!CO370-'check-Jul''26'!CK370)</f>
        <v/>
      </c>
      <c r="CL352" s="25" t="str">
        <f>IF('1. Live'!CP370='check-Jul''26'!CL370,"",'1. Live'!CP370-'check-Jul''26'!CL370)</f>
        <v/>
      </c>
      <c r="CM352" s="25" t="str">
        <f>IF('1. Live'!CQ370='check-Jul''26'!CM370,"",'1. Live'!CQ370-'check-Jul''26'!CM370)</f>
        <v/>
      </c>
      <c r="CN352" s="25" t="str">
        <f>IF('1. Live'!CR370='check-Jul''26'!CN370,"",'1. Live'!CR370-'check-Jul''26'!CN370)</f>
        <v/>
      </c>
      <c r="CO352" s="25" t="str">
        <f>IF('1. Live'!CS370='check-Jul''26'!CO370,"",'1. Live'!CS370-'check-Jul''26'!CO370)</f>
        <v/>
      </c>
      <c r="CP352" s="25" t="str">
        <f>IF('1. Live'!CT370='check-Jul''26'!CP370,"",'1. Live'!CT370-'check-Jul''26'!CP370)</f>
        <v/>
      </c>
      <c r="CQ352" s="25" t="str">
        <f>IF('1. Live'!CU370='check-Jul''26'!CQ370,"",'1. Live'!CU370-'check-Jul''26'!CQ370)</f>
        <v/>
      </c>
      <c r="CR352" s="25" t="str">
        <f>IF('1. Live'!CV370='check-Jul''26'!CR370,"",'1. Live'!CV370-'check-Jul''26'!CR370)</f>
        <v/>
      </c>
      <c r="CS352" s="25" t="str">
        <f>IF('1. Live'!CW370='check-Jul''26'!CS370,"",'1. Live'!CW370-'check-Jul''26'!CS370)</f>
        <v/>
      </c>
      <c r="CT352" s="25" t="str">
        <f>IF('1. Live'!CX370='check-Jul''26'!CT370,"",'1. Live'!CX370-'check-Jul''26'!CT370)</f>
        <v/>
      </c>
      <c r="CU352" s="25" t="str">
        <f>IF('1. Live'!CY370='check-Jul''26'!CU370,"",'1. Live'!CY370-'check-Jul''26'!CU370)</f>
        <v/>
      </c>
      <c r="CV352" s="25" t="str">
        <f>IF('1. Live'!CZ370='check-Jul''26'!CV370,"",'1. Live'!CZ370-'check-Jul''26'!CV370)</f>
        <v/>
      </c>
    </row>
    <row r="353" spans="17:100" x14ac:dyDescent="0.25">
      <c r="Q353" s="26" t="str">
        <f>IF('1. Live'!N371='check-Jul''26'!I371,"",'1. Live'!N371-'check-Jul''26'!I371)</f>
        <v/>
      </c>
      <c r="R353" s="26" t="str">
        <f>IF('1. Live'!O371='check-Jul''26'!J371,"",'1. Live'!O371-'check-Jul''26'!J371)</f>
        <v/>
      </c>
      <c r="S353" s="26" t="str">
        <f>IF('1. Live'!P371='check-Jul''26'!K371,"",'1. Live'!P371-'check-Jul''26'!K371)</f>
        <v/>
      </c>
      <c r="T353" s="26" t="str">
        <f>IF('1. Live'!Q371='check-Jul''26'!L371,"",'1. Live'!Q371-'check-Jul''26'!L371)</f>
        <v/>
      </c>
      <c r="U353" s="80" t="str">
        <f>IF('1. Live'!R371='check-Jul''26'!M371,"",'1. Live'!R371-'check-Jul''26'!M371)</f>
        <v/>
      </c>
      <c r="V353" s="26" t="str">
        <f>IF('1. Live'!S371='check-Jul''26'!N371,"",'1. Live'!S371-'check-Jul''26'!N371)</f>
        <v/>
      </c>
      <c r="W353" s="25" t="str">
        <f>IF('1. Live'!T371='check-Jul''26'!O371,"",'1. Live'!T371-'check-Jul''26'!O371)</f>
        <v/>
      </c>
      <c r="X353" s="25" t="str">
        <f>IF('1. Live'!U371='check-Jul''26'!Q371,"",'1. Live'!U371-'check-Jul''26'!Q371)</f>
        <v/>
      </c>
      <c r="Y353" s="25" t="str">
        <f>IF('1. Live'!V371='check-Jul''26'!R371,"",'1. Live'!V371-'check-Jul''26'!R371)</f>
        <v/>
      </c>
      <c r="Z353" s="25" t="str">
        <f>IF('1. Live'!W371='check-Jul''26'!S371,"",'1. Live'!W371-'check-Jul''26'!S371)</f>
        <v/>
      </c>
      <c r="AA353" s="25" t="str">
        <f>IF('1. Live'!X371='check-Jul''26'!T371,"",'1. Live'!X371-'check-Jul''26'!T371)</f>
        <v/>
      </c>
      <c r="AB353" s="25" t="str">
        <f>IF('1. Live'!AF371='check-Jul''26'!AB371,"",'1. Live'!AF371-'check-Jul''26'!AB371)</f>
        <v/>
      </c>
      <c r="AC353" s="25" t="str">
        <f>IF('1. Live'!AG371='check-Jul''26'!AC371,"",'1. Live'!AG371-'check-Jul''26'!AC371)</f>
        <v/>
      </c>
      <c r="AD353" s="25" t="str">
        <f>IF('1. Live'!AH371='check-Jul''26'!AD371,"",'1. Live'!AH371-'check-Jul''26'!AD371)</f>
        <v/>
      </c>
      <c r="AE353" s="25" t="str">
        <f>IF('1. Live'!AI371='check-Jul''26'!AE371,"",'1. Live'!AI371-'check-Jul''26'!AE371)</f>
        <v/>
      </c>
      <c r="AF353" s="25" t="str">
        <f>IF('1. Live'!AJ371='check-Jul''26'!AF371,"",'1. Live'!AJ371-'check-Jul''26'!AF371)</f>
        <v/>
      </c>
      <c r="AG353" s="25" t="str">
        <f>IF('1. Live'!AK371='check-Jul''26'!AG371,"",'1. Live'!AK371-'check-Jul''26'!AG371)</f>
        <v/>
      </c>
      <c r="AH353" s="25" t="str">
        <f>IF('1. Live'!AL371='check-Jul''26'!AH371,"",'1. Live'!AL371-'check-Jul''26'!AH371)</f>
        <v/>
      </c>
      <c r="AI353" s="25" t="str">
        <f>IF('1. Live'!AM371='check-Jul''26'!AI371,"",'1. Live'!AM371-'check-Jul''26'!AI371)</f>
        <v/>
      </c>
      <c r="AJ353" s="25" t="str">
        <f>IF('1. Live'!AN371='check-Jul''26'!AJ371,"",'1. Live'!AN371-'check-Jul''26'!AJ371)</f>
        <v/>
      </c>
      <c r="AK353" s="25" t="str">
        <f>IF('1. Live'!AO371='check-Jul''26'!AK371,"",'1. Live'!AO371-'check-Jul''26'!AK371)</f>
        <v/>
      </c>
      <c r="AL353" s="25" t="str">
        <f>IF('1. Live'!AP371='check-Jul''26'!AL371,"",'1. Live'!AP371-'check-Jul''26'!AL371)</f>
        <v/>
      </c>
      <c r="AM353" s="25" t="str">
        <f>IF('1. Live'!AQ371='check-Jul''26'!AM371,"",'1. Live'!AQ371-'check-Jul''26'!AM371)</f>
        <v/>
      </c>
      <c r="AN353" s="25" t="str">
        <f>IF('1. Live'!AR371='check-Jul''26'!AN371,"",'1. Live'!AR371-'check-Jul''26'!AN371)</f>
        <v/>
      </c>
      <c r="AO353" s="25" t="str">
        <f>IF('1. Live'!AS371='check-Jul''26'!AO371,"",'1. Live'!AS371-'check-Jul''26'!AO371)</f>
        <v/>
      </c>
      <c r="AP353" s="25" t="str">
        <f>IF('1. Live'!AT371='check-Jul''26'!AP371,"",'1. Live'!AT371-'check-Jul''26'!AP371)</f>
        <v/>
      </c>
      <c r="AQ353" s="25" t="str">
        <f>IF('1. Live'!AU371='check-Jul''26'!AQ371,"",'1. Live'!AU371-'check-Jul''26'!AQ371)</f>
        <v/>
      </c>
      <c r="AR353" s="25" t="str">
        <f>IF('1. Live'!AV371='check-Jul''26'!AR371,"",'1. Live'!AV371-'check-Jul''26'!AR371)</f>
        <v/>
      </c>
      <c r="AS353" s="25" t="str">
        <f>IF('1. Live'!AW371='check-Jul''26'!AS371,"",'1. Live'!AW371-'check-Jul''26'!AS371)</f>
        <v/>
      </c>
      <c r="AT353" s="25" t="str">
        <f>IF('1. Live'!AX371='check-Jul''26'!AT371,"",'1. Live'!AX371-'check-Jul''26'!AT371)</f>
        <v/>
      </c>
      <c r="AU353" s="25" t="str">
        <f>IF('1. Live'!AY371='check-Jul''26'!AU371,"",'1. Live'!AY371-'check-Jul''26'!AU371)</f>
        <v/>
      </c>
      <c r="AV353" s="25" t="str">
        <f>IF('1. Live'!AZ371='check-Jul''26'!AV371,"",'1. Live'!AZ371-'check-Jul''26'!AV371)</f>
        <v/>
      </c>
      <c r="AW353" s="25" t="str">
        <f>IF('1. Live'!BA371='check-Jul''26'!AW371,"",'1. Live'!BA371-'check-Jul''26'!AW371)</f>
        <v/>
      </c>
      <c r="AX353" s="25" t="str">
        <f>IF('1. Live'!BB371='check-Jul''26'!AX371,"",'1. Live'!BB371-'check-Jul''26'!AX371)</f>
        <v/>
      </c>
      <c r="AY353" s="25" t="str">
        <f>IF('1. Live'!BC371='check-Jul''26'!AY371,"",'1. Live'!BC371-'check-Jul''26'!AY371)</f>
        <v/>
      </c>
      <c r="AZ353" s="25" t="str">
        <f>IF('1. Live'!BD371='check-Jul''26'!AZ371,"",'1. Live'!BD371-'check-Jul''26'!AZ371)</f>
        <v/>
      </c>
      <c r="BA353" s="25" t="str">
        <f>IF('1. Live'!BE371='check-Jul''26'!BA371,"",'1. Live'!BE371-'check-Jul''26'!BA371)</f>
        <v/>
      </c>
      <c r="BB353" s="25" t="str">
        <f>IF('1. Live'!BF371='check-Jul''26'!BB371,"",'1. Live'!BF371-'check-Jul''26'!BB371)</f>
        <v/>
      </c>
      <c r="BC353" s="25" t="str">
        <f>IF('1. Live'!BG371='check-Jul''26'!BC371,"",'1. Live'!BG371-'check-Jul''26'!BC371)</f>
        <v/>
      </c>
      <c r="BD353" s="25" t="str">
        <f>IF('1. Live'!BH371='check-Jul''26'!BD371,"",'1. Live'!BH371-'check-Jul''26'!BD371)</f>
        <v/>
      </c>
      <c r="BE353" s="25" t="str">
        <f>IF('1. Live'!BI371='check-Jul''26'!BE371,"",'1. Live'!BI371-'check-Jul''26'!BE371)</f>
        <v/>
      </c>
      <c r="BF353" s="25" t="str">
        <f>IF('1. Live'!BJ371='check-Jul''26'!BF371,"",'1. Live'!BJ371-'check-Jul''26'!BF371)</f>
        <v/>
      </c>
      <c r="BG353" s="25" t="str">
        <f>IF('1. Live'!BK371='check-Jul''26'!BG371,"",'1. Live'!BK371-'check-Jul''26'!BG371)</f>
        <v/>
      </c>
      <c r="BH353" s="25" t="str">
        <f>IF('1. Live'!BL371='check-Jul''26'!BH371,"",'1. Live'!BL371-'check-Jul''26'!BH371)</f>
        <v/>
      </c>
      <c r="BI353" s="25" t="str">
        <f>IF('1. Live'!BM371='check-Jul''26'!BI371,"",'1. Live'!BM371-'check-Jul''26'!BI371)</f>
        <v/>
      </c>
      <c r="BJ353" s="25" t="str">
        <f>IF('1. Live'!BN371='check-Jul''26'!BJ371,"",'1. Live'!BN371-'check-Jul''26'!BJ371)</f>
        <v/>
      </c>
      <c r="BK353" s="25" t="str">
        <f>IF('1. Live'!BO371='check-Jul''26'!BK371,"",'1. Live'!BO371-'check-Jul''26'!BK371)</f>
        <v/>
      </c>
      <c r="BL353" s="25" t="str">
        <f>IF('1. Live'!BP371='check-Jul''26'!BL371,"",'1. Live'!BP371-'check-Jul''26'!BL371)</f>
        <v/>
      </c>
      <c r="BM353" s="25" t="str">
        <f>IF('1. Live'!BQ371='check-Jul''26'!BM371,"",'1. Live'!BQ371-'check-Jul''26'!BM371)</f>
        <v/>
      </c>
      <c r="BN353" s="25" t="str">
        <f>IF('1. Live'!BR371='check-Jul''26'!BN371,"",'1. Live'!BR371-'check-Jul''26'!BN371)</f>
        <v/>
      </c>
      <c r="BO353" s="25" t="str">
        <f>IF('1. Live'!BS371='check-Jul''26'!BO371,"",'1. Live'!BS371-'check-Jul''26'!BO371)</f>
        <v/>
      </c>
      <c r="BP353" s="25" t="str">
        <f>IF('1. Live'!BT371='check-Jul''26'!BP371,"",'1. Live'!BT371-'check-Jul''26'!BP371)</f>
        <v/>
      </c>
      <c r="BQ353" s="25" t="str">
        <f>IF('1. Live'!BU371='check-Jul''26'!BQ371,"",'1. Live'!BU371-'check-Jul''26'!BQ371)</f>
        <v/>
      </c>
      <c r="BR353" s="25" t="str">
        <f>IF('1. Live'!BV371='check-Jul''26'!BR371,"",'1. Live'!BV371-'check-Jul''26'!BR371)</f>
        <v/>
      </c>
      <c r="BS353" s="25" t="str">
        <f>IF('1. Live'!BW371='check-Jul''26'!BS371,"",'1. Live'!BW371-'check-Jul''26'!BS371)</f>
        <v/>
      </c>
      <c r="BT353" s="25" t="str">
        <f>IF('1. Live'!BX371='check-Jul''26'!BT371,"",'1. Live'!BX371-'check-Jul''26'!BT371)</f>
        <v/>
      </c>
      <c r="BU353" s="25" t="str">
        <f>IF('1. Live'!BY371='check-Jul''26'!BU371,"",'1. Live'!BY371-'check-Jul''26'!BU371)</f>
        <v/>
      </c>
      <c r="BV353" s="25" t="str">
        <f>IF('1. Live'!BZ371='check-Jul''26'!BV371,"",'1. Live'!BZ371-'check-Jul''26'!BV371)</f>
        <v/>
      </c>
      <c r="BW353" s="25" t="str">
        <f>IF('1. Live'!CA371='check-Jul''26'!BW371,"",'1. Live'!CA371-'check-Jul''26'!BW371)</f>
        <v/>
      </c>
      <c r="BX353" s="25" t="str">
        <f>IF('1. Live'!CB371='check-Jul''26'!BX371,"",'1. Live'!CB371-'check-Jul''26'!BX371)</f>
        <v/>
      </c>
      <c r="BY353" s="25" t="str">
        <f>IF('1. Live'!CC371='check-Jul''26'!BY371,"",'1. Live'!CC371-'check-Jul''26'!BY371)</f>
        <v/>
      </c>
      <c r="BZ353" s="25" t="str">
        <f>IF('1. Live'!CD371='check-Jul''26'!BZ371,"",'1. Live'!CD371-'check-Jul''26'!BZ371)</f>
        <v/>
      </c>
      <c r="CA353" s="25" t="str">
        <f>IF('1. Live'!CE371='check-Jul''26'!CA371,"",'1. Live'!CE371-'check-Jul''26'!CA371)</f>
        <v/>
      </c>
      <c r="CB353" s="25" t="str">
        <f>IF('1. Live'!CF371='check-Jul''26'!CB371,"",'1. Live'!CF371-'check-Jul''26'!CB371)</f>
        <v/>
      </c>
      <c r="CC353" s="25" t="str">
        <f>IF('1. Live'!CG371='check-Jul''26'!CC371,"",'1. Live'!CG371-'check-Jul''26'!CC371)</f>
        <v/>
      </c>
      <c r="CD353" s="25" t="str">
        <f>IF('1. Live'!CH371='check-Jul''26'!CD371,"",'1. Live'!CH371-'check-Jul''26'!CD371)</f>
        <v/>
      </c>
      <c r="CE353" s="25" t="str">
        <f>IF('1. Live'!CI371='check-Jul''26'!CE371,"",'1. Live'!CI371-'check-Jul''26'!CE371)</f>
        <v/>
      </c>
      <c r="CF353" s="25" t="str">
        <f>IF('1. Live'!CJ371='check-Jul''26'!CF371,"",'1. Live'!CJ371-'check-Jul''26'!CF371)</f>
        <v/>
      </c>
      <c r="CG353" s="25" t="str">
        <f>IF('1. Live'!CK371='check-Jul''26'!CG371,"",'1. Live'!CK371-'check-Jul''26'!CG371)</f>
        <v/>
      </c>
      <c r="CH353" s="25" t="str">
        <f>IF('1. Live'!CL371='check-Jul''26'!CH371,"",'1. Live'!CL371-'check-Jul''26'!CH371)</f>
        <v/>
      </c>
      <c r="CI353" s="25" t="str">
        <f>IF('1. Live'!CM371='check-Jul''26'!CI371,"",'1. Live'!CM371-'check-Jul''26'!CI371)</f>
        <v/>
      </c>
      <c r="CJ353" s="25" t="str">
        <f>IF('1. Live'!CN371='check-Jul''26'!CJ371,"",'1. Live'!CN371-'check-Jul''26'!CJ371)</f>
        <v/>
      </c>
      <c r="CK353" s="25" t="str">
        <f>IF('1. Live'!CO371='check-Jul''26'!CK371,"",'1. Live'!CO371-'check-Jul''26'!CK371)</f>
        <v/>
      </c>
      <c r="CL353" s="25" t="str">
        <f>IF('1. Live'!CP371='check-Jul''26'!CL371,"",'1. Live'!CP371-'check-Jul''26'!CL371)</f>
        <v/>
      </c>
      <c r="CM353" s="25" t="str">
        <f>IF('1. Live'!CQ371='check-Jul''26'!CM371,"",'1. Live'!CQ371-'check-Jul''26'!CM371)</f>
        <v/>
      </c>
      <c r="CN353" s="25" t="str">
        <f>IF('1. Live'!CR371='check-Jul''26'!CN371,"",'1. Live'!CR371-'check-Jul''26'!CN371)</f>
        <v/>
      </c>
      <c r="CO353" s="25" t="str">
        <f>IF('1. Live'!CS371='check-Jul''26'!CO371,"",'1. Live'!CS371-'check-Jul''26'!CO371)</f>
        <v/>
      </c>
      <c r="CP353" s="25" t="str">
        <f>IF('1. Live'!CT371='check-Jul''26'!CP371,"",'1. Live'!CT371-'check-Jul''26'!CP371)</f>
        <v/>
      </c>
      <c r="CQ353" s="25" t="str">
        <f>IF('1. Live'!CU371='check-Jul''26'!CQ371,"",'1. Live'!CU371-'check-Jul''26'!CQ371)</f>
        <v/>
      </c>
      <c r="CR353" s="25" t="str">
        <f>IF('1. Live'!CV371='check-Jul''26'!CR371,"",'1. Live'!CV371-'check-Jul''26'!CR371)</f>
        <v/>
      </c>
      <c r="CS353" s="25" t="str">
        <f>IF('1. Live'!CW371='check-Jul''26'!CS371,"",'1. Live'!CW371-'check-Jul''26'!CS371)</f>
        <v/>
      </c>
      <c r="CT353" s="25" t="str">
        <f>IF('1. Live'!CX371='check-Jul''26'!CT371,"",'1. Live'!CX371-'check-Jul''26'!CT371)</f>
        <v/>
      </c>
      <c r="CU353" s="25" t="str">
        <f>IF('1. Live'!CY371='check-Jul''26'!CU371,"",'1. Live'!CY371-'check-Jul''26'!CU371)</f>
        <v/>
      </c>
      <c r="CV353" s="25" t="str">
        <f>IF('1. Live'!CZ371='check-Jul''26'!CV371,"",'1. Live'!CZ371-'check-Jul''26'!CV371)</f>
        <v/>
      </c>
    </row>
    <row r="354" spans="17:100" x14ac:dyDescent="0.25">
      <c r="Q354" s="26" t="str">
        <f>IF('1. Live'!N372='check-Jul''26'!I372,"",'1. Live'!N372-'check-Jul''26'!I372)</f>
        <v/>
      </c>
      <c r="R354" s="26" t="str">
        <f>IF('1. Live'!O372='check-Jul''26'!J372,"",'1. Live'!O372-'check-Jul''26'!J372)</f>
        <v/>
      </c>
      <c r="S354" s="26" t="str">
        <f>IF('1. Live'!P372='check-Jul''26'!K372,"",'1. Live'!P372-'check-Jul''26'!K372)</f>
        <v/>
      </c>
      <c r="T354" s="26" t="str">
        <f>IF('1. Live'!Q372='check-Jul''26'!L372,"",'1. Live'!Q372-'check-Jul''26'!L372)</f>
        <v/>
      </c>
      <c r="U354" s="80" t="str">
        <f>IF('1. Live'!R372='check-Jul''26'!M372,"",'1. Live'!R372-'check-Jul''26'!M372)</f>
        <v/>
      </c>
      <c r="V354" s="26" t="str">
        <f>IF('1. Live'!S372='check-Jul''26'!N372,"",'1. Live'!S372-'check-Jul''26'!N372)</f>
        <v/>
      </c>
      <c r="W354" s="25" t="str">
        <f>IF('1. Live'!T372='check-Jul''26'!O372,"",'1. Live'!T372-'check-Jul''26'!O372)</f>
        <v/>
      </c>
      <c r="X354" s="25" t="str">
        <f>IF('1. Live'!U372='check-Jul''26'!Q372,"",'1. Live'!U372-'check-Jul''26'!Q372)</f>
        <v/>
      </c>
      <c r="Y354" s="25" t="str">
        <f>IF('1. Live'!V372='check-Jul''26'!R372,"",'1. Live'!V372-'check-Jul''26'!R372)</f>
        <v/>
      </c>
      <c r="Z354" s="25" t="str">
        <f>IF('1. Live'!W372='check-Jul''26'!S372,"",'1. Live'!W372-'check-Jul''26'!S372)</f>
        <v/>
      </c>
      <c r="AA354" s="25" t="str">
        <f>IF('1. Live'!X372='check-Jul''26'!T372,"",'1. Live'!X372-'check-Jul''26'!T372)</f>
        <v/>
      </c>
      <c r="AB354" s="25" t="str">
        <f>IF('1. Live'!AF372='check-Jul''26'!AB372,"",'1. Live'!AF372-'check-Jul''26'!AB372)</f>
        <v/>
      </c>
      <c r="AC354" s="25" t="str">
        <f>IF('1. Live'!AG372='check-Jul''26'!AC372,"",'1. Live'!AG372-'check-Jul''26'!AC372)</f>
        <v/>
      </c>
      <c r="AD354" s="25" t="str">
        <f>IF('1. Live'!AH372='check-Jul''26'!AD372,"",'1. Live'!AH372-'check-Jul''26'!AD372)</f>
        <v/>
      </c>
      <c r="AE354" s="25" t="str">
        <f>IF('1. Live'!AI372='check-Jul''26'!AE372,"",'1. Live'!AI372-'check-Jul''26'!AE372)</f>
        <v/>
      </c>
      <c r="AF354" s="25" t="str">
        <f>IF('1. Live'!AJ372='check-Jul''26'!AF372,"",'1. Live'!AJ372-'check-Jul''26'!AF372)</f>
        <v/>
      </c>
      <c r="AG354" s="25" t="str">
        <f>IF('1. Live'!AK372='check-Jul''26'!AG372,"",'1. Live'!AK372-'check-Jul''26'!AG372)</f>
        <v/>
      </c>
      <c r="AH354" s="25" t="str">
        <f>IF('1. Live'!AL372='check-Jul''26'!AH372,"",'1. Live'!AL372-'check-Jul''26'!AH372)</f>
        <v/>
      </c>
      <c r="AI354" s="25" t="str">
        <f>IF('1. Live'!AM372='check-Jul''26'!AI372,"",'1. Live'!AM372-'check-Jul''26'!AI372)</f>
        <v/>
      </c>
      <c r="AJ354" s="25" t="str">
        <f>IF('1. Live'!AN372='check-Jul''26'!AJ372,"",'1. Live'!AN372-'check-Jul''26'!AJ372)</f>
        <v/>
      </c>
      <c r="AK354" s="25" t="str">
        <f>IF('1. Live'!AO372='check-Jul''26'!AK372,"",'1. Live'!AO372-'check-Jul''26'!AK372)</f>
        <v/>
      </c>
      <c r="AL354" s="25" t="str">
        <f>IF('1. Live'!AP372='check-Jul''26'!AL372,"",'1. Live'!AP372-'check-Jul''26'!AL372)</f>
        <v/>
      </c>
      <c r="AM354" s="25" t="str">
        <f>IF('1. Live'!AQ372='check-Jul''26'!AM372,"",'1. Live'!AQ372-'check-Jul''26'!AM372)</f>
        <v/>
      </c>
      <c r="AN354" s="25" t="str">
        <f>IF('1. Live'!AR372='check-Jul''26'!AN372,"",'1. Live'!AR372-'check-Jul''26'!AN372)</f>
        <v/>
      </c>
      <c r="AO354" s="25" t="str">
        <f>IF('1. Live'!AS372='check-Jul''26'!AO372,"",'1. Live'!AS372-'check-Jul''26'!AO372)</f>
        <v/>
      </c>
      <c r="AP354" s="25" t="str">
        <f>IF('1. Live'!AT372='check-Jul''26'!AP372,"",'1. Live'!AT372-'check-Jul''26'!AP372)</f>
        <v/>
      </c>
      <c r="AQ354" s="25" t="str">
        <f>IF('1. Live'!AU372='check-Jul''26'!AQ372,"",'1. Live'!AU372-'check-Jul''26'!AQ372)</f>
        <v/>
      </c>
      <c r="AR354" s="25" t="str">
        <f>IF('1. Live'!AV372='check-Jul''26'!AR372,"",'1. Live'!AV372-'check-Jul''26'!AR372)</f>
        <v/>
      </c>
      <c r="AS354" s="25" t="str">
        <f>IF('1. Live'!AW372='check-Jul''26'!AS372,"",'1. Live'!AW372-'check-Jul''26'!AS372)</f>
        <v/>
      </c>
      <c r="AT354" s="25" t="str">
        <f>IF('1. Live'!AX372='check-Jul''26'!AT372,"",'1. Live'!AX372-'check-Jul''26'!AT372)</f>
        <v/>
      </c>
      <c r="AU354" s="25" t="str">
        <f>IF('1. Live'!AY372='check-Jul''26'!AU372,"",'1. Live'!AY372-'check-Jul''26'!AU372)</f>
        <v/>
      </c>
      <c r="AV354" s="25" t="str">
        <f>IF('1. Live'!AZ372='check-Jul''26'!AV372,"",'1. Live'!AZ372-'check-Jul''26'!AV372)</f>
        <v/>
      </c>
      <c r="AW354" s="25" t="str">
        <f>IF('1. Live'!BA372='check-Jul''26'!AW372,"",'1. Live'!BA372-'check-Jul''26'!AW372)</f>
        <v/>
      </c>
      <c r="AX354" s="25" t="str">
        <f>IF('1. Live'!BB372='check-Jul''26'!AX372,"",'1. Live'!BB372-'check-Jul''26'!AX372)</f>
        <v/>
      </c>
      <c r="AY354" s="25" t="str">
        <f>IF('1. Live'!BC372='check-Jul''26'!AY372,"",'1. Live'!BC372-'check-Jul''26'!AY372)</f>
        <v/>
      </c>
      <c r="AZ354" s="25" t="str">
        <f>IF('1. Live'!BD372='check-Jul''26'!AZ372,"",'1. Live'!BD372-'check-Jul''26'!AZ372)</f>
        <v/>
      </c>
      <c r="BA354" s="25" t="str">
        <f>IF('1. Live'!BE372='check-Jul''26'!BA372,"",'1. Live'!BE372-'check-Jul''26'!BA372)</f>
        <v/>
      </c>
      <c r="BB354" s="25" t="str">
        <f>IF('1. Live'!BF372='check-Jul''26'!BB372,"",'1. Live'!BF372-'check-Jul''26'!BB372)</f>
        <v/>
      </c>
      <c r="BC354" s="25" t="str">
        <f>IF('1. Live'!BG372='check-Jul''26'!BC372,"",'1. Live'!BG372-'check-Jul''26'!BC372)</f>
        <v/>
      </c>
      <c r="BD354" s="25" t="str">
        <f>IF('1. Live'!BH372='check-Jul''26'!BD372,"",'1. Live'!BH372-'check-Jul''26'!BD372)</f>
        <v/>
      </c>
      <c r="BE354" s="25" t="str">
        <f>IF('1. Live'!BI372='check-Jul''26'!BE372,"",'1. Live'!BI372-'check-Jul''26'!BE372)</f>
        <v/>
      </c>
      <c r="BF354" s="25" t="str">
        <f>IF('1. Live'!BJ372='check-Jul''26'!BF372,"",'1. Live'!BJ372-'check-Jul''26'!BF372)</f>
        <v/>
      </c>
      <c r="BG354" s="25" t="str">
        <f>IF('1. Live'!BK372='check-Jul''26'!BG372,"",'1. Live'!BK372-'check-Jul''26'!BG372)</f>
        <v/>
      </c>
      <c r="BH354" s="25" t="str">
        <f>IF('1. Live'!BL372='check-Jul''26'!BH372,"",'1. Live'!BL372-'check-Jul''26'!BH372)</f>
        <v/>
      </c>
      <c r="BI354" s="25" t="str">
        <f>IF('1. Live'!BM372='check-Jul''26'!BI372,"",'1. Live'!BM372-'check-Jul''26'!BI372)</f>
        <v/>
      </c>
      <c r="BJ354" s="25" t="str">
        <f>IF('1. Live'!BN372='check-Jul''26'!BJ372,"",'1. Live'!BN372-'check-Jul''26'!BJ372)</f>
        <v/>
      </c>
      <c r="BK354" s="25" t="str">
        <f>IF('1. Live'!BO372='check-Jul''26'!BK372,"",'1. Live'!BO372-'check-Jul''26'!BK372)</f>
        <v/>
      </c>
      <c r="BL354" s="25" t="str">
        <f>IF('1. Live'!BP372='check-Jul''26'!BL372,"",'1. Live'!BP372-'check-Jul''26'!BL372)</f>
        <v/>
      </c>
      <c r="BM354" s="25" t="str">
        <f>IF('1. Live'!BQ372='check-Jul''26'!BM372,"",'1. Live'!BQ372-'check-Jul''26'!BM372)</f>
        <v/>
      </c>
      <c r="BN354" s="25" t="str">
        <f>IF('1. Live'!BR372='check-Jul''26'!BN372,"",'1. Live'!BR372-'check-Jul''26'!BN372)</f>
        <v/>
      </c>
      <c r="BO354" s="25" t="str">
        <f>IF('1. Live'!BS372='check-Jul''26'!BO372,"",'1. Live'!BS372-'check-Jul''26'!BO372)</f>
        <v/>
      </c>
      <c r="BP354" s="25" t="str">
        <f>IF('1. Live'!BT372='check-Jul''26'!BP372,"",'1. Live'!BT372-'check-Jul''26'!BP372)</f>
        <v/>
      </c>
      <c r="BQ354" s="25" t="str">
        <f>IF('1. Live'!BU372='check-Jul''26'!BQ372,"",'1. Live'!BU372-'check-Jul''26'!BQ372)</f>
        <v/>
      </c>
      <c r="BR354" s="25" t="str">
        <f>IF('1. Live'!BV372='check-Jul''26'!BR372,"",'1. Live'!BV372-'check-Jul''26'!BR372)</f>
        <v/>
      </c>
      <c r="BS354" s="25" t="str">
        <f>IF('1. Live'!BW372='check-Jul''26'!BS372,"",'1. Live'!BW372-'check-Jul''26'!BS372)</f>
        <v/>
      </c>
      <c r="BT354" s="25" t="str">
        <f>IF('1. Live'!BX372='check-Jul''26'!BT372,"",'1. Live'!BX372-'check-Jul''26'!BT372)</f>
        <v/>
      </c>
      <c r="BU354" s="25" t="str">
        <f>IF('1. Live'!BY372='check-Jul''26'!BU372,"",'1. Live'!BY372-'check-Jul''26'!BU372)</f>
        <v/>
      </c>
      <c r="BV354" s="25" t="str">
        <f>IF('1. Live'!BZ372='check-Jul''26'!BV372,"",'1. Live'!BZ372-'check-Jul''26'!BV372)</f>
        <v/>
      </c>
      <c r="BW354" s="25" t="str">
        <f>IF('1. Live'!CA372='check-Jul''26'!BW372,"",'1. Live'!CA372-'check-Jul''26'!BW372)</f>
        <v/>
      </c>
      <c r="BX354" s="25" t="str">
        <f>IF('1. Live'!CB372='check-Jul''26'!BX372,"",'1. Live'!CB372-'check-Jul''26'!BX372)</f>
        <v/>
      </c>
      <c r="BY354" s="25" t="str">
        <f>IF('1. Live'!CC372='check-Jul''26'!BY372,"",'1. Live'!CC372-'check-Jul''26'!BY372)</f>
        <v/>
      </c>
      <c r="BZ354" s="25" t="str">
        <f>IF('1. Live'!CD372='check-Jul''26'!BZ372,"",'1. Live'!CD372-'check-Jul''26'!BZ372)</f>
        <v/>
      </c>
      <c r="CA354" s="25" t="str">
        <f>IF('1. Live'!CE372='check-Jul''26'!CA372,"",'1. Live'!CE372-'check-Jul''26'!CA372)</f>
        <v/>
      </c>
      <c r="CB354" s="25" t="str">
        <f>IF('1. Live'!CF372='check-Jul''26'!CB372,"",'1. Live'!CF372-'check-Jul''26'!CB372)</f>
        <v/>
      </c>
      <c r="CC354" s="25" t="str">
        <f>IF('1. Live'!CG372='check-Jul''26'!CC372,"",'1. Live'!CG372-'check-Jul''26'!CC372)</f>
        <v/>
      </c>
      <c r="CD354" s="25" t="str">
        <f>IF('1. Live'!CH372='check-Jul''26'!CD372,"",'1. Live'!CH372-'check-Jul''26'!CD372)</f>
        <v/>
      </c>
      <c r="CE354" s="25" t="str">
        <f>IF('1. Live'!CI372='check-Jul''26'!CE372,"",'1. Live'!CI372-'check-Jul''26'!CE372)</f>
        <v/>
      </c>
      <c r="CF354" s="25" t="str">
        <f>IF('1. Live'!CJ372='check-Jul''26'!CF372,"",'1. Live'!CJ372-'check-Jul''26'!CF372)</f>
        <v/>
      </c>
      <c r="CG354" s="25" t="str">
        <f>IF('1. Live'!CK372='check-Jul''26'!CG372,"",'1. Live'!CK372-'check-Jul''26'!CG372)</f>
        <v/>
      </c>
      <c r="CH354" s="25" t="str">
        <f>IF('1. Live'!CL372='check-Jul''26'!CH372,"",'1. Live'!CL372-'check-Jul''26'!CH372)</f>
        <v/>
      </c>
      <c r="CI354" s="25" t="str">
        <f>IF('1. Live'!CM372='check-Jul''26'!CI372,"",'1. Live'!CM372-'check-Jul''26'!CI372)</f>
        <v/>
      </c>
      <c r="CJ354" s="25" t="str">
        <f>IF('1. Live'!CN372='check-Jul''26'!CJ372,"",'1. Live'!CN372-'check-Jul''26'!CJ372)</f>
        <v/>
      </c>
      <c r="CK354" s="25" t="str">
        <f>IF('1. Live'!CO372='check-Jul''26'!CK372,"",'1. Live'!CO372-'check-Jul''26'!CK372)</f>
        <v/>
      </c>
      <c r="CL354" s="25" t="str">
        <f>IF('1. Live'!CP372='check-Jul''26'!CL372,"",'1. Live'!CP372-'check-Jul''26'!CL372)</f>
        <v/>
      </c>
      <c r="CM354" s="25" t="str">
        <f>IF('1. Live'!CQ372='check-Jul''26'!CM372,"",'1. Live'!CQ372-'check-Jul''26'!CM372)</f>
        <v/>
      </c>
      <c r="CN354" s="25" t="str">
        <f>IF('1. Live'!CR372='check-Jul''26'!CN372,"",'1. Live'!CR372-'check-Jul''26'!CN372)</f>
        <v/>
      </c>
      <c r="CO354" s="25" t="str">
        <f>IF('1. Live'!CS372='check-Jul''26'!CO372,"",'1. Live'!CS372-'check-Jul''26'!CO372)</f>
        <v/>
      </c>
      <c r="CP354" s="25" t="str">
        <f>IF('1. Live'!CT372='check-Jul''26'!CP372,"",'1. Live'!CT372-'check-Jul''26'!CP372)</f>
        <v/>
      </c>
      <c r="CQ354" s="25" t="str">
        <f>IF('1. Live'!CU372='check-Jul''26'!CQ372,"",'1. Live'!CU372-'check-Jul''26'!CQ372)</f>
        <v/>
      </c>
      <c r="CR354" s="25" t="str">
        <f>IF('1. Live'!CV372='check-Jul''26'!CR372,"",'1. Live'!CV372-'check-Jul''26'!CR372)</f>
        <v/>
      </c>
      <c r="CS354" s="25" t="str">
        <f>IF('1. Live'!CW372='check-Jul''26'!CS372,"",'1. Live'!CW372-'check-Jul''26'!CS372)</f>
        <v/>
      </c>
      <c r="CT354" s="25" t="str">
        <f>IF('1. Live'!CX372='check-Jul''26'!CT372,"",'1. Live'!CX372-'check-Jul''26'!CT372)</f>
        <v/>
      </c>
      <c r="CU354" s="25" t="str">
        <f>IF('1. Live'!CY372='check-Jul''26'!CU372,"",'1. Live'!CY372-'check-Jul''26'!CU372)</f>
        <v/>
      </c>
      <c r="CV354" s="25" t="str">
        <f>IF('1. Live'!CZ372='check-Jul''26'!CV372,"",'1. Live'!CZ372-'check-Jul''26'!CV372)</f>
        <v/>
      </c>
    </row>
    <row r="355" spans="17:100" x14ac:dyDescent="0.25">
      <c r="Q355" s="26" t="str">
        <f>IF('1. Live'!N373='check-Jul''26'!I373,"",'1. Live'!N373-'check-Jul''26'!I373)</f>
        <v/>
      </c>
      <c r="R355" s="26" t="str">
        <f>IF('1. Live'!O373='check-Jul''26'!J373,"",'1. Live'!O373-'check-Jul''26'!J373)</f>
        <v/>
      </c>
      <c r="S355" s="26" t="str">
        <f>IF('1. Live'!P373='check-Jul''26'!K373,"",'1. Live'!P373-'check-Jul''26'!K373)</f>
        <v/>
      </c>
      <c r="T355" s="26" t="str">
        <f>IF('1. Live'!Q373='check-Jul''26'!L373,"",'1. Live'!Q373-'check-Jul''26'!L373)</f>
        <v/>
      </c>
      <c r="U355" s="80" t="str">
        <f>IF('1. Live'!R373='check-Jul''26'!M373,"",'1. Live'!R373-'check-Jul''26'!M373)</f>
        <v/>
      </c>
      <c r="V355" s="26" t="str">
        <f>IF('1. Live'!S373='check-Jul''26'!N373,"",'1. Live'!S373-'check-Jul''26'!N373)</f>
        <v/>
      </c>
      <c r="W355" s="25" t="str">
        <f>IF('1. Live'!T373='check-Jul''26'!O373,"",'1. Live'!T373-'check-Jul''26'!O373)</f>
        <v/>
      </c>
      <c r="X355" s="25" t="str">
        <f>IF('1. Live'!U373='check-Jul''26'!Q373,"",'1. Live'!U373-'check-Jul''26'!Q373)</f>
        <v/>
      </c>
      <c r="Y355" s="25" t="str">
        <f>IF('1. Live'!V373='check-Jul''26'!R373,"",'1. Live'!V373-'check-Jul''26'!R373)</f>
        <v/>
      </c>
      <c r="Z355" s="25" t="str">
        <f>IF('1. Live'!W373='check-Jul''26'!S373,"",'1. Live'!W373-'check-Jul''26'!S373)</f>
        <v/>
      </c>
      <c r="AA355" s="25" t="str">
        <f>IF('1. Live'!X373='check-Jul''26'!T373,"",'1. Live'!X373-'check-Jul''26'!T373)</f>
        <v/>
      </c>
      <c r="AB355" s="25" t="str">
        <f>IF('1. Live'!AF373='check-Jul''26'!AB373,"",'1. Live'!AF373-'check-Jul''26'!AB373)</f>
        <v/>
      </c>
      <c r="AC355" s="25" t="str">
        <f>IF('1. Live'!AG373='check-Jul''26'!AC373,"",'1. Live'!AG373-'check-Jul''26'!AC373)</f>
        <v/>
      </c>
      <c r="AD355" s="25" t="str">
        <f>IF('1. Live'!AH373='check-Jul''26'!AD373,"",'1. Live'!AH373-'check-Jul''26'!AD373)</f>
        <v/>
      </c>
      <c r="AE355" s="25" t="str">
        <f>IF('1. Live'!AI373='check-Jul''26'!AE373,"",'1. Live'!AI373-'check-Jul''26'!AE373)</f>
        <v/>
      </c>
      <c r="AF355" s="25" t="str">
        <f>IF('1. Live'!AJ373='check-Jul''26'!AF373,"",'1. Live'!AJ373-'check-Jul''26'!AF373)</f>
        <v/>
      </c>
      <c r="AG355" s="25" t="str">
        <f>IF('1. Live'!AK373='check-Jul''26'!AG373,"",'1. Live'!AK373-'check-Jul''26'!AG373)</f>
        <v/>
      </c>
      <c r="AH355" s="25" t="str">
        <f>IF('1. Live'!AL373='check-Jul''26'!AH373,"",'1. Live'!AL373-'check-Jul''26'!AH373)</f>
        <v/>
      </c>
      <c r="AI355" s="25" t="str">
        <f>IF('1. Live'!AM373='check-Jul''26'!AI373,"",'1. Live'!AM373-'check-Jul''26'!AI373)</f>
        <v/>
      </c>
      <c r="AJ355" s="25" t="str">
        <f>IF('1. Live'!AN373='check-Jul''26'!AJ373,"",'1. Live'!AN373-'check-Jul''26'!AJ373)</f>
        <v/>
      </c>
      <c r="AK355" s="25" t="str">
        <f>IF('1. Live'!AO373='check-Jul''26'!AK373,"",'1. Live'!AO373-'check-Jul''26'!AK373)</f>
        <v/>
      </c>
      <c r="AL355" s="25" t="str">
        <f>IF('1. Live'!AP373='check-Jul''26'!AL373,"",'1. Live'!AP373-'check-Jul''26'!AL373)</f>
        <v/>
      </c>
      <c r="AM355" s="25" t="str">
        <f>IF('1. Live'!AQ373='check-Jul''26'!AM373,"",'1. Live'!AQ373-'check-Jul''26'!AM373)</f>
        <v/>
      </c>
      <c r="AN355" s="25" t="str">
        <f>IF('1. Live'!AR373='check-Jul''26'!AN373,"",'1. Live'!AR373-'check-Jul''26'!AN373)</f>
        <v/>
      </c>
      <c r="AO355" s="25" t="str">
        <f>IF('1. Live'!AS373='check-Jul''26'!AO373,"",'1. Live'!AS373-'check-Jul''26'!AO373)</f>
        <v/>
      </c>
      <c r="AP355" s="25" t="str">
        <f>IF('1. Live'!AT373='check-Jul''26'!AP373,"",'1. Live'!AT373-'check-Jul''26'!AP373)</f>
        <v/>
      </c>
      <c r="AQ355" s="25" t="str">
        <f>IF('1. Live'!AU373='check-Jul''26'!AQ373,"",'1. Live'!AU373-'check-Jul''26'!AQ373)</f>
        <v/>
      </c>
      <c r="AR355" s="25" t="str">
        <f>IF('1. Live'!AV373='check-Jul''26'!AR373,"",'1. Live'!AV373-'check-Jul''26'!AR373)</f>
        <v/>
      </c>
      <c r="AS355" s="25" t="str">
        <f>IF('1. Live'!AW373='check-Jul''26'!AS373,"",'1. Live'!AW373-'check-Jul''26'!AS373)</f>
        <v/>
      </c>
      <c r="AT355" s="25" t="str">
        <f>IF('1. Live'!AX373='check-Jul''26'!AT373,"",'1. Live'!AX373-'check-Jul''26'!AT373)</f>
        <v/>
      </c>
      <c r="AU355" s="25" t="str">
        <f>IF('1. Live'!AY373='check-Jul''26'!AU373,"",'1. Live'!AY373-'check-Jul''26'!AU373)</f>
        <v/>
      </c>
      <c r="AV355" s="25" t="str">
        <f>IF('1. Live'!AZ373='check-Jul''26'!AV373,"",'1. Live'!AZ373-'check-Jul''26'!AV373)</f>
        <v/>
      </c>
      <c r="AW355" s="25" t="str">
        <f>IF('1. Live'!BA373='check-Jul''26'!AW373,"",'1. Live'!BA373-'check-Jul''26'!AW373)</f>
        <v/>
      </c>
      <c r="AX355" s="25" t="str">
        <f>IF('1. Live'!BB373='check-Jul''26'!AX373,"",'1. Live'!BB373-'check-Jul''26'!AX373)</f>
        <v/>
      </c>
      <c r="AY355" s="25" t="str">
        <f>IF('1. Live'!BC373='check-Jul''26'!AY373,"",'1. Live'!BC373-'check-Jul''26'!AY373)</f>
        <v/>
      </c>
      <c r="AZ355" s="25" t="str">
        <f>IF('1. Live'!BD373='check-Jul''26'!AZ373,"",'1. Live'!BD373-'check-Jul''26'!AZ373)</f>
        <v/>
      </c>
      <c r="BA355" s="25" t="str">
        <f>IF('1. Live'!BE373='check-Jul''26'!BA373,"",'1. Live'!BE373-'check-Jul''26'!BA373)</f>
        <v/>
      </c>
      <c r="BB355" s="25" t="str">
        <f>IF('1. Live'!BF373='check-Jul''26'!BB373,"",'1. Live'!BF373-'check-Jul''26'!BB373)</f>
        <v/>
      </c>
      <c r="BC355" s="25" t="str">
        <f>IF('1. Live'!BG373='check-Jul''26'!BC373,"",'1. Live'!BG373-'check-Jul''26'!BC373)</f>
        <v/>
      </c>
      <c r="BD355" s="25" t="str">
        <f>IF('1. Live'!BH373='check-Jul''26'!BD373,"",'1. Live'!BH373-'check-Jul''26'!BD373)</f>
        <v/>
      </c>
      <c r="BE355" s="25" t="str">
        <f>IF('1. Live'!BI373='check-Jul''26'!BE373,"",'1. Live'!BI373-'check-Jul''26'!BE373)</f>
        <v/>
      </c>
      <c r="BF355" s="25" t="str">
        <f>IF('1. Live'!BJ373='check-Jul''26'!BF373,"",'1. Live'!BJ373-'check-Jul''26'!BF373)</f>
        <v/>
      </c>
      <c r="BG355" s="25" t="str">
        <f>IF('1. Live'!BK373='check-Jul''26'!BG373,"",'1. Live'!BK373-'check-Jul''26'!BG373)</f>
        <v/>
      </c>
      <c r="BH355" s="25" t="str">
        <f>IF('1. Live'!BL373='check-Jul''26'!BH373,"",'1. Live'!BL373-'check-Jul''26'!BH373)</f>
        <v/>
      </c>
      <c r="BI355" s="25" t="str">
        <f>IF('1. Live'!BM373='check-Jul''26'!BI373,"",'1. Live'!BM373-'check-Jul''26'!BI373)</f>
        <v/>
      </c>
      <c r="BJ355" s="25" t="str">
        <f>IF('1. Live'!BN373='check-Jul''26'!BJ373,"",'1. Live'!BN373-'check-Jul''26'!BJ373)</f>
        <v/>
      </c>
      <c r="BK355" s="25" t="str">
        <f>IF('1. Live'!BO373='check-Jul''26'!BK373,"",'1. Live'!BO373-'check-Jul''26'!BK373)</f>
        <v/>
      </c>
      <c r="BL355" s="25" t="str">
        <f>IF('1. Live'!BP373='check-Jul''26'!BL373,"",'1. Live'!BP373-'check-Jul''26'!BL373)</f>
        <v/>
      </c>
      <c r="BM355" s="25" t="str">
        <f>IF('1. Live'!BQ373='check-Jul''26'!BM373,"",'1. Live'!BQ373-'check-Jul''26'!BM373)</f>
        <v/>
      </c>
      <c r="BN355" s="25" t="str">
        <f>IF('1. Live'!BR373='check-Jul''26'!BN373,"",'1. Live'!BR373-'check-Jul''26'!BN373)</f>
        <v/>
      </c>
      <c r="BO355" s="25" t="str">
        <f>IF('1. Live'!BS373='check-Jul''26'!BO373,"",'1. Live'!BS373-'check-Jul''26'!BO373)</f>
        <v/>
      </c>
      <c r="BP355" s="25" t="str">
        <f>IF('1. Live'!BT373='check-Jul''26'!BP373,"",'1. Live'!BT373-'check-Jul''26'!BP373)</f>
        <v/>
      </c>
      <c r="BQ355" s="25" t="str">
        <f>IF('1. Live'!BU373='check-Jul''26'!BQ373,"",'1. Live'!BU373-'check-Jul''26'!BQ373)</f>
        <v/>
      </c>
      <c r="BR355" s="25" t="str">
        <f>IF('1. Live'!BV373='check-Jul''26'!BR373,"",'1. Live'!BV373-'check-Jul''26'!BR373)</f>
        <v/>
      </c>
      <c r="BS355" s="25" t="str">
        <f>IF('1. Live'!BW373='check-Jul''26'!BS373,"",'1. Live'!BW373-'check-Jul''26'!BS373)</f>
        <v/>
      </c>
      <c r="BT355" s="25" t="str">
        <f>IF('1. Live'!BX373='check-Jul''26'!BT373,"",'1. Live'!BX373-'check-Jul''26'!BT373)</f>
        <v/>
      </c>
      <c r="BU355" s="25" t="str">
        <f>IF('1. Live'!BY373='check-Jul''26'!BU373,"",'1. Live'!BY373-'check-Jul''26'!BU373)</f>
        <v/>
      </c>
      <c r="BV355" s="25" t="str">
        <f>IF('1. Live'!BZ373='check-Jul''26'!BV373,"",'1. Live'!BZ373-'check-Jul''26'!BV373)</f>
        <v/>
      </c>
      <c r="BW355" s="25" t="str">
        <f>IF('1. Live'!CA373='check-Jul''26'!BW373,"",'1. Live'!CA373-'check-Jul''26'!BW373)</f>
        <v/>
      </c>
      <c r="BX355" s="25" t="str">
        <f>IF('1. Live'!CB373='check-Jul''26'!BX373,"",'1. Live'!CB373-'check-Jul''26'!BX373)</f>
        <v/>
      </c>
      <c r="BY355" s="25" t="str">
        <f>IF('1. Live'!CC373='check-Jul''26'!BY373,"",'1. Live'!CC373-'check-Jul''26'!BY373)</f>
        <v/>
      </c>
      <c r="BZ355" s="25" t="str">
        <f>IF('1. Live'!CD373='check-Jul''26'!BZ373,"",'1. Live'!CD373-'check-Jul''26'!BZ373)</f>
        <v/>
      </c>
      <c r="CA355" s="25" t="str">
        <f>IF('1. Live'!CE373='check-Jul''26'!CA373,"",'1. Live'!CE373-'check-Jul''26'!CA373)</f>
        <v/>
      </c>
      <c r="CB355" s="25" t="str">
        <f>IF('1. Live'!CF373='check-Jul''26'!CB373,"",'1. Live'!CF373-'check-Jul''26'!CB373)</f>
        <v/>
      </c>
      <c r="CC355" s="25" t="str">
        <f>IF('1. Live'!CG373='check-Jul''26'!CC373,"",'1. Live'!CG373-'check-Jul''26'!CC373)</f>
        <v/>
      </c>
      <c r="CD355" s="25" t="str">
        <f>IF('1. Live'!CH373='check-Jul''26'!CD373,"",'1. Live'!CH373-'check-Jul''26'!CD373)</f>
        <v/>
      </c>
      <c r="CE355" s="25" t="str">
        <f>IF('1. Live'!CI373='check-Jul''26'!CE373,"",'1. Live'!CI373-'check-Jul''26'!CE373)</f>
        <v/>
      </c>
      <c r="CF355" s="25" t="str">
        <f>IF('1. Live'!CJ373='check-Jul''26'!CF373,"",'1. Live'!CJ373-'check-Jul''26'!CF373)</f>
        <v/>
      </c>
      <c r="CG355" s="25" t="str">
        <f>IF('1. Live'!CK373='check-Jul''26'!CG373,"",'1. Live'!CK373-'check-Jul''26'!CG373)</f>
        <v/>
      </c>
      <c r="CH355" s="25" t="str">
        <f>IF('1. Live'!CL373='check-Jul''26'!CH373,"",'1. Live'!CL373-'check-Jul''26'!CH373)</f>
        <v/>
      </c>
      <c r="CI355" s="25" t="str">
        <f>IF('1. Live'!CM373='check-Jul''26'!CI373,"",'1. Live'!CM373-'check-Jul''26'!CI373)</f>
        <v/>
      </c>
      <c r="CJ355" s="25" t="str">
        <f>IF('1. Live'!CN373='check-Jul''26'!CJ373,"",'1. Live'!CN373-'check-Jul''26'!CJ373)</f>
        <v/>
      </c>
      <c r="CK355" s="25" t="str">
        <f>IF('1. Live'!CO373='check-Jul''26'!CK373,"",'1. Live'!CO373-'check-Jul''26'!CK373)</f>
        <v/>
      </c>
      <c r="CL355" s="25" t="str">
        <f>IF('1. Live'!CP373='check-Jul''26'!CL373,"",'1. Live'!CP373-'check-Jul''26'!CL373)</f>
        <v/>
      </c>
      <c r="CM355" s="25" t="str">
        <f>IF('1. Live'!CQ373='check-Jul''26'!CM373,"",'1. Live'!CQ373-'check-Jul''26'!CM373)</f>
        <v/>
      </c>
      <c r="CN355" s="25" t="str">
        <f>IF('1. Live'!CR373='check-Jul''26'!CN373,"",'1. Live'!CR373-'check-Jul''26'!CN373)</f>
        <v/>
      </c>
      <c r="CO355" s="25" t="str">
        <f>IF('1. Live'!CS373='check-Jul''26'!CO373,"",'1. Live'!CS373-'check-Jul''26'!CO373)</f>
        <v/>
      </c>
      <c r="CP355" s="25" t="str">
        <f>IF('1. Live'!CT373='check-Jul''26'!CP373,"",'1. Live'!CT373-'check-Jul''26'!CP373)</f>
        <v/>
      </c>
      <c r="CQ355" s="25" t="str">
        <f>IF('1. Live'!CU373='check-Jul''26'!CQ373,"",'1. Live'!CU373-'check-Jul''26'!CQ373)</f>
        <v/>
      </c>
      <c r="CR355" s="25" t="str">
        <f>IF('1. Live'!CV373='check-Jul''26'!CR373,"",'1. Live'!CV373-'check-Jul''26'!CR373)</f>
        <v/>
      </c>
      <c r="CS355" s="25" t="str">
        <f>IF('1. Live'!CW373='check-Jul''26'!CS373,"",'1. Live'!CW373-'check-Jul''26'!CS373)</f>
        <v/>
      </c>
      <c r="CT355" s="25" t="str">
        <f>IF('1. Live'!CX373='check-Jul''26'!CT373,"",'1. Live'!CX373-'check-Jul''26'!CT373)</f>
        <v/>
      </c>
      <c r="CU355" s="25" t="str">
        <f>IF('1. Live'!CY373='check-Jul''26'!CU373,"",'1. Live'!CY373-'check-Jul''26'!CU373)</f>
        <v/>
      </c>
      <c r="CV355" s="25" t="str">
        <f>IF('1. Live'!CZ373='check-Jul''26'!CV373,"",'1. Live'!CZ373-'check-Jul''26'!CV373)</f>
        <v/>
      </c>
    </row>
    <row r="356" spans="17:100" x14ac:dyDescent="0.25">
      <c r="Q356" s="26" t="str">
        <f>IF('1. Live'!N374='check-Jul''26'!I374,"",'1. Live'!N374-'check-Jul''26'!I374)</f>
        <v/>
      </c>
      <c r="R356" s="26" t="str">
        <f>IF('1. Live'!O374='check-Jul''26'!J374,"",'1. Live'!O374-'check-Jul''26'!J374)</f>
        <v/>
      </c>
      <c r="S356" s="26" t="str">
        <f>IF('1. Live'!P374='check-Jul''26'!K374,"",'1. Live'!P374-'check-Jul''26'!K374)</f>
        <v/>
      </c>
      <c r="T356" s="26" t="str">
        <f>IF('1. Live'!Q374='check-Jul''26'!L374,"",'1. Live'!Q374-'check-Jul''26'!L374)</f>
        <v/>
      </c>
      <c r="U356" s="80" t="str">
        <f>IF('1. Live'!R374='check-Jul''26'!M374,"",'1. Live'!R374-'check-Jul''26'!M374)</f>
        <v/>
      </c>
      <c r="V356" s="26" t="str">
        <f>IF('1. Live'!S374='check-Jul''26'!N374,"",'1. Live'!S374-'check-Jul''26'!N374)</f>
        <v/>
      </c>
      <c r="W356" s="25" t="str">
        <f>IF('1. Live'!T374='check-Jul''26'!O374,"",'1. Live'!T374-'check-Jul''26'!O374)</f>
        <v/>
      </c>
      <c r="X356" s="25" t="str">
        <f>IF('1. Live'!U374='check-Jul''26'!Q374,"",'1. Live'!U374-'check-Jul''26'!Q374)</f>
        <v/>
      </c>
      <c r="Y356" s="25" t="str">
        <f>IF('1. Live'!V374='check-Jul''26'!R374,"",'1. Live'!V374-'check-Jul''26'!R374)</f>
        <v/>
      </c>
      <c r="Z356" s="25" t="str">
        <f>IF('1. Live'!W374='check-Jul''26'!S374,"",'1. Live'!W374-'check-Jul''26'!S374)</f>
        <v/>
      </c>
      <c r="AA356" s="25" t="str">
        <f>IF('1. Live'!X374='check-Jul''26'!T374,"",'1. Live'!X374-'check-Jul''26'!T374)</f>
        <v/>
      </c>
      <c r="AB356" s="25" t="str">
        <f>IF('1. Live'!AF374='check-Jul''26'!AB374,"",'1. Live'!AF374-'check-Jul''26'!AB374)</f>
        <v/>
      </c>
      <c r="AC356" s="25" t="str">
        <f>IF('1. Live'!AG374='check-Jul''26'!AC374,"",'1. Live'!AG374-'check-Jul''26'!AC374)</f>
        <v/>
      </c>
      <c r="AD356" s="25" t="str">
        <f>IF('1. Live'!AH374='check-Jul''26'!AD374,"",'1. Live'!AH374-'check-Jul''26'!AD374)</f>
        <v/>
      </c>
      <c r="AE356" s="25" t="str">
        <f>IF('1. Live'!AI374='check-Jul''26'!AE374,"",'1. Live'!AI374-'check-Jul''26'!AE374)</f>
        <v/>
      </c>
      <c r="AF356" s="25" t="str">
        <f>IF('1. Live'!AJ374='check-Jul''26'!AF374,"",'1. Live'!AJ374-'check-Jul''26'!AF374)</f>
        <v/>
      </c>
      <c r="AG356" s="25" t="str">
        <f>IF('1. Live'!AK374='check-Jul''26'!AG374,"",'1. Live'!AK374-'check-Jul''26'!AG374)</f>
        <v/>
      </c>
      <c r="AH356" s="25" t="str">
        <f>IF('1. Live'!AL374='check-Jul''26'!AH374,"",'1. Live'!AL374-'check-Jul''26'!AH374)</f>
        <v/>
      </c>
      <c r="AI356" s="25" t="str">
        <f>IF('1. Live'!AM374='check-Jul''26'!AI374,"",'1. Live'!AM374-'check-Jul''26'!AI374)</f>
        <v/>
      </c>
      <c r="AJ356" s="25" t="str">
        <f>IF('1. Live'!AN374='check-Jul''26'!AJ374,"",'1. Live'!AN374-'check-Jul''26'!AJ374)</f>
        <v/>
      </c>
      <c r="AK356" s="25" t="str">
        <f>IF('1. Live'!AO374='check-Jul''26'!AK374,"",'1. Live'!AO374-'check-Jul''26'!AK374)</f>
        <v/>
      </c>
      <c r="AL356" s="25" t="str">
        <f>IF('1. Live'!AP374='check-Jul''26'!AL374,"",'1. Live'!AP374-'check-Jul''26'!AL374)</f>
        <v/>
      </c>
      <c r="AM356" s="25" t="str">
        <f>IF('1. Live'!AQ374='check-Jul''26'!AM374,"",'1. Live'!AQ374-'check-Jul''26'!AM374)</f>
        <v/>
      </c>
      <c r="AN356" s="25" t="str">
        <f>IF('1. Live'!AR374='check-Jul''26'!AN374,"",'1. Live'!AR374-'check-Jul''26'!AN374)</f>
        <v/>
      </c>
      <c r="AO356" s="25" t="str">
        <f>IF('1. Live'!AS374='check-Jul''26'!AO374,"",'1. Live'!AS374-'check-Jul''26'!AO374)</f>
        <v/>
      </c>
      <c r="AP356" s="25" t="str">
        <f>IF('1. Live'!AT374='check-Jul''26'!AP374,"",'1. Live'!AT374-'check-Jul''26'!AP374)</f>
        <v/>
      </c>
      <c r="AQ356" s="25" t="str">
        <f>IF('1. Live'!AU374='check-Jul''26'!AQ374,"",'1. Live'!AU374-'check-Jul''26'!AQ374)</f>
        <v/>
      </c>
      <c r="AR356" s="25" t="str">
        <f>IF('1. Live'!AV374='check-Jul''26'!AR374,"",'1. Live'!AV374-'check-Jul''26'!AR374)</f>
        <v/>
      </c>
      <c r="AS356" s="25" t="str">
        <f>IF('1. Live'!AW374='check-Jul''26'!AS374,"",'1. Live'!AW374-'check-Jul''26'!AS374)</f>
        <v/>
      </c>
      <c r="AT356" s="25" t="str">
        <f>IF('1. Live'!AX374='check-Jul''26'!AT374,"",'1. Live'!AX374-'check-Jul''26'!AT374)</f>
        <v/>
      </c>
      <c r="AU356" s="25" t="str">
        <f>IF('1. Live'!AY374='check-Jul''26'!AU374,"",'1. Live'!AY374-'check-Jul''26'!AU374)</f>
        <v/>
      </c>
      <c r="AV356" s="25" t="str">
        <f>IF('1. Live'!AZ374='check-Jul''26'!AV374,"",'1. Live'!AZ374-'check-Jul''26'!AV374)</f>
        <v/>
      </c>
      <c r="AW356" s="25" t="str">
        <f>IF('1. Live'!BA374='check-Jul''26'!AW374,"",'1. Live'!BA374-'check-Jul''26'!AW374)</f>
        <v/>
      </c>
      <c r="AX356" s="25" t="str">
        <f>IF('1. Live'!BB374='check-Jul''26'!AX374,"",'1. Live'!BB374-'check-Jul''26'!AX374)</f>
        <v/>
      </c>
      <c r="AY356" s="25" t="str">
        <f>IF('1. Live'!BC374='check-Jul''26'!AY374,"",'1. Live'!BC374-'check-Jul''26'!AY374)</f>
        <v/>
      </c>
      <c r="AZ356" s="25" t="str">
        <f>IF('1. Live'!BD374='check-Jul''26'!AZ374,"",'1. Live'!BD374-'check-Jul''26'!AZ374)</f>
        <v/>
      </c>
      <c r="BA356" s="25" t="str">
        <f>IF('1. Live'!BE374='check-Jul''26'!BA374,"",'1. Live'!BE374-'check-Jul''26'!BA374)</f>
        <v/>
      </c>
      <c r="BB356" s="25" t="str">
        <f>IF('1. Live'!BF374='check-Jul''26'!BB374,"",'1. Live'!BF374-'check-Jul''26'!BB374)</f>
        <v/>
      </c>
      <c r="BC356" s="25" t="str">
        <f>IF('1. Live'!BG374='check-Jul''26'!BC374,"",'1. Live'!BG374-'check-Jul''26'!BC374)</f>
        <v/>
      </c>
      <c r="BD356" s="25" t="str">
        <f>IF('1. Live'!BH374='check-Jul''26'!BD374,"",'1. Live'!BH374-'check-Jul''26'!BD374)</f>
        <v/>
      </c>
      <c r="BE356" s="25" t="str">
        <f>IF('1. Live'!BI374='check-Jul''26'!BE374,"",'1. Live'!BI374-'check-Jul''26'!BE374)</f>
        <v/>
      </c>
      <c r="BF356" s="25" t="str">
        <f>IF('1. Live'!BJ374='check-Jul''26'!BF374,"",'1. Live'!BJ374-'check-Jul''26'!BF374)</f>
        <v/>
      </c>
      <c r="BG356" s="25" t="str">
        <f>IF('1. Live'!BK374='check-Jul''26'!BG374,"",'1. Live'!BK374-'check-Jul''26'!BG374)</f>
        <v/>
      </c>
      <c r="BH356" s="25" t="str">
        <f>IF('1. Live'!BL374='check-Jul''26'!BH374,"",'1. Live'!BL374-'check-Jul''26'!BH374)</f>
        <v/>
      </c>
      <c r="BI356" s="25" t="str">
        <f>IF('1. Live'!BM374='check-Jul''26'!BI374,"",'1. Live'!BM374-'check-Jul''26'!BI374)</f>
        <v/>
      </c>
      <c r="BJ356" s="25" t="str">
        <f>IF('1. Live'!BN374='check-Jul''26'!BJ374,"",'1. Live'!BN374-'check-Jul''26'!BJ374)</f>
        <v/>
      </c>
      <c r="BK356" s="25" t="str">
        <f>IF('1. Live'!BO374='check-Jul''26'!BK374,"",'1. Live'!BO374-'check-Jul''26'!BK374)</f>
        <v/>
      </c>
      <c r="BL356" s="25" t="str">
        <f>IF('1. Live'!BP374='check-Jul''26'!BL374,"",'1. Live'!BP374-'check-Jul''26'!BL374)</f>
        <v/>
      </c>
      <c r="BM356" s="25" t="str">
        <f>IF('1. Live'!BQ374='check-Jul''26'!BM374,"",'1. Live'!BQ374-'check-Jul''26'!BM374)</f>
        <v/>
      </c>
      <c r="BN356" s="25" t="str">
        <f>IF('1. Live'!BR374='check-Jul''26'!BN374,"",'1. Live'!BR374-'check-Jul''26'!BN374)</f>
        <v/>
      </c>
      <c r="BO356" s="25" t="str">
        <f>IF('1. Live'!BS374='check-Jul''26'!BO374,"",'1. Live'!BS374-'check-Jul''26'!BO374)</f>
        <v/>
      </c>
      <c r="BP356" s="25" t="str">
        <f>IF('1. Live'!BT374='check-Jul''26'!BP374,"",'1. Live'!BT374-'check-Jul''26'!BP374)</f>
        <v/>
      </c>
      <c r="BQ356" s="25" t="str">
        <f>IF('1. Live'!BU374='check-Jul''26'!BQ374,"",'1. Live'!BU374-'check-Jul''26'!BQ374)</f>
        <v/>
      </c>
      <c r="BR356" s="25" t="str">
        <f>IF('1. Live'!BV374='check-Jul''26'!BR374,"",'1. Live'!BV374-'check-Jul''26'!BR374)</f>
        <v/>
      </c>
      <c r="BS356" s="25" t="str">
        <f>IF('1. Live'!BW374='check-Jul''26'!BS374,"",'1. Live'!BW374-'check-Jul''26'!BS374)</f>
        <v/>
      </c>
      <c r="BT356" s="25" t="str">
        <f>IF('1. Live'!BX374='check-Jul''26'!BT374,"",'1. Live'!BX374-'check-Jul''26'!BT374)</f>
        <v/>
      </c>
      <c r="BU356" s="25" t="str">
        <f>IF('1. Live'!BY374='check-Jul''26'!BU374,"",'1. Live'!BY374-'check-Jul''26'!BU374)</f>
        <v/>
      </c>
      <c r="BV356" s="25" t="str">
        <f>IF('1. Live'!BZ374='check-Jul''26'!BV374,"",'1. Live'!BZ374-'check-Jul''26'!BV374)</f>
        <v/>
      </c>
      <c r="BW356" s="25" t="str">
        <f>IF('1. Live'!CA374='check-Jul''26'!BW374,"",'1. Live'!CA374-'check-Jul''26'!BW374)</f>
        <v/>
      </c>
      <c r="BX356" s="25" t="str">
        <f>IF('1. Live'!CB374='check-Jul''26'!BX374,"",'1. Live'!CB374-'check-Jul''26'!BX374)</f>
        <v/>
      </c>
      <c r="BY356" s="25" t="str">
        <f>IF('1. Live'!CC374='check-Jul''26'!BY374,"",'1. Live'!CC374-'check-Jul''26'!BY374)</f>
        <v/>
      </c>
      <c r="BZ356" s="25" t="str">
        <f>IF('1. Live'!CD374='check-Jul''26'!BZ374,"",'1. Live'!CD374-'check-Jul''26'!BZ374)</f>
        <v/>
      </c>
      <c r="CA356" s="25" t="str">
        <f>IF('1. Live'!CE374='check-Jul''26'!CA374,"",'1. Live'!CE374-'check-Jul''26'!CA374)</f>
        <v/>
      </c>
      <c r="CB356" s="25" t="str">
        <f>IF('1. Live'!CF374='check-Jul''26'!CB374,"",'1. Live'!CF374-'check-Jul''26'!CB374)</f>
        <v/>
      </c>
      <c r="CC356" s="25" t="str">
        <f>IF('1. Live'!CG374='check-Jul''26'!CC374,"",'1. Live'!CG374-'check-Jul''26'!CC374)</f>
        <v/>
      </c>
      <c r="CD356" s="25" t="str">
        <f>IF('1. Live'!CH374='check-Jul''26'!CD374,"",'1. Live'!CH374-'check-Jul''26'!CD374)</f>
        <v/>
      </c>
      <c r="CE356" s="25" t="str">
        <f>IF('1. Live'!CI374='check-Jul''26'!CE374,"",'1. Live'!CI374-'check-Jul''26'!CE374)</f>
        <v/>
      </c>
      <c r="CF356" s="25" t="str">
        <f>IF('1. Live'!CJ374='check-Jul''26'!CF374,"",'1. Live'!CJ374-'check-Jul''26'!CF374)</f>
        <v/>
      </c>
      <c r="CG356" s="25" t="str">
        <f>IF('1. Live'!CK374='check-Jul''26'!CG374,"",'1. Live'!CK374-'check-Jul''26'!CG374)</f>
        <v/>
      </c>
      <c r="CH356" s="25" t="str">
        <f>IF('1. Live'!CL374='check-Jul''26'!CH374,"",'1. Live'!CL374-'check-Jul''26'!CH374)</f>
        <v/>
      </c>
      <c r="CI356" s="25" t="str">
        <f>IF('1. Live'!CM374='check-Jul''26'!CI374,"",'1. Live'!CM374-'check-Jul''26'!CI374)</f>
        <v/>
      </c>
      <c r="CJ356" s="25" t="str">
        <f>IF('1. Live'!CN374='check-Jul''26'!CJ374,"",'1. Live'!CN374-'check-Jul''26'!CJ374)</f>
        <v/>
      </c>
      <c r="CK356" s="25" t="str">
        <f>IF('1. Live'!CO374='check-Jul''26'!CK374,"",'1. Live'!CO374-'check-Jul''26'!CK374)</f>
        <v/>
      </c>
      <c r="CL356" s="25" t="str">
        <f>IF('1. Live'!CP374='check-Jul''26'!CL374,"",'1. Live'!CP374-'check-Jul''26'!CL374)</f>
        <v/>
      </c>
      <c r="CM356" s="25" t="str">
        <f>IF('1. Live'!CQ374='check-Jul''26'!CM374,"",'1. Live'!CQ374-'check-Jul''26'!CM374)</f>
        <v/>
      </c>
      <c r="CN356" s="25" t="str">
        <f>IF('1. Live'!CR374='check-Jul''26'!CN374,"",'1. Live'!CR374-'check-Jul''26'!CN374)</f>
        <v/>
      </c>
      <c r="CO356" s="25" t="str">
        <f>IF('1. Live'!CS374='check-Jul''26'!CO374,"",'1. Live'!CS374-'check-Jul''26'!CO374)</f>
        <v/>
      </c>
      <c r="CP356" s="25" t="str">
        <f>IF('1. Live'!CT374='check-Jul''26'!CP374,"",'1. Live'!CT374-'check-Jul''26'!CP374)</f>
        <v/>
      </c>
      <c r="CQ356" s="25" t="str">
        <f>IF('1. Live'!CU374='check-Jul''26'!CQ374,"",'1. Live'!CU374-'check-Jul''26'!CQ374)</f>
        <v/>
      </c>
      <c r="CR356" s="25" t="str">
        <f>IF('1. Live'!CV374='check-Jul''26'!CR374,"",'1. Live'!CV374-'check-Jul''26'!CR374)</f>
        <v/>
      </c>
      <c r="CS356" s="25" t="str">
        <f>IF('1. Live'!CW374='check-Jul''26'!CS374,"",'1. Live'!CW374-'check-Jul''26'!CS374)</f>
        <v/>
      </c>
      <c r="CT356" s="25" t="str">
        <f>IF('1. Live'!CX374='check-Jul''26'!CT374,"",'1. Live'!CX374-'check-Jul''26'!CT374)</f>
        <v/>
      </c>
      <c r="CU356" s="25" t="str">
        <f>IF('1. Live'!CY374='check-Jul''26'!CU374,"",'1. Live'!CY374-'check-Jul''26'!CU374)</f>
        <v/>
      </c>
      <c r="CV356" s="25" t="str">
        <f>IF('1. Live'!CZ374='check-Jul''26'!CV374,"",'1. Live'!CZ374-'check-Jul''26'!CV374)</f>
        <v/>
      </c>
    </row>
    <row r="357" spans="17:100" x14ac:dyDescent="0.25">
      <c r="Q357" s="26" t="str">
        <f>IF('1. Live'!N375='check-Jul''26'!I375,"",'1. Live'!N375-'check-Jul''26'!I375)</f>
        <v/>
      </c>
      <c r="R357" s="26" t="str">
        <f>IF('1. Live'!O375='check-Jul''26'!J375,"",'1. Live'!O375-'check-Jul''26'!J375)</f>
        <v/>
      </c>
      <c r="S357" s="26" t="str">
        <f>IF('1. Live'!P375='check-Jul''26'!K375,"",'1. Live'!P375-'check-Jul''26'!K375)</f>
        <v/>
      </c>
      <c r="T357" s="26" t="str">
        <f>IF('1. Live'!Q375='check-Jul''26'!L375,"",'1. Live'!Q375-'check-Jul''26'!L375)</f>
        <v/>
      </c>
      <c r="U357" s="80" t="str">
        <f>IF('1. Live'!R375='check-Jul''26'!M375,"",'1. Live'!R375-'check-Jul''26'!M375)</f>
        <v/>
      </c>
      <c r="V357" s="26" t="str">
        <f>IF('1. Live'!S375='check-Jul''26'!N375,"",'1. Live'!S375-'check-Jul''26'!N375)</f>
        <v/>
      </c>
      <c r="W357" s="25" t="str">
        <f>IF('1. Live'!T375='check-Jul''26'!O375,"",'1. Live'!T375-'check-Jul''26'!O375)</f>
        <v/>
      </c>
      <c r="X357" s="25" t="str">
        <f>IF('1. Live'!U375='check-Jul''26'!Q375,"",'1. Live'!U375-'check-Jul''26'!Q375)</f>
        <v/>
      </c>
      <c r="Y357" s="25" t="str">
        <f>IF('1. Live'!V375='check-Jul''26'!R375,"",'1. Live'!V375-'check-Jul''26'!R375)</f>
        <v/>
      </c>
      <c r="Z357" s="25" t="str">
        <f>IF('1. Live'!W375='check-Jul''26'!S375,"",'1. Live'!W375-'check-Jul''26'!S375)</f>
        <v/>
      </c>
      <c r="AA357" s="25" t="str">
        <f>IF('1. Live'!X375='check-Jul''26'!T375,"",'1. Live'!X375-'check-Jul''26'!T375)</f>
        <v/>
      </c>
      <c r="AB357" s="25" t="str">
        <f>IF('1. Live'!AF375='check-Jul''26'!AB375,"",'1. Live'!AF375-'check-Jul''26'!AB375)</f>
        <v/>
      </c>
      <c r="AC357" s="25" t="str">
        <f>IF('1. Live'!AG375='check-Jul''26'!AC375,"",'1. Live'!AG375-'check-Jul''26'!AC375)</f>
        <v/>
      </c>
      <c r="AD357" s="25" t="str">
        <f>IF('1. Live'!AH375='check-Jul''26'!AD375,"",'1. Live'!AH375-'check-Jul''26'!AD375)</f>
        <v/>
      </c>
      <c r="AE357" s="25" t="str">
        <f>IF('1. Live'!AI375='check-Jul''26'!AE375,"",'1. Live'!AI375-'check-Jul''26'!AE375)</f>
        <v/>
      </c>
      <c r="AF357" s="25" t="str">
        <f>IF('1. Live'!AJ375='check-Jul''26'!AF375,"",'1. Live'!AJ375-'check-Jul''26'!AF375)</f>
        <v/>
      </c>
      <c r="AG357" s="25" t="str">
        <f>IF('1. Live'!AK375='check-Jul''26'!AG375,"",'1. Live'!AK375-'check-Jul''26'!AG375)</f>
        <v/>
      </c>
      <c r="AH357" s="25" t="str">
        <f>IF('1. Live'!AL375='check-Jul''26'!AH375,"",'1. Live'!AL375-'check-Jul''26'!AH375)</f>
        <v/>
      </c>
      <c r="AI357" s="25" t="str">
        <f>IF('1. Live'!AM375='check-Jul''26'!AI375,"",'1. Live'!AM375-'check-Jul''26'!AI375)</f>
        <v/>
      </c>
      <c r="AJ357" s="25" t="str">
        <f>IF('1. Live'!AN375='check-Jul''26'!AJ375,"",'1. Live'!AN375-'check-Jul''26'!AJ375)</f>
        <v/>
      </c>
      <c r="AK357" s="25" t="str">
        <f>IF('1. Live'!AO375='check-Jul''26'!AK375,"",'1. Live'!AO375-'check-Jul''26'!AK375)</f>
        <v/>
      </c>
      <c r="AL357" s="25" t="str">
        <f>IF('1. Live'!AP375='check-Jul''26'!AL375,"",'1. Live'!AP375-'check-Jul''26'!AL375)</f>
        <v/>
      </c>
      <c r="AM357" s="25" t="str">
        <f>IF('1. Live'!AQ375='check-Jul''26'!AM375,"",'1. Live'!AQ375-'check-Jul''26'!AM375)</f>
        <v/>
      </c>
      <c r="AN357" s="25" t="str">
        <f>IF('1. Live'!AR375='check-Jul''26'!AN375,"",'1. Live'!AR375-'check-Jul''26'!AN375)</f>
        <v/>
      </c>
      <c r="AO357" s="25" t="str">
        <f>IF('1. Live'!AS375='check-Jul''26'!AO375,"",'1. Live'!AS375-'check-Jul''26'!AO375)</f>
        <v/>
      </c>
      <c r="AP357" s="25" t="str">
        <f>IF('1. Live'!AT375='check-Jul''26'!AP375,"",'1. Live'!AT375-'check-Jul''26'!AP375)</f>
        <v/>
      </c>
      <c r="AQ357" s="25" t="str">
        <f>IF('1. Live'!AU375='check-Jul''26'!AQ375,"",'1. Live'!AU375-'check-Jul''26'!AQ375)</f>
        <v/>
      </c>
      <c r="AR357" s="25" t="str">
        <f>IF('1. Live'!AV375='check-Jul''26'!AR375,"",'1. Live'!AV375-'check-Jul''26'!AR375)</f>
        <v/>
      </c>
      <c r="AS357" s="25" t="str">
        <f>IF('1. Live'!AW375='check-Jul''26'!AS375,"",'1. Live'!AW375-'check-Jul''26'!AS375)</f>
        <v/>
      </c>
      <c r="AT357" s="25" t="str">
        <f>IF('1. Live'!AX375='check-Jul''26'!AT375,"",'1. Live'!AX375-'check-Jul''26'!AT375)</f>
        <v/>
      </c>
      <c r="AU357" s="25" t="str">
        <f>IF('1. Live'!AY375='check-Jul''26'!AU375,"",'1. Live'!AY375-'check-Jul''26'!AU375)</f>
        <v/>
      </c>
      <c r="AV357" s="25" t="str">
        <f>IF('1. Live'!AZ375='check-Jul''26'!AV375,"",'1. Live'!AZ375-'check-Jul''26'!AV375)</f>
        <v/>
      </c>
      <c r="AW357" s="25" t="str">
        <f>IF('1. Live'!BA375='check-Jul''26'!AW375,"",'1. Live'!BA375-'check-Jul''26'!AW375)</f>
        <v/>
      </c>
      <c r="AX357" s="25" t="str">
        <f>IF('1. Live'!BB375='check-Jul''26'!AX375,"",'1. Live'!BB375-'check-Jul''26'!AX375)</f>
        <v/>
      </c>
      <c r="AY357" s="25" t="str">
        <f>IF('1. Live'!BC375='check-Jul''26'!AY375,"",'1. Live'!BC375-'check-Jul''26'!AY375)</f>
        <v/>
      </c>
      <c r="AZ357" s="25" t="str">
        <f>IF('1. Live'!BD375='check-Jul''26'!AZ375,"",'1. Live'!BD375-'check-Jul''26'!AZ375)</f>
        <v/>
      </c>
      <c r="BA357" s="25" t="str">
        <f>IF('1. Live'!BE375='check-Jul''26'!BA375,"",'1. Live'!BE375-'check-Jul''26'!BA375)</f>
        <v/>
      </c>
      <c r="BB357" s="25" t="str">
        <f>IF('1. Live'!BF375='check-Jul''26'!BB375,"",'1. Live'!BF375-'check-Jul''26'!BB375)</f>
        <v/>
      </c>
      <c r="BC357" s="25" t="str">
        <f>IF('1. Live'!BG375='check-Jul''26'!BC375,"",'1. Live'!BG375-'check-Jul''26'!BC375)</f>
        <v/>
      </c>
      <c r="BD357" s="25" t="str">
        <f>IF('1. Live'!BH375='check-Jul''26'!BD375,"",'1. Live'!BH375-'check-Jul''26'!BD375)</f>
        <v/>
      </c>
      <c r="BE357" s="25" t="str">
        <f>IF('1. Live'!BI375='check-Jul''26'!BE375,"",'1. Live'!BI375-'check-Jul''26'!BE375)</f>
        <v/>
      </c>
      <c r="BF357" s="25" t="str">
        <f>IF('1. Live'!BJ375='check-Jul''26'!BF375,"",'1. Live'!BJ375-'check-Jul''26'!BF375)</f>
        <v/>
      </c>
      <c r="BG357" s="25" t="str">
        <f>IF('1. Live'!BK375='check-Jul''26'!BG375,"",'1. Live'!BK375-'check-Jul''26'!BG375)</f>
        <v/>
      </c>
      <c r="BH357" s="25" t="str">
        <f>IF('1. Live'!BL375='check-Jul''26'!BH375,"",'1. Live'!BL375-'check-Jul''26'!BH375)</f>
        <v/>
      </c>
      <c r="BI357" s="25" t="str">
        <f>IF('1. Live'!BM375='check-Jul''26'!BI375,"",'1. Live'!BM375-'check-Jul''26'!BI375)</f>
        <v/>
      </c>
      <c r="BJ357" s="25" t="str">
        <f>IF('1. Live'!BN375='check-Jul''26'!BJ375,"",'1. Live'!BN375-'check-Jul''26'!BJ375)</f>
        <v/>
      </c>
      <c r="BK357" s="25" t="str">
        <f>IF('1. Live'!BO375='check-Jul''26'!BK375,"",'1. Live'!BO375-'check-Jul''26'!BK375)</f>
        <v/>
      </c>
      <c r="BL357" s="25" t="str">
        <f>IF('1. Live'!BP375='check-Jul''26'!BL375,"",'1. Live'!BP375-'check-Jul''26'!BL375)</f>
        <v/>
      </c>
      <c r="BM357" s="25" t="str">
        <f>IF('1. Live'!BQ375='check-Jul''26'!BM375,"",'1. Live'!BQ375-'check-Jul''26'!BM375)</f>
        <v/>
      </c>
      <c r="BN357" s="25" t="str">
        <f>IF('1. Live'!BR375='check-Jul''26'!BN375,"",'1. Live'!BR375-'check-Jul''26'!BN375)</f>
        <v/>
      </c>
      <c r="BO357" s="25" t="str">
        <f>IF('1. Live'!BS375='check-Jul''26'!BO375,"",'1. Live'!BS375-'check-Jul''26'!BO375)</f>
        <v/>
      </c>
      <c r="BP357" s="25" t="str">
        <f>IF('1. Live'!BT375='check-Jul''26'!BP375,"",'1. Live'!BT375-'check-Jul''26'!BP375)</f>
        <v/>
      </c>
      <c r="BQ357" s="25" t="str">
        <f>IF('1. Live'!BU375='check-Jul''26'!BQ375,"",'1. Live'!BU375-'check-Jul''26'!BQ375)</f>
        <v/>
      </c>
      <c r="BR357" s="25" t="str">
        <f>IF('1. Live'!BV375='check-Jul''26'!BR375,"",'1. Live'!BV375-'check-Jul''26'!BR375)</f>
        <v/>
      </c>
      <c r="BS357" s="25" t="str">
        <f>IF('1. Live'!BW375='check-Jul''26'!BS375,"",'1. Live'!BW375-'check-Jul''26'!BS375)</f>
        <v/>
      </c>
      <c r="BT357" s="25" t="str">
        <f>IF('1. Live'!BX375='check-Jul''26'!BT375,"",'1. Live'!BX375-'check-Jul''26'!BT375)</f>
        <v/>
      </c>
      <c r="BU357" s="25" t="str">
        <f>IF('1. Live'!BY375='check-Jul''26'!BU375,"",'1. Live'!BY375-'check-Jul''26'!BU375)</f>
        <v/>
      </c>
      <c r="BV357" s="25" t="str">
        <f>IF('1. Live'!BZ375='check-Jul''26'!BV375,"",'1. Live'!BZ375-'check-Jul''26'!BV375)</f>
        <v/>
      </c>
      <c r="BW357" s="25" t="str">
        <f>IF('1. Live'!CA375='check-Jul''26'!BW375,"",'1. Live'!CA375-'check-Jul''26'!BW375)</f>
        <v/>
      </c>
      <c r="BX357" s="25" t="str">
        <f>IF('1. Live'!CB375='check-Jul''26'!BX375,"",'1. Live'!CB375-'check-Jul''26'!BX375)</f>
        <v/>
      </c>
      <c r="BY357" s="25" t="str">
        <f>IF('1. Live'!CC375='check-Jul''26'!BY375,"",'1. Live'!CC375-'check-Jul''26'!BY375)</f>
        <v/>
      </c>
      <c r="BZ357" s="25" t="str">
        <f>IF('1. Live'!CD375='check-Jul''26'!BZ375,"",'1. Live'!CD375-'check-Jul''26'!BZ375)</f>
        <v/>
      </c>
      <c r="CA357" s="25" t="str">
        <f>IF('1. Live'!CE375='check-Jul''26'!CA375,"",'1. Live'!CE375-'check-Jul''26'!CA375)</f>
        <v/>
      </c>
      <c r="CB357" s="25" t="str">
        <f>IF('1. Live'!CF375='check-Jul''26'!CB375,"",'1. Live'!CF375-'check-Jul''26'!CB375)</f>
        <v/>
      </c>
      <c r="CC357" s="25" t="str">
        <f>IF('1. Live'!CG375='check-Jul''26'!CC375,"",'1. Live'!CG375-'check-Jul''26'!CC375)</f>
        <v/>
      </c>
      <c r="CD357" s="25" t="str">
        <f>IF('1. Live'!CH375='check-Jul''26'!CD375,"",'1. Live'!CH375-'check-Jul''26'!CD375)</f>
        <v/>
      </c>
      <c r="CE357" s="25" t="str">
        <f>IF('1. Live'!CI375='check-Jul''26'!CE375,"",'1. Live'!CI375-'check-Jul''26'!CE375)</f>
        <v/>
      </c>
      <c r="CF357" s="25" t="str">
        <f>IF('1. Live'!CJ375='check-Jul''26'!CF375,"",'1. Live'!CJ375-'check-Jul''26'!CF375)</f>
        <v/>
      </c>
      <c r="CG357" s="25" t="str">
        <f>IF('1. Live'!CK375='check-Jul''26'!CG375,"",'1. Live'!CK375-'check-Jul''26'!CG375)</f>
        <v/>
      </c>
      <c r="CH357" s="25" t="str">
        <f>IF('1. Live'!CL375='check-Jul''26'!CH375,"",'1. Live'!CL375-'check-Jul''26'!CH375)</f>
        <v/>
      </c>
      <c r="CI357" s="25" t="str">
        <f>IF('1. Live'!CM375='check-Jul''26'!CI375,"",'1. Live'!CM375-'check-Jul''26'!CI375)</f>
        <v/>
      </c>
      <c r="CJ357" s="25" t="str">
        <f>IF('1. Live'!CN375='check-Jul''26'!CJ375,"",'1. Live'!CN375-'check-Jul''26'!CJ375)</f>
        <v/>
      </c>
      <c r="CK357" s="25" t="str">
        <f>IF('1. Live'!CO375='check-Jul''26'!CK375,"",'1. Live'!CO375-'check-Jul''26'!CK375)</f>
        <v/>
      </c>
      <c r="CL357" s="25" t="str">
        <f>IF('1. Live'!CP375='check-Jul''26'!CL375,"",'1. Live'!CP375-'check-Jul''26'!CL375)</f>
        <v/>
      </c>
      <c r="CM357" s="25" t="str">
        <f>IF('1. Live'!CQ375='check-Jul''26'!CM375,"",'1. Live'!CQ375-'check-Jul''26'!CM375)</f>
        <v/>
      </c>
      <c r="CN357" s="25" t="str">
        <f>IF('1. Live'!CR375='check-Jul''26'!CN375,"",'1. Live'!CR375-'check-Jul''26'!CN375)</f>
        <v/>
      </c>
      <c r="CO357" s="25" t="str">
        <f>IF('1. Live'!CS375='check-Jul''26'!CO375,"",'1. Live'!CS375-'check-Jul''26'!CO375)</f>
        <v/>
      </c>
      <c r="CP357" s="25" t="str">
        <f>IF('1. Live'!CT375='check-Jul''26'!CP375,"",'1. Live'!CT375-'check-Jul''26'!CP375)</f>
        <v/>
      </c>
      <c r="CQ357" s="25" t="str">
        <f>IF('1. Live'!CU375='check-Jul''26'!CQ375,"",'1. Live'!CU375-'check-Jul''26'!CQ375)</f>
        <v/>
      </c>
      <c r="CR357" s="25" t="str">
        <f>IF('1. Live'!CV375='check-Jul''26'!CR375,"",'1. Live'!CV375-'check-Jul''26'!CR375)</f>
        <v/>
      </c>
      <c r="CS357" s="25" t="str">
        <f>IF('1. Live'!CW375='check-Jul''26'!CS375,"",'1. Live'!CW375-'check-Jul''26'!CS375)</f>
        <v/>
      </c>
      <c r="CT357" s="25" t="str">
        <f>IF('1. Live'!CX375='check-Jul''26'!CT375,"",'1. Live'!CX375-'check-Jul''26'!CT375)</f>
        <v/>
      </c>
      <c r="CU357" s="25" t="str">
        <f>IF('1. Live'!CY375='check-Jul''26'!CU375,"",'1. Live'!CY375-'check-Jul''26'!CU375)</f>
        <v/>
      </c>
      <c r="CV357" s="25" t="str">
        <f>IF('1. Live'!CZ375='check-Jul''26'!CV375,"",'1. Live'!CZ375-'check-Jul''26'!CV375)</f>
        <v/>
      </c>
    </row>
    <row r="358" spans="17:100" x14ac:dyDescent="0.25">
      <c r="Q358" s="26" t="str">
        <f>IF('1. Live'!N376='check-Jul''26'!I376,"",'1. Live'!N376-'check-Jul''26'!I376)</f>
        <v/>
      </c>
      <c r="R358" s="26" t="str">
        <f>IF('1. Live'!O376='check-Jul''26'!J376,"",'1. Live'!O376-'check-Jul''26'!J376)</f>
        <v/>
      </c>
      <c r="S358" s="26" t="str">
        <f>IF('1. Live'!P376='check-Jul''26'!K376,"",'1. Live'!P376-'check-Jul''26'!K376)</f>
        <v/>
      </c>
      <c r="T358" s="26" t="str">
        <f>IF('1. Live'!Q376='check-Jul''26'!L376,"",'1. Live'!Q376-'check-Jul''26'!L376)</f>
        <v/>
      </c>
      <c r="U358" s="80" t="str">
        <f>IF('1. Live'!R376='check-Jul''26'!M376,"",'1. Live'!R376-'check-Jul''26'!M376)</f>
        <v/>
      </c>
      <c r="V358" s="26" t="str">
        <f>IF('1. Live'!S376='check-Jul''26'!N376,"",'1. Live'!S376-'check-Jul''26'!N376)</f>
        <v/>
      </c>
      <c r="W358" s="25" t="str">
        <f>IF('1. Live'!T376='check-Jul''26'!O376,"",'1. Live'!T376-'check-Jul''26'!O376)</f>
        <v/>
      </c>
      <c r="X358" s="25" t="str">
        <f>IF('1. Live'!U376='check-Jul''26'!Q376,"",'1. Live'!U376-'check-Jul''26'!Q376)</f>
        <v/>
      </c>
      <c r="Y358" s="25" t="str">
        <f>IF('1. Live'!V376='check-Jul''26'!R376,"",'1. Live'!V376-'check-Jul''26'!R376)</f>
        <v/>
      </c>
      <c r="Z358" s="25" t="str">
        <f>IF('1. Live'!W376='check-Jul''26'!S376,"",'1. Live'!W376-'check-Jul''26'!S376)</f>
        <v/>
      </c>
      <c r="AA358" s="25" t="str">
        <f>IF('1. Live'!X376='check-Jul''26'!T376,"",'1. Live'!X376-'check-Jul''26'!T376)</f>
        <v/>
      </c>
      <c r="AB358" s="25" t="str">
        <f>IF('1. Live'!AF376='check-Jul''26'!AB376,"",'1. Live'!AF376-'check-Jul''26'!AB376)</f>
        <v/>
      </c>
      <c r="AC358" s="25" t="str">
        <f>IF('1. Live'!AG376='check-Jul''26'!AC376,"",'1. Live'!AG376-'check-Jul''26'!AC376)</f>
        <v/>
      </c>
      <c r="AD358" s="25" t="str">
        <f>IF('1. Live'!AH376='check-Jul''26'!AD376,"",'1. Live'!AH376-'check-Jul''26'!AD376)</f>
        <v/>
      </c>
      <c r="AE358" s="25" t="str">
        <f>IF('1. Live'!AI376='check-Jul''26'!AE376,"",'1. Live'!AI376-'check-Jul''26'!AE376)</f>
        <v/>
      </c>
      <c r="AF358" s="25" t="str">
        <f>IF('1. Live'!AJ376='check-Jul''26'!AF376,"",'1. Live'!AJ376-'check-Jul''26'!AF376)</f>
        <v/>
      </c>
      <c r="AG358" s="25" t="str">
        <f>IF('1. Live'!AK376='check-Jul''26'!AG376,"",'1. Live'!AK376-'check-Jul''26'!AG376)</f>
        <v/>
      </c>
      <c r="AH358" s="25" t="str">
        <f>IF('1. Live'!AL376='check-Jul''26'!AH376,"",'1. Live'!AL376-'check-Jul''26'!AH376)</f>
        <v/>
      </c>
      <c r="AI358" s="25" t="str">
        <f>IF('1. Live'!AM376='check-Jul''26'!AI376,"",'1. Live'!AM376-'check-Jul''26'!AI376)</f>
        <v/>
      </c>
      <c r="AJ358" s="25" t="str">
        <f>IF('1. Live'!AN376='check-Jul''26'!AJ376,"",'1. Live'!AN376-'check-Jul''26'!AJ376)</f>
        <v/>
      </c>
      <c r="AK358" s="25" t="str">
        <f>IF('1. Live'!AO376='check-Jul''26'!AK376,"",'1. Live'!AO376-'check-Jul''26'!AK376)</f>
        <v/>
      </c>
      <c r="AL358" s="25" t="str">
        <f>IF('1. Live'!AP376='check-Jul''26'!AL376,"",'1. Live'!AP376-'check-Jul''26'!AL376)</f>
        <v/>
      </c>
      <c r="AM358" s="25" t="str">
        <f>IF('1. Live'!AQ376='check-Jul''26'!AM376,"",'1. Live'!AQ376-'check-Jul''26'!AM376)</f>
        <v/>
      </c>
      <c r="AN358" s="25" t="str">
        <f>IF('1. Live'!AR376='check-Jul''26'!AN376,"",'1. Live'!AR376-'check-Jul''26'!AN376)</f>
        <v/>
      </c>
      <c r="AO358" s="25" t="str">
        <f>IF('1. Live'!AS376='check-Jul''26'!AO376,"",'1. Live'!AS376-'check-Jul''26'!AO376)</f>
        <v/>
      </c>
      <c r="AP358" s="25" t="str">
        <f>IF('1. Live'!AT376='check-Jul''26'!AP376,"",'1. Live'!AT376-'check-Jul''26'!AP376)</f>
        <v/>
      </c>
      <c r="AQ358" s="25" t="str">
        <f>IF('1. Live'!AU376='check-Jul''26'!AQ376,"",'1. Live'!AU376-'check-Jul''26'!AQ376)</f>
        <v/>
      </c>
      <c r="AR358" s="25" t="str">
        <f>IF('1. Live'!AV376='check-Jul''26'!AR376,"",'1. Live'!AV376-'check-Jul''26'!AR376)</f>
        <v/>
      </c>
      <c r="AS358" s="25" t="str">
        <f>IF('1. Live'!AW376='check-Jul''26'!AS376,"",'1. Live'!AW376-'check-Jul''26'!AS376)</f>
        <v/>
      </c>
      <c r="AT358" s="25" t="str">
        <f>IF('1. Live'!AX376='check-Jul''26'!AT376,"",'1. Live'!AX376-'check-Jul''26'!AT376)</f>
        <v/>
      </c>
      <c r="AU358" s="25" t="str">
        <f>IF('1. Live'!AY376='check-Jul''26'!AU376,"",'1. Live'!AY376-'check-Jul''26'!AU376)</f>
        <v/>
      </c>
      <c r="AV358" s="25" t="str">
        <f>IF('1. Live'!AZ376='check-Jul''26'!AV376,"",'1. Live'!AZ376-'check-Jul''26'!AV376)</f>
        <v/>
      </c>
      <c r="AW358" s="25" t="str">
        <f>IF('1. Live'!BA376='check-Jul''26'!AW376,"",'1. Live'!BA376-'check-Jul''26'!AW376)</f>
        <v/>
      </c>
      <c r="AX358" s="25" t="str">
        <f>IF('1. Live'!BB376='check-Jul''26'!AX376,"",'1. Live'!BB376-'check-Jul''26'!AX376)</f>
        <v/>
      </c>
      <c r="AY358" s="25" t="str">
        <f>IF('1. Live'!BC376='check-Jul''26'!AY376,"",'1. Live'!BC376-'check-Jul''26'!AY376)</f>
        <v/>
      </c>
      <c r="AZ358" s="25" t="str">
        <f>IF('1. Live'!BD376='check-Jul''26'!AZ376,"",'1. Live'!BD376-'check-Jul''26'!AZ376)</f>
        <v/>
      </c>
      <c r="BA358" s="25" t="str">
        <f>IF('1. Live'!BE376='check-Jul''26'!BA376,"",'1. Live'!BE376-'check-Jul''26'!BA376)</f>
        <v/>
      </c>
      <c r="BB358" s="25" t="str">
        <f>IF('1. Live'!BF376='check-Jul''26'!BB376,"",'1. Live'!BF376-'check-Jul''26'!BB376)</f>
        <v/>
      </c>
      <c r="BC358" s="25" t="str">
        <f>IF('1. Live'!BG376='check-Jul''26'!BC376,"",'1. Live'!BG376-'check-Jul''26'!BC376)</f>
        <v/>
      </c>
      <c r="BD358" s="25" t="str">
        <f>IF('1. Live'!BH376='check-Jul''26'!BD376,"",'1. Live'!BH376-'check-Jul''26'!BD376)</f>
        <v/>
      </c>
      <c r="BE358" s="25" t="str">
        <f>IF('1. Live'!BI376='check-Jul''26'!BE376,"",'1. Live'!BI376-'check-Jul''26'!BE376)</f>
        <v/>
      </c>
      <c r="BF358" s="25" t="str">
        <f>IF('1. Live'!BJ376='check-Jul''26'!BF376,"",'1. Live'!BJ376-'check-Jul''26'!BF376)</f>
        <v/>
      </c>
      <c r="BG358" s="25" t="str">
        <f>IF('1. Live'!BK376='check-Jul''26'!BG376,"",'1. Live'!BK376-'check-Jul''26'!BG376)</f>
        <v/>
      </c>
      <c r="BH358" s="25" t="str">
        <f>IF('1. Live'!BL376='check-Jul''26'!BH376,"",'1. Live'!BL376-'check-Jul''26'!BH376)</f>
        <v/>
      </c>
      <c r="BI358" s="25" t="str">
        <f>IF('1. Live'!BM376='check-Jul''26'!BI376,"",'1. Live'!BM376-'check-Jul''26'!BI376)</f>
        <v/>
      </c>
      <c r="BJ358" s="25" t="str">
        <f>IF('1. Live'!BN376='check-Jul''26'!BJ376,"",'1. Live'!BN376-'check-Jul''26'!BJ376)</f>
        <v/>
      </c>
      <c r="BK358" s="25" t="str">
        <f>IF('1. Live'!BO376='check-Jul''26'!BK376,"",'1. Live'!BO376-'check-Jul''26'!BK376)</f>
        <v/>
      </c>
      <c r="BL358" s="25" t="str">
        <f>IF('1. Live'!BP376='check-Jul''26'!BL376,"",'1. Live'!BP376-'check-Jul''26'!BL376)</f>
        <v/>
      </c>
      <c r="BM358" s="25" t="str">
        <f>IF('1. Live'!BQ376='check-Jul''26'!BM376,"",'1. Live'!BQ376-'check-Jul''26'!BM376)</f>
        <v/>
      </c>
      <c r="BN358" s="25" t="str">
        <f>IF('1. Live'!BR376='check-Jul''26'!BN376,"",'1. Live'!BR376-'check-Jul''26'!BN376)</f>
        <v/>
      </c>
      <c r="BO358" s="25" t="str">
        <f>IF('1. Live'!BS376='check-Jul''26'!BO376,"",'1. Live'!BS376-'check-Jul''26'!BO376)</f>
        <v/>
      </c>
      <c r="BP358" s="25" t="str">
        <f>IF('1. Live'!BT376='check-Jul''26'!BP376,"",'1. Live'!BT376-'check-Jul''26'!BP376)</f>
        <v/>
      </c>
      <c r="BQ358" s="25" t="str">
        <f>IF('1. Live'!BU376='check-Jul''26'!BQ376,"",'1. Live'!BU376-'check-Jul''26'!BQ376)</f>
        <v/>
      </c>
      <c r="BR358" s="25" t="str">
        <f>IF('1. Live'!BV376='check-Jul''26'!BR376,"",'1. Live'!BV376-'check-Jul''26'!BR376)</f>
        <v/>
      </c>
      <c r="BS358" s="25" t="str">
        <f>IF('1. Live'!BW376='check-Jul''26'!BS376,"",'1. Live'!BW376-'check-Jul''26'!BS376)</f>
        <v/>
      </c>
      <c r="BT358" s="25" t="str">
        <f>IF('1. Live'!BX376='check-Jul''26'!BT376,"",'1. Live'!BX376-'check-Jul''26'!BT376)</f>
        <v/>
      </c>
      <c r="BU358" s="25" t="str">
        <f>IF('1. Live'!BY376='check-Jul''26'!BU376,"",'1. Live'!BY376-'check-Jul''26'!BU376)</f>
        <v/>
      </c>
      <c r="BV358" s="25" t="str">
        <f>IF('1. Live'!BZ376='check-Jul''26'!BV376,"",'1. Live'!BZ376-'check-Jul''26'!BV376)</f>
        <v/>
      </c>
      <c r="BW358" s="25" t="str">
        <f>IF('1. Live'!CA376='check-Jul''26'!BW376,"",'1. Live'!CA376-'check-Jul''26'!BW376)</f>
        <v/>
      </c>
      <c r="BX358" s="25" t="str">
        <f>IF('1. Live'!CB376='check-Jul''26'!BX376,"",'1. Live'!CB376-'check-Jul''26'!BX376)</f>
        <v/>
      </c>
      <c r="BY358" s="25" t="str">
        <f>IF('1. Live'!CC376='check-Jul''26'!BY376,"",'1. Live'!CC376-'check-Jul''26'!BY376)</f>
        <v/>
      </c>
      <c r="BZ358" s="25" t="str">
        <f>IF('1. Live'!CD376='check-Jul''26'!BZ376,"",'1. Live'!CD376-'check-Jul''26'!BZ376)</f>
        <v/>
      </c>
      <c r="CA358" s="25" t="str">
        <f>IF('1. Live'!CE376='check-Jul''26'!CA376,"",'1. Live'!CE376-'check-Jul''26'!CA376)</f>
        <v/>
      </c>
      <c r="CB358" s="25" t="str">
        <f>IF('1. Live'!CF376='check-Jul''26'!CB376,"",'1. Live'!CF376-'check-Jul''26'!CB376)</f>
        <v/>
      </c>
      <c r="CC358" s="25" t="str">
        <f>IF('1. Live'!CG376='check-Jul''26'!CC376,"",'1. Live'!CG376-'check-Jul''26'!CC376)</f>
        <v/>
      </c>
      <c r="CD358" s="25" t="str">
        <f>IF('1. Live'!CH376='check-Jul''26'!CD376,"",'1. Live'!CH376-'check-Jul''26'!CD376)</f>
        <v/>
      </c>
      <c r="CE358" s="25" t="str">
        <f>IF('1. Live'!CI376='check-Jul''26'!CE376,"",'1. Live'!CI376-'check-Jul''26'!CE376)</f>
        <v/>
      </c>
      <c r="CF358" s="25" t="str">
        <f>IF('1. Live'!CJ376='check-Jul''26'!CF376,"",'1. Live'!CJ376-'check-Jul''26'!CF376)</f>
        <v/>
      </c>
      <c r="CG358" s="25" t="str">
        <f>IF('1. Live'!CK376='check-Jul''26'!CG376,"",'1. Live'!CK376-'check-Jul''26'!CG376)</f>
        <v/>
      </c>
      <c r="CH358" s="25" t="str">
        <f>IF('1. Live'!CL376='check-Jul''26'!CH376,"",'1. Live'!CL376-'check-Jul''26'!CH376)</f>
        <v/>
      </c>
      <c r="CI358" s="25" t="str">
        <f>IF('1. Live'!CM376='check-Jul''26'!CI376,"",'1. Live'!CM376-'check-Jul''26'!CI376)</f>
        <v/>
      </c>
      <c r="CJ358" s="25" t="str">
        <f>IF('1. Live'!CN376='check-Jul''26'!CJ376,"",'1. Live'!CN376-'check-Jul''26'!CJ376)</f>
        <v/>
      </c>
      <c r="CK358" s="25" t="str">
        <f>IF('1. Live'!CO376='check-Jul''26'!CK376,"",'1. Live'!CO376-'check-Jul''26'!CK376)</f>
        <v/>
      </c>
      <c r="CL358" s="25" t="str">
        <f>IF('1. Live'!CP376='check-Jul''26'!CL376,"",'1. Live'!CP376-'check-Jul''26'!CL376)</f>
        <v/>
      </c>
      <c r="CM358" s="25" t="str">
        <f>IF('1. Live'!CQ376='check-Jul''26'!CM376,"",'1. Live'!CQ376-'check-Jul''26'!CM376)</f>
        <v/>
      </c>
      <c r="CN358" s="25" t="str">
        <f>IF('1. Live'!CR376='check-Jul''26'!CN376,"",'1. Live'!CR376-'check-Jul''26'!CN376)</f>
        <v/>
      </c>
      <c r="CO358" s="25" t="str">
        <f>IF('1. Live'!CS376='check-Jul''26'!CO376,"",'1. Live'!CS376-'check-Jul''26'!CO376)</f>
        <v/>
      </c>
      <c r="CP358" s="25" t="str">
        <f>IF('1. Live'!CT376='check-Jul''26'!CP376,"",'1. Live'!CT376-'check-Jul''26'!CP376)</f>
        <v/>
      </c>
      <c r="CQ358" s="25" t="str">
        <f>IF('1. Live'!CU376='check-Jul''26'!CQ376,"",'1. Live'!CU376-'check-Jul''26'!CQ376)</f>
        <v/>
      </c>
      <c r="CR358" s="25" t="str">
        <f>IF('1. Live'!CV376='check-Jul''26'!CR376,"",'1. Live'!CV376-'check-Jul''26'!CR376)</f>
        <v/>
      </c>
      <c r="CS358" s="25" t="str">
        <f>IF('1. Live'!CW376='check-Jul''26'!CS376,"",'1. Live'!CW376-'check-Jul''26'!CS376)</f>
        <v/>
      </c>
      <c r="CT358" s="25" t="str">
        <f>IF('1. Live'!CX376='check-Jul''26'!CT376,"",'1. Live'!CX376-'check-Jul''26'!CT376)</f>
        <v/>
      </c>
      <c r="CU358" s="25" t="str">
        <f>IF('1. Live'!CY376='check-Jul''26'!CU376,"",'1. Live'!CY376-'check-Jul''26'!CU376)</f>
        <v/>
      </c>
      <c r="CV358" s="25" t="str">
        <f>IF('1. Live'!CZ376='check-Jul''26'!CV376,"",'1. Live'!CZ376-'check-Jul''26'!CV376)</f>
        <v/>
      </c>
    </row>
    <row r="359" spans="17:100" x14ac:dyDescent="0.25">
      <c r="Q359" s="26" t="str">
        <f>IF('1. Live'!N377='check-Jul''26'!I377,"",'1. Live'!N377-'check-Jul''26'!I377)</f>
        <v/>
      </c>
      <c r="R359" s="26" t="str">
        <f>IF('1. Live'!O377='check-Jul''26'!J377,"",'1. Live'!O377-'check-Jul''26'!J377)</f>
        <v/>
      </c>
      <c r="S359" s="26" t="str">
        <f>IF('1. Live'!P377='check-Jul''26'!K377,"",'1. Live'!P377-'check-Jul''26'!K377)</f>
        <v/>
      </c>
      <c r="T359" s="26" t="str">
        <f>IF('1. Live'!Q377='check-Jul''26'!L377,"",'1. Live'!Q377-'check-Jul''26'!L377)</f>
        <v/>
      </c>
      <c r="U359" s="80" t="str">
        <f>IF('1. Live'!R377='check-Jul''26'!M377,"",'1. Live'!R377-'check-Jul''26'!M377)</f>
        <v/>
      </c>
      <c r="V359" s="26" t="str">
        <f>IF('1. Live'!S377='check-Jul''26'!N377,"",'1. Live'!S377-'check-Jul''26'!N377)</f>
        <v/>
      </c>
      <c r="W359" s="25" t="str">
        <f>IF('1. Live'!T377='check-Jul''26'!O377,"",'1. Live'!T377-'check-Jul''26'!O377)</f>
        <v/>
      </c>
      <c r="X359" s="25" t="str">
        <f>IF('1. Live'!U377='check-Jul''26'!Q377,"",'1. Live'!U377-'check-Jul''26'!Q377)</f>
        <v/>
      </c>
      <c r="Y359" s="25" t="str">
        <f>IF('1. Live'!V377='check-Jul''26'!R377,"",'1. Live'!V377-'check-Jul''26'!R377)</f>
        <v/>
      </c>
      <c r="Z359" s="25" t="str">
        <f>IF('1. Live'!W377='check-Jul''26'!S377,"",'1. Live'!W377-'check-Jul''26'!S377)</f>
        <v/>
      </c>
      <c r="AA359" s="25" t="str">
        <f>IF('1. Live'!X377='check-Jul''26'!T377,"",'1. Live'!X377-'check-Jul''26'!T377)</f>
        <v/>
      </c>
      <c r="AB359" s="25" t="str">
        <f>IF('1. Live'!AF377='check-Jul''26'!AB377,"",'1. Live'!AF377-'check-Jul''26'!AB377)</f>
        <v/>
      </c>
      <c r="AC359" s="25" t="str">
        <f>IF('1. Live'!AG377='check-Jul''26'!AC377,"",'1. Live'!AG377-'check-Jul''26'!AC377)</f>
        <v/>
      </c>
      <c r="AD359" s="25" t="str">
        <f>IF('1. Live'!AH377='check-Jul''26'!AD377,"",'1. Live'!AH377-'check-Jul''26'!AD377)</f>
        <v/>
      </c>
      <c r="AE359" s="25" t="str">
        <f>IF('1. Live'!AI377='check-Jul''26'!AE377,"",'1. Live'!AI377-'check-Jul''26'!AE377)</f>
        <v/>
      </c>
      <c r="AF359" s="25" t="str">
        <f>IF('1. Live'!AJ377='check-Jul''26'!AF377,"",'1. Live'!AJ377-'check-Jul''26'!AF377)</f>
        <v/>
      </c>
      <c r="AG359" s="25" t="str">
        <f>IF('1. Live'!AK377='check-Jul''26'!AG377,"",'1. Live'!AK377-'check-Jul''26'!AG377)</f>
        <v/>
      </c>
      <c r="AH359" s="25" t="str">
        <f>IF('1. Live'!AL377='check-Jul''26'!AH377,"",'1. Live'!AL377-'check-Jul''26'!AH377)</f>
        <v/>
      </c>
      <c r="AI359" s="25" t="str">
        <f>IF('1. Live'!AM377='check-Jul''26'!AI377,"",'1. Live'!AM377-'check-Jul''26'!AI377)</f>
        <v/>
      </c>
      <c r="AJ359" s="25" t="str">
        <f>IF('1. Live'!AN377='check-Jul''26'!AJ377,"",'1. Live'!AN377-'check-Jul''26'!AJ377)</f>
        <v/>
      </c>
      <c r="AK359" s="25" t="str">
        <f>IF('1. Live'!AO377='check-Jul''26'!AK377,"",'1. Live'!AO377-'check-Jul''26'!AK377)</f>
        <v/>
      </c>
      <c r="AL359" s="25" t="str">
        <f>IF('1. Live'!AP377='check-Jul''26'!AL377,"",'1. Live'!AP377-'check-Jul''26'!AL377)</f>
        <v/>
      </c>
      <c r="AM359" s="25" t="str">
        <f>IF('1. Live'!AQ377='check-Jul''26'!AM377,"",'1. Live'!AQ377-'check-Jul''26'!AM377)</f>
        <v/>
      </c>
      <c r="AN359" s="25" t="str">
        <f>IF('1. Live'!AR377='check-Jul''26'!AN377,"",'1. Live'!AR377-'check-Jul''26'!AN377)</f>
        <v/>
      </c>
      <c r="AO359" s="25" t="str">
        <f>IF('1. Live'!AS377='check-Jul''26'!AO377,"",'1. Live'!AS377-'check-Jul''26'!AO377)</f>
        <v/>
      </c>
      <c r="AP359" s="25" t="str">
        <f>IF('1. Live'!AT377='check-Jul''26'!AP377,"",'1. Live'!AT377-'check-Jul''26'!AP377)</f>
        <v/>
      </c>
      <c r="AQ359" s="25" t="str">
        <f>IF('1. Live'!AU377='check-Jul''26'!AQ377,"",'1. Live'!AU377-'check-Jul''26'!AQ377)</f>
        <v/>
      </c>
      <c r="AR359" s="25" t="str">
        <f>IF('1. Live'!AV377='check-Jul''26'!AR377,"",'1. Live'!AV377-'check-Jul''26'!AR377)</f>
        <v/>
      </c>
      <c r="AS359" s="25" t="str">
        <f>IF('1. Live'!AW377='check-Jul''26'!AS377,"",'1. Live'!AW377-'check-Jul''26'!AS377)</f>
        <v/>
      </c>
      <c r="AT359" s="25" t="str">
        <f>IF('1. Live'!AX377='check-Jul''26'!AT377,"",'1. Live'!AX377-'check-Jul''26'!AT377)</f>
        <v/>
      </c>
      <c r="AU359" s="25" t="str">
        <f>IF('1. Live'!AY377='check-Jul''26'!AU377,"",'1. Live'!AY377-'check-Jul''26'!AU377)</f>
        <v/>
      </c>
      <c r="AV359" s="25" t="str">
        <f>IF('1. Live'!AZ377='check-Jul''26'!AV377,"",'1. Live'!AZ377-'check-Jul''26'!AV377)</f>
        <v/>
      </c>
      <c r="AW359" s="25" t="str">
        <f>IF('1. Live'!BA377='check-Jul''26'!AW377,"",'1. Live'!BA377-'check-Jul''26'!AW377)</f>
        <v/>
      </c>
      <c r="AX359" s="25" t="str">
        <f>IF('1. Live'!BB377='check-Jul''26'!AX377,"",'1. Live'!BB377-'check-Jul''26'!AX377)</f>
        <v/>
      </c>
      <c r="AY359" s="25" t="str">
        <f>IF('1. Live'!BC377='check-Jul''26'!AY377,"",'1. Live'!BC377-'check-Jul''26'!AY377)</f>
        <v/>
      </c>
      <c r="AZ359" s="25" t="str">
        <f>IF('1. Live'!BD377='check-Jul''26'!AZ377,"",'1. Live'!BD377-'check-Jul''26'!AZ377)</f>
        <v/>
      </c>
      <c r="BA359" s="25" t="str">
        <f>IF('1. Live'!BE377='check-Jul''26'!BA377,"",'1. Live'!BE377-'check-Jul''26'!BA377)</f>
        <v/>
      </c>
      <c r="BB359" s="25" t="str">
        <f>IF('1. Live'!BF377='check-Jul''26'!BB377,"",'1. Live'!BF377-'check-Jul''26'!BB377)</f>
        <v/>
      </c>
      <c r="BC359" s="25" t="str">
        <f>IF('1. Live'!BG377='check-Jul''26'!BC377,"",'1. Live'!BG377-'check-Jul''26'!BC377)</f>
        <v/>
      </c>
      <c r="BD359" s="25" t="str">
        <f>IF('1. Live'!BH377='check-Jul''26'!BD377,"",'1. Live'!BH377-'check-Jul''26'!BD377)</f>
        <v/>
      </c>
      <c r="BE359" s="25" t="str">
        <f>IF('1. Live'!BI377='check-Jul''26'!BE377,"",'1. Live'!BI377-'check-Jul''26'!BE377)</f>
        <v/>
      </c>
      <c r="BF359" s="25" t="str">
        <f>IF('1. Live'!BJ377='check-Jul''26'!BF377,"",'1. Live'!BJ377-'check-Jul''26'!BF377)</f>
        <v/>
      </c>
      <c r="BG359" s="25" t="str">
        <f>IF('1. Live'!BK377='check-Jul''26'!BG377,"",'1. Live'!BK377-'check-Jul''26'!BG377)</f>
        <v/>
      </c>
      <c r="BH359" s="25" t="str">
        <f>IF('1. Live'!BL377='check-Jul''26'!BH377,"",'1. Live'!BL377-'check-Jul''26'!BH377)</f>
        <v/>
      </c>
      <c r="BI359" s="25" t="str">
        <f>IF('1. Live'!BM377='check-Jul''26'!BI377,"",'1. Live'!BM377-'check-Jul''26'!BI377)</f>
        <v/>
      </c>
      <c r="BJ359" s="25" t="str">
        <f>IF('1. Live'!BN377='check-Jul''26'!BJ377,"",'1. Live'!BN377-'check-Jul''26'!BJ377)</f>
        <v/>
      </c>
      <c r="BK359" s="25" t="str">
        <f>IF('1. Live'!BO377='check-Jul''26'!BK377,"",'1. Live'!BO377-'check-Jul''26'!BK377)</f>
        <v/>
      </c>
      <c r="BL359" s="25" t="str">
        <f>IF('1. Live'!BP377='check-Jul''26'!BL377,"",'1. Live'!BP377-'check-Jul''26'!BL377)</f>
        <v/>
      </c>
      <c r="BM359" s="25" t="str">
        <f>IF('1. Live'!BQ377='check-Jul''26'!BM377,"",'1. Live'!BQ377-'check-Jul''26'!BM377)</f>
        <v/>
      </c>
      <c r="BN359" s="25" t="str">
        <f>IF('1. Live'!BR377='check-Jul''26'!BN377,"",'1. Live'!BR377-'check-Jul''26'!BN377)</f>
        <v/>
      </c>
      <c r="BO359" s="25" t="str">
        <f>IF('1. Live'!BS377='check-Jul''26'!BO377,"",'1. Live'!BS377-'check-Jul''26'!BO377)</f>
        <v/>
      </c>
      <c r="BP359" s="25" t="str">
        <f>IF('1. Live'!BT377='check-Jul''26'!BP377,"",'1. Live'!BT377-'check-Jul''26'!BP377)</f>
        <v/>
      </c>
      <c r="BQ359" s="25" t="str">
        <f>IF('1. Live'!BU377='check-Jul''26'!BQ377,"",'1. Live'!BU377-'check-Jul''26'!BQ377)</f>
        <v/>
      </c>
      <c r="BR359" s="25" t="str">
        <f>IF('1. Live'!BV377='check-Jul''26'!BR377,"",'1. Live'!BV377-'check-Jul''26'!BR377)</f>
        <v/>
      </c>
      <c r="BS359" s="25" t="str">
        <f>IF('1. Live'!BW377='check-Jul''26'!BS377,"",'1. Live'!BW377-'check-Jul''26'!BS377)</f>
        <v/>
      </c>
      <c r="BT359" s="25" t="str">
        <f>IF('1. Live'!BX377='check-Jul''26'!BT377,"",'1. Live'!BX377-'check-Jul''26'!BT377)</f>
        <v/>
      </c>
      <c r="BU359" s="25" t="str">
        <f>IF('1. Live'!BY377='check-Jul''26'!BU377,"",'1. Live'!BY377-'check-Jul''26'!BU377)</f>
        <v/>
      </c>
      <c r="BV359" s="25" t="str">
        <f>IF('1. Live'!BZ377='check-Jul''26'!BV377,"",'1. Live'!BZ377-'check-Jul''26'!BV377)</f>
        <v/>
      </c>
      <c r="BW359" s="25" t="str">
        <f>IF('1. Live'!CA377='check-Jul''26'!BW377,"",'1. Live'!CA377-'check-Jul''26'!BW377)</f>
        <v/>
      </c>
      <c r="BX359" s="25" t="str">
        <f>IF('1. Live'!CB377='check-Jul''26'!BX377,"",'1. Live'!CB377-'check-Jul''26'!BX377)</f>
        <v/>
      </c>
      <c r="BY359" s="25" t="str">
        <f>IF('1. Live'!CC377='check-Jul''26'!BY377,"",'1. Live'!CC377-'check-Jul''26'!BY377)</f>
        <v/>
      </c>
      <c r="BZ359" s="25" t="str">
        <f>IF('1. Live'!CD377='check-Jul''26'!BZ377,"",'1. Live'!CD377-'check-Jul''26'!BZ377)</f>
        <v/>
      </c>
      <c r="CA359" s="25" t="str">
        <f>IF('1. Live'!CE377='check-Jul''26'!CA377,"",'1. Live'!CE377-'check-Jul''26'!CA377)</f>
        <v/>
      </c>
      <c r="CB359" s="25" t="str">
        <f>IF('1. Live'!CF377='check-Jul''26'!CB377,"",'1. Live'!CF377-'check-Jul''26'!CB377)</f>
        <v/>
      </c>
      <c r="CC359" s="25" t="str">
        <f>IF('1. Live'!CG377='check-Jul''26'!CC377,"",'1. Live'!CG377-'check-Jul''26'!CC377)</f>
        <v/>
      </c>
      <c r="CD359" s="25" t="str">
        <f>IF('1. Live'!CH377='check-Jul''26'!CD377,"",'1. Live'!CH377-'check-Jul''26'!CD377)</f>
        <v/>
      </c>
      <c r="CE359" s="25" t="str">
        <f>IF('1. Live'!CI377='check-Jul''26'!CE377,"",'1. Live'!CI377-'check-Jul''26'!CE377)</f>
        <v/>
      </c>
      <c r="CF359" s="25" t="str">
        <f>IF('1. Live'!CJ377='check-Jul''26'!CF377,"",'1. Live'!CJ377-'check-Jul''26'!CF377)</f>
        <v/>
      </c>
      <c r="CG359" s="25" t="str">
        <f>IF('1. Live'!CK377='check-Jul''26'!CG377,"",'1. Live'!CK377-'check-Jul''26'!CG377)</f>
        <v/>
      </c>
      <c r="CH359" s="25" t="str">
        <f>IF('1. Live'!CL377='check-Jul''26'!CH377,"",'1. Live'!CL377-'check-Jul''26'!CH377)</f>
        <v/>
      </c>
      <c r="CI359" s="25" t="str">
        <f>IF('1. Live'!CM377='check-Jul''26'!CI377,"",'1. Live'!CM377-'check-Jul''26'!CI377)</f>
        <v/>
      </c>
      <c r="CJ359" s="25" t="str">
        <f>IF('1. Live'!CN377='check-Jul''26'!CJ377,"",'1. Live'!CN377-'check-Jul''26'!CJ377)</f>
        <v/>
      </c>
      <c r="CK359" s="25" t="str">
        <f>IF('1. Live'!CO377='check-Jul''26'!CK377,"",'1. Live'!CO377-'check-Jul''26'!CK377)</f>
        <v/>
      </c>
      <c r="CL359" s="25" t="str">
        <f>IF('1. Live'!CP377='check-Jul''26'!CL377,"",'1. Live'!CP377-'check-Jul''26'!CL377)</f>
        <v/>
      </c>
      <c r="CM359" s="25" t="str">
        <f>IF('1. Live'!CQ377='check-Jul''26'!CM377,"",'1. Live'!CQ377-'check-Jul''26'!CM377)</f>
        <v/>
      </c>
      <c r="CN359" s="25" t="str">
        <f>IF('1. Live'!CR377='check-Jul''26'!CN377,"",'1. Live'!CR377-'check-Jul''26'!CN377)</f>
        <v/>
      </c>
      <c r="CO359" s="25" t="str">
        <f>IF('1. Live'!CS377='check-Jul''26'!CO377,"",'1. Live'!CS377-'check-Jul''26'!CO377)</f>
        <v/>
      </c>
      <c r="CP359" s="25" t="str">
        <f>IF('1. Live'!CT377='check-Jul''26'!CP377,"",'1. Live'!CT377-'check-Jul''26'!CP377)</f>
        <v/>
      </c>
      <c r="CQ359" s="25" t="str">
        <f>IF('1. Live'!CU377='check-Jul''26'!CQ377,"",'1. Live'!CU377-'check-Jul''26'!CQ377)</f>
        <v/>
      </c>
      <c r="CR359" s="25" t="str">
        <f>IF('1. Live'!CV377='check-Jul''26'!CR377,"",'1. Live'!CV377-'check-Jul''26'!CR377)</f>
        <v/>
      </c>
      <c r="CS359" s="25" t="str">
        <f>IF('1. Live'!CW377='check-Jul''26'!CS377,"",'1. Live'!CW377-'check-Jul''26'!CS377)</f>
        <v/>
      </c>
      <c r="CT359" s="25" t="str">
        <f>IF('1. Live'!CX377='check-Jul''26'!CT377,"",'1. Live'!CX377-'check-Jul''26'!CT377)</f>
        <v/>
      </c>
      <c r="CU359" s="25" t="str">
        <f>IF('1. Live'!CY377='check-Jul''26'!CU377,"",'1. Live'!CY377-'check-Jul''26'!CU377)</f>
        <v/>
      </c>
      <c r="CV359" s="25" t="str">
        <f>IF('1. Live'!CZ377='check-Jul''26'!CV377,"",'1. Live'!CZ377-'check-Jul''26'!CV377)</f>
        <v/>
      </c>
    </row>
    <row r="360" spans="17:100" x14ac:dyDescent="0.25">
      <c r="Q360" s="26" t="str">
        <f>IF('1. Live'!N378='check-Jul''26'!I378,"",'1. Live'!N378-'check-Jul''26'!I378)</f>
        <v/>
      </c>
      <c r="R360" s="26" t="str">
        <f>IF('1. Live'!O378='check-Jul''26'!J378,"",'1. Live'!O378-'check-Jul''26'!J378)</f>
        <v/>
      </c>
      <c r="S360" s="26" t="str">
        <f>IF('1. Live'!P378='check-Jul''26'!K378,"",'1. Live'!P378-'check-Jul''26'!K378)</f>
        <v/>
      </c>
      <c r="T360" s="26" t="str">
        <f>IF('1. Live'!Q378='check-Jul''26'!L378,"",'1. Live'!Q378-'check-Jul''26'!L378)</f>
        <v/>
      </c>
      <c r="U360" s="80" t="str">
        <f>IF('1. Live'!R378='check-Jul''26'!M378,"",'1. Live'!R378-'check-Jul''26'!M378)</f>
        <v/>
      </c>
      <c r="V360" s="26" t="str">
        <f>IF('1. Live'!S378='check-Jul''26'!N378,"",'1. Live'!S378-'check-Jul''26'!N378)</f>
        <v/>
      </c>
      <c r="W360" s="25" t="str">
        <f>IF('1. Live'!T378='check-Jul''26'!O378,"",'1. Live'!T378-'check-Jul''26'!O378)</f>
        <v/>
      </c>
      <c r="X360" s="25" t="str">
        <f>IF('1. Live'!U378='check-Jul''26'!Q378,"",'1. Live'!U378-'check-Jul''26'!Q378)</f>
        <v/>
      </c>
      <c r="Y360" s="25" t="str">
        <f>IF('1. Live'!V378='check-Jul''26'!R378,"",'1. Live'!V378-'check-Jul''26'!R378)</f>
        <v/>
      </c>
      <c r="Z360" s="25" t="str">
        <f>IF('1. Live'!W378='check-Jul''26'!S378,"",'1. Live'!W378-'check-Jul''26'!S378)</f>
        <v/>
      </c>
      <c r="AA360" s="25" t="str">
        <f>IF('1. Live'!X378='check-Jul''26'!T378,"",'1. Live'!X378-'check-Jul''26'!T378)</f>
        <v/>
      </c>
      <c r="AB360" s="25" t="str">
        <f>IF('1. Live'!AF378='check-Jul''26'!AB378,"",'1. Live'!AF378-'check-Jul''26'!AB378)</f>
        <v/>
      </c>
      <c r="AC360" s="25" t="str">
        <f>IF('1. Live'!AG378='check-Jul''26'!AC378,"",'1. Live'!AG378-'check-Jul''26'!AC378)</f>
        <v/>
      </c>
      <c r="AD360" s="25" t="str">
        <f>IF('1. Live'!AH378='check-Jul''26'!AD378,"",'1. Live'!AH378-'check-Jul''26'!AD378)</f>
        <v/>
      </c>
      <c r="AE360" s="25" t="str">
        <f>IF('1. Live'!AI378='check-Jul''26'!AE378,"",'1. Live'!AI378-'check-Jul''26'!AE378)</f>
        <v/>
      </c>
      <c r="AF360" s="25" t="str">
        <f>IF('1. Live'!AJ378='check-Jul''26'!AF378,"",'1. Live'!AJ378-'check-Jul''26'!AF378)</f>
        <v/>
      </c>
      <c r="AG360" s="25" t="str">
        <f>IF('1. Live'!AK378='check-Jul''26'!AG378,"",'1. Live'!AK378-'check-Jul''26'!AG378)</f>
        <v/>
      </c>
      <c r="AH360" s="25" t="str">
        <f>IF('1. Live'!AL378='check-Jul''26'!AH378,"",'1. Live'!AL378-'check-Jul''26'!AH378)</f>
        <v/>
      </c>
      <c r="AI360" s="25" t="str">
        <f>IF('1. Live'!AM378='check-Jul''26'!AI378,"",'1. Live'!AM378-'check-Jul''26'!AI378)</f>
        <v/>
      </c>
      <c r="AJ360" s="25" t="str">
        <f>IF('1. Live'!AN378='check-Jul''26'!AJ378,"",'1. Live'!AN378-'check-Jul''26'!AJ378)</f>
        <v/>
      </c>
      <c r="AK360" s="25" t="str">
        <f>IF('1. Live'!AO378='check-Jul''26'!AK378,"",'1. Live'!AO378-'check-Jul''26'!AK378)</f>
        <v/>
      </c>
      <c r="AL360" s="25" t="str">
        <f>IF('1. Live'!AP378='check-Jul''26'!AL378,"",'1. Live'!AP378-'check-Jul''26'!AL378)</f>
        <v/>
      </c>
      <c r="AM360" s="25" t="str">
        <f>IF('1. Live'!AQ378='check-Jul''26'!AM378,"",'1. Live'!AQ378-'check-Jul''26'!AM378)</f>
        <v/>
      </c>
      <c r="AN360" s="25" t="str">
        <f>IF('1. Live'!AR378='check-Jul''26'!AN378,"",'1. Live'!AR378-'check-Jul''26'!AN378)</f>
        <v/>
      </c>
      <c r="AO360" s="25" t="str">
        <f>IF('1. Live'!AS378='check-Jul''26'!AO378,"",'1. Live'!AS378-'check-Jul''26'!AO378)</f>
        <v/>
      </c>
      <c r="AP360" s="25" t="str">
        <f>IF('1. Live'!AT378='check-Jul''26'!AP378,"",'1. Live'!AT378-'check-Jul''26'!AP378)</f>
        <v/>
      </c>
      <c r="AQ360" s="25" t="str">
        <f>IF('1. Live'!AU378='check-Jul''26'!AQ378,"",'1. Live'!AU378-'check-Jul''26'!AQ378)</f>
        <v/>
      </c>
      <c r="AR360" s="25" t="str">
        <f>IF('1. Live'!AV378='check-Jul''26'!AR378,"",'1. Live'!AV378-'check-Jul''26'!AR378)</f>
        <v/>
      </c>
      <c r="AS360" s="25" t="str">
        <f>IF('1. Live'!AW378='check-Jul''26'!AS378,"",'1. Live'!AW378-'check-Jul''26'!AS378)</f>
        <v/>
      </c>
      <c r="AT360" s="25" t="str">
        <f>IF('1. Live'!AX378='check-Jul''26'!AT378,"",'1. Live'!AX378-'check-Jul''26'!AT378)</f>
        <v/>
      </c>
      <c r="AU360" s="25" t="str">
        <f>IF('1. Live'!AY378='check-Jul''26'!AU378,"",'1. Live'!AY378-'check-Jul''26'!AU378)</f>
        <v/>
      </c>
      <c r="AV360" s="25" t="str">
        <f>IF('1. Live'!AZ378='check-Jul''26'!AV378,"",'1. Live'!AZ378-'check-Jul''26'!AV378)</f>
        <v/>
      </c>
      <c r="AW360" s="25" t="str">
        <f>IF('1. Live'!BA378='check-Jul''26'!AW378,"",'1. Live'!BA378-'check-Jul''26'!AW378)</f>
        <v/>
      </c>
      <c r="AX360" s="25" t="str">
        <f>IF('1. Live'!BB378='check-Jul''26'!AX378,"",'1. Live'!BB378-'check-Jul''26'!AX378)</f>
        <v/>
      </c>
      <c r="AY360" s="25" t="str">
        <f>IF('1. Live'!BC378='check-Jul''26'!AY378,"",'1. Live'!BC378-'check-Jul''26'!AY378)</f>
        <v/>
      </c>
      <c r="AZ360" s="25" t="str">
        <f>IF('1. Live'!BD378='check-Jul''26'!AZ378,"",'1. Live'!BD378-'check-Jul''26'!AZ378)</f>
        <v/>
      </c>
      <c r="BA360" s="25" t="str">
        <f>IF('1. Live'!BE378='check-Jul''26'!BA378,"",'1. Live'!BE378-'check-Jul''26'!BA378)</f>
        <v/>
      </c>
      <c r="BB360" s="25" t="str">
        <f>IF('1. Live'!BF378='check-Jul''26'!BB378,"",'1. Live'!BF378-'check-Jul''26'!BB378)</f>
        <v/>
      </c>
      <c r="BC360" s="25" t="str">
        <f>IF('1. Live'!BG378='check-Jul''26'!BC378,"",'1. Live'!BG378-'check-Jul''26'!BC378)</f>
        <v/>
      </c>
      <c r="BD360" s="25" t="str">
        <f>IF('1. Live'!BH378='check-Jul''26'!BD378,"",'1. Live'!BH378-'check-Jul''26'!BD378)</f>
        <v/>
      </c>
      <c r="BE360" s="25" t="str">
        <f>IF('1. Live'!BI378='check-Jul''26'!BE378,"",'1. Live'!BI378-'check-Jul''26'!BE378)</f>
        <v/>
      </c>
      <c r="BF360" s="25" t="str">
        <f>IF('1. Live'!BJ378='check-Jul''26'!BF378,"",'1. Live'!BJ378-'check-Jul''26'!BF378)</f>
        <v/>
      </c>
      <c r="BG360" s="25" t="str">
        <f>IF('1. Live'!BK378='check-Jul''26'!BG378,"",'1. Live'!BK378-'check-Jul''26'!BG378)</f>
        <v/>
      </c>
      <c r="BH360" s="25" t="str">
        <f>IF('1. Live'!BL378='check-Jul''26'!BH378,"",'1. Live'!BL378-'check-Jul''26'!BH378)</f>
        <v/>
      </c>
      <c r="BI360" s="25" t="str">
        <f>IF('1. Live'!BM378='check-Jul''26'!BI378,"",'1. Live'!BM378-'check-Jul''26'!BI378)</f>
        <v/>
      </c>
      <c r="BJ360" s="25" t="str">
        <f>IF('1. Live'!BN378='check-Jul''26'!BJ378,"",'1. Live'!BN378-'check-Jul''26'!BJ378)</f>
        <v/>
      </c>
      <c r="BK360" s="25" t="str">
        <f>IF('1. Live'!BO378='check-Jul''26'!BK378,"",'1. Live'!BO378-'check-Jul''26'!BK378)</f>
        <v/>
      </c>
      <c r="BL360" s="25" t="str">
        <f>IF('1. Live'!BP378='check-Jul''26'!BL378,"",'1. Live'!BP378-'check-Jul''26'!BL378)</f>
        <v/>
      </c>
      <c r="BM360" s="25" t="str">
        <f>IF('1. Live'!BQ378='check-Jul''26'!BM378,"",'1. Live'!BQ378-'check-Jul''26'!BM378)</f>
        <v/>
      </c>
      <c r="BN360" s="25" t="str">
        <f>IF('1. Live'!BR378='check-Jul''26'!BN378,"",'1. Live'!BR378-'check-Jul''26'!BN378)</f>
        <v/>
      </c>
      <c r="BO360" s="25" t="str">
        <f>IF('1. Live'!BS378='check-Jul''26'!BO378,"",'1. Live'!BS378-'check-Jul''26'!BO378)</f>
        <v/>
      </c>
      <c r="BP360" s="25" t="str">
        <f>IF('1. Live'!BT378='check-Jul''26'!BP378,"",'1. Live'!BT378-'check-Jul''26'!BP378)</f>
        <v/>
      </c>
      <c r="BQ360" s="25" t="str">
        <f>IF('1. Live'!BU378='check-Jul''26'!BQ378,"",'1. Live'!BU378-'check-Jul''26'!BQ378)</f>
        <v/>
      </c>
      <c r="BR360" s="25" t="str">
        <f>IF('1. Live'!BV378='check-Jul''26'!BR378,"",'1. Live'!BV378-'check-Jul''26'!BR378)</f>
        <v/>
      </c>
      <c r="BS360" s="25" t="str">
        <f>IF('1. Live'!BW378='check-Jul''26'!BS378,"",'1. Live'!BW378-'check-Jul''26'!BS378)</f>
        <v/>
      </c>
      <c r="BT360" s="25" t="str">
        <f>IF('1. Live'!BX378='check-Jul''26'!BT378,"",'1. Live'!BX378-'check-Jul''26'!BT378)</f>
        <v/>
      </c>
      <c r="BU360" s="25" t="str">
        <f>IF('1. Live'!BY378='check-Jul''26'!BU378,"",'1. Live'!BY378-'check-Jul''26'!BU378)</f>
        <v/>
      </c>
      <c r="BV360" s="25" t="str">
        <f>IF('1. Live'!BZ378='check-Jul''26'!BV378,"",'1. Live'!BZ378-'check-Jul''26'!BV378)</f>
        <v/>
      </c>
      <c r="BW360" s="25" t="str">
        <f>IF('1. Live'!CA378='check-Jul''26'!BW378,"",'1. Live'!CA378-'check-Jul''26'!BW378)</f>
        <v/>
      </c>
      <c r="BX360" s="25" t="str">
        <f>IF('1. Live'!CB378='check-Jul''26'!BX378,"",'1. Live'!CB378-'check-Jul''26'!BX378)</f>
        <v/>
      </c>
      <c r="BY360" s="25" t="str">
        <f>IF('1. Live'!CC378='check-Jul''26'!BY378,"",'1. Live'!CC378-'check-Jul''26'!BY378)</f>
        <v/>
      </c>
      <c r="BZ360" s="25" t="str">
        <f>IF('1. Live'!CD378='check-Jul''26'!BZ378,"",'1. Live'!CD378-'check-Jul''26'!BZ378)</f>
        <v/>
      </c>
      <c r="CA360" s="25" t="str">
        <f>IF('1. Live'!CE378='check-Jul''26'!CA378,"",'1. Live'!CE378-'check-Jul''26'!CA378)</f>
        <v/>
      </c>
      <c r="CB360" s="25" t="str">
        <f>IF('1. Live'!CF378='check-Jul''26'!CB378,"",'1. Live'!CF378-'check-Jul''26'!CB378)</f>
        <v/>
      </c>
      <c r="CC360" s="25" t="str">
        <f>IF('1. Live'!CG378='check-Jul''26'!CC378,"",'1. Live'!CG378-'check-Jul''26'!CC378)</f>
        <v/>
      </c>
      <c r="CD360" s="25" t="str">
        <f>IF('1. Live'!CH378='check-Jul''26'!CD378,"",'1. Live'!CH378-'check-Jul''26'!CD378)</f>
        <v/>
      </c>
      <c r="CE360" s="25" t="str">
        <f>IF('1. Live'!CI378='check-Jul''26'!CE378,"",'1. Live'!CI378-'check-Jul''26'!CE378)</f>
        <v/>
      </c>
      <c r="CF360" s="25" t="str">
        <f>IF('1. Live'!CJ378='check-Jul''26'!CF378,"",'1. Live'!CJ378-'check-Jul''26'!CF378)</f>
        <v/>
      </c>
      <c r="CG360" s="25" t="str">
        <f>IF('1. Live'!CK378='check-Jul''26'!CG378,"",'1. Live'!CK378-'check-Jul''26'!CG378)</f>
        <v/>
      </c>
      <c r="CH360" s="25" t="str">
        <f>IF('1. Live'!CL378='check-Jul''26'!CH378,"",'1. Live'!CL378-'check-Jul''26'!CH378)</f>
        <v/>
      </c>
      <c r="CI360" s="25" t="str">
        <f>IF('1. Live'!CM378='check-Jul''26'!CI378,"",'1. Live'!CM378-'check-Jul''26'!CI378)</f>
        <v/>
      </c>
      <c r="CJ360" s="25" t="str">
        <f>IF('1. Live'!CN378='check-Jul''26'!CJ378,"",'1. Live'!CN378-'check-Jul''26'!CJ378)</f>
        <v/>
      </c>
      <c r="CK360" s="25" t="str">
        <f>IF('1. Live'!CO378='check-Jul''26'!CK378,"",'1. Live'!CO378-'check-Jul''26'!CK378)</f>
        <v/>
      </c>
      <c r="CL360" s="25" t="str">
        <f>IF('1. Live'!CP378='check-Jul''26'!CL378,"",'1. Live'!CP378-'check-Jul''26'!CL378)</f>
        <v/>
      </c>
      <c r="CM360" s="25" t="str">
        <f>IF('1. Live'!CQ378='check-Jul''26'!CM378,"",'1. Live'!CQ378-'check-Jul''26'!CM378)</f>
        <v/>
      </c>
      <c r="CN360" s="25" t="str">
        <f>IF('1. Live'!CR378='check-Jul''26'!CN378,"",'1. Live'!CR378-'check-Jul''26'!CN378)</f>
        <v/>
      </c>
      <c r="CO360" s="25" t="str">
        <f>IF('1. Live'!CS378='check-Jul''26'!CO378,"",'1. Live'!CS378-'check-Jul''26'!CO378)</f>
        <v/>
      </c>
      <c r="CP360" s="25" t="str">
        <f>IF('1. Live'!CT378='check-Jul''26'!CP378,"",'1. Live'!CT378-'check-Jul''26'!CP378)</f>
        <v/>
      </c>
      <c r="CQ360" s="25" t="str">
        <f>IF('1. Live'!CU378='check-Jul''26'!CQ378,"",'1. Live'!CU378-'check-Jul''26'!CQ378)</f>
        <v/>
      </c>
      <c r="CR360" s="25" t="str">
        <f>IF('1. Live'!CV378='check-Jul''26'!CR378,"",'1. Live'!CV378-'check-Jul''26'!CR378)</f>
        <v/>
      </c>
      <c r="CS360" s="25" t="str">
        <f>IF('1. Live'!CW378='check-Jul''26'!CS378,"",'1. Live'!CW378-'check-Jul''26'!CS378)</f>
        <v/>
      </c>
      <c r="CT360" s="25" t="str">
        <f>IF('1. Live'!CX378='check-Jul''26'!CT378,"",'1. Live'!CX378-'check-Jul''26'!CT378)</f>
        <v/>
      </c>
      <c r="CU360" s="25" t="str">
        <f>IF('1. Live'!CY378='check-Jul''26'!CU378,"",'1. Live'!CY378-'check-Jul''26'!CU378)</f>
        <v/>
      </c>
      <c r="CV360" s="25" t="str">
        <f>IF('1. Live'!CZ378='check-Jul''26'!CV378,"",'1. Live'!CZ378-'check-Jul''26'!CV378)</f>
        <v/>
      </c>
    </row>
    <row r="361" spans="17:100" x14ac:dyDescent="0.25">
      <c r="Q361" s="26" t="str">
        <f>IF('1. Live'!N379='check-Jul''26'!I379,"",'1. Live'!N379-'check-Jul''26'!I379)</f>
        <v/>
      </c>
      <c r="R361" s="26" t="str">
        <f>IF('1. Live'!O379='check-Jul''26'!J379,"",'1. Live'!O379-'check-Jul''26'!J379)</f>
        <v/>
      </c>
      <c r="S361" s="26" t="str">
        <f>IF('1. Live'!P379='check-Jul''26'!K379,"",'1. Live'!P379-'check-Jul''26'!K379)</f>
        <v/>
      </c>
      <c r="T361" s="26" t="str">
        <f>IF('1. Live'!Q379='check-Jul''26'!L379,"",'1. Live'!Q379-'check-Jul''26'!L379)</f>
        <v/>
      </c>
      <c r="U361" s="80" t="str">
        <f>IF('1. Live'!R379='check-Jul''26'!M379,"",'1. Live'!R379-'check-Jul''26'!M379)</f>
        <v/>
      </c>
      <c r="V361" s="26" t="str">
        <f>IF('1. Live'!S379='check-Jul''26'!N379,"",'1. Live'!S379-'check-Jul''26'!N379)</f>
        <v/>
      </c>
      <c r="W361" s="25" t="str">
        <f>IF('1. Live'!T379='check-Jul''26'!O379,"",'1. Live'!T379-'check-Jul''26'!O379)</f>
        <v/>
      </c>
      <c r="X361" s="25" t="str">
        <f>IF('1. Live'!U379='check-Jul''26'!Q379,"",'1. Live'!U379-'check-Jul''26'!Q379)</f>
        <v/>
      </c>
      <c r="Y361" s="25" t="str">
        <f>IF('1. Live'!V379='check-Jul''26'!R379,"",'1. Live'!V379-'check-Jul''26'!R379)</f>
        <v/>
      </c>
      <c r="Z361" s="25" t="str">
        <f>IF('1. Live'!W379='check-Jul''26'!S379,"",'1. Live'!W379-'check-Jul''26'!S379)</f>
        <v/>
      </c>
      <c r="AA361" s="25" t="str">
        <f>IF('1. Live'!X379='check-Jul''26'!T379,"",'1. Live'!X379-'check-Jul''26'!T379)</f>
        <v/>
      </c>
      <c r="AB361" s="25" t="str">
        <f>IF('1. Live'!AF379='check-Jul''26'!AB379,"",'1. Live'!AF379-'check-Jul''26'!AB379)</f>
        <v/>
      </c>
      <c r="AC361" s="25" t="str">
        <f>IF('1. Live'!AG379='check-Jul''26'!AC379,"",'1. Live'!AG379-'check-Jul''26'!AC379)</f>
        <v/>
      </c>
      <c r="AD361" s="25" t="str">
        <f>IF('1. Live'!AH379='check-Jul''26'!AD379,"",'1. Live'!AH379-'check-Jul''26'!AD379)</f>
        <v/>
      </c>
      <c r="AE361" s="25" t="str">
        <f>IF('1. Live'!AI379='check-Jul''26'!AE379,"",'1. Live'!AI379-'check-Jul''26'!AE379)</f>
        <v/>
      </c>
      <c r="AF361" s="25" t="str">
        <f>IF('1. Live'!AJ379='check-Jul''26'!AF379,"",'1. Live'!AJ379-'check-Jul''26'!AF379)</f>
        <v/>
      </c>
      <c r="AG361" s="25" t="str">
        <f>IF('1. Live'!AK379='check-Jul''26'!AG379,"",'1. Live'!AK379-'check-Jul''26'!AG379)</f>
        <v/>
      </c>
      <c r="AH361" s="25" t="str">
        <f>IF('1. Live'!AL379='check-Jul''26'!AH379,"",'1. Live'!AL379-'check-Jul''26'!AH379)</f>
        <v/>
      </c>
      <c r="AI361" s="25" t="str">
        <f>IF('1. Live'!AM379='check-Jul''26'!AI379,"",'1. Live'!AM379-'check-Jul''26'!AI379)</f>
        <v/>
      </c>
      <c r="AJ361" s="25" t="str">
        <f>IF('1. Live'!AN379='check-Jul''26'!AJ379,"",'1. Live'!AN379-'check-Jul''26'!AJ379)</f>
        <v/>
      </c>
      <c r="AK361" s="25" t="str">
        <f>IF('1. Live'!AO379='check-Jul''26'!AK379,"",'1. Live'!AO379-'check-Jul''26'!AK379)</f>
        <v/>
      </c>
      <c r="AL361" s="25" t="str">
        <f>IF('1. Live'!AP379='check-Jul''26'!AL379,"",'1. Live'!AP379-'check-Jul''26'!AL379)</f>
        <v/>
      </c>
      <c r="AM361" s="25" t="str">
        <f>IF('1. Live'!AQ379='check-Jul''26'!AM379,"",'1. Live'!AQ379-'check-Jul''26'!AM379)</f>
        <v/>
      </c>
      <c r="AN361" s="25" t="str">
        <f>IF('1. Live'!AR379='check-Jul''26'!AN379,"",'1. Live'!AR379-'check-Jul''26'!AN379)</f>
        <v/>
      </c>
      <c r="AO361" s="25" t="str">
        <f>IF('1. Live'!AS379='check-Jul''26'!AO379,"",'1. Live'!AS379-'check-Jul''26'!AO379)</f>
        <v/>
      </c>
      <c r="AP361" s="25" t="str">
        <f>IF('1. Live'!AT379='check-Jul''26'!AP379,"",'1. Live'!AT379-'check-Jul''26'!AP379)</f>
        <v/>
      </c>
      <c r="AQ361" s="25" t="str">
        <f>IF('1. Live'!AU379='check-Jul''26'!AQ379,"",'1. Live'!AU379-'check-Jul''26'!AQ379)</f>
        <v/>
      </c>
      <c r="AR361" s="25" t="str">
        <f>IF('1. Live'!AV379='check-Jul''26'!AR379,"",'1. Live'!AV379-'check-Jul''26'!AR379)</f>
        <v/>
      </c>
      <c r="AS361" s="25" t="str">
        <f>IF('1. Live'!AW379='check-Jul''26'!AS379,"",'1. Live'!AW379-'check-Jul''26'!AS379)</f>
        <v/>
      </c>
      <c r="AT361" s="25" t="str">
        <f>IF('1. Live'!AX379='check-Jul''26'!AT379,"",'1. Live'!AX379-'check-Jul''26'!AT379)</f>
        <v/>
      </c>
      <c r="AU361" s="25" t="str">
        <f>IF('1. Live'!AY379='check-Jul''26'!AU379,"",'1. Live'!AY379-'check-Jul''26'!AU379)</f>
        <v/>
      </c>
      <c r="AV361" s="25" t="str">
        <f>IF('1. Live'!AZ379='check-Jul''26'!AV379,"",'1. Live'!AZ379-'check-Jul''26'!AV379)</f>
        <v/>
      </c>
      <c r="AW361" s="25" t="str">
        <f>IF('1. Live'!BA379='check-Jul''26'!AW379,"",'1. Live'!BA379-'check-Jul''26'!AW379)</f>
        <v/>
      </c>
      <c r="AX361" s="25" t="str">
        <f>IF('1. Live'!BB379='check-Jul''26'!AX379,"",'1. Live'!BB379-'check-Jul''26'!AX379)</f>
        <v/>
      </c>
      <c r="AY361" s="25" t="str">
        <f>IF('1. Live'!BC379='check-Jul''26'!AY379,"",'1. Live'!BC379-'check-Jul''26'!AY379)</f>
        <v/>
      </c>
      <c r="AZ361" s="25" t="str">
        <f>IF('1. Live'!BD379='check-Jul''26'!AZ379,"",'1. Live'!BD379-'check-Jul''26'!AZ379)</f>
        <v/>
      </c>
      <c r="BA361" s="25" t="str">
        <f>IF('1. Live'!BE379='check-Jul''26'!BA379,"",'1. Live'!BE379-'check-Jul''26'!BA379)</f>
        <v/>
      </c>
      <c r="BB361" s="25" t="str">
        <f>IF('1. Live'!BF379='check-Jul''26'!BB379,"",'1. Live'!BF379-'check-Jul''26'!BB379)</f>
        <v/>
      </c>
      <c r="BC361" s="25" t="str">
        <f>IF('1. Live'!BG379='check-Jul''26'!BC379,"",'1. Live'!BG379-'check-Jul''26'!BC379)</f>
        <v/>
      </c>
      <c r="BD361" s="25" t="str">
        <f>IF('1. Live'!BH379='check-Jul''26'!BD379,"",'1. Live'!BH379-'check-Jul''26'!BD379)</f>
        <v/>
      </c>
      <c r="BE361" s="25" t="str">
        <f>IF('1. Live'!BI379='check-Jul''26'!BE379,"",'1. Live'!BI379-'check-Jul''26'!BE379)</f>
        <v/>
      </c>
      <c r="BF361" s="25" t="str">
        <f>IF('1. Live'!BJ379='check-Jul''26'!BF379,"",'1. Live'!BJ379-'check-Jul''26'!BF379)</f>
        <v/>
      </c>
      <c r="BG361" s="25" t="str">
        <f>IF('1. Live'!BK379='check-Jul''26'!BG379,"",'1. Live'!BK379-'check-Jul''26'!BG379)</f>
        <v/>
      </c>
      <c r="BH361" s="25" t="str">
        <f>IF('1. Live'!BL379='check-Jul''26'!BH379,"",'1. Live'!BL379-'check-Jul''26'!BH379)</f>
        <v/>
      </c>
      <c r="BI361" s="25" t="str">
        <f>IF('1. Live'!BM379='check-Jul''26'!BI379,"",'1. Live'!BM379-'check-Jul''26'!BI379)</f>
        <v/>
      </c>
      <c r="BJ361" s="25" t="str">
        <f>IF('1. Live'!BN379='check-Jul''26'!BJ379,"",'1. Live'!BN379-'check-Jul''26'!BJ379)</f>
        <v/>
      </c>
      <c r="BK361" s="25" t="str">
        <f>IF('1. Live'!BO379='check-Jul''26'!BK379,"",'1. Live'!BO379-'check-Jul''26'!BK379)</f>
        <v/>
      </c>
      <c r="BL361" s="25" t="str">
        <f>IF('1. Live'!BP379='check-Jul''26'!BL379,"",'1. Live'!BP379-'check-Jul''26'!BL379)</f>
        <v/>
      </c>
      <c r="BM361" s="25" t="str">
        <f>IF('1. Live'!BQ379='check-Jul''26'!BM379,"",'1. Live'!BQ379-'check-Jul''26'!BM379)</f>
        <v/>
      </c>
      <c r="BN361" s="25" t="str">
        <f>IF('1. Live'!BR379='check-Jul''26'!BN379,"",'1. Live'!BR379-'check-Jul''26'!BN379)</f>
        <v/>
      </c>
      <c r="BO361" s="25" t="str">
        <f>IF('1. Live'!BS379='check-Jul''26'!BO379,"",'1. Live'!BS379-'check-Jul''26'!BO379)</f>
        <v/>
      </c>
      <c r="BP361" s="25" t="str">
        <f>IF('1. Live'!BT379='check-Jul''26'!BP379,"",'1. Live'!BT379-'check-Jul''26'!BP379)</f>
        <v/>
      </c>
      <c r="BQ361" s="25" t="str">
        <f>IF('1. Live'!BU379='check-Jul''26'!BQ379,"",'1. Live'!BU379-'check-Jul''26'!BQ379)</f>
        <v/>
      </c>
      <c r="BR361" s="25" t="str">
        <f>IF('1. Live'!BV379='check-Jul''26'!BR379,"",'1. Live'!BV379-'check-Jul''26'!BR379)</f>
        <v/>
      </c>
      <c r="BS361" s="25" t="str">
        <f>IF('1. Live'!BW379='check-Jul''26'!BS379,"",'1. Live'!BW379-'check-Jul''26'!BS379)</f>
        <v/>
      </c>
      <c r="BT361" s="25" t="str">
        <f>IF('1. Live'!BX379='check-Jul''26'!BT379,"",'1. Live'!BX379-'check-Jul''26'!BT379)</f>
        <v/>
      </c>
      <c r="BU361" s="25" t="str">
        <f>IF('1. Live'!BY379='check-Jul''26'!BU379,"",'1. Live'!BY379-'check-Jul''26'!BU379)</f>
        <v/>
      </c>
      <c r="BV361" s="25" t="str">
        <f>IF('1. Live'!BZ379='check-Jul''26'!BV379,"",'1. Live'!BZ379-'check-Jul''26'!BV379)</f>
        <v/>
      </c>
      <c r="BW361" s="25" t="str">
        <f>IF('1. Live'!CA379='check-Jul''26'!BW379,"",'1. Live'!CA379-'check-Jul''26'!BW379)</f>
        <v/>
      </c>
      <c r="BX361" s="25" t="str">
        <f>IF('1. Live'!CB379='check-Jul''26'!BX379,"",'1. Live'!CB379-'check-Jul''26'!BX379)</f>
        <v/>
      </c>
      <c r="BY361" s="25" t="str">
        <f>IF('1. Live'!CC379='check-Jul''26'!BY379,"",'1. Live'!CC379-'check-Jul''26'!BY379)</f>
        <v/>
      </c>
      <c r="BZ361" s="25" t="str">
        <f>IF('1. Live'!CD379='check-Jul''26'!BZ379,"",'1. Live'!CD379-'check-Jul''26'!BZ379)</f>
        <v/>
      </c>
      <c r="CA361" s="25" t="str">
        <f>IF('1. Live'!CE379='check-Jul''26'!CA379,"",'1. Live'!CE379-'check-Jul''26'!CA379)</f>
        <v/>
      </c>
      <c r="CB361" s="25" t="str">
        <f>IF('1. Live'!CF379='check-Jul''26'!CB379,"",'1. Live'!CF379-'check-Jul''26'!CB379)</f>
        <v/>
      </c>
      <c r="CC361" s="25" t="str">
        <f>IF('1. Live'!CG379='check-Jul''26'!CC379,"",'1. Live'!CG379-'check-Jul''26'!CC379)</f>
        <v/>
      </c>
      <c r="CD361" s="25" t="str">
        <f>IF('1. Live'!CH379='check-Jul''26'!CD379,"",'1. Live'!CH379-'check-Jul''26'!CD379)</f>
        <v/>
      </c>
      <c r="CE361" s="25" t="str">
        <f>IF('1. Live'!CI379='check-Jul''26'!CE379,"",'1. Live'!CI379-'check-Jul''26'!CE379)</f>
        <v/>
      </c>
      <c r="CF361" s="25" t="str">
        <f>IF('1. Live'!CJ379='check-Jul''26'!CF379,"",'1. Live'!CJ379-'check-Jul''26'!CF379)</f>
        <v/>
      </c>
      <c r="CG361" s="25" t="str">
        <f>IF('1. Live'!CK379='check-Jul''26'!CG379,"",'1. Live'!CK379-'check-Jul''26'!CG379)</f>
        <v/>
      </c>
      <c r="CH361" s="25" t="str">
        <f>IF('1. Live'!CL379='check-Jul''26'!CH379,"",'1. Live'!CL379-'check-Jul''26'!CH379)</f>
        <v/>
      </c>
      <c r="CI361" s="25" t="str">
        <f>IF('1. Live'!CM379='check-Jul''26'!CI379,"",'1. Live'!CM379-'check-Jul''26'!CI379)</f>
        <v/>
      </c>
      <c r="CJ361" s="25" t="str">
        <f>IF('1. Live'!CN379='check-Jul''26'!CJ379,"",'1. Live'!CN379-'check-Jul''26'!CJ379)</f>
        <v/>
      </c>
      <c r="CK361" s="25" t="str">
        <f>IF('1. Live'!CO379='check-Jul''26'!CK379,"",'1. Live'!CO379-'check-Jul''26'!CK379)</f>
        <v/>
      </c>
      <c r="CL361" s="25" t="str">
        <f>IF('1. Live'!CP379='check-Jul''26'!CL379,"",'1. Live'!CP379-'check-Jul''26'!CL379)</f>
        <v/>
      </c>
      <c r="CM361" s="25" t="str">
        <f>IF('1. Live'!CQ379='check-Jul''26'!CM379,"",'1. Live'!CQ379-'check-Jul''26'!CM379)</f>
        <v/>
      </c>
      <c r="CN361" s="25" t="str">
        <f>IF('1. Live'!CR379='check-Jul''26'!CN379,"",'1. Live'!CR379-'check-Jul''26'!CN379)</f>
        <v/>
      </c>
      <c r="CO361" s="25" t="str">
        <f>IF('1. Live'!CS379='check-Jul''26'!CO379,"",'1. Live'!CS379-'check-Jul''26'!CO379)</f>
        <v/>
      </c>
      <c r="CP361" s="25" t="str">
        <f>IF('1. Live'!CT379='check-Jul''26'!CP379,"",'1. Live'!CT379-'check-Jul''26'!CP379)</f>
        <v/>
      </c>
      <c r="CQ361" s="25" t="str">
        <f>IF('1. Live'!CU379='check-Jul''26'!CQ379,"",'1. Live'!CU379-'check-Jul''26'!CQ379)</f>
        <v/>
      </c>
      <c r="CR361" s="25" t="str">
        <f>IF('1. Live'!CV379='check-Jul''26'!CR379,"",'1. Live'!CV379-'check-Jul''26'!CR379)</f>
        <v/>
      </c>
      <c r="CS361" s="25" t="str">
        <f>IF('1. Live'!CW379='check-Jul''26'!CS379,"",'1. Live'!CW379-'check-Jul''26'!CS379)</f>
        <v/>
      </c>
      <c r="CT361" s="25" t="str">
        <f>IF('1. Live'!CX379='check-Jul''26'!CT379,"",'1. Live'!CX379-'check-Jul''26'!CT379)</f>
        <v/>
      </c>
      <c r="CU361" s="25" t="str">
        <f>IF('1. Live'!CY379='check-Jul''26'!CU379,"",'1. Live'!CY379-'check-Jul''26'!CU379)</f>
        <v/>
      </c>
      <c r="CV361" s="25" t="str">
        <f>IF('1. Live'!CZ379='check-Jul''26'!CV379,"",'1. Live'!CZ379-'check-Jul''26'!CV379)</f>
        <v/>
      </c>
    </row>
    <row r="362" spans="17:100" x14ac:dyDescent="0.25">
      <c r="Q362" s="26" t="str">
        <f>IF('1. Live'!N380='check-Jul''26'!I380,"",'1. Live'!N380-'check-Jul''26'!I380)</f>
        <v/>
      </c>
      <c r="R362" s="26" t="str">
        <f>IF('1. Live'!O380='check-Jul''26'!J380,"",'1. Live'!O380-'check-Jul''26'!J380)</f>
        <v/>
      </c>
      <c r="S362" s="26" t="str">
        <f>IF('1. Live'!P380='check-Jul''26'!K380,"",'1. Live'!P380-'check-Jul''26'!K380)</f>
        <v/>
      </c>
      <c r="T362" s="26" t="str">
        <f>IF('1. Live'!Q380='check-Jul''26'!L380,"",'1. Live'!Q380-'check-Jul''26'!L380)</f>
        <v/>
      </c>
      <c r="U362" s="80" t="str">
        <f>IF('1. Live'!R380='check-Jul''26'!M380,"",'1. Live'!R380-'check-Jul''26'!M380)</f>
        <v/>
      </c>
      <c r="V362" s="26" t="str">
        <f>IF('1. Live'!S380='check-Jul''26'!N380,"",'1. Live'!S380-'check-Jul''26'!N380)</f>
        <v/>
      </c>
      <c r="W362" s="25" t="str">
        <f>IF('1. Live'!T380='check-Jul''26'!O380,"",'1. Live'!T380-'check-Jul''26'!O380)</f>
        <v/>
      </c>
      <c r="X362" s="25" t="str">
        <f>IF('1. Live'!U380='check-Jul''26'!Q380,"",'1. Live'!U380-'check-Jul''26'!Q380)</f>
        <v/>
      </c>
      <c r="Y362" s="25" t="str">
        <f>IF('1. Live'!V380='check-Jul''26'!R380,"",'1. Live'!V380-'check-Jul''26'!R380)</f>
        <v/>
      </c>
      <c r="Z362" s="25" t="str">
        <f>IF('1. Live'!W380='check-Jul''26'!S380,"",'1. Live'!W380-'check-Jul''26'!S380)</f>
        <v/>
      </c>
      <c r="AA362" s="25" t="str">
        <f>IF('1. Live'!X380='check-Jul''26'!T380,"",'1. Live'!X380-'check-Jul''26'!T380)</f>
        <v/>
      </c>
      <c r="AB362" s="25" t="str">
        <f>IF('1. Live'!AF380='check-Jul''26'!AB380,"",'1. Live'!AF380-'check-Jul''26'!AB380)</f>
        <v/>
      </c>
      <c r="AC362" s="25" t="str">
        <f>IF('1. Live'!AG380='check-Jul''26'!AC380,"",'1. Live'!AG380-'check-Jul''26'!AC380)</f>
        <v/>
      </c>
      <c r="AD362" s="25" t="str">
        <f>IF('1. Live'!AH380='check-Jul''26'!AD380,"",'1. Live'!AH380-'check-Jul''26'!AD380)</f>
        <v/>
      </c>
      <c r="AE362" s="25" t="str">
        <f>IF('1. Live'!AI380='check-Jul''26'!AE380,"",'1. Live'!AI380-'check-Jul''26'!AE380)</f>
        <v/>
      </c>
      <c r="AF362" s="25" t="str">
        <f>IF('1. Live'!AJ380='check-Jul''26'!AF380,"",'1. Live'!AJ380-'check-Jul''26'!AF380)</f>
        <v/>
      </c>
      <c r="AG362" s="25" t="str">
        <f>IF('1. Live'!AK380='check-Jul''26'!AG380,"",'1. Live'!AK380-'check-Jul''26'!AG380)</f>
        <v/>
      </c>
      <c r="AH362" s="25" t="str">
        <f>IF('1. Live'!AL380='check-Jul''26'!AH380,"",'1. Live'!AL380-'check-Jul''26'!AH380)</f>
        <v/>
      </c>
      <c r="AI362" s="25" t="str">
        <f>IF('1. Live'!AM380='check-Jul''26'!AI380,"",'1. Live'!AM380-'check-Jul''26'!AI380)</f>
        <v/>
      </c>
      <c r="AJ362" s="25" t="str">
        <f>IF('1. Live'!AN380='check-Jul''26'!AJ380,"",'1. Live'!AN380-'check-Jul''26'!AJ380)</f>
        <v/>
      </c>
      <c r="AK362" s="25" t="str">
        <f>IF('1. Live'!AO380='check-Jul''26'!AK380,"",'1. Live'!AO380-'check-Jul''26'!AK380)</f>
        <v/>
      </c>
      <c r="AL362" s="25" t="str">
        <f>IF('1. Live'!AP380='check-Jul''26'!AL380,"",'1. Live'!AP380-'check-Jul''26'!AL380)</f>
        <v/>
      </c>
      <c r="AM362" s="25" t="str">
        <f>IF('1. Live'!AQ380='check-Jul''26'!AM380,"",'1. Live'!AQ380-'check-Jul''26'!AM380)</f>
        <v/>
      </c>
      <c r="AN362" s="25" t="str">
        <f>IF('1. Live'!AR380='check-Jul''26'!AN380,"",'1. Live'!AR380-'check-Jul''26'!AN380)</f>
        <v/>
      </c>
      <c r="AO362" s="25" t="str">
        <f>IF('1. Live'!AS380='check-Jul''26'!AO380,"",'1. Live'!AS380-'check-Jul''26'!AO380)</f>
        <v/>
      </c>
      <c r="AP362" s="25" t="str">
        <f>IF('1. Live'!AT380='check-Jul''26'!AP380,"",'1. Live'!AT380-'check-Jul''26'!AP380)</f>
        <v/>
      </c>
      <c r="AQ362" s="25" t="str">
        <f>IF('1. Live'!AU380='check-Jul''26'!AQ380,"",'1. Live'!AU380-'check-Jul''26'!AQ380)</f>
        <v/>
      </c>
      <c r="AR362" s="25" t="str">
        <f>IF('1. Live'!AV380='check-Jul''26'!AR380,"",'1. Live'!AV380-'check-Jul''26'!AR380)</f>
        <v/>
      </c>
      <c r="AS362" s="25" t="str">
        <f>IF('1. Live'!AW380='check-Jul''26'!AS380,"",'1. Live'!AW380-'check-Jul''26'!AS380)</f>
        <v/>
      </c>
      <c r="AT362" s="25" t="str">
        <f>IF('1. Live'!AX380='check-Jul''26'!AT380,"",'1. Live'!AX380-'check-Jul''26'!AT380)</f>
        <v/>
      </c>
      <c r="AU362" s="25" t="str">
        <f>IF('1. Live'!AY380='check-Jul''26'!AU380,"",'1. Live'!AY380-'check-Jul''26'!AU380)</f>
        <v/>
      </c>
      <c r="AV362" s="25" t="str">
        <f>IF('1. Live'!AZ380='check-Jul''26'!AV380,"",'1. Live'!AZ380-'check-Jul''26'!AV380)</f>
        <v/>
      </c>
      <c r="AW362" s="25" t="str">
        <f>IF('1. Live'!BA380='check-Jul''26'!AW380,"",'1. Live'!BA380-'check-Jul''26'!AW380)</f>
        <v/>
      </c>
      <c r="AX362" s="25" t="str">
        <f>IF('1. Live'!BB380='check-Jul''26'!AX380,"",'1. Live'!BB380-'check-Jul''26'!AX380)</f>
        <v/>
      </c>
      <c r="AY362" s="25" t="str">
        <f>IF('1. Live'!BC380='check-Jul''26'!AY380,"",'1. Live'!BC380-'check-Jul''26'!AY380)</f>
        <v/>
      </c>
      <c r="AZ362" s="25" t="str">
        <f>IF('1. Live'!BD380='check-Jul''26'!AZ380,"",'1. Live'!BD380-'check-Jul''26'!AZ380)</f>
        <v/>
      </c>
      <c r="BA362" s="25" t="str">
        <f>IF('1. Live'!BE380='check-Jul''26'!BA380,"",'1. Live'!BE380-'check-Jul''26'!BA380)</f>
        <v/>
      </c>
      <c r="BB362" s="25" t="str">
        <f>IF('1. Live'!BF380='check-Jul''26'!BB380,"",'1. Live'!BF380-'check-Jul''26'!BB380)</f>
        <v/>
      </c>
      <c r="BC362" s="25" t="str">
        <f>IF('1. Live'!BG380='check-Jul''26'!BC380,"",'1. Live'!BG380-'check-Jul''26'!BC380)</f>
        <v/>
      </c>
      <c r="BD362" s="25" t="str">
        <f>IF('1. Live'!BH380='check-Jul''26'!BD380,"",'1. Live'!BH380-'check-Jul''26'!BD380)</f>
        <v/>
      </c>
      <c r="BE362" s="25" t="str">
        <f>IF('1. Live'!BI380='check-Jul''26'!BE380,"",'1. Live'!BI380-'check-Jul''26'!BE380)</f>
        <v/>
      </c>
      <c r="BF362" s="25" t="str">
        <f>IF('1. Live'!BJ380='check-Jul''26'!BF380,"",'1. Live'!BJ380-'check-Jul''26'!BF380)</f>
        <v/>
      </c>
      <c r="BG362" s="25" t="str">
        <f>IF('1. Live'!BK380='check-Jul''26'!BG380,"",'1. Live'!BK380-'check-Jul''26'!BG380)</f>
        <v/>
      </c>
      <c r="BH362" s="25" t="str">
        <f>IF('1. Live'!BL380='check-Jul''26'!BH380,"",'1. Live'!BL380-'check-Jul''26'!BH380)</f>
        <v/>
      </c>
      <c r="BI362" s="25" t="str">
        <f>IF('1. Live'!BM380='check-Jul''26'!BI380,"",'1. Live'!BM380-'check-Jul''26'!BI380)</f>
        <v/>
      </c>
      <c r="BJ362" s="25" t="str">
        <f>IF('1. Live'!BN380='check-Jul''26'!BJ380,"",'1. Live'!BN380-'check-Jul''26'!BJ380)</f>
        <v/>
      </c>
      <c r="BK362" s="25" t="str">
        <f>IF('1. Live'!BO380='check-Jul''26'!BK380,"",'1. Live'!BO380-'check-Jul''26'!BK380)</f>
        <v/>
      </c>
      <c r="BL362" s="25" t="str">
        <f>IF('1. Live'!BP380='check-Jul''26'!BL380,"",'1. Live'!BP380-'check-Jul''26'!BL380)</f>
        <v/>
      </c>
      <c r="BM362" s="25" t="str">
        <f>IF('1. Live'!BQ380='check-Jul''26'!BM380,"",'1. Live'!BQ380-'check-Jul''26'!BM380)</f>
        <v/>
      </c>
      <c r="BN362" s="25" t="str">
        <f>IF('1. Live'!BR380='check-Jul''26'!BN380,"",'1. Live'!BR380-'check-Jul''26'!BN380)</f>
        <v/>
      </c>
      <c r="BO362" s="25" t="str">
        <f>IF('1. Live'!BS380='check-Jul''26'!BO380,"",'1. Live'!BS380-'check-Jul''26'!BO380)</f>
        <v/>
      </c>
      <c r="BP362" s="25" t="str">
        <f>IF('1. Live'!BT380='check-Jul''26'!BP380,"",'1. Live'!BT380-'check-Jul''26'!BP380)</f>
        <v/>
      </c>
      <c r="BQ362" s="25" t="str">
        <f>IF('1. Live'!BU380='check-Jul''26'!BQ380,"",'1. Live'!BU380-'check-Jul''26'!BQ380)</f>
        <v/>
      </c>
      <c r="BR362" s="25" t="str">
        <f>IF('1. Live'!BV380='check-Jul''26'!BR380,"",'1. Live'!BV380-'check-Jul''26'!BR380)</f>
        <v/>
      </c>
      <c r="BS362" s="25" t="str">
        <f>IF('1. Live'!BW380='check-Jul''26'!BS380,"",'1. Live'!BW380-'check-Jul''26'!BS380)</f>
        <v/>
      </c>
      <c r="BT362" s="25" t="str">
        <f>IF('1. Live'!BX380='check-Jul''26'!BT380,"",'1. Live'!BX380-'check-Jul''26'!BT380)</f>
        <v/>
      </c>
      <c r="BU362" s="25" t="str">
        <f>IF('1. Live'!BY380='check-Jul''26'!BU380,"",'1. Live'!BY380-'check-Jul''26'!BU380)</f>
        <v/>
      </c>
      <c r="BV362" s="25" t="str">
        <f>IF('1. Live'!BZ380='check-Jul''26'!BV380,"",'1. Live'!BZ380-'check-Jul''26'!BV380)</f>
        <v/>
      </c>
      <c r="BW362" s="25" t="str">
        <f>IF('1. Live'!CA380='check-Jul''26'!BW380,"",'1. Live'!CA380-'check-Jul''26'!BW380)</f>
        <v/>
      </c>
      <c r="BX362" s="25" t="str">
        <f>IF('1. Live'!CB380='check-Jul''26'!BX380,"",'1. Live'!CB380-'check-Jul''26'!BX380)</f>
        <v/>
      </c>
      <c r="BY362" s="25" t="str">
        <f>IF('1. Live'!CC380='check-Jul''26'!BY380,"",'1. Live'!CC380-'check-Jul''26'!BY380)</f>
        <v/>
      </c>
      <c r="BZ362" s="25" t="str">
        <f>IF('1. Live'!CD380='check-Jul''26'!BZ380,"",'1. Live'!CD380-'check-Jul''26'!BZ380)</f>
        <v/>
      </c>
      <c r="CA362" s="25" t="str">
        <f>IF('1. Live'!CE380='check-Jul''26'!CA380,"",'1. Live'!CE380-'check-Jul''26'!CA380)</f>
        <v/>
      </c>
      <c r="CB362" s="25" t="str">
        <f>IF('1. Live'!CF380='check-Jul''26'!CB380,"",'1. Live'!CF380-'check-Jul''26'!CB380)</f>
        <v/>
      </c>
      <c r="CC362" s="25" t="str">
        <f>IF('1. Live'!CG380='check-Jul''26'!CC380,"",'1. Live'!CG380-'check-Jul''26'!CC380)</f>
        <v/>
      </c>
      <c r="CD362" s="25" t="str">
        <f>IF('1. Live'!CH380='check-Jul''26'!CD380,"",'1. Live'!CH380-'check-Jul''26'!CD380)</f>
        <v/>
      </c>
      <c r="CE362" s="25" t="str">
        <f>IF('1. Live'!CI380='check-Jul''26'!CE380,"",'1. Live'!CI380-'check-Jul''26'!CE380)</f>
        <v/>
      </c>
      <c r="CF362" s="25" t="str">
        <f>IF('1. Live'!CJ380='check-Jul''26'!CF380,"",'1. Live'!CJ380-'check-Jul''26'!CF380)</f>
        <v/>
      </c>
      <c r="CG362" s="25" t="str">
        <f>IF('1. Live'!CK380='check-Jul''26'!CG380,"",'1. Live'!CK380-'check-Jul''26'!CG380)</f>
        <v/>
      </c>
      <c r="CH362" s="25" t="str">
        <f>IF('1. Live'!CL380='check-Jul''26'!CH380,"",'1. Live'!CL380-'check-Jul''26'!CH380)</f>
        <v/>
      </c>
      <c r="CI362" s="25" t="str">
        <f>IF('1. Live'!CM380='check-Jul''26'!CI380,"",'1. Live'!CM380-'check-Jul''26'!CI380)</f>
        <v/>
      </c>
      <c r="CJ362" s="25" t="str">
        <f>IF('1. Live'!CN380='check-Jul''26'!CJ380,"",'1. Live'!CN380-'check-Jul''26'!CJ380)</f>
        <v/>
      </c>
      <c r="CK362" s="25" t="str">
        <f>IF('1. Live'!CO380='check-Jul''26'!CK380,"",'1. Live'!CO380-'check-Jul''26'!CK380)</f>
        <v/>
      </c>
      <c r="CL362" s="25" t="str">
        <f>IF('1. Live'!CP380='check-Jul''26'!CL380,"",'1. Live'!CP380-'check-Jul''26'!CL380)</f>
        <v/>
      </c>
      <c r="CM362" s="25" t="str">
        <f>IF('1. Live'!CQ380='check-Jul''26'!CM380,"",'1. Live'!CQ380-'check-Jul''26'!CM380)</f>
        <v/>
      </c>
      <c r="CN362" s="25" t="str">
        <f>IF('1. Live'!CR380='check-Jul''26'!CN380,"",'1. Live'!CR380-'check-Jul''26'!CN380)</f>
        <v/>
      </c>
      <c r="CO362" s="25" t="str">
        <f>IF('1. Live'!CS380='check-Jul''26'!CO380,"",'1. Live'!CS380-'check-Jul''26'!CO380)</f>
        <v/>
      </c>
      <c r="CP362" s="25" t="str">
        <f>IF('1. Live'!CT380='check-Jul''26'!CP380,"",'1. Live'!CT380-'check-Jul''26'!CP380)</f>
        <v/>
      </c>
      <c r="CQ362" s="25" t="str">
        <f>IF('1. Live'!CU380='check-Jul''26'!CQ380,"",'1. Live'!CU380-'check-Jul''26'!CQ380)</f>
        <v/>
      </c>
      <c r="CR362" s="25" t="str">
        <f>IF('1. Live'!CV380='check-Jul''26'!CR380,"",'1. Live'!CV380-'check-Jul''26'!CR380)</f>
        <v/>
      </c>
      <c r="CS362" s="25" t="str">
        <f>IF('1. Live'!CW380='check-Jul''26'!CS380,"",'1. Live'!CW380-'check-Jul''26'!CS380)</f>
        <v/>
      </c>
      <c r="CT362" s="25" t="str">
        <f>IF('1. Live'!CX380='check-Jul''26'!CT380,"",'1. Live'!CX380-'check-Jul''26'!CT380)</f>
        <v/>
      </c>
      <c r="CU362" s="25" t="str">
        <f>IF('1. Live'!CY380='check-Jul''26'!CU380,"",'1. Live'!CY380-'check-Jul''26'!CU380)</f>
        <v/>
      </c>
      <c r="CV362" s="25" t="str">
        <f>IF('1. Live'!CZ380='check-Jul''26'!CV380,"",'1. Live'!CZ380-'check-Jul''26'!CV380)</f>
        <v/>
      </c>
    </row>
    <row r="363" spans="17:100" x14ac:dyDescent="0.25">
      <c r="Q363" s="26" t="str">
        <f>IF('1. Live'!N381='check-Jul''26'!I381,"",'1. Live'!N381-'check-Jul''26'!I381)</f>
        <v/>
      </c>
      <c r="R363" s="26" t="str">
        <f>IF('1. Live'!O381='check-Jul''26'!J381,"",'1. Live'!O381-'check-Jul''26'!J381)</f>
        <v/>
      </c>
      <c r="S363" s="26" t="str">
        <f>IF('1. Live'!P381='check-Jul''26'!K381,"",'1. Live'!P381-'check-Jul''26'!K381)</f>
        <v/>
      </c>
      <c r="T363" s="26" t="str">
        <f>IF('1. Live'!Q381='check-Jul''26'!L381,"",'1. Live'!Q381-'check-Jul''26'!L381)</f>
        <v/>
      </c>
      <c r="U363" s="80" t="str">
        <f>IF('1. Live'!R381='check-Jul''26'!M381,"",'1. Live'!R381-'check-Jul''26'!M381)</f>
        <v/>
      </c>
      <c r="V363" s="26" t="str">
        <f>IF('1. Live'!S381='check-Jul''26'!N381,"",'1. Live'!S381-'check-Jul''26'!N381)</f>
        <v/>
      </c>
      <c r="W363" s="25" t="str">
        <f>IF('1. Live'!T381='check-Jul''26'!O381,"",'1. Live'!T381-'check-Jul''26'!O381)</f>
        <v/>
      </c>
      <c r="X363" s="25" t="str">
        <f>IF('1. Live'!U381='check-Jul''26'!Q381,"",'1. Live'!U381-'check-Jul''26'!Q381)</f>
        <v/>
      </c>
      <c r="Y363" s="25" t="str">
        <f>IF('1. Live'!V381='check-Jul''26'!R381,"",'1. Live'!V381-'check-Jul''26'!R381)</f>
        <v/>
      </c>
      <c r="Z363" s="25" t="str">
        <f>IF('1. Live'!W381='check-Jul''26'!S381,"",'1. Live'!W381-'check-Jul''26'!S381)</f>
        <v/>
      </c>
      <c r="AA363" s="25" t="str">
        <f>IF('1. Live'!X381='check-Jul''26'!T381,"",'1. Live'!X381-'check-Jul''26'!T381)</f>
        <v/>
      </c>
      <c r="AB363" s="25" t="str">
        <f>IF('1. Live'!AF381='check-Jul''26'!AB381,"",'1. Live'!AF381-'check-Jul''26'!AB381)</f>
        <v/>
      </c>
      <c r="AC363" s="25" t="str">
        <f>IF('1. Live'!AG381='check-Jul''26'!AC381,"",'1. Live'!AG381-'check-Jul''26'!AC381)</f>
        <v/>
      </c>
      <c r="AD363" s="25" t="str">
        <f>IF('1. Live'!AH381='check-Jul''26'!AD381,"",'1. Live'!AH381-'check-Jul''26'!AD381)</f>
        <v/>
      </c>
      <c r="AE363" s="25" t="str">
        <f>IF('1. Live'!AI381='check-Jul''26'!AE381,"",'1. Live'!AI381-'check-Jul''26'!AE381)</f>
        <v/>
      </c>
      <c r="AF363" s="25" t="str">
        <f>IF('1. Live'!AJ381='check-Jul''26'!AF381,"",'1. Live'!AJ381-'check-Jul''26'!AF381)</f>
        <v/>
      </c>
      <c r="AG363" s="25" t="str">
        <f>IF('1. Live'!AK381='check-Jul''26'!AG381,"",'1. Live'!AK381-'check-Jul''26'!AG381)</f>
        <v/>
      </c>
      <c r="AH363" s="25" t="str">
        <f>IF('1. Live'!AL381='check-Jul''26'!AH381,"",'1. Live'!AL381-'check-Jul''26'!AH381)</f>
        <v/>
      </c>
      <c r="AI363" s="25" t="str">
        <f>IF('1. Live'!AM381='check-Jul''26'!AI381,"",'1. Live'!AM381-'check-Jul''26'!AI381)</f>
        <v/>
      </c>
      <c r="AJ363" s="25" t="str">
        <f>IF('1. Live'!AN381='check-Jul''26'!AJ381,"",'1. Live'!AN381-'check-Jul''26'!AJ381)</f>
        <v/>
      </c>
      <c r="AK363" s="25" t="str">
        <f>IF('1. Live'!AO381='check-Jul''26'!AK381,"",'1. Live'!AO381-'check-Jul''26'!AK381)</f>
        <v/>
      </c>
      <c r="AL363" s="25" t="str">
        <f>IF('1. Live'!AP381='check-Jul''26'!AL381,"",'1. Live'!AP381-'check-Jul''26'!AL381)</f>
        <v/>
      </c>
      <c r="AM363" s="25" t="str">
        <f>IF('1. Live'!AQ381='check-Jul''26'!AM381,"",'1. Live'!AQ381-'check-Jul''26'!AM381)</f>
        <v/>
      </c>
      <c r="AN363" s="25" t="str">
        <f>IF('1. Live'!AR381='check-Jul''26'!AN381,"",'1. Live'!AR381-'check-Jul''26'!AN381)</f>
        <v/>
      </c>
      <c r="AO363" s="25" t="str">
        <f>IF('1. Live'!AS381='check-Jul''26'!AO381,"",'1. Live'!AS381-'check-Jul''26'!AO381)</f>
        <v/>
      </c>
      <c r="AP363" s="25" t="str">
        <f>IF('1. Live'!AT381='check-Jul''26'!AP381,"",'1. Live'!AT381-'check-Jul''26'!AP381)</f>
        <v/>
      </c>
      <c r="AQ363" s="25" t="str">
        <f>IF('1. Live'!AU381='check-Jul''26'!AQ381,"",'1. Live'!AU381-'check-Jul''26'!AQ381)</f>
        <v/>
      </c>
      <c r="AR363" s="25" t="str">
        <f>IF('1. Live'!AV381='check-Jul''26'!AR381,"",'1. Live'!AV381-'check-Jul''26'!AR381)</f>
        <v/>
      </c>
      <c r="AS363" s="25" t="str">
        <f>IF('1. Live'!AW381='check-Jul''26'!AS381,"",'1. Live'!AW381-'check-Jul''26'!AS381)</f>
        <v/>
      </c>
      <c r="AT363" s="25" t="str">
        <f>IF('1. Live'!AX381='check-Jul''26'!AT381,"",'1. Live'!AX381-'check-Jul''26'!AT381)</f>
        <v/>
      </c>
      <c r="AU363" s="25" t="str">
        <f>IF('1. Live'!AY381='check-Jul''26'!AU381,"",'1. Live'!AY381-'check-Jul''26'!AU381)</f>
        <v/>
      </c>
      <c r="AV363" s="25" t="str">
        <f>IF('1. Live'!AZ381='check-Jul''26'!AV381,"",'1. Live'!AZ381-'check-Jul''26'!AV381)</f>
        <v/>
      </c>
      <c r="AW363" s="25" t="str">
        <f>IF('1. Live'!BA381='check-Jul''26'!AW381,"",'1. Live'!BA381-'check-Jul''26'!AW381)</f>
        <v/>
      </c>
      <c r="AX363" s="25" t="str">
        <f>IF('1. Live'!BB381='check-Jul''26'!AX381,"",'1. Live'!BB381-'check-Jul''26'!AX381)</f>
        <v/>
      </c>
      <c r="AY363" s="25" t="str">
        <f>IF('1. Live'!BC381='check-Jul''26'!AY381,"",'1. Live'!BC381-'check-Jul''26'!AY381)</f>
        <v/>
      </c>
      <c r="AZ363" s="25" t="str">
        <f>IF('1. Live'!BD381='check-Jul''26'!AZ381,"",'1. Live'!BD381-'check-Jul''26'!AZ381)</f>
        <v/>
      </c>
      <c r="BA363" s="25" t="str">
        <f>IF('1. Live'!BE381='check-Jul''26'!BA381,"",'1. Live'!BE381-'check-Jul''26'!BA381)</f>
        <v/>
      </c>
      <c r="BB363" s="25" t="str">
        <f>IF('1. Live'!BF381='check-Jul''26'!BB381,"",'1. Live'!BF381-'check-Jul''26'!BB381)</f>
        <v/>
      </c>
      <c r="BC363" s="25" t="str">
        <f>IF('1. Live'!BG381='check-Jul''26'!BC381,"",'1. Live'!BG381-'check-Jul''26'!BC381)</f>
        <v/>
      </c>
      <c r="BD363" s="25" t="str">
        <f>IF('1. Live'!BH381='check-Jul''26'!BD381,"",'1. Live'!BH381-'check-Jul''26'!BD381)</f>
        <v/>
      </c>
      <c r="BE363" s="25" t="str">
        <f>IF('1. Live'!BI381='check-Jul''26'!BE381,"",'1. Live'!BI381-'check-Jul''26'!BE381)</f>
        <v/>
      </c>
      <c r="BF363" s="25" t="str">
        <f>IF('1. Live'!BJ381='check-Jul''26'!BF381,"",'1. Live'!BJ381-'check-Jul''26'!BF381)</f>
        <v/>
      </c>
      <c r="BG363" s="25" t="str">
        <f>IF('1. Live'!BK381='check-Jul''26'!BG381,"",'1. Live'!BK381-'check-Jul''26'!BG381)</f>
        <v/>
      </c>
      <c r="BH363" s="25" t="str">
        <f>IF('1. Live'!BL381='check-Jul''26'!BH381,"",'1. Live'!BL381-'check-Jul''26'!BH381)</f>
        <v/>
      </c>
      <c r="BI363" s="25" t="str">
        <f>IF('1. Live'!BM381='check-Jul''26'!BI381,"",'1. Live'!BM381-'check-Jul''26'!BI381)</f>
        <v/>
      </c>
      <c r="BJ363" s="25" t="str">
        <f>IF('1. Live'!BN381='check-Jul''26'!BJ381,"",'1. Live'!BN381-'check-Jul''26'!BJ381)</f>
        <v/>
      </c>
      <c r="BK363" s="25" t="str">
        <f>IF('1. Live'!BO381='check-Jul''26'!BK381,"",'1. Live'!BO381-'check-Jul''26'!BK381)</f>
        <v/>
      </c>
      <c r="BL363" s="25" t="str">
        <f>IF('1. Live'!BP381='check-Jul''26'!BL381,"",'1. Live'!BP381-'check-Jul''26'!BL381)</f>
        <v/>
      </c>
      <c r="BM363" s="25" t="str">
        <f>IF('1. Live'!BQ381='check-Jul''26'!BM381,"",'1. Live'!BQ381-'check-Jul''26'!BM381)</f>
        <v/>
      </c>
      <c r="BN363" s="25" t="str">
        <f>IF('1. Live'!BR381='check-Jul''26'!BN381,"",'1. Live'!BR381-'check-Jul''26'!BN381)</f>
        <v/>
      </c>
      <c r="BO363" s="25" t="str">
        <f>IF('1. Live'!BS381='check-Jul''26'!BO381,"",'1. Live'!BS381-'check-Jul''26'!BO381)</f>
        <v/>
      </c>
      <c r="BP363" s="25" t="str">
        <f>IF('1. Live'!BT381='check-Jul''26'!BP381,"",'1. Live'!BT381-'check-Jul''26'!BP381)</f>
        <v/>
      </c>
      <c r="BQ363" s="25" t="str">
        <f>IF('1. Live'!BU381='check-Jul''26'!BQ381,"",'1. Live'!BU381-'check-Jul''26'!BQ381)</f>
        <v/>
      </c>
      <c r="BR363" s="25" t="str">
        <f>IF('1. Live'!BV381='check-Jul''26'!BR381,"",'1. Live'!BV381-'check-Jul''26'!BR381)</f>
        <v/>
      </c>
      <c r="BS363" s="25" t="str">
        <f>IF('1. Live'!BW381='check-Jul''26'!BS381,"",'1. Live'!BW381-'check-Jul''26'!BS381)</f>
        <v/>
      </c>
      <c r="BT363" s="25" t="str">
        <f>IF('1. Live'!BX381='check-Jul''26'!BT381,"",'1. Live'!BX381-'check-Jul''26'!BT381)</f>
        <v/>
      </c>
      <c r="BU363" s="25" t="str">
        <f>IF('1. Live'!BY381='check-Jul''26'!BU381,"",'1. Live'!BY381-'check-Jul''26'!BU381)</f>
        <v/>
      </c>
      <c r="BV363" s="25" t="str">
        <f>IF('1. Live'!BZ381='check-Jul''26'!BV381,"",'1. Live'!BZ381-'check-Jul''26'!BV381)</f>
        <v/>
      </c>
      <c r="BW363" s="25" t="str">
        <f>IF('1. Live'!CA381='check-Jul''26'!BW381,"",'1. Live'!CA381-'check-Jul''26'!BW381)</f>
        <v/>
      </c>
      <c r="BX363" s="25" t="str">
        <f>IF('1. Live'!CB381='check-Jul''26'!BX381,"",'1. Live'!CB381-'check-Jul''26'!BX381)</f>
        <v/>
      </c>
      <c r="BY363" s="25" t="str">
        <f>IF('1. Live'!CC381='check-Jul''26'!BY381,"",'1. Live'!CC381-'check-Jul''26'!BY381)</f>
        <v/>
      </c>
      <c r="BZ363" s="25" t="str">
        <f>IF('1. Live'!CD381='check-Jul''26'!BZ381,"",'1. Live'!CD381-'check-Jul''26'!BZ381)</f>
        <v/>
      </c>
      <c r="CA363" s="25" t="str">
        <f>IF('1. Live'!CE381='check-Jul''26'!CA381,"",'1. Live'!CE381-'check-Jul''26'!CA381)</f>
        <v/>
      </c>
      <c r="CB363" s="25" t="str">
        <f>IF('1. Live'!CF381='check-Jul''26'!CB381,"",'1. Live'!CF381-'check-Jul''26'!CB381)</f>
        <v/>
      </c>
      <c r="CC363" s="25" t="str">
        <f>IF('1. Live'!CG381='check-Jul''26'!CC381,"",'1. Live'!CG381-'check-Jul''26'!CC381)</f>
        <v/>
      </c>
      <c r="CD363" s="25" t="str">
        <f>IF('1. Live'!CH381='check-Jul''26'!CD381,"",'1. Live'!CH381-'check-Jul''26'!CD381)</f>
        <v/>
      </c>
      <c r="CE363" s="25" t="str">
        <f>IF('1. Live'!CI381='check-Jul''26'!CE381,"",'1. Live'!CI381-'check-Jul''26'!CE381)</f>
        <v/>
      </c>
      <c r="CF363" s="25" t="str">
        <f>IF('1. Live'!CJ381='check-Jul''26'!CF381,"",'1. Live'!CJ381-'check-Jul''26'!CF381)</f>
        <v/>
      </c>
      <c r="CG363" s="25" t="str">
        <f>IF('1. Live'!CK381='check-Jul''26'!CG381,"",'1. Live'!CK381-'check-Jul''26'!CG381)</f>
        <v/>
      </c>
      <c r="CH363" s="25" t="str">
        <f>IF('1. Live'!CL381='check-Jul''26'!CH381,"",'1. Live'!CL381-'check-Jul''26'!CH381)</f>
        <v/>
      </c>
      <c r="CI363" s="25" t="str">
        <f>IF('1. Live'!CM381='check-Jul''26'!CI381,"",'1. Live'!CM381-'check-Jul''26'!CI381)</f>
        <v/>
      </c>
      <c r="CJ363" s="25" t="str">
        <f>IF('1. Live'!CN381='check-Jul''26'!CJ381,"",'1. Live'!CN381-'check-Jul''26'!CJ381)</f>
        <v/>
      </c>
      <c r="CK363" s="25" t="str">
        <f>IF('1. Live'!CO381='check-Jul''26'!CK381,"",'1. Live'!CO381-'check-Jul''26'!CK381)</f>
        <v/>
      </c>
      <c r="CL363" s="25" t="str">
        <f>IF('1. Live'!CP381='check-Jul''26'!CL381,"",'1. Live'!CP381-'check-Jul''26'!CL381)</f>
        <v/>
      </c>
      <c r="CM363" s="25" t="str">
        <f>IF('1. Live'!CQ381='check-Jul''26'!CM381,"",'1. Live'!CQ381-'check-Jul''26'!CM381)</f>
        <v/>
      </c>
      <c r="CN363" s="25" t="str">
        <f>IF('1. Live'!CR381='check-Jul''26'!CN381,"",'1. Live'!CR381-'check-Jul''26'!CN381)</f>
        <v/>
      </c>
      <c r="CO363" s="25" t="str">
        <f>IF('1. Live'!CS381='check-Jul''26'!CO381,"",'1. Live'!CS381-'check-Jul''26'!CO381)</f>
        <v/>
      </c>
      <c r="CP363" s="25" t="str">
        <f>IF('1. Live'!CT381='check-Jul''26'!CP381,"",'1. Live'!CT381-'check-Jul''26'!CP381)</f>
        <v/>
      </c>
      <c r="CQ363" s="25" t="str">
        <f>IF('1. Live'!CU381='check-Jul''26'!CQ381,"",'1. Live'!CU381-'check-Jul''26'!CQ381)</f>
        <v/>
      </c>
      <c r="CR363" s="25" t="str">
        <f>IF('1. Live'!CV381='check-Jul''26'!CR381,"",'1. Live'!CV381-'check-Jul''26'!CR381)</f>
        <v/>
      </c>
      <c r="CS363" s="25" t="str">
        <f>IF('1. Live'!CW381='check-Jul''26'!CS381,"",'1. Live'!CW381-'check-Jul''26'!CS381)</f>
        <v/>
      </c>
      <c r="CT363" s="25" t="str">
        <f>IF('1. Live'!CX381='check-Jul''26'!CT381,"",'1. Live'!CX381-'check-Jul''26'!CT381)</f>
        <v/>
      </c>
      <c r="CU363" s="25" t="str">
        <f>IF('1. Live'!CY381='check-Jul''26'!CU381,"",'1. Live'!CY381-'check-Jul''26'!CU381)</f>
        <v/>
      </c>
      <c r="CV363" s="25" t="str">
        <f>IF('1. Live'!CZ381='check-Jul''26'!CV381,"",'1. Live'!CZ381-'check-Jul''26'!CV381)</f>
        <v/>
      </c>
    </row>
    <row r="364" spans="17:100" x14ac:dyDescent="0.25">
      <c r="Q364" s="26" t="str">
        <f>IF('1. Live'!N382='check-Jul''26'!I382,"",'1. Live'!N382-'check-Jul''26'!I382)</f>
        <v/>
      </c>
      <c r="R364" s="26" t="str">
        <f>IF('1. Live'!O382='check-Jul''26'!J382,"",'1. Live'!O382-'check-Jul''26'!J382)</f>
        <v/>
      </c>
      <c r="S364" s="26" t="str">
        <f>IF('1. Live'!P382='check-Jul''26'!K382,"",'1. Live'!P382-'check-Jul''26'!K382)</f>
        <v/>
      </c>
      <c r="T364" s="26" t="str">
        <f>IF('1. Live'!Q382='check-Jul''26'!L382,"",'1. Live'!Q382-'check-Jul''26'!L382)</f>
        <v/>
      </c>
      <c r="U364" s="80" t="str">
        <f>IF('1. Live'!R382='check-Jul''26'!M382,"",'1. Live'!R382-'check-Jul''26'!M382)</f>
        <v/>
      </c>
      <c r="V364" s="26" t="str">
        <f>IF('1. Live'!S382='check-Jul''26'!N382,"",'1. Live'!S382-'check-Jul''26'!N382)</f>
        <v/>
      </c>
      <c r="W364" s="25" t="str">
        <f>IF('1. Live'!T382='check-Jul''26'!O382,"",'1. Live'!T382-'check-Jul''26'!O382)</f>
        <v/>
      </c>
      <c r="X364" s="25" t="str">
        <f>IF('1. Live'!U382='check-Jul''26'!Q382,"",'1. Live'!U382-'check-Jul''26'!Q382)</f>
        <v/>
      </c>
      <c r="Y364" s="25" t="str">
        <f>IF('1. Live'!V382='check-Jul''26'!R382,"",'1. Live'!V382-'check-Jul''26'!R382)</f>
        <v/>
      </c>
      <c r="Z364" s="25" t="str">
        <f>IF('1. Live'!W382='check-Jul''26'!S382,"",'1. Live'!W382-'check-Jul''26'!S382)</f>
        <v/>
      </c>
      <c r="AA364" s="25" t="str">
        <f>IF('1. Live'!X382='check-Jul''26'!T382,"",'1. Live'!X382-'check-Jul''26'!T382)</f>
        <v/>
      </c>
      <c r="AB364" s="25" t="str">
        <f>IF('1. Live'!AF382='check-Jul''26'!AB382,"",'1. Live'!AF382-'check-Jul''26'!AB382)</f>
        <v/>
      </c>
      <c r="AC364" s="25" t="str">
        <f>IF('1. Live'!AG382='check-Jul''26'!AC382,"",'1. Live'!AG382-'check-Jul''26'!AC382)</f>
        <v/>
      </c>
      <c r="AD364" s="25" t="str">
        <f>IF('1. Live'!AH382='check-Jul''26'!AD382,"",'1. Live'!AH382-'check-Jul''26'!AD382)</f>
        <v/>
      </c>
      <c r="AE364" s="25" t="str">
        <f>IF('1. Live'!AI382='check-Jul''26'!AE382,"",'1. Live'!AI382-'check-Jul''26'!AE382)</f>
        <v/>
      </c>
      <c r="AF364" s="25" t="str">
        <f>IF('1. Live'!AJ382='check-Jul''26'!AF382,"",'1. Live'!AJ382-'check-Jul''26'!AF382)</f>
        <v/>
      </c>
      <c r="AG364" s="25" t="str">
        <f>IF('1. Live'!AK382='check-Jul''26'!AG382,"",'1. Live'!AK382-'check-Jul''26'!AG382)</f>
        <v/>
      </c>
      <c r="AH364" s="25" t="str">
        <f>IF('1. Live'!AL382='check-Jul''26'!AH382,"",'1. Live'!AL382-'check-Jul''26'!AH382)</f>
        <v/>
      </c>
      <c r="AI364" s="25" t="str">
        <f>IF('1. Live'!AM382='check-Jul''26'!AI382,"",'1. Live'!AM382-'check-Jul''26'!AI382)</f>
        <v/>
      </c>
      <c r="AJ364" s="25" t="str">
        <f>IF('1. Live'!AN382='check-Jul''26'!AJ382,"",'1. Live'!AN382-'check-Jul''26'!AJ382)</f>
        <v/>
      </c>
      <c r="AK364" s="25" t="str">
        <f>IF('1. Live'!AO382='check-Jul''26'!AK382,"",'1. Live'!AO382-'check-Jul''26'!AK382)</f>
        <v/>
      </c>
      <c r="AL364" s="25" t="str">
        <f>IF('1. Live'!AP382='check-Jul''26'!AL382,"",'1. Live'!AP382-'check-Jul''26'!AL382)</f>
        <v/>
      </c>
      <c r="AM364" s="25" t="str">
        <f>IF('1. Live'!AQ382='check-Jul''26'!AM382,"",'1. Live'!AQ382-'check-Jul''26'!AM382)</f>
        <v/>
      </c>
      <c r="AN364" s="25" t="str">
        <f>IF('1. Live'!AR382='check-Jul''26'!AN382,"",'1. Live'!AR382-'check-Jul''26'!AN382)</f>
        <v/>
      </c>
      <c r="AO364" s="25" t="str">
        <f>IF('1. Live'!AS382='check-Jul''26'!AO382,"",'1. Live'!AS382-'check-Jul''26'!AO382)</f>
        <v/>
      </c>
      <c r="AP364" s="25" t="str">
        <f>IF('1. Live'!AT382='check-Jul''26'!AP382,"",'1. Live'!AT382-'check-Jul''26'!AP382)</f>
        <v/>
      </c>
      <c r="AQ364" s="25" t="str">
        <f>IF('1. Live'!AU382='check-Jul''26'!AQ382,"",'1. Live'!AU382-'check-Jul''26'!AQ382)</f>
        <v/>
      </c>
      <c r="AR364" s="25" t="str">
        <f>IF('1. Live'!AV382='check-Jul''26'!AR382,"",'1. Live'!AV382-'check-Jul''26'!AR382)</f>
        <v/>
      </c>
      <c r="AS364" s="25" t="str">
        <f>IF('1. Live'!AW382='check-Jul''26'!AS382,"",'1. Live'!AW382-'check-Jul''26'!AS382)</f>
        <v/>
      </c>
      <c r="AT364" s="25" t="str">
        <f>IF('1. Live'!AX382='check-Jul''26'!AT382,"",'1. Live'!AX382-'check-Jul''26'!AT382)</f>
        <v/>
      </c>
      <c r="AU364" s="25" t="str">
        <f>IF('1. Live'!AY382='check-Jul''26'!AU382,"",'1. Live'!AY382-'check-Jul''26'!AU382)</f>
        <v/>
      </c>
      <c r="AV364" s="25" t="str">
        <f>IF('1. Live'!AZ382='check-Jul''26'!AV382,"",'1. Live'!AZ382-'check-Jul''26'!AV382)</f>
        <v/>
      </c>
      <c r="AW364" s="25" t="str">
        <f>IF('1. Live'!BA382='check-Jul''26'!AW382,"",'1. Live'!BA382-'check-Jul''26'!AW382)</f>
        <v/>
      </c>
      <c r="AX364" s="25" t="str">
        <f>IF('1. Live'!BB382='check-Jul''26'!AX382,"",'1. Live'!BB382-'check-Jul''26'!AX382)</f>
        <v/>
      </c>
      <c r="AY364" s="25" t="str">
        <f>IF('1. Live'!BC382='check-Jul''26'!AY382,"",'1. Live'!BC382-'check-Jul''26'!AY382)</f>
        <v/>
      </c>
      <c r="AZ364" s="25" t="str">
        <f>IF('1. Live'!BD382='check-Jul''26'!AZ382,"",'1. Live'!BD382-'check-Jul''26'!AZ382)</f>
        <v/>
      </c>
      <c r="BA364" s="25" t="str">
        <f>IF('1. Live'!BE382='check-Jul''26'!BA382,"",'1. Live'!BE382-'check-Jul''26'!BA382)</f>
        <v/>
      </c>
      <c r="BB364" s="25" t="str">
        <f>IF('1. Live'!BF382='check-Jul''26'!BB382,"",'1. Live'!BF382-'check-Jul''26'!BB382)</f>
        <v/>
      </c>
      <c r="BC364" s="25" t="str">
        <f>IF('1. Live'!BG382='check-Jul''26'!BC382,"",'1. Live'!BG382-'check-Jul''26'!BC382)</f>
        <v/>
      </c>
      <c r="BD364" s="25" t="str">
        <f>IF('1. Live'!BH382='check-Jul''26'!BD382,"",'1. Live'!BH382-'check-Jul''26'!BD382)</f>
        <v/>
      </c>
      <c r="BE364" s="25" t="str">
        <f>IF('1. Live'!BI382='check-Jul''26'!BE382,"",'1. Live'!BI382-'check-Jul''26'!BE382)</f>
        <v/>
      </c>
      <c r="BF364" s="25" t="str">
        <f>IF('1. Live'!BJ382='check-Jul''26'!BF382,"",'1. Live'!BJ382-'check-Jul''26'!BF382)</f>
        <v/>
      </c>
      <c r="BG364" s="25" t="str">
        <f>IF('1. Live'!BK382='check-Jul''26'!BG382,"",'1. Live'!BK382-'check-Jul''26'!BG382)</f>
        <v/>
      </c>
      <c r="BH364" s="25" t="str">
        <f>IF('1. Live'!BL382='check-Jul''26'!BH382,"",'1. Live'!BL382-'check-Jul''26'!BH382)</f>
        <v/>
      </c>
      <c r="BI364" s="25" t="str">
        <f>IF('1. Live'!BM382='check-Jul''26'!BI382,"",'1. Live'!BM382-'check-Jul''26'!BI382)</f>
        <v/>
      </c>
      <c r="BJ364" s="25" t="str">
        <f>IF('1. Live'!BN382='check-Jul''26'!BJ382,"",'1. Live'!BN382-'check-Jul''26'!BJ382)</f>
        <v/>
      </c>
      <c r="BK364" s="25" t="str">
        <f>IF('1. Live'!BO382='check-Jul''26'!BK382,"",'1. Live'!BO382-'check-Jul''26'!BK382)</f>
        <v/>
      </c>
      <c r="BL364" s="25" t="str">
        <f>IF('1. Live'!BP382='check-Jul''26'!BL382,"",'1. Live'!BP382-'check-Jul''26'!BL382)</f>
        <v/>
      </c>
      <c r="BM364" s="25" t="str">
        <f>IF('1. Live'!BQ382='check-Jul''26'!BM382,"",'1. Live'!BQ382-'check-Jul''26'!BM382)</f>
        <v/>
      </c>
      <c r="BN364" s="25" t="str">
        <f>IF('1. Live'!BR382='check-Jul''26'!BN382,"",'1. Live'!BR382-'check-Jul''26'!BN382)</f>
        <v/>
      </c>
      <c r="BO364" s="25" t="str">
        <f>IF('1. Live'!BS382='check-Jul''26'!BO382,"",'1. Live'!BS382-'check-Jul''26'!BO382)</f>
        <v/>
      </c>
      <c r="BP364" s="25" t="str">
        <f>IF('1. Live'!BT382='check-Jul''26'!BP382,"",'1. Live'!BT382-'check-Jul''26'!BP382)</f>
        <v/>
      </c>
      <c r="BQ364" s="25" t="str">
        <f>IF('1. Live'!BU382='check-Jul''26'!BQ382,"",'1. Live'!BU382-'check-Jul''26'!BQ382)</f>
        <v/>
      </c>
      <c r="BR364" s="25" t="str">
        <f>IF('1. Live'!BV382='check-Jul''26'!BR382,"",'1. Live'!BV382-'check-Jul''26'!BR382)</f>
        <v/>
      </c>
      <c r="BS364" s="25" t="str">
        <f>IF('1. Live'!BW382='check-Jul''26'!BS382,"",'1. Live'!BW382-'check-Jul''26'!BS382)</f>
        <v/>
      </c>
      <c r="BT364" s="25" t="str">
        <f>IF('1. Live'!BX382='check-Jul''26'!BT382,"",'1. Live'!BX382-'check-Jul''26'!BT382)</f>
        <v/>
      </c>
      <c r="BU364" s="25" t="str">
        <f>IF('1. Live'!BY382='check-Jul''26'!BU382,"",'1. Live'!BY382-'check-Jul''26'!BU382)</f>
        <v/>
      </c>
      <c r="BV364" s="25" t="str">
        <f>IF('1. Live'!BZ382='check-Jul''26'!BV382,"",'1. Live'!BZ382-'check-Jul''26'!BV382)</f>
        <v/>
      </c>
      <c r="BW364" s="25" t="str">
        <f>IF('1. Live'!CA382='check-Jul''26'!BW382,"",'1. Live'!CA382-'check-Jul''26'!BW382)</f>
        <v/>
      </c>
      <c r="BX364" s="25" t="str">
        <f>IF('1. Live'!CB382='check-Jul''26'!BX382,"",'1. Live'!CB382-'check-Jul''26'!BX382)</f>
        <v/>
      </c>
      <c r="BY364" s="25" t="str">
        <f>IF('1. Live'!CC382='check-Jul''26'!BY382,"",'1. Live'!CC382-'check-Jul''26'!BY382)</f>
        <v/>
      </c>
      <c r="BZ364" s="25" t="str">
        <f>IF('1. Live'!CD382='check-Jul''26'!BZ382,"",'1. Live'!CD382-'check-Jul''26'!BZ382)</f>
        <v/>
      </c>
      <c r="CA364" s="25" t="str">
        <f>IF('1. Live'!CE382='check-Jul''26'!CA382,"",'1. Live'!CE382-'check-Jul''26'!CA382)</f>
        <v/>
      </c>
      <c r="CB364" s="25" t="str">
        <f>IF('1. Live'!CF382='check-Jul''26'!CB382,"",'1. Live'!CF382-'check-Jul''26'!CB382)</f>
        <v/>
      </c>
      <c r="CC364" s="25" t="str">
        <f>IF('1. Live'!CG382='check-Jul''26'!CC382,"",'1. Live'!CG382-'check-Jul''26'!CC382)</f>
        <v/>
      </c>
      <c r="CD364" s="25" t="str">
        <f>IF('1. Live'!CH382='check-Jul''26'!CD382,"",'1. Live'!CH382-'check-Jul''26'!CD382)</f>
        <v/>
      </c>
      <c r="CE364" s="25" t="str">
        <f>IF('1. Live'!CI382='check-Jul''26'!CE382,"",'1. Live'!CI382-'check-Jul''26'!CE382)</f>
        <v/>
      </c>
      <c r="CF364" s="25" t="str">
        <f>IF('1. Live'!CJ382='check-Jul''26'!CF382,"",'1. Live'!CJ382-'check-Jul''26'!CF382)</f>
        <v/>
      </c>
      <c r="CG364" s="25" t="str">
        <f>IF('1. Live'!CK382='check-Jul''26'!CG382,"",'1. Live'!CK382-'check-Jul''26'!CG382)</f>
        <v/>
      </c>
      <c r="CH364" s="25" t="str">
        <f>IF('1. Live'!CL382='check-Jul''26'!CH382,"",'1. Live'!CL382-'check-Jul''26'!CH382)</f>
        <v/>
      </c>
      <c r="CI364" s="25" t="str">
        <f>IF('1. Live'!CM382='check-Jul''26'!CI382,"",'1. Live'!CM382-'check-Jul''26'!CI382)</f>
        <v/>
      </c>
      <c r="CJ364" s="25" t="str">
        <f>IF('1. Live'!CN382='check-Jul''26'!CJ382,"",'1. Live'!CN382-'check-Jul''26'!CJ382)</f>
        <v/>
      </c>
      <c r="CK364" s="25" t="str">
        <f>IF('1. Live'!CO382='check-Jul''26'!CK382,"",'1. Live'!CO382-'check-Jul''26'!CK382)</f>
        <v/>
      </c>
      <c r="CL364" s="25" t="str">
        <f>IF('1. Live'!CP382='check-Jul''26'!CL382,"",'1. Live'!CP382-'check-Jul''26'!CL382)</f>
        <v/>
      </c>
      <c r="CM364" s="25" t="str">
        <f>IF('1. Live'!CQ382='check-Jul''26'!CM382,"",'1. Live'!CQ382-'check-Jul''26'!CM382)</f>
        <v/>
      </c>
      <c r="CN364" s="25" t="str">
        <f>IF('1. Live'!CR382='check-Jul''26'!CN382,"",'1. Live'!CR382-'check-Jul''26'!CN382)</f>
        <v/>
      </c>
      <c r="CO364" s="25" t="str">
        <f>IF('1. Live'!CS382='check-Jul''26'!CO382,"",'1. Live'!CS382-'check-Jul''26'!CO382)</f>
        <v/>
      </c>
      <c r="CP364" s="25" t="str">
        <f>IF('1. Live'!CT382='check-Jul''26'!CP382,"",'1. Live'!CT382-'check-Jul''26'!CP382)</f>
        <v/>
      </c>
      <c r="CQ364" s="25" t="str">
        <f>IF('1. Live'!CU382='check-Jul''26'!CQ382,"",'1. Live'!CU382-'check-Jul''26'!CQ382)</f>
        <v/>
      </c>
      <c r="CR364" s="25" t="str">
        <f>IF('1. Live'!CV382='check-Jul''26'!CR382,"",'1. Live'!CV382-'check-Jul''26'!CR382)</f>
        <v/>
      </c>
      <c r="CS364" s="25" t="str">
        <f>IF('1. Live'!CW382='check-Jul''26'!CS382,"",'1. Live'!CW382-'check-Jul''26'!CS382)</f>
        <v/>
      </c>
      <c r="CT364" s="25" t="str">
        <f>IF('1. Live'!CX382='check-Jul''26'!CT382,"",'1. Live'!CX382-'check-Jul''26'!CT382)</f>
        <v/>
      </c>
      <c r="CU364" s="25" t="str">
        <f>IF('1. Live'!CY382='check-Jul''26'!CU382,"",'1. Live'!CY382-'check-Jul''26'!CU382)</f>
        <v/>
      </c>
      <c r="CV364" s="25" t="str">
        <f>IF('1. Live'!CZ382='check-Jul''26'!CV382,"",'1. Live'!CZ382-'check-Jul''26'!CV382)</f>
        <v/>
      </c>
    </row>
    <row r="365" spans="17:100" x14ac:dyDescent="0.25">
      <c r="Q365" s="26" t="str">
        <f>IF('1. Live'!N383='check-Jul''26'!I383,"",'1. Live'!N383-'check-Jul''26'!I383)</f>
        <v/>
      </c>
      <c r="R365" s="26" t="str">
        <f>IF('1. Live'!O383='check-Jul''26'!J383,"",'1. Live'!O383-'check-Jul''26'!J383)</f>
        <v/>
      </c>
      <c r="S365" s="26" t="str">
        <f>IF('1. Live'!P383='check-Jul''26'!K383,"",'1. Live'!P383-'check-Jul''26'!K383)</f>
        <v/>
      </c>
      <c r="T365" s="26" t="str">
        <f>IF('1. Live'!Q383='check-Jul''26'!L383,"",'1. Live'!Q383-'check-Jul''26'!L383)</f>
        <v/>
      </c>
      <c r="U365" s="80" t="str">
        <f>IF('1. Live'!R383='check-Jul''26'!M383,"",'1. Live'!R383-'check-Jul''26'!M383)</f>
        <v/>
      </c>
      <c r="V365" s="26" t="str">
        <f>IF('1. Live'!S383='check-Jul''26'!N383,"",'1. Live'!S383-'check-Jul''26'!N383)</f>
        <v/>
      </c>
      <c r="W365" s="25" t="str">
        <f>IF('1. Live'!T383='check-Jul''26'!O383,"",'1. Live'!T383-'check-Jul''26'!O383)</f>
        <v/>
      </c>
      <c r="X365" s="25" t="str">
        <f>IF('1. Live'!U383='check-Jul''26'!Q383,"",'1. Live'!U383-'check-Jul''26'!Q383)</f>
        <v/>
      </c>
      <c r="Y365" s="25" t="str">
        <f>IF('1. Live'!V383='check-Jul''26'!R383,"",'1. Live'!V383-'check-Jul''26'!R383)</f>
        <v/>
      </c>
      <c r="Z365" s="25" t="str">
        <f>IF('1. Live'!W383='check-Jul''26'!S383,"",'1. Live'!W383-'check-Jul''26'!S383)</f>
        <v/>
      </c>
      <c r="AA365" s="25" t="str">
        <f>IF('1. Live'!X383='check-Jul''26'!T383,"",'1. Live'!X383-'check-Jul''26'!T383)</f>
        <v/>
      </c>
      <c r="AB365" s="25" t="str">
        <f>IF('1. Live'!AF383='check-Jul''26'!AB383,"",'1. Live'!AF383-'check-Jul''26'!AB383)</f>
        <v/>
      </c>
      <c r="AC365" s="25" t="str">
        <f>IF('1. Live'!AG383='check-Jul''26'!AC383,"",'1. Live'!AG383-'check-Jul''26'!AC383)</f>
        <v/>
      </c>
      <c r="AD365" s="25" t="str">
        <f>IF('1. Live'!AH383='check-Jul''26'!AD383,"",'1. Live'!AH383-'check-Jul''26'!AD383)</f>
        <v/>
      </c>
      <c r="AE365" s="25" t="str">
        <f>IF('1. Live'!AI383='check-Jul''26'!AE383,"",'1. Live'!AI383-'check-Jul''26'!AE383)</f>
        <v/>
      </c>
      <c r="AF365" s="25" t="str">
        <f>IF('1. Live'!AJ383='check-Jul''26'!AF383,"",'1. Live'!AJ383-'check-Jul''26'!AF383)</f>
        <v/>
      </c>
      <c r="AG365" s="25" t="str">
        <f>IF('1. Live'!AK383='check-Jul''26'!AG383,"",'1. Live'!AK383-'check-Jul''26'!AG383)</f>
        <v/>
      </c>
      <c r="AH365" s="25" t="str">
        <f>IF('1. Live'!AL383='check-Jul''26'!AH383,"",'1. Live'!AL383-'check-Jul''26'!AH383)</f>
        <v/>
      </c>
      <c r="AI365" s="25" t="str">
        <f>IF('1. Live'!AM383='check-Jul''26'!AI383,"",'1. Live'!AM383-'check-Jul''26'!AI383)</f>
        <v/>
      </c>
      <c r="AJ365" s="25" t="str">
        <f>IF('1. Live'!AN383='check-Jul''26'!AJ383,"",'1. Live'!AN383-'check-Jul''26'!AJ383)</f>
        <v/>
      </c>
      <c r="AK365" s="25" t="str">
        <f>IF('1. Live'!AO383='check-Jul''26'!AK383,"",'1. Live'!AO383-'check-Jul''26'!AK383)</f>
        <v/>
      </c>
      <c r="AL365" s="25" t="str">
        <f>IF('1. Live'!AP383='check-Jul''26'!AL383,"",'1. Live'!AP383-'check-Jul''26'!AL383)</f>
        <v/>
      </c>
      <c r="AM365" s="25" t="str">
        <f>IF('1. Live'!AQ383='check-Jul''26'!AM383,"",'1. Live'!AQ383-'check-Jul''26'!AM383)</f>
        <v/>
      </c>
      <c r="AN365" s="25" t="str">
        <f>IF('1. Live'!AR383='check-Jul''26'!AN383,"",'1. Live'!AR383-'check-Jul''26'!AN383)</f>
        <v/>
      </c>
      <c r="AO365" s="25" t="str">
        <f>IF('1. Live'!AS383='check-Jul''26'!AO383,"",'1. Live'!AS383-'check-Jul''26'!AO383)</f>
        <v/>
      </c>
      <c r="AP365" s="25" t="str">
        <f>IF('1. Live'!AT383='check-Jul''26'!AP383,"",'1. Live'!AT383-'check-Jul''26'!AP383)</f>
        <v/>
      </c>
      <c r="AQ365" s="25" t="str">
        <f>IF('1. Live'!AU383='check-Jul''26'!AQ383,"",'1. Live'!AU383-'check-Jul''26'!AQ383)</f>
        <v/>
      </c>
      <c r="AR365" s="25" t="str">
        <f>IF('1. Live'!AV383='check-Jul''26'!AR383,"",'1. Live'!AV383-'check-Jul''26'!AR383)</f>
        <v/>
      </c>
      <c r="AS365" s="25" t="str">
        <f>IF('1. Live'!AW383='check-Jul''26'!AS383,"",'1. Live'!AW383-'check-Jul''26'!AS383)</f>
        <v/>
      </c>
      <c r="AT365" s="25" t="str">
        <f>IF('1. Live'!AX383='check-Jul''26'!AT383,"",'1. Live'!AX383-'check-Jul''26'!AT383)</f>
        <v/>
      </c>
      <c r="AU365" s="25" t="str">
        <f>IF('1. Live'!AY383='check-Jul''26'!AU383,"",'1. Live'!AY383-'check-Jul''26'!AU383)</f>
        <v/>
      </c>
      <c r="AV365" s="25" t="str">
        <f>IF('1. Live'!AZ383='check-Jul''26'!AV383,"",'1. Live'!AZ383-'check-Jul''26'!AV383)</f>
        <v/>
      </c>
      <c r="AW365" s="25" t="str">
        <f>IF('1. Live'!BA383='check-Jul''26'!AW383,"",'1. Live'!BA383-'check-Jul''26'!AW383)</f>
        <v/>
      </c>
      <c r="AX365" s="25" t="str">
        <f>IF('1. Live'!BB383='check-Jul''26'!AX383,"",'1. Live'!BB383-'check-Jul''26'!AX383)</f>
        <v/>
      </c>
      <c r="AY365" s="25" t="str">
        <f>IF('1. Live'!BC383='check-Jul''26'!AY383,"",'1. Live'!BC383-'check-Jul''26'!AY383)</f>
        <v/>
      </c>
      <c r="AZ365" s="25" t="str">
        <f>IF('1. Live'!BD383='check-Jul''26'!AZ383,"",'1. Live'!BD383-'check-Jul''26'!AZ383)</f>
        <v/>
      </c>
      <c r="BA365" s="25" t="str">
        <f>IF('1. Live'!BE383='check-Jul''26'!BA383,"",'1. Live'!BE383-'check-Jul''26'!BA383)</f>
        <v/>
      </c>
      <c r="BB365" s="25" t="str">
        <f>IF('1. Live'!BF383='check-Jul''26'!BB383,"",'1. Live'!BF383-'check-Jul''26'!BB383)</f>
        <v/>
      </c>
      <c r="BC365" s="25" t="str">
        <f>IF('1. Live'!BG383='check-Jul''26'!BC383,"",'1. Live'!BG383-'check-Jul''26'!BC383)</f>
        <v/>
      </c>
      <c r="BD365" s="25" t="str">
        <f>IF('1. Live'!BH383='check-Jul''26'!BD383,"",'1. Live'!BH383-'check-Jul''26'!BD383)</f>
        <v/>
      </c>
      <c r="BE365" s="25" t="str">
        <f>IF('1. Live'!BI383='check-Jul''26'!BE383,"",'1. Live'!BI383-'check-Jul''26'!BE383)</f>
        <v/>
      </c>
      <c r="BF365" s="25" t="str">
        <f>IF('1. Live'!BJ383='check-Jul''26'!BF383,"",'1. Live'!BJ383-'check-Jul''26'!BF383)</f>
        <v/>
      </c>
      <c r="BG365" s="25" t="str">
        <f>IF('1. Live'!BK383='check-Jul''26'!BG383,"",'1. Live'!BK383-'check-Jul''26'!BG383)</f>
        <v/>
      </c>
      <c r="BH365" s="25" t="str">
        <f>IF('1. Live'!BL383='check-Jul''26'!BH383,"",'1. Live'!BL383-'check-Jul''26'!BH383)</f>
        <v/>
      </c>
      <c r="BI365" s="25" t="str">
        <f>IF('1. Live'!BM383='check-Jul''26'!BI383,"",'1. Live'!BM383-'check-Jul''26'!BI383)</f>
        <v/>
      </c>
      <c r="BJ365" s="25" t="str">
        <f>IF('1. Live'!BN383='check-Jul''26'!BJ383,"",'1. Live'!BN383-'check-Jul''26'!BJ383)</f>
        <v/>
      </c>
      <c r="BK365" s="25" t="str">
        <f>IF('1. Live'!BO383='check-Jul''26'!BK383,"",'1. Live'!BO383-'check-Jul''26'!BK383)</f>
        <v/>
      </c>
      <c r="BL365" s="25" t="str">
        <f>IF('1. Live'!BP383='check-Jul''26'!BL383,"",'1. Live'!BP383-'check-Jul''26'!BL383)</f>
        <v/>
      </c>
      <c r="BM365" s="25" t="str">
        <f>IF('1. Live'!BQ383='check-Jul''26'!BM383,"",'1. Live'!BQ383-'check-Jul''26'!BM383)</f>
        <v/>
      </c>
      <c r="BN365" s="25" t="str">
        <f>IF('1. Live'!BR383='check-Jul''26'!BN383,"",'1. Live'!BR383-'check-Jul''26'!BN383)</f>
        <v/>
      </c>
      <c r="BO365" s="25" t="str">
        <f>IF('1. Live'!BS383='check-Jul''26'!BO383,"",'1. Live'!BS383-'check-Jul''26'!BO383)</f>
        <v/>
      </c>
      <c r="BP365" s="25" t="str">
        <f>IF('1. Live'!BT383='check-Jul''26'!BP383,"",'1. Live'!BT383-'check-Jul''26'!BP383)</f>
        <v/>
      </c>
      <c r="BQ365" s="25" t="str">
        <f>IF('1. Live'!BU383='check-Jul''26'!BQ383,"",'1. Live'!BU383-'check-Jul''26'!BQ383)</f>
        <v/>
      </c>
      <c r="BR365" s="25" t="str">
        <f>IF('1. Live'!BV383='check-Jul''26'!BR383,"",'1. Live'!BV383-'check-Jul''26'!BR383)</f>
        <v/>
      </c>
      <c r="BS365" s="25" t="str">
        <f>IF('1. Live'!BW383='check-Jul''26'!BS383,"",'1. Live'!BW383-'check-Jul''26'!BS383)</f>
        <v/>
      </c>
      <c r="BT365" s="25" t="str">
        <f>IF('1. Live'!BX383='check-Jul''26'!BT383,"",'1. Live'!BX383-'check-Jul''26'!BT383)</f>
        <v/>
      </c>
      <c r="BU365" s="25" t="str">
        <f>IF('1. Live'!BY383='check-Jul''26'!BU383,"",'1. Live'!BY383-'check-Jul''26'!BU383)</f>
        <v/>
      </c>
      <c r="BV365" s="25" t="str">
        <f>IF('1. Live'!BZ383='check-Jul''26'!BV383,"",'1. Live'!BZ383-'check-Jul''26'!BV383)</f>
        <v/>
      </c>
      <c r="BW365" s="25" t="str">
        <f>IF('1. Live'!CA383='check-Jul''26'!BW383,"",'1. Live'!CA383-'check-Jul''26'!BW383)</f>
        <v/>
      </c>
      <c r="BX365" s="25" t="str">
        <f>IF('1. Live'!CB383='check-Jul''26'!BX383,"",'1. Live'!CB383-'check-Jul''26'!BX383)</f>
        <v/>
      </c>
      <c r="BY365" s="25" t="str">
        <f>IF('1. Live'!CC383='check-Jul''26'!BY383,"",'1. Live'!CC383-'check-Jul''26'!BY383)</f>
        <v/>
      </c>
      <c r="BZ365" s="25" t="str">
        <f>IF('1. Live'!CD383='check-Jul''26'!BZ383,"",'1. Live'!CD383-'check-Jul''26'!BZ383)</f>
        <v/>
      </c>
      <c r="CA365" s="25" t="str">
        <f>IF('1. Live'!CE383='check-Jul''26'!CA383,"",'1. Live'!CE383-'check-Jul''26'!CA383)</f>
        <v/>
      </c>
      <c r="CB365" s="25" t="str">
        <f>IF('1. Live'!CF383='check-Jul''26'!CB383,"",'1. Live'!CF383-'check-Jul''26'!CB383)</f>
        <v/>
      </c>
      <c r="CC365" s="25" t="str">
        <f>IF('1. Live'!CG383='check-Jul''26'!CC383,"",'1. Live'!CG383-'check-Jul''26'!CC383)</f>
        <v/>
      </c>
      <c r="CD365" s="25" t="str">
        <f>IF('1. Live'!CH383='check-Jul''26'!CD383,"",'1. Live'!CH383-'check-Jul''26'!CD383)</f>
        <v/>
      </c>
      <c r="CE365" s="25" t="str">
        <f>IF('1. Live'!CI383='check-Jul''26'!CE383,"",'1. Live'!CI383-'check-Jul''26'!CE383)</f>
        <v/>
      </c>
      <c r="CF365" s="25" t="str">
        <f>IF('1. Live'!CJ383='check-Jul''26'!CF383,"",'1. Live'!CJ383-'check-Jul''26'!CF383)</f>
        <v/>
      </c>
      <c r="CG365" s="25" t="str">
        <f>IF('1. Live'!CK383='check-Jul''26'!CG383,"",'1. Live'!CK383-'check-Jul''26'!CG383)</f>
        <v/>
      </c>
      <c r="CH365" s="25" t="str">
        <f>IF('1. Live'!CL383='check-Jul''26'!CH383,"",'1. Live'!CL383-'check-Jul''26'!CH383)</f>
        <v/>
      </c>
      <c r="CI365" s="25" t="str">
        <f>IF('1. Live'!CM383='check-Jul''26'!CI383,"",'1. Live'!CM383-'check-Jul''26'!CI383)</f>
        <v/>
      </c>
      <c r="CJ365" s="25" t="str">
        <f>IF('1. Live'!CN383='check-Jul''26'!CJ383,"",'1. Live'!CN383-'check-Jul''26'!CJ383)</f>
        <v/>
      </c>
      <c r="CK365" s="25" t="str">
        <f>IF('1. Live'!CO383='check-Jul''26'!CK383,"",'1. Live'!CO383-'check-Jul''26'!CK383)</f>
        <v/>
      </c>
      <c r="CL365" s="25" t="str">
        <f>IF('1. Live'!CP383='check-Jul''26'!CL383,"",'1. Live'!CP383-'check-Jul''26'!CL383)</f>
        <v/>
      </c>
      <c r="CM365" s="25" t="str">
        <f>IF('1. Live'!CQ383='check-Jul''26'!CM383,"",'1. Live'!CQ383-'check-Jul''26'!CM383)</f>
        <v/>
      </c>
      <c r="CN365" s="25" t="str">
        <f>IF('1. Live'!CR383='check-Jul''26'!CN383,"",'1. Live'!CR383-'check-Jul''26'!CN383)</f>
        <v/>
      </c>
      <c r="CO365" s="25" t="str">
        <f>IF('1. Live'!CS383='check-Jul''26'!CO383,"",'1. Live'!CS383-'check-Jul''26'!CO383)</f>
        <v/>
      </c>
      <c r="CP365" s="25" t="str">
        <f>IF('1. Live'!CT383='check-Jul''26'!CP383,"",'1. Live'!CT383-'check-Jul''26'!CP383)</f>
        <v/>
      </c>
      <c r="CQ365" s="25" t="str">
        <f>IF('1. Live'!CU383='check-Jul''26'!CQ383,"",'1. Live'!CU383-'check-Jul''26'!CQ383)</f>
        <v/>
      </c>
      <c r="CR365" s="25" t="str">
        <f>IF('1. Live'!CV383='check-Jul''26'!CR383,"",'1. Live'!CV383-'check-Jul''26'!CR383)</f>
        <v/>
      </c>
      <c r="CS365" s="25" t="str">
        <f>IF('1. Live'!CW383='check-Jul''26'!CS383,"",'1. Live'!CW383-'check-Jul''26'!CS383)</f>
        <v/>
      </c>
      <c r="CT365" s="25" t="str">
        <f>IF('1. Live'!CX383='check-Jul''26'!CT383,"",'1. Live'!CX383-'check-Jul''26'!CT383)</f>
        <v/>
      </c>
      <c r="CU365" s="25" t="str">
        <f>IF('1. Live'!CY383='check-Jul''26'!CU383,"",'1. Live'!CY383-'check-Jul''26'!CU383)</f>
        <v/>
      </c>
      <c r="CV365" s="25" t="str">
        <f>IF('1. Live'!CZ383='check-Jul''26'!CV383,"",'1. Live'!CZ383-'check-Jul''26'!CV383)</f>
        <v/>
      </c>
    </row>
    <row r="366" spans="17:100" x14ac:dyDescent="0.25">
      <c r="Q366" s="26" t="str">
        <f>IF('1. Live'!N384='check-Jul''26'!I384,"",'1. Live'!N384-'check-Jul''26'!I384)</f>
        <v/>
      </c>
      <c r="R366" s="26" t="str">
        <f>IF('1. Live'!O384='check-Jul''26'!J384,"",'1. Live'!O384-'check-Jul''26'!J384)</f>
        <v/>
      </c>
      <c r="S366" s="26" t="str">
        <f>IF('1. Live'!P384='check-Jul''26'!K384,"",'1. Live'!P384-'check-Jul''26'!K384)</f>
        <v/>
      </c>
      <c r="T366" s="26" t="str">
        <f>IF('1. Live'!Q384='check-Jul''26'!L384,"",'1. Live'!Q384-'check-Jul''26'!L384)</f>
        <v/>
      </c>
      <c r="U366" s="80" t="str">
        <f>IF('1. Live'!R384='check-Jul''26'!M384,"",'1. Live'!R384-'check-Jul''26'!M384)</f>
        <v/>
      </c>
      <c r="V366" s="26" t="str">
        <f>IF('1. Live'!S384='check-Jul''26'!N384,"",'1. Live'!S384-'check-Jul''26'!N384)</f>
        <v/>
      </c>
      <c r="W366" s="25" t="str">
        <f>IF('1. Live'!T384='check-Jul''26'!O384,"",'1. Live'!T384-'check-Jul''26'!O384)</f>
        <v/>
      </c>
      <c r="X366" s="25" t="str">
        <f>IF('1. Live'!U384='check-Jul''26'!Q384,"",'1. Live'!U384-'check-Jul''26'!Q384)</f>
        <v/>
      </c>
      <c r="Y366" s="25" t="str">
        <f>IF('1. Live'!V384='check-Jul''26'!R384,"",'1. Live'!V384-'check-Jul''26'!R384)</f>
        <v/>
      </c>
      <c r="Z366" s="25" t="str">
        <f>IF('1. Live'!W384='check-Jul''26'!S384,"",'1. Live'!W384-'check-Jul''26'!S384)</f>
        <v/>
      </c>
      <c r="AA366" s="25" t="str">
        <f>IF('1. Live'!X384='check-Jul''26'!T384,"",'1. Live'!X384-'check-Jul''26'!T384)</f>
        <v/>
      </c>
      <c r="AB366" s="25" t="str">
        <f>IF('1. Live'!AF384='check-Jul''26'!AB384,"",'1. Live'!AF384-'check-Jul''26'!AB384)</f>
        <v/>
      </c>
      <c r="AC366" s="25" t="str">
        <f>IF('1. Live'!AG384='check-Jul''26'!AC384,"",'1. Live'!AG384-'check-Jul''26'!AC384)</f>
        <v/>
      </c>
      <c r="AD366" s="25" t="str">
        <f>IF('1. Live'!AH384='check-Jul''26'!AD384,"",'1. Live'!AH384-'check-Jul''26'!AD384)</f>
        <v/>
      </c>
      <c r="AE366" s="25" t="str">
        <f>IF('1. Live'!AI384='check-Jul''26'!AE384,"",'1. Live'!AI384-'check-Jul''26'!AE384)</f>
        <v/>
      </c>
      <c r="AF366" s="25" t="str">
        <f>IF('1. Live'!AJ384='check-Jul''26'!AF384,"",'1. Live'!AJ384-'check-Jul''26'!AF384)</f>
        <v/>
      </c>
      <c r="AG366" s="25" t="str">
        <f>IF('1. Live'!AK384='check-Jul''26'!AG384,"",'1. Live'!AK384-'check-Jul''26'!AG384)</f>
        <v/>
      </c>
      <c r="AH366" s="25" t="str">
        <f>IF('1. Live'!AL384='check-Jul''26'!AH384,"",'1. Live'!AL384-'check-Jul''26'!AH384)</f>
        <v/>
      </c>
      <c r="AI366" s="25" t="str">
        <f>IF('1. Live'!AM384='check-Jul''26'!AI384,"",'1. Live'!AM384-'check-Jul''26'!AI384)</f>
        <v/>
      </c>
      <c r="AJ366" s="25" t="str">
        <f>IF('1. Live'!AN384='check-Jul''26'!AJ384,"",'1. Live'!AN384-'check-Jul''26'!AJ384)</f>
        <v/>
      </c>
      <c r="AK366" s="25" t="str">
        <f>IF('1. Live'!AO384='check-Jul''26'!AK384,"",'1. Live'!AO384-'check-Jul''26'!AK384)</f>
        <v/>
      </c>
      <c r="AL366" s="25" t="str">
        <f>IF('1. Live'!AP384='check-Jul''26'!AL384,"",'1. Live'!AP384-'check-Jul''26'!AL384)</f>
        <v/>
      </c>
      <c r="AM366" s="25" t="str">
        <f>IF('1. Live'!AQ384='check-Jul''26'!AM384,"",'1. Live'!AQ384-'check-Jul''26'!AM384)</f>
        <v/>
      </c>
      <c r="AN366" s="25" t="str">
        <f>IF('1. Live'!AR384='check-Jul''26'!AN384,"",'1. Live'!AR384-'check-Jul''26'!AN384)</f>
        <v/>
      </c>
      <c r="AO366" s="25" t="str">
        <f>IF('1. Live'!AS384='check-Jul''26'!AO384,"",'1. Live'!AS384-'check-Jul''26'!AO384)</f>
        <v/>
      </c>
      <c r="AP366" s="25" t="str">
        <f>IF('1. Live'!AT384='check-Jul''26'!AP384,"",'1. Live'!AT384-'check-Jul''26'!AP384)</f>
        <v/>
      </c>
      <c r="AQ366" s="25" t="str">
        <f>IF('1. Live'!AU384='check-Jul''26'!AQ384,"",'1. Live'!AU384-'check-Jul''26'!AQ384)</f>
        <v/>
      </c>
      <c r="AR366" s="25" t="str">
        <f>IF('1. Live'!AV384='check-Jul''26'!AR384,"",'1. Live'!AV384-'check-Jul''26'!AR384)</f>
        <v/>
      </c>
      <c r="AS366" s="25" t="str">
        <f>IF('1. Live'!AW384='check-Jul''26'!AS384,"",'1. Live'!AW384-'check-Jul''26'!AS384)</f>
        <v/>
      </c>
      <c r="AT366" s="25" t="str">
        <f>IF('1. Live'!AX384='check-Jul''26'!AT384,"",'1. Live'!AX384-'check-Jul''26'!AT384)</f>
        <v/>
      </c>
      <c r="AU366" s="25" t="str">
        <f>IF('1. Live'!AY384='check-Jul''26'!AU384,"",'1. Live'!AY384-'check-Jul''26'!AU384)</f>
        <v/>
      </c>
      <c r="AV366" s="25" t="str">
        <f>IF('1. Live'!AZ384='check-Jul''26'!AV384,"",'1. Live'!AZ384-'check-Jul''26'!AV384)</f>
        <v/>
      </c>
      <c r="AW366" s="25" t="str">
        <f>IF('1. Live'!BA384='check-Jul''26'!AW384,"",'1. Live'!BA384-'check-Jul''26'!AW384)</f>
        <v/>
      </c>
      <c r="AX366" s="25" t="str">
        <f>IF('1. Live'!BB384='check-Jul''26'!AX384,"",'1. Live'!BB384-'check-Jul''26'!AX384)</f>
        <v/>
      </c>
      <c r="AY366" s="25" t="str">
        <f>IF('1. Live'!BC384='check-Jul''26'!AY384,"",'1. Live'!BC384-'check-Jul''26'!AY384)</f>
        <v/>
      </c>
      <c r="AZ366" s="25" t="str">
        <f>IF('1. Live'!BD384='check-Jul''26'!AZ384,"",'1. Live'!BD384-'check-Jul''26'!AZ384)</f>
        <v/>
      </c>
      <c r="BA366" s="25" t="str">
        <f>IF('1. Live'!BE384='check-Jul''26'!BA384,"",'1. Live'!BE384-'check-Jul''26'!BA384)</f>
        <v/>
      </c>
      <c r="BB366" s="25" t="str">
        <f>IF('1. Live'!BF384='check-Jul''26'!BB384,"",'1. Live'!BF384-'check-Jul''26'!BB384)</f>
        <v/>
      </c>
      <c r="BC366" s="25" t="str">
        <f>IF('1. Live'!BG384='check-Jul''26'!BC384,"",'1. Live'!BG384-'check-Jul''26'!BC384)</f>
        <v/>
      </c>
      <c r="BD366" s="25" t="str">
        <f>IF('1. Live'!BH384='check-Jul''26'!BD384,"",'1. Live'!BH384-'check-Jul''26'!BD384)</f>
        <v/>
      </c>
      <c r="BE366" s="25" t="str">
        <f>IF('1. Live'!BI384='check-Jul''26'!BE384,"",'1. Live'!BI384-'check-Jul''26'!BE384)</f>
        <v/>
      </c>
      <c r="BF366" s="25" t="str">
        <f>IF('1. Live'!BJ384='check-Jul''26'!BF384,"",'1. Live'!BJ384-'check-Jul''26'!BF384)</f>
        <v/>
      </c>
      <c r="BG366" s="25" t="str">
        <f>IF('1. Live'!BK384='check-Jul''26'!BG384,"",'1. Live'!BK384-'check-Jul''26'!BG384)</f>
        <v/>
      </c>
      <c r="BH366" s="25" t="str">
        <f>IF('1. Live'!BL384='check-Jul''26'!BH384,"",'1. Live'!BL384-'check-Jul''26'!BH384)</f>
        <v/>
      </c>
      <c r="BI366" s="25" t="str">
        <f>IF('1. Live'!BM384='check-Jul''26'!BI384,"",'1. Live'!BM384-'check-Jul''26'!BI384)</f>
        <v/>
      </c>
      <c r="BJ366" s="25" t="str">
        <f>IF('1. Live'!BN384='check-Jul''26'!BJ384,"",'1. Live'!BN384-'check-Jul''26'!BJ384)</f>
        <v/>
      </c>
      <c r="BK366" s="25" t="str">
        <f>IF('1. Live'!BO384='check-Jul''26'!BK384,"",'1. Live'!BO384-'check-Jul''26'!BK384)</f>
        <v/>
      </c>
      <c r="BL366" s="25" t="str">
        <f>IF('1. Live'!BP384='check-Jul''26'!BL384,"",'1. Live'!BP384-'check-Jul''26'!BL384)</f>
        <v/>
      </c>
      <c r="BM366" s="25" t="str">
        <f>IF('1. Live'!BQ384='check-Jul''26'!BM384,"",'1. Live'!BQ384-'check-Jul''26'!BM384)</f>
        <v/>
      </c>
      <c r="BN366" s="25" t="str">
        <f>IF('1. Live'!BR384='check-Jul''26'!BN384,"",'1. Live'!BR384-'check-Jul''26'!BN384)</f>
        <v/>
      </c>
      <c r="BO366" s="25" t="str">
        <f>IF('1. Live'!BS384='check-Jul''26'!BO384,"",'1. Live'!BS384-'check-Jul''26'!BO384)</f>
        <v/>
      </c>
      <c r="BP366" s="25" t="str">
        <f>IF('1. Live'!BT384='check-Jul''26'!BP384,"",'1. Live'!BT384-'check-Jul''26'!BP384)</f>
        <v/>
      </c>
      <c r="BQ366" s="25" t="str">
        <f>IF('1. Live'!BU384='check-Jul''26'!BQ384,"",'1. Live'!BU384-'check-Jul''26'!BQ384)</f>
        <v/>
      </c>
      <c r="BR366" s="25" t="str">
        <f>IF('1. Live'!BV384='check-Jul''26'!BR384,"",'1. Live'!BV384-'check-Jul''26'!BR384)</f>
        <v/>
      </c>
      <c r="BS366" s="25" t="str">
        <f>IF('1. Live'!BW384='check-Jul''26'!BS384,"",'1. Live'!BW384-'check-Jul''26'!BS384)</f>
        <v/>
      </c>
      <c r="BT366" s="25" t="str">
        <f>IF('1. Live'!BX384='check-Jul''26'!BT384,"",'1. Live'!BX384-'check-Jul''26'!BT384)</f>
        <v/>
      </c>
      <c r="BU366" s="25" t="str">
        <f>IF('1. Live'!BY384='check-Jul''26'!BU384,"",'1. Live'!BY384-'check-Jul''26'!BU384)</f>
        <v/>
      </c>
      <c r="BV366" s="25" t="str">
        <f>IF('1. Live'!BZ384='check-Jul''26'!BV384,"",'1. Live'!BZ384-'check-Jul''26'!BV384)</f>
        <v/>
      </c>
      <c r="BW366" s="25" t="str">
        <f>IF('1. Live'!CA384='check-Jul''26'!BW384,"",'1. Live'!CA384-'check-Jul''26'!BW384)</f>
        <v/>
      </c>
      <c r="BX366" s="25" t="str">
        <f>IF('1. Live'!CB384='check-Jul''26'!BX384,"",'1. Live'!CB384-'check-Jul''26'!BX384)</f>
        <v/>
      </c>
      <c r="BY366" s="25" t="str">
        <f>IF('1. Live'!CC384='check-Jul''26'!BY384,"",'1. Live'!CC384-'check-Jul''26'!BY384)</f>
        <v/>
      </c>
      <c r="BZ366" s="25" t="str">
        <f>IF('1. Live'!CD384='check-Jul''26'!BZ384,"",'1. Live'!CD384-'check-Jul''26'!BZ384)</f>
        <v/>
      </c>
      <c r="CA366" s="25" t="str">
        <f>IF('1. Live'!CE384='check-Jul''26'!CA384,"",'1. Live'!CE384-'check-Jul''26'!CA384)</f>
        <v/>
      </c>
      <c r="CB366" s="25" t="str">
        <f>IF('1. Live'!CF384='check-Jul''26'!CB384,"",'1. Live'!CF384-'check-Jul''26'!CB384)</f>
        <v/>
      </c>
      <c r="CC366" s="25" t="str">
        <f>IF('1. Live'!CG384='check-Jul''26'!CC384,"",'1. Live'!CG384-'check-Jul''26'!CC384)</f>
        <v/>
      </c>
      <c r="CD366" s="25" t="str">
        <f>IF('1. Live'!CH384='check-Jul''26'!CD384,"",'1. Live'!CH384-'check-Jul''26'!CD384)</f>
        <v/>
      </c>
      <c r="CE366" s="25" t="str">
        <f>IF('1. Live'!CI384='check-Jul''26'!CE384,"",'1. Live'!CI384-'check-Jul''26'!CE384)</f>
        <v/>
      </c>
      <c r="CF366" s="25" t="str">
        <f>IF('1. Live'!CJ384='check-Jul''26'!CF384,"",'1. Live'!CJ384-'check-Jul''26'!CF384)</f>
        <v/>
      </c>
      <c r="CG366" s="25" t="str">
        <f>IF('1. Live'!CK384='check-Jul''26'!CG384,"",'1. Live'!CK384-'check-Jul''26'!CG384)</f>
        <v/>
      </c>
      <c r="CH366" s="25" t="str">
        <f>IF('1. Live'!CL384='check-Jul''26'!CH384,"",'1. Live'!CL384-'check-Jul''26'!CH384)</f>
        <v/>
      </c>
      <c r="CI366" s="25" t="str">
        <f>IF('1. Live'!CM384='check-Jul''26'!CI384,"",'1. Live'!CM384-'check-Jul''26'!CI384)</f>
        <v/>
      </c>
      <c r="CJ366" s="25" t="str">
        <f>IF('1. Live'!CN384='check-Jul''26'!CJ384,"",'1. Live'!CN384-'check-Jul''26'!CJ384)</f>
        <v/>
      </c>
      <c r="CK366" s="25" t="str">
        <f>IF('1. Live'!CO384='check-Jul''26'!CK384,"",'1. Live'!CO384-'check-Jul''26'!CK384)</f>
        <v/>
      </c>
      <c r="CL366" s="25" t="str">
        <f>IF('1. Live'!CP384='check-Jul''26'!CL384,"",'1. Live'!CP384-'check-Jul''26'!CL384)</f>
        <v/>
      </c>
      <c r="CM366" s="25" t="str">
        <f>IF('1. Live'!CQ384='check-Jul''26'!CM384,"",'1. Live'!CQ384-'check-Jul''26'!CM384)</f>
        <v/>
      </c>
      <c r="CN366" s="25" t="str">
        <f>IF('1. Live'!CR384='check-Jul''26'!CN384,"",'1. Live'!CR384-'check-Jul''26'!CN384)</f>
        <v/>
      </c>
      <c r="CO366" s="25" t="str">
        <f>IF('1. Live'!CS384='check-Jul''26'!CO384,"",'1. Live'!CS384-'check-Jul''26'!CO384)</f>
        <v/>
      </c>
      <c r="CP366" s="25" t="str">
        <f>IF('1. Live'!CT384='check-Jul''26'!CP384,"",'1. Live'!CT384-'check-Jul''26'!CP384)</f>
        <v/>
      </c>
      <c r="CQ366" s="25" t="str">
        <f>IF('1. Live'!CU384='check-Jul''26'!CQ384,"",'1. Live'!CU384-'check-Jul''26'!CQ384)</f>
        <v/>
      </c>
      <c r="CR366" s="25" t="str">
        <f>IF('1. Live'!CV384='check-Jul''26'!CR384,"",'1. Live'!CV384-'check-Jul''26'!CR384)</f>
        <v/>
      </c>
      <c r="CS366" s="25" t="str">
        <f>IF('1. Live'!CW384='check-Jul''26'!CS384,"",'1. Live'!CW384-'check-Jul''26'!CS384)</f>
        <v/>
      </c>
      <c r="CT366" s="25" t="str">
        <f>IF('1. Live'!CX384='check-Jul''26'!CT384,"",'1. Live'!CX384-'check-Jul''26'!CT384)</f>
        <v/>
      </c>
      <c r="CU366" s="25" t="str">
        <f>IF('1. Live'!CY384='check-Jul''26'!CU384,"",'1. Live'!CY384-'check-Jul''26'!CU384)</f>
        <v/>
      </c>
      <c r="CV366" s="25" t="str">
        <f>IF('1. Live'!CZ384='check-Jul''26'!CV384,"",'1. Live'!CZ384-'check-Jul''26'!CV384)</f>
        <v/>
      </c>
    </row>
    <row r="367" spans="17:100" x14ac:dyDescent="0.25">
      <c r="Q367" s="26" t="str">
        <f>IF('1. Live'!N385='check-Jul''26'!I385,"",'1. Live'!N385-'check-Jul''26'!I385)</f>
        <v/>
      </c>
      <c r="R367" s="26" t="str">
        <f>IF('1. Live'!O385='check-Jul''26'!J385,"",'1. Live'!O385-'check-Jul''26'!J385)</f>
        <v/>
      </c>
      <c r="S367" s="26" t="str">
        <f>IF('1. Live'!P385='check-Jul''26'!K385,"",'1. Live'!P385-'check-Jul''26'!K385)</f>
        <v/>
      </c>
      <c r="T367" s="26" t="str">
        <f>IF('1. Live'!Q385='check-Jul''26'!L385,"",'1. Live'!Q385-'check-Jul''26'!L385)</f>
        <v/>
      </c>
      <c r="U367" s="80" t="str">
        <f>IF('1. Live'!R385='check-Jul''26'!M385,"",'1. Live'!R385-'check-Jul''26'!M385)</f>
        <v/>
      </c>
      <c r="V367" s="26" t="str">
        <f>IF('1. Live'!S385='check-Jul''26'!N385,"",'1. Live'!S385-'check-Jul''26'!N385)</f>
        <v/>
      </c>
      <c r="W367" s="25" t="str">
        <f>IF('1. Live'!T385='check-Jul''26'!O385,"",'1. Live'!T385-'check-Jul''26'!O385)</f>
        <v/>
      </c>
      <c r="X367" s="25" t="str">
        <f>IF('1. Live'!U385='check-Jul''26'!Q385,"",'1. Live'!U385-'check-Jul''26'!Q385)</f>
        <v/>
      </c>
      <c r="Y367" s="25" t="str">
        <f>IF('1. Live'!V385='check-Jul''26'!R385,"",'1. Live'!V385-'check-Jul''26'!R385)</f>
        <v/>
      </c>
      <c r="Z367" s="25" t="str">
        <f>IF('1. Live'!W385='check-Jul''26'!S385,"",'1. Live'!W385-'check-Jul''26'!S385)</f>
        <v/>
      </c>
      <c r="AA367" s="25" t="str">
        <f>IF('1. Live'!X385='check-Jul''26'!T385,"",'1. Live'!X385-'check-Jul''26'!T385)</f>
        <v/>
      </c>
      <c r="AB367" s="25" t="str">
        <f>IF('1. Live'!AF385='check-Jul''26'!AB385,"",'1. Live'!AF385-'check-Jul''26'!AB385)</f>
        <v/>
      </c>
      <c r="AC367" s="25" t="str">
        <f>IF('1. Live'!AG385='check-Jul''26'!AC385,"",'1. Live'!AG385-'check-Jul''26'!AC385)</f>
        <v/>
      </c>
      <c r="AD367" s="25" t="str">
        <f>IF('1. Live'!AH385='check-Jul''26'!AD385,"",'1. Live'!AH385-'check-Jul''26'!AD385)</f>
        <v/>
      </c>
      <c r="AE367" s="25" t="str">
        <f>IF('1. Live'!AI385='check-Jul''26'!AE385,"",'1. Live'!AI385-'check-Jul''26'!AE385)</f>
        <v/>
      </c>
      <c r="AF367" s="25" t="str">
        <f>IF('1. Live'!AJ385='check-Jul''26'!AF385,"",'1. Live'!AJ385-'check-Jul''26'!AF385)</f>
        <v/>
      </c>
      <c r="AG367" s="25" t="str">
        <f>IF('1. Live'!AK385='check-Jul''26'!AG385,"",'1. Live'!AK385-'check-Jul''26'!AG385)</f>
        <v/>
      </c>
      <c r="AH367" s="25" t="str">
        <f>IF('1. Live'!AL385='check-Jul''26'!AH385,"",'1. Live'!AL385-'check-Jul''26'!AH385)</f>
        <v/>
      </c>
      <c r="AI367" s="25" t="str">
        <f>IF('1. Live'!AM385='check-Jul''26'!AI385,"",'1. Live'!AM385-'check-Jul''26'!AI385)</f>
        <v/>
      </c>
      <c r="AJ367" s="25" t="str">
        <f>IF('1. Live'!AN385='check-Jul''26'!AJ385,"",'1. Live'!AN385-'check-Jul''26'!AJ385)</f>
        <v/>
      </c>
      <c r="AK367" s="25" t="str">
        <f>IF('1. Live'!AO385='check-Jul''26'!AK385,"",'1. Live'!AO385-'check-Jul''26'!AK385)</f>
        <v/>
      </c>
      <c r="AL367" s="25" t="str">
        <f>IF('1. Live'!AP385='check-Jul''26'!AL385,"",'1. Live'!AP385-'check-Jul''26'!AL385)</f>
        <v/>
      </c>
      <c r="AM367" s="25" t="str">
        <f>IF('1. Live'!AQ385='check-Jul''26'!AM385,"",'1. Live'!AQ385-'check-Jul''26'!AM385)</f>
        <v/>
      </c>
      <c r="AN367" s="25" t="str">
        <f>IF('1. Live'!AR385='check-Jul''26'!AN385,"",'1. Live'!AR385-'check-Jul''26'!AN385)</f>
        <v/>
      </c>
      <c r="AO367" s="25" t="str">
        <f>IF('1. Live'!AS385='check-Jul''26'!AO385,"",'1. Live'!AS385-'check-Jul''26'!AO385)</f>
        <v/>
      </c>
      <c r="AP367" s="25" t="str">
        <f>IF('1. Live'!AT385='check-Jul''26'!AP385,"",'1. Live'!AT385-'check-Jul''26'!AP385)</f>
        <v/>
      </c>
      <c r="AQ367" s="25" t="str">
        <f>IF('1. Live'!AU385='check-Jul''26'!AQ385,"",'1. Live'!AU385-'check-Jul''26'!AQ385)</f>
        <v/>
      </c>
      <c r="AR367" s="25" t="str">
        <f>IF('1. Live'!AV385='check-Jul''26'!AR385,"",'1. Live'!AV385-'check-Jul''26'!AR385)</f>
        <v/>
      </c>
      <c r="AS367" s="25" t="str">
        <f>IF('1. Live'!AW385='check-Jul''26'!AS385,"",'1. Live'!AW385-'check-Jul''26'!AS385)</f>
        <v/>
      </c>
      <c r="AT367" s="25" t="str">
        <f>IF('1. Live'!AX385='check-Jul''26'!AT385,"",'1. Live'!AX385-'check-Jul''26'!AT385)</f>
        <v/>
      </c>
      <c r="AU367" s="25" t="str">
        <f>IF('1. Live'!AY385='check-Jul''26'!AU385,"",'1. Live'!AY385-'check-Jul''26'!AU385)</f>
        <v/>
      </c>
      <c r="AV367" s="25" t="str">
        <f>IF('1. Live'!AZ385='check-Jul''26'!AV385,"",'1. Live'!AZ385-'check-Jul''26'!AV385)</f>
        <v/>
      </c>
      <c r="AW367" s="25" t="str">
        <f>IF('1. Live'!BA385='check-Jul''26'!AW385,"",'1. Live'!BA385-'check-Jul''26'!AW385)</f>
        <v/>
      </c>
      <c r="AX367" s="25" t="str">
        <f>IF('1. Live'!BB385='check-Jul''26'!AX385,"",'1. Live'!BB385-'check-Jul''26'!AX385)</f>
        <v/>
      </c>
      <c r="AY367" s="25" t="str">
        <f>IF('1. Live'!BC385='check-Jul''26'!AY385,"",'1. Live'!BC385-'check-Jul''26'!AY385)</f>
        <v/>
      </c>
      <c r="AZ367" s="25" t="str">
        <f>IF('1. Live'!BD385='check-Jul''26'!AZ385,"",'1. Live'!BD385-'check-Jul''26'!AZ385)</f>
        <v/>
      </c>
      <c r="BA367" s="25" t="str">
        <f>IF('1. Live'!BE385='check-Jul''26'!BA385,"",'1. Live'!BE385-'check-Jul''26'!BA385)</f>
        <v/>
      </c>
      <c r="BB367" s="25" t="str">
        <f>IF('1. Live'!BF385='check-Jul''26'!BB385,"",'1. Live'!BF385-'check-Jul''26'!BB385)</f>
        <v/>
      </c>
      <c r="BC367" s="25" t="str">
        <f>IF('1. Live'!BG385='check-Jul''26'!BC385,"",'1. Live'!BG385-'check-Jul''26'!BC385)</f>
        <v/>
      </c>
      <c r="BD367" s="25" t="str">
        <f>IF('1. Live'!BH385='check-Jul''26'!BD385,"",'1. Live'!BH385-'check-Jul''26'!BD385)</f>
        <v/>
      </c>
      <c r="BE367" s="25" t="str">
        <f>IF('1. Live'!BI385='check-Jul''26'!BE385,"",'1. Live'!BI385-'check-Jul''26'!BE385)</f>
        <v/>
      </c>
      <c r="BF367" s="25" t="str">
        <f>IF('1. Live'!BJ385='check-Jul''26'!BF385,"",'1. Live'!BJ385-'check-Jul''26'!BF385)</f>
        <v/>
      </c>
      <c r="BG367" s="25" t="str">
        <f>IF('1. Live'!BK385='check-Jul''26'!BG385,"",'1. Live'!BK385-'check-Jul''26'!BG385)</f>
        <v/>
      </c>
      <c r="BH367" s="25" t="str">
        <f>IF('1. Live'!BL385='check-Jul''26'!BH385,"",'1. Live'!BL385-'check-Jul''26'!BH385)</f>
        <v/>
      </c>
      <c r="BI367" s="25" t="str">
        <f>IF('1. Live'!BM385='check-Jul''26'!BI385,"",'1. Live'!BM385-'check-Jul''26'!BI385)</f>
        <v/>
      </c>
      <c r="BJ367" s="25" t="str">
        <f>IF('1. Live'!BN385='check-Jul''26'!BJ385,"",'1. Live'!BN385-'check-Jul''26'!BJ385)</f>
        <v/>
      </c>
      <c r="BK367" s="25" t="str">
        <f>IF('1. Live'!BO385='check-Jul''26'!BK385,"",'1. Live'!BO385-'check-Jul''26'!BK385)</f>
        <v/>
      </c>
      <c r="BL367" s="25" t="str">
        <f>IF('1. Live'!BP385='check-Jul''26'!BL385,"",'1. Live'!BP385-'check-Jul''26'!BL385)</f>
        <v/>
      </c>
      <c r="BM367" s="25" t="str">
        <f>IF('1. Live'!BQ385='check-Jul''26'!BM385,"",'1. Live'!BQ385-'check-Jul''26'!BM385)</f>
        <v/>
      </c>
      <c r="BN367" s="25" t="str">
        <f>IF('1. Live'!BR385='check-Jul''26'!BN385,"",'1. Live'!BR385-'check-Jul''26'!BN385)</f>
        <v/>
      </c>
      <c r="BO367" s="25" t="str">
        <f>IF('1. Live'!BS385='check-Jul''26'!BO385,"",'1. Live'!BS385-'check-Jul''26'!BO385)</f>
        <v/>
      </c>
      <c r="BP367" s="25" t="str">
        <f>IF('1. Live'!BT385='check-Jul''26'!BP385,"",'1. Live'!BT385-'check-Jul''26'!BP385)</f>
        <v/>
      </c>
      <c r="BQ367" s="25" t="str">
        <f>IF('1. Live'!BU385='check-Jul''26'!BQ385,"",'1. Live'!BU385-'check-Jul''26'!BQ385)</f>
        <v/>
      </c>
      <c r="BR367" s="25" t="str">
        <f>IF('1. Live'!BV385='check-Jul''26'!BR385,"",'1. Live'!BV385-'check-Jul''26'!BR385)</f>
        <v/>
      </c>
      <c r="BS367" s="25" t="str">
        <f>IF('1. Live'!BW385='check-Jul''26'!BS385,"",'1. Live'!BW385-'check-Jul''26'!BS385)</f>
        <v/>
      </c>
      <c r="BT367" s="25" t="str">
        <f>IF('1. Live'!BX385='check-Jul''26'!BT385,"",'1. Live'!BX385-'check-Jul''26'!BT385)</f>
        <v/>
      </c>
      <c r="BU367" s="25" t="str">
        <f>IF('1. Live'!BY385='check-Jul''26'!BU385,"",'1. Live'!BY385-'check-Jul''26'!BU385)</f>
        <v/>
      </c>
      <c r="BV367" s="25" t="str">
        <f>IF('1. Live'!BZ385='check-Jul''26'!BV385,"",'1. Live'!BZ385-'check-Jul''26'!BV385)</f>
        <v/>
      </c>
      <c r="BW367" s="25" t="str">
        <f>IF('1. Live'!CA385='check-Jul''26'!BW385,"",'1. Live'!CA385-'check-Jul''26'!BW385)</f>
        <v/>
      </c>
      <c r="BX367" s="25" t="str">
        <f>IF('1. Live'!CB385='check-Jul''26'!BX385,"",'1. Live'!CB385-'check-Jul''26'!BX385)</f>
        <v/>
      </c>
      <c r="BY367" s="25" t="str">
        <f>IF('1. Live'!CC385='check-Jul''26'!BY385,"",'1. Live'!CC385-'check-Jul''26'!BY385)</f>
        <v/>
      </c>
      <c r="BZ367" s="25" t="str">
        <f>IF('1. Live'!CD385='check-Jul''26'!BZ385,"",'1. Live'!CD385-'check-Jul''26'!BZ385)</f>
        <v/>
      </c>
      <c r="CA367" s="25" t="str">
        <f>IF('1. Live'!CE385='check-Jul''26'!CA385,"",'1. Live'!CE385-'check-Jul''26'!CA385)</f>
        <v/>
      </c>
      <c r="CB367" s="25" t="str">
        <f>IF('1. Live'!CF385='check-Jul''26'!CB385,"",'1. Live'!CF385-'check-Jul''26'!CB385)</f>
        <v/>
      </c>
      <c r="CC367" s="25" t="str">
        <f>IF('1. Live'!CG385='check-Jul''26'!CC385,"",'1. Live'!CG385-'check-Jul''26'!CC385)</f>
        <v/>
      </c>
      <c r="CD367" s="25" t="str">
        <f>IF('1. Live'!CH385='check-Jul''26'!CD385,"",'1. Live'!CH385-'check-Jul''26'!CD385)</f>
        <v/>
      </c>
      <c r="CE367" s="25" t="str">
        <f>IF('1. Live'!CI385='check-Jul''26'!CE385,"",'1. Live'!CI385-'check-Jul''26'!CE385)</f>
        <v/>
      </c>
      <c r="CF367" s="25" t="str">
        <f>IF('1. Live'!CJ385='check-Jul''26'!CF385,"",'1. Live'!CJ385-'check-Jul''26'!CF385)</f>
        <v/>
      </c>
      <c r="CG367" s="25" t="str">
        <f>IF('1. Live'!CK385='check-Jul''26'!CG385,"",'1. Live'!CK385-'check-Jul''26'!CG385)</f>
        <v/>
      </c>
      <c r="CH367" s="25" t="str">
        <f>IF('1. Live'!CL385='check-Jul''26'!CH385,"",'1. Live'!CL385-'check-Jul''26'!CH385)</f>
        <v/>
      </c>
      <c r="CI367" s="25" t="str">
        <f>IF('1. Live'!CM385='check-Jul''26'!CI385,"",'1. Live'!CM385-'check-Jul''26'!CI385)</f>
        <v/>
      </c>
      <c r="CJ367" s="25" t="str">
        <f>IF('1. Live'!CN385='check-Jul''26'!CJ385,"",'1. Live'!CN385-'check-Jul''26'!CJ385)</f>
        <v/>
      </c>
      <c r="CK367" s="25" t="str">
        <f>IF('1. Live'!CO385='check-Jul''26'!CK385,"",'1. Live'!CO385-'check-Jul''26'!CK385)</f>
        <v/>
      </c>
      <c r="CL367" s="25" t="str">
        <f>IF('1. Live'!CP385='check-Jul''26'!CL385,"",'1. Live'!CP385-'check-Jul''26'!CL385)</f>
        <v/>
      </c>
      <c r="CM367" s="25" t="str">
        <f>IF('1. Live'!CQ385='check-Jul''26'!CM385,"",'1. Live'!CQ385-'check-Jul''26'!CM385)</f>
        <v/>
      </c>
      <c r="CN367" s="25" t="str">
        <f>IF('1. Live'!CR385='check-Jul''26'!CN385,"",'1. Live'!CR385-'check-Jul''26'!CN385)</f>
        <v/>
      </c>
      <c r="CO367" s="25" t="str">
        <f>IF('1. Live'!CS385='check-Jul''26'!CO385,"",'1. Live'!CS385-'check-Jul''26'!CO385)</f>
        <v/>
      </c>
      <c r="CP367" s="25" t="str">
        <f>IF('1. Live'!CT385='check-Jul''26'!CP385,"",'1. Live'!CT385-'check-Jul''26'!CP385)</f>
        <v/>
      </c>
      <c r="CQ367" s="25" t="str">
        <f>IF('1. Live'!CU385='check-Jul''26'!CQ385,"",'1. Live'!CU385-'check-Jul''26'!CQ385)</f>
        <v/>
      </c>
      <c r="CR367" s="25" t="str">
        <f>IF('1. Live'!CV385='check-Jul''26'!CR385,"",'1. Live'!CV385-'check-Jul''26'!CR385)</f>
        <v/>
      </c>
      <c r="CS367" s="25" t="str">
        <f>IF('1. Live'!CW385='check-Jul''26'!CS385,"",'1. Live'!CW385-'check-Jul''26'!CS385)</f>
        <v/>
      </c>
      <c r="CT367" s="25" t="str">
        <f>IF('1. Live'!CX385='check-Jul''26'!CT385,"",'1. Live'!CX385-'check-Jul''26'!CT385)</f>
        <v/>
      </c>
      <c r="CU367" s="25" t="str">
        <f>IF('1. Live'!CY385='check-Jul''26'!CU385,"",'1. Live'!CY385-'check-Jul''26'!CU385)</f>
        <v/>
      </c>
      <c r="CV367" s="25" t="str">
        <f>IF('1. Live'!CZ385='check-Jul''26'!CV385,"",'1. Live'!CZ385-'check-Jul''26'!CV385)</f>
        <v/>
      </c>
    </row>
    <row r="368" spans="17:100" x14ac:dyDescent="0.25">
      <c r="Q368" s="26" t="str">
        <f>IF('1. Live'!N386='check-Jul''26'!I386,"",'1. Live'!N386-'check-Jul''26'!I386)</f>
        <v/>
      </c>
      <c r="R368" s="26" t="str">
        <f>IF('1. Live'!O386='check-Jul''26'!J386,"",'1. Live'!O386-'check-Jul''26'!J386)</f>
        <v/>
      </c>
      <c r="S368" s="26" t="str">
        <f>IF('1. Live'!P386='check-Jul''26'!K386,"",'1. Live'!P386-'check-Jul''26'!K386)</f>
        <v/>
      </c>
      <c r="T368" s="26" t="str">
        <f>IF('1. Live'!Q386='check-Jul''26'!L386,"",'1. Live'!Q386-'check-Jul''26'!L386)</f>
        <v/>
      </c>
      <c r="U368" s="80" t="str">
        <f>IF('1. Live'!R386='check-Jul''26'!M386,"",'1. Live'!R386-'check-Jul''26'!M386)</f>
        <v/>
      </c>
      <c r="V368" s="26" t="str">
        <f>IF('1. Live'!S386='check-Jul''26'!N386,"",'1. Live'!S386-'check-Jul''26'!N386)</f>
        <v/>
      </c>
      <c r="W368" s="25" t="str">
        <f>IF('1. Live'!T386='check-Jul''26'!O386,"",'1. Live'!T386-'check-Jul''26'!O386)</f>
        <v/>
      </c>
      <c r="X368" s="25" t="str">
        <f>IF('1. Live'!U386='check-Jul''26'!Q386,"",'1. Live'!U386-'check-Jul''26'!Q386)</f>
        <v/>
      </c>
      <c r="Y368" s="25" t="str">
        <f>IF('1. Live'!V386='check-Jul''26'!R386,"",'1. Live'!V386-'check-Jul''26'!R386)</f>
        <v/>
      </c>
      <c r="Z368" s="25" t="str">
        <f>IF('1. Live'!W386='check-Jul''26'!S386,"",'1. Live'!W386-'check-Jul''26'!S386)</f>
        <v/>
      </c>
      <c r="AA368" s="25" t="str">
        <f>IF('1. Live'!X386='check-Jul''26'!T386,"",'1. Live'!X386-'check-Jul''26'!T386)</f>
        <v/>
      </c>
      <c r="AB368" s="25" t="str">
        <f>IF('1. Live'!AF386='check-Jul''26'!AB386,"",'1. Live'!AF386-'check-Jul''26'!AB386)</f>
        <v/>
      </c>
      <c r="AC368" s="25" t="str">
        <f>IF('1. Live'!AG386='check-Jul''26'!AC386,"",'1. Live'!AG386-'check-Jul''26'!AC386)</f>
        <v/>
      </c>
      <c r="AD368" s="25" t="str">
        <f>IF('1. Live'!AH386='check-Jul''26'!AD386,"",'1. Live'!AH386-'check-Jul''26'!AD386)</f>
        <v/>
      </c>
      <c r="AE368" s="25" t="str">
        <f>IF('1. Live'!AI386='check-Jul''26'!AE386,"",'1. Live'!AI386-'check-Jul''26'!AE386)</f>
        <v/>
      </c>
      <c r="AF368" s="25" t="str">
        <f>IF('1. Live'!AJ386='check-Jul''26'!AF386,"",'1. Live'!AJ386-'check-Jul''26'!AF386)</f>
        <v/>
      </c>
      <c r="AG368" s="25" t="str">
        <f>IF('1. Live'!AK386='check-Jul''26'!AG386,"",'1. Live'!AK386-'check-Jul''26'!AG386)</f>
        <v/>
      </c>
      <c r="AH368" s="25" t="str">
        <f>IF('1. Live'!AL386='check-Jul''26'!AH386,"",'1. Live'!AL386-'check-Jul''26'!AH386)</f>
        <v/>
      </c>
      <c r="AI368" s="25" t="str">
        <f>IF('1. Live'!AM386='check-Jul''26'!AI386,"",'1. Live'!AM386-'check-Jul''26'!AI386)</f>
        <v/>
      </c>
      <c r="AJ368" s="25" t="str">
        <f>IF('1. Live'!AN386='check-Jul''26'!AJ386,"",'1. Live'!AN386-'check-Jul''26'!AJ386)</f>
        <v/>
      </c>
      <c r="AK368" s="25" t="str">
        <f>IF('1. Live'!AO386='check-Jul''26'!AK386,"",'1. Live'!AO386-'check-Jul''26'!AK386)</f>
        <v/>
      </c>
      <c r="AL368" s="25" t="str">
        <f>IF('1. Live'!AP386='check-Jul''26'!AL386,"",'1. Live'!AP386-'check-Jul''26'!AL386)</f>
        <v/>
      </c>
      <c r="AM368" s="25" t="str">
        <f>IF('1. Live'!AQ386='check-Jul''26'!AM386,"",'1. Live'!AQ386-'check-Jul''26'!AM386)</f>
        <v/>
      </c>
      <c r="AN368" s="25" t="str">
        <f>IF('1. Live'!AR386='check-Jul''26'!AN386,"",'1. Live'!AR386-'check-Jul''26'!AN386)</f>
        <v/>
      </c>
      <c r="AO368" s="25" t="str">
        <f>IF('1. Live'!AS386='check-Jul''26'!AO386,"",'1. Live'!AS386-'check-Jul''26'!AO386)</f>
        <v/>
      </c>
      <c r="AP368" s="25" t="str">
        <f>IF('1. Live'!AT386='check-Jul''26'!AP386,"",'1. Live'!AT386-'check-Jul''26'!AP386)</f>
        <v/>
      </c>
      <c r="AQ368" s="25" t="str">
        <f>IF('1. Live'!AU386='check-Jul''26'!AQ386,"",'1. Live'!AU386-'check-Jul''26'!AQ386)</f>
        <v/>
      </c>
      <c r="AR368" s="25" t="str">
        <f>IF('1. Live'!AV386='check-Jul''26'!AR386,"",'1. Live'!AV386-'check-Jul''26'!AR386)</f>
        <v/>
      </c>
      <c r="AS368" s="25" t="str">
        <f>IF('1. Live'!AW386='check-Jul''26'!AS386,"",'1. Live'!AW386-'check-Jul''26'!AS386)</f>
        <v/>
      </c>
      <c r="AT368" s="25" t="str">
        <f>IF('1. Live'!AX386='check-Jul''26'!AT386,"",'1. Live'!AX386-'check-Jul''26'!AT386)</f>
        <v/>
      </c>
      <c r="AU368" s="25" t="str">
        <f>IF('1. Live'!AY386='check-Jul''26'!AU386,"",'1. Live'!AY386-'check-Jul''26'!AU386)</f>
        <v/>
      </c>
      <c r="AV368" s="25" t="str">
        <f>IF('1. Live'!AZ386='check-Jul''26'!AV386,"",'1. Live'!AZ386-'check-Jul''26'!AV386)</f>
        <v/>
      </c>
      <c r="AW368" s="25" t="str">
        <f>IF('1. Live'!BA386='check-Jul''26'!AW386,"",'1. Live'!BA386-'check-Jul''26'!AW386)</f>
        <v/>
      </c>
      <c r="AX368" s="25" t="str">
        <f>IF('1. Live'!BB386='check-Jul''26'!AX386,"",'1. Live'!BB386-'check-Jul''26'!AX386)</f>
        <v/>
      </c>
      <c r="AY368" s="25" t="str">
        <f>IF('1. Live'!BC386='check-Jul''26'!AY386,"",'1. Live'!BC386-'check-Jul''26'!AY386)</f>
        <v/>
      </c>
      <c r="AZ368" s="25" t="str">
        <f>IF('1. Live'!BD386='check-Jul''26'!AZ386,"",'1. Live'!BD386-'check-Jul''26'!AZ386)</f>
        <v/>
      </c>
      <c r="BA368" s="25" t="str">
        <f>IF('1. Live'!BE386='check-Jul''26'!BA386,"",'1. Live'!BE386-'check-Jul''26'!BA386)</f>
        <v/>
      </c>
      <c r="BB368" s="25" t="str">
        <f>IF('1. Live'!BF386='check-Jul''26'!BB386,"",'1. Live'!BF386-'check-Jul''26'!BB386)</f>
        <v/>
      </c>
      <c r="BC368" s="25" t="str">
        <f>IF('1. Live'!BG386='check-Jul''26'!BC386,"",'1. Live'!BG386-'check-Jul''26'!BC386)</f>
        <v/>
      </c>
      <c r="BD368" s="25" t="str">
        <f>IF('1. Live'!BH386='check-Jul''26'!BD386,"",'1. Live'!BH386-'check-Jul''26'!BD386)</f>
        <v/>
      </c>
      <c r="BE368" s="25" t="str">
        <f>IF('1. Live'!BI386='check-Jul''26'!BE386,"",'1. Live'!BI386-'check-Jul''26'!BE386)</f>
        <v/>
      </c>
      <c r="BF368" s="25" t="str">
        <f>IF('1. Live'!BJ386='check-Jul''26'!BF386,"",'1. Live'!BJ386-'check-Jul''26'!BF386)</f>
        <v/>
      </c>
      <c r="BG368" s="25" t="str">
        <f>IF('1. Live'!BK386='check-Jul''26'!BG386,"",'1. Live'!BK386-'check-Jul''26'!BG386)</f>
        <v/>
      </c>
      <c r="BH368" s="25" t="str">
        <f>IF('1. Live'!BL386='check-Jul''26'!BH386,"",'1. Live'!BL386-'check-Jul''26'!BH386)</f>
        <v/>
      </c>
      <c r="BI368" s="25" t="str">
        <f>IF('1. Live'!BM386='check-Jul''26'!BI386,"",'1. Live'!BM386-'check-Jul''26'!BI386)</f>
        <v/>
      </c>
      <c r="BJ368" s="25" t="str">
        <f>IF('1. Live'!BN386='check-Jul''26'!BJ386,"",'1. Live'!BN386-'check-Jul''26'!BJ386)</f>
        <v/>
      </c>
      <c r="BK368" s="25" t="str">
        <f>IF('1. Live'!BO386='check-Jul''26'!BK386,"",'1. Live'!BO386-'check-Jul''26'!BK386)</f>
        <v/>
      </c>
      <c r="BL368" s="25" t="str">
        <f>IF('1. Live'!BP386='check-Jul''26'!BL386,"",'1. Live'!BP386-'check-Jul''26'!BL386)</f>
        <v/>
      </c>
      <c r="BM368" s="25" t="str">
        <f>IF('1. Live'!BQ386='check-Jul''26'!BM386,"",'1. Live'!BQ386-'check-Jul''26'!BM386)</f>
        <v/>
      </c>
      <c r="BN368" s="25" t="str">
        <f>IF('1. Live'!BR386='check-Jul''26'!BN386,"",'1. Live'!BR386-'check-Jul''26'!BN386)</f>
        <v/>
      </c>
      <c r="BO368" s="25" t="str">
        <f>IF('1. Live'!BS386='check-Jul''26'!BO386,"",'1. Live'!BS386-'check-Jul''26'!BO386)</f>
        <v/>
      </c>
      <c r="BP368" s="25" t="str">
        <f>IF('1. Live'!BT386='check-Jul''26'!BP386,"",'1. Live'!BT386-'check-Jul''26'!BP386)</f>
        <v/>
      </c>
      <c r="BQ368" s="25" t="str">
        <f>IF('1. Live'!BU386='check-Jul''26'!BQ386,"",'1. Live'!BU386-'check-Jul''26'!BQ386)</f>
        <v/>
      </c>
      <c r="BR368" s="25" t="str">
        <f>IF('1. Live'!BV386='check-Jul''26'!BR386,"",'1. Live'!BV386-'check-Jul''26'!BR386)</f>
        <v/>
      </c>
      <c r="BS368" s="25" t="str">
        <f>IF('1. Live'!BW386='check-Jul''26'!BS386,"",'1. Live'!BW386-'check-Jul''26'!BS386)</f>
        <v/>
      </c>
      <c r="BT368" s="25" t="str">
        <f>IF('1. Live'!BX386='check-Jul''26'!BT386,"",'1. Live'!BX386-'check-Jul''26'!BT386)</f>
        <v/>
      </c>
      <c r="BU368" s="25" t="str">
        <f>IF('1. Live'!BY386='check-Jul''26'!BU386,"",'1. Live'!BY386-'check-Jul''26'!BU386)</f>
        <v/>
      </c>
      <c r="BV368" s="25" t="str">
        <f>IF('1. Live'!BZ386='check-Jul''26'!BV386,"",'1. Live'!BZ386-'check-Jul''26'!BV386)</f>
        <v/>
      </c>
      <c r="BW368" s="25" t="str">
        <f>IF('1. Live'!CA386='check-Jul''26'!BW386,"",'1. Live'!CA386-'check-Jul''26'!BW386)</f>
        <v/>
      </c>
      <c r="BX368" s="25" t="str">
        <f>IF('1. Live'!CB386='check-Jul''26'!BX386,"",'1. Live'!CB386-'check-Jul''26'!BX386)</f>
        <v/>
      </c>
      <c r="BY368" s="25" t="str">
        <f>IF('1. Live'!CC386='check-Jul''26'!BY386,"",'1. Live'!CC386-'check-Jul''26'!BY386)</f>
        <v/>
      </c>
      <c r="BZ368" s="25" t="str">
        <f>IF('1. Live'!CD386='check-Jul''26'!BZ386,"",'1. Live'!CD386-'check-Jul''26'!BZ386)</f>
        <v/>
      </c>
      <c r="CA368" s="25" t="str">
        <f>IF('1. Live'!CE386='check-Jul''26'!CA386,"",'1. Live'!CE386-'check-Jul''26'!CA386)</f>
        <v/>
      </c>
      <c r="CB368" s="25" t="str">
        <f>IF('1. Live'!CF386='check-Jul''26'!CB386,"",'1. Live'!CF386-'check-Jul''26'!CB386)</f>
        <v/>
      </c>
      <c r="CC368" s="25" t="str">
        <f>IF('1. Live'!CG386='check-Jul''26'!CC386,"",'1. Live'!CG386-'check-Jul''26'!CC386)</f>
        <v/>
      </c>
      <c r="CD368" s="25" t="str">
        <f>IF('1. Live'!CH386='check-Jul''26'!CD386,"",'1. Live'!CH386-'check-Jul''26'!CD386)</f>
        <v/>
      </c>
      <c r="CE368" s="25" t="str">
        <f>IF('1. Live'!CI386='check-Jul''26'!CE386,"",'1. Live'!CI386-'check-Jul''26'!CE386)</f>
        <v/>
      </c>
      <c r="CF368" s="25" t="str">
        <f>IF('1. Live'!CJ386='check-Jul''26'!CF386,"",'1. Live'!CJ386-'check-Jul''26'!CF386)</f>
        <v/>
      </c>
      <c r="CG368" s="25" t="str">
        <f>IF('1. Live'!CK386='check-Jul''26'!CG386,"",'1. Live'!CK386-'check-Jul''26'!CG386)</f>
        <v/>
      </c>
      <c r="CH368" s="25" t="str">
        <f>IF('1. Live'!CL386='check-Jul''26'!CH386,"",'1. Live'!CL386-'check-Jul''26'!CH386)</f>
        <v/>
      </c>
      <c r="CI368" s="25" t="str">
        <f>IF('1. Live'!CM386='check-Jul''26'!CI386,"",'1. Live'!CM386-'check-Jul''26'!CI386)</f>
        <v/>
      </c>
      <c r="CJ368" s="25" t="str">
        <f>IF('1. Live'!CN386='check-Jul''26'!CJ386,"",'1. Live'!CN386-'check-Jul''26'!CJ386)</f>
        <v/>
      </c>
      <c r="CK368" s="25" t="str">
        <f>IF('1. Live'!CO386='check-Jul''26'!CK386,"",'1. Live'!CO386-'check-Jul''26'!CK386)</f>
        <v/>
      </c>
      <c r="CL368" s="25" t="str">
        <f>IF('1. Live'!CP386='check-Jul''26'!CL386,"",'1. Live'!CP386-'check-Jul''26'!CL386)</f>
        <v/>
      </c>
      <c r="CM368" s="25" t="str">
        <f>IF('1. Live'!CQ386='check-Jul''26'!CM386,"",'1. Live'!CQ386-'check-Jul''26'!CM386)</f>
        <v/>
      </c>
      <c r="CN368" s="25" t="str">
        <f>IF('1. Live'!CR386='check-Jul''26'!CN386,"",'1. Live'!CR386-'check-Jul''26'!CN386)</f>
        <v/>
      </c>
      <c r="CO368" s="25" t="str">
        <f>IF('1. Live'!CS386='check-Jul''26'!CO386,"",'1. Live'!CS386-'check-Jul''26'!CO386)</f>
        <v/>
      </c>
      <c r="CP368" s="25" t="str">
        <f>IF('1. Live'!CT386='check-Jul''26'!CP386,"",'1. Live'!CT386-'check-Jul''26'!CP386)</f>
        <v/>
      </c>
      <c r="CQ368" s="25" t="str">
        <f>IF('1. Live'!CU386='check-Jul''26'!CQ386,"",'1. Live'!CU386-'check-Jul''26'!CQ386)</f>
        <v/>
      </c>
      <c r="CR368" s="25" t="str">
        <f>IF('1. Live'!CV386='check-Jul''26'!CR386,"",'1. Live'!CV386-'check-Jul''26'!CR386)</f>
        <v/>
      </c>
      <c r="CS368" s="25" t="str">
        <f>IF('1. Live'!CW386='check-Jul''26'!CS386,"",'1. Live'!CW386-'check-Jul''26'!CS386)</f>
        <v/>
      </c>
      <c r="CT368" s="25" t="str">
        <f>IF('1. Live'!CX386='check-Jul''26'!CT386,"",'1. Live'!CX386-'check-Jul''26'!CT386)</f>
        <v/>
      </c>
      <c r="CU368" s="25" t="str">
        <f>IF('1. Live'!CY386='check-Jul''26'!CU386,"",'1. Live'!CY386-'check-Jul''26'!CU386)</f>
        <v/>
      </c>
      <c r="CV368" s="25" t="str">
        <f>IF('1. Live'!CZ386='check-Jul''26'!CV386,"",'1. Live'!CZ386-'check-Jul''26'!CV386)</f>
        <v/>
      </c>
    </row>
    <row r="369" spans="17:100" x14ac:dyDescent="0.25">
      <c r="Q369" s="26" t="str">
        <f>IF('1. Live'!N387='check-Jul''26'!I387,"",'1. Live'!N387-'check-Jul''26'!I387)</f>
        <v/>
      </c>
      <c r="R369" s="26" t="str">
        <f>IF('1. Live'!O387='check-Jul''26'!J387,"",'1. Live'!O387-'check-Jul''26'!J387)</f>
        <v/>
      </c>
      <c r="S369" s="26" t="str">
        <f>IF('1. Live'!P387='check-Jul''26'!K387,"",'1. Live'!P387-'check-Jul''26'!K387)</f>
        <v/>
      </c>
      <c r="T369" s="26" t="str">
        <f>IF('1. Live'!Q387='check-Jul''26'!L387,"",'1. Live'!Q387-'check-Jul''26'!L387)</f>
        <v/>
      </c>
      <c r="U369" s="80" t="str">
        <f>IF('1. Live'!R387='check-Jul''26'!M387,"",'1. Live'!R387-'check-Jul''26'!M387)</f>
        <v/>
      </c>
      <c r="V369" s="26" t="str">
        <f>IF('1. Live'!S387='check-Jul''26'!N387,"",'1. Live'!S387-'check-Jul''26'!N387)</f>
        <v/>
      </c>
      <c r="W369" s="25" t="str">
        <f>IF('1. Live'!T387='check-Jul''26'!O387,"",'1. Live'!T387-'check-Jul''26'!O387)</f>
        <v/>
      </c>
      <c r="X369" s="25" t="str">
        <f>IF('1. Live'!U387='check-Jul''26'!Q387,"",'1. Live'!U387-'check-Jul''26'!Q387)</f>
        <v/>
      </c>
      <c r="Y369" s="25" t="str">
        <f>IF('1. Live'!V387='check-Jul''26'!R387,"",'1. Live'!V387-'check-Jul''26'!R387)</f>
        <v/>
      </c>
      <c r="Z369" s="25" t="str">
        <f>IF('1. Live'!W387='check-Jul''26'!S387,"",'1. Live'!W387-'check-Jul''26'!S387)</f>
        <v/>
      </c>
      <c r="AA369" s="25" t="str">
        <f>IF('1. Live'!X387='check-Jul''26'!T387,"",'1. Live'!X387-'check-Jul''26'!T387)</f>
        <v/>
      </c>
      <c r="AB369" s="25" t="str">
        <f>IF('1. Live'!AF387='check-Jul''26'!AB387,"",'1. Live'!AF387-'check-Jul''26'!AB387)</f>
        <v/>
      </c>
      <c r="AC369" s="25" t="str">
        <f>IF('1. Live'!AG387='check-Jul''26'!AC387,"",'1. Live'!AG387-'check-Jul''26'!AC387)</f>
        <v/>
      </c>
      <c r="AD369" s="25" t="str">
        <f>IF('1. Live'!AH387='check-Jul''26'!AD387,"",'1. Live'!AH387-'check-Jul''26'!AD387)</f>
        <v/>
      </c>
      <c r="AE369" s="25" t="str">
        <f>IF('1. Live'!AI387='check-Jul''26'!AE387,"",'1. Live'!AI387-'check-Jul''26'!AE387)</f>
        <v/>
      </c>
      <c r="AF369" s="25" t="str">
        <f>IF('1. Live'!AJ387='check-Jul''26'!AF387,"",'1. Live'!AJ387-'check-Jul''26'!AF387)</f>
        <v/>
      </c>
      <c r="AG369" s="25" t="str">
        <f>IF('1. Live'!AK387='check-Jul''26'!AG387,"",'1. Live'!AK387-'check-Jul''26'!AG387)</f>
        <v/>
      </c>
      <c r="AH369" s="25" t="str">
        <f>IF('1. Live'!AL387='check-Jul''26'!AH387,"",'1. Live'!AL387-'check-Jul''26'!AH387)</f>
        <v/>
      </c>
      <c r="AI369" s="25" t="str">
        <f>IF('1. Live'!AM387='check-Jul''26'!AI387,"",'1. Live'!AM387-'check-Jul''26'!AI387)</f>
        <v/>
      </c>
      <c r="AJ369" s="25" t="str">
        <f>IF('1. Live'!AN387='check-Jul''26'!AJ387,"",'1. Live'!AN387-'check-Jul''26'!AJ387)</f>
        <v/>
      </c>
      <c r="AK369" s="25" t="str">
        <f>IF('1. Live'!AO387='check-Jul''26'!AK387,"",'1. Live'!AO387-'check-Jul''26'!AK387)</f>
        <v/>
      </c>
      <c r="AL369" s="25" t="str">
        <f>IF('1. Live'!AP387='check-Jul''26'!AL387,"",'1. Live'!AP387-'check-Jul''26'!AL387)</f>
        <v/>
      </c>
      <c r="AM369" s="25" t="str">
        <f>IF('1. Live'!AQ387='check-Jul''26'!AM387,"",'1. Live'!AQ387-'check-Jul''26'!AM387)</f>
        <v/>
      </c>
      <c r="AN369" s="25" t="str">
        <f>IF('1. Live'!AR387='check-Jul''26'!AN387,"",'1. Live'!AR387-'check-Jul''26'!AN387)</f>
        <v/>
      </c>
      <c r="AO369" s="25" t="str">
        <f>IF('1. Live'!AS387='check-Jul''26'!AO387,"",'1. Live'!AS387-'check-Jul''26'!AO387)</f>
        <v/>
      </c>
      <c r="AP369" s="25" t="str">
        <f>IF('1. Live'!AT387='check-Jul''26'!AP387,"",'1. Live'!AT387-'check-Jul''26'!AP387)</f>
        <v/>
      </c>
      <c r="AQ369" s="25" t="str">
        <f>IF('1. Live'!AU387='check-Jul''26'!AQ387,"",'1. Live'!AU387-'check-Jul''26'!AQ387)</f>
        <v/>
      </c>
      <c r="AR369" s="25" t="str">
        <f>IF('1. Live'!AV387='check-Jul''26'!AR387,"",'1. Live'!AV387-'check-Jul''26'!AR387)</f>
        <v/>
      </c>
      <c r="AS369" s="25" t="str">
        <f>IF('1. Live'!AW387='check-Jul''26'!AS387,"",'1. Live'!AW387-'check-Jul''26'!AS387)</f>
        <v/>
      </c>
      <c r="AT369" s="25" t="str">
        <f>IF('1. Live'!AX387='check-Jul''26'!AT387,"",'1. Live'!AX387-'check-Jul''26'!AT387)</f>
        <v/>
      </c>
      <c r="AU369" s="25" t="str">
        <f>IF('1. Live'!AY387='check-Jul''26'!AU387,"",'1. Live'!AY387-'check-Jul''26'!AU387)</f>
        <v/>
      </c>
      <c r="AV369" s="25" t="str">
        <f>IF('1. Live'!AZ387='check-Jul''26'!AV387,"",'1. Live'!AZ387-'check-Jul''26'!AV387)</f>
        <v/>
      </c>
      <c r="AW369" s="25" t="str">
        <f>IF('1. Live'!BA387='check-Jul''26'!AW387,"",'1. Live'!BA387-'check-Jul''26'!AW387)</f>
        <v/>
      </c>
      <c r="AX369" s="25" t="str">
        <f>IF('1. Live'!BB387='check-Jul''26'!AX387,"",'1. Live'!BB387-'check-Jul''26'!AX387)</f>
        <v/>
      </c>
      <c r="AY369" s="25" t="str">
        <f>IF('1. Live'!BC387='check-Jul''26'!AY387,"",'1. Live'!BC387-'check-Jul''26'!AY387)</f>
        <v/>
      </c>
      <c r="AZ369" s="25" t="str">
        <f>IF('1. Live'!BD387='check-Jul''26'!AZ387,"",'1. Live'!BD387-'check-Jul''26'!AZ387)</f>
        <v/>
      </c>
      <c r="BA369" s="25" t="str">
        <f>IF('1. Live'!BE387='check-Jul''26'!BA387,"",'1. Live'!BE387-'check-Jul''26'!BA387)</f>
        <v/>
      </c>
      <c r="BB369" s="25" t="str">
        <f>IF('1. Live'!BF387='check-Jul''26'!BB387,"",'1. Live'!BF387-'check-Jul''26'!BB387)</f>
        <v/>
      </c>
      <c r="BC369" s="25" t="str">
        <f>IF('1. Live'!BG387='check-Jul''26'!BC387,"",'1. Live'!BG387-'check-Jul''26'!BC387)</f>
        <v/>
      </c>
      <c r="BD369" s="25" t="str">
        <f>IF('1. Live'!BH387='check-Jul''26'!BD387,"",'1. Live'!BH387-'check-Jul''26'!BD387)</f>
        <v/>
      </c>
      <c r="BE369" s="25" t="str">
        <f>IF('1. Live'!BI387='check-Jul''26'!BE387,"",'1. Live'!BI387-'check-Jul''26'!BE387)</f>
        <v/>
      </c>
      <c r="BF369" s="25" t="str">
        <f>IF('1. Live'!BJ387='check-Jul''26'!BF387,"",'1. Live'!BJ387-'check-Jul''26'!BF387)</f>
        <v/>
      </c>
      <c r="BG369" s="25" t="str">
        <f>IF('1. Live'!BK387='check-Jul''26'!BG387,"",'1. Live'!BK387-'check-Jul''26'!BG387)</f>
        <v/>
      </c>
      <c r="BH369" s="25" t="str">
        <f>IF('1. Live'!BL387='check-Jul''26'!BH387,"",'1. Live'!BL387-'check-Jul''26'!BH387)</f>
        <v/>
      </c>
      <c r="BI369" s="25" t="str">
        <f>IF('1. Live'!BM387='check-Jul''26'!BI387,"",'1. Live'!BM387-'check-Jul''26'!BI387)</f>
        <v/>
      </c>
      <c r="BJ369" s="25" t="str">
        <f>IF('1. Live'!BN387='check-Jul''26'!BJ387,"",'1. Live'!BN387-'check-Jul''26'!BJ387)</f>
        <v/>
      </c>
      <c r="BK369" s="25" t="str">
        <f>IF('1. Live'!BO387='check-Jul''26'!BK387,"",'1. Live'!BO387-'check-Jul''26'!BK387)</f>
        <v/>
      </c>
      <c r="BL369" s="25" t="str">
        <f>IF('1. Live'!BP387='check-Jul''26'!BL387,"",'1. Live'!BP387-'check-Jul''26'!BL387)</f>
        <v/>
      </c>
      <c r="BM369" s="25" t="str">
        <f>IF('1. Live'!BQ387='check-Jul''26'!BM387,"",'1. Live'!BQ387-'check-Jul''26'!BM387)</f>
        <v/>
      </c>
      <c r="BN369" s="25" t="str">
        <f>IF('1. Live'!BR387='check-Jul''26'!BN387,"",'1. Live'!BR387-'check-Jul''26'!BN387)</f>
        <v/>
      </c>
      <c r="BO369" s="25" t="str">
        <f>IF('1. Live'!BS387='check-Jul''26'!BO387,"",'1. Live'!BS387-'check-Jul''26'!BO387)</f>
        <v/>
      </c>
      <c r="BP369" s="25" t="str">
        <f>IF('1. Live'!BT387='check-Jul''26'!BP387,"",'1. Live'!BT387-'check-Jul''26'!BP387)</f>
        <v/>
      </c>
      <c r="BQ369" s="25" t="str">
        <f>IF('1. Live'!BU387='check-Jul''26'!BQ387,"",'1. Live'!BU387-'check-Jul''26'!BQ387)</f>
        <v/>
      </c>
      <c r="BR369" s="25" t="str">
        <f>IF('1. Live'!BV387='check-Jul''26'!BR387,"",'1. Live'!BV387-'check-Jul''26'!BR387)</f>
        <v/>
      </c>
      <c r="BS369" s="25" t="str">
        <f>IF('1. Live'!BW387='check-Jul''26'!BS387,"",'1. Live'!BW387-'check-Jul''26'!BS387)</f>
        <v/>
      </c>
      <c r="BT369" s="25" t="str">
        <f>IF('1. Live'!BX387='check-Jul''26'!BT387,"",'1. Live'!BX387-'check-Jul''26'!BT387)</f>
        <v/>
      </c>
      <c r="BU369" s="25" t="str">
        <f>IF('1. Live'!BY387='check-Jul''26'!BU387,"",'1. Live'!BY387-'check-Jul''26'!BU387)</f>
        <v/>
      </c>
      <c r="BV369" s="25" t="str">
        <f>IF('1. Live'!BZ387='check-Jul''26'!BV387,"",'1. Live'!BZ387-'check-Jul''26'!BV387)</f>
        <v/>
      </c>
      <c r="BW369" s="25" t="str">
        <f>IF('1. Live'!CA387='check-Jul''26'!BW387,"",'1. Live'!CA387-'check-Jul''26'!BW387)</f>
        <v/>
      </c>
      <c r="BX369" s="25" t="str">
        <f>IF('1. Live'!CB387='check-Jul''26'!BX387,"",'1. Live'!CB387-'check-Jul''26'!BX387)</f>
        <v/>
      </c>
      <c r="BY369" s="25" t="str">
        <f>IF('1. Live'!CC387='check-Jul''26'!BY387,"",'1. Live'!CC387-'check-Jul''26'!BY387)</f>
        <v/>
      </c>
      <c r="BZ369" s="25" t="str">
        <f>IF('1. Live'!CD387='check-Jul''26'!BZ387,"",'1. Live'!CD387-'check-Jul''26'!BZ387)</f>
        <v/>
      </c>
      <c r="CA369" s="25" t="str">
        <f>IF('1. Live'!CE387='check-Jul''26'!CA387,"",'1. Live'!CE387-'check-Jul''26'!CA387)</f>
        <v/>
      </c>
      <c r="CB369" s="25" t="str">
        <f>IF('1. Live'!CF387='check-Jul''26'!CB387,"",'1. Live'!CF387-'check-Jul''26'!CB387)</f>
        <v/>
      </c>
      <c r="CC369" s="25" t="str">
        <f>IF('1. Live'!CG387='check-Jul''26'!CC387,"",'1. Live'!CG387-'check-Jul''26'!CC387)</f>
        <v/>
      </c>
      <c r="CD369" s="25" t="str">
        <f>IF('1. Live'!CH387='check-Jul''26'!CD387,"",'1. Live'!CH387-'check-Jul''26'!CD387)</f>
        <v/>
      </c>
      <c r="CE369" s="25" t="str">
        <f>IF('1. Live'!CI387='check-Jul''26'!CE387,"",'1. Live'!CI387-'check-Jul''26'!CE387)</f>
        <v/>
      </c>
      <c r="CF369" s="25" t="str">
        <f>IF('1. Live'!CJ387='check-Jul''26'!CF387,"",'1. Live'!CJ387-'check-Jul''26'!CF387)</f>
        <v/>
      </c>
      <c r="CG369" s="25" t="str">
        <f>IF('1. Live'!CK387='check-Jul''26'!CG387,"",'1. Live'!CK387-'check-Jul''26'!CG387)</f>
        <v/>
      </c>
      <c r="CH369" s="25" t="str">
        <f>IF('1. Live'!CL387='check-Jul''26'!CH387,"",'1. Live'!CL387-'check-Jul''26'!CH387)</f>
        <v/>
      </c>
      <c r="CI369" s="25" t="str">
        <f>IF('1. Live'!CM387='check-Jul''26'!CI387,"",'1. Live'!CM387-'check-Jul''26'!CI387)</f>
        <v/>
      </c>
      <c r="CJ369" s="25" t="str">
        <f>IF('1. Live'!CN387='check-Jul''26'!CJ387,"",'1. Live'!CN387-'check-Jul''26'!CJ387)</f>
        <v/>
      </c>
      <c r="CK369" s="25" t="str">
        <f>IF('1. Live'!CO387='check-Jul''26'!CK387,"",'1. Live'!CO387-'check-Jul''26'!CK387)</f>
        <v/>
      </c>
      <c r="CL369" s="25" t="str">
        <f>IF('1. Live'!CP387='check-Jul''26'!CL387,"",'1. Live'!CP387-'check-Jul''26'!CL387)</f>
        <v/>
      </c>
      <c r="CM369" s="25" t="str">
        <f>IF('1. Live'!CQ387='check-Jul''26'!CM387,"",'1. Live'!CQ387-'check-Jul''26'!CM387)</f>
        <v/>
      </c>
      <c r="CN369" s="25" t="str">
        <f>IF('1. Live'!CR387='check-Jul''26'!CN387,"",'1. Live'!CR387-'check-Jul''26'!CN387)</f>
        <v/>
      </c>
      <c r="CO369" s="25" t="str">
        <f>IF('1. Live'!CS387='check-Jul''26'!CO387,"",'1. Live'!CS387-'check-Jul''26'!CO387)</f>
        <v/>
      </c>
      <c r="CP369" s="25" t="str">
        <f>IF('1. Live'!CT387='check-Jul''26'!CP387,"",'1. Live'!CT387-'check-Jul''26'!CP387)</f>
        <v/>
      </c>
      <c r="CQ369" s="25" t="str">
        <f>IF('1. Live'!CU387='check-Jul''26'!CQ387,"",'1. Live'!CU387-'check-Jul''26'!CQ387)</f>
        <v/>
      </c>
      <c r="CR369" s="25" t="str">
        <f>IF('1. Live'!CV387='check-Jul''26'!CR387,"",'1. Live'!CV387-'check-Jul''26'!CR387)</f>
        <v/>
      </c>
      <c r="CS369" s="25" t="str">
        <f>IF('1. Live'!CW387='check-Jul''26'!CS387,"",'1. Live'!CW387-'check-Jul''26'!CS387)</f>
        <v/>
      </c>
      <c r="CT369" s="25" t="str">
        <f>IF('1. Live'!CX387='check-Jul''26'!CT387,"",'1. Live'!CX387-'check-Jul''26'!CT387)</f>
        <v/>
      </c>
      <c r="CU369" s="25" t="str">
        <f>IF('1. Live'!CY387='check-Jul''26'!CU387,"",'1. Live'!CY387-'check-Jul''26'!CU387)</f>
        <v/>
      </c>
      <c r="CV369" s="25" t="str">
        <f>IF('1. Live'!CZ387='check-Jul''26'!CV387,"",'1. Live'!CZ387-'check-Jul''26'!CV387)</f>
        <v/>
      </c>
    </row>
    <row r="370" spans="17:100" x14ac:dyDescent="0.25">
      <c r="Q370" s="26" t="str">
        <f>IF('1. Live'!N388='check-Jul''26'!I388,"",'1. Live'!N388-'check-Jul''26'!I388)</f>
        <v/>
      </c>
      <c r="R370" s="26" t="str">
        <f>IF('1. Live'!O388='check-Jul''26'!J388,"",'1. Live'!O388-'check-Jul''26'!J388)</f>
        <v/>
      </c>
      <c r="S370" s="26" t="str">
        <f>IF('1. Live'!P388='check-Jul''26'!K388,"",'1. Live'!P388-'check-Jul''26'!K388)</f>
        <v/>
      </c>
      <c r="T370" s="26" t="str">
        <f>IF('1. Live'!Q388='check-Jul''26'!L388,"",'1. Live'!Q388-'check-Jul''26'!L388)</f>
        <v/>
      </c>
      <c r="U370" s="80" t="str">
        <f>IF('1. Live'!R388='check-Jul''26'!M388,"",'1. Live'!R388-'check-Jul''26'!M388)</f>
        <v/>
      </c>
      <c r="V370" s="26" t="str">
        <f>IF('1. Live'!S388='check-Jul''26'!N388,"",'1. Live'!S388-'check-Jul''26'!N388)</f>
        <v/>
      </c>
      <c r="W370" s="25" t="str">
        <f>IF('1. Live'!T388='check-Jul''26'!O388,"",'1. Live'!T388-'check-Jul''26'!O388)</f>
        <v/>
      </c>
      <c r="X370" s="25" t="str">
        <f>IF('1. Live'!U388='check-Jul''26'!Q388,"",'1. Live'!U388-'check-Jul''26'!Q388)</f>
        <v/>
      </c>
      <c r="Y370" s="25" t="str">
        <f>IF('1. Live'!V388='check-Jul''26'!R388,"",'1. Live'!V388-'check-Jul''26'!R388)</f>
        <v/>
      </c>
      <c r="Z370" s="25" t="str">
        <f>IF('1. Live'!W388='check-Jul''26'!S388,"",'1. Live'!W388-'check-Jul''26'!S388)</f>
        <v/>
      </c>
      <c r="AA370" s="25" t="str">
        <f>IF('1. Live'!X388='check-Jul''26'!T388,"",'1. Live'!X388-'check-Jul''26'!T388)</f>
        <v/>
      </c>
      <c r="AB370" s="25" t="str">
        <f>IF('1. Live'!AF388='check-Jul''26'!AB388,"",'1. Live'!AF388-'check-Jul''26'!AB388)</f>
        <v/>
      </c>
      <c r="AC370" s="25" t="str">
        <f>IF('1. Live'!AG388='check-Jul''26'!AC388,"",'1. Live'!AG388-'check-Jul''26'!AC388)</f>
        <v/>
      </c>
      <c r="AD370" s="25" t="str">
        <f>IF('1. Live'!AH388='check-Jul''26'!AD388,"",'1. Live'!AH388-'check-Jul''26'!AD388)</f>
        <v/>
      </c>
      <c r="AE370" s="25" t="str">
        <f>IF('1. Live'!AI388='check-Jul''26'!AE388,"",'1. Live'!AI388-'check-Jul''26'!AE388)</f>
        <v/>
      </c>
      <c r="AF370" s="25" t="str">
        <f>IF('1. Live'!AJ388='check-Jul''26'!AF388,"",'1. Live'!AJ388-'check-Jul''26'!AF388)</f>
        <v/>
      </c>
      <c r="AG370" s="25" t="str">
        <f>IF('1. Live'!AK388='check-Jul''26'!AG388,"",'1. Live'!AK388-'check-Jul''26'!AG388)</f>
        <v/>
      </c>
      <c r="AH370" s="25" t="str">
        <f>IF('1. Live'!AL388='check-Jul''26'!AH388,"",'1. Live'!AL388-'check-Jul''26'!AH388)</f>
        <v/>
      </c>
      <c r="AI370" s="25" t="str">
        <f>IF('1. Live'!AM388='check-Jul''26'!AI388,"",'1. Live'!AM388-'check-Jul''26'!AI388)</f>
        <v/>
      </c>
      <c r="AJ370" s="25" t="str">
        <f>IF('1. Live'!AN388='check-Jul''26'!AJ388,"",'1. Live'!AN388-'check-Jul''26'!AJ388)</f>
        <v/>
      </c>
      <c r="AK370" s="25" t="str">
        <f>IF('1. Live'!AO388='check-Jul''26'!AK388,"",'1. Live'!AO388-'check-Jul''26'!AK388)</f>
        <v/>
      </c>
      <c r="AL370" s="25" t="str">
        <f>IF('1. Live'!AP388='check-Jul''26'!AL388,"",'1. Live'!AP388-'check-Jul''26'!AL388)</f>
        <v/>
      </c>
      <c r="AM370" s="25" t="str">
        <f>IF('1. Live'!AQ388='check-Jul''26'!AM388,"",'1. Live'!AQ388-'check-Jul''26'!AM388)</f>
        <v/>
      </c>
      <c r="AN370" s="25" t="str">
        <f>IF('1. Live'!AR388='check-Jul''26'!AN388,"",'1. Live'!AR388-'check-Jul''26'!AN388)</f>
        <v/>
      </c>
      <c r="AO370" s="25" t="str">
        <f>IF('1. Live'!AS388='check-Jul''26'!AO388,"",'1. Live'!AS388-'check-Jul''26'!AO388)</f>
        <v/>
      </c>
      <c r="AP370" s="25" t="str">
        <f>IF('1. Live'!AT388='check-Jul''26'!AP388,"",'1. Live'!AT388-'check-Jul''26'!AP388)</f>
        <v/>
      </c>
      <c r="AQ370" s="25" t="str">
        <f>IF('1. Live'!AU388='check-Jul''26'!AQ388,"",'1. Live'!AU388-'check-Jul''26'!AQ388)</f>
        <v/>
      </c>
      <c r="AR370" s="25" t="str">
        <f>IF('1. Live'!AV388='check-Jul''26'!AR388,"",'1. Live'!AV388-'check-Jul''26'!AR388)</f>
        <v/>
      </c>
      <c r="AS370" s="25" t="str">
        <f>IF('1. Live'!AW388='check-Jul''26'!AS388,"",'1. Live'!AW388-'check-Jul''26'!AS388)</f>
        <v/>
      </c>
      <c r="AT370" s="25" t="str">
        <f>IF('1. Live'!AX388='check-Jul''26'!AT388,"",'1. Live'!AX388-'check-Jul''26'!AT388)</f>
        <v/>
      </c>
      <c r="AU370" s="25" t="str">
        <f>IF('1. Live'!AY388='check-Jul''26'!AU388,"",'1. Live'!AY388-'check-Jul''26'!AU388)</f>
        <v/>
      </c>
      <c r="AV370" s="25" t="str">
        <f>IF('1. Live'!AZ388='check-Jul''26'!AV388,"",'1. Live'!AZ388-'check-Jul''26'!AV388)</f>
        <v/>
      </c>
      <c r="AW370" s="25" t="str">
        <f>IF('1. Live'!BA388='check-Jul''26'!AW388,"",'1. Live'!BA388-'check-Jul''26'!AW388)</f>
        <v/>
      </c>
      <c r="AX370" s="25" t="str">
        <f>IF('1. Live'!BB388='check-Jul''26'!AX388,"",'1. Live'!BB388-'check-Jul''26'!AX388)</f>
        <v/>
      </c>
      <c r="AY370" s="25" t="str">
        <f>IF('1. Live'!BC388='check-Jul''26'!AY388,"",'1. Live'!BC388-'check-Jul''26'!AY388)</f>
        <v/>
      </c>
      <c r="AZ370" s="25" t="str">
        <f>IF('1. Live'!BD388='check-Jul''26'!AZ388,"",'1. Live'!BD388-'check-Jul''26'!AZ388)</f>
        <v/>
      </c>
      <c r="BA370" s="25" t="str">
        <f>IF('1. Live'!BE388='check-Jul''26'!BA388,"",'1. Live'!BE388-'check-Jul''26'!BA388)</f>
        <v/>
      </c>
      <c r="BB370" s="25" t="str">
        <f>IF('1. Live'!BF388='check-Jul''26'!BB388,"",'1. Live'!BF388-'check-Jul''26'!BB388)</f>
        <v/>
      </c>
      <c r="BC370" s="25" t="str">
        <f>IF('1. Live'!BG388='check-Jul''26'!BC388,"",'1. Live'!BG388-'check-Jul''26'!BC388)</f>
        <v/>
      </c>
      <c r="BD370" s="25" t="str">
        <f>IF('1. Live'!BH388='check-Jul''26'!BD388,"",'1. Live'!BH388-'check-Jul''26'!BD388)</f>
        <v/>
      </c>
      <c r="BE370" s="25" t="str">
        <f>IF('1. Live'!BI388='check-Jul''26'!BE388,"",'1. Live'!BI388-'check-Jul''26'!BE388)</f>
        <v/>
      </c>
      <c r="BF370" s="25" t="str">
        <f>IF('1. Live'!BJ388='check-Jul''26'!BF388,"",'1. Live'!BJ388-'check-Jul''26'!BF388)</f>
        <v/>
      </c>
      <c r="BG370" s="25" t="str">
        <f>IF('1. Live'!BK388='check-Jul''26'!BG388,"",'1. Live'!BK388-'check-Jul''26'!BG388)</f>
        <v/>
      </c>
      <c r="BH370" s="25" t="str">
        <f>IF('1. Live'!BL388='check-Jul''26'!BH388,"",'1. Live'!BL388-'check-Jul''26'!BH388)</f>
        <v/>
      </c>
      <c r="BI370" s="25" t="str">
        <f>IF('1. Live'!BM388='check-Jul''26'!BI388,"",'1. Live'!BM388-'check-Jul''26'!BI388)</f>
        <v/>
      </c>
      <c r="BJ370" s="25" t="str">
        <f>IF('1. Live'!BN388='check-Jul''26'!BJ388,"",'1. Live'!BN388-'check-Jul''26'!BJ388)</f>
        <v/>
      </c>
      <c r="BK370" s="25" t="str">
        <f>IF('1. Live'!BO388='check-Jul''26'!BK388,"",'1. Live'!BO388-'check-Jul''26'!BK388)</f>
        <v/>
      </c>
      <c r="BL370" s="25" t="str">
        <f>IF('1. Live'!BP388='check-Jul''26'!BL388,"",'1. Live'!BP388-'check-Jul''26'!BL388)</f>
        <v/>
      </c>
      <c r="BM370" s="25" t="str">
        <f>IF('1. Live'!BQ388='check-Jul''26'!BM388,"",'1. Live'!BQ388-'check-Jul''26'!BM388)</f>
        <v/>
      </c>
      <c r="BN370" s="25" t="str">
        <f>IF('1. Live'!BR388='check-Jul''26'!BN388,"",'1. Live'!BR388-'check-Jul''26'!BN388)</f>
        <v/>
      </c>
      <c r="BO370" s="25" t="str">
        <f>IF('1. Live'!BS388='check-Jul''26'!BO388,"",'1. Live'!BS388-'check-Jul''26'!BO388)</f>
        <v/>
      </c>
      <c r="BP370" s="25" t="str">
        <f>IF('1. Live'!BT388='check-Jul''26'!BP388,"",'1. Live'!BT388-'check-Jul''26'!BP388)</f>
        <v/>
      </c>
      <c r="BQ370" s="25" t="str">
        <f>IF('1. Live'!BU388='check-Jul''26'!BQ388,"",'1. Live'!BU388-'check-Jul''26'!BQ388)</f>
        <v/>
      </c>
      <c r="BR370" s="25" t="str">
        <f>IF('1. Live'!BV388='check-Jul''26'!BR388,"",'1. Live'!BV388-'check-Jul''26'!BR388)</f>
        <v/>
      </c>
      <c r="BS370" s="25" t="str">
        <f>IF('1. Live'!BW388='check-Jul''26'!BS388,"",'1. Live'!BW388-'check-Jul''26'!BS388)</f>
        <v/>
      </c>
      <c r="BT370" s="25" t="str">
        <f>IF('1. Live'!BX388='check-Jul''26'!BT388,"",'1. Live'!BX388-'check-Jul''26'!BT388)</f>
        <v/>
      </c>
      <c r="BU370" s="25" t="str">
        <f>IF('1. Live'!BY388='check-Jul''26'!BU388,"",'1. Live'!BY388-'check-Jul''26'!BU388)</f>
        <v/>
      </c>
      <c r="BV370" s="25" t="str">
        <f>IF('1. Live'!BZ388='check-Jul''26'!BV388,"",'1. Live'!BZ388-'check-Jul''26'!BV388)</f>
        <v/>
      </c>
      <c r="BW370" s="25" t="str">
        <f>IF('1. Live'!CA388='check-Jul''26'!BW388,"",'1. Live'!CA388-'check-Jul''26'!BW388)</f>
        <v/>
      </c>
      <c r="BX370" s="25" t="str">
        <f>IF('1. Live'!CB388='check-Jul''26'!BX388,"",'1. Live'!CB388-'check-Jul''26'!BX388)</f>
        <v/>
      </c>
      <c r="BY370" s="25" t="str">
        <f>IF('1. Live'!CC388='check-Jul''26'!BY388,"",'1. Live'!CC388-'check-Jul''26'!BY388)</f>
        <v/>
      </c>
      <c r="BZ370" s="25" t="str">
        <f>IF('1. Live'!CD388='check-Jul''26'!BZ388,"",'1. Live'!CD388-'check-Jul''26'!BZ388)</f>
        <v/>
      </c>
      <c r="CA370" s="25" t="str">
        <f>IF('1. Live'!CE388='check-Jul''26'!CA388,"",'1. Live'!CE388-'check-Jul''26'!CA388)</f>
        <v/>
      </c>
      <c r="CB370" s="25" t="str">
        <f>IF('1. Live'!CF388='check-Jul''26'!CB388,"",'1. Live'!CF388-'check-Jul''26'!CB388)</f>
        <v/>
      </c>
      <c r="CC370" s="25" t="str">
        <f>IF('1. Live'!CG388='check-Jul''26'!CC388,"",'1. Live'!CG388-'check-Jul''26'!CC388)</f>
        <v/>
      </c>
      <c r="CD370" s="25" t="str">
        <f>IF('1. Live'!CH388='check-Jul''26'!CD388,"",'1. Live'!CH388-'check-Jul''26'!CD388)</f>
        <v/>
      </c>
      <c r="CE370" s="25" t="str">
        <f>IF('1. Live'!CI388='check-Jul''26'!CE388,"",'1. Live'!CI388-'check-Jul''26'!CE388)</f>
        <v/>
      </c>
      <c r="CF370" s="25" t="str">
        <f>IF('1. Live'!CJ388='check-Jul''26'!CF388,"",'1. Live'!CJ388-'check-Jul''26'!CF388)</f>
        <v/>
      </c>
      <c r="CG370" s="25" t="str">
        <f>IF('1. Live'!CK388='check-Jul''26'!CG388,"",'1. Live'!CK388-'check-Jul''26'!CG388)</f>
        <v/>
      </c>
      <c r="CH370" s="25" t="str">
        <f>IF('1. Live'!CL388='check-Jul''26'!CH388,"",'1. Live'!CL388-'check-Jul''26'!CH388)</f>
        <v/>
      </c>
      <c r="CI370" s="25" t="str">
        <f>IF('1. Live'!CM388='check-Jul''26'!CI388,"",'1. Live'!CM388-'check-Jul''26'!CI388)</f>
        <v/>
      </c>
      <c r="CJ370" s="25" t="str">
        <f>IF('1. Live'!CN388='check-Jul''26'!CJ388,"",'1. Live'!CN388-'check-Jul''26'!CJ388)</f>
        <v/>
      </c>
      <c r="CK370" s="25" t="str">
        <f>IF('1. Live'!CO388='check-Jul''26'!CK388,"",'1. Live'!CO388-'check-Jul''26'!CK388)</f>
        <v/>
      </c>
      <c r="CL370" s="25" t="str">
        <f>IF('1. Live'!CP388='check-Jul''26'!CL388,"",'1. Live'!CP388-'check-Jul''26'!CL388)</f>
        <v/>
      </c>
      <c r="CM370" s="25" t="str">
        <f>IF('1. Live'!CQ388='check-Jul''26'!CM388,"",'1. Live'!CQ388-'check-Jul''26'!CM388)</f>
        <v/>
      </c>
      <c r="CN370" s="25" t="str">
        <f>IF('1. Live'!CR388='check-Jul''26'!CN388,"",'1. Live'!CR388-'check-Jul''26'!CN388)</f>
        <v/>
      </c>
      <c r="CO370" s="25" t="str">
        <f>IF('1. Live'!CS388='check-Jul''26'!CO388,"",'1. Live'!CS388-'check-Jul''26'!CO388)</f>
        <v/>
      </c>
      <c r="CP370" s="25" t="str">
        <f>IF('1. Live'!CT388='check-Jul''26'!CP388,"",'1. Live'!CT388-'check-Jul''26'!CP388)</f>
        <v/>
      </c>
      <c r="CQ370" s="25" t="str">
        <f>IF('1. Live'!CU388='check-Jul''26'!CQ388,"",'1. Live'!CU388-'check-Jul''26'!CQ388)</f>
        <v/>
      </c>
      <c r="CR370" s="25" t="str">
        <f>IF('1. Live'!CV388='check-Jul''26'!CR388,"",'1. Live'!CV388-'check-Jul''26'!CR388)</f>
        <v/>
      </c>
      <c r="CS370" s="25" t="str">
        <f>IF('1. Live'!CW388='check-Jul''26'!CS388,"",'1. Live'!CW388-'check-Jul''26'!CS388)</f>
        <v/>
      </c>
      <c r="CT370" s="25" t="str">
        <f>IF('1. Live'!CX388='check-Jul''26'!CT388,"",'1. Live'!CX388-'check-Jul''26'!CT388)</f>
        <v/>
      </c>
      <c r="CU370" s="25" t="str">
        <f>IF('1. Live'!CY388='check-Jul''26'!CU388,"",'1. Live'!CY388-'check-Jul''26'!CU388)</f>
        <v/>
      </c>
      <c r="CV370" s="25" t="str">
        <f>IF('1. Live'!CZ388='check-Jul''26'!CV388,"",'1. Live'!CZ388-'check-Jul''26'!CV388)</f>
        <v/>
      </c>
    </row>
    <row r="371" spans="17:100" x14ac:dyDescent="0.25">
      <c r="Q371" s="26" t="str">
        <f>IF('1. Live'!N389='check-Jul''26'!I389,"",'1. Live'!N389-'check-Jul''26'!I389)</f>
        <v/>
      </c>
      <c r="R371" s="26" t="str">
        <f>IF('1. Live'!O389='check-Jul''26'!J389,"",'1. Live'!O389-'check-Jul''26'!J389)</f>
        <v/>
      </c>
      <c r="S371" s="26" t="str">
        <f>IF('1. Live'!P389='check-Jul''26'!K389,"",'1. Live'!P389-'check-Jul''26'!K389)</f>
        <v/>
      </c>
      <c r="T371" s="26" t="str">
        <f>IF('1. Live'!Q389='check-Jul''26'!L389,"",'1. Live'!Q389-'check-Jul''26'!L389)</f>
        <v/>
      </c>
      <c r="U371" s="80" t="str">
        <f>IF('1. Live'!R389='check-Jul''26'!M389,"",'1. Live'!R389-'check-Jul''26'!M389)</f>
        <v/>
      </c>
      <c r="V371" s="26" t="str">
        <f>IF('1. Live'!S389='check-Jul''26'!N389,"",'1. Live'!S389-'check-Jul''26'!N389)</f>
        <v/>
      </c>
      <c r="W371" s="25" t="str">
        <f>IF('1. Live'!T389='check-Jul''26'!O389,"",'1. Live'!T389-'check-Jul''26'!O389)</f>
        <v/>
      </c>
      <c r="X371" s="25" t="str">
        <f>IF('1. Live'!U389='check-Jul''26'!Q389,"",'1. Live'!U389-'check-Jul''26'!Q389)</f>
        <v/>
      </c>
      <c r="Y371" s="25" t="str">
        <f>IF('1. Live'!V389='check-Jul''26'!R389,"",'1. Live'!V389-'check-Jul''26'!R389)</f>
        <v/>
      </c>
      <c r="Z371" s="25" t="str">
        <f>IF('1. Live'!W389='check-Jul''26'!S389,"",'1. Live'!W389-'check-Jul''26'!S389)</f>
        <v/>
      </c>
      <c r="AA371" s="25" t="str">
        <f>IF('1. Live'!X389='check-Jul''26'!T389,"",'1. Live'!X389-'check-Jul''26'!T389)</f>
        <v/>
      </c>
      <c r="AB371" s="25" t="str">
        <f>IF('1. Live'!AF389='check-Jul''26'!AB389,"",'1. Live'!AF389-'check-Jul''26'!AB389)</f>
        <v/>
      </c>
      <c r="AC371" s="25" t="str">
        <f>IF('1. Live'!AG389='check-Jul''26'!AC389,"",'1. Live'!AG389-'check-Jul''26'!AC389)</f>
        <v/>
      </c>
      <c r="AD371" s="25" t="str">
        <f>IF('1. Live'!AH389='check-Jul''26'!AD389,"",'1. Live'!AH389-'check-Jul''26'!AD389)</f>
        <v/>
      </c>
      <c r="AE371" s="25" t="str">
        <f>IF('1. Live'!AI389='check-Jul''26'!AE389,"",'1. Live'!AI389-'check-Jul''26'!AE389)</f>
        <v/>
      </c>
      <c r="AF371" s="25" t="str">
        <f>IF('1. Live'!AJ389='check-Jul''26'!AF389,"",'1. Live'!AJ389-'check-Jul''26'!AF389)</f>
        <v/>
      </c>
      <c r="AG371" s="25" t="str">
        <f>IF('1. Live'!AK389='check-Jul''26'!AG389,"",'1. Live'!AK389-'check-Jul''26'!AG389)</f>
        <v/>
      </c>
      <c r="AH371" s="25" t="str">
        <f>IF('1. Live'!AL389='check-Jul''26'!AH389,"",'1. Live'!AL389-'check-Jul''26'!AH389)</f>
        <v/>
      </c>
      <c r="AI371" s="25" t="str">
        <f>IF('1. Live'!AM389='check-Jul''26'!AI389,"",'1. Live'!AM389-'check-Jul''26'!AI389)</f>
        <v/>
      </c>
      <c r="AJ371" s="25" t="str">
        <f>IF('1. Live'!AN389='check-Jul''26'!AJ389,"",'1. Live'!AN389-'check-Jul''26'!AJ389)</f>
        <v/>
      </c>
      <c r="AK371" s="25" t="str">
        <f>IF('1. Live'!AO389='check-Jul''26'!AK389,"",'1. Live'!AO389-'check-Jul''26'!AK389)</f>
        <v/>
      </c>
      <c r="AL371" s="25" t="str">
        <f>IF('1. Live'!AP389='check-Jul''26'!AL389,"",'1. Live'!AP389-'check-Jul''26'!AL389)</f>
        <v/>
      </c>
      <c r="AM371" s="25" t="str">
        <f>IF('1. Live'!AQ389='check-Jul''26'!AM389,"",'1. Live'!AQ389-'check-Jul''26'!AM389)</f>
        <v/>
      </c>
      <c r="AN371" s="25" t="str">
        <f>IF('1. Live'!AR389='check-Jul''26'!AN389,"",'1. Live'!AR389-'check-Jul''26'!AN389)</f>
        <v/>
      </c>
      <c r="AO371" s="25" t="str">
        <f>IF('1. Live'!AS389='check-Jul''26'!AO389,"",'1. Live'!AS389-'check-Jul''26'!AO389)</f>
        <v/>
      </c>
      <c r="AP371" s="25" t="str">
        <f>IF('1. Live'!AT389='check-Jul''26'!AP389,"",'1. Live'!AT389-'check-Jul''26'!AP389)</f>
        <v/>
      </c>
      <c r="AQ371" s="25" t="str">
        <f>IF('1. Live'!AU389='check-Jul''26'!AQ389,"",'1. Live'!AU389-'check-Jul''26'!AQ389)</f>
        <v/>
      </c>
      <c r="AR371" s="25" t="str">
        <f>IF('1. Live'!AV389='check-Jul''26'!AR389,"",'1. Live'!AV389-'check-Jul''26'!AR389)</f>
        <v/>
      </c>
      <c r="AS371" s="25" t="str">
        <f>IF('1. Live'!AW389='check-Jul''26'!AS389,"",'1. Live'!AW389-'check-Jul''26'!AS389)</f>
        <v/>
      </c>
      <c r="AT371" s="25" t="str">
        <f>IF('1. Live'!AX389='check-Jul''26'!AT389,"",'1. Live'!AX389-'check-Jul''26'!AT389)</f>
        <v/>
      </c>
      <c r="AU371" s="25" t="str">
        <f>IF('1. Live'!AY389='check-Jul''26'!AU389,"",'1. Live'!AY389-'check-Jul''26'!AU389)</f>
        <v/>
      </c>
      <c r="AV371" s="25" t="str">
        <f>IF('1. Live'!AZ389='check-Jul''26'!AV389,"",'1. Live'!AZ389-'check-Jul''26'!AV389)</f>
        <v/>
      </c>
      <c r="AW371" s="25" t="str">
        <f>IF('1. Live'!BA389='check-Jul''26'!AW389,"",'1. Live'!BA389-'check-Jul''26'!AW389)</f>
        <v/>
      </c>
      <c r="AX371" s="25" t="str">
        <f>IF('1. Live'!BB389='check-Jul''26'!AX389,"",'1. Live'!BB389-'check-Jul''26'!AX389)</f>
        <v/>
      </c>
      <c r="AY371" s="25" t="str">
        <f>IF('1. Live'!BC389='check-Jul''26'!AY389,"",'1. Live'!BC389-'check-Jul''26'!AY389)</f>
        <v/>
      </c>
      <c r="AZ371" s="25" t="str">
        <f>IF('1. Live'!BD389='check-Jul''26'!AZ389,"",'1. Live'!BD389-'check-Jul''26'!AZ389)</f>
        <v/>
      </c>
      <c r="BA371" s="25" t="str">
        <f>IF('1. Live'!BE389='check-Jul''26'!BA389,"",'1. Live'!BE389-'check-Jul''26'!BA389)</f>
        <v/>
      </c>
      <c r="BB371" s="25" t="str">
        <f>IF('1. Live'!BF389='check-Jul''26'!BB389,"",'1. Live'!BF389-'check-Jul''26'!BB389)</f>
        <v/>
      </c>
      <c r="BC371" s="25" t="str">
        <f>IF('1. Live'!BG389='check-Jul''26'!BC389,"",'1. Live'!BG389-'check-Jul''26'!BC389)</f>
        <v/>
      </c>
      <c r="BD371" s="25" t="str">
        <f>IF('1. Live'!BH389='check-Jul''26'!BD389,"",'1. Live'!BH389-'check-Jul''26'!BD389)</f>
        <v/>
      </c>
      <c r="BE371" s="25" t="str">
        <f>IF('1. Live'!BI389='check-Jul''26'!BE389,"",'1. Live'!BI389-'check-Jul''26'!BE389)</f>
        <v/>
      </c>
      <c r="BF371" s="25" t="str">
        <f>IF('1. Live'!BJ389='check-Jul''26'!BF389,"",'1. Live'!BJ389-'check-Jul''26'!BF389)</f>
        <v/>
      </c>
      <c r="BG371" s="25" t="str">
        <f>IF('1. Live'!BK389='check-Jul''26'!BG389,"",'1. Live'!BK389-'check-Jul''26'!BG389)</f>
        <v/>
      </c>
      <c r="BH371" s="25" t="str">
        <f>IF('1. Live'!BL389='check-Jul''26'!BH389,"",'1. Live'!BL389-'check-Jul''26'!BH389)</f>
        <v/>
      </c>
      <c r="BI371" s="25" t="str">
        <f>IF('1. Live'!BM389='check-Jul''26'!BI389,"",'1. Live'!BM389-'check-Jul''26'!BI389)</f>
        <v/>
      </c>
      <c r="BJ371" s="25" t="str">
        <f>IF('1. Live'!BN389='check-Jul''26'!BJ389,"",'1. Live'!BN389-'check-Jul''26'!BJ389)</f>
        <v/>
      </c>
      <c r="BK371" s="25" t="str">
        <f>IF('1. Live'!BO389='check-Jul''26'!BK389,"",'1. Live'!BO389-'check-Jul''26'!BK389)</f>
        <v/>
      </c>
      <c r="BL371" s="25" t="str">
        <f>IF('1. Live'!BP389='check-Jul''26'!BL389,"",'1. Live'!BP389-'check-Jul''26'!BL389)</f>
        <v/>
      </c>
      <c r="BM371" s="25" t="str">
        <f>IF('1. Live'!BQ389='check-Jul''26'!BM389,"",'1. Live'!BQ389-'check-Jul''26'!BM389)</f>
        <v/>
      </c>
      <c r="BN371" s="25" t="str">
        <f>IF('1. Live'!BR389='check-Jul''26'!BN389,"",'1. Live'!BR389-'check-Jul''26'!BN389)</f>
        <v/>
      </c>
      <c r="BO371" s="25" t="str">
        <f>IF('1. Live'!BS389='check-Jul''26'!BO389,"",'1. Live'!BS389-'check-Jul''26'!BO389)</f>
        <v/>
      </c>
      <c r="BP371" s="25" t="str">
        <f>IF('1. Live'!BT389='check-Jul''26'!BP389,"",'1. Live'!BT389-'check-Jul''26'!BP389)</f>
        <v/>
      </c>
      <c r="BQ371" s="25" t="str">
        <f>IF('1. Live'!BU389='check-Jul''26'!BQ389,"",'1. Live'!BU389-'check-Jul''26'!BQ389)</f>
        <v/>
      </c>
      <c r="BR371" s="25" t="str">
        <f>IF('1. Live'!BV389='check-Jul''26'!BR389,"",'1. Live'!BV389-'check-Jul''26'!BR389)</f>
        <v/>
      </c>
      <c r="BS371" s="25" t="str">
        <f>IF('1. Live'!BW389='check-Jul''26'!BS389,"",'1. Live'!BW389-'check-Jul''26'!BS389)</f>
        <v/>
      </c>
      <c r="BT371" s="25" t="str">
        <f>IF('1. Live'!BX389='check-Jul''26'!BT389,"",'1. Live'!BX389-'check-Jul''26'!BT389)</f>
        <v/>
      </c>
      <c r="BU371" s="25" t="str">
        <f>IF('1. Live'!BY389='check-Jul''26'!BU389,"",'1. Live'!BY389-'check-Jul''26'!BU389)</f>
        <v/>
      </c>
      <c r="BV371" s="25" t="str">
        <f>IF('1. Live'!BZ389='check-Jul''26'!BV389,"",'1. Live'!BZ389-'check-Jul''26'!BV389)</f>
        <v/>
      </c>
      <c r="BW371" s="25" t="str">
        <f>IF('1. Live'!CA389='check-Jul''26'!BW389,"",'1. Live'!CA389-'check-Jul''26'!BW389)</f>
        <v/>
      </c>
      <c r="BX371" s="25" t="str">
        <f>IF('1. Live'!CB389='check-Jul''26'!BX389,"",'1. Live'!CB389-'check-Jul''26'!BX389)</f>
        <v/>
      </c>
      <c r="BY371" s="25" t="str">
        <f>IF('1. Live'!CC389='check-Jul''26'!BY389,"",'1. Live'!CC389-'check-Jul''26'!BY389)</f>
        <v/>
      </c>
      <c r="BZ371" s="25" t="str">
        <f>IF('1. Live'!CD389='check-Jul''26'!BZ389,"",'1. Live'!CD389-'check-Jul''26'!BZ389)</f>
        <v/>
      </c>
      <c r="CA371" s="25" t="str">
        <f>IF('1. Live'!CE389='check-Jul''26'!CA389,"",'1. Live'!CE389-'check-Jul''26'!CA389)</f>
        <v/>
      </c>
      <c r="CB371" s="25" t="str">
        <f>IF('1. Live'!CF389='check-Jul''26'!CB389,"",'1. Live'!CF389-'check-Jul''26'!CB389)</f>
        <v/>
      </c>
      <c r="CC371" s="25" t="str">
        <f>IF('1. Live'!CG389='check-Jul''26'!CC389,"",'1. Live'!CG389-'check-Jul''26'!CC389)</f>
        <v/>
      </c>
      <c r="CD371" s="25" t="str">
        <f>IF('1. Live'!CH389='check-Jul''26'!CD389,"",'1. Live'!CH389-'check-Jul''26'!CD389)</f>
        <v/>
      </c>
      <c r="CE371" s="25" t="str">
        <f>IF('1. Live'!CI389='check-Jul''26'!CE389,"",'1. Live'!CI389-'check-Jul''26'!CE389)</f>
        <v/>
      </c>
      <c r="CF371" s="25" t="str">
        <f>IF('1. Live'!CJ389='check-Jul''26'!CF389,"",'1. Live'!CJ389-'check-Jul''26'!CF389)</f>
        <v/>
      </c>
      <c r="CG371" s="25" t="str">
        <f>IF('1. Live'!CK389='check-Jul''26'!CG389,"",'1. Live'!CK389-'check-Jul''26'!CG389)</f>
        <v/>
      </c>
      <c r="CH371" s="25" t="str">
        <f>IF('1. Live'!CL389='check-Jul''26'!CH389,"",'1. Live'!CL389-'check-Jul''26'!CH389)</f>
        <v/>
      </c>
      <c r="CI371" s="25" t="str">
        <f>IF('1. Live'!CM389='check-Jul''26'!CI389,"",'1. Live'!CM389-'check-Jul''26'!CI389)</f>
        <v/>
      </c>
      <c r="CJ371" s="25" t="str">
        <f>IF('1. Live'!CN389='check-Jul''26'!CJ389,"",'1. Live'!CN389-'check-Jul''26'!CJ389)</f>
        <v/>
      </c>
      <c r="CK371" s="25" t="str">
        <f>IF('1. Live'!CO389='check-Jul''26'!CK389,"",'1. Live'!CO389-'check-Jul''26'!CK389)</f>
        <v/>
      </c>
      <c r="CL371" s="25" t="str">
        <f>IF('1. Live'!CP389='check-Jul''26'!CL389,"",'1. Live'!CP389-'check-Jul''26'!CL389)</f>
        <v/>
      </c>
      <c r="CM371" s="25" t="str">
        <f>IF('1. Live'!CQ389='check-Jul''26'!CM389,"",'1. Live'!CQ389-'check-Jul''26'!CM389)</f>
        <v/>
      </c>
      <c r="CN371" s="25" t="str">
        <f>IF('1. Live'!CR389='check-Jul''26'!CN389,"",'1. Live'!CR389-'check-Jul''26'!CN389)</f>
        <v/>
      </c>
      <c r="CO371" s="25" t="str">
        <f>IF('1. Live'!CS389='check-Jul''26'!CO389,"",'1. Live'!CS389-'check-Jul''26'!CO389)</f>
        <v/>
      </c>
      <c r="CP371" s="25" t="str">
        <f>IF('1. Live'!CT389='check-Jul''26'!CP389,"",'1. Live'!CT389-'check-Jul''26'!CP389)</f>
        <v/>
      </c>
      <c r="CQ371" s="25" t="str">
        <f>IF('1. Live'!CU389='check-Jul''26'!CQ389,"",'1. Live'!CU389-'check-Jul''26'!CQ389)</f>
        <v/>
      </c>
      <c r="CR371" s="25" t="str">
        <f>IF('1. Live'!CV389='check-Jul''26'!CR389,"",'1. Live'!CV389-'check-Jul''26'!CR389)</f>
        <v/>
      </c>
      <c r="CS371" s="25" t="str">
        <f>IF('1. Live'!CW389='check-Jul''26'!CS389,"",'1. Live'!CW389-'check-Jul''26'!CS389)</f>
        <v/>
      </c>
      <c r="CT371" s="25" t="str">
        <f>IF('1. Live'!CX389='check-Jul''26'!CT389,"",'1. Live'!CX389-'check-Jul''26'!CT389)</f>
        <v/>
      </c>
      <c r="CU371" s="25" t="str">
        <f>IF('1. Live'!CY389='check-Jul''26'!CU389,"",'1. Live'!CY389-'check-Jul''26'!CU389)</f>
        <v/>
      </c>
      <c r="CV371" s="25" t="str">
        <f>IF('1. Live'!CZ389='check-Jul''26'!CV389,"",'1. Live'!CZ389-'check-Jul''26'!CV389)</f>
        <v/>
      </c>
    </row>
    <row r="372" spans="17:100" x14ac:dyDescent="0.25">
      <c r="Q372" s="26" t="str">
        <f>IF('1. Live'!N390='check-Jul''26'!I390,"",'1. Live'!N390-'check-Jul''26'!I390)</f>
        <v/>
      </c>
      <c r="R372" s="26" t="str">
        <f>IF('1. Live'!O390='check-Jul''26'!J390,"",'1. Live'!O390-'check-Jul''26'!J390)</f>
        <v/>
      </c>
      <c r="S372" s="26" t="str">
        <f>IF('1. Live'!P390='check-Jul''26'!K390,"",'1. Live'!P390-'check-Jul''26'!K390)</f>
        <v/>
      </c>
      <c r="T372" s="26" t="str">
        <f>IF('1. Live'!Q390='check-Jul''26'!L390,"",'1. Live'!Q390-'check-Jul''26'!L390)</f>
        <v/>
      </c>
      <c r="U372" s="80" t="str">
        <f>IF('1. Live'!R390='check-Jul''26'!M390,"",'1. Live'!R390-'check-Jul''26'!M390)</f>
        <v/>
      </c>
      <c r="V372" s="26" t="str">
        <f>IF('1. Live'!S390='check-Jul''26'!N390,"",'1. Live'!S390-'check-Jul''26'!N390)</f>
        <v/>
      </c>
      <c r="W372" s="25" t="str">
        <f>IF('1. Live'!T390='check-Jul''26'!O390,"",'1. Live'!T390-'check-Jul''26'!O390)</f>
        <v/>
      </c>
      <c r="X372" s="25" t="str">
        <f>IF('1. Live'!U390='check-Jul''26'!Q390,"",'1. Live'!U390-'check-Jul''26'!Q390)</f>
        <v/>
      </c>
      <c r="Y372" s="25" t="str">
        <f>IF('1. Live'!V390='check-Jul''26'!R390,"",'1. Live'!V390-'check-Jul''26'!R390)</f>
        <v/>
      </c>
      <c r="Z372" s="25" t="str">
        <f>IF('1. Live'!W390='check-Jul''26'!S390,"",'1. Live'!W390-'check-Jul''26'!S390)</f>
        <v/>
      </c>
      <c r="AA372" s="25" t="str">
        <f>IF('1. Live'!X390='check-Jul''26'!T390,"",'1. Live'!X390-'check-Jul''26'!T390)</f>
        <v/>
      </c>
      <c r="AB372" s="25" t="str">
        <f>IF('1. Live'!AF390='check-Jul''26'!AB390,"",'1. Live'!AF390-'check-Jul''26'!AB390)</f>
        <v/>
      </c>
      <c r="AC372" s="25" t="str">
        <f>IF('1. Live'!AG390='check-Jul''26'!AC390,"",'1. Live'!AG390-'check-Jul''26'!AC390)</f>
        <v/>
      </c>
      <c r="AD372" s="25" t="str">
        <f>IF('1. Live'!AH390='check-Jul''26'!AD390,"",'1. Live'!AH390-'check-Jul''26'!AD390)</f>
        <v/>
      </c>
      <c r="AE372" s="25" t="str">
        <f>IF('1. Live'!AI390='check-Jul''26'!AE390,"",'1. Live'!AI390-'check-Jul''26'!AE390)</f>
        <v/>
      </c>
      <c r="AF372" s="25" t="str">
        <f>IF('1. Live'!AJ390='check-Jul''26'!AF390,"",'1. Live'!AJ390-'check-Jul''26'!AF390)</f>
        <v/>
      </c>
      <c r="AG372" s="25" t="str">
        <f>IF('1. Live'!AK390='check-Jul''26'!AG390,"",'1. Live'!AK390-'check-Jul''26'!AG390)</f>
        <v/>
      </c>
      <c r="AH372" s="25" t="str">
        <f>IF('1. Live'!AL390='check-Jul''26'!AH390,"",'1. Live'!AL390-'check-Jul''26'!AH390)</f>
        <v/>
      </c>
      <c r="AI372" s="25" t="str">
        <f>IF('1. Live'!AM390='check-Jul''26'!AI390,"",'1. Live'!AM390-'check-Jul''26'!AI390)</f>
        <v/>
      </c>
      <c r="AJ372" s="25" t="str">
        <f>IF('1. Live'!AN390='check-Jul''26'!AJ390,"",'1. Live'!AN390-'check-Jul''26'!AJ390)</f>
        <v/>
      </c>
      <c r="AK372" s="25" t="str">
        <f>IF('1. Live'!AO390='check-Jul''26'!AK390,"",'1. Live'!AO390-'check-Jul''26'!AK390)</f>
        <v/>
      </c>
      <c r="AL372" s="25" t="str">
        <f>IF('1. Live'!AP390='check-Jul''26'!AL390,"",'1. Live'!AP390-'check-Jul''26'!AL390)</f>
        <v/>
      </c>
      <c r="AM372" s="25" t="str">
        <f>IF('1. Live'!AQ390='check-Jul''26'!AM390,"",'1. Live'!AQ390-'check-Jul''26'!AM390)</f>
        <v/>
      </c>
      <c r="AN372" s="25" t="str">
        <f>IF('1. Live'!AR390='check-Jul''26'!AN390,"",'1. Live'!AR390-'check-Jul''26'!AN390)</f>
        <v/>
      </c>
      <c r="AO372" s="25" t="str">
        <f>IF('1. Live'!AS390='check-Jul''26'!AO390,"",'1. Live'!AS390-'check-Jul''26'!AO390)</f>
        <v/>
      </c>
      <c r="AP372" s="25" t="str">
        <f>IF('1. Live'!AT390='check-Jul''26'!AP390,"",'1. Live'!AT390-'check-Jul''26'!AP390)</f>
        <v/>
      </c>
      <c r="AQ372" s="25" t="str">
        <f>IF('1. Live'!AU390='check-Jul''26'!AQ390,"",'1. Live'!AU390-'check-Jul''26'!AQ390)</f>
        <v/>
      </c>
      <c r="AR372" s="25" t="str">
        <f>IF('1. Live'!AV390='check-Jul''26'!AR390,"",'1. Live'!AV390-'check-Jul''26'!AR390)</f>
        <v/>
      </c>
      <c r="AS372" s="25" t="str">
        <f>IF('1. Live'!AW390='check-Jul''26'!AS390,"",'1. Live'!AW390-'check-Jul''26'!AS390)</f>
        <v/>
      </c>
      <c r="AT372" s="25" t="str">
        <f>IF('1. Live'!AX390='check-Jul''26'!AT390,"",'1. Live'!AX390-'check-Jul''26'!AT390)</f>
        <v/>
      </c>
      <c r="AU372" s="25" t="str">
        <f>IF('1. Live'!AY390='check-Jul''26'!AU390,"",'1. Live'!AY390-'check-Jul''26'!AU390)</f>
        <v/>
      </c>
      <c r="AV372" s="25" t="str">
        <f>IF('1. Live'!AZ390='check-Jul''26'!AV390,"",'1. Live'!AZ390-'check-Jul''26'!AV390)</f>
        <v/>
      </c>
      <c r="AW372" s="25" t="str">
        <f>IF('1. Live'!BA390='check-Jul''26'!AW390,"",'1. Live'!BA390-'check-Jul''26'!AW390)</f>
        <v/>
      </c>
      <c r="AX372" s="25" t="str">
        <f>IF('1. Live'!BB390='check-Jul''26'!AX390,"",'1. Live'!BB390-'check-Jul''26'!AX390)</f>
        <v/>
      </c>
      <c r="AY372" s="25" t="str">
        <f>IF('1. Live'!BC390='check-Jul''26'!AY390,"",'1. Live'!BC390-'check-Jul''26'!AY390)</f>
        <v/>
      </c>
      <c r="AZ372" s="25" t="str">
        <f>IF('1. Live'!BD390='check-Jul''26'!AZ390,"",'1. Live'!BD390-'check-Jul''26'!AZ390)</f>
        <v/>
      </c>
      <c r="BA372" s="25" t="str">
        <f>IF('1. Live'!BE390='check-Jul''26'!BA390,"",'1. Live'!BE390-'check-Jul''26'!BA390)</f>
        <v/>
      </c>
      <c r="BB372" s="25" t="str">
        <f>IF('1. Live'!BF390='check-Jul''26'!BB390,"",'1. Live'!BF390-'check-Jul''26'!BB390)</f>
        <v/>
      </c>
      <c r="BC372" s="25" t="str">
        <f>IF('1. Live'!BG390='check-Jul''26'!BC390,"",'1. Live'!BG390-'check-Jul''26'!BC390)</f>
        <v/>
      </c>
      <c r="BD372" s="25" t="str">
        <f>IF('1. Live'!BH390='check-Jul''26'!BD390,"",'1. Live'!BH390-'check-Jul''26'!BD390)</f>
        <v/>
      </c>
      <c r="BE372" s="25" t="str">
        <f>IF('1. Live'!BI390='check-Jul''26'!BE390,"",'1. Live'!BI390-'check-Jul''26'!BE390)</f>
        <v/>
      </c>
      <c r="BF372" s="25" t="str">
        <f>IF('1. Live'!BJ390='check-Jul''26'!BF390,"",'1. Live'!BJ390-'check-Jul''26'!BF390)</f>
        <v/>
      </c>
      <c r="BG372" s="25" t="str">
        <f>IF('1. Live'!BK390='check-Jul''26'!BG390,"",'1. Live'!BK390-'check-Jul''26'!BG390)</f>
        <v/>
      </c>
      <c r="BH372" s="25" t="str">
        <f>IF('1. Live'!BL390='check-Jul''26'!BH390,"",'1. Live'!BL390-'check-Jul''26'!BH390)</f>
        <v/>
      </c>
      <c r="BI372" s="25" t="str">
        <f>IF('1. Live'!BM390='check-Jul''26'!BI390,"",'1. Live'!BM390-'check-Jul''26'!BI390)</f>
        <v/>
      </c>
      <c r="BJ372" s="25" t="str">
        <f>IF('1. Live'!BN390='check-Jul''26'!BJ390,"",'1. Live'!BN390-'check-Jul''26'!BJ390)</f>
        <v/>
      </c>
      <c r="BK372" s="25" t="str">
        <f>IF('1. Live'!BO390='check-Jul''26'!BK390,"",'1. Live'!BO390-'check-Jul''26'!BK390)</f>
        <v/>
      </c>
      <c r="BL372" s="25" t="str">
        <f>IF('1. Live'!BP390='check-Jul''26'!BL390,"",'1. Live'!BP390-'check-Jul''26'!BL390)</f>
        <v/>
      </c>
      <c r="BM372" s="25" t="str">
        <f>IF('1. Live'!BQ390='check-Jul''26'!BM390,"",'1. Live'!BQ390-'check-Jul''26'!BM390)</f>
        <v/>
      </c>
      <c r="BN372" s="25" t="str">
        <f>IF('1. Live'!BR390='check-Jul''26'!BN390,"",'1. Live'!BR390-'check-Jul''26'!BN390)</f>
        <v/>
      </c>
      <c r="BO372" s="25" t="str">
        <f>IF('1. Live'!BS390='check-Jul''26'!BO390,"",'1. Live'!BS390-'check-Jul''26'!BO390)</f>
        <v/>
      </c>
      <c r="BP372" s="25" t="str">
        <f>IF('1. Live'!BT390='check-Jul''26'!BP390,"",'1. Live'!BT390-'check-Jul''26'!BP390)</f>
        <v/>
      </c>
      <c r="BQ372" s="25" t="str">
        <f>IF('1. Live'!BU390='check-Jul''26'!BQ390,"",'1. Live'!BU390-'check-Jul''26'!BQ390)</f>
        <v/>
      </c>
      <c r="BR372" s="25" t="str">
        <f>IF('1. Live'!BV390='check-Jul''26'!BR390,"",'1. Live'!BV390-'check-Jul''26'!BR390)</f>
        <v/>
      </c>
      <c r="BS372" s="25" t="str">
        <f>IF('1. Live'!BW390='check-Jul''26'!BS390,"",'1. Live'!BW390-'check-Jul''26'!BS390)</f>
        <v/>
      </c>
      <c r="BT372" s="25" t="str">
        <f>IF('1. Live'!BX390='check-Jul''26'!BT390,"",'1. Live'!BX390-'check-Jul''26'!BT390)</f>
        <v/>
      </c>
      <c r="BU372" s="25" t="str">
        <f>IF('1. Live'!BY390='check-Jul''26'!BU390,"",'1. Live'!BY390-'check-Jul''26'!BU390)</f>
        <v/>
      </c>
      <c r="BV372" s="25" t="str">
        <f>IF('1. Live'!BZ390='check-Jul''26'!BV390,"",'1. Live'!BZ390-'check-Jul''26'!BV390)</f>
        <v/>
      </c>
      <c r="BW372" s="25" t="str">
        <f>IF('1. Live'!CA390='check-Jul''26'!BW390,"",'1. Live'!CA390-'check-Jul''26'!BW390)</f>
        <v/>
      </c>
      <c r="BX372" s="25" t="str">
        <f>IF('1. Live'!CB390='check-Jul''26'!BX390,"",'1. Live'!CB390-'check-Jul''26'!BX390)</f>
        <v/>
      </c>
      <c r="BY372" s="25" t="str">
        <f>IF('1. Live'!CC390='check-Jul''26'!BY390,"",'1. Live'!CC390-'check-Jul''26'!BY390)</f>
        <v/>
      </c>
      <c r="BZ372" s="25" t="str">
        <f>IF('1. Live'!CD390='check-Jul''26'!BZ390,"",'1. Live'!CD390-'check-Jul''26'!BZ390)</f>
        <v/>
      </c>
      <c r="CA372" s="25" t="str">
        <f>IF('1. Live'!CE390='check-Jul''26'!CA390,"",'1. Live'!CE390-'check-Jul''26'!CA390)</f>
        <v/>
      </c>
      <c r="CB372" s="25" t="str">
        <f>IF('1. Live'!CF390='check-Jul''26'!CB390,"",'1. Live'!CF390-'check-Jul''26'!CB390)</f>
        <v/>
      </c>
      <c r="CC372" s="25" t="str">
        <f>IF('1. Live'!CG390='check-Jul''26'!CC390,"",'1. Live'!CG390-'check-Jul''26'!CC390)</f>
        <v/>
      </c>
      <c r="CD372" s="25" t="str">
        <f>IF('1. Live'!CH390='check-Jul''26'!CD390,"",'1. Live'!CH390-'check-Jul''26'!CD390)</f>
        <v/>
      </c>
      <c r="CE372" s="25" t="str">
        <f>IF('1. Live'!CI390='check-Jul''26'!CE390,"",'1. Live'!CI390-'check-Jul''26'!CE390)</f>
        <v/>
      </c>
      <c r="CF372" s="25" t="str">
        <f>IF('1. Live'!CJ390='check-Jul''26'!CF390,"",'1. Live'!CJ390-'check-Jul''26'!CF390)</f>
        <v/>
      </c>
      <c r="CG372" s="25" t="str">
        <f>IF('1. Live'!CK390='check-Jul''26'!CG390,"",'1. Live'!CK390-'check-Jul''26'!CG390)</f>
        <v/>
      </c>
      <c r="CH372" s="25" t="str">
        <f>IF('1. Live'!CL390='check-Jul''26'!CH390,"",'1. Live'!CL390-'check-Jul''26'!CH390)</f>
        <v/>
      </c>
      <c r="CI372" s="25" t="str">
        <f>IF('1. Live'!CM390='check-Jul''26'!CI390,"",'1. Live'!CM390-'check-Jul''26'!CI390)</f>
        <v/>
      </c>
      <c r="CJ372" s="25" t="str">
        <f>IF('1. Live'!CN390='check-Jul''26'!CJ390,"",'1. Live'!CN390-'check-Jul''26'!CJ390)</f>
        <v/>
      </c>
      <c r="CK372" s="25" t="str">
        <f>IF('1. Live'!CO390='check-Jul''26'!CK390,"",'1. Live'!CO390-'check-Jul''26'!CK390)</f>
        <v/>
      </c>
      <c r="CL372" s="25" t="str">
        <f>IF('1. Live'!CP390='check-Jul''26'!CL390,"",'1. Live'!CP390-'check-Jul''26'!CL390)</f>
        <v/>
      </c>
      <c r="CM372" s="25" t="str">
        <f>IF('1. Live'!CQ390='check-Jul''26'!CM390,"",'1. Live'!CQ390-'check-Jul''26'!CM390)</f>
        <v/>
      </c>
      <c r="CN372" s="25" t="str">
        <f>IF('1. Live'!CR390='check-Jul''26'!CN390,"",'1. Live'!CR390-'check-Jul''26'!CN390)</f>
        <v/>
      </c>
      <c r="CO372" s="25" t="str">
        <f>IF('1. Live'!CS390='check-Jul''26'!CO390,"",'1. Live'!CS390-'check-Jul''26'!CO390)</f>
        <v/>
      </c>
      <c r="CP372" s="25" t="str">
        <f>IF('1. Live'!CT390='check-Jul''26'!CP390,"",'1. Live'!CT390-'check-Jul''26'!CP390)</f>
        <v/>
      </c>
      <c r="CQ372" s="25" t="str">
        <f>IF('1. Live'!CU390='check-Jul''26'!CQ390,"",'1. Live'!CU390-'check-Jul''26'!CQ390)</f>
        <v/>
      </c>
      <c r="CR372" s="25" t="str">
        <f>IF('1. Live'!CV390='check-Jul''26'!CR390,"",'1. Live'!CV390-'check-Jul''26'!CR390)</f>
        <v/>
      </c>
      <c r="CS372" s="25" t="str">
        <f>IF('1. Live'!CW390='check-Jul''26'!CS390,"",'1. Live'!CW390-'check-Jul''26'!CS390)</f>
        <v/>
      </c>
      <c r="CT372" s="25" t="str">
        <f>IF('1. Live'!CX390='check-Jul''26'!CT390,"",'1. Live'!CX390-'check-Jul''26'!CT390)</f>
        <v/>
      </c>
      <c r="CU372" s="25" t="str">
        <f>IF('1. Live'!CY390='check-Jul''26'!CU390,"",'1. Live'!CY390-'check-Jul''26'!CU390)</f>
        <v/>
      </c>
      <c r="CV372" s="25" t="str">
        <f>IF('1. Live'!CZ390='check-Jul''26'!CV390,"",'1. Live'!CZ390-'check-Jul''26'!CV390)</f>
        <v/>
      </c>
    </row>
    <row r="373" spans="17:100" x14ac:dyDescent="0.25">
      <c r="Q373" s="26" t="str">
        <f>IF('1. Live'!N391='check-Jul''26'!I391,"",'1. Live'!N391-'check-Jul''26'!I391)</f>
        <v/>
      </c>
      <c r="R373" s="26" t="str">
        <f>IF('1. Live'!O391='check-Jul''26'!J391,"",'1. Live'!O391-'check-Jul''26'!J391)</f>
        <v/>
      </c>
      <c r="S373" s="26" t="str">
        <f>IF('1. Live'!P391='check-Jul''26'!K391,"",'1. Live'!P391-'check-Jul''26'!K391)</f>
        <v/>
      </c>
      <c r="T373" s="26" t="str">
        <f>IF('1. Live'!Q391='check-Jul''26'!L391,"",'1. Live'!Q391-'check-Jul''26'!L391)</f>
        <v/>
      </c>
      <c r="U373" s="80" t="str">
        <f>IF('1. Live'!R391='check-Jul''26'!M391,"",'1. Live'!R391-'check-Jul''26'!M391)</f>
        <v/>
      </c>
      <c r="V373" s="26" t="str">
        <f>IF('1. Live'!S391='check-Jul''26'!N391,"",'1. Live'!S391-'check-Jul''26'!N391)</f>
        <v/>
      </c>
      <c r="W373" s="25" t="str">
        <f>IF('1. Live'!T391='check-Jul''26'!O391,"",'1. Live'!T391-'check-Jul''26'!O391)</f>
        <v/>
      </c>
      <c r="X373" s="25" t="str">
        <f>IF('1. Live'!U391='check-Jul''26'!Q391,"",'1. Live'!U391-'check-Jul''26'!Q391)</f>
        <v/>
      </c>
      <c r="Y373" s="25" t="str">
        <f>IF('1. Live'!V391='check-Jul''26'!R391,"",'1. Live'!V391-'check-Jul''26'!R391)</f>
        <v/>
      </c>
      <c r="Z373" s="25" t="str">
        <f>IF('1. Live'!W391='check-Jul''26'!S391,"",'1. Live'!W391-'check-Jul''26'!S391)</f>
        <v/>
      </c>
      <c r="AA373" s="25" t="str">
        <f>IF('1. Live'!X391='check-Jul''26'!T391,"",'1. Live'!X391-'check-Jul''26'!T391)</f>
        <v/>
      </c>
      <c r="AB373" s="25" t="str">
        <f>IF('1. Live'!AF391='check-Jul''26'!AB391,"",'1. Live'!AF391-'check-Jul''26'!AB391)</f>
        <v/>
      </c>
      <c r="AC373" s="25" t="str">
        <f>IF('1. Live'!AG391='check-Jul''26'!AC391,"",'1. Live'!AG391-'check-Jul''26'!AC391)</f>
        <v/>
      </c>
      <c r="AD373" s="25" t="str">
        <f>IF('1. Live'!AH391='check-Jul''26'!AD391,"",'1. Live'!AH391-'check-Jul''26'!AD391)</f>
        <v/>
      </c>
      <c r="AE373" s="25" t="str">
        <f>IF('1. Live'!AI391='check-Jul''26'!AE391,"",'1. Live'!AI391-'check-Jul''26'!AE391)</f>
        <v/>
      </c>
      <c r="AF373" s="25" t="str">
        <f>IF('1. Live'!AJ391='check-Jul''26'!AF391,"",'1. Live'!AJ391-'check-Jul''26'!AF391)</f>
        <v/>
      </c>
      <c r="AG373" s="25" t="str">
        <f>IF('1. Live'!AK391='check-Jul''26'!AG391,"",'1. Live'!AK391-'check-Jul''26'!AG391)</f>
        <v/>
      </c>
      <c r="AH373" s="25" t="str">
        <f>IF('1. Live'!AL391='check-Jul''26'!AH391,"",'1. Live'!AL391-'check-Jul''26'!AH391)</f>
        <v/>
      </c>
      <c r="AI373" s="25" t="str">
        <f>IF('1. Live'!AM391='check-Jul''26'!AI391,"",'1. Live'!AM391-'check-Jul''26'!AI391)</f>
        <v/>
      </c>
      <c r="AJ373" s="25" t="str">
        <f>IF('1. Live'!AN391='check-Jul''26'!AJ391,"",'1. Live'!AN391-'check-Jul''26'!AJ391)</f>
        <v/>
      </c>
      <c r="AK373" s="25" t="str">
        <f>IF('1. Live'!AO391='check-Jul''26'!AK391,"",'1. Live'!AO391-'check-Jul''26'!AK391)</f>
        <v/>
      </c>
      <c r="AL373" s="25" t="str">
        <f>IF('1. Live'!AP391='check-Jul''26'!AL391,"",'1. Live'!AP391-'check-Jul''26'!AL391)</f>
        <v/>
      </c>
      <c r="AM373" s="25" t="str">
        <f>IF('1. Live'!AQ391='check-Jul''26'!AM391,"",'1. Live'!AQ391-'check-Jul''26'!AM391)</f>
        <v/>
      </c>
      <c r="AN373" s="25" t="str">
        <f>IF('1. Live'!AR391='check-Jul''26'!AN391,"",'1. Live'!AR391-'check-Jul''26'!AN391)</f>
        <v/>
      </c>
      <c r="AO373" s="25" t="str">
        <f>IF('1. Live'!AS391='check-Jul''26'!AO391,"",'1. Live'!AS391-'check-Jul''26'!AO391)</f>
        <v/>
      </c>
      <c r="AP373" s="25" t="str">
        <f>IF('1. Live'!AT391='check-Jul''26'!AP391,"",'1. Live'!AT391-'check-Jul''26'!AP391)</f>
        <v/>
      </c>
      <c r="AQ373" s="25" t="str">
        <f>IF('1. Live'!AU391='check-Jul''26'!AQ391,"",'1. Live'!AU391-'check-Jul''26'!AQ391)</f>
        <v/>
      </c>
      <c r="AR373" s="25" t="str">
        <f>IF('1. Live'!AV391='check-Jul''26'!AR391,"",'1. Live'!AV391-'check-Jul''26'!AR391)</f>
        <v/>
      </c>
      <c r="AS373" s="25" t="str">
        <f>IF('1. Live'!AW391='check-Jul''26'!AS391,"",'1. Live'!AW391-'check-Jul''26'!AS391)</f>
        <v/>
      </c>
      <c r="AT373" s="25" t="str">
        <f>IF('1. Live'!AX391='check-Jul''26'!AT391,"",'1. Live'!AX391-'check-Jul''26'!AT391)</f>
        <v/>
      </c>
      <c r="AU373" s="25" t="str">
        <f>IF('1. Live'!AY391='check-Jul''26'!AU391,"",'1. Live'!AY391-'check-Jul''26'!AU391)</f>
        <v/>
      </c>
      <c r="AV373" s="25" t="str">
        <f>IF('1. Live'!AZ391='check-Jul''26'!AV391,"",'1. Live'!AZ391-'check-Jul''26'!AV391)</f>
        <v/>
      </c>
      <c r="AW373" s="25" t="str">
        <f>IF('1. Live'!BA391='check-Jul''26'!AW391,"",'1. Live'!BA391-'check-Jul''26'!AW391)</f>
        <v/>
      </c>
      <c r="AX373" s="25" t="str">
        <f>IF('1. Live'!BB391='check-Jul''26'!AX391,"",'1. Live'!BB391-'check-Jul''26'!AX391)</f>
        <v/>
      </c>
      <c r="AY373" s="25" t="str">
        <f>IF('1. Live'!BC391='check-Jul''26'!AY391,"",'1. Live'!BC391-'check-Jul''26'!AY391)</f>
        <v/>
      </c>
      <c r="AZ373" s="25" t="str">
        <f>IF('1. Live'!BD391='check-Jul''26'!AZ391,"",'1. Live'!BD391-'check-Jul''26'!AZ391)</f>
        <v/>
      </c>
      <c r="BA373" s="25" t="str">
        <f>IF('1. Live'!BE391='check-Jul''26'!BA391,"",'1. Live'!BE391-'check-Jul''26'!BA391)</f>
        <v/>
      </c>
      <c r="BB373" s="25" t="str">
        <f>IF('1. Live'!BF391='check-Jul''26'!BB391,"",'1. Live'!BF391-'check-Jul''26'!BB391)</f>
        <v/>
      </c>
      <c r="BC373" s="25" t="str">
        <f>IF('1. Live'!BG391='check-Jul''26'!BC391,"",'1. Live'!BG391-'check-Jul''26'!BC391)</f>
        <v/>
      </c>
      <c r="BD373" s="25" t="str">
        <f>IF('1. Live'!BH391='check-Jul''26'!BD391,"",'1. Live'!BH391-'check-Jul''26'!BD391)</f>
        <v/>
      </c>
      <c r="BE373" s="25" t="str">
        <f>IF('1. Live'!BI391='check-Jul''26'!BE391,"",'1. Live'!BI391-'check-Jul''26'!BE391)</f>
        <v/>
      </c>
      <c r="BF373" s="25" t="str">
        <f>IF('1. Live'!BJ391='check-Jul''26'!BF391,"",'1. Live'!BJ391-'check-Jul''26'!BF391)</f>
        <v/>
      </c>
      <c r="BG373" s="25" t="str">
        <f>IF('1. Live'!BK391='check-Jul''26'!BG391,"",'1. Live'!BK391-'check-Jul''26'!BG391)</f>
        <v/>
      </c>
      <c r="BH373" s="25" t="str">
        <f>IF('1. Live'!BL391='check-Jul''26'!BH391,"",'1. Live'!BL391-'check-Jul''26'!BH391)</f>
        <v/>
      </c>
      <c r="BI373" s="25" t="str">
        <f>IF('1. Live'!BM391='check-Jul''26'!BI391,"",'1. Live'!BM391-'check-Jul''26'!BI391)</f>
        <v/>
      </c>
      <c r="BJ373" s="25" t="str">
        <f>IF('1. Live'!BN391='check-Jul''26'!BJ391,"",'1. Live'!BN391-'check-Jul''26'!BJ391)</f>
        <v/>
      </c>
      <c r="BK373" s="25" t="str">
        <f>IF('1. Live'!BO391='check-Jul''26'!BK391,"",'1. Live'!BO391-'check-Jul''26'!BK391)</f>
        <v/>
      </c>
      <c r="BL373" s="25" t="str">
        <f>IF('1. Live'!BP391='check-Jul''26'!BL391,"",'1. Live'!BP391-'check-Jul''26'!BL391)</f>
        <v/>
      </c>
      <c r="BM373" s="25" t="str">
        <f>IF('1. Live'!BQ391='check-Jul''26'!BM391,"",'1. Live'!BQ391-'check-Jul''26'!BM391)</f>
        <v/>
      </c>
      <c r="BN373" s="25" t="str">
        <f>IF('1. Live'!BR391='check-Jul''26'!BN391,"",'1. Live'!BR391-'check-Jul''26'!BN391)</f>
        <v/>
      </c>
      <c r="BO373" s="25" t="str">
        <f>IF('1. Live'!BS391='check-Jul''26'!BO391,"",'1. Live'!BS391-'check-Jul''26'!BO391)</f>
        <v/>
      </c>
      <c r="BP373" s="25" t="str">
        <f>IF('1. Live'!BT391='check-Jul''26'!BP391,"",'1. Live'!BT391-'check-Jul''26'!BP391)</f>
        <v/>
      </c>
      <c r="BQ373" s="25" t="str">
        <f>IF('1. Live'!BU391='check-Jul''26'!BQ391,"",'1. Live'!BU391-'check-Jul''26'!BQ391)</f>
        <v/>
      </c>
      <c r="BR373" s="25" t="str">
        <f>IF('1. Live'!BV391='check-Jul''26'!BR391,"",'1. Live'!BV391-'check-Jul''26'!BR391)</f>
        <v/>
      </c>
      <c r="BS373" s="25" t="str">
        <f>IF('1. Live'!BW391='check-Jul''26'!BS391,"",'1. Live'!BW391-'check-Jul''26'!BS391)</f>
        <v/>
      </c>
      <c r="BT373" s="25" t="str">
        <f>IF('1. Live'!BX391='check-Jul''26'!BT391,"",'1. Live'!BX391-'check-Jul''26'!BT391)</f>
        <v/>
      </c>
      <c r="BU373" s="25" t="str">
        <f>IF('1. Live'!BY391='check-Jul''26'!BU391,"",'1. Live'!BY391-'check-Jul''26'!BU391)</f>
        <v/>
      </c>
      <c r="BV373" s="25" t="str">
        <f>IF('1. Live'!BZ391='check-Jul''26'!BV391,"",'1. Live'!BZ391-'check-Jul''26'!BV391)</f>
        <v/>
      </c>
      <c r="BW373" s="25" t="str">
        <f>IF('1. Live'!CA391='check-Jul''26'!BW391,"",'1. Live'!CA391-'check-Jul''26'!BW391)</f>
        <v/>
      </c>
      <c r="BX373" s="25" t="str">
        <f>IF('1. Live'!CB391='check-Jul''26'!BX391,"",'1. Live'!CB391-'check-Jul''26'!BX391)</f>
        <v/>
      </c>
      <c r="BY373" s="25" t="str">
        <f>IF('1. Live'!CC391='check-Jul''26'!BY391,"",'1. Live'!CC391-'check-Jul''26'!BY391)</f>
        <v/>
      </c>
      <c r="BZ373" s="25" t="str">
        <f>IF('1. Live'!CD391='check-Jul''26'!BZ391,"",'1. Live'!CD391-'check-Jul''26'!BZ391)</f>
        <v/>
      </c>
      <c r="CA373" s="25" t="str">
        <f>IF('1. Live'!CE391='check-Jul''26'!CA391,"",'1. Live'!CE391-'check-Jul''26'!CA391)</f>
        <v/>
      </c>
      <c r="CB373" s="25" t="str">
        <f>IF('1. Live'!CF391='check-Jul''26'!CB391,"",'1. Live'!CF391-'check-Jul''26'!CB391)</f>
        <v/>
      </c>
      <c r="CC373" s="25" t="str">
        <f>IF('1. Live'!CG391='check-Jul''26'!CC391,"",'1. Live'!CG391-'check-Jul''26'!CC391)</f>
        <v/>
      </c>
      <c r="CD373" s="25" t="str">
        <f>IF('1. Live'!CH391='check-Jul''26'!CD391,"",'1. Live'!CH391-'check-Jul''26'!CD391)</f>
        <v/>
      </c>
      <c r="CE373" s="25" t="str">
        <f>IF('1. Live'!CI391='check-Jul''26'!CE391,"",'1. Live'!CI391-'check-Jul''26'!CE391)</f>
        <v/>
      </c>
      <c r="CF373" s="25" t="str">
        <f>IF('1. Live'!CJ391='check-Jul''26'!CF391,"",'1. Live'!CJ391-'check-Jul''26'!CF391)</f>
        <v/>
      </c>
      <c r="CG373" s="25" t="str">
        <f>IF('1. Live'!CK391='check-Jul''26'!CG391,"",'1. Live'!CK391-'check-Jul''26'!CG391)</f>
        <v/>
      </c>
      <c r="CH373" s="25" t="str">
        <f>IF('1. Live'!CL391='check-Jul''26'!CH391,"",'1. Live'!CL391-'check-Jul''26'!CH391)</f>
        <v/>
      </c>
      <c r="CI373" s="25" t="str">
        <f>IF('1. Live'!CM391='check-Jul''26'!CI391,"",'1. Live'!CM391-'check-Jul''26'!CI391)</f>
        <v/>
      </c>
      <c r="CJ373" s="25" t="str">
        <f>IF('1. Live'!CN391='check-Jul''26'!CJ391,"",'1. Live'!CN391-'check-Jul''26'!CJ391)</f>
        <v/>
      </c>
      <c r="CK373" s="25" t="str">
        <f>IF('1. Live'!CO391='check-Jul''26'!CK391,"",'1. Live'!CO391-'check-Jul''26'!CK391)</f>
        <v/>
      </c>
      <c r="CL373" s="25" t="str">
        <f>IF('1. Live'!CP391='check-Jul''26'!CL391,"",'1. Live'!CP391-'check-Jul''26'!CL391)</f>
        <v/>
      </c>
      <c r="CM373" s="25" t="str">
        <f>IF('1. Live'!CQ391='check-Jul''26'!CM391,"",'1. Live'!CQ391-'check-Jul''26'!CM391)</f>
        <v/>
      </c>
      <c r="CN373" s="25" t="str">
        <f>IF('1. Live'!CR391='check-Jul''26'!CN391,"",'1. Live'!CR391-'check-Jul''26'!CN391)</f>
        <v/>
      </c>
      <c r="CO373" s="25" t="str">
        <f>IF('1. Live'!CS391='check-Jul''26'!CO391,"",'1. Live'!CS391-'check-Jul''26'!CO391)</f>
        <v/>
      </c>
      <c r="CP373" s="25" t="str">
        <f>IF('1. Live'!CT391='check-Jul''26'!CP391,"",'1. Live'!CT391-'check-Jul''26'!CP391)</f>
        <v/>
      </c>
      <c r="CQ373" s="25" t="str">
        <f>IF('1. Live'!CU391='check-Jul''26'!CQ391,"",'1. Live'!CU391-'check-Jul''26'!CQ391)</f>
        <v/>
      </c>
      <c r="CR373" s="25" t="str">
        <f>IF('1. Live'!CV391='check-Jul''26'!CR391,"",'1. Live'!CV391-'check-Jul''26'!CR391)</f>
        <v/>
      </c>
      <c r="CS373" s="25" t="str">
        <f>IF('1. Live'!CW391='check-Jul''26'!CS391,"",'1. Live'!CW391-'check-Jul''26'!CS391)</f>
        <v/>
      </c>
      <c r="CT373" s="25" t="str">
        <f>IF('1. Live'!CX391='check-Jul''26'!CT391,"",'1. Live'!CX391-'check-Jul''26'!CT391)</f>
        <v/>
      </c>
      <c r="CU373" s="25" t="str">
        <f>IF('1. Live'!CY391='check-Jul''26'!CU391,"",'1. Live'!CY391-'check-Jul''26'!CU391)</f>
        <v/>
      </c>
      <c r="CV373" s="25" t="str">
        <f>IF('1. Live'!CZ391='check-Jul''26'!CV391,"",'1. Live'!CZ391-'check-Jul''26'!CV391)</f>
        <v/>
      </c>
    </row>
    <row r="374" spans="17:100" x14ac:dyDescent="0.25">
      <c r="Q374" s="26" t="str">
        <f>IF('1. Live'!N392='check-Jul''26'!I392,"",'1. Live'!N392-'check-Jul''26'!I392)</f>
        <v/>
      </c>
      <c r="R374" s="26" t="str">
        <f>IF('1. Live'!O392='check-Jul''26'!J392,"",'1. Live'!O392-'check-Jul''26'!J392)</f>
        <v/>
      </c>
      <c r="S374" s="26" t="str">
        <f>IF('1. Live'!P392='check-Jul''26'!K392,"",'1. Live'!P392-'check-Jul''26'!K392)</f>
        <v/>
      </c>
      <c r="T374" s="26" t="str">
        <f>IF('1. Live'!Q392='check-Jul''26'!L392,"",'1. Live'!Q392-'check-Jul''26'!L392)</f>
        <v/>
      </c>
      <c r="U374" s="80" t="str">
        <f>IF('1. Live'!R392='check-Jul''26'!M392,"",'1. Live'!R392-'check-Jul''26'!M392)</f>
        <v/>
      </c>
      <c r="V374" s="26" t="str">
        <f>IF('1. Live'!S392='check-Jul''26'!N392,"",'1. Live'!S392-'check-Jul''26'!N392)</f>
        <v/>
      </c>
      <c r="W374" s="25" t="str">
        <f>IF('1. Live'!T392='check-Jul''26'!O392,"",'1. Live'!T392-'check-Jul''26'!O392)</f>
        <v/>
      </c>
      <c r="X374" s="25" t="str">
        <f>IF('1. Live'!U392='check-Jul''26'!Q392,"",'1. Live'!U392-'check-Jul''26'!Q392)</f>
        <v/>
      </c>
      <c r="Y374" s="25" t="str">
        <f>IF('1. Live'!V392='check-Jul''26'!R392,"",'1. Live'!V392-'check-Jul''26'!R392)</f>
        <v/>
      </c>
      <c r="Z374" s="25" t="str">
        <f>IF('1. Live'!W392='check-Jul''26'!S392,"",'1. Live'!W392-'check-Jul''26'!S392)</f>
        <v/>
      </c>
      <c r="AA374" s="25" t="str">
        <f>IF('1. Live'!X392='check-Jul''26'!T392,"",'1. Live'!X392-'check-Jul''26'!T392)</f>
        <v/>
      </c>
      <c r="AB374" s="25" t="str">
        <f>IF('1. Live'!AF392='check-Jul''26'!AB392,"",'1. Live'!AF392-'check-Jul''26'!AB392)</f>
        <v/>
      </c>
      <c r="AC374" s="25" t="str">
        <f>IF('1. Live'!AG392='check-Jul''26'!AC392,"",'1. Live'!AG392-'check-Jul''26'!AC392)</f>
        <v/>
      </c>
      <c r="AD374" s="25" t="str">
        <f>IF('1. Live'!AH392='check-Jul''26'!AD392,"",'1. Live'!AH392-'check-Jul''26'!AD392)</f>
        <v/>
      </c>
      <c r="AE374" s="25" t="str">
        <f>IF('1. Live'!AI392='check-Jul''26'!AE392,"",'1. Live'!AI392-'check-Jul''26'!AE392)</f>
        <v/>
      </c>
      <c r="AF374" s="25" t="str">
        <f>IF('1. Live'!AJ392='check-Jul''26'!AF392,"",'1. Live'!AJ392-'check-Jul''26'!AF392)</f>
        <v/>
      </c>
      <c r="AG374" s="25" t="str">
        <f>IF('1. Live'!AK392='check-Jul''26'!AG392,"",'1. Live'!AK392-'check-Jul''26'!AG392)</f>
        <v/>
      </c>
      <c r="AH374" s="25" t="str">
        <f>IF('1. Live'!AL392='check-Jul''26'!AH392,"",'1. Live'!AL392-'check-Jul''26'!AH392)</f>
        <v/>
      </c>
      <c r="AI374" s="25" t="str">
        <f>IF('1. Live'!AM392='check-Jul''26'!AI392,"",'1. Live'!AM392-'check-Jul''26'!AI392)</f>
        <v/>
      </c>
      <c r="AJ374" s="25" t="str">
        <f>IF('1. Live'!AN392='check-Jul''26'!AJ392,"",'1. Live'!AN392-'check-Jul''26'!AJ392)</f>
        <v/>
      </c>
      <c r="AK374" s="25" t="str">
        <f>IF('1. Live'!AO392='check-Jul''26'!AK392,"",'1. Live'!AO392-'check-Jul''26'!AK392)</f>
        <v/>
      </c>
      <c r="AL374" s="25" t="str">
        <f>IF('1. Live'!AP392='check-Jul''26'!AL392,"",'1. Live'!AP392-'check-Jul''26'!AL392)</f>
        <v/>
      </c>
      <c r="AM374" s="25" t="str">
        <f>IF('1. Live'!AQ392='check-Jul''26'!AM392,"",'1. Live'!AQ392-'check-Jul''26'!AM392)</f>
        <v/>
      </c>
      <c r="AN374" s="25" t="str">
        <f>IF('1. Live'!AR392='check-Jul''26'!AN392,"",'1. Live'!AR392-'check-Jul''26'!AN392)</f>
        <v/>
      </c>
      <c r="AO374" s="25" t="str">
        <f>IF('1. Live'!AS392='check-Jul''26'!AO392,"",'1. Live'!AS392-'check-Jul''26'!AO392)</f>
        <v/>
      </c>
      <c r="AP374" s="25" t="str">
        <f>IF('1. Live'!AT392='check-Jul''26'!AP392,"",'1. Live'!AT392-'check-Jul''26'!AP392)</f>
        <v/>
      </c>
      <c r="AQ374" s="25" t="str">
        <f>IF('1. Live'!AU392='check-Jul''26'!AQ392,"",'1. Live'!AU392-'check-Jul''26'!AQ392)</f>
        <v/>
      </c>
      <c r="AR374" s="25" t="str">
        <f>IF('1. Live'!AV392='check-Jul''26'!AR392,"",'1. Live'!AV392-'check-Jul''26'!AR392)</f>
        <v/>
      </c>
      <c r="AS374" s="25" t="str">
        <f>IF('1. Live'!AW392='check-Jul''26'!AS392,"",'1. Live'!AW392-'check-Jul''26'!AS392)</f>
        <v/>
      </c>
      <c r="AT374" s="25" t="str">
        <f>IF('1. Live'!AX392='check-Jul''26'!AT392,"",'1. Live'!AX392-'check-Jul''26'!AT392)</f>
        <v/>
      </c>
      <c r="AU374" s="25" t="str">
        <f>IF('1. Live'!AY392='check-Jul''26'!AU392,"",'1. Live'!AY392-'check-Jul''26'!AU392)</f>
        <v/>
      </c>
      <c r="AV374" s="25" t="str">
        <f>IF('1. Live'!AZ392='check-Jul''26'!AV392,"",'1. Live'!AZ392-'check-Jul''26'!AV392)</f>
        <v/>
      </c>
      <c r="AW374" s="25" t="str">
        <f>IF('1. Live'!BA392='check-Jul''26'!AW392,"",'1. Live'!BA392-'check-Jul''26'!AW392)</f>
        <v/>
      </c>
      <c r="AX374" s="25" t="str">
        <f>IF('1. Live'!BB392='check-Jul''26'!AX392,"",'1. Live'!BB392-'check-Jul''26'!AX392)</f>
        <v/>
      </c>
      <c r="AY374" s="25" t="str">
        <f>IF('1. Live'!BC392='check-Jul''26'!AY392,"",'1. Live'!BC392-'check-Jul''26'!AY392)</f>
        <v/>
      </c>
      <c r="AZ374" s="25" t="str">
        <f>IF('1. Live'!BD392='check-Jul''26'!AZ392,"",'1. Live'!BD392-'check-Jul''26'!AZ392)</f>
        <v/>
      </c>
      <c r="BA374" s="25" t="str">
        <f>IF('1. Live'!BE392='check-Jul''26'!BA392,"",'1. Live'!BE392-'check-Jul''26'!BA392)</f>
        <v/>
      </c>
      <c r="BB374" s="25" t="str">
        <f>IF('1. Live'!BF392='check-Jul''26'!BB392,"",'1. Live'!BF392-'check-Jul''26'!BB392)</f>
        <v/>
      </c>
      <c r="BC374" s="25" t="str">
        <f>IF('1. Live'!BG392='check-Jul''26'!BC392,"",'1. Live'!BG392-'check-Jul''26'!BC392)</f>
        <v/>
      </c>
      <c r="BD374" s="25" t="str">
        <f>IF('1. Live'!BH392='check-Jul''26'!BD392,"",'1. Live'!BH392-'check-Jul''26'!BD392)</f>
        <v/>
      </c>
      <c r="BE374" s="25" t="str">
        <f>IF('1. Live'!BI392='check-Jul''26'!BE392,"",'1. Live'!BI392-'check-Jul''26'!BE392)</f>
        <v/>
      </c>
      <c r="BF374" s="25" t="str">
        <f>IF('1. Live'!BJ392='check-Jul''26'!BF392,"",'1. Live'!BJ392-'check-Jul''26'!BF392)</f>
        <v/>
      </c>
      <c r="BG374" s="25" t="str">
        <f>IF('1. Live'!BK392='check-Jul''26'!BG392,"",'1. Live'!BK392-'check-Jul''26'!BG392)</f>
        <v/>
      </c>
      <c r="BH374" s="25" t="str">
        <f>IF('1. Live'!BL392='check-Jul''26'!BH392,"",'1. Live'!BL392-'check-Jul''26'!BH392)</f>
        <v/>
      </c>
      <c r="BI374" s="25" t="str">
        <f>IF('1. Live'!BM392='check-Jul''26'!BI392,"",'1. Live'!BM392-'check-Jul''26'!BI392)</f>
        <v/>
      </c>
      <c r="BJ374" s="25" t="str">
        <f>IF('1. Live'!BN392='check-Jul''26'!BJ392,"",'1. Live'!BN392-'check-Jul''26'!BJ392)</f>
        <v/>
      </c>
      <c r="BK374" s="25" t="str">
        <f>IF('1. Live'!BO392='check-Jul''26'!BK392,"",'1. Live'!BO392-'check-Jul''26'!BK392)</f>
        <v/>
      </c>
      <c r="BL374" s="25" t="str">
        <f>IF('1. Live'!BP392='check-Jul''26'!BL392,"",'1. Live'!BP392-'check-Jul''26'!BL392)</f>
        <v/>
      </c>
      <c r="BM374" s="25" t="str">
        <f>IF('1. Live'!BQ392='check-Jul''26'!BM392,"",'1. Live'!BQ392-'check-Jul''26'!BM392)</f>
        <v/>
      </c>
      <c r="BN374" s="25" t="str">
        <f>IF('1. Live'!BR392='check-Jul''26'!BN392,"",'1. Live'!BR392-'check-Jul''26'!BN392)</f>
        <v/>
      </c>
      <c r="BO374" s="25" t="str">
        <f>IF('1. Live'!BS392='check-Jul''26'!BO392,"",'1. Live'!BS392-'check-Jul''26'!BO392)</f>
        <v/>
      </c>
      <c r="BP374" s="25" t="str">
        <f>IF('1. Live'!BT392='check-Jul''26'!BP392,"",'1. Live'!BT392-'check-Jul''26'!BP392)</f>
        <v/>
      </c>
      <c r="BQ374" s="25" t="str">
        <f>IF('1. Live'!BU392='check-Jul''26'!BQ392,"",'1. Live'!BU392-'check-Jul''26'!BQ392)</f>
        <v/>
      </c>
      <c r="BR374" s="25" t="str">
        <f>IF('1. Live'!BV392='check-Jul''26'!BR392,"",'1. Live'!BV392-'check-Jul''26'!BR392)</f>
        <v/>
      </c>
      <c r="BS374" s="25" t="str">
        <f>IF('1. Live'!BW392='check-Jul''26'!BS392,"",'1. Live'!BW392-'check-Jul''26'!BS392)</f>
        <v/>
      </c>
      <c r="BT374" s="25" t="str">
        <f>IF('1. Live'!BX392='check-Jul''26'!BT392,"",'1. Live'!BX392-'check-Jul''26'!BT392)</f>
        <v/>
      </c>
      <c r="BU374" s="25" t="str">
        <f>IF('1. Live'!BY392='check-Jul''26'!BU392,"",'1. Live'!BY392-'check-Jul''26'!BU392)</f>
        <v/>
      </c>
      <c r="BV374" s="25" t="str">
        <f>IF('1. Live'!BZ392='check-Jul''26'!BV392,"",'1. Live'!BZ392-'check-Jul''26'!BV392)</f>
        <v/>
      </c>
      <c r="BW374" s="25" t="str">
        <f>IF('1. Live'!CA392='check-Jul''26'!BW392,"",'1. Live'!CA392-'check-Jul''26'!BW392)</f>
        <v/>
      </c>
      <c r="BX374" s="25" t="str">
        <f>IF('1. Live'!CB392='check-Jul''26'!BX392,"",'1. Live'!CB392-'check-Jul''26'!BX392)</f>
        <v/>
      </c>
      <c r="BY374" s="25" t="str">
        <f>IF('1. Live'!CC392='check-Jul''26'!BY392,"",'1. Live'!CC392-'check-Jul''26'!BY392)</f>
        <v/>
      </c>
      <c r="BZ374" s="25" t="str">
        <f>IF('1. Live'!CD392='check-Jul''26'!BZ392,"",'1. Live'!CD392-'check-Jul''26'!BZ392)</f>
        <v/>
      </c>
      <c r="CA374" s="25" t="str">
        <f>IF('1. Live'!CE392='check-Jul''26'!CA392,"",'1. Live'!CE392-'check-Jul''26'!CA392)</f>
        <v/>
      </c>
      <c r="CB374" s="25" t="str">
        <f>IF('1. Live'!CF392='check-Jul''26'!CB392,"",'1. Live'!CF392-'check-Jul''26'!CB392)</f>
        <v/>
      </c>
      <c r="CC374" s="25" t="str">
        <f>IF('1. Live'!CG392='check-Jul''26'!CC392,"",'1. Live'!CG392-'check-Jul''26'!CC392)</f>
        <v/>
      </c>
      <c r="CD374" s="25" t="str">
        <f>IF('1. Live'!CH392='check-Jul''26'!CD392,"",'1. Live'!CH392-'check-Jul''26'!CD392)</f>
        <v/>
      </c>
      <c r="CE374" s="25" t="str">
        <f>IF('1. Live'!CI392='check-Jul''26'!CE392,"",'1. Live'!CI392-'check-Jul''26'!CE392)</f>
        <v/>
      </c>
      <c r="CF374" s="25" t="str">
        <f>IF('1. Live'!CJ392='check-Jul''26'!CF392,"",'1. Live'!CJ392-'check-Jul''26'!CF392)</f>
        <v/>
      </c>
      <c r="CG374" s="25" t="str">
        <f>IF('1. Live'!CK392='check-Jul''26'!CG392,"",'1. Live'!CK392-'check-Jul''26'!CG392)</f>
        <v/>
      </c>
      <c r="CH374" s="25" t="str">
        <f>IF('1. Live'!CL392='check-Jul''26'!CH392,"",'1. Live'!CL392-'check-Jul''26'!CH392)</f>
        <v/>
      </c>
      <c r="CI374" s="25" t="str">
        <f>IF('1. Live'!CM392='check-Jul''26'!CI392,"",'1. Live'!CM392-'check-Jul''26'!CI392)</f>
        <v/>
      </c>
      <c r="CJ374" s="25" t="str">
        <f>IF('1. Live'!CN392='check-Jul''26'!CJ392,"",'1. Live'!CN392-'check-Jul''26'!CJ392)</f>
        <v/>
      </c>
      <c r="CK374" s="25" t="str">
        <f>IF('1. Live'!CO392='check-Jul''26'!CK392,"",'1. Live'!CO392-'check-Jul''26'!CK392)</f>
        <v/>
      </c>
      <c r="CL374" s="25" t="str">
        <f>IF('1. Live'!CP392='check-Jul''26'!CL392,"",'1. Live'!CP392-'check-Jul''26'!CL392)</f>
        <v/>
      </c>
      <c r="CM374" s="25" t="str">
        <f>IF('1. Live'!CQ392='check-Jul''26'!CM392,"",'1. Live'!CQ392-'check-Jul''26'!CM392)</f>
        <v/>
      </c>
      <c r="CN374" s="25" t="str">
        <f>IF('1. Live'!CR392='check-Jul''26'!CN392,"",'1. Live'!CR392-'check-Jul''26'!CN392)</f>
        <v/>
      </c>
      <c r="CO374" s="25" t="str">
        <f>IF('1. Live'!CS392='check-Jul''26'!CO392,"",'1. Live'!CS392-'check-Jul''26'!CO392)</f>
        <v/>
      </c>
      <c r="CP374" s="25" t="str">
        <f>IF('1. Live'!CT392='check-Jul''26'!CP392,"",'1. Live'!CT392-'check-Jul''26'!CP392)</f>
        <v/>
      </c>
      <c r="CQ374" s="25" t="str">
        <f>IF('1. Live'!CU392='check-Jul''26'!CQ392,"",'1. Live'!CU392-'check-Jul''26'!CQ392)</f>
        <v/>
      </c>
      <c r="CR374" s="25" t="str">
        <f>IF('1. Live'!CV392='check-Jul''26'!CR392,"",'1. Live'!CV392-'check-Jul''26'!CR392)</f>
        <v/>
      </c>
      <c r="CS374" s="25" t="str">
        <f>IF('1. Live'!CW392='check-Jul''26'!CS392,"",'1. Live'!CW392-'check-Jul''26'!CS392)</f>
        <v/>
      </c>
      <c r="CT374" s="25" t="str">
        <f>IF('1. Live'!CX392='check-Jul''26'!CT392,"",'1. Live'!CX392-'check-Jul''26'!CT392)</f>
        <v/>
      </c>
      <c r="CU374" s="25" t="str">
        <f>IF('1. Live'!CY392='check-Jul''26'!CU392,"",'1. Live'!CY392-'check-Jul''26'!CU392)</f>
        <v/>
      </c>
      <c r="CV374" s="25" t="str">
        <f>IF('1. Live'!CZ392='check-Jul''26'!CV392,"",'1. Live'!CZ392-'check-Jul''26'!CV392)</f>
        <v/>
      </c>
    </row>
    <row r="375" spans="17:100" x14ac:dyDescent="0.25">
      <c r="Q375" s="26" t="str">
        <f>IF('1. Live'!N393='check-Jul''26'!I393,"",'1. Live'!N393-'check-Jul''26'!I393)</f>
        <v/>
      </c>
      <c r="R375" s="26" t="str">
        <f>IF('1. Live'!O393='check-Jul''26'!J393,"",'1. Live'!O393-'check-Jul''26'!J393)</f>
        <v/>
      </c>
      <c r="S375" s="26" t="str">
        <f>IF('1. Live'!P393='check-Jul''26'!K393,"",'1. Live'!P393-'check-Jul''26'!K393)</f>
        <v/>
      </c>
      <c r="T375" s="26" t="str">
        <f>IF('1. Live'!Q393='check-Jul''26'!L393,"",'1. Live'!Q393-'check-Jul''26'!L393)</f>
        <v/>
      </c>
      <c r="U375" s="80" t="str">
        <f>IF('1. Live'!R393='check-Jul''26'!M393,"",'1. Live'!R393-'check-Jul''26'!M393)</f>
        <v/>
      </c>
      <c r="V375" s="26" t="str">
        <f>IF('1. Live'!S393='check-Jul''26'!N393,"",'1. Live'!S393-'check-Jul''26'!N393)</f>
        <v/>
      </c>
      <c r="W375" s="25" t="str">
        <f>IF('1. Live'!T393='check-Jul''26'!O393,"",'1. Live'!T393-'check-Jul''26'!O393)</f>
        <v/>
      </c>
      <c r="X375" s="25" t="str">
        <f>IF('1. Live'!U393='check-Jul''26'!Q393,"",'1. Live'!U393-'check-Jul''26'!Q393)</f>
        <v/>
      </c>
      <c r="Y375" s="25" t="str">
        <f>IF('1. Live'!V393='check-Jul''26'!R393,"",'1. Live'!V393-'check-Jul''26'!R393)</f>
        <v/>
      </c>
      <c r="Z375" s="25" t="str">
        <f>IF('1. Live'!W393='check-Jul''26'!S393,"",'1. Live'!W393-'check-Jul''26'!S393)</f>
        <v/>
      </c>
      <c r="AA375" s="25" t="str">
        <f>IF('1. Live'!X393='check-Jul''26'!T393,"",'1. Live'!X393-'check-Jul''26'!T393)</f>
        <v/>
      </c>
      <c r="AB375" s="25" t="str">
        <f>IF('1. Live'!AF393='check-Jul''26'!AB393,"",'1. Live'!AF393-'check-Jul''26'!AB393)</f>
        <v/>
      </c>
      <c r="AC375" s="25" t="str">
        <f>IF('1. Live'!AG393='check-Jul''26'!AC393,"",'1. Live'!AG393-'check-Jul''26'!AC393)</f>
        <v/>
      </c>
      <c r="AD375" s="25" t="str">
        <f>IF('1. Live'!AH393='check-Jul''26'!AD393,"",'1. Live'!AH393-'check-Jul''26'!AD393)</f>
        <v/>
      </c>
      <c r="AE375" s="25" t="str">
        <f>IF('1. Live'!AI393='check-Jul''26'!AE393,"",'1. Live'!AI393-'check-Jul''26'!AE393)</f>
        <v/>
      </c>
      <c r="AF375" s="25" t="str">
        <f>IF('1. Live'!AJ393='check-Jul''26'!AF393,"",'1. Live'!AJ393-'check-Jul''26'!AF393)</f>
        <v/>
      </c>
      <c r="AG375" s="25" t="str">
        <f>IF('1. Live'!AK393='check-Jul''26'!AG393,"",'1. Live'!AK393-'check-Jul''26'!AG393)</f>
        <v/>
      </c>
      <c r="AH375" s="25" t="str">
        <f>IF('1. Live'!AL393='check-Jul''26'!AH393,"",'1. Live'!AL393-'check-Jul''26'!AH393)</f>
        <v/>
      </c>
      <c r="AI375" s="25" t="str">
        <f>IF('1. Live'!AM393='check-Jul''26'!AI393,"",'1. Live'!AM393-'check-Jul''26'!AI393)</f>
        <v/>
      </c>
      <c r="AJ375" s="25" t="str">
        <f>IF('1. Live'!AN393='check-Jul''26'!AJ393,"",'1. Live'!AN393-'check-Jul''26'!AJ393)</f>
        <v/>
      </c>
      <c r="AK375" s="25" t="str">
        <f>IF('1. Live'!AO393='check-Jul''26'!AK393,"",'1. Live'!AO393-'check-Jul''26'!AK393)</f>
        <v/>
      </c>
      <c r="AL375" s="25" t="str">
        <f>IF('1. Live'!AP393='check-Jul''26'!AL393,"",'1. Live'!AP393-'check-Jul''26'!AL393)</f>
        <v/>
      </c>
      <c r="AM375" s="25" t="str">
        <f>IF('1. Live'!AQ393='check-Jul''26'!AM393,"",'1. Live'!AQ393-'check-Jul''26'!AM393)</f>
        <v/>
      </c>
      <c r="AN375" s="25" t="str">
        <f>IF('1. Live'!AR393='check-Jul''26'!AN393,"",'1. Live'!AR393-'check-Jul''26'!AN393)</f>
        <v/>
      </c>
      <c r="AO375" s="25" t="str">
        <f>IF('1. Live'!AS393='check-Jul''26'!AO393,"",'1. Live'!AS393-'check-Jul''26'!AO393)</f>
        <v/>
      </c>
      <c r="AP375" s="25" t="str">
        <f>IF('1. Live'!AT393='check-Jul''26'!AP393,"",'1. Live'!AT393-'check-Jul''26'!AP393)</f>
        <v/>
      </c>
      <c r="AQ375" s="25" t="str">
        <f>IF('1. Live'!AU393='check-Jul''26'!AQ393,"",'1. Live'!AU393-'check-Jul''26'!AQ393)</f>
        <v/>
      </c>
      <c r="AR375" s="25" t="str">
        <f>IF('1. Live'!AV393='check-Jul''26'!AR393,"",'1. Live'!AV393-'check-Jul''26'!AR393)</f>
        <v/>
      </c>
      <c r="AS375" s="25" t="str">
        <f>IF('1. Live'!AW393='check-Jul''26'!AS393,"",'1. Live'!AW393-'check-Jul''26'!AS393)</f>
        <v/>
      </c>
      <c r="AT375" s="25" t="str">
        <f>IF('1. Live'!AX393='check-Jul''26'!AT393,"",'1. Live'!AX393-'check-Jul''26'!AT393)</f>
        <v/>
      </c>
      <c r="AU375" s="25" t="str">
        <f>IF('1. Live'!AY393='check-Jul''26'!AU393,"",'1. Live'!AY393-'check-Jul''26'!AU393)</f>
        <v/>
      </c>
      <c r="AV375" s="25" t="str">
        <f>IF('1. Live'!AZ393='check-Jul''26'!AV393,"",'1. Live'!AZ393-'check-Jul''26'!AV393)</f>
        <v/>
      </c>
      <c r="AW375" s="25" t="str">
        <f>IF('1. Live'!BA393='check-Jul''26'!AW393,"",'1. Live'!BA393-'check-Jul''26'!AW393)</f>
        <v/>
      </c>
      <c r="AX375" s="25" t="str">
        <f>IF('1. Live'!BB393='check-Jul''26'!AX393,"",'1. Live'!BB393-'check-Jul''26'!AX393)</f>
        <v/>
      </c>
      <c r="AY375" s="25" t="str">
        <f>IF('1. Live'!BC393='check-Jul''26'!AY393,"",'1. Live'!BC393-'check-Jul''26'!AY393)</f>
        <v/>
      </c>
      <c r="AZ375" s="25" t="str">
        <f>IF('1. Live'!BD393='check-Jul''26'!AZ393,"",'1. Live'!BD393-'check-Jul''26'!AZ393)</f>
        <v/>
      </c>
      <c r="BA375" s="25" t="str">
        <f>IF('1. Live'!BE393='check-Jul''26'!BA393,"",'1. Live'!BE393-'check-Jul''26'!BA393)</f>
        <v/>
      </c>
      <c r="BB375" s="25" t="str">
        <f>IF('1. Live'!BF393='check-Jul''26'!BB393,"",'1. Live'!BF393-'check-Jul''26'!BB393)</f>
        <v/>
      </c>
      <c r="BC375" s="25" t="str">
        <f>IF('1. Live'!BG393='check-Jul''26'!BC393,"",'1. Live'!BG393-'check-Jul''26'!BC393)</f>
        <v/>
      </c>
      <c r="BD375" s="25" t="str">
        <f>IF('1. Live'!BH393='check-Jul''26'!BD393,"",'1. Live'!BH393-'check-Jul''26'!BD393)</f>
        <v/>
      </c>
      <c r="BE375" s="25" t="str">
        <f>IF('1. Live'!BI393='check-Jul''26'!BE393,"",'1. Live'!BI393-'check-Jul''26'!BE393)</f>
        <v/>
      </c>
      <c r="BF375" s="25" t="str">
        <f>IF('1. Live'!BJ393='check-Jul''26'!BF393,"",'1. Live'!BJ393-'check-Jul''26'!BF393)</f>
        <v/>
      </c>
      <c r="BG375" s="25" t="str">
        <f>IF('1. Live'!BK393='check-Jul''26'!BG393,"",'1. Live'!BK393-'check-Jul''26'!BG393)</f>
        <v/>
      </c>
      <c r="BH375" s="25" t="str">
        <f>IF('1. Live'!BL393='check-Jul''26'!BH393,"",'1. Live'!BL393-'check-Jul''26'!BH393)</f>
        <v/>
      </c>
      <c r="BI375" s="25" t="str">
        <f>IF('1. Live'!BM393='check-Jul''26'!BI393,"",'1. Live'!BM393-'check-Jul''26'!BI393)</f>
        <v/>
      </c>
      <c r="BJ375" s="25" t="str">
        <f>IF('1. Live'!BN393='check-Jul''26'!BJ393,"",'1. Live'!BN393-'check-Jul''26'!BJ393)</f>
        <v/>
      </c>
      <c r="BK375" s="25" t="str">
        <f>IF('1. Live'!BO393='check-Jul''26'!BK393,"",'1. Live'!BO393-'check-Jul''26'!BK393)</f>
        <v/>
      </c>
      <c r="BL375" s="25" t="str">
        <f>IF('1. Live'!BP393='check-Jul''26'!BL393,"",'1. Live'!BP393-'check-Jul''26'!BL393)</f>
        <v/>
      </c>
      <c r="BM375" s="25" t="str">
        <f>IF('1. Live'!BQ393='check-Jul''26'!BM393,"",'1. Live'!BQ393-'check-Jul''26'!BM393)</f>
        <v/>
      </c>
      <c r="BN375" s="25" t="str">
        <f>IF('1. Live'!BR393='check-Jul''26'!BN393,"",'1. Live'!BR393-'check-Jul''26'!BN393)</f>
        <v/>
      </c>
      <c r="BO375" s="25" t="str">
        <f>IF('1. Live'!BS393='check-Jul''26'!BO393,"",'1. Live'!BS393-'check-Jul''26'!BO393)</f>
        <v/>
      </c>
      <c r="BP375" s="25" t="str">
        <f>IF('1. Live'!BT393='check-Jul''26'!BP393,"",'1. Live'!BT393-'check-Jul''26'!BP393)</f>
        <v/>
      </c>
      <c r="BQ375" s="25" t="str">
        <f>IF('1. Live'!BU393='check-Jul''26'!BQ393,"",'1. Live'!BU393-'check-Jul''26'!BQ393)</f>
        <v/>
      </c>
      <c r="BR375" s="25" t="str">
        <f>IF('1. Live'!BV393='check-Jul''26'!BR393,"",'1. Live'!BV393-'check-Jul''26'!BR393)</f>
        <v/>
      </c>
      <c r="BS375" s="25" t="str">
        <f>IF('1. Live'!BW393='check-Jul''26'!BS393,"",'1. Live'!BW393-'check-Jul''26'!BS393)</f>
        <v/>
      </c>
      <c r="BT375" s="25" t="str">
        <f>IF('1. Live'!BX393='check-Jul''26'!BT393,"",'1. Live'!BX393-'check-Jul''26'!BT393)</f>
        <v/>
      </c>
      <c r="BU375" s="25" t="str">
        <f>IF('1. Live'!BY393='check-Jul''26'!BU393,"",'1. Live'!BY393-'check-Jul''26'!BU393)</f>
        <v/>
      </c>
      <c r="BV375" s="25" t="str">
        <f>IF('1. Live'!BZ393='check-Jul''26'!BV393,"",'1. Live'!BZ393-'check-Jul''26'!BV393)</f>
        <v/>
      </c>
      <c r="BW375" s="25" t="str">
        <f>IF('1. Live'!CA393='check-Jul''26'!BW393,"",'1. Live'!CA393-'check-Jul''26'!BW393)</f>
        <v/>
      </c>
      <c r="BX375" s="25" t="str">
        <f>IF('1. Live'!CB393='check-Jul''26'!BX393,"",'1. Live'!CB393-'check-Jul''26'!BX393)</f>
        <v/>
      </c>
      <c r="BY375" s="25" t="str">
        <f>IF('1. Live'!CC393='check-Jul''26'!BY393,"",'1. Live'!CC393-'check-Jul''26'!BY393)</f>
        <v/>
      </c>
      <c r="BZ375" s="25" t="str">
        <f>IF('1. Live'!CD393='check-Jul''26'!BZ393,"",'1. Live'!CD393-'check-Jul''26'!BZ393)</f>
        <v/>
      </c>
      <c r="CA375" s="25" t="str">
        <f>IF('1. Live'!CE393='check-Jul''26'!CA393,"",'1. Live'!CE393-'check-Jul''26'!CA393)</f>
        <v/>
      </c>
      <c r="CB375" s="25" t="str">
        <f>IF('1. Live'!CF393='check-Jul''26'!CB393,"",'1. Live'!CF393-'check-Jul''26'!CB393)</f>
        <v/>
      </c>
      <c r="CC375" s="25" t="str">
        <f>IF('1. Live'!CG393='check-Jul''26'!CC393,"",'1. Live'!CG393-'check-Jul''26'!CC393)</f>
        <v/>
      </c>
      <c r="CD375" s="25" t="str">
        <f>IF('1. Live'!CH393='check-Jul''26'!CD393,"",'1. Live'!CH393-'check-Jul''26'!CD393)</f>
        <v/>
      </c>
      <c r="CE375" s="25" t="str">
        <f>IF('1. Live'!CI393='check-Jul''26'!CE393,"",'1. Live'!CI393-'check-Jul''26'!CE393)</f>
        <v/>
      </c>
      <c r="CF375" s="25" t="str">
        <f>IF('1. Live'!CJ393='check-Jul''26'!CF393,"",'1. Live'!CJ393-'check-Jul''26'!CF393)</f>
        <v/>
      </c>
      <c r="CG375" s="25" t="str">
        <f>IF('1. Live'!CK393='check-Jul''26'!CG393,"",'1. Live'!CK393-'check-Jul''26'!CG393)</f>
        <v/>
      </c>
      <c r="CH375" s="25" t="str">
        <f>IF('1. Live'!CL393='check-Jul''26'!CH393,"",'1. Live'!CL393-'check-Jul''26'!CH393)</f>
        <v/>
      </c>
      <c r="CI375" s="25" t="str">
        <f>IF('1. Live'!CM393='check-Jul''26'!CI393,"",'1. Live'!CM393-'check-Jul''26'!CI393)</f>
        <v/>
      </c>
      <c r="CJ375" s="25" t="str">
        <f>IF('1. Live'!CN393='check-Jul''26'!CJ393,"",'1. Live'!CN393-'check-Jul''26'!CJ393)</f>
        <v/>
      </c>
      <c r="CK375" s="25" t="str">
        <f>IF('1. Live'!CO393='check-Jul''26'!CK393,"",'1. Live'!CO393-'check-Jul''26'!CK393)</f>
        <v/>
      </c>
      <c r="CL375" s="25" t="str">
        <f>IF('1. Live'!CP393='check-Jul''26'!CL393,"",'1. Live'!CP393-'check-Jul''26'!CL393)</f>
        <v/>
      </c>
      <c r="CM375" s="25" t="str">
        <f>IF('1. Live'!CQ393='check-Jul''26'!CM393,"",'1. Live'!CQ393-'check-Jul''26'!CM393)</f>
        <v/>
      </c>
      <c r="CN375" s="25" t="str">
        <f>IF('1. Live'!CR393='check-Jul''26'!CN393,"",'1. Live'!CR393-'check-Jul''26'!CN393)</f>
        <v/>
      </c>
      <c r="CO375" s="25" t="str">
        <f>IF('1. Live'!CS393='check-Jul''26'!CO393,"",'1. Live'!CS393-'check-Jul''26'!CO393)</f>
        <v/>
      </c>
      <c r="CP375" s="25" t="str">
        <f>IF('1. Live'!CT393='check-Jul''26'!CP393,"",'1. Live'!CT393-'check-Jul''26'!CP393)</f>
        <v/>
      </c>
      <c r="CQ375" s="25" t="str">
        <f>IF('1. Live'!CU393='check-Jul''26'!CQ393,"",'1. Live'!CU393-'check-Jul''26'!CQ393)</f>
        <v/>
      </c>
      <c r="CR375" s="25" t="str">
        <f>IF('1. Live'!CV393='check-Jul''26'!CR393,"",'1. Live'!CV393-'check-Jul''26'!CR393)</f>
        <v/>
      </c>
      <c r="CS375" s="25" t="str">
        <f>IF('1. Live'!CW393='check-Jul''26'!CS393,"",'1. Live'!CW393-'check-Jul''26'!CS393)</f>
        <v/>
      </c>
      <c r="CT375" s="25" t="str">
        <f>IF('1. Live'!CX393='check-Jul''26'!CT393,"",'1. Live'!CX393-'check-Jul''26'!CT393)</f>
        <v/>
      </c>
      <c r="CU375" s="25" t="str">
        <f>IF('1. Live'!CY393='check-Jul''26'!CU393,"",'1. Live'!CY393-'check-Jul''26'!CU393)</f>
        <v/>
      </c>
      <c r="CV375" s="25" t="str">
        <f>IF('1. Live'!CZ393='check-Jul''26'!CV393,"",'1. Live'!CZ393-'check-Jul''26'!CV393)</f>
        <v/>
      </c>
    </row>
    <row r="376" spans="17:100" x14ac:dyDescent="0.25">
      <c r="Q376" s="26" t="str">
        <f>IF('1. Live'!N394='check-Jul''26'!I394,"",'1. Live'!N394-'check-Jul''26'!I394)</f>
        <v/>
      </c>
      <c r="R376" s="26" t="str">
        <f>IF('1. Live'!O394='check-Jul''26'!J394,"",'1. Live'!O394-'check-Jul''26'!J394)</f>
        <v/>
      </c>
      <c r="S376" s="26" t="str">
        <f>IF('1. Live'!P394='check-Jul''26'!K394,"",'1. Live'!P394-'check-Jul''26'!K394)</f>
        <v/>
      </c>
      <c r="T376" s="26" t="str">
        <f>IF('1. Live'!Q394='check-Jul''26'!L394,"",'1. Live'!Q394-'check-Jul''26'!L394)</f>
        <v/>
      </c>
      <c r="U376" s="80" t="str">
        <f>IF('1. Live'!R394='check-Jul''26'!M394,"",'1. Live'!R394-'check-Jul''26'!M394)</f>
        <v/>
      </c>
      <c r="V376" s="26" t="str">
        <f>IF('1. Live'!S394='check-Jul''26'!N394,"",'1. Live'!S394-'check-Jul''26'!N394)</f>
        <v/>
      </c>
      <c r="W376" s="25" t="str">
        <f>IF('1. Live'!T394='check-Jul''26'!O394,"",'1. Live'!T394-'check-Jul''26'!O394)</f>
        <v/>
      </c>
      <c r="X376" s="25" t="str">
        <f>IF('1. Live'!U394='check-Jul''26'!Q394,"",'1. Live'!U394-'check-Jul''26'!Q394)</f>
        <v/>
      </c>
      <c r="Y376" s="25" t="str">
        <f>IF('1. Live'!V394='check-Jul''26'!R394,"",'1. Live'!V394-'check-Jul''26'!R394)</f>
        <v/>
      </c>
      <c r="Z376" s="25" t="str">
        <f>IF('1. Live'!W394='check-Jul''26'!S394,"",'1. Live'!W394-'check-Jul''26'!S394)</f>
        <v/>
      </c>
      <c r="AA376" s="25" t="str">
        <f>IF('1. Live'!X394='check-Jul''26'!T394,"",'1. Live'!X394-'check-Jul''26'!T394)</f>
        <v/>
      </c>
      <c r="AB376" s="25" t="str">
        <f>IF('1. Live'!AF394='check-Jul''26'!AB394,"",'1. Live'!AF394-'check-Jul''26'!AB394)</f>
        <v/>
      </c>
      <c r="AC376" s="25" t="str">
        <f>IF('1. Live'!AG394='check-Jul''26'!AC394,"",'1. Live'!AG394-'check-Jul''26'!AC394)</f>
        <v/>
      </c>
      <c r="AD376" s="25" t="str">
        <f>IF('1. Live'!AH394='check-Jul''26'!AD394,"",'1. Live'!AH394-'check-Jul''26'!AD394)</f>
        <v/>
      </c>
      <c r="AE376" s="25" t="str">
        <f>IF('1. Live'!AI394='check-Jul''26'!AE394,"",'1. Live'!AI394-'check-Jul''26'!AE394)</f>
        <v/>
      </c>
      <c r="AF376" s="25" t="str">
        <f>IF('1. Live'!AJ394='check-Jul''26'!AF394,"",'1. Live'!AJ394-'check-Jul''26'!AF394)</f>
        <v/>
      </c>
      <c r="AG376" s="25" t="str">
        <f>IF('1. Live'!AK394='check-Jul''26'!AG394,"",'1. Live'!AK394-'check-Jul''26'!AG394)</f>
        <v/>
      </c>
      <c r="AH376" s="25" t="str">
        <f>IF('1. Live'!AL394='check-Jul''26'!AH394,"",'1. Live'!AL394-'check-Jul''26'!AH394)</f>
        <v/>
      </c>
      <c r="AI376" s="25" t="str">
        <f>IF('1. Live'!AM394='check-Jul''26'!AI394,"",'1. Live'!AM394-'check-Jul''26'!AI394)</f>
        <v/>
      </c>
      <c r="AJ376" s="25" t="str">
        <f>IF('1. Live'!AN394='check-Jul''26'!AJ394,"",'1. Live'!AN394-'check-Jul''26'!AJ394)</f>
        <v/>
      </c>
      <c r="AK376" s="25" t="str">
        <f>IF('1. Live'!AO394='check-Jul''26'!AK394,"",'1. Live'!AO394-'check-Jul''26'!AK394)</f>
        <v/>
      </c>
      <c r="AL376" s="25" t="str">
        <f>IF('1. Live'!AP394='check-Jul''26'!AL394,"",'1. Live'!AP394-'check-Jul''26'!AL394)</f>
        <v/>
      </c>
      <c r="AM376" s="25" t="str">
        <f>IF('1. Live'!AQ394='check-Jul''26'!AM394,"",'1. Live'!AQ394-'check-Jul''26'!AM394)</f>
        <v/>
      </c>
      <c r="AN376" s="25" t="str">
        <f>IF('1. Live'!AR394='check-Jul''26'!AN394,"",'1. Live'!AR394-'check-Jul''26'!AN394)</f>
        <v/>
      </c>
      <c r="AO376" s="25" t="str">
        <f>IF('1. Live'!AS394='check-Jul''26'!AO394,"",'1. Live'!AS394-'check-Jul''26'!AO394)</f>
        <v/>
      </c>
      <c r="AP376" s="25" t="str">
        <f>IF('1. Live'!AT394='check-Jul''26'!AP394,"",'1. Live'!AT394-'check-Jul''26'!AP394)</f>
        <v/>
      </c>
      <c r="AQ376" s="25" t="str">
        <f>IF('1. Live'!AU394='check-Jul''26'!AQ394,"",'1. Live'!AU394-'check-Jul''26'!AQ394)</f>
        <v/>
      </c>
      <c r="AR376" s="25" t="str">
        <f>IF('1. Live'!AV394='check-Jul''26'!AR394,"",'1. Live'!AV394-'check-Jul''26'!AR394)</f>
        <v/>
      </c>
      <c r="AS376" s="25" t="str">
        <f>IF('1. Live'!AW394='check-Jul''26'!AS394,"",'1. Live'!AW394-'check-Jul''26'!AS394)</f>
        <v/>
      </c>
      <c r="AT376" s="25" t="str">
        <f>IF('1. Live'!AX394='check-Jul''26'!AT394,"",'1. Live'!AX394-'check-Jul''26'!AT394)</f>
        <v/>
      </c>
      <c r="AU376" s="25" t="str">
        <f>IF('1. Live'!AY394='check-Jul''26'!AU394,"",'1. Live'!AY394-'check-Jul''26'!AU394)</f>
        <v/>
      </c>
      <c r="AV376" s="25" t="str">
        <f>IF('1. Live'!AZ394='check-Jul''26'!AV394,"",'1. Live'!AZ394-'check-Jul''26'!AV394)</f>
        <v/>
      </c>
      <c r="AW376" s="25" t="str">
        <f>IF('1. Live'!BA394='check-Jul''26'!AW394,"",'1. Live'!BA394-'check-Jul''26'!AW394)</f>
        <v/>
      </c>
      <c r="AX376" s="25" t="str">
        <f>IF('1. Live'!BB394='check-Jul''26'!AX394,"",'1. Live'!BB394-'check-Jul''26'!AX394)</f>
        <v/>
      </c>
      <c r="AY376" s="25" t="str">
        <f>IF('1. Live'!BC394='check-Jul''26'!AY394,"",'1. Live'!BC394-'check-Jul''26'!AY394)</f>
        <v/>
      </c>
      <c r="AZ376" s="25" t="str">
        <f>IF('1. Live'!BD394='check-Jul''26'!AZ394,"",'1. Live'!BD394-'check-Jul''26'!AZ394)</f>
        <v/>
      </c>
      <c r="BA376" s="25" t="str">
        <f>IF('1. Live'!BE394='check-Jul''26'!BA394,"",'1. Live'!BE394-'check-Jul''26'!BA394)</f>
        <v/>
      </c>
      <c r="BB376" s="25" t="str">
        <f>IF('1. Live'!BF394='check-Jul''26'!BB394,"",'1. Live'!BF394-'check-Jul''26'!BB394)</f>
        <v/>
      </c>
      <c r="BC376" s="25" t="str">
        <f>IF('1. Live'!BG394='check-Jul''26'!BC394,"",'1. Live'!BG394-'check-Jul''26'!BC394)</f>
        <v/>
      </c>
      <c r="BD376" s="25" t="str">
        <f>IF('1. Live'!BH394='check-Jul''26'!BD394,"",'1. Live'!BH394-'check-Jul''26'!BD394)</f>
        <v/>
      </c>
      <c r="BE376" s="25" t="str">
        <f>IF('1. Live'!BI394='check-Jul''26'!BE394,"",'1. Live'!BI394-'check-Jul''26'!BE394)</f>
        <v/>
      </c>
      <c r="BF376" s="25" t="str">
        <f>IF('1. Live'!BJ394='check-Jul''26'!BF394,"",'1. Live'!BJ394-'check-Jul''26'!BF394)</f>
        <v/>
      </c>
      <c r="BG376" s="25" t="str">
        <f>IF('1. Live'!BK394='check-Jul''26'!BG394,"",'1. Live'!BK394-'check-Jul''26'!BG394)</f>
        <v/>
      </c>
      <c r="BH376" s="25" t="str">
        <f>IF('1. Live'!BL394='check-Jul''26'!BH394,"",'1. Live'!BL394-'check-Jul''26'!BH394)</f>
        <v/>
      </c>
      <c r="BI376" s="25" t="str">
        <f>IF('1. Live'!BM394='check-Jul''26'!BI394,"",'1. Live'!BM394-'check-Jul''26'!BI394)</f>
        <v/>
      </c>
      <c r="BJ376" s="25" t="str">
        <f>IF('1. Live'!BN394='check-Jul''26'!BJ394,"",'1. Live'!BN394-'check-Jul''26'!BJ394)</f>
        <v/>
      </c>
      <c r="BK376" s="25" t="str">
        <f>IF('1. Live'!BO394='check-Jul''26'!BK394,"",'1. Live'!BO394-'check-Jul''26'!BK394)</f>
        <v/>
      </c>
      <c r="BL376" s="25" t="str">
        <f>IF('1. Live'!BP394='check-Jul''26'!BL394,"",'1. Live'!BP394-'check-Jul''26'!BL394)</f>
        <v/>
      </c>
      <c r="BM376" s="25" t="str">
        <f>IF('1. Live'!BQ394='check-Jul''26'!BM394,"",'1. Live'!BQ394-'check-Jul''26'!BM394)</f>
        <v/>
      </c>
      <c r="BN376" s="25" t="str">
        <f>IF('1. Live'!BR394='check-Jul''26'!BN394,"",'1. Live'!BR394-'check-Jul''26'!BN394)</f>
        <v/>
      </c>
      <c r="BO376" s="25" t="str">
        <f>IF('1. Live'!BS394='check-Jul''26'!BO394,"",'1. Live'!BS394-'check-Jul''26'!BO394)</f>
        <v/>
      </c>
      <c r="BP376" s="25" t="str">
        <f>IF('1. Live'!BT394='check-Jul''26'!BP394,"",'1. Live'!BT394-'check-Jul''26'!BP394)</f>
        <v/>
      </c>
      <c r="BQ376" s="25" t="str">
        <f>IF('1. Live'!BU394='check-Jul''26'!BQ394,"",'1. Live'!BU394-'check-Jul''26'!BQ394)</f>
        <v/>
      </c>
      <c r="BR376" s="25" t="str">
        <f>IF('1. Live'!BV394='check-Jul''26'!BR394,"",'1. Live'!BV394-'check-Jul''26'!BR394)</f>
        <v/>
      </c>
      <c r="BS376" s="25" t="str">
        <f>IF('1. Live'!BW394='check-Jul''26'!BS394,"",'1. Live'!BW394-'check-Jul''26'!BS394)</f>
        <v/>
      </c>
      <c r="BT376" s="25" t="str">
        <f>IF('1. Live'!BX394='check-Jul''26'!BT394,"",'1. Live'!BX394-'check-Jul''26'!BT394)</f>
        <v/>
      </c>
      <c r="BU376" s="25" t="str">
        <f>IF('1. Live'!BY394='check-Jul''26'!BU394,"",'1. Live'!BY394-'check-Jul''26'!BU394)</f>
        <v/>
      </c>
      <c r="BV376" s="25" t="str">
        <f>IF('1. Live'!BZ394='check-Jul''26'!BV394,"",'1. Live'!BZ394-'check-Jul''26'!BV394)</f>
        <v/>
      </c>
      <c r="BW376" s="25" t="str">
        <f>IF('1. Live'!CA394='check-Jul''26'!BW394,"",'1. Live'!CA394-'check-Jul''26'!BW394)</f>
        <v/>
      </c>
      <c r="BX376" s="25" t="str">
        <f>IF('1. Live'!CB394='check-Jul''26'!BX394,"",'1. Live'!CB394-'check-Jul''26'!BX394)</f>
        <v/>
      </c>
      <c r="BY376" s="25" t="str">
        <f>IF('1. Live'!CC394='check-Jul''26'!BY394,"",'1. Live'!CC394-'check-Jul''26'!BY394)</f>
        <v/>
      </c>
      <c r="BZ376" s="25" t="str">
        <f>IF('1. Live'!CD394='check-Jul''26'!BZ394,"",'1. Live'!CD394-'check-Jul''26'!BZ394)</f>
        <v/>
      </c>
      <c r="CA376" s="25" t="str">
        <f>IF('1. Live'!CE394='check-Jul''26'!CA394,"",'1. Live'!CE394-'check-Jul''26'!CA394)</f>
        <v/>
      </c>
      <c r="CB376" s="25" t="str">
        <f>IF('1. Live'!CF394='check-Jul''26'!CB394,"",'1. Live'!CF394-'check-Jul''26'!CB394)</f>
        <v/>
      </c>
      <c r="CC376" s="25" t="str">
        <f>IF('1. Live'!CG394='check-Jul''26'!CC394,"",'1. Live'!CG394-'check-Jul''26'!CC394)</f>
        <v/>
      </c>
      <c r="CD376" s="25" t="str">
        <f>IF('1. Live'!CH394='check-Jul''26'!CD394,"",'1. Live'!CH394-'check-Jul''26'!CD394)</f>
        <v/>
      </c>
      <c r="CE376" s="25" t="str">
        <f>IF('1. Live'!CI394='check-Jul''26'!CE394,"",'1. Live'!CI394-'check-Jul''26'!CE394)</f>
        <v/>
      </c>
      <c r="CF376" s="25" t="str">
        <f>IF('1. Live'!CJ394='check-Jul''26'!CF394,"",'1. Live'!CJ394-'check-Jul''26'!CF394)</f>
        <v/>
      </c>
      <c r="CG376" s="25" t="str">
        <f>IF('1. Live'!CK394='check-Jul''26'!CG394,"",'1. Live'!CK394-'check-Jul''26'!CG394)</f>
        <v/>
      </c>
      <c r="CH376" s="25" t="str">
        <f>IF('1. Live'!CL394='check-Jul''26'!CH394,"",'1. Live'!CL394-'check-Jul''26'!CH394)</f>
        <v/>
      </c>
      <c r="CI376" s="25" t="str">
        <f>IF('1. Live'!CM394='check-Jul''26'!CI394,"",'1. Live'!CM394-'check-Jul''26'!CI394)</f>
        <v/>
      </c>
      <c r="CJ376" s="25" t="str">
        <f>IF('1. Live'!CN394='check-Jul''26'!CJ394,"",'1. Live'!CN394-'check-Jul''26'!CJ394)</f>
        <v/>
      </c>
      <c r="CK376" s="25" t="str">
        <f>IF('1. Live'!CO394='check-Jul''26'!CK394,"",'1. Live'!CO394-'check-Jul''26'!CK394)</f>
        <v/>
      </c>
      <c r="CL376" s="25" t="str">
        <f>IF('1. Live'!CP394='check-Jul''26'!CL394,"",'1. Live'!CP394-'check-Jul''26'!CL394)</f>
        <v/>
      </c>
      <c r="CM376" s="25" t="str">
        <f>IF('1. Live'!CQ394='check-Jul''26'!CM394,"",'1. Live'!CQ394-'check-Jul''26'!CM394)</f>
        <v/>
      </c>
      <c r="CN376" s="25" t="str">
        <f>IF('1. Live'!CR394='check-Jul''26'!CN394,"",'1. Live'!CR394-'check-Jul''26'!CN394)</f>
        <v/>
      </c>
      <c r="CO376" s="25" t="str">
        <f>IF('1. Live'!CS394='check-Jul''26'!CO394,"",'1. Live'!CS394-'check-Jul''26'!CO394)</f>
        <v/>
      </c>
      <c r="CP376" s="25" t="str">
        <f>IF('1. Live'!CT394='check-Jul''26'!CP394,"",'1. Live'!CT394-'check-Jul''26'!CP394)</f>
        <v/>
      </c>
      <c r="CQ376" s="25" t="str">
        <f>IF('1. Live'!CU394='check-Jul''26'!CQ394,"",'1. Live'!CU394-'check-Jul''26'!CQ394)</f>
        <v/>
      </c>
      <c r="CR376" s="25" t="str">
        <f>IF('1. Live'!CV394='check-Jul''26'!CR394,"",'1. Live'!CV394-'check-Jul''26'!CR394)</f>
        <v/>
      </c>
      <c r="CS376" s="25" t="str">
        <f>IF('1. Live'!CW394='check-Jul''26'!CS394,"",'1. Live'!CW394-'check-Jul''26'!CS394)</f>
        <v/>
      </c>
      <c r="CT376" s="25" t="str">
        <f>IF('1. Live'!CX394='check-Jul''26'!CT394,"",'1. Live'!CX394-'check-Jul''26'!CT394)</f>
        <v/>
      </c>
      <c r="CU376" s="25" t="str">
        <f>IF('1. Live'!CY394='check-Jul''26'!CU394,"",'1. Live'!CY394-'check-Jul''26'!CU394)</f>
        <v/>
      </c>
      <c r="CV376" s="25" t="str">
        <f>IF('1. Live'!CZ394='check-Jul''26'!CV394,"",'1. Live'!CZ394-'check-Jul''26'!CV394)</f>
        <v/>
      </c>
    </row>
    <row r="377" spans="17:100" x14ac:dyDescent="0.25">
      <c r="Q377" s="26" t="str">
        <f>IF('1. Live'!N395='check-Jul''26'!I395,"",'1. Live'!N395-'check-Jul''26'!I395)</f>
        <v/>
      </c>
      <c r="R377" s="26" t="str">
        <f>IF('1. Live'!O395='check-Jul''26'!J395,"",'1. Live'!O395-'check-Jul''26'!J395)</f>
        <v/>
      </c>
      <c r="S377" s="26" t="str">
        <f>IF('1. Live'!P395='check-Jul''26'!K395,"",'1. Live'!P395-'check-Jul''26'!K395)</f>
        <v/>
      </c>
      <c r="T377" s="26" t="str">
        <f>IF('1. Live'!Q395='check-Jul''26'!L395,"",'1. Live'!Q395-'check-Jul''26'!L395)</f>
        <v/>
      </c>
      <c r="U377" s="80" t="str">
        <f>IF('1. Live'!R395='check-Jul''26'!M395,"",'1. Live'!R395-'check-Jul''26'!M395)</f>
        <v/>
      </c>
      <c r="V377" s="26" t="str">
        <f>IF('1. Live'!S395='check-Jul''26'!N395,"",'1. Live'!S395-'check-Jul''26'!N395)</f>
        <v/>
      </c>
      <c r="W377" s="25" t="str">
        <f>IF('1. Live'!T395='check-Jul''26'!O395,"",'1. Live'!T395-'check-Jul''26'!O395)</f>
        <v/>
      </c>
      <c r="X377" s="25" t="str">
        <f>IF('1. Live'!U395='check-Jul''26'!Q395,"",'1. Live'!U395-'check-Jul''26'!Q395)</f>
        <v/>
      </c>
      <c r="Y377" s="25" t="str">
        <f>IF('1. Live'!V395='check-Jul''26'!R395,"",'1. Live'!V395-'check-Jul''26'!R395)</f>
        <v/>
      </c>
      <c r="Z377" s="25" t="str">
        <f>IF('1. Live'!W395='check-Jul''26'!S395,"",'1. Live'!W395-'check-Jul''26'!S395)</f>
        <v/>
      </c>
      <c r="AA377" s="25" t="str">
        <f>IF('1. Live'!X395='check-Jul''26'!T395,"",'1. Live'!X395-'check-Jul''26'!T395)</f>
        <v/>
      </c>
      <c r="AB377" s="25" t="str">
        <f>IF('1. Live'!AF395='check-Jul''26'!AB395,"",'1. Live'!AF395-'check-Jul''26'!AB395)</f>
        <v/>
      </c>
      <c r="AC377" s="25" t="str">
        <f>IF('1. Live'!AG395='check-Jul''26'!AC395,"",'1. Live'!AG395-'check-Jul''26'!AC395)</f>
        <v/>
      </c>
      <c r="AD377" s="25" t="str">
        <f>IF('1. Live'!AH395='check-Jul''26'!AD395,"",'1. Live'!AH395-'check-Jul''26'!AD395)</f>
        <v/>
      </c>
      <c r="AE377" s="25" t="str">
        <f>IF('1. Live'!AI395='check-Jul''26'!AE395,"",'1. Live'!AI395-'check-Jul''26'!AE395)</f>
        <v/>
      </c>
      <c r="AF377" s="25" t="str">
        <f>IF('1. Live'!AJ395='check-Jul''26'!AF395,"",'1. Live'!AJ395-'check-Jul''26'!AF395)</f>
        <v/>
      </c>
      <c r="AG377" s="25" t="str">
        <f>IF('1. Live'!AK395='check-Jul''26'!AG395,"",'1. Live'!AK395-'check-Jul''26'!AG395)</f>
        <v/>
      </c>
      <c r="AH377" s="25" t="str">
        <f>IF('1. Live'!AL395='check-Jul''26'!AH395,"",'1. Live'!AL395-'check-Jul''26'!AH395)</f>
        <v/>
      </c>
      <c r="AI377" s="25" t="str">
        <f>IF('1. Live'!AM395='check-Jul''26'!AI395,"",'1. Live'!AM395-'check-Jul''26'!AI395)</f>
        <v/>
      </c>
      <c r="AJ377" s="25" t="str">
        <f>IF('1. Live'!AN395='check-Jul''26'!AJ395,"",'1. Live'!AN395-'check-Jul''26'!AJ395)</f>
        <v/>
      </c>
      <c r="AK377" s="25" t="str">
        <f>IF('1. Live'!AO395='check-Jul''26'!AK395,"",'1. Live'!AO395-'check-Jul''26'!AK395)</f>
        <v/>
      </c>
      <c r="AL377" s="25" t="str">
        <f>IF('1. Live'!AP395='check-Jul''26'!AL395,"",'1. Live'!AP395-'check-Jul''26'!AL395)</f>
        <v/>
      </c>
      <c r="AM377" s="25" t="str">
        <f>IF('1. Live'!AQ395='check-Jul''26'!AM395,"",'1. Live'!AQ395-'check-Jul''26'!AM395)</f>
        <v/>
      </c>
      <c r="AN377" s="25" t="str">
        <f>IF('1. Live'!AR395='check-Jul''26'!AN395,"",'1. Live'!AR395-'check-Jul''26'!AN395)</f>
        <v/>
      </c>
      <c r="AO377" s="25" t="str">
        <f>IF('1. Live'!AS395='check-Jul''26'!AO395,"",'1. Live'!AS395-'check-Jul''26'!AO395)</f>
        <v/>
      </c>
      <c r="AP377" s="25" t="str">
        <f>IF('1. Live'!AT395='check-Jul''26'!AP395,"",'1. Live'!AT395-'check-Jul''26'!AP395)</f>
        <v/>
      </c>
      <c r="AQ377" s="25" t="str">
        <f>IF('1. Live'!AU395='check-Jul''26'!AQ395,"",'1. Live'!AU395-'check-Jul''26'!AQ395)</f>
        <v/>
      </c>
      <c r="AR377" s="25" t="str">
        <f>IF('1. Live'!AV395='check-Jul''26'!AR395,"",'1. Live'!AV395-'check-Jul''26'!AR395)</f>
        <v/>
      </c>
      <c r="AS377" s="25" t="str">
        <f>IF('1. Live'!AW395='check-Jul''26'!AS395,"",'1. Live'!AW395-'check-Jul''26'!AS395)</f>
        <v/>
      </c>
      <c r="AT377" s="25" t="str">
        <f>IF('1. Live'!AX395='check-Jul''26'!AT395,"",'1. Live'!AX395-'check-Jul''26'!AT395)</f>
        <v/>
      </c>
      <c r="AU377" s="25" t="str">
        <f>IF('1. Live'!AY395='check-Jul''26'!AU395,"",'1. Live'!AY395-'check-Jul''26'!AU395)</f>
        <v/>
      </c>
      <c r="AV377" s="25" t="str">
        <f>IF('1. Live'!AZ395='check-Jul''26'!AV395,"",'1. Live'!AZ395-'check-Jul''26'!AV395)</f>
        <v/>
      </c>
      <c r="AW377" s="25" t="str">
        <f>IF('1. Live'!BA395='check-Jul''26'!AW395,"",'1. Live'!BA395-'check-Jul''26'!AW395)</f>
        <v/>
      </c>
      <c r="AX377" s="25" t="str">
        <f>IF('1. Live'!BB395='check-Jul''26'!AX395,"",'1. Live'!BB395-'check-Jul''26'!AX395)</f>
        <v/>
      </c>
      <c r="AY377" s="25" t="str">
        <f>IF('1. Live'!BC395='check-Jul''26'!AY395,"",'1. Live'!BC395-'check-Jul''26'!AY395)</f>
        <v/>
      </c>
      <c r="AZ377" s="25" t="str">
        <f>IF('1. Live'!BD395='check-Jul''26'!AZ395,"",'1. Live'!BD395-'check-Jul''26'!AZ395)</f>
        <v/>
      </c>
      <c r="BA377" s="25" t="str">
        <f>IF('1. Live'!BE395='check-Jul''26'!BA395,"",'1. Live'!BE395-'check-Jul''26'!BA395)</f>
        <v/>
      </c>
      <c r="BB377" s="25" t="str">
        <f>IF('1. Live'!BF395='check-Jul''26'!BB395,"",'1. Live'!BF395-'check-Jul''26'!BB395)</f>
        <v/>
      </c>
      <c r="BC377" s="25" t="str">
        <f>IF('1. Live'!BG395='check-Jul''26'!BC395,"",'1. Live'!BG395-'check-Jul''26'!BC395)</f>
        <v/>
      </c>
      <c r="BD377" s="25" t="str">
        <f>IF('1. Live'!BH395='check-Jul''26'!BD395,"",'1. Live'!BH395-'check-Jul''26'!BD395)</f>
        <v/>
      </c>
      <c r="BE377" s="25" t="str">
        <f>IF('1. Live'!BI395='check-Jul''26'!BE395,"",'1. Live'!BI395-'check-Jul''26'!BE395)</f>
        <v/>
      </c>
      <c r="BF377" s="25" t="str">
        <f>IF('1. Live'!BJ395='check-Jul''26'!BF395,"",'1. Live'!BJ395-'check-Jul''26'!BF395)</f>
        <v/>
      </c>
      <c r="BG377" s="25" t="str">
        <f>IF('1. Live'!BK395='check-Jul''26'!BG395,"",'1. Live'!BK395-'check-Jul''26'!BG395)</f>
        <v/>
      </c>
      <c r="BH377" s="25" t="str">
        <f>IF('1. Live'!BL395='check-Jul''26'!BH395,"",'1. Live'!BL395-'check-Jul''26'!BH395)</f>
        <v/>
      </c>
      <c r="BI377" s="25" t="str">
        <f>IF('1. Live'!BM395='check-Jul''26'!BI395,"",'1. Live'!BM395-'check-Jul''26'!BI395)</f>
        <v/>
      </c>
      <c r="BJ377" s="25" t="str">
        <f>IF('1. Live'!BN395='check-Jul''26'!BJ395,"",'1. Live'!BN395-'check-Jul''26'!BJ395)</f>
        <v/>
      </c>
      <c r="BK377" s="25" t="str">
        <f>IF('1. Live'!BO395='check-Jul''26'!BK395,"",'1. Live'!BO395-'check-Jul''26'!BK395)</f>
        <v/>
      </c>
      <c r="BL377" s="25" t="str">
        <f>IF('1. Live'!BP395='check-Jul''26'!BL395,"",'1. Live'!BP395-'check-Jul''26'!BL395)</f>
        <v/>
      </c>
      <c r="BM377" s="25" t="str">
        <f>IF('1. Live'!BQ395='check-Jul''26'!BM395,"",'1. Live'!BQ395-'check-Jul''26'!BM395)</f>
        <v/>
      </c>
      <c r="BN377" s="25" t="str">
        <f>IF('1. Live'!BR395='check-Jul''26'!BN395,"",'1. Live'!BR395-'check-Jul''26'!BN395)</f>
        <v/>
      </c>
      <c r="BO377" s="25" t="str">
        <f>IF('1. Live'!BS395='check-Jul''26'!BO395,"",'1. Live'!BS395-'check-Jul''26'!BO395)</f>
        <v/>
      </c>
      <c r="BP377" s="25" t="str">
        <f>IF('1. Live'!BT395='check-Jul''26'!BP395,"",'1. Live'!BT395-'check-Jul''26'!BP395)</f>
        <v/>
      </c>
      <c r="BQ377" s="25" t="str">
        <f>IF('1. Live'!BU395='check-Jul''26'!BQ395,"",'1. Live'!BU395-'check-Jul''26'!BQ395)</f>
        <v/>
      </c>
      <c r="BR377" s="25" t="str">
        <f>IF('1. Live'!BV395='check-Jul''26'!BR395,"",'1. Live'!BV395-'check-Jul''26'!BR395)</f>
        <v/>
      </c>
      <c r="BS377" s="25" t="str">
        <f>IF('1. Live'!BW395='check-Jul''26'!BS395,"",'1. Live'!BW395-'check-Jul''26'!BS395)</f>
        <v/>
      </c>
      <c r="BT377" s="25" t="str">
        <f>IF('1. Live'!BX395='check-Jul''26'!BT395,"",'1. Live'!BX395-'check-Jul''26'!BT395)</f>
        <v/>
      </c>
      <c r="BU377" s="25" t="str">
        <f>IF('1. Live'!BY395='check-Jul''26'!BU395,"",'1. Live'!BY395-'check-Jul''26'!BU395)</f>
        <v/>
      </c>
      <c r="BV377" s="25" t="str">
        <f>IF('1. Live'!BZ395='check-Jul''26'!BV395,"",'1. Live'!BZ395-'check-Jul''26'!BV395)</f>
        <v/>
      </c>
      <c r="BW377" s="25" t="str">
        <f>IF('1. Live'!CA395='check-Jul''26'!BW395,"",'1. Live'!CA395-'check-Jul''26'!BW395)</f>
        <v/>
      </c>
      <c r="BX377" s="25" t="str">
        <f>IF('1. Live'!CB395='check-Jul''26'!BX395,"",'1. Live'!CB395-'check-Jul''26'!BX395)</f>
        <v/>
      </c>
      <c r="BY377" s="25" t="str">
        <f>IF('1. Live'!CC395='check-Jul''26'!BY395,"",'1. Live'!CC395-'check-Jul''26'!BY395)</f>
        <v/>
      </c>
      <c r="BZ377" s="25" t="str">
        <f>IF('1. Live'!CD395='check-Jul''26'!BZ395,"",'1. Live'!CD395-'check-Jul''26'!BZ395)</f>
        <v/>
      </c>
      <c r="CA377" s="25" t="str">
        <f>IF('1. Live'!CE395='check-Jul''26'!CA395,"",'1. Live'!CE395-'check-Jul''26'!CA395)</f>
        <v/>
      </c>
      <c r="CB377" s="25" t="str">
        <f>IF('1. Live'!CF395='check-Jul''26'!CB395,"",'1. Live'!CF395-'check-Jul''26'!CB395)</f>
        <v/>
      </c>
      <c r="CC377" s="25" t="str">
        <f>IF('1. Live'!CG395='check-Jul''26'!CC395,"",'1. Live'!CG395-'check-Jul''26'!CC395)</f>
        <v/>
      </c>
      <c r="CD377" s="25" t="str">
        <f>IF('1. Live'!CH395='check-Jul''26'!CD395,"",'1. Live'!CH395-'check-Jul''26'!CD395)</f>
        <v/>
      </c>
      <c r="CE377" s="25" t="str">
        <f>IF('1. Live'!CI395='check-Jul''26'!CE395,"",'1. Live'!CI395-'check-Jul''26'!CE395)</f>
        <v/>
      </c>
      <c r="CF377" s="25" t="str">
        <f>IF('1. Live'!CJ395='check-Jul''26'!CF395,"",'1. Live'!CJ395-'check-Jul''26'!CF395)</f>
        <v/>
      </c>
      <c r="CG377" s="25" t="str">
        <f>IF('1. Live'!CK395='check-Jul''26'!CG395,"",'1. Live'!CK395-'check-Jul''26'!CG395)</f>
        <v/>
      </c>
      <c r="CH377" s="25" t="str">
        <f>IF('1. Live'!CL395='check-Jul''26'!CH395,"",'1. Live'!CL395-'check-Jul''26'!CH395)</f>
        <v/>
      </c>
      <c r="CI377" s="25" t="str">
        <f>IF('1. Live'!CM395='check-Jul''26'!CI395,"",'1. Live'!CM395-'check-Jul''26'!CI395)</f>
        <v/>
      </c>
      <c r="CJ377" s="25" t="str">
        <f>IF('1. Live'!CN395='check-Jul''26'!CJ395,"",'1. Live'!CN395-'check-Jul''26'!CJ395)</f>
        <v/>
      </c>
      <c r="CK377" s="25" t="str">
        <f>IF('1. Live'!CO395='check-Jul''26'!CK395,"",'1. Live'!CO395-'check-Jul''26'!CK395)</f>
        <v/>
      </c>
      <c r="CL377" s="25" t="str">
        <f>IF('1. Live'!CP395='check-Jul''26'!CL395,"",'1. Live'!CP395-'check-Jul''26'!CL395)</f>
        <v/>
      </c>
      <c r="CM377" s="25" t="str">
        <f>IF('1. Live'!CQ395='check-Jul''26'!CM395,"",'1. Live'!CQ395-'check-Jul''26'!CM395)</f>
        <v/>
      </c>
      <c r="CN377" s="25" t="str">
        <f>IF('1. Live'!CR395='check-Jul''26'!CN395,"",'1. Live'!CR395-'check-Jul''26'!CN395)</f>
        <v/>
      </c>
      <c r="CO377" s="25" t="str">
        <f>IF('1. Live'!CS395='check-Jul''26'!CO395,"",'1. Live'!CS395-'check-Jul''26'!CO395)</f>
        <v/>
      </c>
      <c r="CP377" s="25" t="str">
        <f>IF('1. Live'!CT395='check-Jul''26'!CP395,"",'1. Live'!CT395-'check-Jul''26'!CP395)</f>
        <v/>
      </c>
      <c r="CQ377" s="25" t="str">
        <f>IF('1. Live'!CU395='check-Jul''26'!CQ395,"",'1. Live'!CU395-'check-Jul''26'!CQ395)</f>
        <v/>
      </c>
      <c r="CR377" s="25" t="str">
        <f>IF('1. Live'!CV395='check-Jul''26'!CR395,"",'1. Live'!CV395-'check-Jul''26'!CR395)</f>
        <v/>
      </c>
      <c r="CS377" s="25" t="str">
        <f>IF('1. Live'!CW395='check-Jul''26'!CS395,"",'1. Live'!CW395-'check-Jul''26'!CS395)</f>
        <v/>
      </c>
      <c r="CT377" s="25" t="str">
        <f>IF('1. Live'!CX395='check-Jul''26'!CT395,"",'1. Live'!CX395-'check-Jul''26'!CT395)</f>
        <v/>
      </c>
      <c r="CU377" s="25" t="str">
        <f>IF('1. Live'!CY395='check-Jul''26'!CU395,"",'1. Live'!CY395-'check-Jul''26'!CU395)</f>
        <v/>
      </c>
      <c r="CV377" s="25" t="str">
        <f>IF('1. Live'!CZ395='check-Jul''26'!CV395,"",'1. Live'!CZ395-'check-Jul''26'!CV395)</f>
        <v/>
      </c>
    </row>
    <row r="378" spans="17:100" x14ac:dyDescent="0.25">
      <c r="Q378" s="26" t="str">
        <f>IF('1. Live'!N396='check-Jul''26'!I396,"",'1. Live'!N396-'check-Jul''26'!I396)</f>
        <v/>
      </c>
      <c r="R378" s="26" t="str">
        <f>IF('1. Live'!O396='check-Jul''26'!J396,"",'1. Live'!O396-'check-Jul''26'!J396)</f>
        <v/>
      </c>
      <c r="S378" s="26" t="str">
        <f>IF('1. Live'!P396='check-Jul''26'!K396,"",'1. Live'!P396-'check-Jul''26'!K396)</f>
        <v/>
      </c>
      <c r="T378" s="26" t="str">
        <f>IF('1. Live'!Q396='check-Jul''26'!L396,"",'1. Live'!Q396-'check-Jul''26'!L396)</f>
        <v/>
      </c>
      <c r="U378" s="80" t="str">
        <f>IF('1. Live'!R396='check-Jul''26'!M396,"",'1. Live'!R396-'check-Jul''26'!M396)</f>
        <v/>
      </c>
      <c r="V378" s="26" t="str">
        <f>IF('1. Live'!S396='check-Jul''26'!N396,"",'1. Live'!S396-'check-Jul''26'!N396)</f>
        <v/>
      </c>
      <c r="W378" s="25" t="str">
        <f>IF('1. Live'!T396='check-Jul''26'!O396,"",'1. Live'!T396-'check-Jul''26'!O396)</f>
        <v/>
      </c>
      <c r="X378" s="25" t="str">
        <f>IF('1. Live'!U396='check-Jul''26'!Q396,"",'1. Live'!U396-'check-Jul''26'!Q396)</f>
        <v/>
      </c>
      <c r="Y378" s="25" t="str">
        <f>IF('1. Live'!V396='check-Jul''26'!R396,"",'1. Live'!V396-'check-Jul''26'!R396)</f>
        <v/>
      </c>
      <c r="Z378" s="25" t="str">
        <f>IF('1. Live'!W396='check-Jul''26'!S396,"",'1. Live'!W396-'check-Jul''26'!S396)</f>
        <v/>
      </c>
      <c r="AA378" s="25" t="str">
        <f>IF('1. Live'!X396='check-Jul''26'!T396,"",'1. Live'!X396-'check-Jul''26'!T396)</f>
        <v/>
      </c>
      <c r="AB378" s="25" t="str">
        <f>IF('1. Live'!AF396='check-Jul''26'!AB396,"",'1. Live'!AF396-'check-Jul''26'!AB396)</f>
        <v/>
      </c>
      <c r="AC378" s="25" t="str">
        <f>IF('1. Live'!AG396='check-Jul''26'!AC396,"",'1. Live'!AG396-'check-Jul''26'!AC396)</f>
        <v/>
      </c>
      <c r="AD378" s="25" t="str">
        <f>IF('1. Live'!AH396='check-Jul''26'!AD396,"",'1. Live'!AH396-'check-Jul''26'!AD396)</f>
        <v/>
      </c>
      <c r="AE378" s="25" t="str">
        <f>IF('1. Live'!AI396='check-Jul''26'!AE396,"",'1. Live'!AI396-'check-Jul''26'!AE396)</f>
        <v/>
      </c>
      <c r="AF378" s="25" t="str">
        <f>IF('1. Live'!AJ396='check-Jul''26'!AF396,"",'1. Live'!AJ396-'check-Jul''26'!AF396)</f>
        <v/>
      </c>
      <c r="AG378" s="25" t="str">
        <f>IF('1. Live'!AK396='check-Jul''26'!AG396,"",'1. Live'!AK396-'check-Jul''26'!AG396)</f>
        <v/>
      </c>
      <c r="AH378" s="25" t="str">
        <f>IF('1. Live'!AL396='check-Jul''26'!AH396,"",'1. Live'!AL396-'check-Jul''26'!AH396)</f>
        <v/>
      </c>
      <c r="AI378" s="25" t="str">
        <f>IF('1. Live'!AM396='check-Jul''26'!AI396,"",'1. Live'!AM396-'check-Jul''26'!AI396)</f>
        <v/>
      </c>
      <c r="AJ378" s="25" t="str">
        <f>IF('1. Live'!AN396='check-Jul''26'!AJ396,"",'1. Live'!AN396-'check-Jul''26'!AJ396)</f>
        <v/>
      </c>
      <c r="AK378" s="25" t="str">
        <f>IF('1. Live'!AO396='check-Jul''26'!AK396,"",'1. Live'!AO396-'check-Jul''26'!AK396)</f>
        <v/>
      </c>
      <c r="AL378" s="25" t="str">
        <f>IF('1. Live'!AP396='check-Jul''26'!AL396,"",'1. Live'!AP396-'check-Jul''26'!AL396)</f>
        <v/>
      </c>
      <c r="AM378" s="25" t="str">
        <f>IF('1. Live'!AQ396='check-Jul''26'!AM396,"",'1. Live'!AQ396-'check-Jul''26'!AM396)</f>
        <v/>
      </c>
      <c r="AN378" s="25" t="str">
        <f>IF('1. Live'!AR396='check-Jul''26'!AN396,"",'1. Live'!AR396-'check-Jul''26'!AN396)</f>
        <v/>
      </c>
      <c r="AO378" s="25" t="str">
        <f>IF('1. Live'!AS396='check-Jul''26'!AO396,"",'1. Live'!AS396-'check-Jul''26'!AO396)</f>
        <v/>
      </c>
      <c r="AP378" s="25" t="str">
        <f>IF('1. Live'!AT396='check-Jul''26'!AP396,"",'1. Live'!AT396-'check-Jul''26'!AP396)</f>
        <v/>
      </c>
      <c r="AQ378" s="25" t="str">
        <f>IF('1. Live'!AU396='check-Jul''26'!AQ396,"",'1. Live'!AU396-'check-Jul''26'!AQ396)</f>
        <v/>
      </c>
      <c r="AR378" s="25" t="str">
        <f>IF('1. Live'!AV396='check-Jul''26'!AR396,"",'1. Live'!AV396-'check-Jul''26'!AR396)</f>
        <v/>
      </c>
      <c r="AS378" s="25" t="str">
        <f>IF('1. Live'!AW396='check-Jul''26'!AS396,"",'1. Live'!AW396-'check-Jul''26'!AS396)</f>
        <v/>
      </c>
      <c r="AT378" s="25" t="str">
        <f>IF('1. Live'!AX396='check-Jul''26'!AT396,"",'1. Live'!AX396-'check-Jul''26'!AT396)</f>
        <v/>
      </c>
      <c r="AU378" s="25" t="str">
        <f>IF('1. Live'!AY396='check-Jul''26'!AU396,"",'1. Live'!AY396-'check-Jul''26'!AU396)</f>
        <v/>
      </c>
      <c r="AV378" s="25" t="str">
        <f>IF('1. Live'!AZ396='check-Jul''26'!AV396,"",'1. Live'!AZ396-'check-Jul''26'!AV396)</f>
        <v/>
      </c>
      <c r="AW378" s="25" t="str">
        <f>IF('1. Live'!BA396='check-Jul''26'!AW396,"",'1. Live'!BA396-'check-Jul''26'!AW396)</f>
        <v/>
      </c>
      <c r="AX378" s="25" t="str">
        <f>IF('1. Live'!BB396='check-Jul''26'!AX396,"",'1. Live'!BB396-'check-Jul''26'!AX396)</f>
        <v/>
      </c>
      <c r="AY378" s="25" t="str">
        <f>IF('1. Live'!BC396='check-Jul''26'!AY396,"",'1. Live'!BC396-'check-Jul''26'!AY396)</f>
        <v/>
      </c>
      <c r="AZ378" s="25" t="str">
        <f>IF('1. Live'!BD396='check-Jul''26'!AZ396,"",'1. Live'!BD396-'check-Jul''26'!AZ396)</f>
        <v/>
      </c>
      <c r="BA378" s="25" t="str">
        <f>IF('1. Live'!BE396='check-Jul''26'!BA396,"",'1. Live'!BE396-'check-Jul''26'!BA396)</f>
        <v/>
      </c>
      <c r="BB378" s="25" t="str">
        <f>IF('1. Live'!BF396='check-Jul''26'!BB396,"",'1. Live'!BF396-'check-Jul''26'!BB396)</f>
        <v/>
      </c>
      <c r="BC378" s="25" t="str">
        <f>IF('1. Live'!BG396='check-Jul''26'!BC396,"",'1. Live'!BG396-'check-Jul''26'!BC396)</f>
        <v/>
      </c>
      <c r="BD378" s="25" t="str">
        <f>IF('1. Live'!BH396='check-Jul''26'!BD396,"",'1. Live'!BH396-'check-Jul''26'!BD396)</f>
        <v/>
      </c>
      <c r="BE378" s="25" t="str">
        <f>IF('1. Live'!BI396='check-Jul''26'!BE396,"",'1. Live'!BI396-'check-Jul''26'!BE396)</f>
        <v/>
      </c>
      <c r="BF378" s="25" t="str">
        <f>IF('1. Live'!BJ396='check-Jul''26'!BF396,"",'1. Live'!BJ396-'check-Jul''26'!BF396)</f>
        <v/>
      </c>
      <c r="BG378" s="25" t="str">
        <f>IF('1. Live'!BK396='check-Jul''26'!BG396,"",'1. Live'!BK396-'check-Jul''26'!BG396)</f>
        <v/>
      </c>
      <c r="BH378" s="25" t="str">
        <f>IF('1. Live'!BL396='check-Jul''26'!BH396,"",'1. Live'!BL396-'check-Jul''26'!BH396)</f>
        <v/>
      </c>
      <c r="BI378" s="25" t="str">
        <f>IF('1. Live'!BM396='check-Jul''26'!BI396,"",'1. Live'!BM396-'check-Jul''26'!BI396)</f>
        <v/>
      </c>
      <c r="BJ378" s="25" t="str">
        <f>IF('1. Live'!BN396='check-Jul''26'!BJ396,"",'1. Live'!BN396-'check-Jul''26'!BJ396)</f>
        <v/>
      </c>
      <c r="BK378" s="25" t="str">
        <f>IF('1. Live'!BO396='check-Jul''26'!BK396,"",'1. Live'!BO396-'check-Jul''26'!BK396)</f>
        <v/>
      </c>
      <c r="BL378" s="25" t="str">
        <f>IF('1. Live'!BP396='check-Jul''26'!BL396,"",'1. Live'!BP396-'check-Jul''26'!BL396)</f>
        <v/>
      </c>
      <c r="BM378" s="25" t="str">
        <f>IF('1. Live'!BQ396='check-Jul''26'!BM396,"",'1. Live'!BQ396-'check-Jul''26'!BM396)</f>
        <v/>
      </c>
      <c r="BN378" s="25" t="str">
        <f>IF('1. Live'!BR396='check-Jul''26'!BN396,"",'1. Live'!BR396-'check-Jul''26'!BN396)</f>
        <v/>
      </c>
      <c r="BO378" s="25" t="str">
        <f>IF('1. Live'!BS396='check-Jul''26'!BO396,"",'1. Live'!BS396-'check-Jul''26'!BO396)</f>
        <v/>
      </c>
      <c r="BP378" s="25" t="str">
        <f>IF('1. Live'!BT396='check-Jul''26'!BP396,"",'1. Live'!BT396-'check-Jul''26'!BP396)</f>
        <v/>
      </c>
      <c r="BQ378" s="25" t="str">
        <f>IF('1. Live'!BU396='check-Jul''26'!BQ396,"",'1. Live'!BU396-'check-Jul''26'!BQ396)</f>
        <v/>
      </c>
      <c r="BR378" s="25" t="str">
        <f>IF('1. Live'!BV396='check-Jul''26'!BR396,"",'1. Live'!BV396-'check-Jul''26'!BR396)</f>
        <v/>
      </c>
      <c r="BS378" s="25" t="str">
        <f>IF('1. Live'!BW396='check-Jul''26'!BS396,"",'1. Live'!BW396-'check-Jul''26'!BS396)</f>
        <v/>
      </c>
      <c r="BT378" s="25" t="str">
        <f>IF('1. Live'!BX396='check-Jul''26'!BT396,"",'1. Live'!BX396-'check-Jul''26'!BT396)</f>
        <v/>
      </c>
      <c r="BU378" s="25" t="str">
        <f>IF('1. Live'!BY396='check-Jul''26'!BU396,"",'1. Live'!BY396-'check-Jul''26'!BU396)</f>
        <v/>
      </c>
      <c r="BV378" s="25" t="str">
        <f>IF('1. Live'!BZ396='check-Jul''26'!BV396,"",'1. Live'!BZ396-'check-Jul''26'!BV396)</f>
        <v/>
      </c>
      <c r="BW378" s="25" t="str">
        <f>IF('1. Live'!CA396='check-Jul''26'!BW396,"",'1. Live'!CA396-'check-Jul''26'!BW396)</f>
        <v/>
      </c>
      <c r="BX378" s="25" t="str">
        <f>IF('1. Live'!CB396='check-Jul''26'!BX396,"",'1. Live'!CB396-'check-Jul''26'!BX396)</f>
        <v/>
      </c>
      <c r="BY378" s="25" t="str">
        <f>IF('1. Live'!CC396='check-Jul''26'!BY396,"",'1. Live'!CC396-'check-Jul''26'!BY396)</f>
        <v/>
      </c>
      <c r="BZ378" s="25" t="str">
        <f>IF('1. Live'!CD396='check-Jul''26'!BZ396,"",'1. Live'!CD396-'check-Jul''26'!BZ396)</f>
        <v/>
      </c>
      <c r="CA378" s="25" t="str">
        <f>IF('1. Live'!CE396='check-Jul''26'!CA396,"",'1. Live'!CE396-'check-Jul''26'!CA396)</f>
        <v/>
      </c>
      <c r="CB378" s="25" t="str">
        <f>IF('1. Live'!CF396='check-Jul''26'!CB396,"",'1. Live'!CF396-'check-Jul''26'!CB396)</f>
        <v/>
      </c>
      <c r="CC378" s="25" t="str">
        <f>IF('1. Live'!CG396='check-Jul''26'!CC396,"",'1. Live'!CG396-'check-Jul''26'!CC396)</f>
        <v/>
      </c>
      <c r="CD378" s="25" t="str">
        <f>IF('1. Live'!CH396='check-Jul''26'!CD396,"",'1. Live'!CH396-'check-Jul''26'!CD396)</f>
        <v/>
      </c>
      <c r="CE378" s="25" t="str">
        <f>IF('1. Live'!CI396='check-Jul''26'!CE396,"",'1. Live'!CI396-'check-Jul''26'!CE396)</f>
        <v/>
      </c>
      <c r="CF378" s="25" t="str">
        <f>IF('1. Live'!CJ396='check-Jul''26'!CF396,"",'1. Live'!CJ396-'check-Jul''26'!CF396)</f>
        <v/>
      </c>
      <c r="CG378" s="25" t="str">
        <f>IF('1. Live'!CK396='check-Jul''26'!CG396,"",'1. Live'!CK396-'check-Jul''26'!CG396)</f>
        <v/>
      </c>
      <c r="CH378" s="25" t="str">
        <f>IF('1. Live'!CL396='check-Jul''26'!CH396,"",'1. Live'!CL396-'check-Jul''26'!CH396)</f>
        <v/>
      </c>
      <c r="CI378" s="25" t="str">
        <f>IF('1. Live'!CM396='check-Jul''26'!CI396,"",'1. Live'!CM396-'check-Jul''26'!CI396)</f>
        <v/>
      </c>
      <c r="CJ378" s="25" t="str">
        <f>IF('1. Live'!CN396='check-Jul''26'!CJ396,"",'1. Live'!CN396-'check-Jul''26'!CJ396)</f>
        <v/>
      </c>
      <c r="CK378" s="25" t="str">
        <f>IF('1. Live'!CO396='check-Jul''26'!CK396,"",'1. Live'!CO396-'check-Jul''26'!CK396)</f>
        <v/>
      </c>
      <c r="CL378" s="25" t="str">
        <f>IF('1. Live'!CP396='check-Jul''26'!CL396,"",'1. Live'!CP396-'check-Jul''26'!CL396)</f>
        <v/>
      </c>
      <c r="CM378" s="25" t="str">
        <f>IF('1. Live'!CQ396='check-Jul''26'!CM396,"",'1. Live'!CQ396-'check-Jul''26'!CM396)</f>
        <v/>
      </c>
      <c r="CN378" s="25" t="str">
        <f>IF('1. Live'!CR396='check-Jul''26'!CN396,"",'1. Live'!CR396-'check-Jul''26'!CN396)</f>
        <v/>
      </c>
      <c r="CO378" s="25" t="str">
        <f>IF('1. Live'!CS396='check-Jul''26'!CO396,"",'1. Live'!CS396-'check-Jul''26'!CO396)</f>
        <v/>
      </c>
      <c r="CP378" s="25" t="str">
        <f>IF('1. Live'!CT396='check-Jul''26'!CP396,"",'1. Live'!CT396-'check-Jul''26'!CP396)</f>
        <v/>
      </c>
      <c r="CQ378" s="25" t="str">
        <f>IF('1. Live'!CU396='check-Jul''26'!CQ396,"",'1. Live'!CU396-'check-Jul''26'!CQ396)</f>
        <v/>
      </c>
      <c r="CR378" s="25" t="str">
        <f>IF('1. Live'!CV396='check-Jul''26'!CR396,"",'1. Live'!CV396-'check-Jul''26'!CR396)</f>
        <v/>
      </c>
      <c r="CS378" s="25" t="str">
        <f>IF('1. Live'!CW396='check-Jul''26'!CS396,"",'1. Live'!CW396-'check-Jul''26'!CS396)</f>
        <v/>
      </c>
      <c r="CT378" s="25" t="str">
        <f>IF('1. Live'!CX396='check-Jul''26'!CT396,"",'1. Live'!CX396-'check-Jul''26'!CT396)</f>
        <v/>
      </c>
      <c r="CU378" s="25" t="str">
        <f>IF('1. Live'!CY396='check-Jul''26'!CU396,"",'1. Live'!CY396-'check-Jul''26'!CU396)</f>
        <v/>
      </c>
      <c r="CV378" s="25" t="str">
        <f>IF('1. Live'!CZ396='check-Jul''26'!CV396,"",'1. Live'!CZ396-'check-Jul''26'!CV396)</f>
        <v/>
      </c>
    </row>
    <row r="379" spans="17:100" x14ac:dyDescent="0.25">
      <c r="Q379" s="26" t="str">
        <f>IF('1. Live'!N397='check-Jul''26'!I397,"",'1. Live'!N397-'check-Jul''26'!I397)</f>
        <v/>
      </c>
      <c r="R379" s="26" t="str">
        <f>IF('1. Live'!O397='check-Jul''26'!J397,"",'1. Live'!O397-'check-Jul''26'!J397)</f>
        <v/>
      </c>
      <c r="S379" s="26" t="str">
        <f>IF('1. Live'!P397='check-Jul''26'!K397,"",'1. Live'!P397-'check-Jul''26'!K397)</f>
        <v/>
      </c>
      <c r="T379" s="26" t="str">
        <f>IF('1. Live'!Q397='check-Jul''26'!L397,"",'1. Live'!Q397-'check-Jul''26'!L397)</f>
        <v/>
      </c>
      <c r="U379" s="80" t="str">
        <f>IF('1. Live'!R397='check-Jul''26'!M397,"",'1. Live'!R397-'check-Jul''26'!M397)</f>
        <v/>
      </c>
      <c r="V379" s="26" t="str">
        <f>IF('1. Live'!S397='check-Jul''26'!N397,"",'1. Live'!S397-'check-Jul''26'!N397)</f>
        <v/>
      </c>
      <c r="W379" s="25" t="str">
        <f>IF('1. Live'!T397='check-Jul''26'!O397,"",'1. Live'!T397-'check-Jul''26'!O397)</f>
        <v/>
      </c>
      <c r="X379" s="25" t="str">
        <f>IF('1. Live'!U397='check-Jul''26'!Q397,"",'1. Live'!U397-'check-Jul''26'!Q397)</f>
        <v/>
      </c>
      <c r="Y379" s="25" t="str">
        <f>IF('1. Live'!V397='check-Jul''26'!R397,"",'1. Live'!V397-'check-Jul''26'!R397)</f>
        <v/>
      </c>
      <c r="Z379" s="25" t="str">
        <f>IF('1. Live'!W397='check-Jul''26'!S397,"",'1. Live'!W397-'check-Jul''26'!S397)</f>
        <v/>
      </c>
      <c r="AA379" s="25" t="str">
        <f>IF('1. Live'!X397='check-Jul''26'!T397,"",'1. Live'!X397-'check-Jul''26'!T397)</f>
        <v/>
      </c>
      <c r="AB379" s="25" t="str">
        <f>IF('1. Live'!AF397='check-Jul''26'!AB397,"",'1. Live'!AF397-'check-Jul''26'!AB397)</f>
        <v/>
      </c>
      <c r="AC379" s="25" t="str">
        <f>IF('1. Live'!AG397='check-Jul''26'!AC397,"",'1. Live'!AG397-'check-Jul''26'!AC397)</f>
        <v/>
      </c>
      <c r="AD379" s="25" t="str">
        <f>IF('1. Live'!AH397='check-Jul''26'!AD397,"",'1. Live'!AH397-'check-Jul''26'!AD397)</f>
        <v/>
      </c>
      <c r="AE379" s="25" t="str">
        <f>IF('1. Live'!AI397='check-Jul''26'!AE397,"",'1. Live'!AI397-'check-Jul''26'!AE397)</f>
        <v/>
      </c>
      <c r="AF379" s="25" t="str">
        <f>IF('1. Live'!AJ397='check-Jul''26'!AF397,"",'1. Live'!AJ397-'check-Jul''26'!AF397)</f>
        <v/>
      </c>
      <c r="AG379" s="25" t="str">
        <f>IF('1. Live'!AK397='check-Jul''26'!AG397,"",'1. Live'!AK397-'check-Jul''26'!AG397)</f>
        <v/>
      </c>
      <c r="AH379" s="25" t="str">
        <f>IF('1. Live'!AL397='check-Jul''26'!AH397,"",'1. Live'!AL397-'check-Jul''26'!AH397)</f>
        <v/>
      </c>
      <c r="AI379" s="25" t="str">
        <f>IF('1. Live'!AM397='check-Jul''26'!AI397,"",'1. Live'!AM397-'check-Jul''26'!AI397)</f>
        <v/>
      </c>
      <c r="AJ379" s="25" t="str">
        <f>IF('1. Live'!AN397='check-Jul''26'!AJ397,"",'1. Live'!AN397-'check-Jul''26'!AJ397)</f>
        <v/>
      </c>
      <c r="AK379" s="25" t="str">
        <f>IF('1. Live'!AO397='check-Jul''26'!AK397,"",'1. Live'!AO397-'check-Jul''26'!AK397)</f>
        <v/>
      </c>
      <c r="AL379" s="25" t="str">
        <f>IF('1. Live'!AP397='check-Jul''26'!AL397,"",'1. Live'!AP397-'check-Jul''26'!AL397)</f>
        <v/>
      </c>
      <c r="AM379" s="25" t="str">
        <f>IF('1. Live'!AQ397='check-Jul''26'!AM397,"",'1. Live'!AQ397-'check-Jul''26'!AM397)</f>
        <v/>
      </c>
      <c r="AN379" s="25" t="str">
        <f>IF('1. Live'!AR397='check-Jul''26'!AN397,"",'1. Live'!AR397-'check-Jul''26'!AN397)</f>
        <v/>
      </c>
      <c r="AO379" s="25" t="str">
        <f>IF('1. Live'!AS397='check-Jul''26'!AO397,"",'1. Live'!AS397-'check-Jul''26'!AO397)</f>
        <v/>
      </c>
      <c r="AP379" s="25" t="str">
        <f>IF('1. Live'!AT397='check-Jul''26'!AP397,"",'1. Live'!AT397-'check-Jul''26'!AP397)</f>
        <v/>
      </c>
      <c r="AQ379" s="25" t="str">
        <f>IF('1. Live'!AU397='check-Jul''26'!AQ397,"",'1. Live'!AU397-'check-Jul''26'!AQ397)</f>
        <v/>
      </c>
      <c r="AR379" s="25" t="str">
        <f>IF('1. Live'!AV397='check-Jul''26'!AR397,"",'1. Live'!AV397-'check-Jul''26'!AR397)</f>
        <v/>
      </c>
      <c r="AS379" s="25" t="str">
        <f>IF('1. Live'!AW397='check-Jul''26'!AS397,"",'1. Live'!AW397-'check-Jul''26'!AS397)</f>
        <v/>
      </c>
      <c r="AT379" s="25" t="str">
        <f>IF('1. Live'!AX397='check-Jul''26'!AT397,"",'1. Live'!AX397-'check-Jul''26'!AT397)</f>
        <v/>
      </c>
      <c r="AU379" s="25" t="str">
        <f>IF('1. Live'!AY397='check-Jul''26'!AU397,"",'1. Live'!AY397-'check-Jul''26'!AU397)</f>
        <v/>
      </c>
      <c r="AV379" s="25" t="str">
        <f>IF('1. Live'!AZ397='check-Jul''26'!AV397,"",'1. Live'!AZ397-'check-Jul''26'!AV397)</f>
        <v/>
      </c>
      <c r="AW379" s="25" t="str">
        <f>IF('1. Live'!BA397='check-Jul''26'!AW397,"",'1. Live'!BA397-'check-Jul''26'!AW397)</f>
        <v/>
      </c>
      <c r="AX379" s="25" t="str">
        <f>IF('1. Live'!BB397='check-Jul''26'!AX397,"",'1. Live'!BB397-'check-Jul''26'!AX397)</f>
        <v/>
      </c>
      <c r="AY379" s="25" t="str">
        <f>IF('1. Live'!BC397='check-Jul''26'!AY397,"",'1. Live'!BC397-'check-Jul''26'!AY397)</f>
        <v/>
      </c>
      <c r="AZ379" s="25" t="str">
        <f>IF('1. Live'!BD397='check-Jul''26'!AZ397,"",'1. Live'!BD397-'check-Jul''26'!AZ397)</f>
        <v/>
      </c>
      <c r="BA379" s="25" t="str">
        <f>IF('1. Live'!BE397='check-Jul''26'!BA397,"",'1. Live'!BE397-'check-Jul''26'!BA397)</f>
        <v/>
      </c>
      <c r="BB379" s="25" t="str">
        <f>IF('1. Live'!BF397='check-Jul''26'!BB397,"",'1. Live'!BF397-'check-Jul''26'!BB397)</f>
        <v/>
      </c>
      <c r="BC379" s="25" t="str">
        <f>IF('1. Live'!BG397='check-Jul''26'!BC397,"",'1. Live'!BG397-'check-Jul''26'!BC397)</f>
        <v/>
      </c>
      <c r="BD379" s="25" t="str">
        <f>IF('1. Live'!BH397='check-Jul''26'!BD397,"",'1. Live'!BH397-'check-Jul''26'!BD397)</f>
        <v/>
      </c>
      <c r="BE379" s="25" t="str">
        <f>IF('1. Live'!BI397='check-Jul''26'!BE397,"",'1. Live'!BI397-'check-Jul''26'!BE397)</f>
        <v/>
      </c>
      <c r="BF379" s="25" t="str">
        <f>IF('1. Live'!BJ397='check-Jul''26'!BF397,"",'1. Live'!BJ397-'check-Jul''26'!BF397)</f>
        <v/>
      </c>
      <c r="BG379" s="25" t="str">
        <f>IF('1. Live'!BK397='check-Jul''26'!BG397,"",'1. Live'!BK397-'check-Jul''26'!BG397)</f>
        <v/>
      </c>
      <c r="BH379" s="25" t="str">
        <f>IF('1. Live'!BL397='check-Jul''26'!BH397,"",'1. Live'!BL397-'check-Jul''26'!BH397)</f>
        <v/>
      </c>
      <c r="BI379" s="25" t="str">
        <f>IF('1. Live'!BM397='check-Jul''26'!BI397,"",'1. Live'!BM397-'check-Jul''26'!BI397)</f>
        <v/>
      </c>
      <c r="BJ379" s="25" t="str">
        <f>IF('1. Live'!BN397='check-Jul''26'!BJ397,"",'1. Live'!BN397-'check-Jul''26'!BJ397)</f>
        <v/>
      </c>
      <c r="BK379" s="25" t="str">
        <f>IF('1. Live'!BO397='check-Jul''26'!BK397,"",'1. Live'!BO397-'check-Jul''26'!BK397)</f>
        <v/>
      </c>
      <c r="BL379" s="25" t="str">
        <f>IF('1. Live'!BP397='check-Jul''26'!BL397,"",'1. Live'!BP397-'check-Jul''26'!BL397)</f>
        <v/>
      </c>
      <c r="BM379" s="25" t="str">
        <f>IF('1. Live'!BQ397='check-Jul''26'!BM397,"",'1. Live'!BQ397-'check-Jul''26'!BM397)</f>
        <v/>
      </c>
      <c r="BN379" s="25" t="str">
        <f>IF('1. Live'!BR397='check-Jul''26'!BN397,"",'1. Live'!BR397-'check-Jul''26'!BN397)</f>
        <v/>
      </c>
      <c r="BO379" s="25" t="str">
        <f>IF('1. Live'!BS397='check-Jul''26'!BO397,"",'1. Live'!BS397-'check-Jul''26'!BO397)</f>
        <v/>
      </c>
      <c r="BP379" s="25" t="str">
        <f>IF('1. Live'!BT397='check-Jul''26'!BP397,"",'1. Live'!BT397-'check-Jul''26'!BP397)</f>
        <v/>
      </c>
      <c r="BQ379" s="25" t="str">
        <f>IF('1. Live'!BU397='check-Jul''26'!BQ397,"",'1. Live'!BU397-'check-Jul''26'!BQ397)</f>
        <v/>
      </c>
      <c r="BR379" s="25" t="str">
        <f>IF('1. Live'!BV397='check-Jul''26'!BR397,"",'1. Live'!BV397-'check-Jul''26'!BR397)</f>
        <v/>
      </c>
      <c r="BS379" s="25" t="str">
        <f>IF('1. Live'!BW397='check-Jul''26'!BS397,"",'1. Live'!BW397-'check-Jul''26'!BS397)</f>
        <v/>
      </c>
      <c r="BT379" s="25" t="str">
        <f>IF('1. Live'!BX397='check-Jul''26'!BT397,"",'1. Live'!BX397-'check-Jul''26'!BT397)</f>
        <v/>
      </c>
      <c r="BU379" s="25" t="str">
        <f>IF('1. Live'!BY397='check-Jul''26'!BU397,"",'1. Live'!BY397-'check-Jul''26'!BU397)</f>
        <v/>
      </c>
      <c r="BV379" s="25" t="str">
        <f>IF('1. Live'!BZ397='check-Jul''26'!BV397,"",'1. Live'!BZ397-'check-Jul''26'!BV397)</f>
        <v/>
      </c>
      <c r="BW379" s="25" t="str">
        <f>IF('1. Live'!CA397='check-Jul''26'!BW397,"",'1. Live'!CA397-'check-Jul''26'!BW397)</f>
        <v/>
      </c>
      <c r="BX379" s="25" t="str">
        <f>IF('1. Live'!CB397='check-Jul''26'!BX397,"",'1. Live'!CB397-'check-Jul''26'!BX397)</f>
        <v/>
      </c>
      <c r="BY379" s="25" t="str">
        <f>IF('1. Live'!CC397='check-Jul''26'!BY397,"",'1. Live'!CC397-'check-Jul''26'!BY397)</f>
        <v/>
      </c>
      <c r="BZ379" s="25" t="str">
        <f>IF('1. Live'!CD397='check-Jul''26'!BZ397,"",'1. Live'!CD397-'check-Jul''26'!BZ397)</f>
        <v/>
      </c>
      <c r="CA379" s="25" t="str">
        <f>IF('1. Live'!CE397='check-Jul''26'!CA397,"",'1. Live'!CE397-'check-Jul''26'!CA397)</f>
        <v/>
      </c>
      <c r="CB379" s="25" t="str">
        <f>IF('1. Live'!CF397='check-Jul''26'!CB397,"",'1. Live'!CF397-'check-Jul''26'!CB397)</f>
        <v/>
      </c>
      <c r="CC379" s="25" t="str">
        <f>IF('1. Live'!CG397='check-Jul''26'!CC397,"",'1. Live'!CG397-'check-Jul''26'!CC397)</f>
        <v/>
      </c>
      <c r="CD379" s="25" t="str">
        <f>IF('1. Live'!CH397='check-Jul''26'!CD397,"",'1. Live'!CH397-'check-Jul''26'!CD397)</f>
        <v/>
      </c>
      <c r="CE379" s="25" t="str">
        <f>IF('1. Live'!CI397='check-Jul''26'!CE397,"",'1. Live'!CI397-'check-Jul''26'!CE397)</f>
        <v/>
      </c>
      <c r="CF379" s="25" t="str">
        <f>IF('1. Live'!CJ397='check-Jul''26'!CF397,"",'1. Live'!CJ397-'check-Jul''26'!CF397)</f>
        <v/>
      </c>
      <c r="CG379" s="25" t="str">
        <f>IF('1. Live'!CK397='check-Jul''26'!CG397,"",'1. Live'!CK397-'check-Jul''26'!CG397)</f>
        <v/>
      </c>
      <c r="CH379" s="25" t="str">
        <f>IF('1. Live'!CL397='check-Jul''26'!CH397,"",'1. Live'!CL397-'check-Jul''26'!CH397)</f>
        <v/>
      </c>
      <c r="CI379" s="25" t="str">
        <f>IF('1. Live'!CM397='check-Jul''26'!CI397,"",'1. Live'!CM397-'check-Jul''26'!CI397)</f>
        <v/>
      </c>
      <c r="CJ379" s="25" t="str">
        <f>IF('1. Live'!CN397='check-Jul''26'!CJ397,"",'1. Live'!CN397-'check-Jul''26'!CJ397)</f>
        <v/>
      </c>
      <c r="CK379" s="25" t="str">
        <f>IF('1. Live'!CO397='check-Jul''26'!CK397,"",'1. Live'!CO397-'check-Jul''26'!CK397)</f>
        <v/>
      </c>
      <c r="CL379" s="25" t="str">
        <f>IF('1. Live'!CP397='check-Jul''26'!CL397,"",'1. Live'!CP397-'check-Jul''26'!CL397)</f>
        <v/>
      </c>
      <c r="CM379" s="25" t="str">
        <f>IF('1. Live'!CQ397='check-Jul''26'!CM397,"",'1. Live'!CQ397-'check-Jul''26'!CM397)</f>
        <v/>
      </c>
      <c r="CN379" s="25" t="str">
        <f>IF('1. Live'!CR397='check-Jul''26'!CN397,"",'1. Live'!CR397-'check-Jul''26'!CN397)</f>
        <v/>
      </c>
      <c r="CO379" s="25" t="str">
        <f>IF('1. Live'!CS397='check-Jul''26'!CO397,"",'1. Live'!CS397-'check-Jul''26'!CO397)</f>
        <v/>
      </c>
      <c r="CP379" s="25" t="str">
        <f>IF('1. Live'!CT397='check-Jul''26'!CP397,"",'1. Live'!CT397-'check-Jul''26'!CP397)</f>
        <v/>
      </c>
      <c r="CQ379" s="25" t="str">
        <f>IF('1. Live'!CU397='check-Jul''26'!CQ397,"",'1. Live'!CU397-'check-Jul''26'!CQ397)</f>
        <v/>
      </c>
      <c r="CR379" s="25" t="str">
        <f>IF('1. Live'!CV397='check-Jul''26'!CR397,"",'1. Live'!CV397-'check-Jul''26'!CR397)</f>
        <v/>
      </c>
      <c r="CS379" s="25" t="str">
        <f>IF('1. Live'!CW397='check-Jul''26'!CS397,"",'1. Live'!CW397-'check-Jul''26'!CS397)</f>
        <v/>
      </c>
      <c r="CT379" s="25" t="str">
        <f>IF('1. Live'!CX397='check-Jul''26'!CT397,"",'1. Live'!CX397-'check-Jul''26'!CT397)</f>
        <v/>
      </c>
      <c r="CU379" s="25" t="str">
        <f>IF('1. Live'!CY397='check-Jul''26'!CU397,"",'1. Live'!CY397-'check-Jul''26'!CU397)</f>
        <v/>
      </c>
      <c r="CV379" s="25" t="str">
        <f>IF('1. Live'!CZ397='check-Jul''26'!CV397,"",'1. Live'!CZ397-'check-Jul''26'!CV397)</f>
        <v/>
      </c>
    </row>
    <row r="380" spans="17:100" x14ac:dyDescent="0.25">
      <c r="Q380" s="26" t="str">
        <f>IF('1. Live'!N398='check-Jul''26'!I398,"",'1. Live'!N398-'check-Jul''26'!I398)</f>
        <v/>
      </c>
      <c r="R380" s="26" t="str">
        <f>IF('1. Live'!O398='check-Jul''26'!J398,"",'1. Live'!O398-'check-Jul''26'!J398)</f>
        <v/>
      </c>
      <c r="S380" s="26" t="str">
        <f>IF('1. Live'!P398='check-Jul''26'!K398,"",'1. Live'!P398-'check-Jul''26'!K398)</f>
        <v/>
      </c>
      <c r="T380" s="26" t="str">
        <f>IF('1. Live'!Q398='check-Jul''26'!L398,"",'1. Live'!Q398-'check-Jul''26'!L398)</f>
        <v/>
      </c>
      <c r="U380" s="80" t="str">
        <f>IF('1. Live'!R398='check-Jul''26'!M398,"",'1. Live'!R398-'check-Jul''26'!M398)</f>
        <v/>
      </c>
      <c r="V380" s="26" t="str">
        <f>IF('1. Live'!S398='check-Jul''26'!N398,"",'1. Live'!S398-'check-Jul''26'!N398)</f>
        <v/>
      </c>
      <c r="W380" s="25" t="str">
        <f>IF('1. Live'!T398='check-Jul''26'!O398,"",'1. Live'!T398-'check-Jul''26'!O398)</f>
        <v/>
      </c>
      <c r="X380" s="25" t="str">
        <f>IF('1. Live'!U398='check-Jul''26'!Q398,"",'1. Live'!U398-'check-Jul''26'!Q398)</f>
        <v/>
      </c>
      <c r="Y380" s="25" t="str">
        <f>IF('1. Live'!V398='check-Jul''26'!R398,"",'1. Live'!V398-'check-Jul''26'!R398)</f>
        <v/>
      </c>
      <c r="Z380" s="25" t="str">
        <f>IF('1. Live'!W398='check-Jul''26'!S398,"",'1. Live'!W398-'check-Jul''26'!S398)</f>
        <v/>
      </c>
      <c r="AA380" s="25" t="str">
        <f>IF('1. Live'!X398='check-Jul''26'!T398,"",'1. Live'!X398-'check-Jul''26'!T398)</f>
        <v/>
      </c>
      <c r="AB380" s="25" t="str">
        <f>IF('1. Live'!AF398='check-Jul''26'!AB398,"",'1. Live'!AF398-'check-Jul''26'!AB398)</f>
        <v/>
      </c>
      <c r="AC380" s="25" t="str">
        <f>IF('1. Live'!AG398='check-Jul''26'!AC398,"",'1. Live'!AG398-'check-Jul''26'!AC398)</f>
        <v/>
      </c>
      <c r="AD380" s="25" t="str">
        <f>IF('1. Live'!AH398='check-Jul''26'!AD398,"",'1. Live'!AH398-'check-Jul''26'!AD398)</f>
        <v/>
      </c>
      <c r="AE380" s="25" t="str">
        <f>IF('1. Live'!AI398='check-Jul''26'!AE398,"",'1. Live'!AI398-'check-Jul''26'!AE398)</f>
        <v/>
      </c>
      <c r="AF380" s="25" t="str">
        <f>IF('1. Live'!AJ398='check-Jul''26'!AF398,"",'1. Live'!AJ398-'check-Jul''26'!AF398)</f>
        <v/>
      </c>
      <c r="AG380" s="25" t="str">
        <f>IF('1. Live'!AK398='check-Jul''26'!AG398,"",'1. Live'!AK398-'check-Jul''26'!AG398)</f>
        <v/>
      </c>
      <c r="AH380" s="25" t="str">
        <f>IF('1. Live'!AL398='check-Jul''26'!AH398,"",'1. Live'!AL398-'check-Jul''26'!AH398)</f>
        <v/>
      </c>
      <c r="AI380" s="25" t="str">
        <f>IF('1. Live'!AM398='check-Jul''26'!AI398,"",'1. Live'!AM398-'check-Jul''26'!AI398)</f>
        <v/>
      </c>
      <c r="AJ380" s="25" t="str">
        <f>IF('1. Live'!AN398='check-Jul''26'!AJ398,"",'1. Live'!AN398-'check-Jul''26'!AJ398)</f>
        <v/>
      </c>
      <c r="AK380" s="25" t="str">
        <f>IF('1. Live'!AO398='check-Jul''26'!AK398,"",'1. Live'!AO398-'check-Jul''26'!AK398)</f>
        <v/>
      </c>
      <c r="AL380" s="25" t="str">
        <f>IF('1. Live'!AP398='check-Jul''26'!AL398,"",'1. Live'!AP398-'check-Jul''26'!AL398)</f>
        <v/>
      </c>
      <c r="AM380" s="25" t="str">
        <f>IF('1. Live'!AQ398='check-Jul''26'!AM398,"",'1. Live'!AQ398-'check-Jul''26'!AM398)</f>
        <v/>
      </c>
      <c r="AN380" s="25" t="str">
        <f>IF('1. Live'!AR398='check-Jul''26'!AN398,"",'1. Live'!AR398-'check-Jul''26'!AN398)</f>
        <v/>
      </c>
      <c r="AO380" s="25" t="str">
        <f>IF('1. Live'!AS398='check-Jul''26'!AO398,"",'1. Live'!AS398-'check-Jul''26'!AO398)</f>
        <v/>
      </c>
      <c r="AP380" s="25" t="str">
        <f>IF('1. Live'!AT398='check-Jul''26'!AP398,"",'1. Live'!AT398-'check-Jul''26'!AP398)</f>
        <v/>
      </c>
      <c r="AQ380" s="25" t="str">
        <f>IF('1. Live'!AU398='check-Jul''26'!AQ398,"",'1. Live'!AU398-'check-Jul''26'!AQ398)</f>
        <v/>
      </c>
      <c r="AR380" s="25" t="str">
        <f>IF('1. Live'!AV398='check-Jul''26'!AR398,"",'1. Live'!AV398-'check-Jul''26'!AR398)</f>
        <v/>
      </c>
      <c r="AS380" s="25" t="str">
        <f>IF('1. Live'!AW398='check-Jul''26'!AS398,"",'1. Live'!AW398-'check-Jul''26'!AS398)</f>
        <v/>
      </c>
      <c r="AT380" s="25" t="str">
        <f>IF('1. Live'!AX398='check-Jul''26'!AT398,"",'1. Live'!AX398-'check-Jul''26'!AT398)</f>
        <v/>
      </c>
      <c r="AU380" s="25" t="str">
        <f>IF('1. Live'!AY398='check-Jul''26'!AU398,"",'1. Live'!AY398-'check-Jul''26'!AU398)</f>
        <v/>
      </c>
      <c r="AV380" s="25" t="str">
        <f>IF('1. Live'!AZ398='check-Jul''26'!AV398,"",'1. Live'!AZ398-'check-Jul''26'!AV398)</f>
        <v/>
      </c>
      <c r="AW380" s="25" t="str">
        <f>IF('1. Live'!BA398='check-Jul''26'!AW398,"",'1. Live'!BA398-'check-Jul''26'!AW398)</f>
        <v/>
      </c>
      <c r="AX380" s="25" t="str">
        <f>IF('1. Live'!BB398='check-Jul''26'!AX398,"",'1. Live'!BB398-'check-Jul''26'!AX398)</f>
        <v/>
      </c>
      <c r="AY380" s="25" t="str">
        <f>IF('1. Live'!BC398='check-Jul''26'!AY398,"",'1. Live'!BC398-'check-Jul''26'!AY398)</f>
        <v/>
      </c>
      <c r="AZ380" s="25" t="str">
        <f>IF('1. Live'!BD398='check-Jul''26'!AZ398,"",'1. Live'!BD398-'check-Jul''26'!AZ398)</f>
        <v/>
      </c>
      <c r="BA380" s="25" t="str">
        <f>IF('1. Live'!BE398='check-Jul''26'!BA398,"",'1. Live'!BE398-'check-Jul''26'!BA398)</f>
        <v/>
      </c>
      <c r="BB380" s="25" t="str">
        <f>IF('1. Live'!BF398='check-Jul''26'!BB398,"",'1. Live'!BF398-'check-Jul''26'!BB398)</f>
        <v/>
      </c>
      <c r="BC380" s="25" t="str">
        <f>IF('1. Live'!BG398='check-Jul''26'!BC398,"",'1. Live'!BG398-'check-Jul''26'!BC398)</f>
        <v/>
      </c>
      <c r="BD380" s="25" t="str">
        <f>IF('1. Live'!BH398='check-Jul''26'!BD398,"",'1. Live'!BH398-'check-Jul''26'!BD398)</f>
        <v/>
      </c>
      <c r="BE380" s="25" t="str">
        <f>IF('1. Live'!BI398='check-Jul''26'!BE398,"",'1. Live'!BI398-'check-Jul''26'!BE398)</f>
        <v/>
      </c>
      <c r="BF380" s="25" t="str">
        <f>IF('1. Live'!BJ398='check-Jul''26'!BF398,"",'1. Live'!BJ398-'check-Jul''26'!BF398)</f>
        <v/>
      </c>
      <c r="BG380" s="25" t="str">
        <f>IF('1. Live'!BK398='check-Jul''26'!BG398,"",'1. Live'!BK398-'check-Jul''26'!BG398)</f>
        <v/>
      </c>
      <c r="BH380" s="25" t="str">
        <f>IF('1. Live'!BL398='check-Jul''26'!BH398,"",'1. Live'!BL398-'check-Jul''26'!BH398)</f>
        <v/>
      </c>
      <c r="BI380" s="25" t="str">
        <f>IF('1. Live'!BM398='check-Jul''26'!BI398,"",'1. Live'!BM398-'check-Jul''26'!BI398)</f>
        <v/>
      </c>
      <c r="BJ380" s="25" t="str">
        <f>IF('1. Live'!BN398='check-Jul''26'!BJ398,"",'1. Live'!BN398-'check-Jul''26'!BJ398)</f>
        <v/>
      </c>
      <c r="BK380" s="25" t="str">
        <f>IF('1. Live'!BO398='check-Jul''26'!BK398,"",'1. Live'!BO398-'check-Jul''26'!BK398)</f>
        <v/>
      </c>
      <c r="BL380" s="25" t="str">
        <f>IF('1. Live'!BP398='check-Jul''26'!BL398,"",'1. Live'!BP398-'check-Jul''26'!BL398)</f>
        <v/>
      </c>
      <c r="BM380" s="25" t="str">
        <f>IF('1. Live'!BQ398='check-Jul''26'!BM398,"",'1. Live'!BQ398-'check-Jul''26'!BM398)</f>
        <v/>
      </c>
      <c r="BN380" s="25" t="str">
        <f>IF('1. Live'!BR398='check-Jul''26'!BN398,"",'1. Live'!BR398-'check-Jul''26'!BN398)</f>
        <v/>
      </c>
      <c r="BO380" s="25" t="str">
        <f>IF('1. Live'!BS398='check-Jul''26'!BO398,"",'1. Live'!BS398-'check-Jul''26'!BO398)</f>
        <v/>
      </c>
      <c r="BP380" s="25" t="str">
        <f>IF('1. Live'!BT398='check-Jul''26'!BP398,"",'1. Live'!BT398-'check-Jul''26'!BP398)</f>
        <v/>
      </c>
      <c r="BQ380" s="25" t="str">
        <f>IF('1. Live'!BU398='check-Jul''26'!BQ398,"",'1. Live'!BU398-'check-Jul''26'!BQ398)</f>
        <v/>
      </c>
      <c r="BR380" s="25" t="str">
        <f>IF('1. Live'!BV398='check-Jul''26'!BR398,"",'1. Live'!BV398-'check-Jul''26'!BR398)</f>
        <v/>
      </c>
      <c r="BS380" s="25" t="str">
        <f>IF('1. Live'!BW398='check-Jul''26'!BS398,"",'1. Live'!BW398-'check-Jul''26'!BS398)</f>
        <v/>
      </c>
      <c r="BT380" s="25" t="str">
        <f>IF('1. Live'!BX398='check-Jul''26'!BT398,"",'1. Live'!BX398-'check-Jul''26'!BT398)</f>
        <v/>
      </c>
      <c r="BU380" s="25" t="str">
        <f>IF('1. Live'!BY398='check-Jul''26'!BU398,"",'1. Live'!BY398-'check-Jul''26'!BU398)</f>
        <v/>
      </c>
      <c r="BV380" s="25" t="str">
        <f>IF('1. Live'!BZ398='check-Jul''26'!BV398,"",'1. Live'!BZ398-'check-Jul''26'!BV398)</f>
        <v/>
      </c>
      <c r="BW380" s="25" t="str">
        <f>IF('1. Live'!CA398='check-Jul''26'!BW398,"",'1. Live'!CA398-'check-Jul''26'!BW398)</f>
        <v/>
      </c>
      <c r="BX380" s="25" t="str">
        <f>IF('1. Live'!CB398='check-Jul''26'!BX398,"",'1. Live'!CB398-'check-Jul''26'!BX398)</f>
        <v/>
      </c>
      <c r="BY380" s="25" t="str">
        <f>IF('1. Live'!CC398='check-Jul''26'!BY398,"",'1. Live'!CC398-'check-Jul''26'!BY398)</f>
        <v/>
      </c>
      <c r="BZ380" s="25" t="str">
        <f>IF('1. Live'!CD398='check-Jul''26'!BZ398,"",'1. Live'!CD398-'check-Jul''26'!BZ398)</f>
        <v/>
      </c>
      <c r="CA380" s="25" t="str">
        <f>IF('1. Live'!CE398='check-Jul''26'!CA398,"",'1. Live'!CE398-'check-Jul''26'!CA398)</f>
        <v/>
      </c>
      <c r="CB380" s="25" t="str">
        <f>IF('1. Live'!CF398='check-Jul''26'!CB398,"",'1. Live'!CF398-'check-Jul''26'!CB398)</f>
        <v/>
      </c>
      <c r="CC380" s="25" t="str">
        <f>IF('1. Live'!CG398='check-Jul''26'!CC398,"",'1. Live'!CG398-'check-Jul''26'!CC398)</f>
        <v/>
      </c>
      <c r="CD380" s="25" t="str">
        <f>IF('1. Live'!CH398='check-Jul''26'!CD398,"",'1. Live'!CH398-'check-Jul''26'!CD398)</f>
        <v/>
      </c>
      <c r="CE380" s="25" t="str">
        <f>IF('1. Live'!CI398='check-Jul''26'!CE398,"",'1. Live'!CI398-'check-Jul''26'!CE398)</f>
        <v/>
      </c>
      <c r="CF380" s="25" t="str">
        <f>IF('1. Live'!CJ398='check-Jul''26'!CF398,"",'1. Live'!CJ398-'check-Jul''26'!CF398)</f>
        <v/>
      </c>
      <c r="CG380" s="25" t="str">
        <f>IF('1. Live'!CK398='check-Jul''26'!CG398,"",'1. Live'!CK398-'check-Jul''26'!CG398)</f>
        <v/>
      </c>
      <c r="CH380" s="25" t="str">
        <f>IF('1. Live'!CL398='check-Jul''26'!CH398,"",'1. Live'!CL398-'check-Jul''26'!CH398)</f>
        <v/>
      </c>
      <c r="CI380" s="25" t="str">
        <f>IF('1. Live'!CM398='check-Jul''26'!CI398,"",'1. Live'!CM398-'check-Jul''26'!CI398)</f>
        <v/>
      </c>
      <c r="CJ380" s="25" t="str">
        <f>IF('1. Live'!CN398='check-Jul''26'!CJ398,"",'1. Live'!CN398-'check-Jul''26'!CJ398)</f>
        <v/>
      </c>
      <c r="CK380" s="25" t="str">
        <f>IF('1. Live'!CO398='check-Jul''26'!CK398,"",'1. Live'!CO398-'check-Jul''26'!CK398)</f>
        <v/>
      </c>
      <c r="CL380" s="25" t="str">
        <f>IF('1. Live'!CP398='check-Jul''26'!CL398,"",'1. Live'!CP398-'check-Jul''26'!CL398)</f>
        <v/>
      </c>
      <c r="CM380" s="25" t="str">
        <f>IF('1. Live'!CQ398='check-Jul''26'!CM398,"",'1. Live'!CQ398-'check-Jul''26'!CM398)</f>
        <v/>
      </c>
      <c r="CN380" s="25" t="str">
        <f>IF('1. Live'!CR398='check-Jul''26'!CN398,"",'1. Live'!CR398-'check-Jul''26'!CN398)</f>
        <v/>
      </c>
      <c r="CO380" s="25" t="str">
        <f>IF('1. Live'!CS398='check-Jul''26'!CO398,"",'1. Live'!CS398-'check-Jul''26'!CO398)</f>
        <v/>
      </c>
      <c r="CP380" s="25" t="str">
        <f>IF('1. Live'!CT398='check-Jul''26'!CP398,"",'1. Live'!CT398-'check-Jul''26'!CP398)</f>
        <v/>
      </c>
      <c r="CQ380" s="25" t="str">
        <f>IF('1. Live'!CU398='check-Jul''26'!CQ398,"",'1. Live'!CU398-'check-Jul''26'!CQ398)</f>
        <v/>
      </c>
      <c r="CR380" s="25" t="str">
        <f>IF('1. Live'!CV398='check-Jul''26'!CR398,"",'1. Live'!CV398-'check-Jul''26'!CR398)</f>
        <v/>
      </c>
      <c r="CS380" s="25" t="str">
        <f>IF('1. Live'!CW398='check-Jul''26'!CS398,"",'1. Live'!CW398-'check-Jul''26'!CS398)</f>
        <v/>
      </c>
      <c r="CT380" s="25" t="str">
        <f>IF('1. Live'!CX398='check-Jul''26'!CT398,"",'1. Live'!CX398-'check-Jul''26'!CT398)</f>
        <v/>
      </c>
      <c r="CU380" s="25" t="str">
        <f>IF('1. Live'!CY398='check-Jul''26'!CU398,"",'1. Live'!CY398-'check-Jul''26'!CU398)</f>
        <v/>
      </c>
      <c r="CV380" s="25" t="str">
        <f>IF('1. Live'!CZ398='check-Jul''26'!CV398,"",'1. Live'!CZ398-'check-Jul''26'!CV398)</f>
        <v/>
      </c>
    </row>
    <row r="381" spans="17:100" x14ac:dyDescent="0.25">
      <c r="Q381" s="26" t="str">
        <f>IF('1. Live'!N399='check-Jul''26'!I399,"",'1. Live'!N399-'check-Jul''26'!I399)</f>
        <v/>
      </c>
      <c r="R381" s="26" t="str">
        <f>IF('1. Live'!O399='check-Jul''26'!J399,"",'1. Live'!O399-'check-Jul''26'!J399)</f>
        <v/>
      </c>
      <c r="S381" s="26" t="str">
        <f>IF('1. Live'!P399='check-Jul''26'!K399,"",'1. Live'!P399-'check-Jul''26'!K399)</f>
        <v/>
      </c>
      <c r="T381" s="26" t="str">
        <f>IF('1. Live'!Q399='check-Jul''26'!L399,"",'1. Live'!Q399-'check-Jul''26'!L399)</f>
        <v/>
      </c>
      <c r="U381" s="80" t="str">
        <f>IF('1. Live'!R399='check-Jul''26'!M399,"",'1. Live'!R399-'check-Jul''26'!M399)</f>
        <v/>
      </c>
      <c r="V381" s="26" t="str">
        <f>IF('1. Live'!S399='check-Jul''26'!N399,"",'1. Live'!S399-'check-Jul''26'!N399)</f>
        <v/>
      </c>
      <c r="W381" s="25" t="str">
        <f>IF('1. Live'!T399='check-Jul''26'!O399,"",'1. Live'!T399-'check-Jul''26'!O399)</f>
        <v/>
      </c>
      <c r="X381" s="25" t="str">
        <f>IF('1. Live'!U399='check-Jul''26'!Q399,"",'1. Live'!U399-'check-Jul''26'!Q399)</f>
        <v/>
      </c>
      <c r="Y381" s="25" t="str">
        <f>IF('1. Live'!V399='check-Jul''26'!R399,"",'1. Live'!V399-'check-Jul''26'!R399)</f>
        <v/>
      </c>
      <c r="Z381" s="25" t="str">
        <f>IF('1. Live'!W399='check-Jul''26'!S399,"",'1. Live'!W399-'check-Jul''26'!S399)</f>
        <v/>
      </c>
      <c r="AA381" s="25" t="str">
        <f>IF('1. Live'!X399='check-Jul''26'!T399,"",'1. Live'!X399-'check-Jul''26'!T399)</f>
        <v/>
      </c>
      <c r="AB381" s="25" t="str">
        <f>IF('1. Live'!AF399='check-Jul''26'!AB399,"",'1. Live'!AF399-'check-Jul''26'!AB399)</f>
        <v/>
      </c>
      <c r="AC381" s="25" t="str">
        <f>IF('1. Live'!AG399='check-Jul''26'!AC399,"",'1. Live'!AG399-'check-Jul''26'!AC399)</f>
        <v/>
      </c>
      <c r="AD381" s="25" t="str">
        <f>IF('1. Live'!AH399='check-Jul''26'!AD399,"",'1. Live'!AH399-'check-Jul''26'!AD399)</f>
        <v/>
      </c>
      <c r="AE381" s="25" t="str">
        <f>IF('1. Live'!AI399='check-Jul''26'!AE399,"",'1. Live'!AI399-'check-Jul''26'!AE399)</f>
        <v/>
      </c>
      <c r="AF381" s="25" t="str">
        <f>IF('1. Live'!AJ399='check-Jul''26'!AF399,"",'1. Live'!AJ399-'check-Jul''26'!AF399)</f>
        <v/>
      </c>
      <c r="AG381" s="25" t="str">
        <f>IF('1. Live'!AK399='check-Jul''26'!AG399,"",'1. Live'!AK399-'check-Jul''26'!AG399)</f>
        <v/>
      </c>
      <c r="AH381" s="25" t="str">
        <f>IF('1. Live'!AL399='check-Jul''26'!AH399,"",'1. Live'!AL399-'check-Jul''26'!AH399)</f>
        <v/>
      </c>
      <c r="AI381" s="25" t="str">
        <f>IF('1. Live'!AM399='check-Jul''26'!AI399,"",'1. Live'!AM399-'check-Jul''26'!AI399)</f>
        <v/>
      </c>
      <c r="AJ381" s="25" t="str">
        <f>IF('1. Live'!AN399='check-Jul''26'!AJ399,"",'1. Live'!AN399-'check-Jul''26'!AJ399)</f>
        <v/>
      </c>
      <c r="AK381" s="25" t="str">
        <f>IF('1. Live'!AO399='check-Jul''26'!AK399,"",'1. Live'!AO399-'check-Jul''26'!AK399)</f>
        <v/>
      </c>
      <c r="AL381" s="25" t="str">
        <f>IF('1. Live'!AP399='check-Jul''26'!AL399,"",'1. Live'!AP399-'check-Jul''26'!AL399)</f>
        <v/>
      </c>
      <c r="AM381" s="25" t="str">
        <f>IF('1. Live'!AQ399='check-Jul''26'!AM399,"",'1. Live'!AQ399-'check-Jul''26'!AM399)</f>
        <v/>
      </c>
      <c r="AN381" s="25" t="str">
        <f>IF('1. Live'!AR399='check-Jul''26'!AN399,"",'1. Live'!AR399-'check-Jul''26'!AN399)</f>
        <v/>
      </c>
      <c r="AO381" s="25" t="str">
        <f>IF('1. Live'!AS399='check-Jul''26'!AO399,"",'1. Live'!AS399-'check-Jul''26'!AO399)</f>
        <v/>
      </c>
      <c r="AP381" s="25" t="str">
        <f>IF('1. Live'!AT399='check-Jul''26'!AP399,"",'1. Live'!AT399-'check-Jul''26'!AP399)</f>
        <v/>
      </c>
      <c r="AQ381" s="25" t="str">
        <f>IF('1. Live'!AU399='check-Jul''26'!AQ399,"",'1. Live'!AU399-'check-Jul''26'!AQ399)</f>
        <v/>
      </c>
      <c r="AR381" s="25" t="str">
        <f>IF('1. Live'!AV399='check-Jul''26'!AR399,"",'1. Live'!AV399-'check-Jul''26'!AR399)</f>
        <v/>
      </c>
      <c r="AS381" s="25" t="str">
        <f>IF('1. Live'!AW399='check-Jul''26'!AS399,"",'1. Live'!AW399-'check-Jul''26'!AS399)</f>
        <v/>
      </c>
      <c r="AT381" s="25" t="str">
        <f>IF('1. Live'!AX399='check-Jul''26'!AT399,"",'1. Live'!AX399-'check-Jul''26'!AT399)</f>
        <v/>
      </c>
      <c r="AU381" s="25" t="str">
        <f>IF('1. Live'!AY399='check-Jul''26'!AU399,"",'1. Live'!AY399-'check-Jul''26'!AU399)</f>
        <v/>
      </c>
      <c r="AV381" s="25" t="str">
        <f>IF('1. Live'!AZ399='check-Jul''26'!AV399,"",'1. Live'!AZ399-'check-Jul''26'!AV399)</f>
        <v/>
      </c>
      <c r="AW381" s="25" t="str">
        <f>IF('1. Live'!BA399='check-Jul''26'!AW399,"",'1. Live'!BA399-'check-Jul''26'!AW399)</f>
        <v/>
      </c>
      <c r="AX381" s="25" t="str">
        <f>IF('1. Live'!BB399='check-Jul''26'!AX399,"",'1. Live'!BB399-'check-Jul''26'!AX399)</f>
        <v/>
      </c>
      <c r="AY381" s="25" t="str">
        <f>IF('1. Live'!BC399='check-Jul''26'!AY399,"",'1. Live'!BC399-'check-Jul''26'!AY399)</f>
        <v/>
      </c>
      <c r="AZ381" s="25" t="str">
        <f>IF('1. Live'!BD399='check-Jul''26'!AZ399,"",'1. Live'!BD399-'check-Jul''26'!AZ399)</f>
        <v/>
      </c>
      <c r="BA381" s="25" t="str">
        <f>IF('1. Live'!BE399='check-Jul''26'!BA399,"",'1. Live'!BE399-'check-Jul''26'!BA399)</f>
        <v/>
      </c>
      <c r="BB381" s="25" t="str">
        <f>IF('1. Live'!BF399='check-Jul''26'!BB399,"",'1. Live'!BF399-'check-Jul''26'!BB399)</f>
        <v/>
      </c>
      <c r="BC381" s="25" t="str">
        <f>IF('1. Live'!BG399='check-Jul''26'!BC399,"",'1. Live'!BG399-'check-Jul''26'!BC399)</f>
        <v/>
      </c>
      <c r="BD381" s="25" t="str">
        <f>IF('1. Live'!BH399='check-Jul''26'!BD399,"",'1. Live'!BH399-'check-Jul''26'!BD399)</f>
        <v/>
      </c>
      <c r="BE381" s="25" t="str">
        <f>IF('1. Live'!BI399='check-Jul''26'!BE399,"",'1. Live'!BI399-'check-Jul''26'!BE399)</f>
        <v/>
      </c>
      <c r="BF381" s="25" t="str">
        <f>IF('1. Live'!BJ399='check-Jul''26'!BF399,"",'1. Live'!BJ399-'check-Jul''26'!BF399)</f>
        <v/>
      </c>
      <c r="BG381" s="25" t="str">
        <f>IF('1. Live'!BK399='check-Jul''26'!BG399,"",'1. Live'!BK399-'check-Jul''26'!BG399)</f>
        <v/>
      </c>
      <c r="BH381" s="25" t="str">
        <f>IF('1. Live'!BL399='check-Jul''26'!BH399,"",'1. Live'!BL399-'check-Jul''26'!BH399)</f>
        <v/>
      </c>
      <c r="BI381" s="25" t="str">
        <f>IF('1. Live'!BM399='check-Jul''26'!BI399,"",'1. Live'!BM399-'check-Jul''26'!BI399)</f>
        <v/>
      </c>
      <c r="BJ381" s="25" t="str">
        <f>IF('1. Live'!BN399='check-Jul''26'!BJ399,"",'1. Live'!BN399-'check-Jul''26'!BJ399)</f>
        <v/>
      </c>
      <c r="BK381" s="25" t="str">
        <f>IF('1. Live'!BO399='check-Jul''26'!BK399,"",'1. Live'!BO399-'check-Jul''26'!BK399)</f>
        <v/>
      </c>
      <c r="BL381" s="25" t="str">
        <f>IF('1. Live'!BP399='check-Jul''26'!BL399,"",'1. Live'!BP399-'check-Jul''26'!BL399)</f>
        <v/>
      </c>
      <c r="BM381" s="25" t="str">
        <f>IF('1. Live'!BQ399='check-Jul''26'!BM399,"",'1. Live'!BQ399-'check-Jul''26'!BM399)</f>
        <v/>
      </c>
      <c r="BN381" s="25" t="str">
        <f>IF('1. Live'!BR399='check-Jul''26'!BN399,"",'1. Live'!BR399-'check-Jul''26'!BN399)</f>
        <v/>
      </c>
      <c r="BO381" s="25" t="str">
        <f>IF('1. Live'!BS399='check-Jul''26'!BO399,"",'1. Live'!BS399-'check-Jul''26'!BO399)</f>
        <v/>
      </c>
      <c r="BP381" s="25" t="str">
        <f>IF('1. Live'!BT399='check-Jul''26'!BP399,"",'1. Live'!BT399-'check-Jul''26'!BP399)</f>
        <v/>
      </c>
      <c r="BQ381" s="25" t="str">
        <f>IF('1. Live'!BU399='check-Jul''26'!BQ399,"",'1. Live'!BU399-'check-Jul''26'!BQ399)</f>
        <v/>
      </c>
      <c r="BR381" s="25" t="str">
        <f>IF('1. Live'!BV399='check-Jul''26'!BR399,"",'1. Live'!BV399-'check-Jul''26'!BR399)</f>
        <v/>
      </c>
      <c r="BS381" s="25" t="str">
        <f>IF('1. Live'!BW399='check-Jul''26'!BS399,"",'1. Live'!BW399-'check-Jul''26'!BS399)</f>
        <v/>
      </c>
      <c r="BT381" s="25" t="str">
        <f>IF('1. Live'!BX399='check-Jul''26'!BT399,"",'1. Live'!BX399-'check-Jul''26'!BT399)</f>
        <v/>
      </c>
      <c r="BU381" s="25" t="str">
        <f>IF('1. Live'!BY399='check-Jul''26'!BU399,"",'1. Live'!BY399-'check-Jul''26'!BU399)</f>
        <v/>
      </c>
      <c r="BV381" s="25" t="str">
        <f>IF('1. Live'!BZ399='check-Jul''26'!BV399,"",'1. Live'!BZ399-'check-Jul''26'!BV399)</f>
        <v/>
      </c>
      <c r="BW381" s="25" t="str">
        <f>IF('1. Live'!CA399='check-Jul''26'!BW399,"",'1. Live'!CA399-'check-Jul''26'!BW399)</f>
        <v/>
      </c>
      <c r="BX381" s="25" t="str">
        <f>IF('1. Live'!CB399='check-Jul''26'!BX399,"",'1. Live'!CB399-'check-Jul''26'!BX399)</f>
        <v/>
      </c>
      <c r="BY381" s="25" t="str">
        <f>IF('1. Live'!CC399='check-Jul''26'!BY399,"",'1. Live'!CC399-'check-Jul''26'!BY399)</f>
        <v/>
      </c>
      <c r="BZ381" s="25" t="str">
        <f>IF('1. Live'!CD399='check-Jul''26'!BZ399,"",'1. Live'!CD399-'check-Jul''26'!BZ399)</f>
        <v/>
      </c>
      <c r="CA381" s="25" t="str">
        <f>IF('1. Live'!CE399='check-Jul''26'!CA399,"",'1. Live'!CE399-'check-Jul''26'!CA399)</f>
        <v/>
      </c>
      <c r="CB381" s="25" t="str">
        <f>IF('1. Live'!CF399='check-Jul''26'!CB399,"",'1. Live'!CF399-'check-Jul''26'!CB399)</f>
        <v/>
      </c>
      <c r="CC381" s="25" t="str">
        <f>IF('1. Live'!CG399='check-Jul''26'!CC399,"",'1. Live'!CG399-'check-Jul''26'!CC399)</f>
        <v/>
      </c>
      <c r="CD381" s="25" t="str">
        <f>IF('1. Live'!CH399='check-Jul''26'!CD399,"",'1. Live'!CH399-'check-Jul''26'!CD399)</f>
        <v/>
      </c>
      <c r="CE381" s="25" t="str">
        <f>IF('1. Live'!CI399='check-Jul''26'!CE399,"",'1. Live'!CI399-'check-Jul''26'!CE399)</f>
        <v/>
      </c>
      <c r="CF381" s="25" t="str">
        <f>IF('1. Live'!CJ399='check-Jul''26'!CF399,"",'1. Live'!CJ399-'check-Jul''26'!CF399)</f>
        <v/>
      </c>
      <c r="CG381" s="25" t="str">
        <f>IF('1. Live'!CK399='check-Jul''26'!CG399,"",'1. Live'!CK399-'check-Jul''26'!CG399)</f>
        <v/>
      </c>
      <c r="CH381" s="25" t="str">
        <f>IF('1. Live'!CL399='check-Jul''26'!CH399,"",'1. Live'!CL399-'check-Jul''26'!CH399)</f>
        <v/>
      </c>
      <c r="CI381" s="25" t="str">
        <f>IF('1. Live'!CM399='check-Jul''26'!CI399,"",'1. Live'!CM399-'check-Jul''26'!CI399)</f>
        <v/>
      </c>
      <c r="CJ381" s="25" t="str">
        <f>IF('1. Live'!CN399='check-Jul''26'!CJ399,"",'1. Live'!CN399-'check-Jul''26'!CJ399)</f>
        <v/>
      </c>
      <c r="CK381" s="25" t="str">
        <f>IF('1. Live'!CO399='check-Jul''26'!CK399,"",'1. Live'!CO399-'check-Jul''26'!CK399)</f>
        <v/>
      </c>
      <c r="CL381" s="25" t="str">
        <f>IF('1. Live'!CP399='check-Jul''26'!CL399,"",'1. Live'!CP399-'check-Jul''26'!CL399)</f>
        <v/>
      </c>
      <c r="CM381" s="25" t="str">
        <f>IF('1. Live'!CQ399='check-Jul''26'!CM399,"",'1. Live'!CQ399-'check-Jul''26'!CM399)</f>
        <v/>
      </c>
      <c r="CN381" s="25" t="str">
        <f>IF('1. Live'!CR399='check-Jul''26'!CN399,"",'1. Live'!CR399-'check-Jul''26'!CN399)</f>
        <v/>
      </c>
      <c r="CO381" s="25" t="str">
        <f>IF('1. Live'!CS399='check-Jul''26'!CO399,"",'1. Live'!CS399-'check-Jul''26'!CO399)</f>
        <v/>
      </c>
      <c r="CP381" s="25" t="str">
        <f>IF('1. Live'!CT399='check-Jul''26'!CP399,"",'1. Live'!CT399-'check-Jul''26'!CP399)</f>
        <v/>
      </c>
      <c r="CQ381" s="25" t="str">
        <f>IF('1. Live'!CU399='check-Jul''26'!CQ399,"",'1. Live'!CU399-'check-Jul''26'!CQ399)</f>
        <v/>
      </c>
      <c r="CR381" s="25" t="str">
        <f>IF('1. Live'!CV399='check-Jul''26'!CR399,"",'1. Live'!CV399-'check-Jul''26'!CR399)</f>
        <v/>
      </c>
      <c r="CS381" s="25" t="str">
        <f>IF('1. Live'!CW399='check-Jul''26'!CS399,"",'1. Live'!CW399-'check-Jul''26'!CS399)</f>
        <v/>
      </c>
      <c r="CT381" s="25" t="str">
        <f>IF('1. Live'!CX399='check-Jul''26'!CT399,"",'1. Live'!CX399-'check-Jul''26'!CT399)</f>
        <v/>
      </c>
      <c r="CU381" s="25" t="str">
        <f>IF('1. Live'!CY399='check-Jul''26'!CU399,"",'1. Live'!CY399-'check-Jul''26'!CU399)</f>
        <v/>
      </c>
      <c r="CV381" s="25" t="str">
        <f>IF('1. Live'!CZ399='check-Jul''26'!CV399,"",'1. Live'!CZ399-'check-Jul''26'!CV399)</f>
        <v/>
      </c>
    </row>
    <row r="382" spans="17:100" x14ac:dyDescent="0.25">
      <c r="Q382" s="26" t="str">
        <f>IF('1. Live'!N400='check-Jul''26'!I400,"",'1. Live'!N400-'check-Jul''26'!I400)</f>
        <v/>
      </c>
      <c r="R382" s="26" t="str">
        <f>IF('1. Live'!O400='check-Jul''26'!J400,"",'1. Live'!O400-'check-Jul''26'!J400)</f>
        <v/>
      </c>
      <c r="S382" s="26" t="str">
        <f>IF('1. Live'!P400='check-Jul''26'!K400,"",'1. Live'!P400-'check-Jul''26'!K400)</f>
        <v/>
      </c>
      <c r="T382" s="26" t="str">
        <f>IF('1. Live'!Q400='check-Jul''26'!L400,"",'1. Live'!Q400-'check-Jul''26'!L400)</f>
        <v/>
      </c>
      <c r="U382" s="80" t="str">
        <f>IF('1. Live'!R400='check-Jul''26'!M400,"",'1. Live'!R400-'check-Jul''26'!M400)</f>
        <v/>
      </c>
      <c r="V382" s="26" t="str">
        <f>IF('1. Live'!S400='check-Jul''26'!N400,"",'1. Live'!S400-'check-Jul''26'!N400)</f>
        <v/>
      </c>
      <c r="W382" s="25" t="str">
        <f>IF('1. Live'!T400='check-Jul''26'!O400,"",'1. Live'!T400-'check-Jul''26'!O400)</f>
        <v/>
      </c>
      <c r="X382" s="25" t="str">
        <f>IF('1. Live'!U400='check-Jul''26'!Q400,"",'1. Live'!U400-'check-Jul''26'!Q400)</f>
        <v/>
      </c>
      <c r="Y382" s="25" t="str">
        <f>IF('1. Live'!V400='check-Jul''26'!R400,"",'1. Live'!V400-'check-Jul''26'!R400)</f>
        <v/>
      </c>
      <c r="Z382" s="25" t="str">
        <f>IF('1. Live'!W400='check-Jul''26'!S400,"",'1. Live'!W400-'check-Jul''26'!S400)</f>
        <v/>
      </c>
      <c r="AA382" s="25" t="str">
        <f>IF('1. Live'!X400='check-Jul''26'!T400,"",'1. Live'!X400-'check-Jul''26'!T400)</f>
        <v/>
      </c>
      <c r="AB382" s="25" t="str">
        <f>IF('1. Live'!AF400='check-Jul''26'!AB400,"",'1. Live'!AF400-'check-Jul''26'!AB400)</f>
        <v/>
      </c>
      <c r="AC382" s="25" t="str">
        <f>IF('1. Live'!AG400='check-Jul''26'!AC400,"",'1. Live'!AG400-'check-Jul''26'!AC400)</f>
        <v/>
      </c>
      <c r="AD382" s="25" t="str">
        <f>IF('1. Live'!AH400='check-Jul''26'!AD400,"",'1. Live'!AH400-'check-Jul''26'!AD400)</f>
        <v/>
      </c>
      <c r="AE382" s="25" t="str">
        <f>IF('1. Live'!AI400='check-Jul''26'!AE400,"",'1. Live'!AI400-'check-Jul''26'!AE400)</f>
        <v/>
      </c>
      <c r="AF382" s="25" t="str">
        <f>IF('1. Live'!AJ400='check-Jul''26'!AF400,"",'1. Live'!AJ400-'check-Jul''26'!AF400)</f>
        <v/>
      </c>
      <c r="AG382" s="25" t="str">
        <f>IF('1. Live'!AK400='check-Jul''26'!AG400,"",'1. Live'!AK400-'check-Jul''26'!AG400)</f>
        <v/>
      </c>
      <c r="AH382" s="25" t="str">
        <f>IF('1. Live'!AL400='check-Jul''26'!AH400,"",'1. Live'!AL400-'check-Jul''26'!AH400)</f>
        <v/>
      </c>
      <c r="AI382" s="25" t="str">
        <f>IF('1. Live'!AM400='check-Jul''26'!AI400,"",'1. Live'!AM400-'check-Jul''26'!AI400)</f>
        <v/>
      </c>
      <c r="AJ382" s="25" t="str">
        <f>IF('1. Live'!AN400='check-Jul''26'!AJ400,"",'1. Live'!AN400-'check-Jul''26'!AJ400)</f>
        <v/>
      </c>
      <c r="AK382" s="25" t="str">
        <f>IF('1. Live'!AO400='check-Jul''26'!AK400,"",'1. Live'!AO400-'check-Jul''26'!AK400)</f>
        <v/>
      </c>
      <c r="AL382" s="25" t="str">
        <f>IF('1. Live'!AP400='check-Jul''26'!AL400,"",'1. Live'!AP400-'check-Jul''26'!AL400)</f>
        <v/>
      </c>
      <c r="AM382" s="25" t="str">
        <f>IF('1. Live'!AQ400='check-Jul''26'!AM400,"",'1. Live'!AQ400-'check-Jul''26'!AM400)</f>
        <v/>
      </c>
      <c r="AN382" s="25" t="str">
        <f>IF('1. Live'!AR400='check-Jul''26'!AN400,"",'1. Live'!AR400-'check-Jul''26'!AN400)</f>
        <v/>
      </c>
      <c r="AO382" s="25" t="str">
        <f>IF('1. Live'!AS400='check-Jul''26'!AO400,"",'1. Live'!AS400-'check-Jul''26'!AO400)</f>
        <v/>
      </c>
      <c r="AP382" s="25" t="str">
        <f>IF('1. Live'!AT400='check-Jul''26'!AP400,"",'1. Live'!AT400-'check-Jul''26'!AP400)</f>
        <v/>
      </c>
      <c r="AQ382" s="25" t="str">
        <f>IF('1. Live'!AU400='check-Jul''26'!AQ400,"",'1. Live'!AU400-'check-Jul''26'!AQ400)</f>
        <v/>
      </c>
      <c r="AR382" s="25" t="str">
        <f>IF('1. Live'!AV400='check-Jul''26'!AR400,"",'1. Live'!AV400-'check-Jul''26'!AR400)</f>
        <v/>
      </c>
      <c r="AS382" s="25" t="str">
        <f>IF('1. Live'!AW400='check-Jul''26'!AS400,"",'1. Live'!AW400-'check-Jul''26'!AS400)</f>
        <v/>
      </c>
      <c r="AT382" s="25" t="str">
        <f>IF('1. Live'!AX400='check-Jul''26'!AT400,"",'1. Live'!AX400-'check-Jul''26'!AT400)</f>
        <v/>
      </c>
      <c r="AU382" s="25" t="str">
        <f>IF('1. Live'!AY400='check-Jul''26'!AU400,"",'1. Live'!AY400-'check-Jul''26'!AU400)</f>
        <v/>
      </c>
      <c r="AV382" s="25" t="str">
        <f>IF('1. Live'!AZ400='check-Jul''26'!AV400,"",'1. Live'!AZ400-'check-Jul''26'!AV400)</f>
        <v/>
      </c>
      <c r="AW382" s="25" t="str">
        <f>IF('1. Live'!BA400='check-Jul''26'!AW400,"",'1. Live'!BA400-'check-Jul''26'!AW400)</f>
        <v/>
      </c>
      <c r="AX382" s="25" t="str">
        <f>IF('1. Live'!BB400='check-Jul''26'!AX400,"",'1. Live'!BB400-'check-Jul''26'!AX400)</f>
        <v/>
      </c>
      <c r="AY382" s="25" t="str">
        <f>IF('1. Live'!BC400='check-Jul''26'!AY400,"",'1. Live'!BC400-'check-Jul''26'!AY400)</f>
        <v/>
      </c>
      <c r="AZ382" s="25" t="str">
        <f>IF('1. Live'!BD400='check-Jul''26'!AZ400,"",'1. Live'!BD400-'check-Jul''26'!AZ400)</f>
        <v/>
      </c>
      <c r="BA382" s="25" t="str">
        <f>IF('1. Live'!BE400='check-Jul''26'!BA400,"",'1. Live'!BE400-'check-Jul''26'!BA400)</f>
        <v/>
      </c>
      <c r="BB382" s="25" t="str">
        <f>IF('1. Live'!BF400='check-Jul''26'!BB400,"",'1. Live'!BF400-'check-Jul''26'!BB400)</f>
        <v/>
      </c>
      <c r="BC382" s="25" t="str">
        <f>IF('1. Live'!BG400='check-Jul''26'!BC400,"",'1. Live'!BG400-'check-Jul''26'!BC400)</f>
        <v/>
      </c>
      <c r="BD382" s="25" t="str">
        <f>IF('1. Live'!BH400='check-Jul''26'!BD400,"",'1. Live'!BH400-'check-Jul''26'!BD400)</f>
        <v/>
      </c>
      <c r="BE382" s="25" t="str">
        <f>IF('1. Live'!BI400='check-Jul''26'!BE400,"",'1. Live'!BI400-'check-Jul''26'!BE400)</f>
        <v/>
      </c>
      <c r="BF382" s="25" t="str">
        <f>IF('1. Live'!BJ400='check-Jul''26'!BF400,"",'1. Live'!BJ400-'check-Jul''26'!BF400)</f>
        <v/>
      </c>
      <c r="BG382" s="25" t="str">
        <f>IF('1. Live'!BK400='check-Jul''26'!BG400,"",'1. Live'!BK400-'check-Jul''26'!BG400)</f>
        <v/>
      </c>
      <c r="BH382" s="25" t="str">
        <f>IF('1. Live'!BL400='check-Jul''26'!BH400,"",'1. Live'!BL400-'check-Jul''26'!BH400)</f>
        <v/>
      </c>
      <c r="BI382" s="25" t="str">
        <f>IF('1. Live'!BM400='check-Jul''26'!BI400,"",'1. Live'!BM400-'check-Jul''26'!BI400)</f>
        <v/>
      </c>
      <c r="BJ382" s="25" t="str">
        <f>IF('1. Live'!BN400='check-Jul''26'!BJ400,"",'1. Live'!BN400-'check-Jul''26'!BJ400)</f>
        <v/>
      </c>
      <c r="BK382" s="25" t="str">
        <f>IF('1. Live'!BO400='check-Jul''26'!BK400,"",'1. Live'!BO400-'check-Jul''26'!BK400)</f>
        <v/>
      </c>
      <c r="BL382" s="25" t="str">
        <f>IF('1. Live'!BP400='check-Jul''26'!BL400,"",'1. Live'!BP400-'check-Jul''26'!BL400)</f>
        <v/>
      </c>
      <c r="BM382" s="25" t="str">
        <f>IF('1. Live'!BQ400='check-Jul''26'!BM400,"",'1. Live'!BQ400-'check-Jul''26'!BM400)</f>
        <v/>
      </c>
      <c r="BN382" s="25" t="str">
        <f>IF('1. Live'!BR400='check-Jul''26'!BN400,"",'1. Live'!BR400-'check-Jul''26'!BN400)</f>
        <v/>
      </c>
      <c r="BO382" s="25" t="str">
        <f>IF('1. Live'!BS400='check-Jul''26'!BO400,"",'1. Live'!BS400-'check-Jul''26'!BO400)</f>
        <v/>
      </c>
      <c r="BP382" s="25" t="str">
        <f>IF('1. Live'!BT400='check-Jul''26'!BP400,"",'1. Live'!BT400-'check-Jul''26'!BP400)</f>
        <v/>
      </c>
      <c r="BQ382" s="25" t="str">
        <f>IF('1. Live'!BU400='check-Jul''26'!BQ400,"",'1. Live'!BU400-'check-Jul''26'!BQ400)</f>
        <v/>
      </c>
      <c r="BR382" s="25" t="str">
        <f>IF('1. Live'!BV400='check-Jul''26'!BR400,"",'1. Live'!BV400-'check-Jul''26'!BR400)</f>
        <v/>
      </c>
      <c r="BS382" s="25" t="str">
        <f>IF('1. Live'!BW400='check-Jul''26'!BS400,"",'1. Live'!BW400-'check-Jul''26'!BS400)</f>
        <v/>
      </c>
      <c r="BT382" s="25" t="str">
        <f>IF('1. Live'!BX400='check-Jul''26'!BT400,"",'1. Live'!BX400-'check-Jul''26'!BT400)</f>
        <v/>
      </c>
      <c r="BU382" s="25" t="str">
        <f>IF('1. Live'!BY400='check-Jul''26'!BU400,"",'1. Live'!BY400-'check-Jul''26'!BU400)</f>
        <v/>
      </c>
      <c r="BV382" s="25" t="str">
        <f>IF('1. Live'!BZ400='check-Jul''26'!BV400,"",'1. Live'!BZ400-'check-Jul''26'!BV400)</f>
        <v/>
      </c>
      <c r="BW382" s="25" t="str">
        <f>IF('1. Live'!CA400='check-Jul''26'!BW400,"",'1. Live'!CA400-'check-Jul''26'!BW400)</f>
        <v/>
      </c>
      <c r="BX382" s="25" t="str">
        <f>IF('1. Live'!CB400='check-Jul''26'!BX400,"",'1. Live'!CB400-'check-Jul''26'!BX400)</f>
        <v/>
      </c>
      <c r="BY382" s="25" t="str">
        <f>IF('1. Live'!CC400='check-Jul''26'!BY400,"",'1. Live'!CC400-'check-Jul''26'!BY400)</f>
        <v/>
      </c>
      <c r="BZ382" s="25" t="str">
        <f>IF('1. Live'!CD400='check-Jul''26'!BZ400,"",'1. Live'!CD400-'check-Jul''26'!BZ400)</f>
        <v/>
      </c>
      <c r="CA382" s="25" t="str">
        <f>IF('1. Live'!CE400='check-Jul''26'!CA400,"",'1. Live'!CE400-'check-Jul''26'!CA400)</f>
        <v/>
      </c>
      <c r="CB382" s="25" t="str">
        <f>IF('1. Live'!CF400='check-Jul''26'!CB400,"",'1. Live'!CF400-'check-Jul''26'!CB400)</f>
        <v/>
      </c>
      <c r="CC382" s="25" t="str">
        <f>IF('1. Live'!CG400='check-Jul''26'!CC400,"",'1. Live'!CG400-'check-Jul''26'!CC400)</f>
        <v/>
      </c>
      <c r="CD382" s="25" t="str">
        <f>IF('1. Live'!CH400='check-Jul''26'!CD400,"",'1. Live'!CH400-'check-Jul''26'!CD400)</f>
        <v/>
      </c>
      <c r="CE382" s="25" t="str">
        <f>IF('1. Live'!CI400='check-Jul''26'!CE400,"",'1. Live'!CI400-'check-Jul''26'!CE400)</f>
        <v/>
      </c>
      <c r="CF382" s="25" t="str">
        <f>IF('1. Live'!CJ400='check-Jul''26'!CF400,"",'1. Live'!CJ400-'check-Jul''26'!CF400)</f>
        <v/>
      </c>
      <c r="CG382" s="25" t="str">
        <f>IF('1. Live'!CK400='check-Jul''26'!CG400,"",'1. Live'!CK400-'check-Jul''26'!CG400)</f>
        <v/>
      </c>
      <c r="CH382" s="25" t="str">
        <f>IF('1. Live'!CL400='check-Jul''26'!CH400,"",'1. Live'!CL400-'check-Jul''26'!CH400)</f>
        <v/>
      </c>
      <c r="CI382" s="25" t="str">
        <f>IF('1. Live'!CM400='check-Jul''26'!CI400,"",'1. Live'!CM400-'check-Jul''26'!CI400)</f>
        <v/>
      </c>
      <c r="CJ382" s="25" t="str">
        <f>IF('1. Live'!CN400='check-Jul''26'!CJ400,"",'1. Live'!CN400-'check-Jul''26'!CJ400)</f>
        <v/>
      </c>
      <c r="CK382" s="25" t="str">
        <f>IF('1. Live'!CO400='check-Jul''26'!CK400,"",'1. Live'!CO400-'check-Jul''26'!CK400)</f>
        <v/>
      </c>
      <c r="CL382" s="25" t="str">
        <f>IF('1. Live'!CP400='check-Jul''26'!CL400,"",'1. Live'!CP400-'check-Jul''26'!CL400)</f>
        <v/>
      </c>
      <c r="CM382" s="25" t="str">
        <f>IF('1. Live'!CQ400='check-Jul''26'!CM400,"",'1. Live'!CQ400-'check-Jul''26'!CM400)</f>
        <v/>
      </c>
      <c r="CN382" s="25" t="str">
        <f>IF('1. Live'!CR400='check-Jul''26'!CN400,"",'1. Live'!CR400-'check-Jul''26'!CN400)</f>
        <v/>
      </c>
      <c r="CO382" s="25" t="str">
        <f>IF('1. Live'!CS400='check-Jul''26'!CO400,"",'1. Live'!CS400-'check-Jul''26'!CO400)</f>
        <v/>
      </c>
      <c r="CP382" s="25" t="str">
        <f>IF('1. Live'!CT400='check-Jul''26'!CP400,"",'1. Live'!CT400-'check-Jul''26'!CP400)</f>
        <v/>
      </c>
      <c r="CQ382" s="25" t="str">
        <f>IF('1. Live'!CU400='check-Jul''26'!CQ400,"",'1. Live'!CU400-'check-Jul''26'!CQ400)</f>
        <v/>
      </c>
      <c r="CR382" s="25" t="str">
        <f>IF('1. Live'!CV400='check-Jul''26'!CR400,"",'1. Live'!CV400-'check-Jul''26'!CR400)</f>
        <v/>
      </c>
      <c r="CS382" s="25" t="str">
        <f>IF('1. Live'!CW400='check-Jul''26'!CS400,"",'1. Live'!CW400-'check-Jul''26'!CS400)</f>
        <v/>
      </c>
      <c r="CT382" s="25" t="str">
        <f>IF('1. Live'!CX400='check-Jul''26'!CT400,"",'1. Live'!CX400-'check-Jul''26'!CT400)</f>
        <v/>
      </c>
      <c r="CU382" s="25" t="str">
        <f>IF('1. Live'!CY400='check-Jul''26'!CU400,"",'1. Live'!CY400-'check-Jul''26'!CU400)</f>
        <v/>
      </c>
      <c r="CV382" s="25" t="str">
        <f>IF('1. Live'!CZ400='check-Jul''26'!CV400,"",'1. Live'!CZ400-'check-Jul''26'!CV400)</f>
        <v/>
      </c>
    </row>
    <row r="383" spans="17:100" x14ac:dyDescent="0.25">
      <c r="Q383" s="26" t="str">
        <f>IF('1. Live'!N401='check-Jul''26'!I401,"",'1. Live'!N401-'check-Jul''26'!I401)</f>
        <v/>
      </c>
      <c r="R383" s="26" t="str">
        <f>IF('1. Live'!O401='check-Jul''26'!J401,"",'1. Live'!O401-'check-Jul''26'!J401)</f>
        <v/>
      </c>
      <c r="S383" s="26" t="str">
        <f>IF('1. Live'!P401='check-Jul''26'!K401,"",'1. Live'!P401-'check-Jul''26'!K401)</f>
        <v/>
      </c>
      <c r="T383" s="26" t="str">
        <f>IF('1. Live'!Q401='check-Jul''26'!L401,"",'1. Live'!Q401-'check-Jul''26'!L401)</f>
        <v/>
      </c>
      <c r="U383" s="80" t="str">
        <f>IF('1. Live'!R401='check-Jul''26'!M401,"",'1. Live'!R401-'check-Jul''26'!M401)</f>
        <v/>
      </c>
      <c r="V383" s="26" t="str">
        <f>IF('1. Live'!S401='check-Jul''26'!N401,"",'1. Live'!S401-'check-Jul''26'!N401)</f>
        <v/>
      </c>
      <c r="W383" s="25" t="str">
        <f>IF('1. Live'!T401='check-Jul''26'!O401,"",'1. Live'!T401-'check-Jul''26'!O401)</f>
        <v/>
      </c>
      <c r="X383" s="25" t="str">
        <f>IF('1. Live'!U401='check-Jul''26'!Q401,"",'1. Live'!U401-'check-Jul''26'!Q401)</f>
        <v/>
      </c>
      <c r="Y383" s="25" t="str">
        <f>IF('1. Live'!V401='check-Jul''26'!R401,"",'1. Live'!V401-'check-Jul''26'!R401)</f>
        <v/>
      </c>
      <c r="Z383" s="25" t="str">
        <f>IF('1. Live'!W401='check-Jul''26'!S401,"",'1. Live'!W401-'check-Jul''26'!S401)</f>
        <v/>
      </c>
      <c r="AA383" s="25" t="str">
        <f>IF('1. Live'!X401='check-Jul''26'!T401,"",'1. Live'!X401-'check-Jul''26'!T401)</f>
        <v/>
      </c>
      <c r="AB383" s="25" t="str">
        <f>IF('1. Live'!AF401='check-Jul''26'!AB401,"",'1. Live'!AF401-'check-Jul''26'!AB401)</f>
        <v/>
      </c>
      <c r="AC383" s="25" t="str">
        <f>IF('1. Live'!AG401='check-Jul''26'!AC401,"",'1. Live'!AG401-'check-Jul''26'!AC401)</f>
        <v/>
      </c>
      <c r="AD383" s="25" t="str">
        <f>IF('1. Live'!AH401='check-Jul''26'!AD401,"",'1. Live'!AH401-'check-Jul''26'!AD401)</f>
        <v/>
      </c>
      <c r="AE383" s="25" t="str">
        <f>IF('1. Live'!AI401='check-Jul''26'!AE401,"",'1. Live'!AI401-'check-Jul''26'!AE401)</f>
        <v/>
      </c>
      <c r="AF383" s="25" t="str">
        <f>IF('1. Live'!AJ401='check-Jul''26'!AF401,"",'1. Live'!AJ401-'check-Jul''26'!AF401)</f>
        <v/>
      </c>
      <c r="AG383" s="25" t="str">
        <f>IF('1. Live'!AK401='check-Jul''26'!AG401,"",'1. Live'!AK401-'check-Jul''26'!AG401)</f>
        <v/>
      </c>
      <c r="AH383" s="25" t="str">
        <f>IF('1. Live'!AL401='check-Jul''26'!AH401,"",'1. Live'!AL401-'check-Jul''26'!AH401)</f>
        <v/>
      </c>
      <c r="AI383" s="25" t="str">
        <f>IF('1. Live'!AM401='check-Jul''26'!AI401,"",'1. Live'!AM401-'check-Jul''26'!AI401)</f>
        <v/>
      </c>
      <c r="AJ383" s="25" t="str">
        <f>IF('1. Live'!AN401='check-Jul''26'!AJ401,"",'1. Live'!AN401-'check-Jul''26'!AJ401)</f>
        <v/>
      </c>
      <c r="AK383" s="25" t="str">
        <f>IF('1. Live'!AO401='check-Jul''26'!AK401,"",'1. Live'!AO401-'check-Jul''26'!AK401)</f>
        <v/>
      </c>
      <c r="AL383" s="25" t="str">
        <f>IF('1. Live'!AP401='check-Jul''26'!AL401,"",'1. Live'!AP401-'check-Jul''26'!AL401)</f>
        <v/>
      </c>
      <c r="AM383" s="25" t="str">
        <f>IF('1. Live'!AQ401='check-Jul''26'!AM401,"",'1. Live'!AQ401-'check-Jul''26'!AM401)</f>
        <v/>
      </c>
      <c r="AN383" s="25" t="str">
        <f>IF('1. Live'!AR401='check-Jul''26'!AN401,"",'1. Live'!AR401-'check-Jul''26'!AN401)</f>
        <v/>
      </c>
      <c r="AO383" s="25" t="str">
        <f>IF('1. Live'!AS401='check-Jul''26'!AO401,"",'1. Live'!AS401-'check-Jul''26'!AO401)</f>
        <v/>
      </c>
      <c r="AP383" s="25" t="str">
        <f>IF('1. Live'!AT401='check-Jul''26'!AP401,"",'1. Live'!AT401-'check-Jul''26'!AP401)</f>
        <v/>
      </c>
      <c r="AQ383" s="25" t="str">
        <f>IF('1. Live'!AU401='check-Jul''26'!AQ401,"",'1. Live'!AU401-'check-Jul''26'!AQ401)</f>
        <v/>
      </c>
      <c r="AR383" s="25" t="str">
        <f>IF('1. Live'!AV401='check-Jul''26'!AR401,"",'1. Live'!AV401-'check-Jul''26'!AR401)</f>
        <v/>
      </c>
      <c r="AS383" s="25" t="str">
        <f>IF('1. Live'!AW401='check-Jul''26'!AS401,"",'1. Live'!AW401-'check-Jul''26'!AS401)</f>
        <v/>
      </c>
      <c r="AT383" s="25" t="str">
        <f>IF('1. Live'!AX401='check-Jul''26'!AT401,"",'1. Live'!AX401-'check-Jul''26'!AT401)</f>
        <v/>
      </c>
      <c r="AU383" s="25" t="str">
        <f>IF('1. Live'!AY401='check-Jul''26'!AU401,"",'1. Live'!AY401-'check-Jul''26'!AU401)</f>
        <v/>
      </c>
      <c r="AV383" s="25" t="str">
        <f>IF('1. Live'!AZ401='check-Jul''26'!AV401,"",'1. Live'!AZ401-'check-Jul''26'!AV401)</f>
        <v/>
      </c>
      <c r="AW383" s="25" t="str">
        <f>IF('1. Live'!BA401='check-Jul''26'!AW401,"",'1. Live'!BA401-'check-Jul''26'!AW401)</f>
        <v/>
      </c>
      <c r="AX383" s="25" t="str">
        <f>IF('1. Live'!BB401='check-Jul''26'!AX401,"",'1. Live'!BB401-'check-Jul''26'!AX401)</f>
        <v/>
      </c>
      <c r="AY383" s="25" t="str">
        <f>IF('1. Live'!BC401='check-Jul''26'!AY401,"",'1. Live'!BC401-'check-Jul''26'!AY401)</f>
        <v/>
      </c>
      <c r="AZ383" s="25" t="str">
        <f>IF('1. Live'!BD401='check-Jul''26'!AZ401,"",'1. Live'!BD401-'check-Jul''26'!AZ401)</f>
        <v/>
      </c>
      <c r="BA383" s="25" t="str">
        <f>IF('1. Live'!BE401='check-Jul''26'!BA401,"",'1. Live'!BE401-'check-Jul''26'!BA401)</f>
        <v/>
      </c>
      <c r="BB383" s="25" t="str">
        <f>IF('1. Live'!BF401='check-Jul''26'!BB401,"",'1. Live'!BF401-'check-Jul''26'!BB401)</f>
        <v/>
      </c>
      <c r="BC383" s="25" t="str">
        <f>IF('1. Live'!BG401='check-Jul''26'!BC401,"",'1. Live'!BG401-'check-Jul''26'!BC401)</f>
        <v/>
      </c>
      <c r="BD383" s="25" t="str">
        <f>IF('1. Live'!BH401='check-Jul''26'!BD401,"",'1. Live'!BH401-'check-Jul''26'!BD401)</f>
        <v/>
      </c>
      <c r="BE383" s="25" t="str">
        <f>IF('1. Live'!BI401='check-Jul''26'!BE401,"",'1. Live'!BI401-'check-Jul''26'!BE401)</f>
        <v/>
      </c>
      <c r="BF383" s="25" t="str">
        <f>IF('1. Live'!BJ401='check-Jul''26'!BF401,"",'1. Live'!BJ401-'check-Jul''26'!BF401)</f>
        <v/>
      </c>
      <c r="BG383" s="25" t="str">
        <f>IF('1. Live'!BK401='check-Jul''26'!BG401,"",'1. Live'!BK401-'check-Jul''26'!BG401)</f>
        <v/>
      </c>
      <c r="BH383" s="25" t="str">
        <f>IF('1. Live'!BL401='check-Jul''26'!BH401,"",'1. Live'!BL401-'check-Jul''26'!BH401)</f>
        <v/>
      </c>
      <c r="BI383" s="25" t="str">
        <f>IF('1. Live'!BM401='check-Jul''26'!BI401,"",'1. Live'!BM401-'check-Jul''26'!BI401)</f>
        <v/>
      </c>
      <c r="BJ383" s="25" t="str">
        <f>IF('1. Live'!BN401='check-Jul''26'!BJ401,"",'1. Live'!BN401-'check-Jul''26'!BJ401)</f>
        <v/>
      </c>
      <c r="BK383" s="25" t="str">
        <f>IF('1. Live'!BO401='check-Jul''26'!BK401,"",'1. Live'!BO401-'check-Jul''26'!BK401)</f>
        <v/>
      </c>
      <c r="BL383" s="25" t="str">
        <f>IF('1. Live'!BP401='check-Jul''26'!BL401,"",'1. Live'!BP401-'check-Jul''26'!BL401)</f>
        <v/>
      </c>
      <c r="BM383" s="25" t="str">
        <f>IF('1. Live'!BQ401='check-Jul''26'!BM401,"",'1. Live'!BQ401-'check-Jul''26'!BM401)</f>
        <v/>
      </c>
      <c r="BN383" s="25" t="str">
        <f>IF('1. Live'!BR401='check-Jul''26'!BN401,"",'1. Live'!BR401-'check-Jul''26'!BN401)</f>
        <v/>
      </c>
      <c r="BO383" s="25" t="str">
        <f>IF('1. Live'!BS401='check-Jul''26'!BO401,"",'1. Live'!BS401-'check-Jul''26'!BO401)</f>
        <v/>
      </c>
      <c r="BP383" s="25" t="str">
        <f>IF('1. Live'!BT401='check-Jul''26'!BP401,"",'1. Live'!BT401-'check-Jul''26'!BP401)</f>
        <v/>
      </c>
      <c r="BQ383" s="25" t="str">
        <f>IF('1. Live'!BU401='check-Jul''26'!BQ401,"",'1. Live'!BU401-'check-Jul''26'!BQ401)</f>
        <v/>
      </c>
      <c r="BR383" s="25" t="str">
        <f>IF('1. Live'!BV401='check-Jul''26'!BR401,"",'1. Live'!BV401-'check-Jul''26'!BR401)</f>
        <v/>
      </c>
      <c r="BS383" s="25" t="str">
        <f>IF('1. Live'!BW401='check-Jul''26'!BS401,"",'1. Live'!BW401-'check-Jul''26'!BS401)</f>
        <v/>
      </c>
      <c r="BT383" s="25" t="str">
        <f>IF('1. Live'!BX401='check-Jul''26'!BT401,"",'1. Live'!BX401-'check-Jul''26'!BT401)</f>
        <v/>
      </c>
      <c r="BU383" s="25" t="str">
        <f>IF('1. Live'!BY401='check-Jul''26'!BU401,"",'1. Live'!BY401-'check-Jul''26'!BU401)</f>
        <v/>
      </c>
      <c r="BV383" s="25" t="str">
        <f>IF('1. Live'!BZ401='check-Jul''26'!BV401,"",'1. Live'!BZ401-'check-Jul''26'!BV401)</f>
        <v/>
      </c>
      <c r="BW383" s="25" t="str">
        <f>IF('1. Live'!CA401='check-Jul''26'!BW401,"",'1. Live'!CA401-'check-Jul''26'!BW401)</f>
        <v/>
      </c>
      <c r="BX383" s="25" t="str">
        <f>IF('1. Live'!CB401='check-Jul''26'!BX401,"",'1. Live'!CB401-'check-Jul''26'!BX401)</f>
        <v/>
      </c>
      <c r="BY383" s="25" t="str">
        <f>IF('1. Live'!CC401='check-Jul''26'!BY401,"",'1. Live'!CC401-'check-Jul''26'!BY401)</f>
        <v/>
      </c>
      <c r="BZ383" s="25" t="str">
        <f>IF('1. Live'!CD401='check-Jul''26'!BZ401,"",'1. Live'!CD401-'check-Jul''26'!BZ401)</f>
        <v/>
      </c>
      <c r="CA383" s="25" t="str">
        <f>IF('1. Live'!CE401='check-Jul''26'!CA401,"",'1. Live'!CE401-'check-Jul''26'!CA401)</f>
        <v/>
      </c>
      <c r="CB383" s="25" t="str">
        <f>IF('1. Live'!CF401='check-Jul''26'!CB401,"",'1. Live'!CF401-'check-Jul''26'!CB401)</f>
        <v/>
      </c>
      <c r="CC383" s="25" t="str">
        <f>IF('1. Live'!CG401='check-Jul''26'!CC401,"",'1. Live'!CG401-'check-Jul''26'!CC401)</f>
        <v/>
      </c>
      <c r="CD383" s="25" t="str">
        <f>IF('1. Live'!CH401='check-Jul''26'!CD401,"",'1. Live'!CH401-'check-Jul''26'!CD401)</f>
        <v/>
      </c>
      <c r="CE383" s="25" t="str">
        <f>IF('1. Live'!CI401='check-Jul''26'!CE401,"",'1. Live'!CI401-'check-Jul''26'!CE401)</f>
        <v/>
      </c>
      <c r="CF383" s="25" t="str">
        <f>IF('1. Live'!CJ401='check-Jul''26'!CF401,"",'1. Live'!CJ401-'check-Jul''26'!CF401)</f>
        <v/>
      </c>
      <c r="CG383" s="25" t="str">
        <f>IF('1. Live'!CK401='check-Jul''26'!CG401,"",'1. Live'!CK401-'check-Jul''26'!CG401)</f>
        <v/>
      </c>
      <c r="CH383" s="25" t="str">
        <f>IF('1. Live'!CL401='check-Jul''26'!CH401,"",'1. Live'!CL401-'check-Jul''26'!CH401)</f>
        <v/>
      </c>
      <c r="CI383" s="25" t="str">
        <f>IF('1. Live'!CM401='check-Jul''26'!CI401,"",'1. Live'!CM401-'check-Jul''26'!CI401)</f>
        <v/>
      </c>
      <c r="CJ383" s="25" t="str">
        <f>IF('1. Live'!CN401='check-Jul''26'!CJ401,"",'1. Live'!CN401-'check-Jul''26'!CJ401)</f>
        <v/>
      </c>
      <c r="CK383" s="25" t="str">
        <f>IF('1. Live'!CO401='check-Jul''26'!CK401,"",'1. Live'!CO401-'check-Jul''26'!CK401)</f>
        <v/>
      </c>
      <c r="CL383" s="25" t="str">
        <f>IF('1. Live'!CP401='check-Jul''26'!CL401,"",'1. Live'!CP401-'check-Jul''26'!CL401)</f>
        <v/>
      </c>
      <c r="CM383" s="25" t="str">
        <f>IF('1. Live'!CQ401='check-Jul''26'!CM401,"",'1. Live'!CQ401-'check-Jul''26'!CM401)</f>
        <v/>
      </c>
      <c r="CN383" s="25" t="str">
        <f>IF('1. Live'!CR401='check-Jul''26'!CN401,"",'1. Live'!CR401-'check-Jul''26'!CN401)</f>
        <v/>
      </c>
      <c r="CO383" s="25" t="str">
        <f>IF('1. Live'!CS401='check-Jul''26'!CO401,"",'1. Live'!CS401-'check-Jul''26'!CO401)</f>
        <v/>
      </c>
      <c r="CP383" s="25" t="str">
        <f>IF('1. Live'!CT401='check-Jul''26'!CP401,"",'1. Live'!CT401-'check-Jul''26'!CP401)</f>
        <v/>
      </c>
      <c r="CQ383" s="25" t="str">
        <f>IF('1. Live'!CU401='check-Jul''26'!CQ401,"",'1. Live'!CU401-'check-Jul''26'!CQ401)</f>
        <v/>
      </c>
      <c r="CR383" s="25" t="str">
        <f>IF('1. Live'!CV401='check-Jul''26'!CR401,"",'1. Live'!CV401-'check-Jul''26'!CR401)</f>
        <v/>
      </c>
      <c r="CS383" s="25" t="str">
        <f>IF('1. Live'!CW401='check-Jul''26'!CS401,"",'1. Live'!CW401-'check-Jul''26'!CS401)</f>
        <v/>
      </c>
      <c r="CT383" s="25" t="str">
        <f>IF('1. Live'!CX401='check-Jul''26'!CT401,"",'1. Live'!CX401-'check-Jul''26'!CT401)</f>
        <v/>
      </c>
      <c r="CU383" s="25" t="str">
        <f>IF('1. Live'!CY401='check-Jul''26'!CU401,"",'1. Live'!CY401-'check-Jul''26'!CU401)</f>
        <v/>
      </c>
      <c r="CV383" s="25" t="str">
        <f>IF('1. Live'!CZ401='check-Jul''26'!CV401,"",'1. Live'!CZ401-'check-Jul''26'!CV401)</f>
        <v/>
      </c>
    </row>
    <row r="384" spans="17:100" x14ac:dyDescent="0.25">
      <c r="Q384" s="26" t="str">
        <f>IF('1. Live'!N402='check-Jul''26'!I402,"",'1. Live'!N402-'check-Jul''26'!I402)</f>
        <v/>
      </c>
      <c r="R384" s="26" t="str">
        <f>IF('1. Live'!O402='check-Jul''26'!J402,"",'1. Live'!O402-'check-Jul''26'!J402)</f>
        <v/>
      </c>
      <c r="S384" s="26" t="str">
        <f>IF('1. Live'!P402='check-Jul''26'!K402,"",'1. Live'!P402-'check-Jul''26'!K402)</f>
        <v/>
      </c>
      <c r="T384" s="26" t="str">
        <f>IF('1. Live'!Q402='check-Jul''26'!L402,"",'1. Live'!Q402-'check-Jul''26'!L402)</f>
        <v/>
      </c>
      <c r="U384" s="80" t="str">
        <f>IF('1. Live'!R402='check-Jul''26'!M402,"",'1. Live'!R402-'check-Jul''26'!M402)</f>
        <v/>
      </c>
      <c r="V384" s="26" t="str">
        <f>IF('1. Live'!S402='check-Jul''26'!N402,"",'1. Live'!S402-'check-Jul''26'!N402)</f>
        <v/>
      </c>
      <c r="W384" s="25" t="str">
        <f>IF('1. Live'!T402='check-Jul''26'!O402,"",'1. Live'!T402-'check-Jul''26'!O402)</f>
        <v/>
      </c>
      <c r="X384" s="25" t="str">
        <f>IF('1. Live'!U402='check-Jul''26'!Q402,"",'1. Live'!U402-'check-Jul''26'!Q402)</f>
        <v/>
      </c>
      <c r="Y384" s="25" t="str">
        <f>IF('1. Live'!V402='check-Jul''26'!R402,"",'1. Live'!V402-'check-Jul''26'!R402)</f>
        <v/>
      </c>
      <c r="Z384" s="25" t="str">
        <f>IF('1. Live'!W402='check-Jul''26'!S402,"",'1. Live'!W402-'check-Jul''26'!S402)</f>
        <v/>
      </c>
      <c r="AA384" s="25" t="str">
        <f>IF('1. Live'!X402='check-Jul''26'!T402,"",'1. Live'!X402-'check-Jul''26'!T402)</f>
        <v/>
      </c>
      <c r="AB384" s="25" t="str">
        <f>IF('1. Live'!AF402='check-Jul''26'!AB402,"",'1. Live'!AF402-'check-Jul''26'!AB402)</f>
        <v/>
      </c>
      <c r="AC384" s="25" t="str">
        <f>IF('1. Live'!AG402='check-Jul''26'!AC402,"",'1. Live'!AG402-'check-Jul''26'!AC402)</f>
        <v/>
      </c>
      <c r="AD384" s="25" t="str">
        <f>IF('1. Live'!AH402='check-Jul''26'!AD402,"",'1. Live'!AH402-'check-Jul''26'!AD402)</f>
        <v/>
      </c>
      <c r="AE384" s="25" t="str">
        <f>IF('1. Live'!AI402='check-Jul''26'!AE402,"",'1. Live'!AI402-'check-Jul''26'!AE402)</f>
        <v/>
      </c>
      <c r="AF384" s="25" t="str">
        <f>IF('1. Live'!AJ402='check-Jul''26'!AF402,"",'1. Live'!AJ402-'check-Jul''26'!AF402)</f>
        <v/>
      </c>
      <c r="AG384" s="25" t="str">
        <f>IF('1. Live'!AK402='check-Jul''26'!AG402,"",'1. Live'!AK402-'check-Jul''26'!AG402)</f>
        <v/>
      </c>
      <c r="AH384" s="25" t="str">
        <f>IF('1. Live'!AL402='check-Jul''26'!AH402,"",'1. Live'!AL402-'check-Jul''26'!AH402)</f>
        <v/>
      </c>
      <c r="AI384" s="25" t="str">
        <f>IF('1. Live'!AM402='check-Jul''26'!AI402,"",'1. Live'!AM402-'check-Jul''26'!AI402)</f>
        <v/>
      </c>
      <c r="AJ384" s="25" t="str">
        <f>IF('1. Live'!AN402='check-Jul''26'!AJ402,"",'1. Live'!AN402-'check-Jul''26'!AJ402)</f>
        <v/>
      </c>
      <c r="AK384" s="25" t="str">
        <f>IF('1. Live'!AO402='check-Jul''26'!AK402,"",'1. Live'!AO402-'check-Jul''26'!AK402)</f>
        <v/>
      </c>
      <c r="AL384" s="25" t="str">
        <f>IF('1. Live'!AP402='check-Jul''26'!AL402,"",'1. Live'!AP402-'check-Jul''26'!AL402)</f>
        <v/>
      </c>
      <c r="AM384" s="25" t="str">
        <f>IF('1. Live'!AQ402='check-Jul''26'!AM402,"",'1. Live'!AQ402-'check-Jul''26'!AM402)</f>
        <v/>
      </c>
      <c r="AN384" s="25" t="str">
        <f>IF('1. Live'!AR402='check-Jul''26'!AN402,"",'1. Live'!AR402-'check-Jul''26'!AN402)</f>
        <v/>
      </c>
      <c r="AO384" s="25" t="str">
        <f>IF('1. Live'!AS402='check-Jul''26'!AO402,"",'1. Live'!AS402-'check-Jul''26'!AO402)</f>
        <v/>
      </c>
      <c r="AP384" s="25" t="str">
        <f>IF('1. Live'!AT402='check-Jul''26'!AP402,"",'1. Live'!AT402-'check-Jul''26'!AP402)</f>
        <v/>
      </c>
      <c r="AQ384" s="25" t="str">
        <f>IF('1. Live'!AU402='check-Jul''26'!AQ402,"",'1. Live'!AU402-'check-Jul''26'!AQ402)</f>
        <v/>
      </c>
      <c r="AR384" s="25" t="str">
        <f>IF('1. Live'!AV402='check-Jul''26'!AR402,"",'1. Live'!AV402-'check-Jul''26'!AR402)</f>
        <v/>
      </c>
      <c r="AS384" s="25" t="str">
        <f>IF('1. Live'!AW402='check-Jul''26'!AS402,"",'1. Live'!AW402-'check-Jul''26'!AS402)</f>
        <v/>
      </c>
      <c r="AT384" s="25" t="str">
        <f>IF('1. Live'!AX402='check-Jul''26'!AT402,"",'1. Live'!AX402-'check-Jul''26'!AT402)</f>
        <v/>
      </c>
      <c r="AU384" s="25" t="str">
        <f>IF('1. Live'!AY402='check-Jul''26'!AU402,"",'1. Live'!AY402-'check-Jul''26'!AU402)</f>
        <v/>
      </c>
      <c r="AV384" s="25" t="str">
        <f>IF('1. Live'!AZ402='check-Jul''26'!AV402,"",'1. Live'!AZ402-'check-Jul''26'!AV402)</f>
        <v/>
      </c>
      <c r="AW384" s="25" t="str">
        <f>IF('1. Live'!BA402='check-Jul''26'!AW402,"",'1. Live'!BA402-'check-Jul''26'!AW402)</f>
        <v/>
      </c>
      <c r="AX384" s="25" t="str">
        <f>IF('1. Live'!BB402='check-Jul''26'!AX402,"",'1. Live'!BB402-'check-Jul''26'!AX402)</f>
        <v/>
      </c>
      <c r="AY384" s="25" t="str">
        <f>IF('1. Live'!BC402='check-Jul''26'!AY402,"",'1. Live'!BC402-'check-Jul''26'!AY402)</f>
        <v/>
      </c>
      <c r="AZ384" s="25" t="str">
        <f>IF('1. Live'!BD402='check-Jul''26'!AZ402,"",'1. Live'!BD402-'check-Jul''26'!AZ402)</f>
        <v/>
      </c>
      <c r="BA384" s="25" t="str">
        <f>IF('1. Live'!BE402='check-Jul''26'!BA402,"",'1. Live'!BE402-'check-Jul''26'!BA402)</f>
        <v/>
      </c>
      <c r="BB384" s="25" t="str">
        <f>IF('1. Live'!BF402='check-Jul''26'!BB402,"",'1. Live'!BF402-'check-Jul''26'!BB402)</f>
        <v/>
      </c>
      <c r="BC384" s="25" t="str">
        <f>IF('1. Live'!BG402='check-Jul''26'!BC402,"",'1. Live'!BG402-'check-Jul''26'!BC402)</f>
        <v/>
      </c>
      <c r="BD384" s="25" t="str">
        <f>IF('1. Live'!BH402='check-Jul''26'!BD402,"",'1. Live'!BH402-'check-Jul''26'!BD402)</f>
        <v/>
      </c>
      <c r="BE384" s="25" t="str">
        <f>IF('1. Live'!BI402='check-Jul''26'!BE402,"",'1. Live'!BI402-'check-Jul''26'!BE402)</f>
        <v/>
      </c>
      <c r="BF384" s="25" t="str">
        <f>IF('1. Live'!BJ402='check-Jul''26'!BF402,"",'1. Live'!BJ402-'check-Jul''26'!BF402)</f>
        <v/>
      </c>
      <c r="BG384" s="25" t="str">
        <f>IF('1. Live'!BK402='check-Jul''26'!BG402,"",'1. Live'!BK402-'check-Jul''26'!BG402)</f>
        <v/>
      </c>
      <c r="BH384" s="25" t="str">
        <f>IF('1. Live'!BL402='check-Jul''26'!BH402,"",'1. Live'!BL402-'check-Jul''26'!BH402)</f>
        <v/>
      </c>
      <c r="BI384" s="25" t="str">
        <f>IF('1. Live'!BM402='check-Jul''26'!BI402,"",'1. Live'!BM402-'check-Jul''26'!BI402)</f>
        <v/>
      </c>
      <c r="BJ384" s="25" t="str">
        <f>IF('1. Live'!BN402='check-Jul''26'!BJ402,"",'1. Live'!BN402-'check-Jul''26'!BJ402)</f>
        <v/>
      </c>
      <c r="BK384" s="25" t="str">
        <f>IF('1. Live'!BO402='check-Jul''26'!BK402,"",'1. Live'!BO402-'check-Jul''26'!BK402)</f>
        <v/>
      </c>
      <c r="BL384" s="25" t="str">
        <f>IF('1. Live'!BP402='check-Jul''26'!BL402,"",'1. Live'!BP402-'check-Jul''26'!BL402)</f>
        <v/>
      </c>
      <c r="BM384" s="25" t="str">
        <f>IF('1. Live'!BQ402='check-Jul''26'!BM402,"",'1. Live'!BQ402-'check-Jul''26'!BM402)</f>
        <v/>
      </c>
      <c r="BN384" s="25" t="str">
        <f>IF('1. Live'!BR402='check-Jul''26'!BN402,"",'1. Live'!BR402-'check-Jul''26'!BN402)</f>
        <v/>
      </c>
      <c r="BO384" s="25" t="str">
        <f>IF('1. Live'!BS402='check-Jul''26'!BO402,"",'1. Live'!BS402-'check-Jul''26'!BO402)</f>
        <v/>
      </c>
      <c r="BP384" s="25" t="str">
        <f>IF('1. Live'!BT402='check-Jul''26'!BP402,"",'1. Live'!BT402-'check-Jul''26'!BP402)</f>
        <v/>
      </c>
      <c r="BQ384" s="25" t="str">
        <f>IF('1. Live'!BU402='check-Jul''26'!BQ402,"",'1. Live'!BU402-'check-Jul''26'!BQ402)</f>
        <v/>
      </c>
      <c r="BR384" s="25" t="str">
        <f>IF('1. Live'!BV402='check-Jul''26'!BR402,"",'1. Live'!BV402-'check-Jul''26'!BR402)</f>
        <v/>
      </c>
      <c r="BS384" s="25" t="str">
        <f>IF('1. Live'!BW402='check-Jul''26'!BS402,"",'1. Live'!BW402-'check-Jul''26'!BS402)</f>
        <v/>
      </c>
      <c r="BT384" s="25" t="str">
        <f>IF('1. Live'!BX402='check-Jul''26'!BT402,"",'1. Live'!BX402-'check-Jul''26'!BT402)</f>
        <v/>
      </c>
      <c r="BU384" s="25" t="str">
        <f>IF('1. Live'!BY402='check-Jul''26'!BU402,"",'1. Live'!BY402-'check-Jul''26'!BU402)</f>
        <v/>
      </c>
      <c r="BV384" s="25" t="str">
        <f>IF('1. Live'!BZ402='check-Jul''26'!BV402,"",'1. Live'!BZ402-'check-Jul''26'!BV402)</f>
        <v/>
      </c>
      <c r="BW384" s="25" t="str">
        <f>IF('1. Live'!CA402='check-Jul''26'!BW402,"",'1. Live'!CA402-'check-Jul''26'!BW402)</f>
        <v/>
      </c>
      <c r="BX384" s="25" t="str">
        <f>IF('1. Live'!CB402='check-Jul''26'!BX402,"",'1. Live'!CB402-'check-Jul''26'!BX402)</f>
        <v/>
      </c>
      <c r="BY384" s="25" t="str">
        <f>IF('1. Live'!CC402='check-Jul''26'!BY402,"",'1. Live'!CC402-'check-Jul''26'!BY402)</f>
        <v/>
      </c>
      <c r="BZ384" s="25" t="str">
        <f>IF('1. Live'!CD402='check-Jul''26'!BZ402,"",'1. Live'!CD402-'check-Jul''26'!BZ402)</f>
        <v/>
      </c>
      <c r="CA384" s="25" t="str">
        <f>IF('1. Live'!CE402='check-Jul''26'!CA402,"",'1. Live'!CE402-'check-Jul''26'!CA402)</f>
        <v/>
      </c>
      <c r="CB384" s="25" t="str">
        <f>IF('1. Live'!CF402='check-Jul''26'!CB402,"",'1. Live'!CF402-'check-Jul''26'!CB402)</f>
        <v/>
      </c>
      <c r="CC384" s="25" t="str">
        <f>IF('1. Live'!CG402='check-Jul''26'!CC402,"",'1. Live'!CG402-'check-Jul''26'!CC402)</f>
        <v/>
      </c>
      <c r="CD384" s="25" t="str">
        <f>IF('1. Live'!CH402='check-Jul''26'!CD402,"",'1. Live'!CH402-'check-Jul''26'!CD402)</f>
        <v/>
      </c>
      <c r="CE384" s="25" t="str">
        <f>IF('1. Live'!CI402='check-Jul''26'!CE402,"",'1. Live'!CI402-'check-Jul''26'!CE402)</f>
        <v/>
      </c>
      <c r="CF384" s="25" t="str">
        <f>IF('1. Live'!CJ402='check-Jul''26'!CF402,"",'1. Live'!CJ402-'check-Jul''26'!CF402)</f>
        <v/>
      </c>
      <c r="CG384" s="25" t="str">
        <f>IF('1. Live'!CK402='check-Jul''26'!CG402,"",'1. Live'!CK402-'check-Jul''26'!CG402)</f>
        <v/>
      </c>
      <c r="CH384" s="25" t="str">
        <f>IF('1. Live'!CL402='check-Jul''26'!CH402,"",'1. Live'!CL402-'check-Jul''26'!CH402)</f>
        <v/>
      </c>
      <c r="CI384" s="25" t="str">
        <f>IF('1. Live'!CM402='check-Jul''26'!CI402,"",'1. Live'!CM402-'check-Jul''26'!CI402)</f>
        <v/>
      </c>
      <c r="CJ384" s="25" t="str">
        <f>IF('1. Live'!CN402='check-Jul''26'!CJ402,"",'1. Live'!CN402-'check-Jul''26'!CJ402)</f>
        <v/>
      </c>
      <c r="CK384" s="25" t="str">
        <f>IF('1. Live'!CO402='check-Jul''26'!CK402,"",'1. Live'!CO402-'check-Jul''26'!CK402)</f>
        <v/>
      </c>
      <c r="CL384" s="25" t="str">
        <f>IF('1. Live'!CP402='check-Jul''26'!CL402,"",'1. Live'!CP402-'check-Jul''26'!CL402)</f>
        <v/>
      </c>
      <c r="CM384" s="25" t="str">
        <f>IF('1. Live'!CQ402='check-Jul''26'!CM402,"",'1. Live'!CQ402-'check-Jul''26'!CM402)</f>
        <v/>
      </c>
      <c r="CN384" s="25" t="str">
        <f>IF('1. Live'!CR402='check-Jul''26'!CN402,"",'1. Live'!CR402-'check-Jul''26'!CN402)</f>
        <v/>
      </c>
      <c r="CO384" s="25" t="str">
        <f>IF('1. Live'!CS402='check-Jul''26'!CO402,"",'1. Live'!CS402-'check-Jul''26'!CO402)</f>
        <v/>
      </c>
      <c r="CP384" s="25" t="str">
        <f>IF('1. Live'!CT402='check-Jul''26'!CP402,"",'1. Live'!CT402-'check-Jul''26'!CP402)</f>
        <v/>
      </c>
      <c r="CQ384" s="25" t="str">
        <f>IF('1. Live'!CU402='check-Jul''26'!CQ402,"",'1. Live'!CU402-'check-Jul''26'!CQ402)</f>
        <v/>
      </c>
      <c r="CR384" s="25" t="str">
        <f>IF('1. Live'!CV402='check-Jul''26'!CR402,"",'1. Live'!CV402-'check-Jul''26'!CR402)</f>
        <v/>
      </c>
      <c r="CS384" s="25" t="str">
        <f>IF('1. Live'!CW402='check-Jul''26'!CS402,"",'1. Live'!CW402-'check-Jul''26'!CS402)</f>
        <v/>
      </c>
      <c r="CT384" s="25" t="str">
        <f>IF('1. Live'!CX402='check-Jul''26'!CT402,"",'1. Live'!CX402-'check-Jul''26'!CT402)</f>
        <v/>
      </c>
      <c r="CU384" s="25" t="str">
        <f>IF('1. Live'!CY402='check-Jul''26'!CU402,"",'1. Live'!CY402-'check-Jul''26'!CU402)</f>
        <v/>
      </c>
      <c r="CV384" s="25" t="str">
        <f>IF('1. Live'!CZ402='check-Jul''26'!CV402,"",'1. Live'!CZ402-'check-Jul''26'!CV402)</f>
        <v/>
      </c>
    </row>
    <row r="385" spans="17:100" x14ac:dyDescent="0.25">
      <c r="Q385" s="26" t="str">
        <f>IF('1. Live'!N403='check-Jul''26'!I403,"",'1. Live'!N403-'check-Jul''26'!I403)</f>
        <v/>
      </c>
      <c r="R385" s="26" t="str">
        <f>IF('1. Live'!O403='check-Jul''26'!J403,"",'1. Live'!O403-'check-Jul''26'!J403)</f>
        <v/>
      </c>
      <c r="S385" s="26" t="str">
        <f>IF('1. Live'!P403='check-Jul''26'!K403,"",'1. Live'!P403-'check-Jul''26'!K403)</f>
        <v/>
      </c>
      <c r="T385" s="26" t="str">
        <f>IF('1. Live'!Q403='check-Jul''26'!L403,"",'1. Live'!Q403-'check-Jul''26'!L403)</f>
        <v/>
      </c>
      <c r="U385" s="80" t="str">
        <f>IF('1. Live'!R403='check-Jul''26'!M403,"",'1. Live'!R403-'check-Jul''26'!M403)</f>
        <v/>
      </c>
      <c r="V385" s="26" t="str">
        <f>IF('1. Live'!S403='check-Jul''26'!N403,"",'1. Live'!S403-'check-Jul''26'!N403)</f>
        <v/>
      </c>
      <c r="W385" s="25" t="str">
        <f>IF('1. Live'!T403='check-Jul''26'!O403,"",'1. Live'!T403-'check-Jul''26'!O403)</f>
        <v/>
      </c>
      <c r="X385" s="25" t="str">
        <f>IF('1. Live'!U403='check-Jul''26'!Q403,"",'1. Live'!U403-'check-Jul''26'!Q403)</f>
        <v/>
      </c>
      <c r="Y385" s="25" t="str">
        <f>IF('1. Live'!V403='check-Jul''26'!R403,"",'1. Live'!V403-'check-Jul''26'!R403)</f>
        <v/>
      </c>
      <c r="Z385" s="25" t="str">
        <f>IF('1. Live'!W403='check-Jul''26'!S403,"",'1. Live'!W403-'check-Jul''26'!S403)</f>
        <v/>
      </c>
      <c r="AA385" s="25" t="str">
        <f>IF('1. Live'!X403='check-Jul''26'!T403,"",'1. Live'!X403-'check-Jul''26'!T403)</f>
        <v/>
      </c>
      <c r="AB385" s="25" t="str">
        <f>IF('1. Live'!AF403='check-Jul''26'!AB403,"",'1. Live'!AF403-'check-Jul''26'!AB403)</f>
        <v/>
      </c>
      <c r="AC385" s="25" t="str">
        <f>IF('1. Live'!AG403='check-Jul''26'!AC403,"",'1. Live'!AG403-'check-Jul''26'!AC403)</f>
        <v/>
      </c>
      <c r="AD385" s="25" t="str">
        <f>IF('1. Live'!AH403='check-Jul''26'!AD403,"",'1. Live'!AH403-'check-Jul''26'!AD403)</f>
        <v/>
      </c>
      <c r="AE385" s="25" t="str">
        <f>IF('1. Live'!AI403='check-Jul''26'!AE403,"",'1. Live'!AI403-'check-Jul''26'!AE403)</f>
        <v/>
      </c>
      <c r="AF385" s="25" t="str">
        <f>IF('1. Live'!AJ403='check-Jul''26'!AF403,"",'1. Live'!AJ403-'check-Jul''26'!AF403)</f>
        <v/>
      </c>
      <c r="AG385" s="25" t="str">
        <f>IF('1. Live'!AK403='check-Jul''26'!AG403,"",'1. Live'!AK403-'check-Jul''26'!AG403)</f>
        <v/>
      </c>
      <c r="AH385" s="25" t="str">
        <f>IF('1. Live'!AL403='check-Jul''26'!AH403,"",'1. Live'!AL403-'check-Jul''26'!AH403)</f>
        <v/>
      </c>
      <c r="AI385" s="25" t="str">
        <f>IF('1. Live'!AM403='check-Jul''26'!AI403,"",'1. Live'!AM403-'check-Jul''26'!AI403)</f>
        <v/>
      </c>
      <c r="AJ385" s="25" t="str">
        <f>IF('1. Live'!AN403='check-Jul''26'!AJ403,"",'1. Live'!AN403-'check-Jul''26'!AJ403)</f>
        <v/>
      </c>
      <c r="AK385" s="25" t="str">
        <f>IF('1. Live'!AO403='check-Jul''26'!AK403,"",'1. Live'!AO403-'check-Jul''26'!AK403)</f>
        <v/>
      </c>
      <c r="AL385" s="25" t="str">
        <f>IF('1. Live'!AP403='check-Jul''26'!AL403,"",'1. Live'!AP403-'check-Jul''26'!AL403)</f>
        <v/>
      </c>
      <c r="AM385" s="25" t="str">
        <f>IF('1. Live'!AQ403='check-Jul''26'!AM403,"",'1. Live'!AQ403-'check-Jul''26'!AM403)</f>
        <v/>
      </c>
      <c r="AN385" s="25" t="str">
        <f>IF('1. Live'!AR403='check-Jul''26'!AN403,"",'1. Live'!AR403-'check-Jul''26'!AN403)</f>
        <v/>
      </c>
      <c r="AO385" s="25" t="str">
        <f>IF('1. Live'!AS403='check-Jul''26'!AO403,"",'1. Live'!AS403-'check-Jul''26'!AO403)</f>
        <v/>
      </c>
      <c r="AP385" s="25" t="str">
        <f>IF('1. Live'!AT403='check-Jul''26'!AP403,"",'1. Live'!AT403-'check-Jul''26'!AP403)</f>
        <v/>
      </c>
      <c r="AQ385" s="25" t="str">
        <f>IF('1. Live'!AU403='check-Jul''26'!AQ403,"",'1. Live'!AU403-'check-Jul''26'!AQ403)</f>
        <v/>
      </c>
      <c r="AR385" s="25" t="str">
        <f>IF('1. Live'!AV403='check-Jul''26'!AR403,"",'1. Live'!AV403-'check-Jul''26'!AR403)</f>
        <v/>
      </c>
      <c r="AS385" s="25" t="str">
        <f>IF('1. Live'!AW403='check-Jul''26'!AS403,"",'1. Live'!AW403-'check-Jul''26'!AS403)</f>
        <v/>
      </c>
      <c r="AT385" s="25" t="str">
        <f>IF('1. Live'!AX403='check-Jul''26'!AT403,"",'1. Live'!AX403-'check-Jul''26'!AT403)</f>
        <v/>
      </c>
      <c r="AU385" s="25" t="str">
        <f>IF('1. Live'!AY403='check-Jul''26'!AU403,"",'1. Live'!AY403-'check-Jul''26'!AU403)</f>
        <v/>
      </c>
      <c r="AV385" s="25" t="str">
        <f>IF('1. Live'!AZ403='check-Jul''26'!AV403,"",'1. Live'!AZ403-'check-Jul''26'!AV403)</f>
        <v/>
      </c>
      <c r="AW385" s="25" t="str">
        <f>IF('1. Live'!BA403='check-Jul''26'!AW403,"",'1. Live'!BA403-'check-Jul''26'!AW403)</f>
        <v/>
      </c>
      <c r="AX385" s="25" t="str">
        <f>IF('1. Live'!BB403='check-Jul''26'!AX403,"",'1. Live'!BB403-'check-Jul''26'!AX403)</f>
        <v/>
      </c>
      <c r="AY385" s="25" t="str">
        <f>IF('1. Live'!BC403='check-Jul''26'!AY403,"",'1. Live'!BC403-'check-Jul''26'!AY403)</f>
        <v/>
      </c>
      <c r="AZ385" s="25" t="str">
        <f>IF('1. Live'!BD403='check-Jul''26'!AZ403,"",'1. Live'!BD403-'check-Jul''26'!AZ403)</f>
        <v/>
      </c>
      <c r="BA385" s="25" t="str">
        <f>IF('1. Live'!BE403='check-Jul''26'!BA403,"",'1. Live'!BE403-'check-Jul''26'!BA403)</f>
        <v/>
      </c>
      <c r="BB385" s="25" t="str">
        <f>IF('1. Live'!BF403='check-Jul''26'!BB403,"",'1. Live'!BF403-'check-Jul''26'!BB403)</f>
        <v/>
      </c>
      <c r="BC385" s="25" t="str">
        <f>IF('1. Live'!BG403='check-Jul''26'!BC403,"",'1. Live'!BG403-'check-Jul''26'!BC403)</f>
        <v/>
      </c>
      <c r="BD385" s="25" t="str">
        <f>IF('1. Live'!BH403='check-Jul''26'!BD403,"",'1. Live'!BH403-'check-Jul''26'!BD403)</f>
        <v/>
      </c>
      <c r="BE385" s="25" t="str">
        <f>IF('1. Live'!BI403='check-Jul''26'!BE403,"",'1. Live'!BI403-'check-Jul''26'!BE403)</f>
        <v/>
      </c>
      <c r="BF385" s="25" t="str">
        <f>IF('1. Live'!BJ403='check-Jul''26'!BF403,"",'1. Live'!BJ403-'check-Jul''26'!BF403)</f>
        <v/>
      </c>
      <c r="BG385" s="25" t="str">
        <f>IF('1. Live'!BK403='check-Jul''26'!BG403,"",'1. Live'!BK403-'check-Jul''26'!BG403)</f>
        <v/>
      </c>
      <c r="BH385" s="25" t="str">
        <f>IF('1. Live'!BL403='check-Jul''26'!BH403,"",'1. Live'!BL403-'check-Jul''26'!BH403)</f>
        <v/>
      </c>
      <c r="BI385" s="25" t="str">
        <f>IF('1. Live'!BM403='check-Jul''26'!BI403,"",'1. Live'!BM403-'check-Jul''26'!BI403)</f>
        <v/>
      </c>
      <c r="BJ385" s="25" t="str">
        <f>IF('1. Live'!BN403='check-Jul''26'!BJ403,"",'1. Live'!BN403-'check-Jul''26'!BJ403)</f>
        <v/>
      </c>
      <c r="BK385" s="25" t="str">
        <f>IF('1. Live'!BO403='check-Jul''26'!BK403,"",'1. Live'!BO403-'check-Jul''26'!BK403)</f>
        <v/>
      </c>
      <c r="BL385" s="25" t="str">
        <f>IF('1. Live'!BP403='check-Jul''26'!BL403,"",'1. Live'!BP403-'check-Jul''26'!BL403)</f>
        <v/>
      </c>
      <c r="BM385" s="25" t="str">
        <f>IF('1. Live'!BQ403='check-Jul''26'!BM403,"",'1. Live'!BQ403-'check-Jul''26'!BM403)</f>
        <v/>
      </c>
      <c r="BN385" s="25" t="str">
        <f>IF('1. Live'!BR403='check-Jul''26'!BN403,"",'1. Live'!BR403-'check-Jul''26'!BN403)</f>
        <v/>
      </c>
      <c r="BO385" s="25" t="str">
        <f>IF('1. Live'!BS403='check-Jul''26'!BO403,"",'1. Live'!BS403-'check-Jul''26'!BO403)</f>
        <v/>
      </c>
      <c r="BP385" s="25" t="str">
        <f>IF('1. Live'!BT403='check-Jul''26'!BP403,"",'1. Live'!BT403-'check-Jul''26'!BP403)</f>
        <v/>
      </c>
      <c r="BQ385" s="25" t="str">
        <f>IF('1. Live'!BU403='check-Jul''26'!BQ403,"",'1. Live'!BU403-'check-Jul''26'!BQ403)</f>
        <v/>
      </c>
      <c r="BR385" s="25" t="str">
        <f>IF('1. Live'!BV403='check-Jul''26'!BR403,"",'1. Live'!BV403-'check-Jul''26'!BR403)</f>
        <v/>
      </c>
      <c r="BS385" s="25" t="str">
        <f>IF('1. Live'!BW403='check-Jul''26'!BS403,"",'1. Live'!BW403-'check-Jul''26'!BS403)</f>
        <v/>
      </c>
      <c r="BT385" s="25" t="str">
        <f>IF('1. Live'!BX403='check-Jul''26'!BT403,"",'1. Live'!BX403-'check-Jul''26'!BT403)</f>
        <v/>
      </c>
      <c r="BU385" s="25" t="str">
        <f>IF('1. Live'!BY403='check-Jul''26'!BU403,"",'1. Live'!BY403-'check-Jul''26'!BU403)</f>
        <v/>
      </c>
      <c r="BV385" s="25" t="str">
        <f>IF('1. Live'!BZ403='check-Jul''26'!BV403,"",'1. Live'!BZ403-'check-Jul''26'!BV403)</f>
        <v/>
      </c>
      <c r="BW385" s="25" t="str">
        <f>IF('1. Live'!CA403='check-Jul''26'!BW403,"",'1. Live'!CA403-'check-Jul''26'!BW403)</f>
        <v/>
      </c>
      <c r="BX385" s="25" t="str">
        <f>IF('1. Live'!CB403='check-Jul''26'!BX403,"",'1. Live'!CB403-'check-Jul''26'!BX403)</f>
        <v/>
      </c>
      <c r="BY385" s="25" t="str">
        <f>IF('1. Live'!CC403='check-Jul''26'!BY403,"",'1. Live'!CC403-'check-Jul''26'!BY403)</f>
        <v/>
      </c>
      <c r="BZ385" s="25" t="str">
        <f>IF('1. Live'!CD403='check-Jul''26'!BZ403,"",'1. Live'!CD403-'check-Jul''26'!BZ403)</f>
        <v/>
      </c>
      <c r="CA385" s="25" t="str">
        <f>IF('1. Live'!CE403='check-Jul''26'!CA403,"",'1. Live'!CE403-'check-Jul''26'!CA403)</f>
        <v/>
      </c>
      <c r="CB385" s="25" t="str">
        <f>IF('1. Live'!CF403='check-Jul''26'!CB403,"",'1. Live'!CF403-'check-Jul''26'!CB403)</f>
        <v/>
      </c>
      <c r="CC385" s="25" t="str">
        <f>IF('1. Live'!CG403='check-Jul''26'!CC403,"",'1. Live'!CG403-'check-Jul''26'!CC403)</f>
        <v/>
      </c>
      <c r="CD385" s="25" t="str">
        <f>IF('1. Live'!CH403='check-Jul''26'!CD403,"",'1. Live'!CH403-'check-Jul''26'!CD403)</f>
        <v/>
      </c>
      <c r="CE385" s="25" t="str">
        <f>IF('1. Live'!CI403='check-Jul''26'!CE403,"",'1. Live'!CI403-'check-Jul''26'!CE403)</f>
        <v/>
      </c>
      <c r="CF385" s="25" t="str">
        <f>IF('1. Live'!CJ403='check-Jul''26'!CF403,"",'1. Live'!CJ403-'check-Jul''26'!CF403)</f>
        <v/>
      </c>
      <c r="CG385" s="25" t="str">
        <f>IF('1. Live'!CK403='check-Jul''26'!CG403,"",'1. Live'!CK403-'check-Jul''26'!CG403)</f>
        <v/>
      </c>
      <c r="CH385" s="25" t="str">
        <f>IF('1. Live'!CL403='check-Jul''26'!CH403,"",'1. Live'!CL403-'check-Jul''26'!CH403)</f>
        <v/>
      </c>
      <c r="CI385" s="25" t="str">
        <f>IF('1. Live'!CM403='check-Jul''26'!CI403,"",'1. Live'!CM403-'check-Jul''26'!CI403)</f>
        <v/>
      </c>
      <c r="CJ385" s="25" t="str">
        <f>IF('1. Live'!CN403='check-Jul''26'!CJ403,"",'1. Live'!CN403-'check-Jul''26'!CJ403)</f>
        <v/>
      </c>
      <c r="CK385" s="25" t="str">
        <f>IF('1. Live'!CO403='check-Jul''26'!CK403,"",'1. Live'!CO403-'check-Jul''26'!CK403)</f>
        <v/>
      </c>
      <c r="CL385" s="25" t="str">
        <f>IF('1. Live'!CP403='check-Jul''26'!CL403,"",'1. Live'!CP403-'check-Jul''26'!CL403)</f>
        <v/>
      </c>
      <c r="CM385" s="25" t="str">
        <f>IF('1. Live'!CQ403='check-Jul''26'!CM403,"",'1. Live'!CQ403-'check-Jul''26'!CM403)</f>
        <v/>
      </c>
      <c r="CN385" s="25" t="str">
        <f>IF('1. Live'!CR403='check-Jul''26'!CN403,"",'1. Live'!CR403-'check-Jul''26'!CN403)</f>
        <v/>
      </c>
      <c r="CO385" s="25" t="str">
        <f>IF('1. Live'!CS403='check-Jul''26'!CO403,"",'1. Live'!CS403-'check-Jul''26'!CO403)</f>
        <v/>
      </c>
      <c r="CP385" s="25" t="str">
        <f>IF('1. Live'!CT403='check-Jul''26'!CP403,"",'1. Live'!CT403-'check-Jul''26'!CP403)</f>
        <v/>
      </c>
      <c r="CQ385" s="25" t="str">
        <f>IF('1. Live'!CU403='check-Jul''26'!CQ403,"",'1. Live'!CU403-'check-Jul''26'!CQ403)</f>
        <v/>
      </c>
      <c r="CR385" s="25" t="str">
        <f>IF('1. Live'!CV403='check-Jul''26'!CR403,"",'1. Live'!CV403-'check-Jul''26'!CR403)</f>
        <v/>
      </c>
      <c r="CS385" s="25" t="str">
        <f>IF('1. Live'!CW403='check-Jul''26'!CS403,"",'1. Live'!CW403-'check-Jul''26'!CS403)</f>
        <v/>
      </c>
      <c r="CT385" s="25" t="str">
        <f>IF('1. Live'!CX403='check-Jul''26'!CT403,"",'1. Live'!CX403-'check-Jul''26'!CT403)</f>
        <v/>
      </c>
      <c r="CU385" s="25" t="str">
        <f>IF('1. Live'!CY403='check-Jul''26'!CU403,"",'1. Live'!CY403-'check-Jul''26'!CU403)</f>
        <v/>
      </c>
      <c r="CV385" s="25" t="str">
        <f>IF('1. Live'!CZ403='check-Jul''26'!CV403,"",'1. Live'!CZ403-'check-Jul''26'!CV403)</f>
        <v/>
      </c>
    </row>
    <row r="386" spans="17:100" x14ac:dyDescent="0.25">
      <c r="Q386" s="26" t="str">
        <f>IF('1. Live'!N404='check-Jul''26'!I404,"",'1. Live'!N404-'check-Jul''26'!I404)</f>
        <v/>
      </c>
      <c r="R386" s="26" t="str">
        <f>IF('1. Live'!O404='check-Jul''26'!J404,"",'1. Live'!O404-'check-Jul''26'!J404)</f>
        <v/>
      </c>
      <c r="S386" s="26" t="str">
        <f>IF('1. Live'!P404='check-Jul''26'!K404,"",'1. Live'!P404-'check-Jul''26'!K404)</f>
        <v/>
      </c>
      <c r="T386" s="26" t="str">
        <f>IF('1. Live'!Q404='check-Jul''26'!L404,"",'1. Live'!Q404-'check-Jul''26'!L404)</f>
        <v/>
      </c>
      <c r="U386" s="80" t="str">
        <f>IF('1. Live'!R404='check-Jul''26'!M404,"",'1. Live'!R404-'check-Jul''26'!M404)</f>
        <v/>
      </c>
      <c r="V386" s="26" t="str">
        <f>IF('1. Live'!S404='check-Jul''26'!N404,"",'1. Live'!S404-'check-Jul''26'!N404)</f>
        <v/>
      </c>
      <c r="W386" s="25" t="str">
        <f>IF('1. Live'!T404='check-Jul''26'!O404,"",'1. Live'!T404-'check-Jul''26'!O404)</f>
        <v/>
      </c>
      <c r="X386" s="25" t="str">
        <f>IF('1. Live'!U404='check-Jul''26'!Q404,"",'1. Live'!U404-'check-Jul''26'!Q404)</f>
        <v/>
      </c>
      <c r="Y386" s="25" t="str">
        <f>IF('1. Live'!V404='check-Jul''26'!R404,"",'1. Live'!V404-'check-Jul''26'!R404)</f>
        <v/>
      </c>
      <c r="Z386" s="25" t="str">
        <f>IF('1. Live'!W404='check-Jul''26'!S404,"",'1. Live'!W404-'check-Jul''26'!S404)</f>
        <v/>
      </c>
      <c r="AA386" s="25" t="str">
        <f>IF('1. Live'!X404='check-Jul''26'!T404,"",'1. Live'!X404-'check-Jul''26'!T404)</f>
        <v/>
      </c>
      <c r="AB386" s="25" t="str">
        <f>IF('1. Live'!AF404='check-Jul''26'!AB404,"",'1. Live'!AF404-'check-Jul''26'!AB404)</f>
        <v/>
      </c>
      <c r="AC386" s="25" t="str">
        <f>IF('1. Live'!AG404='check-Jul''26'!AC404,"",'1. Live'!AG404-'check-Jul''26'!AC404)</f>
        <v/>
      </c>
      <c r="AD386" s="25" t="str">
        <f>IF('1. Live'!AH404='check-Jul''26'!AD404,"",'1. Live'!AH404-'check-Jul''26'!AD404)</f>
        <v/>
      </c>
      <c r="AE386" s="25" t="str">
        <f>IF('1. Live'!AI404='check-Jul''26'!AE404,"",'1. Live'!AI404-'check-Jul''26'!AE404)</f>
        <v/>
      </c>
      <c r="AF386" s="25" t="str">
        <f>IF('1. Live'!AJ404='check-Jul''26'!AF404,"",'1. Live'!AJ404-'check-Jul''26'!AF404)</f>
        <v/>
      </c>
      <c r="AG386" s="25" t="str">
        <f>IF('1. Live'!AK404='check-Jul''26'!AG404,"",'1. Live'!AK404-'check-Jul''26'!AG404)</f>
        <v/>
      </c>
      <c r="AH386" s="25" t="str">
        <f>IF('1. Live'!AL404='check-Jul''26'!AH404,"",'1. Live'!AL404-'check-Jul''26'!AH404)</f>
        <v/>
      </c>
      <c r="AI386" s="25" t="str">
        <f>IF('1. Live'!AM404='check-Jul''26'!AI404,"",'1. Live'!AM404-'check-Jul''26'!AI404)</f>
        <v/>
      </c>
      <c r="AJ386" s="25" t="str">
        <f>IF('1. Live'!AN404='check-Jul''26'!AJ404,"",'1. Live'!AN404-'check-Jul''26'!AJ404)</f>
        <v/>
      </c>
      <c r="AK386" s="25" t="str">
        <f>IF('1. Live'!AO404='check-Jul''26'!AK404,"",'1. Live'!AO404-'check-Jul''26'!AK404)</f>
        <v/>
      </c>
      <c r="AL386" s="25" t="str">
        <f>IF('1. Live'!AP404='check-Jul''26'!AL404,"",'1. Live'!AP404-'check-Jul''26'!AL404)</f>
        <v/>
      </c>
      <c r="AM386" s="25" t="str">
        <f>IF('1. Live'!AQ404='check-Jul''26'!AM404,"",'1. Live'!AQ404-'check-Jul''26'!AM404)</f>
        <v/>
      </c>
      <c r="AN386" s="25" t="str">
        <f>IF('1. Live'!AR404='check-Jul''26'!AN404,"",'1. Live'!AR404-'check-Jul''26'!AN404)</f>
        <v/>
      </c>
      <c r="AO386" s="25" t="str">
        <f>IF('1. Live'!AS404='check-Jul''26'!AO404,"",'1. Live'!AS404-'check-Jul''26'!AO404)</f>
        <v/>
      </c>
      <c r="AP386" s="25" t="str">
        <f>IF('1. Live'!AT404='check-Jul''26'!AP404,"",'1. Live'!AT404-'check-Jul''26'!AP404)</f>
        <v/>
      </c>
      <c r="AQ386" s="25" t="str">
        <f>IF('1. Live'!AU404='check-Jul''26'!AQ404,"",'1. Live'!AU404-'check-Jul''26'!AQ404)</f>
        <v/>
      </c>
      <c r="AR386" s="25" t="str">
        <f>IF('1. Live'!AV404='check-Jul''26'!AR404,"",'1. Live'!AV404-'check-Jul''26'!AR404)</f>
        <v/>
      </c>
      <c r="AS386" s="25" t="str">
        <f>IF('1. Live'!AW404='check-Jul''26'!AS404,"",'1. Live'!AW404-'check-Jul''26'!AS404)</f>
        <v/>
      </c>
      <c r="AT386" s="25" t="str">
        <f>IF('1. Live'!AX404='check-Jul''26'!AT404,"",'1. Live'!AX404-'check-Jul''26'!AT404)</f>
        <v/>
      </c>
      <c r="AU386" s="25" t="str">
        <f>IF('1. Live'!AY404='check-Jul''26'!AU404,"",'1. Live'!AY404-'check-Jul''26'!AU404)</f>
        <v/>
      </c>
      <c r="AV386" s="25" t="str">
        <f>IF('1. Live'!AZ404='check-Jul''26'!AV404,"",'1. Live'!AZ404-'check-Jul''26'!AV404)</f>
        <v/>
      </c>
      <c r="AW386" s="25" t="str">
        <f>IF('1. Live'!BA404='check-Jul''26'!AW404,"",'1. Live'!BA404-'check-Jul''26'!AW404)</f>
        <v/>
      </c>
      <c r="AX386" s="25" t="str">
        <f>IF('1. Live'!BB404='check-Jul''26'!AX404,"",'1. Live'!BB404-'check-Jul''26'!AX404)</f>
        <v/>
      </c>
      <c r="AY386" s="25" t="str">
        <f>IF('1. Live'!BC404='check-Jul''26'!AY404,"",'1. Live'!BC404-'check-Jul''26'!AY404)</f>
        <v/>
      </c>
      <c r="AZ386" s="25" t="str">
        <f>IF('1. Live'!BD404='check-Jul''26'!AZ404,"",'1. Live'!BD404-'check-Jul''26'!AZ404)</f>
        <v/>
      </c>
      <c r="BA386" s="25" t="str">
        <f>IF('1. Live'!BE404='check-Jul''26'!BA404,"",'1. Live'!BE404-'check-Jul''26'!BA404)</f>
        <v/>
      </c>
      <c r="BB386" s="25" t="str">
        <f>IF('1. Live'!BF404='check-Jul''26'!BB404,"",'1. Live'!BF404-'check-Jul''26'!BB404)</f>
        <v/>
      </c>
      <c r="BC386" s="25" t="str">
        <f>IF('1. Live'!BG404='check-Jul''26'!BC404,"",'1. Live'!BG404-'check-Jul''26'!BC404)</f>
        <v/>
      </c>
      <c r="BD386" s="25" t="str">
        <f>IF('1. Live'!BH404='check-Jul''26'!BD404,"",'1. Live'!BH404-'check-Jul''26'!BD404)</f>
        <v/>
      </c>
      <c r="BE386" s="25" t="str">
        <f>IF('1. Live'!BI404='check-Jul''26'!BE404,"",'1. Live'!BI404-'check-Jul''26'!BE404)</f>
        <v/>
      </c>
      <c r="BF386" s="25" t="str">
        <f>IF('1. Live'!BJ404='check-Jul''26'!BF404,"",'1. Live'!BJ404-'check-Jul''26'!BF404)</f>
        <v/>
      </c>
      <c r="BG386" s="25" t="str">
        <f>IF('1. Live'!BK404='check-Jul''26'!BG404,"",'1. Live'!BK404-'check-Jul''26'!BG404)</f>
        <v/>
      </c>
      <c r="BH386" s="25" t="str">
        <f>IF('1. Live'!BL404='check-Jul''26'!BH404,"",'1. Live'!BL404-'check-Jul''26'!BH404)</f>
        <v/>
      </c>
      <c r="BI386" s="25" t="str">
        <f>IF('1. Live'!BM404='check-Jul''26'!BI404,"",'1. Live'!BM404-'check-Jul''26'!BI404)</f>
        <v/>
      </c>
      <c r="BJ386" s="25" t="str">
        <f>IF('1. Live'!BN404='check-Jul''26'!BJ404,"",'1. Live'!BN404-'check-Jul''26'!BJ404)</f>
        <v/>
      </c>
      <c r="BK386" s="25" t="str">
        <f>IF('1. Live'!BO404='check-Jul''26'!BK404,"",'1. Live'!BO404-'check-Jul''26'!BK404)</f>
        <v/>
      </c>
      <c r="BL386" s="25" t="str">
        <f>IF('1. Live'!BP404='check-Jul''26'!BL404,"",'1. Live'!BP404-'check-Jul''26'!BL404)</f>
        <v/>
      </c>
      <c r="BM386" s="25" t="str">
        <f>IF('1. Live'!BQ404='check-Jul''26'!BM404,"",'1. Live'!BQ404-'check-Jul''26'!BM404)</f>
        <v/>
      </c>
      <c r="BN386" s="25" t="str">
        <f>IF('1. Live'!BR404='check-Jul''26'!BN404,"",'1. Live'!BR404-'check-Jul''26'!BN404)</f>
        <v/>
      </c>
      <c r="BO386" s="25" t="str">
        <f>IF('1. Live'!BS404='check-Jul''26'!BO404,"",'1. Live'!BS404-'check-Jul''26'!BO404)</f>
        <v/>
      </c>
      <c r="BP386" s="25" t="str">
        <f>IF('1. Live'!BT404='check-Jul''26'!BP404,"",'1. Live'!BT404-'check-Jul''26'!BP404)</f>
        <v/>
      </c>
      <c r="BQ386" s="25" t="str">
        <f>IF('1. Live'!BU404='check-Jul''26'!BQ404,"",'1. Live'!BU404-'check-Jul''26'!BQ404)</f>
        <v/>
      </c>
      <c r="BR386" s="25" t="str">
        <f>IF('1. Live'!BV404='check-Jul''26'!BR404,"",'1. Live'!BV404-'check-Jul''26'!BR404)</f>
        <v/>
      </c>
      <c r="BS386" s="25" t="str">
        <f>IF('1. Live'!BW404='check-Jul''26'!BS404,"",'1. Live'!BW404-'check-Jul''26'!BS404)</f>
        <v/>
      </c>
      <c r="BT386" s="25" t="str">
        <f>IF('1. Live'!BX404='check-Jul''26'!BT404,"",'1. Live'!BX404-'check-Jul''26'!BT404)</f>
        <v/>
      </c>
      <c r="BU386" s="25" t="str">
        <f>IF('1. Live'!BY404='check-Jul''26'!BU404,"",'1. Live'!BY404-'check-Jul''26'!BU404)</f>
        <v/>
      </c>
      <c r="BV386" s="25" t="str">
        <f>IF('1. Live'!BZ404='check-Jul''26'!BV404,"",'1. Live'!BZ404-'check-Jul''26'!BV404)</f>
        <v/>
      </c>
      <c r="BW386" s="25" t="str">
        <f>IF('1. Live'!CA404='check-Jul''26'!BW404,"",'1. Live'!CA404-'check-Jul''26'!BW404)</f>
        <v/>
      </c>
      <c r="BX386" s="25" t="str">
        <f>IF('1. Live'!CB404='check-Jul''26'!BX404,"",'1. Live'!CB404-'check-Jul''26'!BX404)</f>
        <v/>
      </c>
      <c r="BY386" s="25" t="str">
        <f>IF('1. Live'!CC404='check-Jul''26'!BY404,"",'1. Live'!CC404-'check-Jul''26'!BY404)</f>
        <v/>
      </c>
      <c r="BZ386" s="25" t="str">
        <f>IF('1. Live'!CD404='check-Jul''26'!BZ404,"",'1. Live'!CD404-'check-Jul''26'!BZ404)</f>
        <v/>
      </c>
      <c r="CA386" s="25" t="str">
        <f>IF('1. Live'!CE404='check-Jul''26'!CA404,"",'1. Live'!CE404-'check-Jul''26'!CA404)</f>
        <v/>
      </c>
      <c r="CB386" s="25" t="str">
        <f>IF('1. Live'!CF404='check-Jul''26'!CB404,"",'1. Live'!CF404-'check-Jul''26'!CB404)</f>
        <v/>
      </c>
      <c r="CC386" s="25" t="str">
        <f>IF('1. Live'!CG404='check-Jul''26'!CC404,"",'1. Live'!CG404-'check-Jul''26'!CC404)</f>
        <v/>
      </c>
      <c r="CD386" s="25" t="str">
        <f>IF('1. Live'!CH404='check-Jul''26'!CD404,"",'1. Live'!CH404-'check-Jul''26'!CD404)</f>
        <v/>
      </c>
      <c r="CE386" s="25" t="str">
        <f>IF('1. Live'!CI404='check-Jul''26'!CE404,"",'1. Live'!CI404-'check-Jul''26'!CE404)</f>
        <v/>
      </c>
      <c r="CF386" s="25" t="str">
        <f>IF('1. Live'!CJ404='check-Jul''26'!CF404,"",'1. Live'!CJ404-'check-Jul''26'!CF404)</f>
        <v/>
      </c>
      <c r="CG386" s="25" t="str">
        <f>IF('1. Live'!CK404='check-Jul''26'!CG404,"",'1. Live'!CK404-'check-Jul''26'!CG404)</f>
        <v/>
      </c>
      <c r="CH386" s="25" t="str">
        <f>IF('1. Live'!CL404='check-Jul''26'!CH404,"",'1. Live'!CL404-'check-Jul''26'!CH404)</f>
        <v/>
      </c>
      <c r="CI386" s="25" t="str">
        <f>IF('1. Live'!CM404='check-Jul''26'!CI404,"",'1. Live'!CM404-'check-Jul''26'!CI404)</f>
        <v/>
      </c>
      <c r="CJ386" s="25" t="str">
        <f>IF('1. Live'!CN404='check-Jul''26'!CJ404,"",'1. Live'!CN404-'check-Jul''26'!CJ404)</f>
        <v/>
      </c>
      <c r="CK386" s="25" t="str">
        <f>IF('1. Live'!CO404='check-Jul''26'!CK404,"",'1. Live'!CO404-'check-Jul''26'!CK404)</f>
        <v/>
      </c>
      <c r="CL386" s="25" t="str">
        <f>IF('1. Live'!CP404='check-Jul''26'!CL404,"",'1. Live'!CP404-'check-Jul''26'!CL404)</f>
        <v/>
      </c>
      <c r="CM386" s="25" t="str">
        <f>IF('1. Live'!CQ404='check-Jul''26'!CM404,"",'1. Live'!CQ404-'check-Jul''26'!CM404)</f>
        <v/>
      </c>
      <c r="CN386" s="25" t="str">
        <f>IF('1. Live'!CR404='check-Jul''26'!CN404,"",'1. Live'!CR404-'check-Jul''26'!CN404)</f>
        <v/>
      </c>
      <c r="CO386" s="25" t="str">
        <f>IF('1. Live'!CS404='check-Jul''26'!CO404,"",'1. Live'!CS404-'check-Jul''26'!CO404)</f>
        <v/>
      </c>
      <c r="CP386" s="25" t="str">
        <f>IF('1. Live'!CT404='check-Jul''26'!CP404,"",'1. Live'!CT404-'check-Jul''26'!CP404)</f>
        <v/>
      </c>
      <c r="CQ386" s="25" t="str">
        <f>IF('1. Live'!CU404='check-Jul''26'!CQ404,"",'1. Live'!CU404-'check-Jul''26'!CQ404)</f>
        <v/>
      </c>
      <c r="CR386" s="25" t="str">
        <f>IF('1. Live'!CV404='check-Jul''26'!CR404,"",'1. Live'!CV404-'check-Jul''26'!CR404)</f>
        <v/>
      </c>
      <c r="CS386" s="25" t="str">
        <f>IF('1. Live'!CW404='check-Jul''26'!CS404,"",'1. Live'!CW404-'check-Jul''26'!CS404)</f>
        <v/>
      </c>
      <c r="CT386" s="25" t="str">
        <f>IF('1. Live'!CX404='check-Jul''26'!CT404,"",'1. Live'!CX404-'check-Jul''26'!CT404)</f>
        <v/>
      </c>
      <c r="CU386" s="25" t="str">
        <f>IF('1. Live'!CY404='check-Jul''26'!CU404,"",'1. Live'!CY404-'check-Jul''26'!CU404)</f>
        <v/>
      </c>
      <c r="CV386" s="25" t="str">
        <f>IF('1. Live'!CZ404='check-Jul''26'!CV404,"",'1. Live'!CZ404-'check-Jul''26'!CV404)</f>
        <v/>
      </c>
    </row>
    <row r="387" spans="17:100" x14ac:dyDescent="0.25">
      <c r="Q387" s="26" t="str">
        <f>IF('1. Live'!N405='check-Jul''26'!I405,"",'1. Live'!N405-'check-Jul''26'!I405)</f>
        <v/>
      </c>
      <c r="R387" s="26" t="str">
        <f>IF('1. Live'!O405='check-Jul''26'!J405,"",'1. Live'!O405-'check-Jul''26'!J405)</f>
        <v/>
      </c>
      <c r="S387" s="26" t="str">
        <f>IF('1. Live'!P405='check-Jul''26'!K405,"",'1. Live'!P405-'check-Jul''26'!K405)</f>
        <v/>
      </c>
      <c r="T387" s="26" t="str">
        <f>IF('1. Live'!Q405='check-Jul''26'!L405,"",'1. Live'!Q405-'check-Jul''26'!L405)</f>
        <v/>
      </c>
      <c r="U387" s="80" t="str">
        <f>IF('1. Live'!R405='check-Jul''26'!M405,"",'1. Live'!R405-'check-Jul''26'!M405)</f>
        <v/>
      </c>
      <c r="V387" s="26" t="str">
        <f>IF('1. Live'!S405='check-Jul''26'!N405,"",'1. Live'!S405-'check-Jul''26'!N405)</f>
        <v/>
      </c>
      <c r="W387" s="25" t="str">
        <f>IF('1. Live'!T405='check-Jul''26'!O405,"",'1. Live'!T405-'check-Jul''26'!O405)</f>
        <v/>
      </c>
      <c r="X387" s="25" t="str">
        <f>IF('1. Live'!U405='check-Jul''26'!Q405,"",'1. Live'!U405-'check-Jul''26'!Q405)</f>
        <v/>
      </c>
      <c r="Y387" s="25" t="str">
        <f>IF('1. Live'!V405='check-Jul''26'!R405,"",'1. Live'!V405-'check-Jul''26'!R405)</f>
        <v/>
      </c>
      <c r="Z387" s="25" t="str">
        <f>IF('1. Live'!W405='check-Jul''26'!S405,"",'1. Live'!W405-'check-Jul''26'!S405)</f>
        <v/>
      </c>
      <c r="AA387" s="25" t="str">
        <f>IF('1. Live'!X405='check-Jul''26'!T405,"",'1. Live'!X405-'check-Jul''26'!T405)</f>
        <v/>
      </c>
      <c r="AB387" s="25" t="str">
        <f>IF('1. Live'!AF405='check-Jul''26'!AB405,"",'1. Live'!AF405-'check-Jul''26'!AB405)</f>
        <v/>
      </c>
      <c r="AC387" s="25" t="str">
        <f>IF('1. Live'!AG405='check-Jul''26'!AC405,"",'1. Live'!AG405-'check-Jul''26'!AC405)</f>
        <v/>
      </c>
      <c r="AD387" s="25" t="str">
        <f>IF('1. Live'!AH405='check-Jul''26'!AD405,"",'1. Live'!AH405-'check-Jul''26'!AD405)</f>
        <v/>
      </c>
      <c r="AE387" s="25" t="str">
        <f>IF('1. Live'!AI405='check-Jul''26'!AE405,"",'1. Live'!AI405-'check-Jul''26'!AE405)</f>
        <v/>
      </c>
      <c r="AF387" s="25" t="str">
        <f>IF('1. Live'!AJ405='check-Jul''26'!AF405,"",'1. Live'!AJ405-'check-Jul''26'!AF405)</f>
        <v/>
      </c>
      <c r="AG387" s="25" t="str">
        <f>IF('1. Live'!AK405='check-Jul''26'!AG405,"",'1. Live'!AK405-'check-Jul''26'!AG405)</f>
        <v/>
      </c>
      <c r="AH387" s="25" t="str">
        <f>IF('1. Live'!AL405='check-Jul''26'!AH405,"",'1. Live'!AL405-'check-Jul''26'!AH405)</f>
        <v/>
      </c>
      <c r="AI387" s="25" t="str">
        <f>IF('1. Live'!AM405='check-Jul''26'!AI405,"",'1. Live'!AM405-'check-Jul''26'!AI405)</f>
        <v/>
      </c>
      <c r="AJ387" s="25" t="str">
        <f>IF('1. Live'!AN405='check-Jul''26'!AJ405,"",'1. Live'!AN405-'check-Jul''26'!AJ405)</f>
        <v/>
      </c>
      <c r="AK387" s="25" t="str">
        <f>IF('1. Live'!AO405='check-Jul''26'!AK405,"",'1. Live'!AO405-'check-Jul''26'!AK405)</f>
        <v/>
      </c>
      <c r="AL387" s="25" t="str">
        <f>IF('1. Live'!AP405='check-Jul''26'!AL405,"",'1. Live'!AP405-'check-Jul''26'!AL405)</f>
        <v/>
      </c>
      <c r="AM387" s="25" t="str">
        <f>IF('1. Live'!AQ405='check-Jul''26'!AM405,"",'1. Live'!AQ405-'check-Jul''26'!AM405)</f>
        <v/>
      </c>
      <c r="AN387" s="25" t="str">
        <f>IF('1. Live'!AR405='check-Jul''26'!AN405,"",'1. Live'!AR405-'check-Jul''26'!AN405)</f>
        <v/>
      </c>
      <c r="AO387" s="25" t="str">
        <f>IF('1. Live'!AS405='check-Jul''26'!AO405,"",'1. Live'!AS405-'check-Jul''26'!AO405)</f>
        <v/>
      </c>
      <c r="AP387" s="25" t="str">
        <f>IF('1. Live'!AT405='check-Jul''26'!AP405,"",'1. Live'!AT405-'check-Jul''26'!AP405)</f>
        <v/>
      </c>
      <c r="AQ387" s="25" t="str">
        <f>IF('1. Live'!AU405='check-Jul''26'!AQ405,"",'1. Live'!AU405-'check-Jul''26'!AQ405)</f>
        <v/>
      </c>
      <c r="AR387" s="25" t="str">
        <f>IF('1. Live'!AV405='check-Jul''26'!AR405,"",'1. Live'!AV405-'check-Jul''26'!AR405)</f>
        <v/>
      </c>
      <c r="AS387" s="25" t="str">
        <f>IF('1. Live'!AW405='check-Jul''26'!AS405,"",'1. Live'!AW405-'check-Jul''26'!AS405)</f>
        <v/>
      </c>
      <c r="AT387" s="25" t="str">
        <f>IF('1. Live'!AX405='check-Jul''26'!AT405,"",'1. Live'!AX405-'check-Jul''26'!AT405)</f>
        <v/>
      </c>
      <c r="AU387" s="25" t="str">
        <f>IF('1. Live'!AY405='check-Jul''26'!AU405,"",'1. Live'!AY405-'check-Jul''26'!AU405)</f>
        <v/>
      </c>
      <c r="AV387" s="25" t="str">
        <f>IF('1. Live'!AZ405='check-Jul''26'!AV405,"",'1. Live'!AZ405-'check-Jul''26'!AV405)</f>
        <v/>
      </c>
      <c r="AW387" s="25" t="str">
        <f>IF('1. Live'!BA405='check-Jul''26'!AW405,"",'1. Live'!BA405-'check-Jul''26'!AW405)</f>
        <v/>
      </c>
      <c r="AX387" s="25" t="str">
        <f>IF('1. Live'!BB405='check-Jul''26'!AX405,"",'1. Live'!BB405-'check-Jul''26'!AX405)</f>
        <v/>
      </c>
      <c r="AY387" s="25" t="str">
        <f>IF('1. Live'!BC405='check-Jul''26'!AY405,"",'1. Live'!BC405-'check-Jul''26'!AY405)</f>
        <v/>
      </c>
      <c r="AZ387" s="25" t="str">
        <f>IF('1. Live'!BD405='check-Jul''26'!AZ405,"",'1. Live'!BD405-'check-Jul''26'!AZ405)</f>
        <v/>
      </c>
      <c r="BA387" s="25" t="str">
        <f>IF('1. Live'!BE405='check-Jul''26'!BA405,"",'1. Live'!BE405-'check-Jul''26'!BA405)</f>
        <v/>
      </c>
      <c r="BB387" s="25" t="str">
        <f>IF('1. Live'!BF405='check-Jul''26'!BB405,"",'1. Live'!BF405-'check-Jul''26'!BB405)</f>
        <v/>
      </c>
      <c r="BC387" s="25" t="str">
        <f>IF('1. Live'!BG405='check-Jul''26'!BC405,"",'1. Live'!BG405-'check-Jul''26'!BC405)</f>
        <v/>
      </c>
      <c r="BD387" s="25" t="str">
        <f>IF('1. Live'!BH405='check-Jul''26'!BD405,"",'1. Live'!BH405-'check-Jul''26'!BD405)</f>
        <v/>
      </c>
      <c r="BE387" s="25" t="str">
        <f>IF('1. Live'!BI405='check-Jul''26'!BE405,"",'1. Live'!BI405-'check-Jul''26'!BE405)</f>
        <v/>
      </c>
      <c r="BF387" s="25" t="str">
        <f>IF('1. Live'!BJ405='check-Jul''26'!BF405,"",'1. Live'!BJ405-'check-Jul''26'!BF405)</f>
        <v/>
      </c>
      <c r="BG387" s="25" t="str">
        <f>IF('1. Live'!BK405='check-Jul''26'!BG405,"",'1. Live'!BK405-'check-Jul''26'!BG405)</f>
        <v/>
      </c>
      <c r="BH387" s="25" t="str">
        <f>IF('1. Live'!BL405='check-Jul''26'!BH405,"",'1. Live'!BL405-'check-Jul''26'!BH405)</f>
        <v/>
      </c>
      <c r="BI387" s="25" t="str">
        <f>IF('1. Live'!BM405='check-Jul''26'!BI405,"",'1. Live'!BM405-'check-Jul''26'!BI405)</f>
        <v/>
      </c>
      <c r="BJ387" s="25" t="str">
        <f>IF('1. Live'!BN405='check-Jul''26'!BJ405,"",'1. Live'!BN405-'check-Jul''26'!BJ405)</f>
        <v/>
      </c>
      <c r="BK387" s="25" t="str">
        <f>IF('1. Live'!BO405='check-Jul''26'!BK405,"",'1. Live'!BO405-'check-Jul''26'!BK405)</f>
        <v/>
      </c>
      <c r="BL387" s="25" t="str">
        <f>IF('1. Live'!BP405='check-Jul''26'!BL405,"",'1. Live'!BP405-'check-Jul''26'!BL405)</f>
        <v/>
      </c>
      <c r="BM387" s="25" t="str">
        <f>IF('1. Live'!BQ405='check-Jul''26'!BM405,"",'1. Live'!BQ405-'check-Jul''26'!BM405)</f>
        <v/>
      </c>
      <c r="BN387" s="25" t="str">
        <f>IF('1. Live'!BR405='check-Jul''26'!BN405,"",'1. Live'!BR405-'check-Jul''26'!BN405)</f>
        <v/>
      </c>
      <c r="BO387" s="25" t="str">
        <f>IF('1. Live'!BS405='check-Jul''26'!BO405,"",'1. Live'!BS405-'check-Jul''26'!BO405)</f>
        <v/>
      </c>
      <c r="BP387" s="25" t="str">
        <f>IF('1. Live'!BT405='check-Jul''26'!BP405,"",'1. Live'!BT405-'check-Jul''26'!BP405)</f>
        <v/>
      </c>
      <c r="BQ387" s="25" t="str">
        <f>IF('1. Live'!BU405='check-Jul''26'!BQ405,"",'1. Live'!BU405-'check-Jul''26'!BQ405)</f>
        <v/>
      </c>
      <c r="BR387" s="25" t="str">
        <f>IF('1. Live'!BV405='check-Jul''26'!BR405,"",'1. Live'!BV405-'check-Jul''26'!BR405)</f>
        <v/>
      </c>
      <c r="BS387" s="25" t="str">
        <f>IF('1. Live'!BW405='check-Jul''26'!BS405,"",'1. Live'!BW405-'check-Jul''26'!BS405)</f>
        <v/>
      </c>
      <c r="BT387" s="25" t="str">
        <f>IF('1. Live'!BX405='check-Jul''26'!BT405,"",'1. Live'!BX405-'check-Jul''26'!BT405)</f>
        <v/>
      </c>
      <c r="BU387" s="25" t="str">
        <f>IF('1. Live'!BY405='check-Jul''26'!BU405,"",'1. Live'!BY405-'check-Jul''26'!BU405)</f>
        <v/>
      </c>
      <c r="BV387" s="25" t="str">
        <f>IF('1. Live'!BZ405='check-Jul''26'!BV405,"",'1. Live'!BZ405-'check-Jul''26'!BV405)</f>
        <v/>
      </c>
      <c r="BW387" s="25" t="str">
        <f>IF('1. Live'!CA405='check-Jul''26'!BW405,"",'1. Live'!CA405-'check-Jul''26'!BW405)</f>
        <v/>
      </c>
      <c r="BX387" s="25" t="str">
        <f>IF('1. Live'!CB405='check-Jul''26'!BX405,"",'1. Live'!CB405-'check-Jul''26'!BX405)</f>
        <v/>
      </c>
      <c r="BY387" s="25" t="str">
        <f>IF('1. Live'!CC405='check-Jul''26'!BY405,"",'1. Live'!CC405-'check-Jul''26'!BY405)</f>
        <v/>
      </c>
      <c r="BZ387" s="25" t="str">
        <f>IF('1. Live'!CD405='check-Jul''26'!BZ405,"",'1. Live'!CD405-'check-Jul''26'!BZ405)</f>
        <v/>
      </c>
      <c r="CA387" s="25" t="str">
        <f>IF('1. Live'!CE405='check-Jul''26'!CA405,"",'1. Live'!CE405-'check-Jul''26'!CA405)</f>
        <v/>
      </c>
      <c r="CB387" s="25" t="str">
        <f>IF('1. Live'!CF405='check-Jul''26'!CB405,"",'1. Live'!CF405-'check-Jul''26'!CB405)</f>
        <v/>
      </c>
      <c r="CC387" s="25" t="str">
        <f>IF('1. Live'!CG405='check-Jul''26'!CC405,"",'1. Live'!CG405-'check-Jul''26'!CC405)</f>
        <v/>
      </c>
      <c r="CD387" s="25" t="str">
        <f>IF('1. Live'!CH405='check-Jul''26'!CD405,"",'1. Live'!CH405-'check-Jul''26'!CD405)</f>
        <v/>
      </c>
      <c r="CE387" s="25" t="str">
        <f>IF('1. Live'!CI405='check-Jul''26'!CE405,"",'1. Live'!CI405-'check-Jul''26'!CE405)</f>
        <v/>
      </c>
      <c r="CF387" s="25" t="str">
        <f>IF('1. Live'!CJ405='check-Jul''26'!CF405,"",'1. Live'!CJ405-'check-Jul''26'!CF405)</f>
        <v/>
      </c>
      <c r="CG387" s="25" t="str">
        <f>IF('1. Live'!CK405='check-Jul''26'!CG405,"",'1. Live'!CK405-'check-Jul''26'!CG405)</f>
        <v/>
      </c>
      <c r="CH387" s="25" t="str">
        <f>IF('1. Live'!CL405='check-Jul''26'!CH405,"",'1. Live'!CL405-'check-Jul''26'!CH405)</f>
        <v/>
      </c>
      <c r="CI387" s="25" t="str">
        <f>IF('1. Live'!CM405='check-Jul''26'!CI405,"",'1. Live'!CM405-'check-Jul''26'!CI405)</f>
        <v/>
      </c>
      <c r="CJ387" s="25" t="str">
        <f>IF('1. Live'!CN405='check-Jul''26'!CJ405,"",'1. Live'!CN405-'check-Jul''26'!CJ405)</f>
        <v/>
      </c>
      <c r="CK387" s="25" t="str">
        <f>IF('1. Live'!CO405='check-Jul''26'!CK405,"",'1. Live'!CO405-'check-Jul''26'!CK405)</f>
        <v/>
      </c>
      <c r="CL387" s="25" t="str">
        <f>IF('1. Live'!CP405='check-Jul''26'!CL405,"",'1. Live'!CP405-'check-Jul''26'!CL405)</f>
        <v/>
      </c>
      <c r="CM387" s="25" t="str">
        <f>IF('1. Live'!CQ405='check-Jul''26'!CM405,"",'1. Live'!CQ405-'check-Jul''26'!CM405)</f>
        <v/>
      </c>
      <c r="CN387" s="25" t="str">
        <f>IF('1. Live'!CR405='check-Jul''26'!CN405,"",'1. Live'!CR405-'check-Jul''26'!CN405)</f>
        <v/>
      </c>
      <c r="CO387" s="25" t="str">
        <f>IF('1. Live'!CS405='check-Jul''26'!CO405,"",'1. Live'!CS405-'check-Jul''26'!CO405)</f>
        <v/>
      </c>
      <c r="CP387" s="25" t="str">
        <f>IF('1. Live'!CT405='check-Jul''26'!CP405,"",'1. Live'!CT405-'check-Jul''26'!CP405)</f>
        <v/>
      </c>
      <c r="CQ387" s="25" t="str">
        <f>IF('1. Live'!CU405='check-Jul''26'!CQ405,"",'1. Live'!CU405-'check-Jul''26'!CQ405)</f>
        <v/>
      </c>
      <c r="CR387" s="25" t="str">
        <f>IF('1. Live'!CV405='check-Jul''26'!CR405,"",'1. Live'!CV405-'check-Jul''26'!CR405)</f>
        <v/>
      </c>
      <c r="CS387" s="25" t="str">
        <f>IF('1. Live'!CW405='check-Jul''26'!CS405,"",'1. Live'!CW405-'check-Jul''26'!CS405)</f>
        <v/>
      </c>
      <c r="CT387" s="25" t="str">
        <f>IF('1. Live'!CX405='check-Jul''26'!CT405,"",'1. Live'!CX405-'check-Jul''26'!CT405)</f>
        <v/>
      </c>
      <c r="CU387" s="25" t="str">
        <f>IF('1. Live'!CY405='check-Jul''26'!CU405,"",'1. Live'!CY405-'check-Jul''26'!CU405)</f>
        <v/>
      </c>
      <c r="CV387" s="25" t="str">
        <f>IF('1. Live'!CZ405='check-Jul''26'!CV405,"",'1. Live'!CZ405-'check-Jul''26'!CV405)</f>
        <v/>
      </c>
    </row>
    <row r="388" spans="17:100" x14ac:dyDescent="0.25">
      <c r="Q388" s="26" t="str">
        <f>IF('1. Live'!N406='check-Jul''26'!I406,"",'1. Live'!N406-'check-Jul''26'!I406)</f>
        <v/>
      </c>
      <c r="R388" s="26" t="str">
        <f>IF('1. Live'!O406='check-Jul''26'!J406,"",'1. Live'!O406-'check-Jul''26'!J406)</f>
        <v/>
      </c>
      <c r="S388" s="26" t="str">
        <f>IF('1. Live'!P406='check-Jul''26'!K406,"",'1. Live'!P406-'check-Jul''26'!K406)</f>
        <v/>
      </c>
      <c r="T388" s="26" t="str">
        <f>IF('1. Live'!Q406='check-Jul''26'!L406,"",'1. Live'!Q406-'check-Jul''26'!L406)</f>
        <v/>
      </c>
      <c r="U388" s="80" t="str">
        <f>IF('1. Live'!R406='check-Jul''26'!M406,"",'1. Live'!R406-'check-Jul''26'!M406)</f>
        <v/>
      </c>
      <c r="V388" s="26" t="str">
        <f>IF('1. Live'!S406='check-Jul''26'!N406,"",'1. Live'!S406-'check-Jul''26'!N406)</f>
        <v/>
      </c>
      <c r="W388" s="25" t="str">
        <f>IF('1. Live'!T406='check-Jul''26'!O406,"",'1. Live'!T406-'check-Jul''26'!O406)</f>
        <v/>
      </c>
      <c r="X388" s="25" t="str">
        <f>IF('1. Live'!U406='check-Jul''26'!Q406,"",'1. Live'!U406-'check-Jul''26'!Q406)</f>
        <v/>
      </c>
      <c r="Y388" s="25" t="str">
        <f>IF('1. Live'!V406='check-Jul''26'!R406,"",'1. Live'!V406-'check-Jul''26'!R406)</f>
        <v/>
      </c>
      <c r="Z388" s="25" t="str">
        <f>IF('1. Live'!W406='check-Jul''26'!S406,"",'1. Live'!W406-'check-Jul''26'!S406)</f>
        <v/>
      </c>
      <c r="AA388" s="25" t="str">
        <f>IF('1. Live'!X406='check-Jul''26'!T406,"",'1. Live'!X406-'check-Jul''26'!T406)</f>
        <v/>
      </c>
      <c r="AB388" s="25" t="str">
        <f>IF('1. Live'!AF406='check-Jul''26'!AB406,"",'1. Live'!AF406-'check-Jul''26'!AB406)</f>
        <v/>
      </c>
      <c r="AC388" s="25" t="str">
        <f>IF('1. Live'!AG406='check-Jul''26'!AC406,"",'1. Live'!AG406-'check-Jul''26'!AC406)</f>
        <v/>
      </c>
      <c r="AD388" s="25" t="str">
        <f>IF('1. Live'!AH406='check-Jul''26'!AD406,"",'1. Live'!AH406-'check-Jul''26'!AD406)</f>
        <v/>
      </c>
      <c r="AE388" s="25" t="str">
        <f>IF('1. Live'!AI406='check-Jul''26'!AE406,"",'1. Live'!AI406-'check-Jul''26'!AE406)</f>
        <v/>
      </c>
      <c r="AF388" s="25" t="str">
        <f>IF('1. Live'!AJ406='check-Jul''26'!AF406,"",'1. Live'!AJ406-'check-Jul''26'!AF406)</f>
        <v/>
      </c>
      <c r="AG388" s="25" t="str">
        <f>IF('1. Live'!AK406='check-Jul''26'!AG406,"",'1. Live'!AK406-'check-Jul''26'!AG406)</f>
        <v/>
      </c>
      <c r="AH388" s="25" t="str">
        <f>IF('1. Live'!AL406='check-Jul''26'!AH406,"",'1. Live'!AL406-'check-Jul''26'!AH406)</f>
        <v/>
      </c>
      <c r="AI388" s="25" t="str">
        <f>IF('1. Live'!AM406='check-Jul''26'!AI406,"",'1. Live'!AM406-'check-Jul''26'!AI406)</f>
        <v/>
      </c>
      <c r="AJ388" s="25" t="str">
        <f>IF('1. Live'!AN406='check-Jul''26'!AJ406,"",'1. Live'!AN406-'check-Jul''26'!AJ406)</f>
        <v/>
      </c>
      <c r="AK388" s="25" t="str">
        <f>IF('1. Live'!AO406='check-Jul''26'!AK406,"",'1. Live'!AO406-'check-Jul''26'!AK406)</f>
        <v/>
      </c>
      <c r="AL388" s="25" t="str">
        <f>IF('1. Live'!AP406='check-Jul''26'!AL406,"",'1. Live'!AP406-'check-Jul''26'!AL406)</f>
        <v/>
      </c>
      <c r="AM388" s="25" t="str">
        <f>IF('1. Live'!AQ406='check-Jul''26'!AM406,"",'1. Live'!AQ406-'check-Jul''26'!AM406)</f>
        <v/>
      </c>
      <c r="AN388" s="25" t="str">
        <f>IF('1. Live'!AR406='check-Jul''26'!AN406,"",'1. Live'!AR406-'check-Jul''26'!AN406)</f>
        <v/>
      </c>
      <c r="AO388" s="25" t="str">
        <f>IF('1. Live'!AS406='check-Jul''26'!AO406,"",'1. Live'!AS406-'check-Jul''26'!AO406)</f>
        <v/>
      </c>
      <c r="AP388" s="25" t="str">
        <f>IF('1. Live'!AT406='check-Jul''26'!AP406,"",'1. Live'!AT406-'check-Jul''26'!AP406)</f>
        <v/>
      </c>
      <c r="AQ388" s="25" t="str">
        <f>IF('1. Live'!AU406='check-Jul''26'!AQ406,"",'1. Live'!AU406-'check-Jul''26'!AQ406)</f>
        <v/>
      </c>
      <c r="AR388" s="25" t="str">
        <f>IF('1. Live'!AV406='check-Jul''26'!AR406,"",'1. Live'!AV406-'check-Jul''26'!AR406)</f>
        <v/>
      </c>
      <c r="AS388" s="25" t="str">
        <f>IF('1. Live'!AW406='check-Jul''26'!AS406,"",'1. Live'!AW406-'check-Jul''26'!AS406)</f>
        <v/>
      </c>
      <c r="AT388" s="25" t="str">
        <f>IF('1. Live'!AX406='check-Jul''26'!AT406,"",'1. Live'!AX406-'check-Jul''26'!AT406)</f>
        <v/>
      </c>
      <c r="AU388" s="25" t="str">
        <f>IF('1. Live'!AY406='check-Jul''26'!AU406,"",'1. Live'!AY406-'check-Jul''26'!AU406)</f>
        <v/>
      </c>
      <c r="AV388" s="25" t="str">
        <f>IF('1. Live'!AZ406='check-Jul''26'!AV406,"",'1. Live'!AZ406-'check-Jul''26'!AV406)</f>
        <v/>
      </c>
      <c r="AW388" s="25" t="str">
        <f>IF('1. Live'!BA406='check-Jul''26'!AW406,"",'1. Live'!BA406-'check-Jul''26'!AW406)</f>
        <v/>
      </c>
      <c r="AX388" s="25" t="str">
        <f>IF('1. Live'!BB406='check-Jul''26'!AX406,"",'1. Live'!BB406-'check-Jul''26'!AX406)</f>
        <v/>
      </c>
      <c r="AY388" s="25" t="str">
        <f>IF('1. Live'!BC406='check-Jul''26'!AY406,"",'1. Live'!BC406-'check-Jul''26'!AY406)</f>
        <v/>
      </c>
      <c r="AZ388" s="25" t="str">
        <f>IF('1. Live'!BD406='check-Jul''26'!AZ406,"",'1. Live'!BD406-'check-Jul''26'!AZ406)</f>
        <v/>
      </c>
      <c r="BA388" s="25" t="str">
        <f>IF('1. Live'!BE406='check-Jul''26'!BA406,"",'1. Live'!BE406-'check-Jul''26'!BA406)</f>
        <v/>
      </c>
      <c r="BB388" s="25" t="str">
        <f>IF('1. Live'!BF406='check-Jul''26'!BB406,"",'1. Live'!BF406-'check-Jul''26'!BB406)</f>
        <v/>
      </c>
      <c r="BC388" s="25" t="str">
        <f>IF('1. Live'!BG406='check-Jul''26'!BC406,"",'1. Live'!BG406-'check-Jul''26'!BC406)</f>
        <v/>
      </c>
      <c r="BD388" s="25" t="str">
        <f>IF('1. Live'!BH406='check-Jul''26'!BD406,"",'1. Live'!BH406-'check-Jul''26'!BD406)</f>
        <v/>
      </c>
      <c r="BE388" s="25" t="str">
        <f>IF('1. Live'!BI406='check-Jul''26'!BE406,"",'1. Live'!BI406-'check-Jul''26'!BE406)</f>
        <v/>
      </c>
      <c r="BF388" s="25" t="str">
        <f>IF('1. Live'!BJ406='check-Jul''26'!BF406,"",'1. Live'!BJ406-'check-Jul''26'!BF406)</f>
        <v/>
      </c>
      <c r="BG388" s="25" t="str">
        <f>IF('1. Live'!BK406='check-Jul''26'!BG406,"",'1. Live'!BK406-'check-Jul''26'!BG406)</f>
        <v/>
      </c>
      <c r="BH388" s="25" t="str">
        <f>IF('1. Live'!BL406='check-Jul''26'!BH406,"",'1. Live'!BL406-'check-Jul''26'!BH406)</f>
        <v/>
      </c>
      <c r="BI388" s="25" t="str">
        <f>IF('1. Live'!BM406='check-Jul''26'!BI406,"",'1. Live'!BM406-'check-Jul''26'!BI406)</f>
        <v/>
      </c>
      <c r="BJ388" s="25" t="str">
        <f>IF('1. Live'!BN406='check-Jul''26'!BJ406,"",'1. Live'!BN406-'check-Jul''26'!BJ406)</f>
        <v/>
      </c>
      <c r="BK388" s="25" t="str">
        <f>IF('1. Live'!BO406='check-Jul''26'!BK406,"",'1. Live'!BO406-'check-Jul''26'!BK406)</f>
        <v/>
      </c>
      <c r="BL388" s="25" t="str">
        <f>IF('1. Live'!BP406='check-Jul''26'!BL406,"",'1. Live'!BP406-'check-Jul''26'!BL406)</f>
        <v/>
      </c>
      <c r="BM388" s="25" t="str">
        <f>IF('1. Live'!BQ406='check-Jul''26'!BM406,"",'1. Live'!BQ406-'check-Jul''26'!BM406)</f>
        <v/>
      </c>
      <c r="BN388" s="25" t="str">
        <f>IF('1. Live'!BR406='check-Jul''26'!BN406,"",'1. Live'!BR406-'check-Jul''26'!BN406)</f>
        <v/>
      </c>
      <c r="BO388" s="25" t="str">
        <f>IF('1. Live'!BS406='check-Jul''26'!BO406,"",'1. Live'!BS406-'check-Jul''26'!BO406)</f>
        <v/>
      </c>
      <c r="BP388" s="25" t="str">
        <f>IF('1. Live'!BT406='check-Jul''26'!BP406,"",'1. Live'!BT406-'check-Jul''26'!BP406)</f>
        <v/>
      </c>
      <c r="BQ388" s="25" t="str">
        <f>IF('1. Live'!BU406='check-Jul''26'!BQ406,"",'1. Live'!BU406-'check-Jul''26'!BQ406)</f>
        <v/>
      </c>
      <c r="BR388" s="25" t="str">
        <f>IF('1. Live'!BV406='check-Jul''26'!BR406,"",'1. Live'!BV406-'check-Jul''26'!BR406)</f>
        <v/>
      </c>
      <c r="BS388" s="25" t="str">
        <f>IF('1. Live'!BW406='check-Jul''26'!BS406,"",'1. Live'!BW406-'check-Jul''26'!BS406)</f>
        <v/>
      </c>
      <c r="BT388" s="25" t="str">
        <f>IF('1. Live'!BX406='check-Jul''26'!BT406,"",'1. Live'!BX406-'check-Jul''26'!BT406)</f>
        <v/>
      </c>
      <c r="BU388" s="25" t="str">
        <f>IF('1. Live'!BY406='check-Jul''26'!BU406,"",'1. Live'!BY406-'check-Jul''26'!BU406)</f>
        <v/>
      </c>
      <c r="BV388" s="25" t="str">
        <f>IF('1. Live'!BZ406='check-Jul''26'!BV406,"",'1. Live'!BZ406-'check-Jul''26'!BV406)</f>
        <v/>
      </c>
      <c r="BW388" s="25" t="str">
        <f>IF('1. Live'!CA406='check-Jul''26'!BW406,"",'1. Live'!CA406-'check-Jul''26'!BW406)</f>
        <v/>
      </c>
      <c r="BX388" s="25" t="str">
        <f>IF('1. Live'!CB406='check-Jul''26'!BX406,"",'1. Live'!CB406-'check-Jul''26'!BX406)</f>
        <v/>
      </c>
      <c r="BY388" s="25" t="str">
        <f>IF('1. Live'!CC406='check-Jul''26'!BY406,"",'1. Live'!CC406-'check-Jul''26'!BY406)</f>
        <v/>
      </c>
      <c r="BZ388" s="25" t="str">
        <f>IF('1. Live'!CD406='check-Jul''26'!BZ406,"",'1. Live'!CD406-'check-Jul''26'!BZ406)</f>
        <v/>
      </c>
      <c r="CA388" s="25" t="str">
        <f>IF('1. Live'!CE406='check-Jul''26'!CA406,"",'1. Live'!CE406-'check-Jul''26'!CA406)</f>
        <v/>
      </c>
      <c r="CB388" s="25" t="str">
        <f>IF('1. Live'!CF406='check-Jul''26'!CB406,"",'1. Live'!CF406-'check-Jul''26'!CB406)</f>
        <v/>
      </c>
      <c r="CC388" s="25" t="str">
        <f>IF('1. Live'!CG406='check-Jul''26'!CC406,"",'1. Live'!CG406-'check-Jul''26'!CC406)</f>
        <v/>
      </c>
      <c r="CD388" s="25" t="str">
        <f>IF('1. Live'!CH406='check-Jul''26'!CD406,"",'1. Live'!CH406-'check-Jul''26'!CD406)</f>
        <v/>
      </c>
      <c r="CE388" s="25" t="str">
        <f>IF('1. Live'!CI406='check-Jul''26'!CE406,"",'1. Live'!CI406-'check-Jul''26'!CE406)</f>
        <v/>
      </c>
      <c r="CF388" s="25" t="str">
        <f>IF('1. Live'!CJ406='check-Jul''26'!CF406,"",'1. Live'!CJ406-'check-Jul''26'!CF406)</f>
        <v/>
      </c>
      <c r="CG388" s="25" t="str">
        <f>IF('1. Live'!CK406='check-Jul''26'!CG406,"",'1. Live'!CK406-'check-Jul''26'!CG406)</f>
        <v/>
      </c>
      <c r="CH388" s="25" t="str">
        <f>IF('1. Live'!CL406='check-Jul''26'!CH406,"",'1. Live'!CL406-'check-Jul''26'!CH406)</f>
        <v/>
      </c>
      <c r="CI388" s="25" t="str">
        <f>IF('1. Live'!CM406='check-Jul''26'!CI406,"",'1. Live'!CM406-'check-Jul''26'!CI406)</f>
        <v/>
      </c>
      <c r="CJ388" s="25" t="str">
        <f>IF('1. Live'!CN406='check-Jul''26'!CJ406,"",'1. Live'!CN406-'check-Jul''26'!CJ406)</f>
        <v/>
      </c>
      <c r="CK388" s="25" t="str">
        <f>IF('1. Live'!CO406='check-Jul''26'!CK406,"",'1. Live'!CO406-'check-Jul''26'!CK406)</f>
        <v/>
      </c>
      <c r="CL388" s="25" t="str">
        <f>IF('1. Live'!CP406='check-Jul''26'!CL406,"",'1. Live'!CP406-'check-Jul''26'!CL406)</f>
        <v/>
      </c>
      <c r="CM388" s="25" t="str">
        <f>IF('1. Live'!CQ406='check-Jul''26'!CM406,"",'1. Live'!CQ406-'check-Jul''26'!CM406)</f>
        <v/>
      </c>
      <c r="CN388" s="25" t="str">
        <f>IF('1. Live'!CR406='check-Jul''26'!CN406,"",'1. Live'!CR406-'check-Jul''26'!CN406)</f>
        <v/>
      </c>
      <c r="CO388" s="25" t="str">
        <f>IF('1. Live'!CS406='check-Jul''26'!CO406,"",'1. Live'!CS406-'check-Jul''26'!CO406)</f>
        <v/>
      </c>
      <c r="CP388" s="25" t="str">
        <f>IF('1. Live'!CT406='check-Jul''26'!CP406,"",'1. Live'!CT406-'check-Jul''26'!CP406)</f>
        <v/>
      </c>
      <c r="CQ388" s="25" t="str">
        <f>IF('1. Live'!CU406='check-Jul''26'!CQ406,"",'1. Live'!CU406-'check-Jul''26'!CQ406)</f>
        <v/>
      </c>
      <c r="CR388" s="25" t="str">
        <f>IF('1. Live'!CV406='check-Jul''26'!CR406,"",'1. Live'!CV406-'check-Jul''26'!CR406)</f>
        <v/>
      </c>
      <c r="CS388" s="25" t="str">
        <f>IF('1. Live'!CW406='check-Jul''26'!CS406,"",'1. Live'!CW406-'check-Jul''26'!CS406)</f>
        <v/>
      </c>
      <c r="CT388" s="25" t="str">
        <f>IF('1. Live'!CX406='check-Jul''26'!CT406,"",'1. Live'!CX406-'check-Jul''26'!CT406)</f>
        <v/>
      </c>
      <c r="CU388" s="25" t="str">
        <f>IF('1. Live'!CY406='check-Jul''26'!CU406,"",'1. Live'!CY406-'check-Jul''26'!CU406)</f>
        <v/>
      </c>
      <c r="CV388" s="25" t="str">
        <f>IF('1. Live'!CZ406='check-Jul''26'!CV406,"",'1. Live'!CZ406-'check-Jul''26'!CV406)</f>
        <v/>
      </c>
    </row>
    <row r="389" spans="17:100" x14ac:dyDescent="0.25">
      <c r="Q389" s="26" t="str">
        <f>IF('1. Live'!N407='check-Jul''26'!I407,"",'1. Live'!N407-'check-Jul''26'!I407)</f>
        <v/>
      </c>
      <c r="R389" s="26" t="str">
        <f>IF('1. Live'!O407='check-Jul''26'!J407,"",'1. Live'!O407-'check-Jul''26'!J407)</f>
        <v/>
      </c>
      <c r="S389" s="26" t="str">
        <f>IF('1. Live'!P407='check-Jul''26'!K407,"",'1. Live'!P407-'check-Jul''26'!K407)</f>
        <v/>
      </c>
      <c r="T389" s="26" t="str">
        <f>IF('1. Live'!Q407='check-Jul''26'!L407,"",'1. Live'!Q407-'check-Jul''26'!L407)</f>
        <v/>
      </c>
      <c r="U389" s="80" t="str">
        <f>IF('1. Live'!R407='check-Jul''26'!M407,"",'1. Live'!R407-'check-Jul''26'!M407)</f>
        <v/>
      </c>
      <c r="V389" s="26" t="str">
        <f>IF('1. Live'!S407='check-Jul''26'!N407,"",'1. Live'!S407-'check-Jul''26'!N407)</f>
        <v/>
      </c>
      <c r="W389" s="25" t="str">
        <f>IF('1. Live'!T407='check-Jul''26'!O407,"",'1. Live'!T407-'check-Jul''26'!O407)</f>
        <v/>
      </c>
      <c r="X389" s="25" t="str">
        <f>IF('1. Live'!U407='check-Jul''26'!Q407,"",'1. Live'!U407-'check-Jul''26'!Q407)</f>
        <v/>
      </c>
      <c r="Y389" s="25" t="str">
        <f>IF('1. Live'!V407='check-Jul''26'!R407,"",'1. Live'!V407-'check-Jul''26'!R407)</f>
        <v/>
      </c>
      <c r="Z389" s="25" t="str">
        <f>IF('1. Live'!W407='check-Jul''26'!S407,"",'1. Live'!W407-'check-Jul''26'!S407)</f>
        <v/>
      </c>
      <c r="AA389" s="25" t="str">
        <f>IF('1. Live'!X407='check-Jul''26'!T407,"",'1. Live'!X407-'check-Jul''26'!T407)</f>
        <v/>
      </c>
      <c r="AB389" s="25" t="str">
        <f>IF('1. Live'!AF407='check-Jul''26'!AB407,"",'1. Live'!AF407-'check-Jul''26'!AB407)</f>
        <v/>
      </c>
      <c r="AC389" s="25" t="str">
        <f>IF('1. Live'!AG407='check-Jul''26'!AC407,"",'1. Live'!AG407-'check-Jul''26'!AC407)</f>
        <v/>
      </c>
      <c r="AD389" s="25" t="str">
        <f>IF('1. Live'!AH407='check-Jul''26'!AD407,"",'1. Live'!AH407-'check-Jul''26'!AD407)</f>
        <v/>
      </c>
      <c r="AE389" s="25" t="str">
        <f>IF('1. Live'!AI407='check-Jul''26'!AE407,"",'1. Live'!AI407-'check-Jul''26'!AE407)</f>
        <v/>
      </c>
      <c r="AF389" s="25" t="str">
        <f>IF('1. Live'!AJ407='check-Jul''26'!AF407,"",'1. Live'!AJ407-'check-Jul''26'!AF407)</f>
        <v/>
      </c>
      <c r="AG389" s="25" t="str">
        <f>IF('1. Live'!AK407='check-Jul''26'!AG407,"",'1. Live'!AK407-'check-Jul''26'!AG407)</f>
        <v/>
      </c>
      <c r="AH389" s="25" t="str">
        <f>IF('1. Live'!AL407='check-Jul''26'!AH407,"",'1. Live'!AL407-'check-Jul''26'!AH407)</f>
        <v/>
      </c>
      <c r="AI389" s="25" t="str">
        <f>IF('1. Live'!AM407='check-Jul''26'!AI407,"",'1. Live'!AM407-'check-Jul''26'!AI407)</f>
        <v/>
      </c>
      <c r="AJ389" s="25" t="str">
        <f>IF('1. Live'!AN407='check-Jul''26'!AJ407,"",'1. Live'!AN407-'check-Jul''26'!AJ407)</f>
        <v/>
      </c>
      <c r="AK389" s="25" t="str">
        <f>IF('1. Live'!AO407='check-Jul''26'!AK407,"",'1. Live'!AO407-'check-Jul''26'!AK407)</f>
        <v/>
      </c>
      <c r="AL389" s="25" t="str">
        <f>IF('1. Live'!AP407='check-Jul''26'!AL407,"",'1. Live'!AP407-'check-Jul''26'!AL407)</f>
        <v/>
      </c>
      <c r="AM389" s="25" t="str">
        <f>IF('1. Live'!AQ407='check-Jul''26'!AM407,"",'1. Live'!AQ407-'check-Jul''26'!AM407)</f>
        <v/>
      </c>
      <c r="AN389" s="25" t="str">
        <f>IF('1. Live'!AR407='check-Jul''26'!AN407,"",'1. Live'!AR407-'check-Jul''26'!AN407)</f>
        <v/>
      </c>
      <c r="AO389" s="25" t="str">
        <f>IF('1. Live'!AS407='check-Jul''26'!AO407,"",'1. Live'!AS407-'check-Jul''26'!AO407)</f>
        <v/>
      </c>
      <c r="AP389" s="25" t="str">
        <f>IF('1. Live'!AT407='check-Jul''26'!AP407,"",'1. Live'!AT407-'check-Jul''26'!AP407)</f>
        <v/>
      </c>
      <c r="AQ389" s="25" t="str">
        <f>IF('1. Live'!AU407='check-Jul''26'!AQ407,"",'1. Live'!AU407-'check-Jul''26'!AQ407)</f>
        <v/>
      </c>
      <c r="AR389" s="25" t="str">
        <f>IF('1. Live'!AV407='check-Jul''26'!AR407,"",'1. Live'!AV407-'check-Jul''26'!AR407)</f>
        <v/>
      </c>
      <c r="AS389" s="25" t="str">
        <f>IF('1. Live'!AW407='check-Jul''26'!AS407,"",'1. Live'!AW407-'check-Jul''26'!AS407)</f>
        <v/>
      </c>
      <c r="AT389" s="25" t="str">
        <f>IF('1. Live'!AX407='check-Jul''26'!AT407,"",'1. Live'!AX407-'check-Jul''26'!AT407)</f>
        <v/>
      </c>
      <c r="AU389" s="25" t="str">
        <f>IF('1. Live'!AY407='check-Jul''26'!AU407,"",'1. Live'!AY407-'check-Jul''26'!AU407)</f>
        <v/>
      </c>
      <c r="AV389" s="25" t="str">
        <f>IF('1. Live'!AZ407='check-Jul''26'!AV407,"",'1. Live'!AZ407-'check-Jul''26'!AV407)</f>
        <v/>
      </c>
      <c r="AW389" s="25" t="str">
        <f>IF('1. Live'!BA407='check-Jul''26'!AW407,"",'1. Live'!BA407-'check-Jul''26'!AW407)</f>
        <v/>
      </c>
      <c r="AX389" s="25" t="str">
        <f>IF('1. Live'!BB407='check-Jul''26'!AX407,"",'1. Live'!BB407-'check-Jul''26'!AX407)</f>
        <v/>
      </c>
      <c r="AY389" s="25" t="str">
        <f>IF('1. Live'!BC407='check-Jul''26'!AY407,"",'1. Live'!BC407-'check-Jul''26'!AY407)</f>
        <v/>
      </c>
      <c r="AZ389" s="25" t="str">
        <f>IF('1. Live'!BD407='check-Jul''26'!AZ407,"",'1. Live'!BD407-'check-Jul''26'!AZ407)</f>
        <v/>
      </c>
      <c r="BA389" s="25" t="str">
        <f>IF('1. Live'!BE407='check-Jul''26'!BA407,"",'1. Live'!BE407-'check-Jul''26'!BA407)</f>
        <v/>
      </c>
      <c r="BB389" s="25" t="str">
        <f>IF('1. Live'!BF407='check-Jul''26'!BB407,"",'1. Live'!BF407-'check-Jul''26'!BB407)</f>
        <v/>
      </c>
      <c r="BC389" s="25" t="str">
        <f>IF('1. Live'!BG407='check-Jul''26'!BC407,"",'1. Live'!BG407-'check-Jul''26'!BC407)</f>
        <v/>
      </c>
      <c r="BD389" s="25" t="str">
        <f>IF('1. Live'!BH407='check-Jul''26'!BD407,"",'1. Live'!BH407-'check-Jul''26'!BD407)</f>
        <v/>
      </c>
      <c r="BE389" s="25" t="str">
        <f>IF('1. Live'!BI407='check-Jul''26'!BE407,"",'1. Live'!BI407-'check-Jul''26'!BE407)</f>
        <v/>
      </c>
      <c r="BF389" s="25" t="str">
        <f>IF('1. Live'!BJ407='check-Jul''26'!BF407,"",'1. Live'!BJ407-'check-Jul''26'!BF407)</f>
        <v/>
      </c>
      <c r="BG389" s="25" t="str">
        <f>IF('1. Live'!BK407='check-Jul''26'!BG407,"",'1. Live'!BK407-'check-Jul''26'!BG407)</f>
        <v/>
      </c>
      <c r="BH389" s="25" t="str">
        <f>IF('1. Live'!BL407='check-Jul''26'!BH407,"",'1. Live'!BL407-'check-Jul''26'!BH407)</f>
        <v/>
      </c>
      <c r="BI389" s="25" t="str">
        <f>IF('1. Live'!BM407='check-Jul''26'!BI407,"",'1. Live'!BM407-'check-Jul''26'!BI407)</f>
        <v/>
      </c>
      <c r="BJ389" s="25" t="str">
        <f>IF('1. Live'!BN407='check-Jul''26'!BJ407,"",'1. Live'!BN407-'check-Jul''26'!BJ407)</f>
        <v/>
      </c>
      <c r="BK389" s="25" t="str">
        <f>IF('1. Live'!BO407='check-Jul''26'!BK407,"",'1. Live'!BO407-'check-Jul''26'!BK407)</f>
        <v/>
      </c>
      <c r="BL389" s="25" t="str">
        <f>IF('1. Live'!BP407='check-Jul''26'!BL407,"",'1. Live'!BP407-'check-Jul''26'!BL407)</f>
        <v/>
      </c>
      <c r="BM389" s="25" t="str">
        <f>IF('1. Live'!BQ407='check-Jul''26'!BM407,"",'1. Live'!BQ407-'check-Jul''26'!BM407)</f>
        <v/>
      </c>
      <c r="BN389" s="25" t="str">
        <f>IF('1. Live'!BR407='check-Jul''26'!BN407,"",'1. Live'!BR407-'check-Jul''26'!BN407)</f>
        <v/>
      </c>
      <c r="BO389" s="25" t="str">
        <f>IF('1. Live'!BS407='check-Jul''26'!BO407,"",'1. Live'!BS407-'check-Jul''26'!BO407)</f>
        <v/>
      </c>
      <c r="BP389" s="25" t="str">
        <f>IF('1. Live'!BT407='check-Jul''26'!BP407,"",'1. Live'!BT407-'check-Jul''26'!BP407)</f>
        <v/>
      </c>
      <c r="BQ389" s="25" t="str">
        <f>IF('1. Live'!BU407='check-Jul''26'!BQ407,"",'1. Live'!BU407-'check-Jul''26'!BQ407)</f>
        <v/>
      </c>
      <c r="BR389" s="25" t="str">
        <f>IF('1. Live'!BV407='check-Jul''26'!BR407,"",'1. Live'!BV407-'check-Jul''26'!BR407)</f>
        <v/>
      </c>
      <c r="BS389" s="25" t="str">
        <f>IF('1. Live'!BW407='check-Jul''26'!BS407,"",'1. Live'!BW407-'check-Jul''26'!BS407)</f>
        <v/>
      </c>
      <c r="BT389" s="25" t="str">
        <f>IF('1. Live'!BX407='check-Jul''26'!BT407,"",'1. Live'!BX407-'check-Jul''26'!BT407)</f>
        <v/>
      </c>
      <c r="BU389" s="25" t="str">
        <f>IF('1. Live'!BY407='check-Jul''26'!BU407,"",'1. Live'!BY407-'check-Jul''26'!BU407)</f>
        <v/>
      </c>
      <c r="BV389" s="25" t="str">
        <f>IF('1. Live'!BZ407='check-Jul''26'!BV407,"",'1. Live'!BZ407-'check-Jul''26'!BV407)</f>
        <v/>
      </c>
      <c r="BW389" s="25" t="str">
        <f>IF('1. Live'!CA407='check-Jul''26'!BW407,"",'1. Live'!CA407-'check-Jul''26'!BW407)</f>
        <v/>
      </c>
      <c r="BX389" s="25" t="str">
        <f>IF('1. Live'!CB407='check-Jul''26'!BX407,"",'1. Live'!CB407-'check-Jul''26'!BX407)</f>
        <v/>
      </c>
      <c r="BY389" s="25" t="str">
        <f>IF('1. Live'!CC407='check-Jul''26'!BY407,"",'1. Live'!CC407-'check-Jul''26'!BY407)</f>
        <v/>
      </c>
      <c r="BZ389" s="25" t="str">
        <f>IF('1. Live'!CD407='check-Jul''26'!BZ407,"",'1. Live'!CD407-'check-Jul''26'!BZ407)</f>
        <v/>
      </c>
      <c r="CA389" s="25" t="str">
        <f>IF('1. Live'!CE407='check-Jul''26'!CA407,"",'1. Live'!CE407-'check-Jul''26'!CA407)</f>
        <v/>
      </c>
      <c r="CB389" s="25" t="str">
        <f>IF('1. Live'!CF407='check-Jul''26'!CB407,"",'1. Live'!CF407-'check-Jul''26'!CB407)</f>
        <v/>
      </c>
      <c r="CC389" s="25" t="str">
        <f>IF('1. Live'!CG407='check-Jul''26'!CC407,"",'1. Live'!CG407-'check-Jul''26'!CC407)</f>
        <v/>
      </c>
      <c r="CD389" s="25" t="str">
        <f>IF('1. Live'!CH407='check-Jul''26'!CD407,"",'1. Live'!CH407-'check-Jul''26'!CD407)</f>
        <v/>
      </c>
      <c r="CE389" s="25" t="str">
        <f>IF('1. Live'!CI407='check-Jul''26'!CE407,"",'1. Live'!CI407-'check-Jul''26'!CE407)</f>
        <v/>
      </c>
      <c r="CF389" s="25" t="str">
        <f>IF('1. Live'!CJ407='check-Jul''26'!CF407,"",'1. Live'!CJ407-'check-Jul''26'!CF407)</f>
        <v/>
      </c>
      <c r="CG389" s="25" t="str">
        <f>IF('1. Live'!CK407='check-Jul''26'!CG407,"",'1. Live'!CK407-'check-Jul''26'!CG407)</f>
        <v/>
      </c>
      <c r="CH389" s="25" t="str">
        <f>IF('1. Live'!CL407='check-Jul''26'!CH407,"",'1. Live'!CL407-'check-Jul''26'!CH407)</f>
        <v/>
      </c>
      <c r="CI389" s="25" t="str">
        <f>IF('1. Live'!CM407='check-Jul''26'!CI407,"",'1. Live'!CM407-'check-Jul''26'!CI407)</f>
        <v/>
      </c>
      <c r="CJ389" s="25" t="str">
        <f>IF('1. Live'!CN407='check-Jul''26'!CJ407,"",'1. Live'!CN407-'check-Jul''26'!CJ407)</f>
        <v/>
      </c>
      <c r="CK389" s="25" t="str">
        <f>IF('1. Live'!CO407='check-Jul''26'!CK407,"",'1. Live'!CO407-'check-Jul''26'!CK407)</f>
        <v/>
      </c>
      <c r="CL389" s="25" t="str">
        <f>IF('1. Live'!CP407='check-Jul''26'!CL407,"",'1. Live'!CP407-'check-Jul''26'!CL407)</f>
        <v/>
      </c>
      <c r="CM389" s="25" t="str">
        <f>IF('1. Live'!CQ407='check-Jul''26'!CM407,"",'1. Live'!CQ407-'check-Jul''26'!CM407)</f>
        <v/>
      </c>
      <c r="CN389" s="25" t="str">
        <f>IF('1. Live'!CR407='check-Jul''26'!CN407,"",'1. Live'!CR407-'check-Jul''26'!CN407)</f>
        <v/>
      </c>
      <c r="CO389" s="25" t="str">
        <f>IF('1. Live'!CS407='check-Jul''26'!CO407,"",'1. Live'!CS407-'check-Jul''26'!CO407)</f>
        <v/>
      </c>
      <c r="CP389" s="25" t="str">
        <f>IF('1. Live'!CT407='check-Jul''26'!CP407,"",'1. Live'!CT407-'check-Jul''26'!CP407)</f>
        <v/>
      </c>
      <c r="CQ389" s="25" t="str">
        <f>IF('1. Live'!CU407='check-Jul''26'!CQ407,"",'1. Live'!CU407-'check-Jul''26'!CQ407)</f>
        <v/>
      </c>
      <c r="CR389" s="25" t="str">
        <f>IF('1. Live'!CV407='check-Jul''26'!CR407,"",'1. Live'!CV407-'check-Jul''26'!CR407)</f>
        <v/>
      </c>
      <c r="CS389" s="25" t="str">
        <f>IF('1. Live'!CW407='check-Jul''26'!CS407,"",'1. Live'!CW407-'check-Jul''26'!CS407)</f>
        <v/>
      </c>
      <c r="CT389" s="25" t="str">
        <f>IF('1. Live'!CX407='check-Jul''26'!CT407,"",'1. Live'!CX407-'check-Jul''26'!CT407)</f>
        <v/>
      </c>
      <c r="CU389" s="25" t="str">
        <f>IF('1. Live'!CY407='check-Jul''26'!CU407,"",'1. Live'!CY407-'check-Jul''26'!CU407)</f>
        <v/>
      </c>
      <c r="CV389" s="25" t="str">
        <f>IF('1. Live'!CZ407='check-Jul''26'!CV407,"",'1. Live'!CZ407-'check-Jul''26'!CV407)</f>
        <v/>
      </c>
    </row>
    <row r="390" spans="17:100" x14ac:dyDescent="0.25">
      <c r="Q390" s="26" t="str">
        <f>IF('1. Live'!N408='check-Jul''26'!I408,"",'1. Live'!N408-'check-Jul''26'!I408)</f>
        <v/>
      </c>
      <c r="R390" s="26" t="str">
        <f>IF('1. Live'!O408='check-Jul''26'!J408,"",'1. Live'!O408-'check-Jul''26'!J408)</f>
        <v/>
      </c>
      <c r="S390" s="26" t="str">
        <f>IF('1. Live'!P408='check-Jul''26'!K408,"",'1. Live'!P408-'check-Jul''26'!K408)</f>
        <v/>
      </c>
      <c r="T390" s="26" t="str">
        <f>IF('1. Live'!Q408='check-Jul''26'!L408,"",'1. Live'!Q408-'check-Jul''26'!L408)</f>
        <v/>
      </c>
      <c r="U390" s="80" t="str">
        <f>IF('1. Live'!R408='check-Jul''26'!M408,"",'1. Live'!R408-'check-Jul''26'!M408)</f>
        <v/>
      </c>
      <c r="V390" s="26" t="str">
        <f>IF('1. Live'!S408='check-Jul''26'!N408,"",'1. Live'!S408-'check-Jul''26'!N408)</f>
        <v/>
      </c>
      <c r="W390" s="25" t="str">
        <f>IF('1. Live'!T408='check-Jul''26'!O408,"",'1. Live'!T408-'check-Jul''26'!O408)</f>
        <v/>
      </c>
      <c r="X390" s="25" t="str">
        <f>IF('1. Live'!U408='check-Jul''26'!Q408,"",'1. Live'!U408-'check-Jul''26'!Q408)</f>
        <v/>
      </c>
      <c r="Y390" s="25" t="str">
        <f>IF('1. Live'!V408='check-Jul''26'!R408,"",'1. Live'!V408-'check-Jul''26'!R408)</f>
        <v/>
      </c>
      <c r="Z390" s="25" t="str">
        <f>IF('1. Live'!W408='check-Jul''26'!S408,"",'1. Live'!W408-'check-Jul''26'!S408)</f>
        <v/>
      </c>
      <c r="AA390" s="25" t="str">
        <f>IF('1. Live'!X408='check-Jul''26'!T408,"",'1. Live'!X408-'check-Jul''26'!T408)</f>
        <v/>
      </c>
      <c r="AB390" s="25" t="str">
        <f>IF('1. Live'!AF408='check-Jul''26'!AB408,"",'1. Live'!AF408-'check-Jul''26'!AB408)</f>
        <v/>
      </c>
      <c r="AC390" s="25" t="str">
        <f>IF('1. Live'!AG408='check-Jul''26'!AC408,"",'1. Live'!AG408-'check-Jul''26'!AC408)</f>
        <v/>
      </c>
      <c r="AD390" s="25" t="str">
        <f>IF('1. Live'!AH408='check-Jul''26'!AD408,"",'1. Live'!AH408-'check-Jul''26'!AD408)</f>
        <v/>
      </c>
      <c r="AE390" s="25" t="str">
        <f>IF('1. Live'!AI408='check-Jul''26'!AE408,"",'1. Live'!AI408-'check-Jul''26'!AE408)</f>
        <v/>
      </c>
      <c r="AF390" s="25" t="str">
        <f>IF('1. Live'!AJ408='check-Jul''26'!AF408,"",'1. Live'!AJ408-'check-Jul''26'!AF408)</f>
        <v/>
      </c>
      <c r="AG390" s="25" t="str">
        <f>IF('1. Live'!AK408='check-Jul''26'!AG408,"",'1. Live'!AK408-'check-Jul''26'!AG408)</f>
        <v/>
      </c>
      <c r="AH390" s="25" t="str">
        <f>IF('1. Live'!AL408='check-Jul''26'!AH408,"",'1. Live'!AL408-'check-Jul''26'!AH408)</f>
        <v/>
      </c>
      <c r="AI390" s="25" t="str">
        <f>IF('1. Live'!AM408='check-Jul''26'!AI408,"",'1. Live'!AM408-'check-Jul''26'!AI408)</f>
        <v/>
      </c>
      <c r="AJ390" s="25" t="str">
        <f>IF('1. Live'!AN408='check-Jul''26'!AJ408,"",'1. Live'!AN408-'check-Jul''26'!AJ408)</f>
        <v/>
      </c>
      <c r="AK390" s="25" t="str">
        <f>IF('1. Live'!AO408='check-Jul''26'!AK408,"",'1. Live'!AO408-'check-Jul''26'!AK408)</f>
        <v/>
      </c>
      <c r="AL390" s="25" t="str">
        <f>IF('1. Live'!AP408='check-Jul''26'!AL408,"",'1. Live'!AP408-'check-Jul''26'!AL408)</f>
        <v/>
      </c>
      <c r="AM390" s="25" t="str">
        <f>IF('1. Live'!AQ408='check-Jul''26'!AM408,"",'1. Live'!AQ408-'check-Jul''26'!AM408)</f>
        <v/>
      </c>
      <c r="AN390" s="25" t="str">
        <f>IF('1. Live'!AR408='check-Jul''26'!AN408,"",'1. Live'!AR408-'check-Jul''26'!AN408)</f>
        <v/>
      </c>
      <c r="AO390" s="25" t="str">
        <f>IF('1. Live'!AS408='check-Jul''26'!AO408,"",'1. Live'!AS408-'check-Jul''26'!AO408)</f>
        <v/>
      </c>
      <c r="AP390" s="25" t="str">
        <f>IF('1. Live'!AT408='check-Jul''26'!AP408,"",'1. Live'!AT408-'check-Jul''26'!AP408)</f>
        <v/>
      </c>
      <c r="AQ390" s="25" t="str">
        <f>IF('1. Live'!AU408='check-Jul''26'!AQ408,"",'1. Live'!AU408-'check-Jul''26'!AQ408)</f>
        <v/>
      </c>
      <c r="AR390" s="25" t="str">
        <f>IF('1. Live'!AV408='check-Jul''26'!AR408,"",'1. Live'!AV408-'check-Jul''26'!AR408)</f>
        <v/>
      </c>
      <c r="AS390" s="25" t="str">
        <f>IF('1. Live'!AW408='check-Jul''26'!AS408,"",'1. Live'!AW408-'check-Jul''26'!AS408)</f>
        <v/>
      </c>
      <c r="AT390" s="25" t="str">
        <f>IF('1. Live'!AX408='check-Jul''26'!AT408,"",'1. Live'!AX408-'check-Jul''26'!AT408)</f>
        <v/>
      </c>
      <c r="AU390" s="25" t="str">
        <f>IF('1. Live'!AY408='check-Jul''26'!AU408,"",'1. Live'!AY408-'check-Jul''26'!AU408)</f>
        <v/>
      </c>
      <c r="AV390" s="25" t="str">
        <f>IF('1. Live'!AZ408='check-Jul''26'!AV408,"",'1. Live'!AZ408-'check-Jul''26'!AV408)</f>
        <v/>
      </c>
      <c r="AW390" s="25" t="str">
        <f>IF('1. Live'!BA408='check-Jul''26'!AW408,"",'1. Live'!BA408-'check-Jul''26'!AW408)</f>
        <v/>
      </c>
      <c r="AX390" s="25" t="str">
        <f>IF('1. Live'!BB408='check-Jul''26'!AX408,"",'1. Live'!BB408-'check-Jul''26'!AX408)</f>
        <v/>
      </c>
      <c r="AY390" s="25" t="str">
        <f>IF('1. Live'!BC408='check-Jul''26'!AY408,"",'1. Live'!BC408-'check-Jul''26'!AY408)</f>
        <v/>
      </c>
      <c r="AZ390" s="25" t="str">
        <f>IF('1. Live'!BD408='check-Jul''26'!AZ408,"",'1. Live'!BD408-'check-Jul''26'!AZ408)</f>
        <v/>
      </c>
      <c r="BA390" s="25" t="str">
        <f>IF('1. Live'!BE408='check-Jul''26'!BA408,"",'1. Live'!BE408-'check-Jul''26'!BA408)</f>
        <v/>
      </c>
      <c r="BB390" s="25" t="str">
        <f>IF('1. Live'!BF408='check-Jul''26'!BB408,"",'1. Live'!BF408-'check-Jul''26'!BB408)</f>
        <v/>
      </c>
      <c r="BC390" s="25" t="str">
        <f>IF('1. Live'!BG408='check-Jul''26'!BC408,"",'1. Live'!BG408-'check-Jul''26'!BC408)</f>
        <v/>
      </c>
      <c r="BD390" s="25" t="str">
        <f>IF('1. Live'!BH408='check-Jul''26'!BD408,"",'1. Live'!BH408-'check-Jul''26'!BD408)</f>
        <v/>
      </c>
      <c r="BE390" s="25" t="str">
        <f>IF('1. Live'!BI408='check-Jul''26'!BE408,"",'1. Live'!BI408-'check-Jul''26'!BE408)</f>
        <v/>
      </c>
      <c r="BF390" s="25" t="str">
        <f>IF('1. Live'!BJ408='check-Jul''26'!BF408,"",'1. Live'!BJ408-'check-Jul''26'!BF408)</f>
        <v/>
      </c>
      <c r="BG390" s="25" t="str">
        <f>IF('1. Live'!BK408='check-Jul''26'!BG408,"",'1. Live'!BK408-'check-Jul''26'!BG408)</f>
        <v/>
      </c>
      <c r="BH390" s="25" t="str">
        <f>IF('1. Live'!BL408='check-Jul''26'!BH408,"",'1. Live'!BL408-'check-Jul''26'!BH408)</f>
        <v/>
      </c>
      <c r="BI390" s="25" t="str">
        <f>IF('1. Live'!BM408='check-Jul''26'!BI408,"",'1. Live'!BM408-'check-Jul''26'!BI408)</f>
        <v/>
      </c>
      <c r="BJ390" s="25" t="str">
        <f>IF('1. Live'!BN408='check-Jul''26'!BJ408,"",'1. Live'!BN408-'check-Jul''26'!BJ408)</f>
        <v/>
      </c>
      <c r="BK390" s="25" t="str">
        <f>IF('1. Live'!BO408='check-Jul''26'!BK408,"",'1. Live'!BO408-'check-Jul''26'!BK408)</f>
        <v/>
      </c>
      <c r="BL390" s="25" t="str">
        <f>IF('1. Live'!BP408='check-Jul''26'!BL408,"",'1. Live'!BP408-'check-Jul''26'!BL408)</f>
        <v/>
      </c>
      <c r="BM390" s="25" t="str">
        <f>IF('1. Live'!BQ408='check-Jul''26'!BM408,"",'1. Live'!BQ408-'check-Jul''26'!BM408)</f>
        <v/>
      </c>
      <c r="BN390" s="25" t="str">
        <f>IF('1. Live'!BR408='check-Jul''26'!BN408,"",'1. Live'!BR408-'check-Jul''26'!BN408)</f>
        <v/>
      </c>
      <c r="BO390" s="25" t="str">
        <f>IF('1. Live'!BS408='check-Jul''26'!BO408,"",'1. Live'!BS408-'check-Jul''26'!BO408)</f>
        <v/>
      </c>
      <c r="BP390" s="25" t="str">
        <f>IF('1. Live'!BT408='check-Jul''26'!BP408,"",'1. Live'!BT408-'check-Jul''26'!BP408)</f>
        <v/>
      </c>
      <c r="BQ390" s="25" t="str">
        <f>IF('1. Live'!BU408='check-Jul''26'!BQ408,"",'1. Live'!BU408-'check-Jul''26'!BQ408)</f>
        <v/>
      </c>
      <c r="BR390" s="25" t="str">
        <f>IF('1. Live'!BV408='check-Jul''26'!BR408,"",'1. Live'!BV408-'check-Jul''26'!BR408)</f>
        <v/>
      </c>
      <c r="BS390" s="25" t="str">
        <f>IF('1. Live'!BW408='check-Jul''26'!BS408,"",'1. Live'!BW408-'check-Jul''26'!BS408)</f>
        <v/>
      </c>
      <c r="BT390" s="25" t="str">
        <f>IF('1. Live'!BX408='check-Jul''26'!BT408,"",'1. Live'!BX408-'check-Jul''26'!BT408)</f>
        <v/>
      </c>
      <c r="BU390" s="25" t="str">
        <f>IF('1. Live'!BY408='check-Jul''26'!BU408,"",'1. Live'!BY408-'check-Jul''26'!BU408)</f>
        <v/>
      </c>
      <c r="BV390" s="25" t="str">
        <f>IF('1. Live'!BZ408='check-Jul''26'!BV408,"",'1. Live'!BZ408-'check-Jul''26'!BV408)</f>
        <v/>
      </c>
      <c r="BW390" s="25" t="str">
        <f>IF('1. Live'!CA408='check-Jul''26'!BW408,"",'1. Live'!CA408-'check-Jul''26'!BW408)</f>
        <v/>
      </c>
      <c r="BX390" s="25" t="str">
        <f>IF('1. Live'!CB408='check-Jul''26'!BX408,"",'1. Live'!CB408-'check-Jul''26'!BX408)</f>
        <v/>
      </c>
      <c r="BY390" s="25" t="str">
        <f>IF('1. Live'!CC408='check-Jul''26'!BY408,"",'1. Live'!CC408-'check-Jul''26'!BY408)</f>
        <v/>
      </c>
      <c r="BZ390" s="25" t="str">
        <f>IF('1. Live'!CD408='check-Jul''26'!BZ408,"",'1. Live'!CD408-'check-Jul''26'!BZ408)</f>
        <v/>
      </c>
      <c r="CA390" s="25" t="str">
        <f>IF('1. Live'!CE408='check-Jul''26'!CA408,"",'1. Live'!CE408-'check-Jul''26'!CA408)</f>
        <v/>
      </c>
      <c r="CB390" s="25" t="str">
        <f>IF('1. Live'!CF408='check-Jul''26'!CB408,"",'1. Live'!CF408-'check-Jul''26'!CB408)</f>
        <v/>
      </c>
      <c r="CC390" s="25" t="str">
        <f>IF('1. Live'!CG408='check-Jul''26'!CC408,"",'1. Live'!CG408-'check-Jul''26'!CC408)</f>
        <v/>
      </c>
      <c r="CD390" s="25" t="str">
        <f>IF('1. Live'!CH408='check-Jul''26'!CD408,"",'1. Live'!CH408-'check-Jul''26'!CD408)</f>
        <v/>
      </c>
      <c r="CE390" s="25" t="str">
        <f>IF('1. Live'!CI408='check-Jul''26'!CE408,"",'1. Live'!CI408-'check-Jul''26'!CE408)</f>
        <v/>
      </c>
      <c r="CF390" s="25" t="str">
        <f>IF('1. Live'!CJ408='check-Jul''26'!CF408,"",'1. Live'!CJ408-'check-Jul''26'!CF408)</f>
        <v/>
      </c>
      <c r="CG390" s="25" t="str">
        <f>IF('1. Live'!CK408='check-Jul''26'!CG408,"",'1. Live'!CK408-'check-Jul''26'!CG408)</f>
        <v/>
      </c>
      <c r="CH390" s="25" t="str">
        <f>IF('1. Live'!CL408='check-Jul''26'!CH408,"",'1. Live'!CL408-'check-Jul''26'!CH408)</f>
        <v/>
      </c>
      <c r="CI390" s="25" t="str">
        <f>IF('1. Live'!CM408='check-Jul''26'!CI408,"",'1. Live'!CM408-'check-Jul''26'!CI408)</f>
        <v/>
      </c>
      <c r="CJ390" s="25" t="str">
        <f>IF('1. Live'!CN408='check-Jul''26'!CJ408,"",'1. Live'!CN408-'check-Jul''26'!CJ408)</f>
        <v/>
      </c>
      <c r="CK390" s="25" t="str">
        <f>IF('1. Live'!CO408='check-Jul''26'!CK408,"",'1. Live'!CO408-'check-Jul''26'!CK408)</f>
        <v/>
      </c>
      <c r="CL390" s="25" t="str">
        <f>IF('1. Live'!CP408='check-Jul''26'!CL408,"",'1. Live'!CP408-'check-Jul''26'!CL408)</f>
        <v/>
      </c>
      <c r="CM390" s="25" t="str">
        <f>IF('1. Live'!CQ408='check-Jul''26'!CM408,"",'1. Live'!CQ408-'check-Jul''26'!CM408)</f>
        <v/>
      </c>
      <c r="CN390" s="25" t="str">
        <f>IF('1. Live'!CR408='check-Jul''26'!CN408,"",'1. Live'!CR408-'check-Jul''26'!CN408)</f>
        <v/>
      </c>
      <c r="CO390" s="25" t="str">
        <f>IF('1. Live'!CS408='check-Jul''26'!CO408,"",'1. Live'!CS408-'check-Jul''26'!CO408)</f>
        <v/>
      </c>
      <c r="CP390" s="25" t="str">
        <f>IF('1. Live'!CT408='check-Jul''26'!CP408,"",'1. Live'!CT408-'check-Jul''26'!CP408)</f>
        <v/>
      </c>
      <c r="CQ390" s="25" t="str">
        <f>IF('1. Live'!CU408='check-Jul''26'!CQ408,"",'1. Live'!CU408-'check-Jul''26'!CQ408)</f>
        <v/>
      </c>
      <c r="CR390" s="25" t="str">
        <f>IF('1. Live'!CV408='check-Jul''26'!CR408,"",'1. Live'!CV408-'check-Jul''26'!CR408)</f>
        <v/>
      </c>
      <c r="CS390" s="25" t="str">
        <f>IF('1. Live'!CW408='check-Jul''26'!CS408,"",'1. Live'!CW408-'check-Jul''26'!CS408)</f>
        <v/>
      </c>
      <c r="CT390" s="25" t="str">
        <f>IF('1. Live'!CX408='check-Jul''26'!CT408,"",'1. Live'!CX408-'check-Jul''26'!CT408)</f>
        <v/>
      </c>
      <c r="CU390" s="25" t="str">
        <f>IF('1. Live'!CY408='check-Jul''26'!CU408,"",'1. Live'!CY408-'check-Jul''26'!CU408)</f>
        <v/>
      </c>
      <c r="CV390" s="25" t="str">
        <f>IF('1. Live'!CZ408='check-Jul''26'!CV408,"",'1. Live'!CZ408-'check-Jul''26'!CV408)</f>
        <v/>
      </c>
    </row>
    <row r="391" spans="17:100" x14ac:dyDescent="0.25">
      <c r="Q391" s="26" t="str">
        <f>IF('1. Live'!N409='check-Jul''26'!I409,"",'1. Live'!N409-'check-Jul''26'!I409)</f>
        <v/>
      </c>
      <c r="R391" s="26" t="str">
        <f>IF('1. Live'!O409='check-Jul''26'!J409,"",'1. Live'!O409-'check-Jul''26'!J409)</f>
        <v/>
      </c>
      <c r="S391" s="26" t="str">
        <f>IF('1. Live'!P409='check-Jul''26'!K409,"",'1. Live'!P409-'check-Jul''26'!K409)</f>
        <v/>
      </c>
      <c r="T391" s="26" t="str">
        <f>IF('1. Live'!Q409='check-Jul''26'!L409,"",'1. Live'!Q409-'check-Jul''26'!L409)</f>
        <v/>
      </c>
      <c r="U391" s="80" t="str">
        <f>IF('1. Live'!R409='check-Jul''26'!M409,"",'1. Live'!R409-'check-Jul''26'!M409)</f>
        <v/>
      </c>
      <c r="V391" s="26" t="str">
        <f>IF('1. Live'!S409='check-Jul''26'!N409,"",'1. Live'!S409-'check-Jul''26'!N409)</f>
        <v/>
      </c>
      <c r="W391" s="25" t="str">
        <f>IF('1. Live'!T409='check-Jul''26'!O409,"",'1. Live'!T409-'check-Jul''26'!O409)</f>
        <v/>
      </c>
      <c r="X391" s="25" t="str">
        <f>IF('1. Live'!U409='check-Jul''26'!Q409,"",'1. Live'!U409-'check-Jul''26'!Q409)</f>
        <v/>
      </c>
      <c r="Y391" s="25" t="str">
        <f>IF('1. Live'!V409='check-Jul''26'!R409,"",'1. Live'!V409-'check-Jul''26'!R409)</f>
        <v/>
      </c>
      <c r="Z391" s="25" t="str">
        <f>IF('1. Live'!W409='check-Jul''26'!S409,"",'1. Live'!W409-'check-Jul''26'!S409)</f>
        <v/>
      </c>
      <c r="AA391" s="25" t="str">
        <f>IF('1. Live'!X409='check-Jul''26'!T409,"",'1. Live'!X409-'check-Jul''26'!T409)</f>
        <v/>
      </c>
      <c r="AB391" s="25" t="str">
        <f>IF('1. Live'!AF409='check-Jul''26'!AB409,"",'1. Live'!AF409-'check-Jul''26'!AB409)</f>
        <v/>
      </c>
      <c r="AC391" s="25" t="str">
        <f>IF('1. Live'!AG409='check-Jul''26'!AC409,"",'1. Live'!AG409-'check-Jul''26'!AC409)</f>
        <v/>
      </c>
      <c r="AD391" s="25" t="str">
        <f>IF('1. Live'!AH409='check-Jul''26'!AD409,"",'1. Live'!AH409-'check-Jul''26'!AD409)</f>
        <v/>
      </c>
      <c r="AE391" s="25" t="str">
        <f>IF('1. Live'!AI409='check-Jul''26'!AE409,"",'1. Live'!AI409-'check-Jul''26'!AE409)</f>
        <v/>
      </c>
      <c r="AF391" s="25" t="str">
        <f>IF('1. Live'!AJ409='check-Jul''26'!AF409,"",'1. Live'!AJ409-'check-Jul''26'!AF409)</f>
        <v/>
      </c>
      <c r="AG391" s="25" t="str">
        <f>IF('1. Live'!AK409='check-Jul''26'!AG409,"",'1. Live'!AK409-'check-Jul''26'!AG409)</f>
        <v/>
      </c>
      <c r="AH391" s="25" t="str">
        <f>IF('1. Live'!AL409='check-Jul''26'!AH409,"",'1. Live'!AL409-'check-Jul''26'!AH409)</f>
        <v/>
      </c>
      <c r="AI391" s="25" t="str">
        <f>IF('1. Live'!AM409='check-Jul''26'!AI409,"",'1. Live'!AM409-'check-Jul''26'!AI409)</f>
        <v/>
      </c>
      <c r="AJ391" s="25" t="str">
        <f>IF('1. Live'!AN409='check-Jul''26'!AJ409,"",'1. Live'!AN409-'check-Jul''26'!AJ409)</f>
        <v/>
      </c>
      <c r="AK391" s="25" t="str">
        <f>IF('1. Live'!AO409='check-Jul''26'!AK409,"",'1. Live'!AO409-'check-Jul''26'!AK409)</f>
        <v/>
      </c>
      <c r="AL391" s="25" t="str">
        <f>IF('1. Live'!AP409='check-Jul''26'!AL409,"",'1. Live'!AP409-'check-Jul''26'!AL409)</f>
        <v/>
      </c>
      <c r="AM391" s="25" t="str">
        <f>IF('1. Live'!AQ409='check-Jul''26'!AM409,"",'1. Live'!AQ409-'check-Jul''26'!AM409)</f>
        <v/>
      </c>
      <c r="AN391" s="25" t="str">
        <f>IF('1. Live'!AR409='check-Jul''26'!AN409,"",'1. Live'!AR409-'check-Jul''26'!AN409)</f>
        <v/>
      </c>
      <c r="AO391" s="25" t="str">
        <f>IF('1. Live'!AS409='check-Jul''26'!AO409,"",'1. Live'!AS409-'check-Jul''26'!AO409)</f>
        <v/>
      </c>
      <c r="AP391" s="25" t="str">
        <f>IF('1. Live'!AT409='check-Jul''26'!AP409,"",'1. Live'!AT409-'check-Jul''26'!AP409)</f>
        <v/>
      </c>
      <c r="AQ391" s="25" t="str">
        <f>IF('1. Live'!AU409='check-Jul''26'!AQ409,"",'1. Live'!AU409-'check-Jul''26'!AQ409)</f>
        <v/>
      </c>
      <c r="AR391" s="25" t="str">
        <f>IF('1. Live'!AV409='check-Jul''26'!AR409,"",'1. Live'!AV409-'check-Jul''26'!AR409)</f>
        <v/>
      </c>
      <c r="AS391" s="25" t="str">
        <f>IF('1. Live'!AW409='check-Jul''26'!AS409,"",'1. Live'!AW409-'check-Jul''26'!AS409)</f>
        <v/>
      </c>
      <c r="AT391" s="25" t="str">
        <f>IF('1. Live'!AX409='check-Jul''26'!AT409,"",'1. Live'!AX409-'check-Jul''26'!AT409)</f>
        <v/>
      </c>
      <c r="AU391" s="25" t="str">
        <f>IF('1. Live'!AY409='check-Jul''26'!AU409,"",'1. Live'!AY409-'check-Jul''26'!AU409)</f>
        <v/>
      </c>
      <c r="AV391" s="25" t="str">
        <f>IF('1. Live'!AZ409='check-Jul''26'!AV409,"",'1. Live'!AZ409-'check-Jul''26'!AV409)</f>
        <v/>
      </c>
      <c r="AW391" s="25" t="str">
        <f>IF('1. Live'!BA409='check-Jul''26'!AW409,"",'1. Live'!BA409-'check-Jul''26'!AW409)</f>
        <v/>
      </c>
      <c r="AX391" s="25" t="str">
        <f>IF('1. Live'!BB409='check-Jul''26'!AX409,"",'1. Live'!BB409-'check-Jul''26'!AX409)</f>
        <v/>
      </c>
      <c r="AY391" s="25" t="str">
        <f>IF('1. Live'!BC409='check-Jul''26'!AY409,"",'1. Live'!BC409-'check-Jul''26'!AY409)</f>
        <v/>
      </c>
      <c r="AZ391" s="25" t="str">
        <f>IF('1. Live'!BD409='check-Jul''26'!AZ409,"",'1. Live'!BD409-'check-Jul''26'!AZ409)</f>
        <v/>
      </c>
      <c r="BA391" s="25" t="str">
        <f>IF('1. Live'!BE409='check-Jul''26'!BA409,"",'1. Live'!BE409-'check-Jul''26'!BA409)</f>
        <v/>
      </c>
      <c r="BB391" s="25" t="str">
        <f>IF('1. Live'!BF409='check-Jul''26'!BB409,"",'1. Live'!BF409-'check-Jul''26'!BB409)</f>
        <v/>
      </c>
      <c r="BC391" s="25" t="str">
        <f>IF('1. Live'!BG409='check-Jul''26'!BC409,"",'1. Live'!BG409-'check-Jul''26'!BC409)</f>
        <v/>
      </c>
      <c r="BD391" s="25" t="str">
        <f>IF('1. Live'!BH409='check-Jul''26'!BD409,"",'1. Live'!BH409-'check-Jul''26'!BD409)</f>
        <v/>
      </c>
      <c r="BE391" s="25" t="str">
        <f>IF('1. Live'!BI409='check-Jul''26'!BE409,"",'1. Live'!BI409-'check-Jul''26'!BE409)</f>
        <v/>
      </c>
      <c r="BF391" s="25" t="str">
        <f>IF('1. Live'!BJ409='check-Jul''26'!BF409,"",'1. Live'!BJ409-'check-Jul''26'!BF409)</f>
        <v/>
      </c>
      <c r="BG391" s="25" t="str">
        <f>IF('1. Live'!BK409='check-Jul''26'!BG409,"",'1. Live'!BK409-'check-Jul''26'!BG409)</f>
        <v/>
      </c>
      <c r="BH391" s="25" t="str">
        <f>IF('1. Live'!BL409='check-Jul''26'!BH409,"",'1. Live'!BL409-'check-Jul''26'!BH409)</f>
        <v/>
      </c>
      <c r="BI391" s="25" t="str">
        <f>IF('1. Live'!BM409='check-Jul''26'!BI409,"",'1. Live'!BM409-'check-Jul''26'!BI409)</f>
        <v/>
      </c>
      <c r="BJ391" s="25" t="str">
        <f>IF('1. Live'!BN409='check-Jul''26'!BJ409,"",'1. Live'!BN409-'check-Jul''26'!BJ409)</f>
        <v/>
      </c>
      <c r="BK391" s="25" t="str">
        <f>IF('1. Live'!BO409='check-Jul''26'!BK409,"",'1. Live'!BO409-'check-Jul''26'!BK409)</f>
        <v/>
      </c>
      <c r="BL391" s="25" t="str">
        <f>IF('1. Live'!BP409='check-Jul''26'!BL409,"",'1. Live'!BP409-'check-Jul''26'!BL409)</f>
        <v/>
      </c>
      <c r="BM391" s="25" t="str">
        <f>IF('1. Live'!BQ409='check-Jul''26'!BM409,"",'1. Live'!BQ409-'check-Jul''26'!BM409)</f>
        <v/>
      </c>
      <c r="BN391" s="25" t="str">
        <f>IF('1. Live'!BR409='check-Jul''26'!BN409,"",'1. Live'!BR409-'check-Jul''26'!BN409)</f>
        <v/>
      </c>
      <c r="BO391" s="25" t="str">
        <f>IF('1. Live'!BS409='check-Jul''26'!BO409,"",'1. Live'!BS409-'check-Jul''26'!BO409)</f>
        <v/>
      </c>
      <c r="BP391" s="25" t="str">
        <f>IF('1. Live'!BT409='check-Jul''26'!BP409,"",'1. Live'!BT409-'check-Jul''26'!BP409)</f>
        <v/>
      </c>
      <c r="BQ391" s="25" t="str">
        <f>IF('1. Live'!BU409='check-Jul''26'!BQ409,"",'1. Live'!BU409-'check-Jul''26'!BQ409)</f>
        <v/>
      </c>
      <c r="BR391" s="25" t="str">
        <f>IF('1. Live'!BV409='check-Jul''26'!BR409,"",'1. Live'!BV409-'check-Jul''26'!BR409)</f>
        <v/>
      </c>
      <c r="BS391" s="25" t="str">
        <f>IF('1. Live'!BW409='check-Jul''26'!BS409,"",'1. Live'!BW409-'check-Jul''26'!BS409)</f>
        <v/>
      </c>
      <c r="BT391" s="25" t="str">
        <f>IF('1. Live'!BX409='check-Jul''26'!BT409,"",'1. Live'!BX409-'check-Jul''26'!BT409)</f>
        <v/>
      </c>
      <c r="BU391" s="25" t="str">
        <f>IF('1. Live'!BY409='check-Jul''26'!BU409,"",'1. Live'!BY409-'check-Jul''26'!BU409)</f>
        <v/>
      </c>
      <c r="BV391" s="25" t="str">
        <f>IF('1. Live'!BZ409='check-Jul''26'!BV409,"",'1. Live'!BZ409-'check-Jul''26'!BV409)</f>
        <v/>
      </c>
      <c r="BW391" s="25" t="str">
        <f>IF('1. Live'!CA409='check-Jul''26'!BW409,"",'1. Live'!CA409-'check-Jul''26'!BW409)</f>
        <v/>
      </c>
      <c r="BX391" s="25" t="str">
        <f>IF('1. Live'!CB409='check-Jul''26'!BX409,"",'1. Live'!CB409-'check-Jul''26'!BX409)</f>
        <v/>
      </c>
      <c r="BY391" s="25" t="str">
        <f>IF('1. Live'!CC409='check-Jul''26'!BY409,"",'1. Live'!CC409-'check-Jul''26'!BY409)</f>
        <v/>
      </c>
      <c r="BZ391" s="25" t="str">
        <f>IF('1. Live'!CD409='check-Jul''26'!BZ409,"",'1. Live'!CD409-'check-Jul''26'!BZ409)</f>
        <v/>
      </c>
      <c r="CA391" s="25" t="str">
        <f>IF('1. Live'!CE409='check-Jul''26'!CA409,"",'1. Live'!CE409-'check-Jul''26'!CA409)</f>
        <v/>
      </c>
      <c r="CB391" s="25" t="str">
        <f>IF('1. Live'!CF409='check-Jul''26'!CB409,"",'1. Live'!CF409-'check-Jul''26'!CB409)</f>
        <v/>
      </c>
      <c r="CC391" s="25" t="str">
        <f>IF('1. Live'!CG409='check-Jul''26'!CC409,"",'1. Live'!CG409-'check-Jul''26'!CC409)</f>
        <v/>
      </c>
      <c r="CD391" s="25" t="str">
        <f>IF('1. Live'!CH409='check-Jul''26'!CD409,"",'1. Live'!CH409-'check-Jul''26'!CD409)</f>
        <v/>
      </c>
      <c r="CE391" s="25" t="str">
        <f>IF('1. Live'!CI409='check-Jul''26'!CE409,"",'1. Live'!CI409-'check-Jul''26'!CE409)</f>
        <v/>
      </c>
      <c r="CF391" s="25" t="str">
        <f>IF('1. Live'!CJ409='check-Jul''26'!CF409,"",'1. Live'!CJ409-'check-Jul''26'!CF409)</f>
        <v/>
      </c>
      <c r="CG391" s="25" t="str">
        <f>IF('1. Live'!CK409='check-Jul''26'!CG409,"",'1. Live'!CK409-'check-Jul''26'!CG409)</f>
        <v/>
      </c>
      <c r="CH391" s="25" t="str">
        <f>IF('1. Live'!CL409='check-Jul''26'!CH409,"",'1. Live'!CL409-'check-Jul''26'!CH409)</f>
        <v/>
      </c>
      <c r="CI391" s="25" t="str">
        <f>IF('1. Live'!CM409='check-Jul''26'!CI409,"",'1. Live'!CM409-'check-Jul''26'!CI409)</f>
        <v/>
      </c>
      <c r="CJ391" s="25" t="str">
        <f>IF('1. Live'!CN409='check-Jul''26'!CJ409,"",'1. Live'!CN409-'check-Jul''26'!CJ409)</f>
        <v/>
      </c>
      <c r="CK391" s="25" t="str">
        <f>IF('1. Live'!CO409='check-Jul''26'!CK409,"",'1. Live'!CO409-'check-Jul''26'!CK409)</f>
        <v/>
      </c>
      <c r="CL391" s="25" t="str">
        <f>IF('1. Live'!CP409='check-Jul''26'!CL409,"",'1. Live'!CP409-'check-Jul''26'!CL409)</f>
        <v/>
      </c>
      <c r="CM391" s="25" t="str">
        <f>IF('1. Live'!CQ409='check-Jul''26'!CM409,"",'1. Live'!CQ409-'check-Jul''26'!CM409)</f>
        <v/>
      </c>
      <c r="CN391" s="25" t="str">
        <f>IF('1. Live'!CR409='check-Jul''26'!CN409,"",'1. Live'!CR409-'check-Jul''26'!CN409)</f>
        <v/>
      </c>
      <c r="CO391" s="25" t="str">
        <f>IF('1. Live'!CS409='check-Jul''26'!CO409,"",'1. Live'!CS409-'check-Jul''26'!CO409)</f>
        <v/>
      </c>
      <c r="CP391" s="25" t="str">
        <f>IF('1. Live'!CT409='check-Jul''26'!CP409,"",'1. Live'!CT409-'check-Jul''26'!CP409)</f>
        <v/>
      </c>
      <c r="CQ391" s="25" t="str">
        <f>IF('1. Live'!CU409='check-Jul''26'!CQ409,"",'1. Live'!CU409-'check-Jul''26'!CQ409)</f>
        <v/>
      </c>
      <c r="CR391" s="25" t="str">
        <f>IF('1. Live'!CV409='check-Jul''26'!CR409,"",'1. Live'!CV409-'check-Jul''26'!CR409)</f>
        <v/>
      </c>
      <c r="CS391" s="25" t="str">
        <f>IF('1. Live'!CW409='check-Jul''26'!CS409,"",'1. Live'!CW409-'check-Jul''26'!CS409)</f>
        <v/>
      </c>
      <c r="CT391" s="25" t="str">
        <f>IF('1. Live'!CX409='check-Jul''26'!CT409,"",'1. Live'!CX409-'check-Jul''26'!CT409)</f>
        <v/>
      </c>
      <c r="CU391" s="25" t="str">
        <f>IF('1. Live'!CY409='check-Jul''26'!CU409,"",'1. Live'!CY409-'check-Jul''26'!CU409)</f>
        <v/>
      </c>
      <c r="CV391" s="25" t="str">
        <f>IF('1. Live'!CZ409='check-Jul''26'!CV409,"",'1. Live'!CZ409-'check-Jul''26'!CV409)</f>
        <v/>
      </c>
    </row>
    <row r="392" spans="17:100" x14ac:dyDescent="0.25">
      <c r="Q392" s="26" t="str">
        <f>IF('1. Live'!N410='check-Jul''26'!I410,"",'1. Live'!N410-'check-Jul''26'!I410)</f>
        <v/>
      </c>
      <c r="R392" s="26" t="str">
        <f>IF('1. Live'!O410='check-Jul''26'!J410,"",'1. Live'!O410-'check-Jul''26'!J410)</f>
        <v/>
      </c>
      <c r="S392" s="26" t="str">
        <f>IF('1. Live'!P410='check-Jul''26'!K410,"",'1. Live'!P410-'check-Jul''26'!K410)</f>
        <v/>
      </c>
      <c r="T392" s="26" t="str">
        <f>IF('1. Live'!Q410='check-Jul''26'!L410,"",'1. Live'!Q410-'check-Jul''26'!L410)</f>
        <v/>
      </c>
      <c r="U392" s="80" t="str">
        <f>IF('1. Live'!R410='check-Jul''26'!M410,"",'1. Live'!R410-'check-Jul''26'!M410)</f>
        <v/>
      </c>
      <c r="V392" s="26" t="str">
        <f>IF('1. Live'!S410='check-Jul''26'!N410,"",'1. Live'!S410-'check-Jul''26'!N410)</f>
        <v/>
      </c>
      <c r="W392" s="25" t="str">
        <f>IF('1. Live'!T410='check-Jul''26'!O410,"",'1. Live'!T410-'check-Jul''26'!O410)</f>
        <v/>
      </c>
      <c r="X392" s="25" t="str">
        <f>IF('1. Live'!U410='check-Jul''26'!Q410,"",'1. Live'!U410-'check-Jul''26'!Q410)</f>
        <v/>
      </c>
      <c r="Y392" s="25" t="str">
        <f>IF('1. Live'!V410='check-Jul''26'!R410,"",'1. Live'!V410-'check-Jul''26'!R410)</f>
        <v/>
      </c>
      <c r="Z392" s="25" t="str">
        <f>IF('1. Live'!W410='check-Jul''26'!S410,"",'1. Live'!W410-'check-Jul''26'!S410)</f>
        <v/>
      </c>
      <c r="AA392" s="25" t="str">
        <f>IF('1. Live'!X410='check-Jul''26'!T410,"",'1. Live'!X410-'check-Jul''26'!T410)</f>
        <v/>
      </c>
      <c r="AB392" s="25" t="str">
        <f>IF('1. Live'!AF410='check-Jul''26'!AB410,"",'1. Live'!AF410-'check-Jul''26'!AB410)</f>
        <v/>
      </c>
      <c r="AC392" s="25" t="str">
        <f>IF('1. Live'!AG410='check-Jul''26'!AC410,"",'1. Live'!AG410-'check-Jul''26'!AC410)</f>
        <v/>
      </c>
      <c r="AD392" s="25" t="str">
        <f>IF('1. Live'!AH410='check-Jul''26'!AD410,"",'1. Live'!AH410-'check-Jul''26'!AD410)</f>
        <v/>
      </c>
      <c r="AE392" s="25" t="str">
        <f>IF('1. Live'!AI410='check-Jul''26'!AE410,"",'1. Live'!AI410-'check-Jul''26'!AE410)</f>
        <v/>
      </c>
      <c r="AF392" s="25" t="str">
        <f>IF('1. Live'!AJ410='check-Jul''26'!AF410,"",'1. Live'!AJ410-'check-Jul''26'!AF410)</f>
        <v/>
      </c>
      <c r="AG392" s="25" t="str">
        <f>IF('1. Live'!AK410='check-Jul''26'!AG410,"",'1. Live'!AK410-'check-Jul''26'!AG410)</f>
        <v/>
      </c>
      <c r="AH392" s="25" t="str">
        <f>IF('1. Live'!AL410='check-Jul''26'!AH410,"",'1. Live'!AL410-'check-Jul''26'!AH410)</f>
        <v/>
      </c>
      <c r="AI392" s="25" t="str">
        <f>IF('1. Live'!AM410='check-Jul''26'!AI410,"",'1. Live'!AM410-'check-Jul''26'!AI410)</f>
        <v/>
      </c>
      <c r="AJ392" s="25" t="str">
        <f>IF('1. Live'!AN410='check-Jul''26'!AJ410,"",'1. Live'!AN410-'check-Jul''26'!AJ410)</f>
        <v/>
      </c>
      <c r="AK392" s="25" t="str">
        <f>IF('1. Live'!AO410='check-Jul''26'!AK410,"",'1. Live'!AO410-'check-Jul''26'!AK410)</f>
        <v/>
      </c>
      <c r="AL392" s="25" t="str">
        <f>IF('1. Live'!AP410='check-Jul''26'!AL410,"",'1. Live'!AP410-'check-Jul''26'!AL410)</f>
        <v/>
      </c>
      <c r="AM392" s="25" t="str">
        <f>IF('1. Live'!AQ410='check-Jul''26'!AM410,"",'1. Live'!AQ410-'check-Jul''26'!AM410)</f>
        <v/>
      </c>
      <c r="AN392" s="25" t="str">
        <f>IF('1. Live'!AR410='check-Jul''26'!AN410,"",'1. Live'!AR410-'check-Jul''26'!AN410)</f>
        <v/>
      </c>
      <c r="AO392" s="25" t="str">
        <f>IF('1. Live'!AS410='check-Jul''26'!AO410,"",'1. Live'!AS410-'check-Jul''26'!AO410)</f>
        <v/>
      </c>
      <c r="AP392" s="25" t="str">
        <f>IF('1. Live'!AT410='check-Jul''26'!AP410,"",'1. Live'!AT410-'check-Jul''26'!AP410)</f>
        <v/>
      </c>
      <c r="AQ392" s="25" t="str">
        <f>IF('1. Live'!AU410='check-Jul''26'!AQ410,"",'1. Live'!AU410-'check-Jul''26'!AQ410)</f>
        <v/>
      </c>
      <c r="AR392" s="25" t="str">
        <f>IF('1. Live'!AV410='check-Jul''26'!AR410,"",'1. Live'!AV410-'check-Jul''26'!AR410)</f>
        <v/>
      </c>
      <c r="AS392" s="25" t="str">
        <f>IF('1. Live'!AW410='check-Jul''26'!AS410,"",'1. Live'!AW410-'check-Jul''26'!AS410)</f>
        <v/>
      </c>
      <c r="AT392" s="25" t="str">
        <f>IF('1. Live'!AX410='check-Jul''26'!AT410,"",'1. Live'!AX410-'check-Jul''26'!AT410)</f>
        <v/>
      </c>
      <c r="AU392" s="25" t="str">
        <f>IF('1. Live'!AY410='check-Jul''26'!AU410,"",'1. Live'!AY410-'check-Jul''26'!AU410)</f>
        <v/>
      </c>
      <c r="AV392" s="25" t="str">
        <f>IF('1. Live'!AZ410='check-Jul''26'!AV410,"",'1. Live'!AZ410-'check-Jul''26'!AV410)</f>
        <v/>
      </c>
      <c r="AW392" s="25" t="str">
        <f>IF('1. Live'!BA410='check-Jul''26'!AW410,"",'1. Live'!BA410-'check-Jul''26'!AW410)</f>
        <v/>
      </c>
      <c r="AX392" s="25" t="str">
        <f>IF('1. Live'!BB410='check-Jul''26'!AX410,"",'1. Live'!BB410-'check-Jul''26'!AX410)</f>
        <v/>
      </c>
      <c r="AY392" s="25" t="str">
        <f>IF('1. Live'!BC410='check-Jul''26'!AY410,"",'1. Live'!BC410-'check-Jul''26'!AY410)</f>
        <v/>
      </c>
      <c r="AZ392" s="25" t="str">
        <f>IF('1. Live'!BD410='check-Jul''26'!AZ410,"",'1. Live'!BD410-'check-Jul''26'!AZ410)</f>
        <v/>
      </c>
      <c r="BA392" s="25" t="str">
        <f>IF('1. Live'!BE410='check-Jul''26'!BA410,"",'1. Live'!BE410-'check-Jul''26'!BA410)</f>
        <v/>
      </c>
      <c r="BB392" s="25" t="str">
        <f>IF('1. Live'!BF410='check-Jul''26'!BB410,"",'1. Live'!BF410-'check-Jul''26'!BB410)</f>
        <v/>
      </c>
      <c r="BC392" s="25" t="str">
        <f>IF('1. Live'!BG410='check-Jul''26'!BC410,"",'1. Live'!BG410-'check-Jul''26'!BC410)</f>
        <v/>
      </c>
      <c r="BD392" s="25" t="str">
        <f>IF('1. Live'!BH410='check-Jul''26'!BD410,"",'1. Live'!BH410-'check-Jul''26'!BD410)</f>
        <v/>
      </c>
      <c r="BE392" s="25" t="str">
        <f>IF('1. Live'!BI410='check-Jul''26'!BE410,"",'1. Live'!BI410-'check-Jul''26'!BE410)</f>
        <v/>
      </c>
      <c r="BF392" s="25" t="str">
        <f>IF('1. Live'!BJ410='check-Jul''26'!BF410,"",'1. Live'!BJ410-'check-Jul''26'!BF410)</f>
        <v/>
      </c>
      <c r="BG392" s="25" t="str">
        <f>IF('1. Live'!BK410='check-Jul''26'!BG410,"",'1. Live'!BK410-'check-Jul''26'!BG410)</f>
        <v/>
      </c>
      <c r="BH392" s="25" t="str">
        <f>IF('1. Live'!BL410='check-Jul''26'!BH410,"",'1. Live'!BL410-'check-Jul''26'!BH410)</f>
        <v/>
      </c>
      <c r="BI392" s="25" t="str">
        <f>IF('1. Live'!BM410='check-Jul''26'!BI410,"",'1. Live'!BM410-'check-Jul''26'!BI410)</f>
        <v/>
      </c>
      <c r="BJ392" s="25" t="str">
        <f>IF('1. Live'!BN410='check-Jul''26'!BJ410,"",'1. Live'!BN410-'check-Jul''26'!BJ410)</f>
        <v/>
      </c>
      <c r="BK392" s="25" t="str">
        <f>IF('1. Live'!BO410='check-Jul''26'!BK410,"",'1. Live'!BO410-'check-Jul''26'!BK410)</f>
        <v/>
      </c>
      <c r="BL392" s="25" t="str">
        <f>IF('1. Live'!BP410='check-Jul''26'!BL410,"",'1. Live'!BP410-'check-Jul''26'!BL410)</f>
        <v/>
      </c>
      <c r="BM392" s="25" t="str">
        <f>IF('1. Live'!BQ410='check-Jul''26'!BM410,"",'1. Live'!BQ410-'check-Jul''26'!BM410)</f>
        <v/>
      </c>
      <c r="BN392" s="25" t="str">
        <f>IF('1. Live'!BR410='check-Jul''26'!BN410,"",'1. Live'!BR410-'check-Jul''26'!BN410)</f>
        <v/>
      </c>
      <c r="BO392" s="25" t="str">
        <f>IF('1. Live'!BS410='check-Jul''26'!BO410,"",'1. Live'!BS410-'check-Jul''26'!BO410)</f>
        <v/>
      </c>
      <c r="BP392" s="25" t="str">
        <f>IF('1. Live'!BT410='check-Jul''26'!BP410,"",'1. Live'!BT410-'check-Jul''26'!BP410)</f>
        <v/>
      </c>
      <c r="BQ392" s="25" t="str">
        <f>IF('1. Live'!BU410='check-Jul''26'!BQ410,"",'1. Live'!BU410-'check-Jul''26'!BQ410)</f>
        <v/>
      </c>
      <c r="BR392" s="25" t="str">
        <f>IF('1. Live'!BV410='check-Jul''26'!BR410,"",'1. Live'!BV410-'check-Jul''26'!BR410)</f>
        <v/>
      </c>
      <c r="BS392" s="25" t="str">
        <f>IF('1. Live'!BW410='check-Jul''26'!BS410,"",'1. Live'!BW410-'check-Jul''26'!BS410)</f>
        <v/>
      </c>
      <c r="BT392" s="25" t="str">
        <f>IF('1. Live'!BX410='check-Jul''26'!BT410,"",'1. Live'!BX410-'check-Jul''26'!BT410)</f>
        <v/>
      </c>
      <c r="BU392" s="25" t="str">
        <f>IF('1. Live'!BY410='check-Jul''26'!BU410,"",'1. Live'!BY410-'check-Jul''26'!BU410)</f>
        <v/>
      </c>
      <c r="BV392" s="25" t="str">
        <f>IF('1. Live'!BZ410='check-Jul''26'!BV410,"",'1. Live'!BZ410-'check-Jul''26'!BV410)</f>
        <v/>
      </c>
      <c r="BW392" s="25" t="str">
        <f>IF('1. Live'!CA410='check-Jul''26'!BW410,"",'1. Live'!CA410-'check-Jul''26'!BW410)</f>
        <v/>
      </c>
      <c r="BX392" s="25" t="str">
        <f>IF('1. Live'!CB410='check-Jul''26'!BX410,"",'1. Live'!CB410-'check-Jul''26'!BX410)</f>
        <v/>
      </c>
      <c r="BY392" s="25" t="str">
        <f>IF('1. Live'!CC410='check-Jul''26'!BY410,"",'1. Live'!CC410-'check-Jul''26'!BY410)</f>
        <v/>
      </c>
      <c r="BZ392" s="25" t="str">
        <f>IF('1. Live'!CD410='check-Jul''26'!BZ410,"",'1. Live'!CD410-'check-Jul''26'!BZ410)</f>
        <v/>
      </c>
      <c r="CA392" s="25" t="str">
        <f>IF('1. Live'!CE410='check-Jul''26'!CA410,"",'1. Live'!CE410-'check-Jul''26'!CA410)</f>
        <v/>
      </c>
      <c r="CB392" s="25" t="str">
        <f>IF('1. Live'!CF410='check-Jul''26'!CB410,"",'1. Live'!CF410-'check-Jul''26'!CB410)</f>
        <v/>
      </c>
      <c r="CC392" s="25" t="str">
        <f>IF('1. Live'!CG410='check-Jul''26'!CC410,"",'1. Live'!CG410-'check-Jul''26'!CC410)</f>
        <v/>
      </c>
      <c r="CD392" s="25" t="str">
        <f>IF('1. Live'!CH410='check-Jul''26'!CD410,"",'1. Live'!CH410-'check-Jul''26'!CD410)</f>
        <v/>
      </c>
      <c r="CE392" s="25" t="str">
        <f>IF('1. Live'!CI410='check-Jul''26'!CE410,"",'1. Live'!CI410-'check-Jul''26'!CE410)</f>
        <v/>
      </c>
      <c r="CF392" s="25" t="str">
        <f>IF('1. Live'!CJ410='check-Jul''26'!CF410,"",'1. Live'!CJ410-'check-Jul''26'!CF410)</f>
        <v/>
      </c>
      <c r="CG392" s="25" t="str">
        <f>IF('1. Live'!CK410='check-Jul''26'!CG410,"",'1. Live'!CK410-'check-Jul''26'!CG410)</f>
        <v/>
      </c>
      <c r="CH392" s="25" t="str">
        <f>IF('1. Live'!CL410='check-Jul''26'!CH410,"",'1. Live'!CL410-'check-Jul''26'!CH410)</f>
        <v/>
      </c>
      <c r="CI392" s="25" t="str">
        <f>IF('1. Live'!CM410='check-Jul''26'!CI410,"",'1. Live'!CM410-'check-Jul''26'!CI410)</f>
        <v/>
      </c>
      <c r="CJ392" s="25" t="str">
        <f>IF('1. Live'!CN410='check-Jul''26'!CJ410,"",'1. Live'!CN410-'check-Jul''26'!CJ410)</f>
        <v/>
      </c>
      <c r="CK392" s="25" t="str">
        <f>IF('1. Live'!CO410='check-Jul''26'!CK410,"",'1. Live'!CO410-'check-Jul''26'!CK410)</f>
        <v/>
      </c>
      <c r="CL392" s="25" t="str">
        <f>IF('1. Live'!CP410='check-Jul''26'!CL410,"",'1. Live'!CP410-'check-Jul''26'!CL410)</f>
        <v/>
      </c>
      <c r="CM392" s="25" t="str">
        <f>IF('1. Live'!CQ410='check-Jul''26'!CM410,"",'1. Live'!CQ410-'check-Jul''26'!CM410)</f>
        <v/>
      </c>
      <c r="CN392" s="25" t="str">
        <f>IF('1. Live'!CR410='check-Jul''26'!CN410,"",'1. Live'!CR410-'check-Jul''26'!CN410)</f>
        <v/>
      </c>
      <c r="CO392" s="25" t="str">
        <f>IF('1. Live'!CS410='check-Jul''26'!CO410,"",'1. Live'!CS410-'check-Jul''26'!CO410)</f>
        <v/>
      </c>
      <c r="CP392" s="25" t="str">
        <f>IF('1. Live'!CT410='check-Jul''26'!CP410,"",'1. Live'!CT410-'check-Jul''26'!CP410)</f>
        <v/>
      </c>
      <c r="CQ392" s="25" t="str">
        <f>IF('1. Live'!CU410='check-Jul''26'!CQ410,"",'1. Live'!CU410-'check-Jul''26'!CQ410)</f>
        <v/>
      </c>
      <c r="CR392" s="25" t="str">
        <f>IF('1. Live'!CV410='check-Jul''26'!CR410,"",'1. Live'!CV410-'check-Jul''26'!CR410)</f>
        <v/>
      </c>
      <c r="CS392" s="25" t="str">
        <f>IF('1. Live'!CW410='check-Jul''26'!CS410,"",'1. Live'!CW410-'check-Jul''26'!CS410)</f>
        <v/>
      </c>
      <c r="CT392" s="25" t="str">
        <f>IF('1. Live'!CX410='check-Jul''26'!CT410,"",'1. Live'!CX410-'check-Jul''26'!CT410)</f>
        <v/>
      </c>
      <c r="CU392" s="25" t="str">
        <f>IF('1. Live'!CY410='check-Jul''26'!CU410,"",'1. Live'!CY410-'check-Jul''26'!CU410)</f>
        <v/>
      </c>
      <c r="CV392" s="25" t="str">
        <f>IF('1. Live'!CZ410='check-Jul''26'!CV410,"",'1. Live'!CZ410-'check-Jul''26'!CV410)</f>
        <v/>
      </c>
    </row>
    <row r="393" spans="17:100" x14ac:dyDescent="0.25">
      <c r="Q393" s="26" t="str">
        <f>IF('1. Live'!N411='check-Jul''26'!I411,"",'1. Live'!N411-'check-Jul''26'!I411)</f>
        <v/>
      </c>
      <c r="R393" s="26" t="str">
        <f>IF('1. Live'!O411='check-Jul''26'!J411,"",'1. Live'!O411-'check-Jul''26'!J411)</f>
        <v/>
      </c>
      <c r="S393" s="26" t="str">
        <f>IF('1. Live'!P411='check-Jul''26'!K411,"",'1. Live'!P411-'check-Jul''26'!K411)</f>
        <v/>
      </c>
      <c r="T393" s="26" t="str">
        <f>IF('1. Live'!Q411='check-Jul''26'!L411,"",'1. Live'!Q411-'check-Jul''26'!L411)</f>
        <v/>
      </c>
      <c r="U393" s="80" t="str">
        <f>IF('1. Live'!R411='check-Jul''26'!M411,"",'1. Live'!R411-'check-Jul''26'!M411)</f>
        <v/>
      </c>
      <c r="V393" s="26" t="str">
        <f>IF('1. Live'!S411='check-Jul''26'!N411,"",'1. Live'!S411-'check-Jul''26'!N411)</f>
        <v/>
      </c>
      <c r="W393" s="25" t="str">
        <f>IF('1. Live'!T411='check-Jul''26'!O411,"",'1. Live'!T411-'check-Jul''26'!O411)</f>
        <v/>
      </c>
      <c r="X393" s="25" t="str">
        <f>IF('1. Live'!U411='check-Jul''26'!Q411,"",'1. Live'!U411-'check-Jul''26'!Q411)</f>
        <v/>
      </c>
      <c r="Y393" s="25" t="str">
        <f>IF('1. Live'!V411='check-Jul''26'!R411,"",'1. Live'!V411-'check-Jul''26'!R411)</f>
        <v/>
      </c>
      <c r="Z393" s="25" t="str">
        <f>IF('1. Live'!W411='check-Jul''26'!S411,"",'1. Live'!W411-'check-Jul''26'!S411)</f>
        <v/>
      </c>
      <c r="AA393" s="25" t="str">
        <f>IF('1. Live'!X411='check-Jul''26'!T411,"",'1. Live'!X411-'check-Jul''26'!T411)</f>
        <v/>
      </c>
      <c r="AB393" s="25" t="str">
        <f>IF('1. Live'!AF411='check-Jul''26'!AB411,"",'1. Live'!AF411-'check-Jul''26'!AB411)</f>
        <v/>
      </c>
      <c r="AC393" s="25" t="str">
        <f>IF('1. Live'!AG411='check-Jul''26'!AC411,"",'1. Live'!AG411-'check-Jul''26'!AC411)</f>
        <v/>
      </c>
      <c r="AD393" s="25" t="str">
        <f>IF('1. Live'!AH411='check-Jul''26'!AD411,"",'1. Live'!AH411-'check-Jul''26'!AD411)</f>
        <v/>
      </c>
      <c r="AE393" s="25" t="str">
        <f>IF('1. Live'!AI411='check-Jul''26'!AE411,"",'1. Live'!AI411-'check-Jul''26'!AE411)</f>
        <v/>
      </c>
      <c r="AF393" s="25" t="str">
        <f>IF('1. Live'!AJ411='check-Jul''26'!AF411,"",'1. Live'!AJ411-'check-Jul''26'!AF411)</f>
        <v/>
      </c>
      <c r="AG393" s="25" t="str">
        <f>IF('1. Live'!AK411='check-Jul''26'!AG411,"",'1. Live'!AK411-'check-Jul''26'!AG411)</f>
        <v/>
      </c>
      <c r="AH393" s="25" t="str">
        <f>IF('1. Live'!AL411='check-Jul''26'!AH411,"",'1. Live'!AL411-'check-Jul''26'!AH411)</f>
        <v/>
      </c>
      <c r="AI393" s="25" t="str">
        <f>IF('1. Live'!AM411='check-Jul''26'!AI411,"",'1. Live'!AM411-'check-Jul''26'!AI411)</f>
        <v/>
      </c>
      <c r="AJ393" s="25" t="str">
        <f>IF('1. Live'!AN411='check-Jul''26'!AJ411,"",'1. Live'!AN411-'check-Jul''26'!AJ411)</f>
        <v/>
      </c>
      <c r="AK393" s="25" t="str">
        <f>IF('1. Live'!AO411='check-Jul''26'!AK411,"",'1. Live'!AO411-'check-Jul''26'!AK411)</f>
        <v/>
      </c>
      <c r="AL393" s="25" t="str">
        <f>IF('1. Live'!AP411='check-Jul''26'!AL411,"",'1. Live'!AP411-'check-Jul''26'!AL411)</f>
        <v/>
      </c>
      <c r="AM393" s="25" t="str">
        <f>IF('1. Live'!AQ411='check-Jul''26'!AM411,"",'1. Live'!AQ411-'check-Jul''26'!AM411)</f>
        <v/>
      </c>
      <c r="AN393" s="25" t="str">
        <f>IF('1. Live'!AR411='check-Jul''26'!AN411,"",'1. Live'!AR411-'check-Jul''26'!AN411)</f>
        <v/>
      </c>
      <c r="AO393" s="25" t="str">
        <f>IF('1. Live'!AS411='check-Jul''26'!AO411,"",'1. Live'!AS411-'check-Jul''26'!AO411)</f>
        <v/>
      </c>
      <c r="AP393" s="25" t="str">
        <f>IF('1. Live'!AT411='check-Jul''26'!AP411,"",'1. Live'!AT411-'check-Jul''26'!AP411)</f>
        <v/>
      </c>
      <c r="AQ393" s="25" t="str">
        <f>IF('1. Live'!AU411='check-Jul''26'!AQ411,"",'1. Live'!AU411-'check-Jul''26'!AQ411)</f>
        <v/>
      </c>
      <c r="AR393" s="25" t="str">
        <f>IF('1. Live'!AV411='check-Jul''26'!AR411,"",'1. Live'!AV411-'check-Jul''26'!AR411)</f>
        <v/>
      </c>
      <c r="AS393" s="25" t="str">
        <f>IF('1. Live'!AW411='check-Jul''26'!AS411,"",'1. Live'!AW411-'check-Jul''26'!AS411)</f>
        <v/>
      </c>
      <c r="AT393" s="25" t="str">
        <f>IF('1. Live'!AX411='check-Jul''26'!AT411,"",'1. Live'!AX411-'check-Jul''26'!AT411)</f>
        <v/>
      </c>
      <c r="AU393" s="25" t="str">
        <f>IF('1. Live'!AY411='check-Jul''26'!AU411,"",'1. Live'!AY411-'check-Jul''26'!AU411)</f>
        <v/>
      </c>
      <c r="AV393" s="25" t="str">
        <f>IF('1. Live'!AZ411='check-Jul''26'!AV411,"",'1. Live'!AZ411-'check-Jul''26'!AV411)</f>
        <v/>
      </c>
      <c r="AW393" s="25" t="str">
        <f>IF('1. Live'!BA411='check-Jul''26'!AW411,"",'1. Live'!BA411-'check-Jul''26'!AW411)</f>
        <v/>
      </c>
      <c r="AX393" s="25" t="str">
        <f>IF('1. Live'!BB411='check-Jul''26'!AX411,"",'1. Live'!BB411-'check-Jul''26'!AX411)</f>
        <v/>
      </c>
      <c r="AY393" s="25" t="str">
        <f>IF('1. Live'!BC411='check-Jul''26'!AY411,"",'1. Live'!BC411-'check-Jul''26'!AY411)</f>
        <v/>
      </c>
      <c r="AZ393" s="25" t="str">
        <f>IF('1. Live'!BD411='check-Jul''26'!AZ411,"",'1. Live'!BD411-'check-Jul''26'!AZ411)</f>
        <v/>
      </c>
      <c r="BA393" s="25" t="str">
        <f>IF('1. Live'!BE411='check-Jul''26'!BA411,"",'1. Live'!BE411-'check-Jul''26'!BA411)</f>
        <v/>
      </c>
      <c r="BB393" s="25" t="str">
        <f>IF('1. Live'!BF411='check-Jul''26'!BB411,"",'1. Live'!BF411-'check-Jul''26'!BB411)</f>
        <v/>
      </c>
      <c r="BC393" s="25" t="str">
        <f>IF('1. Live'!BG411='check-Jul''26'!BC411,"",'1. Live'!BG411-'check-Jul''26'!BC411)</f>
        <v/>
      </c>
      <c r="BD393" s="25" t="str">
        <f>IF('1. Live'!BH411='check-Jul''26'!BD411,"",'1. Live'!BH411-'check-Jul''26'!BD411)</f>
        <v/>
      </c>
      <c r="BE393" s="25" t="str">
        <f>IF('1. Live'!BI411='check-Jul''26'!BE411,"",'1. Live'!BI411-'check-Jul''26'!BE411)</f>
        <v/>
      </c>
      <c r="BF393" s="25" t="str">
        <f>IF('1. Live'!BJ411='check-Jul''26'!BF411,"",'1. Live'!BJ411-'check-Jul''26'!BF411)</f>
        <v/>
      </c>
      <c r="BG393" s="25" t="str">
        <f>IF('1. Live'!BK411='check-Jul''26'!BG411,"",'1. Live'!BK411-'check-Jul''26'!BG411)</f>
        <v/>
      </c>
      <c r="BH393" s="25" t="str">
        <f>IF('1. Live'!BL411='check-Jul''26'!BH411,"",'1. Live'!BL411-'check-Jul''26'!BH411)</f>
        <v/>
      </c>
      <c r="BI393" s="25" t="str">
        <f>IF('1. Live'!BM411='check-Jul''26'!BI411,"",'1. Live'!BM411-'check-Jul''26'!BI411)</f>
        <v/>
      </c>
      <c r="BJ393" s="25" t="str">
        <f>IF('1. Live'!BN411='check-Jul''26'!BJ411,"",'1. Live'!BN411-'check-Jul''26'!BJ411)</f>
        <v/>
      </c>
      <c r="BK393" s="25" t="str">
        <f>IF('1. Live'!BO411='check-Jul''26'!BK411,"",'1. Live'!BO411-'check-Jul''26'!BK411)</f>
        <v/>
      </c>
      <c r="BL393" s="25" t="str">
        <f>IF('1. Live'!BP411='check-Jul''26'!BL411,"",'1. Live'!BP411-'check-Jul''26'!BL411)</f>
        <v/>
      </c>
      <c r="BM393" s="25" t="str">
        <f>IF('1. Live'!BQ411='check-Jul''26'!BM411,"",'1. Live'!BQ411-'check-Jul''26'!BM411)</f>
        <v/>
      </c>
      <c r="BN393" s="25" t="str">
        <f>IF('1. Live'!BR411='check-Jul''26'!BN411,"",'1. Live'!BR411-'check-Jul''26'!BN411)</f>
        <v/>
      </c>
      <c r="BO393" s="25" t="str">
        <f>IF('1. Live'!BS411='check-Jul''26'!BO411,"",'1. Live'!BS411-'check-Jul''26'!BO411)</f>
        <v/>
      </c>
      <c r="BP393" s="25" t="str">
        <f>IF('1. Live'!BT411='check-Jul''26'!BP411,"",'1. Live'!BT411-'check-Jul''26'!BP411)</f>
        <v/>
      </c>
      <c r="BQ393" s="25" t="str">
        <f>IF('1. Live'!BU411='check-Jul''26'!BQ411,"",'1. Live'!BU411-'check-Jul''26'!BQ411)</f>
        <v/>
      </c>
      <c r="BR393" s="25" t="str">
        <f>IF('1. Live'!BV411='check-Jul''26'!BR411,"",'1. Live'!BV411-'check-Jul''26'!BR411)</f>
        <v/>
      </c>
      <c r="BS393" s="25" t="str">
        <f>IF('1. Live'!BW411='check-Jul''26'!BS411,"",'1. Live'!BW411-'check-Jul''26'!BS411)</f>
        <v/>
      </c>
      <c r="BT393" s="25" t="str">
        <f>IF('1. Live'!BX411='check-Jul''26'!BT411,"",'1. Live'!BX411-'check-Jul''26'!BT411)</f>
        <v/>
      </c>
      <c r="BU393" s="25" t="str">
        <f>IF('1. Live'!BY411='check-Jul''26'!BU411,"",'1. Live'!BY411-'check-Jul''26'!BU411)</f>
        <v/>
      </c>
      <c r="BV393" s="25" t="str">
        <f>IF('1. Live'!BZ411='check-Jul''26'!BV411,"",'1. Live'!BZ411-'check-Jul''26'!BV411)</f>
        <v/>
      </c>
      <c r="BW393" s="25" t="str">
        <f>IF('1. Live'!CA411='check-Jul''26'!BW411,"",'1. Live'!CA411-'check-Jul''26'!BW411)</f>
        <v/>
      </c>
      <c r="BX393" s="25" t="str">
        <f>IF('1. Live'!CB411='check-Jul''26'!BX411,"",'1. Live'!CB411-'check-Jul''26'!BX411)</f>
        <v/>
      </c>
      <c r="BY393" s="25" t="str">
        <f>IF('1. Live'!CC411='check-Jul''26'!BY411,"",'1. Live'!CC411-'check-Jul''26'!BY411)</f>
        <v/>
      </c>
      <c r="BZ393" s="25" t="str">
        <f>IF('1. Live'!CD411='check-Jul''26'!BZ411,"",'1. Live'!CD411-'check-Jul''26'!BZ411)</f>
        <v/>
      </c>
      <c r="CA393" s="25" t="str">
        <f>IF('1. Live'!CE411='check-Jul''26'!CA411,"",'1. Live'!CE411-'check-Jul''26'!CA411)</f>
        <v/>
      </c>
      <c r="CB393" s="25" t="str">
        <f>IF('1. Live'!CF411='check-Jul''26'!CB411,"",'1. Live'!CF411-'check-Jul''26'!CB411)</f>
        <v/>
      </c>
      <c r="CC393" s="25" t="str">
        <f>IF('1. Live'!CG411='check-Jul''26'!CC411,"",'1. Live'!CG411-'check-Jul''26'!CC411)</f>
        <v/>
      </c>
      <c r="CD393" s="25" t="str">
        <f>IF('1. Live'!CH411='check-Jul''26'!CD411,"",'1. Live'!CH411-'check-Jul''26'!CD411)</f>
        <v/>
      </c>
      <c r="CE393" s="25" t="str">
        <f>IF('1. Live'!CI411='check-Jul''26'!CE411,"",'1. Live'!CI411-'check-Jul''26'!CE411)</f>
        <v/>
      </c>
      <c r="CF393" s="25" t="str">
        <f>IF('1. Live'!CJ411='check-Jul''26'!CF411,"",'1. Live'!CJ411-'check-Jul''26'!CF411)</f>
        <v/>
      </c>
      <c r="CG393" s="25" t="str">
        <f>IF('1. Live'!CK411='check-Jul''26'!CG411,"",'1. Live'!CK411-'check-Jul''26'!CG411)</f>
        <v/>
      </c>
      <c r="CH393" s="25" t="str">
        <f>IF('1. Live'!CL411='check-Jul''26'!CH411,"",'1. Live'!CL411-'check-Jul''26'!CH411)</f>
        <v/>
      </c>
      <c r="CI393" s="25" t="str">
        <f>IF('1. Live'!CM411='check-Jul''26'!CI411,"",'1. Live'!CM411-'check-Jul''26'!CI411)</f>
        <v/>
      </c>
      <c r="CJ393" s="25" t="str">
        <f>IF('1. Live'!CN411='check-Jul''26'!CJ411,"",'1. Live'!CN411-'check-Jul''26'!CJ411)</f>
        <v/>
      </c>
      <c r="CK393" s="25" t="str">
        <f>IF('1. Live'!CO411='check-Jul''26'!CK411,"",'1. Live'!CO411-'check-Jul''26'!CK411)</f>
        <v/>
      </c>
      <c r="CL393" s="25" t="str">
        <f>IF('1. Live'!CP411='check-Jul''26'!CL411,"",'1. Live'!CP411-'check-Jul''26'!CL411)</f>
        <v/>
      </c>
      <c r="CM393" s="25" t="str">
        <f>IF('1. Live'!CQ411='check-Jul''26'!CM411,"",'1. Live'!CQ411-'check-Jul''26'!CM411)</f>
        <v/>
      </c>
      <c r="CN393" s="25" t="str">
        <f>IF('1. Live'!CR411='check-Jul''26'!CN411,"",'1. Live'!CR411-'check-Jul''26'!CN411)</f>
        <v/>
      </c>
      <c r="CO393" s="25" t="str">
        <f>IF('1. Live'!CS411='check-Jul''26'!CO411,"",'1. Live'!CS411-'check-Jul''26'!CO411)</f>
        <v/>
      </c>
      <c r="CP393" s="25" t="str">
        <f>IF('1. Live'!CT411='check-Jul''26'!CP411,"",'1. Live'!CT411-'check-Jul''26'!CP411)</f>
        <v/>
      </c>
      <c r="CQ393" s="25" t="str">
        <f>IF('1. Live'!CU411='check-Jul''26'!CQ411,"",'1. Live'!CU411-'check-Jul''26'!CQ411)</f>
        <v/>
      </c>
      <c r="CR393" s="25" t="str">
        <f>IF('1. Live'!CV411='check-Jul''26'!CR411,"",'1. Live'!CV411-'check-Jul''26'!CR411)</f>
        <v/>
      </c>
      <c r="CS393" s="25" t="str">
        <f>IF('1. Live'!CW411='check-Jul''26'!CS411,"",'1. Live'!CW411-'check-Jul''26'!CS411)</f>
        <v/>
      </c>
      <c r="CT393" s="25" t="str">
        <f>IF('1. Live'!CX411='check-Jul''26'!CT411,"",'1. Live'!CX411-'check-Jul''26'!CT411)</f>
        <v/>
      </c>
      <c r="CU393" s="25" t="str">
        <f>IF('1. Live'!CY411='check-Jul''26'!CU411,"",'1. Live'!CY411-'check-Jul''26'!CU411)</f>
        <v/>
      </c>
      <c r="CV393" s="25" t="str">
        <f>IF('1. Live'!CZ411='check-Jul''26'!CV411,"",'1. Live'!CZ411-'check-Jul''26'!CV411)</f>
        <v/>
      </c>
    </row>
    <row r="394" spans="17:100" x14ac:dyDescent="0.25">
      <c r="Q394" s="26" t="str">
        <f>IF('1. Live'!N412='check-Jul''26'!I412,"",'1. Live'!N412-'check-Jul''26'!I412)</f>
        <v/>
      </c>
      <c r="R394" s="26" t="str">
        <f>IF('1. Live'!O412='check-Jul''26'!J412,"",'1. Live'!O412-'check-Jul''26'!J412)</f>
        <v/>
      </c>
      <c r="S394" s="26" t="str">
        <f>IF('1. Live'!P412='check-Jul''26'!K412,"",'1. Live'!P412-'check-Jul''26'!K412)</f>
        <v/>
      </c>
      <c r="T394" s="26" t="str">
        <f>IF('1. Live'!Q412='check-Jul''26'!L412,"",'1. Live'!Q412-'check-Jul''26'!L412)</f>
        <v/>
      </c>
      <c r="U394" s="80" t="str">
        <f>IF('1. Live'!R412='check-Jul''26'!M412,"",'1. Live'!R412-'check-Jul''26'!M412)</f>
        <v/>
      </c>
      <c r="V394" s="26" t="str">
        <f>IF('1. Live'!S412='check-Jul''26'!N412,"",'1. Live'!S412-'check-Jul''26'!N412)</f>
        <v/>
      </c>
      <c r="W394" s="25" t="str">
        <f>IF('1. Live'!T412='check-Jul''26'!O412,"",'1. Live'!T412-'check-Jul''26'!O412)</f>
        <v/>
      </c>
      <c r="X394" s="25" t="str">
        <f>IF('1. Live'!U412='check-Jul''26'!Q412,"",'1. Live'!U412-'check-Jul''26'!Q412)</f>
        <v/>
      </c>
      <c r="Y394" s="25" t="str">
        <f>IF('1. Live'!V412='check-Jul''26'!R412,"",'1. Live'!V412-'check-Jul''26'!R412)</f>
        <v/>
      </c>
      <c r="Z394" s="25" t="str">
        <f>IF('1. Live'!W412='check-Jul''26'!S412,"",'1. Live'!W412-'check-Jul''26'!S412)</f>
        <v/>
      </c>
      <c r="AA394" s="25" t="str">
        <f>IF('1. Live'!X412='check-Jul''26'!T412,"",'1. Live'!X412-'check-Jul''26'!T412)</f>
        <v/>
      </c>
      <c r="AB394" s="25" t="str">
        <f>IF('1. Live'!AF412='check-Jul''26'!AB412,"",'1. Live'!AF412-'check-Jul''26'!AB412)</f>
        <v/>
      </c>
      <c r="AC394" s="25" t="str">
        <f>IF('1. Live'!AG412='check-Jul''26'!AC412,"",'1. Live'!AG412-'check-Jul''26'!AC412)</f>
        <v/>
      </c>
      <c r="AD394" s="25" t="str">
        <f>IF('1. Live'!AH412='check-Jul''26'!AD412,"",'1. Live'!AH412-'check-Jul''26'!AD412)</f>
        <v/>
      </c>
      <c r="AE394" s="25" t="str">
        <f>IF('1. Live'!AI412='check-Jul''26'!AE412,"",'1. Live'!AI412-'check-Jul''26'!AE412)</f>
        <v/>
      </c>
      <c r="AF394" s="25" t="str">
        <f>IF('1. Live'!AJ412='check-Jul''26'!AF412,"",'1. Live'!AJ412-'check-Jul''26'!AF412)</f>
        <v/>
      </c>
      <c r="AG394" s="25" t="str">
        <f>IF('1. Live'!AK412='check-Jul''26'!AG412,"",'1. Live'!AK412-'check-Jul''26'!AG412)</f>
        <v/>
      </c>
      <c r="AH394" s="25" t="str">
        <f>IF('1. Live'!AL412='check-Jul''26'!AH412,"",'1. Live'!AL412-'check-Jul''26'!AH412)</f>
        <v/>
      </c>
      <c r="AI394" s="25" t="str">
        <f>IF('1. Live'!AM412='check-Jul''26'!AI412,"",'1. Live'!AM412-'check-Jul''26'!AI412)</f>
        <v/>
      </c>
      <c r="AJ394" s="25" t="str">
        <f>IF('1. Live'!AN412='check-Jul''26'!AJ412,"",'1. Live'!AN412-'check-Jul''26'!AJ412)</f>
        <v/>
      </c>
      <c r="AK394" s="25" t="str">
        <f>IF('1. Live'!AO412='check-Jul''26'!AK412,"",'1. Live'!AO412-'check-Jul''26'!AK412)</f>
        <v/>
      </c>
      <c r="AL394" s="25" t="str">
        <f>IF('1. Live'!AP412='check-Jul''26'!AL412,"",'1. Live'!AP412-'check-Jul''26'!AL412)</f>
        <v/>
      </c>
      <c r="AM394" s="25" t="str">
        <f>IF('1. Live'!AQ412='check-Jul''26'!AM412,"",'1. Live'!AQ412-'check-Jul''26'!AM412)</f>
        <v/>
      </c>
      <c r="AN394" s="25" t="str">
        <f>IF('1. Live'!AR412='check-Jul''26'!AN412,"",'1. Live'!AR412-'check-Jul''26'!AN412)</f>
        <v/>
      </c>
      <c r="AO394" s="25" t="str">
        <f>IF('1. Live'!AS412='check-Jul''26'!AO412,"",'1. Live'!AS412-'check-Jul''26'!AO412)</f>
        <v/>
      </c>
      <c r="AP394" s="25" t="str">
        <f>IF('1. Live'!AT412='check-Jul''26'!AP412,"",'1. Live'!AT412-'check-Jul''26'!AP412)</f>
        <v/>
      </c>
      <c r="AQ394" s="25" t="str">
        <f>IF('1. Live'!AU412='check-Jul''26'!AQ412,"",'1. Live'!AU412-'check-Jul''26'!AQ412)</f>
        <v/>
      </c>
      <c r="AR394" s="25" t="str">
        <f>IF('1. Live'!AV412='check-Jul''26'!AR412,"",'1. Live'!AV412-'check-Jul''26'!AR412)</f>
        <v/>
      </c>
      <c r="AS394" s="25" t="str">
        <f>IF('1. Live'!AW412='check-Jul''26'!AS412,"",'1. Live'!AW412-'check-Jul''26'!AS412)</f>
        <v/>
      </c>
      <c r="AT394" s="25" t="str">
        <f>IF('1. Live'!AX412='check-Jul''26'!AT412,"",'1. Live'!AX412-'check-Jul''26'!AT412)</f>
        <v/>
      </c>
      <c r="AU394" s="25" t="str">
        <f>IF('1. Live'!AY412='check-Jul''26'!AU412,"",'1. Live'!AY412-'check-Jul''26'!AU412)</f>
        <v/>
      </c>
      <c r="AV394" s="25" t="str">
        <f>IF('1. Live'!AZ412='check-Jul''26'!AV412,"",'1. Live'!AZ412-'check-Jul''26'!AV412)</f>
        <v/>
      </c>
      <c r="AW394" s="25" t="str">
        <f>IF('1. Live'!BA412='check-Jul''26'!AW412,"",'1. Live'!BA412-'check-Jul''26'!AW412)</f>
        <v/>
      </c>
      <c r="AX394" s="25" t="str">
        <f>IF('1. Live'!BB412='check-Jul''26'!AX412,"",'1. Live'!BB412-'check-Jul''26'!AX412)</f>
        <v/>
      </c>
      <c r="AY394" s="25" t="str">
        <f>IF('1. Live'!BC412='check-Jul''26'!AY412,"",'1. Live'!BC412-'check-Jul''26'!AY412)</f>
        <v/>
      </c>
      <c r="AZ394" s="25" t="str">
        <f>IF('1. Live'!BD412='check-Jul''26'!AZ412,"",'1. Live'!BD412-'check-Jul''26'!AZ412)</f>
        <v/>
      </c>
      <c r="BA394" s="25" t="str">
        <f>IF('1. Live'!BE412='check-Jul''26'!BA412,"",'1. Live'!BE412-'check-Jul''26'!BA412)</f>
        <v/>
      </c>
      <c r="BB394" s="25" t="str">
        <f>IF('1. Live'!BF412='check-Jul''26'!BB412,"",'1. Live'!BF412-'check-Jul''26'!BB412)</f>
        <v/>
      </c>
      <c r="BC394" s="25" t="str">
        <f>IF('1. Live'!BG412='check-Jul''26'!BC412,"",'1. Live'!BG412-'check-Jul''26'!BC412)</f>
        <v/>
      </c>
      <c r="BD394" s="25" t="str">
        <f>IF('1. Live'!BH412='check-Jul''26'!BD412,"",'1. Live'!BH412-'check-Jul''26'!BD412)</f>
        <v/>
      </c>
      <c r="BE394" s="25" t="str">
        <f>IF('1. Live'!BI412='check-Jul''26'!BE412,"",'1. Live'!BI412-'check-Jul''26'!BE412)</f>
        <v/>
      </c>
      <c r="BF394" s="25" t="str">
        <f>IF('1. Live'!BJ412='check-Jul''26'!BF412,"",'1. Live'!BJ412-'check-Jul''26'!BF412)</f>
        <v/>
      </c>
      <c r="BG394" s="25" t="str">
        <f>IF('1. Live'!BK412='check-Jul''26'!BG412,"",'1. Live'!BK412-'check-Jul''26'!BG412)</f>
        <v/>
      </c>
      <c r="BH394" s="25" t="str">
        <f>IF('1. Live'!BL412='check-Jul''26'!BH412,"",'1. Live'!BL412-'check-Jul''26'!BH412)</f>
        <v/>
      </c>
      <c r="BI394" s="25" t="str">
        <f>IF('1. Live'!BM412='check-Jul''26'!BI412,"",'1. Live'!BM412-'check-Jul''26'!BI412)</f>
        <v/>
      </c>
      <c r="BJ394" s="25" t="str">
        <f>IF('1. Live'!BN412='check-Jul''26'!BJ412,"",'1. Live'!BN412-'check-Jul''26'!BJ412)</f>
        <v/>
      </c>
      <c r="BK394" s="25" t="str">
        <f>IF('1. Live'!BO412='check-Jul''26'!BK412,"",'1. Live'!BO412-'check-Jul''26'!BK412)</f>
        <v/>
      </c>
      <c r="BL394" s="25" t="str">
        <f>IF('1. Live'!BP412='check-Jul''26'!BL412,"",'1. Live'!BP412-'check-Jul''26'!BL412)</f>
        <v/>
      </c>
      <c r="BM394" s="25" t="str">
        <f>IF('1. Live'!BQ412='check-Jul''26'!BM412,"",'1. Live'!BQ412-'check-Jul''26'!BM412)</f>
        <v/>
      </c>
      <c r="BN394" s="25" t="str">
        <f>IF('1. Live'!BR412='check-Jul''26'!BN412,"",'1. Live'!BR412-'check-Jul''26'!BN412)</f>
        <v/>
      </c>
      <c r="BO394" s="25" t="str">
        <f>IF('1. Live'!BS412='check-Jul''26'!BO412,"",'1. Live'!BS412-'check-Jul''26'!BO412)</f>
        <v/>
      </c>
      <c r="BP394" s="25" t="str">
        <f>IF('1. Live'!BT412='check-Jul''26'!BP412,"",'1. Live'!BT412-'check-Jul''26'!BP412)</f>
        <v/>
      </c>
      <c r="BQ394" s="25" t="str">
        <f>IF('1. Live'!BU412='check-Jul''26'!BQ412,"",'1. Live'!BU412-'check-Jul''26'!BQ412)</f>
        <v/>
      </c>
      <c r="BR394" s="25" t="str">
        <f>IF('1. Live'!BV412='check-Jul''26'!BR412,"",'1. Live'!BV412-'check-Jul''26'!BR412)</f>
        <v/>
      </c>
      <c r="BS394" s="25" t="str">
        <f>IF('1. Live'!BW412='check-Jul''26'!BS412,"",'1. Live'!BW412-'check-Jul''26'!BS412)</f>
        <v/>
      </c>
      <c r="BT394" s="25" t="str">
        <f>IF('1. Live'!BX412='check-Jul''26'!BT412,"",'1. Live'!BX412-'check-Jul''26'!BT412)</f>
        <v/>
      </c>
      <c r="BU394" s="25" t="str">
        <f>IF('1. Live'!BY412='check-Jul''26'!BU412,"",'1. Live'!BY412-'check-Jul''26'!BU412)</f>
        <v/>
      </c>
      <c r="BV394" s="25" t="str">
        <f>IF('1. Live'!BZ412='check-Jul''26'!BV412,"",'1. Live'!BZ412-'check-Jul''26'!BV412)</f>
        <v/>
      </c>
      <c r="BW394" s="25" t="str">
        <f>IF('1. Live'!CA412='check-Jul''26'!BW412,"",'1. Live'!CA412-'check-Jul''26'!BW412)</f>
        <v/>
      </c>
      <c r="BX394" s="25" t="str">
        <f>IF('1. Live'!CB412='check-Jul''26'!BX412,"",'1. Live'!CB412-'check-Jul''26'!BX412)</f>
        <v/>
      </c>
      <c r="BY394" s="25" t="str">
        <f>IF('1. Live'!CC412='check-Jul''26'!BY412,"",'1. Live'!CC412-'check-Jul''26'!BY412)</f>
        <v/>
      </c>
      <c r="BZ394" s="25" t="str">
        <f>IF('1. Live'!CD412='check-Jul''26'!BZ412,"",'1. Live'!CD412-'check-Jul''26'!BZ412)</f>
        <v/>
      </c>
      <c r="CA394" s="25" t="str">
        <f>IF('1. Live'!CE412='check-Jul''26'!CA412,"",'1. Live'!CE412-'check-Jul''26'!CA412)</f>
        <v/>
      </c>
      <c r="CB394" s="25" t="str">
        <f>IF('1. Live'!CF412='check-Jul''26'!CB412,"",'1. Live'!CF412-'check-Jul''26'!CB412)</f>
        <v/>
      </c>
      <c r="CC394" s="25" t="str">
        <f>IF('1. Live'!CG412='check-Jul''26'!CC412,"",'1. Live'!CG412-'check-Jul''26'!CC412)</f>
        <v/>
      </c>
      <c r="CD394" s="25" t="str">
        <f>IF('1. Live'!CH412='check-Jul''26'!CD412,"",'1. Live'!CH412-'check-Jul''26'!CD412)</f>
        <v/>
      </c>
      <c r="CE394" s="25" t="str">
        <f>IF('1. Live'!CI412='check-Jul''26'!CE412,"",'1. Live'!CI412-'check-Jul''26'!CE412)</f>
        <v/>
      </c>
      <c r="CF394" s="25" t="str">
        <f>IF('1. Live'!CJ412='check-Jul''26'!CF412,"",'1. Live'!CJ412-'check-Jul''26'!CF412)</f>
        <v/>
      </c>
      <c r="CG394" s="25" t="str">
        <f>IF('1. Live'!CK412='check-Jul''26'!CG412,"",'1. Live'!CK412-'check-Jul''26'!CG412)</f>
        <v/>
      </c>
      <c r="CH394" s="25" t="str">
        <f>IF('1. Live'!CL412='check-Jul''26'!CH412,"",'1. Live'!CL412-'check-Jul''26'!CH412)</f>
        <v/>
      </c>
      <c r="CI394" s="25" t="str">
        <f>IF('1. Live'!CM412='check-Jul''26'!CI412,"",'1. Live'!CM412-'check-Jul''26'!CI412)</f>
        <v/>
      </c>
      <c r="CJ394" s="25" t="str">
        <f>IF('1. Live'!CN412='check-Jul''26'!CJ412,"",'1. Live'!CN412-'check-Jul''26'!CJ412)</f>
        <v/>
      </c>
      <c r="CK394" s="25" t="str">
        <f>IF('1. Live'!CO412='check-Jul''26'!CK412,"",'1. Live'!CO412-'check-Jul''26'!CK412)</f>
        <v/>
      </c>
      <c r="CL394" s="25" t="str">
        <f>IF('1. Live'!CP412='check-Jul''26'!CL412,"",'1. Live'!CP412-'check-Jul''26'!CL412)</f>
        <v/>
      </c>
      <c r="CM394" s="25" t="str">
        <f>IF('1. Live'!CQ412='check-Jul''26'!CM412,"",'1. Live'!CQ412-'check-Jul''26'!CM412)</f>
        <v/>
      </c>
      <c r="CN394" s="25" t="str">
        <f>IF('1. Live'!CR412='check-Jul''26'!CN412,"",'1. Live'!CR412-'check-Jul''26'!CN412)</f>
        <v/>
      </c>
      <c r="CO394" s="25" t="str">
        <f>IF('1. Live'!CS412='check-Jul''26'!CO412,"",'1. Live'!CS412-'check-Jul''26'!CO412)</f>
        <v/>
      </c>
      <c r="CP394" s="25" t="str">
        <f>IF('1. Live'!CT412='check-Jul''26'!CP412,"",'1. Live'!CT412-'check-Jul''26'!CP412)</f>
        <v/>
      </c>
      <c r="CQ394" s="25" t="str">
        <f>IF('1. Live'!CU412='check-Jul''26'!CQ412,"",'1. Live'!CU412-'check-Jul''26'!CQ412)</f>
        <v/>
      </c>
      <c r="CR394" s="25" t="str">
        <f>IF('1. Live'!CV412='check-Jul''26'!CR412,"",'1. Live'!CV412-'check-Jul''26'!CR412)</f>
        <v/>
      </c>
      <c r="CS394" s="25" t="str">
        <f>IF('1. Live'!CW412='check-Jul''26'!CS412,"",'1. Live'!CW412-'check-Jul''26'!CS412)</f>
        <v/>
      </c>
      <c r="CT394" s="25" t="str">
        <f>IF('1. Live'!CX412='check-Jul''26'!CT412,"",'1. Live'!CX412-'check-Jul''26'!CT412)</f>
        <v/>
      </c>
      <c r="CU394" s="25" t="str">
        <f>IF('1. Live'!CY412='check-Jul''26'!CU412,"",'1. Live'!CY412-'check-Jul''26'!CU412)</f>
        <v/>
      </c>
      <c r="CV394" s="25" t="str">
        <f>IF('1. Live'!CZ412='check-Jul''26'!CV412,"",'1. Live'!CZ412-'check-Jul''26'!CV412)</f>
        <v/>
      </c>
    </row>
    <row r="395" spans="17:100" x14ac:dyDescent="0.25">
      <c r="Q395" s="26" t="str">
        <f>IF('1. Live'!N413='check-Jul''26'!I413,"",'1. Live'!N413-'check-Jul''26'!I413)</f>
        <v/>
      </c>
      <c r="R395" s="26" t="str">
        <f>IF('1. Live'!O413='check-Jul''26'!J413,"",'1. Live'!O413-'check-Jul''26'!J413)</f>
        <v/>
      </c>
      <c r="S395" s="26" t="str">
        <f>IF('1. Live'!P413='check-Jul''26'!K413,"",'1. Live'!P413-'check-Jul''26'!K413)</f>
        <v/>
      </c>
      <c r="T395" s="26" t="str">
        <f>IF('1. Live'!Q413='check-Jul''26'!L413,"",'1. Live'!Q413-'check-Jul''26'!L413)</f>
        <v/>
      </c>
      <c r="U395" s="80" t="str">
        <f>IF('1. Live'!R413='check-Jul''26'!M413,"",'1. Live'!R413-'check-Jul''26'!M413)</f>
        <v/>
      </c>
      <c r="V395" s="26" t="str">
        <f>IF('1. Live'!S413='check-Jul''26'!N413,"",'1. Live'!S413-'check-Jul''26'!N413)</f>
        <v/>
      </c>
      <c r="W395" s="25" t="str">
        <f>IF('1. Live'!T413='check-Jul''26'!O413,"",'1. Live'!T413-'check-Jul''26'!O413)</f>
        <v/>
      </c>
      <c r="X395" s="25" t="str">
        <f>IF('1. Live'!U413='check-Jul''26'!Q413,"",'1. Live'!U413-'check-Jul''26'!Q413)</f>
        <v/>
      </c>
      <c r="Y395" s="25" t="str">
        <f>IF('1. Live'!V413='check-Jul''26'!R413,"",'1. Live'!V413-'check-Jul''26'!R413)</f>
        <v/>
      </c>
      <c r="Z395" s="25" t="str">
        <f>IF('1. Live'!W413='check-Jul''26'!S413,"",'1. Live'!W413-'check-Jul''26'!S413)</f>
        <v/>
      </c>
      <c r="AA395" s="25" t="str">
        <f>IF('1. Live'!X413='check-Jul''26'!T413,"",'1. Live'!X413-'check-Jul''26'!T413)</f>
        <v/>
      </c>
      <c r="AB395" s="25" t="str">
        <f>IF('1. Live'!AF413='check-Jul''26'!AB413,"",'1. Live'!AF413-'check-Jul''26'!AB413)</f>
        <v/>
      </c>
      <c r="AC395" s="25" t="str">
        <f>IF('1. Live'!AG413='check-Jul''26'!AC413,"",'1. Live'!AG413-'check-Jul''26'!AC413)</f>
        <v/>
      </c>
      <c r="AD395" s="25" t="str">
        <f>IF('1. Live'!AH413='check-Jul''26'!AD413,"",'1. Live'!AH413-'check-Jul''26'!AD413)</f>
        <v/>
      </c>
      <c r="AE395" s="25" t="str">
        <f>IF('1. Live'!AI413='check-Jul''26'!AE413,"",'1. Live'!AI413-'check-Jul''26'!AE413)</f>
        <v/>
      </c>
      <c r="AF395" s="25" t="str">
        <f>IF('1. Live'!AJ413='check-Jul''26'!AF413,"",'1. Live'!AJ413-'check-Jul''26'!AF413)</f>
        <v/>
      </c>
      <c r="AG395" s="25" t="str">
        <f>IF('1. Live'!AK413='check-Jul''26'!AG413,"",'1. Live'!AK413-'check-Jul''26'!AG413)</f>
        <v/>
      </c>
      <c r="AH395" s="25" t="str">
        <f>IF('1. Live'!AL413='check-Jul''26'!AH413,"",'1. Live'!AL413-'check-Jul''26'!AH413)</f>
        <v/>
      </c>
      <c r="AI395" s="25" t="str">
        <f>IF('1. Live'!AM413='check-Jul''26'!AI413,"",'1. Live'!AM413-'check-Jul''26'!AI413)</f>
        <v/>
      </c>
      <c r="AJ395" s="25" t="str">
        <f>IF('1. Live'!AN413='check-Jul''26'!AJ413,"",'1. Live'!AN413-'check-Jul''26'!AJ413)</f>
        <v/>
      </c>
      <c r="AK395" s="25" t="str">
        <f>IF('1. Live'!AO413='check-Jul''26'!AK413,"",'1. Live'!AO413-'check-Jul''26'!AK413)</f>
        <v/>
      </c>
      <c r="AL395" s="25" t="str">
        <f>IF('1. Live'!AP413='check-Jul''26'!AL413,"",'1. Live'!AP413-'check-Jul''26'!AL413)</f>
        <v/>
      </c>
      <c r="AM395" s="25" t="str">
        <f>IF('1. Live'!AQ413='check-Jul''26'!AM413,"",'1. Live'!AQ413-'check-Jul''26'!AM413)</f>
        <v/>
      </c>
      <c r="AN395" s="25" t="str">
        <f>IF('1. Live'!AR413='check-Jul''26'!AN413,"",'1. Live'!AR413-'check-Jul''26'!AN413)</f>
        <v/>
      </c>
      <c r="AO395" s="25" t="str">
        <f>IF('1. Live'!AS413='check-Jul''26'!AO413,"",'1. Live'!AS413-'check-Jul''26'!AO413)</f>
        <v/>
      </c>
      <c r="AP395" s="25" t="str">
        <f>IF('1. Live'!AT413='check-Jul''26'!AP413,"",'1. Live'!AT413-'check-Jul''26'!AP413)</f>
        <v/>
      </c>
      <c r="AQ395" s="25" t="str">
        <f>IF('1. Live'!AU413='check-Jul''26'!AQ413,"",'1. Live'!AU413-'check-Jul''26'!AQ413)</f>
        <v/>
      </c>
      <c r="AR395" s="25" t="str">
        <f>IF('1. Live'!AV413='check-Jul''26'!AR413,"",'1. Live'!AV413-'check-Jul''26'!AR413)</f>
        <v/>
      </c>
      <c r="AS395" s="25" t="str">
        <f>IF('1. Live'!AW413='check-Jul''26'!AS413,"",'1. Live'!AW413-'check-Jul''26'!AS413)</f>
        <v/>
      </c>
      <c r="AT395" s="25" t="str">
        <f>IF('1. Live'!AX413='check-Jul''26'!AT413,"",'1. Live'!AX413-'check-Jul''26'!AT413)</f>
        <v/>
      </c>
      <c r="AU395" s="25" t="str">
        <f>IF('1. Live'!AY413='check-Jul''26'!AU413,"",'1. Live'!AY413-'check-Jul''26'!AU413)</f>
        <v/>
      </c>
      <c r="AV395" s="25" t="str">
        <f>IF('1. Live'!AZ413='check-Jul''26'!AV413,"",'1. Live'!AZ413-'check-Jul''26'!AV413)</f>
        <v/>
      </c>
      <c r="AW395" s="25" t="str">
        <f>IF('1. Live'!BA413='check-Jul''26'!AW413,"",'1. Live'!BA413-'check-Jul''26'!AW413)</f>
        <v/>
      </c>
      <c r="AX395" s="25" t="str">
        <f>IF('1. Live'!BB413='check-Jul''26'!AX413,"",'1. Live'!BB413-'check-Jul''26'!AX413)</f>
        <v/>
      </c>
      <c r="AY395" s="25" t="str">
        <f>IF('1. Live'!BC413='check-Jul''26'!AY413,"",'1. Live'!BC413-'check-Jul''26'!AY413)</f>
        <v/>
      </c>
      <c r="AZ395" s="25" t="str">
        <f>IF('1. Live'!BD413='check-Jul''26'!AZ413,"",'1. Live'!BD413-'check-Jul''26'!AZ413)</f>
        <v/>
      </c>
      <c r="BA395" s="25" t="str">
        <f>IF('1. Live'!BE413='check-Jul''26'!BA413,"",'1. Live'!BE413-'check-Jul''26'!BA413)</f>
        <v/>
      </c>
      <c r="BB395" s="25" t="str">
        <f>IF('1. Live'!BF413='check-Jul''26'!BB413,"",'1. Live'!BF413-'check-Jul''26'!BB413)</f>
        <v/>
      </c>
      <c r="BC395" s="25" t="str">
        <f>IF('1. Live'!BG413='check-Jul''26'!BC413,"",'1. Live'!BG413-'check-Jul''26'!BC413)</f>
        <v/>
      </c>
      <c r="BD395" s="25" t="str">
        <f>IF('1. Live'!BH413='check-Jul''26'!BD413,"",'1. Live'!BH413-'check-Jul''26'!BD413)</f>
        <v/>
      </c>
      <c r="BE395" s="25" t="str">
        <f>IF('1. Live'!BI413='check-Jul''26'!BE413,"",'1. Live'!BI413-'check-Jul''26'!BE413)</f>
        <v/>
      </c>
      <c r="BF395" s="25" t="str">
        <f>IF('1. Live'!BJ413='check-Jul''26'!BF413,"",'1. Live'!BJ413-'check-Jul''26'!BF413)</f>
        <v/>
      </c>
      <c r="BG395" s="25" t="str">
        <f>IF('1. Live'!BK413='check-Jul''26'!BG413,"",'1. Live'!BK413-'check-Jul''26'!BG413)</f>
        <v/>
      </c>
      <c r="BH395" s="25" t="str">
        <f>IF('1. Live'!BL413='check-Jul''26'!BH413,"",'1. Live'!BL413-'check-Jul''26'!BH413)</f>
        <v/>
      </c>
      <c r="BI395" s="25" t="str">
        <f>IF('1. Live'!BM413='check-Jul''26'!BI413,"",'1. Live'!BM413-'check-Jul''26'!BI413)</f>
        <v/>
      </c>
      <c r="BJ395" s="25" t="str">
        <f>IF('1. Live'!BN413='check-Jul''26'!BJ413,"",'1. Live'!BN413-'check-Jul''26'!BJ413)</f>
        <v/>
      </c>
      <c r="BK395" s="25" t="str">
        <f>IF('1. Live'!BO413='check-Jul''26'!BK413,"",'1. Live'!BO413-'check-Jul''26'!BK413)</f>
        <v/>
      </c>
      <c r="BL395" s="25" t="str">
        <f>IF('1. Live'!BP413='check-Jul''26'!BL413,"",'1. Live'!BP413-'check-Jul''26'!BL413)</f>
        <v/>
      </c>
      <c r="BM395" s="25" t="str">
        <f>IF('1. Live'!BQ413='check-Jul''26'!BM413,"",'1. Live'!BQ413-'check-Jul''26'!BM413)</f>
        <v/>
      </c>
      <c r="BN395" s="25" t="str">
        <f>IF('1. Live'!BR413='check-Jul''26'!BN413,"",'1. Live'!BR413-'check-Jul''26'!BN413)</f>
        <v/>
      </c>
      <c r="BO395" s="25" t="str">
        <f>IF('1. Live'!BS413='check-Jul''26'!BO413,"",'1. Live'!BS413-'check-Jul''26'!BO413)</f>
        <v/>
      </c>
      <c r="BP395" s="25" t="str">
        <f>IF('1. Live'!BT413='check-Jul''26'!BP413,"",'1. Live'!BT413-'check-Jul''26'!BP413)</f>
        <v/>
      </c>
      <c r="BQ395" s="25" t="str">
        <f>IF('1. Live'!BU413='check-Jul''26'!BQ413,"",'1. Live'!BU413-'check-Jul''26'!BQ413)</f>
        <v/>
      </c>
      <c r="BR395" s="25" t="str">
        <f>IF('1. Live'!BV413='check-Jul''26'!BR413,"",'1. Live'!BV413-'check-Jul''26'!BR413)</f>
        <v/>
      </c>
      <c r="BS395" s="25" t="str">
        <f>IF('1. Live'!BW413='check-Jul''26'!BS413,"",'1. Live'!BW413-'check-Jul''26'!BS413)</f>
        <v/>
      </c>
      <c r="BT395" s="25" t="str">
        <f>IF('1. Live'!BX413='check-Jul''26'!BT413,"",'1. Live'!BX413-'check-Jul''26'!BT413)</f>
        <v/>
      </c>
      <c r="BU395" s="25" t="str">
        <f>IF('1. Live'!BY413='check-Jul''26'!BU413,"",'1. Live'!BY413-'check-Jul''26'!BU413)</f>
        <v/>
      </c>
      <c r="BV395" s="25" t="str">
        <f>IF('1. Live'!BZ413='check-Jul''26'!BV413,"",'1. Live'!BZ413-'check-Jul''26'!BV413)</f>
        <v/>
      </c>
      <c r="BW395" s="25" t="str">
        <f>IF('1. Live'!CA413='check-Jul''26'!BW413,"",'1. Live'!CA413-'check-Jul''26'!BW413)</f>
        <v/>
      </c>
      <c r="BX395" s="25" t="str">
        <f>IF('1. Live'!CB413='check-Jul''26'!BX413,"",'1. Live'!CB413-'check-Jul''26'!BX413)</f>
        <v/>
      </c>
      <c r="BY395" s="25" t="str">
        <f>IF('1. Live'!CC413='check-Jul''26'!BY413,"",'1. Live'!CC413-'check-Jul''26'!BY413)</f>
        <v/>
      </c>
      <c r="BZ395" s="25" t="str">
        <f>IF('1. Live'!CD413='check-Jul''26'!BZ413,"",'1. Live'!CD413-'check-Jul''26'!BZ413)</f>
        <v/>
      </c>
      <c r="CA395" s="25" t="str">
        <f>IF('1. Live'!CE413='check-Jul''26'!CA413,"",'1. Live'!CE413-'check-Jul''26'!CA413)</f>
        <v/>
      </c>
      <c r="CB395" s="25" t="str">
        <f>IF('1. Live'!CF413='check-Jul''26'!CB413,"",'1. Live'!CF413-'check-Jul''26'!CB413)</f>
        <v/>
      </c>
      <c r="CC395" s="25" t="str">
        <f>IF('1. Live'!CG413='check-Jul''26'!CC413,"",'1. Live'!CG413-'check-Jul''26'!CC413)</f>
        <v/>
      </c>
      <c r="CD395" s="25" t="str">
        <f>IF('1. Live'!CH413='check-Jul''26'!CD413,"",'1. Live'!CH413-'check-Jul''26'!CD413)</f>
        <v/>
      </c>
      <c r="CE395" s="25" t="str">
        <f>IF('1. Live'!CI413='check-Jul''26'!CE413,"",'1. Live'!CI413-'check-Jul''26'!CE413)</f>
        <v/>
      </c>
      <c r="CF395" s="25" t="str">
        <f>IF('1. Live'!CJ413='check-Jul''26'!CF413,"",'1. Live'!CJ413-'check-Jul''26'!CF413)</f>
        <v/>
      </c>
      <c r="CG395" s="25" t="str">
        <f>IF('1. Live'!CK413='check-Jul''26'!CG413,"",'1. Live'!CK413-'check-Jul''26'!CG413)</f>
        <v/>
      </c>
      <c r="CH395" s="25" t="str">
        <f>IF('1. Live'!CL413='check-Jul''26'!CH413,"",'1. Live'!CL413-'check-Jul''26'!CH413)</f>
        <v/>
      </c>
      <c r="CI395" s="25" t="str">
        <f>IF('1. Live'!CM413='check-Jul''26'!CI413,"",'1. Live'!CM413-'check-Jul''26'!CI413)</f>
        <v/>
      </c>
      <c r="CJ395" s="25" t="str">
        <f>IF('1. Live'!CN413='check-Jul''26'!CJ413,"",'1. Live'!CN413-'check-Jul''26'!CJ413)</f>
        <v/>
      </c>
      <c r="CK395" s="25" t="str">
        <f>IF('1. Live'!CO413='check-Jul''26'!CK413,"",'1. Live'!CO413-'check-Jul''26'!CK413)</f>
        <v/>
      </c>
      <c r="CL395" s="25" t="str">
        <f>IF('1. Live'!CP413='check-Jul''26'!CL413,"",'1. Live'!CP413-'check-Jul''26'!CL413)</f>
        <v/>
      </c>
      <c r="CM395" s="25" t="str">
        <f>IF('1. Live'!CQ413='check-Jul''26'!CM413,"",'1. Live'!CQ413-'check-Jul''26'!CM413)</f>
        <v/>
      </c>
      <c r="CN395" s="25" t="str">
        <f>IF('1. Live'!CR413='check-Jul''26'!CN413,"",'1. Live'!CR413-'check-Jul''26'!CN413)</f>
        <v/>
      </c>
      <c r="CO395" s="25" t="str">
        <f>IF('1. Live'!CS413='check-Jul''26'!CO413,"",'1. Live'!CS413-'check-Jul''26'!CO413)</f>
        <v/>
      </c>
      <c r="CP395" s="25" t="str">
        <f>IF('1. Live'!CT413='check-Jul''26'!CP413,"",'1. Live'!CT413-'check-Jul''26'!CP413)</f>
        <v/>
      </c>
      <c r="CQ395" s="25" t="str">
        <f>IF('1. Live'!CU413='check-Jul''26'!CQ413,"",'1. Live'!CU413-'check-Jul''26'!CQ413)</f>
        <v/>
      </c>
      <c r="CR395" s="25" t="str">
        <f>IF('1. Live'!CV413='check-Jul''26'!CR413,"",'1. Live'!CV413-'check-Jul''26'!CR413)</f>
        <v/>
      </c>
      <c r="CS395" s="25" t="str">
        <f>IF('1. Live'!CW413='check-Jul''26'!CS413,"",'1. Live'!CW413-'check-Jul''26'!CS413)</f>
        <v/>
      </c>
      <c r="CT395" s="25" t="str">
        <f>IF('1. Live'!CX413='check-Jul''26'!CT413,"",'1. Live'!CX413-'check-Jul''26'!CT413)</f>
        <v/>
      </c>
      <c r="CU395" s="25" t="str">
        <f>IF('1. Live'!CY413='check-Jul''26'!CU413,"",'1. Live'!CY413-'check-Jul''26'!CU413)</f>
        <v/>
      </c>
      <c r="CV395" s="25" t="str">
        <f>IF('1. Live'!CZ413='check-Jul''26'!CV413,"",'1. Live'!CZ413-'check-Jul''26'!CV413)</f>
        <v/>
      </c>
    </row>
    <row r="396" spans="17:100" x14ac:dyDescent="0.25">
      <c r="Q396" s="26" t="str">
        <f>IF('1. Live'!N414='check-Jul''26'!I414,"",'1. Live'!N414-'check-Jul''26'!I414)</f>
        <v/>
      </c>
      <c r="R396" s="26" t="str">
        <f>IF('1. Live'!O414='check-Jul''26'!J414,"",'1. Live'!O414-'check-Jul''26'!J414)</f>
        <v/>
      </c>
      <c r="S396" s="26" t="str">
        <f>IF('1. Live'!P414='check-Jul''26'!K414,"",'1. Live'!P414-'check-Jul''26'!K414)</f>
        <v/>
      </c>
      <c r="T396" s="26" t="str">
        <f>IF('1. Live'!Q414='check-Jul''26'!L414,"",'1. Live'!Q414-'check-Jul''26'!L414)</f>
        <v/>
      </c>
      <c r="U396" s="80" t="str">
        <f>IF('1. Live'!R414='check-Jul''26'!M414,"",'1. Live'!R414-'check-Jul''26'!M414)</f>
        <v/>
      </c>
      <c r="V396" s="26" t="str">
        <f>IF('1. Live'!S414='check-Jul''26'!N414,"",'1. Live'!S414-'check-Jul''26'!N414)</f>
        <v/>
      </c>
      <c r="W396" s="25" t="str">
        <f>IF('1. Live'!T414='check-Jul''26'!O414,"",'1. Live'!T414-'check-Jul''26'!O414)</f>
        <v/>
      </c>
      <c r="X396" s="25" t="str">
        <f>IF('1. Live'!U414='check-Jul''26'!Q414,"",'1. Live'!U414-'check-Jul''26'!Q414)</f>
        <v/>
      </c>
      <c r="Y396" s="25" t="str">
        <f>IF('1. Live'!V414='check-Jul''26'!R414,"",'1. Live'!V414-'check-Jul''26'!R414)</f>
        <v/>
      </c>
      <c r="Z396" s="25" t="str">
        <f>IF('1. Live'!W414='check-Jul''26'!S414,"",'1. Live'!W414-'check-Jul''26'!S414)</f>
        <v/>
      </c>
      <c r="AA396" s="25" t="str">
        <f>IF('1. Live'!X414='check-Jul''26'!T414,"",'1. Live'!X414-'check-Jul''26'!T414)</f>
        <v/>
      </c>
      <c r="AB396" s="25" t="str">
        <f>IF('1. Live'!AF414='check-Jul''26'!AB414,"",'1. Live'!AF414-'check-Jul''26'!AB414)</f>
        <v/>
      </c>
      <c r="AC396" s="25" t="str">
        <f>IF('1. Live'!AG414='check-Jul''26'!AC414,"",'1. Live'!AG414-'check-Jul''26'!AC414)</f>
        <v/>
      </c>
      <c r="AD396" s="25" t="str">
        <f>IF('1. Live'!AH414='check-Jul''26'!AD414,"",'1. Live'!AH414-'check-Jul''26'!AD414)</f>
        <v/>
      </c>
      <c r="AE396" s="25" t="str">
        <f>IF('1. Live'!AI414='check-Jul''26'!AE414,"",'1. Live'!AI414-'check-Jul''26'!AE414)</f>
        <v/>
      </c>
      <c r="AF396" s="25" t="str">
        <f>IF('1. Live'!AJ414='check-Jul''26'!AF414,"",'1. Live'!AJ414-'check-Jul''26'!AF414)</f>
        <v/>
      </c>
      <c r="AG396" s="25" t="str">
        <f>IF('1. Live'!AK414='check-Jul''26'!AG414,"",'1. Live'!AK414-'check-Jul''26'!AG414)</f>
        <v/>
      </c>
      <c r="AH396" s="25" t="str">
        <f>IF('1. Live'!AL414='check-Jul''26'!AH414,"",'1. Live'!AL414-'check-Jul''26'!AH414)</f>
        <v/>
      </c>
      <c r="AI396" s="25" t="str">
        <f>IF('1. Live'!AM414='check-Jul''26'!AI414,"",'1. Live'!AM414-'check-Jul''26'!AI414)</f>
        <v/>
      </c>
      <c r="AJ396" s="25" t="str">
        <f>IF('1. Live'!AN414='check-Jul''26'!AJ414,"",'1. Live'!AN414-'check-Jul''26'!AJ414)</f>
        <v/>
      </c>
      <c r="AK396" s="25" t="str">
        <f>IF('1. Live'!AO414='check-Jul''26'!AK414,"",'1. Live'!AO414-'check-Jul''26'!AK414)</f>
        <v/>
      </c>
      <c r="AL396" s="25" t="str">
        <f>IF('1. Live'!AP414='check-Jul''26'!AL414,"",'1. Live'!AP414-'check-Jul''26'!AL414)</f>
        <v/>
      </c>
      <c r="AM396" s="25" t="str">
        <f>IF('1. Live'!AQ414='check-Jul''26'!AM414,"",'1. Live'!AQ414-'check-Jul''26'!AM414)</f>
        <v/>
      </c>
      <c r="AN396" s="25" t="str">
        <f>IF('1. Live'!AR414='check-Jul''26'!AN414,"",'1. Live'!AR414-'check-Jul''26'!AN414)</f>
        <v/>
      </c>
      <c r="AO396" s="25" t="str">
        <f>IF('1. Live'!AS414='check-Jul''26'!AO414,"",'1. Live'!AS414-'check-Jul''26'!AO414)</f>
        <v/>
      </c>
      <c r="AP396" s="25" t="str">
        <f>IF('1. Live'!AT414='check-Jul''26'!AP414,"",'1. Live'!AT414-'check-Jul''26'!AP414)</f>
        <v/>
      </c>
      <c r="AQ396" s="25" t="str">
        <f>IF('1. Live'!AU414='check-Jul''26'!AQ414,"",'1. Live'!AU414-'check-Jul''26'!AQ414)</f>
        <v/>
      </c>
      <c r="AR396" s="25" t="str">
        <f>IF('1. Live'!AV414='check-Jul''26'!AR414,"",'1. Live'!AV414-'check-Jul''26'!AR414)</f>
        <v/>
      </c>
      <c r="AS396" s="25" t="str">
        <f>IF('1. Live'!AW414='check-Jul''26'!AS414,"",'1. Live'!AW414-'check-Jul''26'!AS414)</f>
        <v/>
      </c>
      <c r="AT396" s="25" t="str">
        <f>IF('1. Live'!AX414='check-Jul''26'!AT414,"",'1. Live'!AX414-'check-Jul''26'!AT414)</f>
        <v/>
      </c>
      <c r="AU396" s="25" t="str">
        <f>IF('1. Live'!AY414='check-Jul''26'!AU414,"",'1. Live'!AY414-'check-Jul''26'!AU414)</f>
        <v/>
      </c>
      <c r="AV396" s="25" t="str">
        <f>IF('1. Live'!AZ414='check-Jul''26'!AV414,"",'1. Live'!AZ414-'check-Jul''26'!AV414)</f>
        <v/>
      </c>
      <c r="AW396" s="25" t="str">
        <f>IF('1. Live'!BA414='check-Jul''26'!AW414,"",'1. Live'!BA414-'check-Jul''26'!AW414)</f>
        <v/>
      </c>
      <c r="AX396" s="25" t="str">
        <f>IF('1. Live'!BB414='check-Jul''26'!AX414,"",'1. Live'!BB414-'check-Jul''26'!AX414)</f>
        <v/>
      </c>
      <c r="AY396" s="25" t="str">
        <f>IF('1. Live'!BC414='check-Jul''26'!AY414,"",'1. Live'!BC414-'check-Jul''26'!AY414)</f>
        <v/>
      </c>
      <c r="AZ396" s="25" t="str">
        <f>IF('1. Live'!BD414='check-Jul''26'!AZ414,"",'1. Live'!BD414-'check-Jul''26'!AZ414)</f>
        <v/>
      </c>
      <c r="BA396" s="25" t="str">
        <f>IF('1. Live'!BE414='check-Jul''26'!BA414,"",'1. Live'!BE414-'check-Jul''26'!BA414)</f>
        <v/>
      </c>
      <c r="BB396" s="25" t="str">
        <f>IF('1. Live'!BF414='check-Jul''26'!BB414,"",'1. Live'!BF414-'check-Jul''26'!BB414)</f>
        <v/>
      </c>
      <c r="BC396" s="25" t="str">
        <f>IF('1. Live'!BG414='check-Jul''26'!BC414,"",'1. Live'!BG414-'check-Jul''26'!BC414)</f>
        <v/>
      </c>
      <c r="BD396" s="25" t="str">
        <f>IF('1. Live'!BH414='check-Jul''26'!BD414,"",'1. Live'!BH414-'check-Jul''26'!BD414)</f>
        <v/>
      </c>
      <c r="BE396" s="25" t="str">
        <f>IF('1. Live'!BI414='check-Jul''26'!BE414,"",'1. Live'!BI414-'check-Jul''26'!BE414)</f>
        <v/>
      </c>
      <c r="BF396" s="25" t="str">
        <f>IF('1. Live'!BJ414='check-Jul''26'!BF414,"",'1. Live'!BJ414-'check-Jul''26'!BF414)</f>
        <v/>
      </c>
      <c r="BG396" s="25" t="str">
        <f>IF('1. Live'!BK414='check-Jul''26'!BG414,"",'1. Live'!BK414-'check-Jul''26'!BG414)</f>
        <v/>
      </c>
      <c r="BH396" s="25" t="str">
        <f>IF('1. Live'!BL414='check-Jul''26'!BH414,"",'1. Live'!BL414-'check-Jul''26'!BH414)</f>
        <v/>
      </c>
      <c r="BI396" s="25" t="str">
        <f>IF('1. Live'!BM414='check-Jul''26'!BI414,"",'1. Live'!BM414-'check-Jul''26'!BI414)</f>
        <v/>
      </c>
      <c r="BJ396" s="25" t="str">
        <f>IF('1. Live'!BN414='check-Jul''26'!BJ414,"",'1. Live'!BN414-'check-Jul''26'!BJ414)</f>
        <v/>
      </c>
      <c r="BK396" s="25" t="str">
        <f>IF('1. Live'!BO414='check-Jul''26'!BK414,"",'1. Live'!BO414-'check-Jul''26'!BK414)</f>
        <v/>
      </c>
      <c r="BL396" s="25" t="str">
        <f>IF('1. Live'!BP414='check-Jul''26'!BL414,"",'1. Live'!BP414-'check-Jul''26'!BL414)</f>
        <v/>
      </c>
      <c r="BM396" s="25" t="str">
        <f>IF('1. Live'!BQ414='check-Jul''26'!BM414,"",'1. Live'!BQ414-'check-Jul''26'!BM414)</f>
        <v/>
      </c>
      <c r="BN396" s="25" t="str">
        <f>IF('1. Live'!BR414='check-Jul''26'!BN414,"",'1. Live'!BR414-'check-Jul''26'!BN414)</f>
        <v/>
      </c>
      <c r="BO396" s="25" t="str">
        <f>IF('1. Live'!BS414='check-Jul''26'!BO414,"",'1. Live'!BS414-'check-Jul''26'!BO414)</f>
        <v/>
      </c>
      <c r="BP396" s="25" t="str">
        <f>IF('1. Live'!BT414='check-Jul''26'!BP414,"",'1. Live'!BT414-'check-Jul''26'!BP414)</f>
        <v/>
      </c>
      <c r="BQ396" s="25" t="str">
        <f>IF('1. Live'!BU414='check-Jul''26'!BQ414,"",'1. Live'!BU414-'check-Jul''26'!BQ414)</f>
        <v/>
      </c>
      <c r="BR396" s="25" t="str">
        <f>IF('1. Live'!BV414='check-Jul''26'!BR414,"",'1. Live'!BV414-'check-Jul''26'!BR414)</f>
        <v/>
      </c>
      <c r="BS396" s="25" t="str">
        <f>IF('1. Live'!BW414='check-Jul''26'!BS414,"",'1. Live'!BW414-'check-Jul''26'!BS414)</f>
        <v/>
      </c>
      <c r="BT396" s="25" t="str">
        <f>IF('1. Live'!BX414='check-Jul''26'!BT414,"",'1. Live'!BX414-'check-Jul''26'!BT414)</f>
        <v/>
      </c>
      <c r="BU396" s="25" t="str">
        <f>IF('1. Live'!BY414='check-Jul''26'!BU414,"",'1. Live'!BY414-'check-Jul''26'!BU414)</f>
        <v/>
      </c>
      <c r="BV396" s="25" t="str">
        <f>IF('1. Live'!BZ414='check-Jul''26'!BV414,"",'1. Live'!BZ414-'check-Jul''26'!BV414)</f>
        <v/>
      </c>
      <c r="BW396" s="25" t="str">
        <f>IF('1. Live'!CA414='check-Jul''26'!BW414,"",'1. Live'!CA414-'check-Jul''26'!BW414)</f>
        <v/>
      </c>
      <c r="BX396" s="25" t="str">
        <f>IF('1. Live'!CB414='check-Jul''26'!BX414,"",'1. Live'!CB414-'check-Jul''26'!BX414)</f>
        <v/>
      </c>
      <c r="BY396" s="25" t="str">
        <f>IF('1. Live'!CC414='check-Jul''26'!BY414,"",'1. Live'!CC414-'check-Jul''26'!BY414)</f>
        <v/>
      </c>
      <c r="BZ396" s="25" t="str">
        <f>IF('1. Live'!CD414='check-Jul''26'!BZ414,"",'1. Live'!CD414-'check-Jul''26'!BZ414)</f>
        <v/>
      </c>
      <c r="CA396" s="25" t="str">
        <f>IF('1. Live'!CE414='check-Jul''26'!CA414,"",'1. Live'!CE414-'check-Jul''26'!CA414)</f>
        <v/>
      </c>
      <c r="CB396" s="25" t="str">
        <f>IF('1. Live'!CF414='check-Jul''26'!CB414,"",'1. Live'!CF414-'check-Jul''26'!CB414)</f>
        <v/>
      </c>
      <c r="CC396" s="25" t="str">
        <f>IF('1. Live'!CG414='check-Jul''26'!CC414,"",'1. Live'!CG414-'check-Jul''26'!CC414)</f>
        <v/>
      </c>
      <c r="CD396" s="25" t="str">
        <f>IF('1. Live'!CH414='check-Jul''26'!CD414,"",'1. Live'!CH414-'check-Jul''26'!CD414)</f>
        <v/>
      </c>
      <c r="CE396" s="25" t="str">
        <f>IF('1. Live'!CI414='check-Jul''26'!CE414,"",'1. Live'!CI414-'check-Jul''26'!CE414)</f>
        <v/>
      </c>
      <c r="CF396" s="25" t="str">
        <f>IF('1. Live'!CJ414='check-Jul''26'!CF414,"",'1. Live'!CJ414-'check-Jul''26'!CF414)</f>
        <v/>
      </c>
      <c r="CG396" s="25" t="str">
        <f>IF('1. Live'!CK414='check-Jul''26'!CG414,"",'1. Live'!CK414-'check-Jul''26'!CG414)</f>
        <v/>
      </c>
      <c r="CH396" s="25" t="str">
        <f>IF('1. Live'!CL414='check-Jul''26'!CH414,"",'1. Live'!CL414-'check-Jul''26'!CH414)</f>
        <v/>
      </c>
      <c r="CI396" s="25" t="str">
        <f>IF('1. Live'!CM414='check-Jul''26'!CI414,"",'1. Live'!CM414-'check-Jul''26'!CI414)</f>
        <v/>
      </c>
      <c r="CJ396" s="25" t="str">
        <f>IF('1. Live'!CN414='check-Jul''26'!CJ414,"",'1. Live'!CN414-'check-Jul''26'!CJ414)</f>
        <v/>
      </c>
      <c r="CK396" s="25" t="str">
        <f>IF('1. Live'!CO414='check-Jul''26'!CK414,"",'1. Live'!CO414-'check-Jul''26'!CK414)</f>
        <v/>
      </c>
      <c r="CL396" s="25" t="str">
        <f>IF('1. Live'!CP414='check-Jul''26'!CL414,"",'1. Live'!CP414-'check-Jul''26'!CL414)</f>
        <v/>
      </c>
      <c r="CM396" s="25" t="str">
        <f>IF('1. Live'!CQ414='check-Jul''26'!CM414,"",'1. Live'!CQ414-'check-Jul''26'!CM414)</f>
        <v/>
      </c>
      <c r="CN396" s="25" t="str">
        <f>IF('1. Live'!CR414='check-Jul''26'!CN414,"",'1. Live'!CR414-'check-Jul''26'!CN414)</f>
        <v/>
      </c>
      <c r="CO396" s="25" t="str">
        <f>IF('1. Live'!CS414='check-Jul''26'!CO414,"",'1. Live'!CS414-'check-Jul''26'!CO414)</f>
        <v/>
      </c>
      <c r="CP396" s="25" t="str">
        <f>IF('1. Live'!CT414='check-Jul''26'!CP414,"",'1. Live'!CT414-'check-Jul''26'!CP414)</f>
        <v/>
      </c>
      <c r="CQ396" s="25" t="str">
        <f>IF('1. Live'!CU414='check-Jul''26'!CQ414,"",'1. Live'!CU414-'check-Jul''26'!CQ414)</f>
        <v/>
      </c>
      <c r="CR396" s="25" t="str">
        <f>IF('1. Live'!CV414='check-Jul''26'!CR414,"",'1. Live'!CV414-'check-Jul''26'!CR414)</f>
        <v/>
      </c>
      <c r="CS396" s="25" t="str">
        <f>IF('1. Live'!CW414='check-Jul''26'!CS414,"",'1. Live'!CW414-'check-Jul''26'!CS414)</f>
        <v/>
      </c>
      <c r="CT396" s="25" t="str">
        <f>IF('1. Live'!CX414='check-Jul''26'!CT414,"",'1. Live'!CX414-'check-Jul''26'!CT414)</f>
        <v/>
      </c>
      <c r="CU396" s="25" t="str">
        <f>IF('1. Live'!CY414='check-Jul''26'!CU414,"",'1. Live'!CY414-'check-Jul''26'!CU414)</f>
        <v/>
      </c>
      <c r="CV396" s="25" t="str">
        <f>IF('1. Live'!CZ414='check-Jul''26'!CV414,"",'1. Live'!CZ414-'check-Jul''26'!CV414)</f>
        <v/>
      </c>
    </row>
    <row r="397" spans="17:100" x14ac:dyDescent="0.25">
      <c r="Q397" s="26" t="str">
        <f>IF('1. Live'!N415='check-Jul''26'!I415,"",'1. Live'!N415-'check-Jul''26'!I415)</f>
        <v/>
      </c>
      <c r="R397" s="26" t="str">
        <f>IF('1. Live'!O415='check-Jul''26'!J415,"",'1. Live'!O415-'check-Jul''26'!J415)</f>
        <v/>
      </c>
      <c r="S397" s="26" t="str">
        <f>IF('1. Live'!P415='check-Jul''26'!K415,"",'1. Live'!P415-'check-Jul''26'!K415)</f>
        <v/>
      </c>
      <c r="T397" s="26" t="str">
        <f>IF('1. Live'!Q415='check-Jul''26'!L415,"",'1. Live'!Q415-'check-Jul''26'!L415)</f>
        <v/>
      </c>
      <c r="U397" s="80" t="str">
        <f>IF('1. Live'!R415='check-Jul''26'!M415,"",'1. Live'!R415-'check-Jul''26'!M415)</f>
        <v/>
      </c>
      <c r="V397" s="26" t="str">
        <f>IF('1. Live'!S415='check-Jul''26'!N415,"",'1. Live'!S415-'check-Jul''26'!N415)</f>
        <v/>
      </c>
      <c r="W397" s="25" t="str">
        <f>IF('1. Live'!T415='check-Jul''26'!O415,"",'1. Live'!T415-'check-Jul''26'!O415)</f>
        <v/>
      </c>
      <c r="X397" s="25" t="str">
        <f>IF('1. Live'!U415='check-Jul''26'!Q415,"",'1. Live'!U415-'check-Jul''26'!Q415)</f>
        <v/>
      </c>
      <c r="Y397" s="25" t="str">
        <f>IF('1. Live'!V415='check-Jul''26'!R415,"",'1. Live'!V415-'check-Jul''26'!R415)</f>
        <v/>
      </c>
      <c r="Z397" s="25" t="str">
        <f>IF('1. Live'!W415='check-Jul''26'!S415,"",'1. Live'!W415-'check-Jul''26'!S415)</f>
        <v/>
      </c>
      <c r="AA397" s="25" t="str">
        <f>IF('1. Live'!X415='check-Jul''26'!T415,"",'1. Live'!X415-'check-Jul''26'!T415)</f>
        <v/>
      </c>
      <c r="AB397" s="25" t="str">
        <f>IF('1. Live'!AF415='check-Jul''26'!AB415,"",'1. Live'!AF415-'check-Jul''26'!AB415)</f>
        <v/>
      </c>
      <c r="AC397" s="25" t="str">
        <f>IF('1. Live'!AG415='check-Jul''26'!AC415,"",'1. Live'!AG415-'check-Jul''26'!AC415)</f>
        <v/>
      </c>
      <c r="AD397" s="25" t="str">
        <f>IF('1. Live'!AH415='check-Jul''26'!AD415,"",'1. Live'!AH415-'check-Jul''26'!AD415)</f>
        <v/>
      </c>
      <c r="AE397" s="25" t="str">
        <f>IF('1. Live'!AI415='check-Jul''26'!AE415,"",'1. Live'!AI415-'check-Jul''26'!AE415)</f>
        <v/>
      </c>
      <c r="AF397" s="25" t="str">
        <f>IF('1. Live'!AJ415='check-Jul''26'!AF415,"",'1. Live'!AJ415-'check-Jul''26'!AF415)</f>
        <v/>
      </c>
      <c r="AG397" s="25" t="str">
        <f>IF('1. Live'!AK415='check-Jul''26'!AG415,"",'1. Live'!AK415-'check-Jul''26'!AG415)</f>
        <v/>
      </c>
      <c r="AH397" s="25" t="str">
        <f>IF('1. Live'!AL415='check-Jul''26'!AH415,"",'1. Live'!AL415-'check-Jul''26'!AH415)</f>
        <v/>
      </c>
      <c r="AI397" s="25" t="str">
        <f>IF('1. Live'!AM415='check-Jul''26'!AI415,"",'1. Live'!AM415-'check-Jul''26'!AI415)</f>
        <v/>
      </c>
      <c r="AJ397" s="25" t="str">
        <f>IF('1. Live'!AN415='check-Jul''26'!AJ415,"",'1. Live'!AN415-'check-Jul''26'!AJ415)</f>
        <v/>
      </c>
      <c r="AK397" s="25" t="str">
        <f>IF('1. Live'!AO415='check-Jul''26'!AK415,"",'1. Live'!AO415-'check-Jul''26'!AK415)</f>
        <v/>
      </c>
      <c r="AL397" s="25" t="str">
        <f>IF('1. Live'!AP415='check-Jul''26'!AL415,"",'1. Live'!AP415-'check-Jul''26'!AL415)</f>
        <v/>
      </c>
      <c r="AM397" s="25" t="str">
        <f>IF('1. Live'!AQ415='check-Jul''26'!AM415,"",'1. Live'!AQ415-'check-Jul''26'!AM415)</f>
        <v/>
      </c>
      <c r="AN397" s="25" t="str">
        <f>IF('1. Live'!AR415='check-Jul''26'!AN415,"",'1. Live'!AR415-'check-Jul''26'!AN415)</f>
        <v/>
      </c>
      <c r="AO397" s="25" t="str">
        <f>IF('1. Live'!AS415='check-Jul''26'!AO415,"",'1. Live'!AS415-'check-Jul''26'!AO415)</f>
        <v/>
      </c>
      <c r="AP397" s="25" t="str">
        <f>IF('1. Live'!AT415='check-Jul''26'!AP415,"",'1. Live'!AT415-'check-Jul''26'!AP415)</f>
        <v/>
      </c>
      <c r="AQ397" s="25" t="str">
        <f>IF('1. Live'!AU415='check-Jul''26'!AQ415,"",'1. Live'!AU415-'check-Jul''26'!AQ415)</f>
        <v/>
      </c>
      <c r="AR397" s="25" t="str">
        <f>IF('1. Live'!AV415='check-Jul''26'!AR415,"",'1. Live'!AV415-'check-Jul''26'!AR415)</f>
        <v/>
      </c>
      <c r="AS397" s="25" t="str">
        <f>IF('1. Live'!AW415='check-Jul''26'!AS415,"",'1. Live'!AW415-'check-Jul''26'!AS415)</f>
        <v/>
      </c>
      <c r="AT397" s="25" t="str">
        <f>IF('1. Live'!AX415='check-Jul''26'!AT415,"",'1. Live'!AX415-'check-Jul''26'!AT415)</f>
        <v/>
      </c>
      <c r="AU397" s="25" t="str">
        <f>IF('1. Live'!AY415='check-Jul''26'!AU415,"",'1. Live'!AY415-'check-Jul''26'!AU415)</f>
        <v/>
      </c>
      <c r="AV397" s="25" t="str">
        <f>IF('1. Live'!AZ415='check-Jul''26'!AV415,"",'1. Live'!AZ415-'check-Jul''26'!AV415)</f>
        <v/>
      </c>
      <c r="AW397" s="25" t="str">
        <f>IF('1. Live'!BA415='check-Jul''26'!AW415,"",'1. Live'!BA415-'check-Jul''26'!AW415)</f>
        <v/>
      </c>
      <c r="AX397" s="25" t="str">
        <f>IF('1. Live'!BB415='check-Jul''26'!AX415,"",'1. Live'!BB415-'check-Jul''26'!AX415)</f>
        <v/>
      </c>
      <c r="AY397" s="25" t="str">
        <f>IF('1. Live'!BC415='check-Jul''26'!AY415,"",'1. Live'!BC415-'check-Jul''26'!AY415)</f>
        <v/>
      </c>
      <c r="AZ397" s="25" t="str">
        <f>IF('1. Live'!BD415='check-Jul''26'!AZ415,"",'1. Live'!BD415-'check-Jul''26'!AZ415)</f>
        <v/>
      </c>
      <c r="BA397" s="25" t="str">
        <f>IF('1. Live'!BE415='check-Jul''26'!BA415,"",'1. Live'!BE415-'check-Jul''26'!BA415)</f>
        <v/>
      </c>
      <c r="BB397" s="25" t="str">
        <f>IF('1. Live'!BF415='check-Jul''26'!BB415,"",'1. Live'!BF415-'check-Jul''26'!BB415)</f>
        <v/>
      </c>
      <c r="BC397" s="25" t="str">
        <f>IF('1. Live'!BG415='check-Jul''26'!BC415,"",'1. Live'!BG415-'check-Jul''26'!BC415)</f>
        <v/>
      </c>
      <c r="BD397" s="25" t="str">
        <f>IF('1. Live'!BH415='check-Jul''26'!BD415,"",'1. Live'!BH415-'check-Jul''26'!BD415)</f>
        <v/>
      </c>
      <c r="BE397" s="25" t="str">
        <f>IF('1. Live'!BI415='check-Jul''26'!BE415,"",'1. Live'!BI415-'check-Jul''26'!BE415)</f>
        <v/>
      </c>
      <c r="BF397" s="25" t="str">
        <f>IF('1. Live'!BJ415='check-Jul''26'!BF415,"",'1. Live'!BJ415-'check-Jul''26'!BF415)</f>
        <v/>
      </c>
      <c r="BG397" s="25" t="str">
        <f>IF('1. Live'!BK415='check-Jul''26'!BG415,"",'1. Live'!BK415-'check-Jul''26'!BG415)</f>
        <v/>
      </c>
      <c r="BH397" s="25" t="str">
        <f>IF('1. Live'!BL415='check-Jul''26'!BH415,"",'1. Live'!BL415-'check-Jul''26'!BH415)</f>
        <v/>
      </c>
      <c r="BI397" s="25" t="str">
        <f>IF('1. Live'!BM415='check-Jul''26'!BI415,"",'1. Live'!BM415-'check-Jul''26'!BI415)</f>
        <v/>
      </c>
      <c r="BJ397" s="25" t="str">
        <f>IF('1. Live'!BN415='check-Jul''26'!BJ415,"",'1. Live'!BN415-'check-Jul''26'!BJ415)</f>
        <v/>
      </c>
      <c r="BK397" s="25" t="str">
        <f>IF('1. Live'!BO415='check-Jul''26'!BK415,"",'1. Live'!BO415-'check-Jul''26'!BK415)</f>
        <v/>
      </c>
      <c r="BL397" s="25" t="str">
        <f>IF('1. Live'!BP415='check-Jul''26'!BL415,"",'1. Live'!BP415-'check-Jul''26'!BL415)</f>
        <v/>
      </c>
      <c r="BM397" s="25" t="str">
        <f>IF('1. Live'!BQ415='check-Jul''26'!BM415,"",'1. Live'!BQ415-'check-Jul''26'!BM415)</f>
        <v/>
      </c>
      <c r="BN397" s="25" t="str">
        <f>IF('1. Live'!BR415='check-Jul''26'!BN415,"",'1. Live'!BR415-'check-Jul''26'!BN415)</f>
        <v/>
      </c>
      <c r="BO397" s="25" t="str">
        <f>IF('1. Live'!BS415='check-Jul''26'!BO415,"",'1. Live'!BS415-'check-Jul''26'!BO415)</f>
        <v/>
      </c>
      <c r="BP397" s="25" t="str">
        <f>IF('1. Live'!BT415='check-Jul''26'!BP415,"",'1. Live'!BT415-'check-Jul''26'!BP415)</f>
        <v/>
      </c>
      <c r="BQ397" s="25" t="str">
        <f>IF('1. Live'!BU415='check-Jul''26'!BQ415,"",'1. Live'!BU415-'check-Jul''26'!BQ415)</f>
        <v/>
      </c>
      <c r="BR397" s="25" t="str">
        <f>IF('1. Live'!BV415='check-Jul''26'!BR415,"",'1. Live'!BV415-'check-Jul''26'!BR415)</f>
        <v/>
      </c>
      <c r="BS397" s="25" t="str">
        <f>IF('1. Live'!BW415='check-Jul''26'!BS415,"",'1. Live'!BW415-'check-Jul''26'!BS415)</f>
        <v/>
      </c>
      <c r="BT397" s="25" t="str">
        <f>IF('1. Live'!BX415='check-Jul''26'!BT415,"",'1. Live'!BX415-'check-Jul''26'!BT415)</f>
        <v/>
      </c>
      <c r="BU397" s="25" t="str">
        <f>IF('1. Live'!BY415='check-Jul''26'!BU415,"",'1. Live'!BY415-'check-Jul''26'!BU415)</f>
        <v/>
      </c>
      <c r="BV397" s="25" t="str">
        <f>IF('1. Live'!BZ415='check-Jul''26'!BV415,"",'1. Live'!BZ415-'check-Jul''26'!BV415)</f>
        <v/>
      </c>
      <c r="BW397" s="25" t="str">
        <f>IF('1. Live'!CA415='check-Jul''26'!BW415,"",'1. Live'!CA415-'check-Jul''26'!BW415)</f>
        <v/>
      </c>
      <c r="BX397" s="25" t="str">
        <f>IF('1. Live'!CB415='check-Jul''26'!BX415,"",'1. Live'!CB415-'check-Jul''26'!BX415)</f>
        <v/>
      </c>
      <c r="BY397" s="25" t="str">
        <f>IF('1. Live'!CC415='check-Jul''26'!BY415,"",'1. Live'!CC415-'check-Jul''26'!BY415)</f>
        <v/>
      </c>
      <c r="BZ397" s="25" t="str">
        <f>IF('1. Live'!CD415='check-Jul''26'!BZ415,"",'1. Live'!CD415-'check-Jul''26'!BZ415)</f>
        <v/>
      </c>
      <c r="CA397" s="25" t="str">
        <f>IF('1. Live'!CE415='check-Jul''26'!CA415,"",'1. Live'!CE415-'check-Jul''26'!CA415)</f>
        <v/>
      </c>
      <c r="CB397" s="25" t="str">
        <f>IF('1. Live'!CF415='check-Jul''26'!CB415,"",'1. Live'!CF415-'check-Jul''26'!CB415)</f>
        <v/>
      </c>
      <c r="CC397" s="25" t="str">
        <f>IF('1. Live'!CG415='check-Jul''26'!CC415,"",'1. Live'!CG415-'check-Jul''26'!CC415)</f>
        <v/>
      </c>
      <c r="CD397" s="25" t="str">
        <f>IF('1. Live'!CH415='check-Jul''26'!CD415,"",'1. Live'!CH415-'check-Jul''26'!CD415)</f>
        <v/>
      </c>
      <c r="CE397" s="25" t="str">
        <f>IF('1. Live'!CI415='check-Jul''26'!CE415,"",'1. Live'!CI415-'check-Jul''26'!CE415)</f>
        <v/>
      </c>
      <c r="CF397" s="25" t="str">
        <f>IF('1. Live'!CJ415='check-Jul''26'!CF415,"",'1. Live'!CJ415-'check-Jul''26'!CF415)</f>
        <v/>
      </c>
      <c r="CG397" s="25" t="str">
        <f>IF('1. Live'!CK415='check-Jul''26'!CG415,"",'1. Live'!CK415-'check-Jul''26'!CG415)</f>
        <v/>
      </c>
      <c r="CH397" s="25" t="str">
        <f>IF('1. Live'!CL415='check-Jul''26'!CH415,"",'1. Live'!CL415-'check-Jul''26'!CH415)</f>
        <v/>
      </c>
      <c r="CI397" s="25" t="str">
        <f>IF('1. Live'!CM415='check-Jul''26'!CI415,"",'1. Live'!CM415-'check-Jul''26'!CI415)</f>
        <v/>
      </c>
      <c r="CJ397" s="25" t="str">
        <f>IF('1. Live'!CN415='check-Jul''26'!CJ415,"",'1. Live'!CN415-'check-Jul''26'!CJ415)</f>
        <v/>
      </c>
      <c r="CK397" s="25" t="str">
        <f>IF('1. Live'!CO415='check-Jul''26'!CK415,"",'1. Live'!CO415-'check-Jul''26'!CK415)</f>
        <v/>
      </c>
      <c r="CL397" s="25" t="str">
        <f>IF('1. Live'!CP415='check-Jul''26'!CL415,"",'1. Live'!CP415-'check-Jul''26'!CL415)</f>
        <v/>
      </c>
      <c r="CM397" s="25" t="str">
        <f>IF('1. Live'!CQ415='check-Jul''26'!CM415,"",'1. Live'!CQ415-'check-Jul''26'!CM415)</f>
        <v/>
      </c>
      <c r="CN397" s="25" t="str">
        <f>IF('1. Live'!CR415='check-Jul''26'!CN415,"",'1. Live'!CR415-'check-Jul''26'!CN415)</f>
        <v/>
      </c>
      <c r="CO397" s="25" t="str">
        <f>IF('1. Live'!CS415='check-Jul''26'!CO415,"",'1. Live'!CS415-'check-Jul''26'!CO415)</f>
        <v/>
      </c>
      <c r="CP397" s="25" t="str">
        <f>IF('1. Live'!CT415='check-Jul''26'!CP415,"",'1. Live'!CT415-'check-Jul''26'!CP415)</f>
        <v/>
      </c>
      <c r="CQ397" s="25" t="str">
        <f>IF('1. Live'!CU415='check-Jul''26'!CQ415,"",'1. Live'!CU415-'check-Jul''26'!CQ415)</f>
        <v/>
      </c>
      <c r="CR397" s="25" t="str">
        <f>IF('1. Live'!CV415='check-Jul''26'!CR415,"",'1. Live'!CV415-'check-Jul''26'!CR415)</f>
        <v/>
      </c>
      <c r="CS397" s="25" t="str">
        <f>IF('1. Live'!CW415='check-Jul''26'!CS415,"",'1. Live'!CW415-'check-Jul''26'!CS415)</f>
        <v/>
      </c>
      <c r="CT397" s="25" t="str">
        <f>IF('1. Live'!CX415='check-Jul''26'!CT415,"",'1. Live'!CX415-'check-Jul''26'!CT415)</f>
        <v/>
      </c>
      <c r="CU397" s="25" t="str">
        <f>IF('1. Live'!CY415='check-Jul''26'!CU415,"",'1. Live'!CY415-'check-Jul''26'!CU415)</f>
        <v/>
      </c>
      <c r="CV397" s="25" t="str">
        <f>IF('1. Live'!CZ415='check-Jul''26'!CV415,"",'1. Live'!CZ415-'check-Jul''26'!CV415)</f>
        <v/>
      </c>
    </row>
    <row r="398" spans="17:100" x14ac:dyDescent="0.25">
      <c r="Q398" s="26" t="str">
        <f>IF('1. Live'!N416='check-Jul''26'!I416,"",'1. Live'!N416-'check-Jul''26'!I416)</f>
        <v/>
      </c>
      <c r="R398" s="26" t="str">
        <f>IF('1. Live'!O416='check-Jul''26'!J416,"",'1. Live'!O416-'check-Jul''26'!J416)</f>
        <v/>
      </c>
      <c r="S398" s="26" t="str">
        <f>IF('1. Live'!P416='check-Jul''26'!K416,"",'1. Live'!P416-'check-Jul''26'!K416)</f>
        <v/>
      </c>
      <c r="T398" s="26" t="str">
        <f>IF('1. Live'!Q416='check-Jul''26'!L416,"",'1. Live'!Q416-'check-Jul''26'!L416)</f>
        <v/>
      </c>
      <c r="U398" s="80" t="str">
        <f>IF('1. Live'!R416='check-Jul''26'!M416,"",'1. Live'!R416-'check-Jul''26'!M416)</f>
        <v/>
      </c>
      <c r="V398" s="26" t="str">
        <f>IF('1. Live'!S416='check-Jul''26'!N416,"",'1. Live'!S416-'check-Jul''26'!N416)</f>
        <v/>
      </c>
      <c r="W398" s="25" t="str">
        <f>IF('1. Live'!T416='check-Jul''26'!O416,"",'1. Live'!T416-'check-Jul''26'!O416)</f>
        <v/>
      </c>
      <c r="X398" s="25" t="str">
        <f>IF('1. Live'!U416='check-Jul''26'!Q416,"",'1. Live'!U416-'check-Jul''26'!Q416)</f>
        <v/>
      </c>
      <c r="Y398" s="25" t="str">
        <f>IF('1. Live'!V416='check-Jul''26'!R416,"",'1. Live'!V416-'check-Jul''26'!R416)</f>
        <v/>
      </c>
      <c r="Z398" s="25" t="str">
        <f>IF('1. Live'!W416='check-Jul''26'!S416,"",'1. Live'!W416-'check-Jul''26'!S416)</f>
        <v/>
      </c>
      <c r="AA398" s="25" t="str">
        <f>IF('1. Live'!X416='check-Jul''26'!T416,"",'1. Live'!X416-'check-Jul''26'!T416)</f>
        <v/>
      </c>
      <c r="AB398" s="25" t="str">
        <f>IF('1. Live'!AF416='check-Jul''26'!AB416,"",'1. Live'!AF416-'check-Jul''26'!AB416)</f>
        <v/>
      </c>
      <c r="AC398" s="25" t="str">
        <f>IF('1. Live'!AG416='check-Jul''26'!AC416,"",'1. Live'!AG416-'check-Jul''26'!AC416)</f>
        <v/>
      </c>
      <c r="AD398" s="25" t="str">
        <f>IF('1. Live'!AH416='check-Jul''26'!AD416,"",'1. Live'!AH416-'check-Jul''26'!AD416)</f>
        <v/>
      </c>
      <c r="AE398" s="25" t="str">
        <f>IF('1. Live'!AI416='check-Jul''26'!AE416,"",'1. Live'!AI416-'check-Jul''26'!AE416)</f>
        <v/>
      </c>
      <c r="AF398" s="25" t="str">
        <f>IF('1. Live'!AJ416='check-Jul''26'!AF416,"",'1. Live'!AJ416-'check-Jul''26'!AF416)</f>
        <v/>
      </c>
      <c r="AG398" s="25" t="str">
        <f>IF('1. Live'!AK416='check-Jul''26'!AG416,"",'1. Live'!AK416-'check-Jul''26'!AG416)</f>
        <v/>
      </c>
      <c r="AH398" s="25" t="str">
        <f>IF('1. Live'!AL416='check-Jul''26'!AH416,"",'1. Live'!AL416-'check-Jul''26'!AH416)</f>
        <v/>
      </c>
      <c r="AI398" s="25" t="str">
        <f>IF('1. Live'!AM416='check-Jul''26'!AI416,"",'1. Live'!AM416-'check-Jul''26'!AI416)</f>
        <v/>
      </c>
      <c r="AJ398" s="25" t="str">
        <f>IF('1. Live'!AN416='check-Jul''26'!AJ416,"",'1. Live'!AN416-'check-Jul''26'!AJ416)</f>
        <v/>
      </c>
      <c r="AK398" s="25" t="str">
        <f>IF('1. Live'!AO416='check-Jul''26'!AK416,"",'1. Live'!AO416-'check-Jul''26'!AK416)</f>
        <v/>
      </c>
      <c r="AL398" s="25" t="str">
        <f>IF('1. Live'!AP416='check-Jul''26'!AL416,"",'1. Live'!AP416-'check-Jul''26'!AL416)</f>
        <v/>
      </c>
      <c r="AM398" s="25" t="str">
        <f>IF('1. Live'!AQ416='check-Jul''26'!AM416,"",'1. Live'!AQ416-'check-Jul''26'!AM416)</f>
        <v/>
      </c>
      <c r="AN398" s="25" t="str">
        <f>IF('1. Live'!AR416='check-Jul''26'!AN416,"",'1. Live'!AR416-'check-Jul''26'!AN416)</f>
        <v/>
      </c>
      <c r="AO398" s="25" t="str">
        <f>IF('1. Live'!AS416='check-Jul''26'!AO416,"",'1. Live'!AS416-'check-Jul''26'!AO416)</f>
        <v/>
      </c>
      <c r="AP398" s="25" t="str">
        <f>IF('1. Live'!AT416='check-Jul''26'!AP416,"",'1. Live'!AT416-'check-Jul''26'!AP416)</f>
        <v/>
      </c>
      <c r="AQ398" s="25" t="str">
        <f>IF('1. Live'!AU416='check-Jul''26'!AQ416,"",'1. Live'!AU416-'check-Jul''26'!AQ416)</f>
        <v/>
      </c>
      <c r="AR398" s="25" t="str">
        <f>IF('1. Live'!AV416='check-Jul''26'!AR416,"",'1. Live'!AV416-'check-Jul''26'!AR416)</f>
        <v/>
      </c>
      <c r="AS398" s="25" t="str">
        <f>IF('1. Live'!AW416='check-Jul''26'!AS416,"",'1. Live'!AW416-'check-Jul''26'!AS416)</f>
        <v/>
      </c>
      <c r="AT398" s="25" t="str">
        <f>IF('1. Live'!AX416='check-Jul''26'!AT416,"",'1. Live'!AX416-'check-Jul''26'!AT416)</f>
        <v/>
      </c>
      <c r="AU398" s="25" t="str">
        <f>IF('1. Live'!AY416='check-Jul''26'!AU416,"",'1. Live'!AY416-'check-Jul''26'!AU416)</f>
        <v/>
      </c>
      <c r="AV398" s="25" t="str">
        <f>IF('1. Live'!AZ416='check-Jul''26'!AV416,"",'1. Live'!AZ416-'check-Jul''26'!AV416)</f>
        <v/>
      </c>
      <c r="AW398" s="25" t="str">
        <f>IF('1. Live'!BA416='check-Jul''26'!AW416,"",'1. Live'!BA416-'check-Jul''26'!AW416)</f>
        <v/>
      </c>
      <c r="AX398" s="25" t="str">
        <f>IF('1. Live'!BB416='check-Jul''26'!AX416,"",'1. Live'!BB416-'check-Jul''26'!AX416)</f>
        <v/>
      </c>
      <c r="AY398" s="25" t="str">
        <f>IF('1. Live'!BC416='check-Jul''26'!AY416,"",'1. Live'!BC416-'check-Jul''26'!AY416)</f>
        <v/>
      </c>
      <c r="AZ398" s="25" t="str">
        <f>IF('1. Live'!BD416='check-Jul''26'!AZ416,"",'1. Live'!BD416-'check-Jul''26'!AZ416)</f>
        <v/>
      </c>
      <c r="BA398" s="25" t="str">
        <f>IF('1. Live'!BE416='check-Jul''26'!BA416,"",'1. Live'!BE416-'check-Jul''26'!BA416)</f>
        <v/>
      </c>
      <c r="BB398" s="25" t="str">
        <f>IF('1. Live'!BF416='check-Jul''26'!BB416,"",'1. Live'!BF416-'check-Jul''26'!BB416)</f>
        <v/>
      </c>
      <c r="BC398" s="25" t="str">
        <f>IF('1. Live'!BG416='check-Jul''26'!BC416,"",'1. Live'!BG416-'check-Jul''26'!BC416)</f>
        <v/>
      </c>
      <c r="BD398" s="25" t="str">
        <f>IF('1. Live'!BH416='check-Jul''26'!BD416,"",'1. Live'!BH416-'check-Jul''26'!BD416)</f>
        <v/>
      </c>
      <c r="BE398" s="25" t="str">
        <f>IF('1. Live'!BI416='check-Jul''26'!BE416,"",'1. Live'!BI416-'check-Jul''26'!BE416)</f>
        <v/>
      </c>
      <c r="BF398" s="25" t="str">
        <f>IF('1. Live'!BJ416='check-Jul''26'!BF416,"",'1. Live'!BJ416-'check-Jul''26'!BF416)</f>
        <v/>
      </c>
      <c r="BG398" s="25" t="str">
        <f>IF('1. Live'!BK416='check-Jul''26'!BG416,"",'1. Live'!BK416-'check-Jul''26'!BG416)</f>
        <v/>
      </c>
      <c r="BH398" s="25" t="str">
        <f>IF('1. Live'!BL416='check-Jul''26'!BH416,"",'1. Live'!BL416-'check-Jul''26'!BH416)</f>
        <v/>
      </c>
      <c r="BI398" s="25" t="str">
        <f>IF('1. Live'!BM416='check-Jul''26'!BI416,"",'1. Live'!BM416-'check-Jul''26'!BI416)</f>
        <v/>
      </c>
      <c r="BJ398" s="25" t="str">
        <f>IF('1. Live'!BN416='check-Jul''26'!BJ416,"",'1. Live'!BN416-'check-Jul''26'!BJ416)</f>
        <v/>
      </c>
      <c r="BK398" s="25" t="str">
        <f>IF('1. Live'!BO416='check-Jul''26'!BK416,"",'1. Live'!BO416-'check-Jul''26'!BK416)</f>
        <v/>
      </c>
      <c r="BL398" s="25" t="str">
        <f>IF('1. Live'!BP416='check-Jul''26'!BL416,"",'1. Live'!BP416-'check-Jul''26'!BL416)</f>
        <v/>
      </c>
      <c r="BM398" s="25" t="str">
        <f>IF('1. Live'!BQ416='check-Jul''26'!BM416,"",'1. Live'!BQ416-'check-Jul''26'!BM416)</f>
        <v/>
      </c>
      <c r="BN398" s="25" t="str">
        <f>IF('1. Live'!BR416='check-Jul''26'!BN416,"",'1. Live'!BR416-'check-Jul''26'!BN416)</f>
        <v/>
      </c>
      <c r="BO398" s="25" t="str">
        <f>IF('1. Live'!BS416='check-Jul''26'!BO416,"",'1. Live'!BS416-'check-Jul''26'!BO416)</f>
        <v/>
      </c>
      <c r="BP398" s="25" t="str">
        <f>IF('1. Live'!BT416='check-Jul''26'!BP416,"",'1. Live'!BT416-'check-Jul''26'!BP416)</f>
        <v/>
      </c>
      <c r="BQ398" s="25" t="str">
        <f>IF('1. Live'!BU416='check-Jul''26'!BQ416,"",'1. Live'!BU416-'check-Jul''26'!BQ416)</f>
        <v/>
      </c>
      <c r="BR398" s="25" t="str">
        <f>IF('1. Live'!BV416='check-Jul''26'!BR416,"",'1. Live'!BV416-'check-Jul''26'!BR416)</f>
        <v/>
      </c>
      <c r="BS398" s="25" t="str">
        <f>IF('1. Live'!BW416='check-Jul''26'!BS416,"",'1. Live'!BW416-'check-Jul''26'!BS416)</f>
        <v/>
      </c>
      <c r="BT398" s="25" t="str">
        <f>IF('1. Live'!BX416='check-Jul''26'!BT416,"",'1. Live'!BX416-'check-Jul''26'!BT416)</f>
        <v/>
      </c>
      <c r="BU398" s="25" t="str">
        <f>IF('1. Live'!BY416='check-Jul''26'!BU416,"",'1. Live'!BY416-'check-Jul''26'!BU416)</f>
        <v/>
      </c>
      <c r="BV398" s="25" t="str">
        <f>IF('1. Live'!BZ416='check-Jul''26'!BV416,"",'1. Live'!BZ416-'check-Jul''26'!BV416)</f>
        <v/>
      </c>
      <c r="BW398" s="25" t="str">
        <f>IF('1. Live'!CA416='check-Jul''26'!BW416,"",'1. Live'!CA416-'check-Jul''26'!BW416)</f>
        <v/>
      </c>
      <c r="BX398" s="25" t="str">
        <f>IF('1. Live'!CB416='check-Jul''26'!BX416,"",'1. Live'!CB416-'check-Jul''26'!BX416)</f>
        <v/>
      </c>
      <c r="BY398" s="25" t="str">
        <f>IF('1. Live'!CC416='check-Jul''26'!BY416,"",'1. Live'!CC416-'check-Jul''26'!BY416)</f>
        <v/>
      </c>
      <c r="BZ398" s="25" t="str">
        <f>IF('1. Live'!CD416='check-Jul''26'!BZ416,"",'1. Live'!CD416-'check-Jul''26'!BZ416)</f>
        <v/>
      </c>
      <c r="CA398" s="25" t="str">
        <f>IF('1. Live'!CE416='check-Jul''26'!CA416,"",'1. Live'!CE416-'check-Jul''26'!CA416)</f>
        <v/>
      </c>
      <c r="CB398" s="25" t="str">
        <f>IF('1. Live'!CF416='check-Jul''26'!CB416,"",'1. Live'!CF416-'check-Jul''26'!CB416)</f>
        <v/>
      </c>
      <c r="CC398" s="25" t="str">
        <f>IF('1. Live'!CG416='check-Jul''26'!CC416,"",'1. Live'!CG416-'check-Jul''26'!CC416)</f>
        <v/>
      </c>
      <c r="CD398" s="25" t="str">
        <f>IF('1. Live'!CH416='check-Jul''26'!CD416,"",'1. Live'!CH416-'check-Jul''26'!CD416)</f>
        <v/>
      </c>
      <c r="CE398" s="25" t="str">
        <f>IF('1. Live'!CI416='check-Jul''26'!CE416,"",'1. Live'!CI416-'check-Jul''26'!CE416)</f>
        <v/>
      </c>
      <c r="CF398" s="25" t="str">
        <f>IF('1. Live'!CJ416='check-Jul''26'!CF416,"",'1. Live'!CJ416-'check-Jul''26'!CF416)</f>
        <v/>
      </c>
      <c r="CG398" s="25" t="str">
        <f>IF('1. Live'!CK416='check-Jul''26'!CG416,"",'1. Live'!CK416-'check-Jul''26'!CG416)</f>
        <v/>
      </c>
      <c r="CH398" s="25" t="str">
        <f>IF('1. Live'!CL416='check-Jul''26'!CH416,"",'1. Live'!CL416-'check-Jul''26'!CH416)</f>
        <v/>
      </c>
      <c r="CI398" s="25" t="str">
        <f>IF('1. Live'!CM416='check-Jul''26'!CI416,"",'1. Live'!CM416-'check-Jul''26'!CI416)</f>
        <v/>
      </c>
      <c r="CJ398" s="25" t="str">
        <f>IF('1. Live'!CN416='check-Jul''26'!CJ416,"",'1. Live'!CN416-'check-Jul''26'!CJ416)</f>
        <v/>
      </c>
      <c r="CK398" s="25" t="str">
        <f>IF('1. Live'!CO416='check-Jul''26'!CK416,"",'1. Live'!CO416-'check-Jul''26'!CK416)</f>
        <v/>
      </c>
      <c r="CL398" s="25" t="str">
        <f>IF('1. Live'!CP416='check-Jul''26'!CL416,"",'1. Live'!CP416-'check-Jul''26'!CL416)</f>
        <v/>
      </c>
      <c r="CM398" s="25" t="str">
        <f>IF('1. Live'!CQ416='check-Jul''26'!CM416,"",'1. Live'!CQ416-'check-Jul''26'!CM416)</f>
        <v/>
      </c>
      <c r="CN398" s="25" t="str">
        <f>IF('1. Live'!CR416='check-Jul''26'!CN416,"",'1. Live'!CR416-'check-Jul''26'!CN416)</f>
        <v/>
      </c>
      <c r="CO398" s="25" t="str">
        <f>IF('1. Live'!CS416='check-Jul''26'!CO416,"",'1. Live'!CS416-'check-Jul''26'!CO416)</f>
        <v/>
      </c>
      <c r="CP398" s="25" t="str">
        <f>IF('1. Live'!CT416='check-Jul''26'!CP416,"",'1. Live'!CT416-'check-Jul''26'!CP416)</f>
        <v/>
      </c>
      <c r="CQ398" s="25" t="str">
        <f>IF('1. Live'!CU416='check-Jul''26'!CQ416,"",'1. Live'!CU416-'check-Jul''26'!CQ416)</f>
        <v/>
      </c>
      <c r="CR398" s="25" t="str">
        <f>IF('1. Live'!CV416='check-Jul''26'!CR416,"",'1. Live'!CV416-'check-Jul''26'!CR416)</f>
        <v/>
      </c>
      <c r="CS398" s="25" t="str">
        <f>IF('1. Live'!CW416='check-Jul''26'!CS416,"",'1. Live'!CW416-'check-Jul''26'!CS416)</f>
        <v/>
      </c>
      <c r="CT398" s="25" t="str">
        <f>IF('1. Live'!CX416='check-Jul''26'!CT416,"",'1. Live'!CX416-'check-Jul''26'!CT416)</f>
        <v/>
      </c>
      <c r="CU398" s="25" t="str">
        <f>IF('1. Live'!CY416='check-Jul''26'!CU416,"",'1. Live'!CY416-'check-Jul''26'!CU416)</f>
        <v/>
      </c>
      <c r="CV398" s="25" t="str">
        <f>IF('1. Live'!CZ416='check-Jul''26'!CV416,"",'1. Live'!CZ416-'check-Jul''26'!CV416)</f>
        <v/>
      </c>
    </row>
    <row r="399" spans="17:100" x14ac:dyDescent="0.25">
      <c r="Q399" s="26" t="str">
        <f>IF('1. Live'!N417='check-Jul''26'!I417,"",'1. Live'!N417-'check-Jul''26'!I417)</f>
        <v/>
      </c>
      <c r="R399" s="26" t="str">
        <f>IF('1. Live'!O417='check-Jul''26'!J417,"",'1. Live'!O417-'check-Jul''26'!J417)</f>
        <v/>
      </c>
      <c r="S399" s="26" t="str">
        <f>IF('1. Live'!P417='check-Jul''26'!K417,"",'1. Live'!P417-'check-Jul''26'!K417)</f>
        <v/>
      </c>
      <c r="T399" s="26" t="str">
        <f>IF('1. Live'!Q417='check-Jul''26'!L417,"",'1. Live'!Q417-'check-Jul''26'!L417)</f>
        <v/>
      </c>
      <c r="U399" s="80" t="str">
        <f>IF('1. Live'!R417='check-Jul''26'!M417,"",'1. Live'!R417-'check-Jul''26'!M417)</f>
        <v/>
      </c>
      <c r="V399" s="26" t="str">
        <f>IF('1. Live'!S417='check-Jul''26'!N417,"",'1. Live'!S417-'check-Jul''26'!N417)</f>
        <v/>
      </c>
      <c r="W399" s="25" t="str">
        <f>IF('1. Live'!T417='check-Jul''26'!O417,"",'1. Live'!T417-'check-Jul''26'!O417)</f>
        <v/>
      </c>
      <c r="X399" s="25" t="str">
        <f>IF('1. Live'!U417='check-Jul''26'!Q417,"",'1. Live'!U417-'check-Jul''26'!Q417)</f>
        <v/>
      </c>
      <c r="Y399" s="25" t="str">
        <f>IF('1. Live'!V417='check-Jul''26'!R417,"",'1. Live'!V417-'check-Jul''26'!R417)</f>
        <v/>
      </c>
      <c r="Z399" s="25" t="str">
        <f>IF('1. Live'!W417='check-Jul''26'!S417,"",'1. Live'!W417-'check-Jul''26'!S417)</f>
        <v/>
      </c>
      <c r="AA399" s="25" t="str">
        <f>IF('1. Live'!X417='check-Jul''26'!T417,"",'1. Live'!X417-'check-Jul''26'!T417)</f>
        <v/>
      </c>
      <c r="AB399" s="25" t="str">
        <f>IF('1. Live'!AF417='check-Jul''26'!AB417,"",'1. Live'!AF417-'check-Jul''26'!AB417)</f>
        <v/>
      </c>
      <c r="AC399" s="25" t="str">
        <f>IF('1. Live'!AG417='check-Jul''26'!AC417,"",'1. Live'!AG417-'check-Jul''26'!AC417)</f>
        <v/>
      </c>
      <c r="AD399" s="25" t="str">
        <f>IF('1. Live'!AH417='check-Jul''26'!AD417,"",'1. Live'!AH417-'check-Jul''26'!AD417)</f>
        <v/>
      </c>
      <c r="AE399" s="25" t="str">
        <f>IF('1. Live'!AI417='check-Jul''26'!AE417,"",'1. Live'!AI417-'check-Jul''26'!AE417)</f>
        <v/>
      </c>
      <c r="AF399" s="25" t="str">
        <f>IF('1. Live'!AJ417='check-Jul''26'!AF417,"",'1. Live'!AJ417-'check-Jul''26'!AF417)</f>
        <v/>
      </c>
      <c r="AG399" s="25" t="str">
        <f>IF('1. Live'!AK417='check-Jul''26'!AG417,"",'1. Live'!AK417-'check-Jul''26'!AG417)</f>
        <v/>
      </c>
      <c r="AH399" s="25" t="str">
        <f>IF('1. Live'!AL417='check-Jul''26'!AH417,"",'1. Live'!AL417-'check-Jul''26'!AH417)</f>
        <v/>
      </c>
      <c r="AI399" s="25" t="str">
        <f>IF('1. Live'!AM417='check-Jul''26'!AI417,"",'1. Live'!AM417-'check-Jul''26'!AI417)</f>
        <v/>
      </c>
      <c r="AJ399" s="25" t="str">
        <f>IF('1. Live'!AN417='check-Jul''26'!AJ417,"",'1. Live'!AN417-'check-Jul''26'!AJ417)</f>
        <v/>
      </c>
      <c r="AK399" s="25" t="str">
        <f>IF('1. Live'!AO417='check-Jul''26'!AK417,"",'1. Live'!AO417-'check-Jul''26'!AK417)</f>
        <v/>
      </c>
      <c r="AL399" s="25" t="str">
        <f>IF('1. Live'!AP417='check-Jul''26'!AL417,"",'1. Live'!AP417-'check-Jul''26'!AL417)</f>
        <v/>
      </c>
      <c r="AM399" s="25" t="str">
        <f>IF('1. Live'!AQ417='check-Jul''26'!AM417,"",'1. Live'!AQ417-'check-Jul''26'!AM417)</f>
        <v/>
      </c>
      <c r="AN399" s="25" t="str">
        <f>IF('1. Live'!AR417='check-Jul''26'!AN417,"",'1. Live'!AR417-'check-Jul''26'!AN417)</f>
        <v/>
      </c>
      <c r="AO399" s="25" t="str">
        <f>IF('1. Live'!AS417='check-Jul''26'!AO417,"",'1. Live'!AS417-'check-Jul''26'!AO417)</f>
        <v/>
      </c>
      <c r="AP399" s="25" t="str">
        <f>IF('1. Live'!AT417='check-Jul''26'!AP417,"",'1. Live'!AT417-'check-Jul''26'!AP417)</f>
        <v/>
      </c>
      <c r="AQ399" s="25" t="str">
        <f>IF('1. Live'!AU417='check-Jul''26'!AQ417,"",'1. Live'!AU417-'check-Jul''26'!AQ417)</f>
        <v/>
      </c>
      <c r="AR399" s="25" t="str">
        <f>IF('1. Live'!AV417='check-Jul''26'!AR417,"",'1. Live'!AV417-'check-Jul''26'!AR417)</f>
        <v/>
      </c>
      <c r="AS399" s="25" t="str">
        <f>IF('1. Live'!AW417='check-Jul''26'!AS417,"",'1. Live'!AW417-'check-Jul''26'!AS417)</f>
        <v/>
      </c>
      <c r="AT399" s="25" t="str">
        <f>IF('1. Live'!AX417='check-Jul''26'!AT417,"",'1. Live'!AX417-'check-Jul''26'!AT417)</f>
        <v/>
      </c>
      <c r="AU399" s="25" t="str">
        <f>IF('1. Live'!AY417='check-Jul''26'!AU417,"",'1. Live'!AY417-'check-Jul''26'!AU417)</f>
        <v/>
      </c>
      <c r="AV399" s="25" t="str">
        <f>IF('1. Live'!AZ417='check-Jul''26'!AV417,"",'1. Live'!AZ417-'check-Jul''26'!AV417)</f>
        <v/>
      </c>
      <c r="AW399" s="25" t="str">
        <f>IF('1. Live'!BA417='check-Jul''26'!AW417,"",'1. Live'!BA417-'check-Jul''26'!AW417)</f>
        <v/>
      </c>
      <c r="AX399" s="25" t="str">
        <f>IF('1. Live'!BB417='check-Jul''26'!AX417,"",'1. Live'!BB417-'check-Jul''26'!AX417)</f>
        <v/>
      </c>
      <c r="AY399" s="25" t="str">
        <f>IF('1. Live'!BC417='check-Jul''26'!AY417,"",'1. Live'!BC417-'check-Jul''26'!AY417)</f>
        <v/>
      </c>
      <c r="AZ399" s="25" t="str">
        <f>IF('1. Live'!BD417='check-Jul''26'!AZ417,"",'1. Live'!BD417-'check-Jul''26'!AZ417)</f>
        <v/>
      </c>
      <c r="BA399" s="25" t="str">
        <f>IF('1. Live'!BE417='check-Jul''26'!BA417,"",'1. Live'!BE417-'check-Jul''26'!BA417)</f>
        <v/>
      </c>
      <c r="BB399" s="25" t="str">
        <f>IF('1. Live'!BF417='check-Jul''26'!BB417,"",'1. Live'!BF417-'check-Jul''26'!BB417)</f>
        <v/>
      </c>
      <c r="BC399" s="25" t="str">
        <f>IF('1. Live'!BG417='check-Jul''26'!BC417,"",'1. Live'!BG417-'check-Jul''26'!BC417)</f>
        <v/>
      </c>
      <c r="BD399" s="25" t="str">
        <f>IF('1. Live'!BH417='check-Jul''26'!BD417,"",'1. Live'!BH417-'check-Jul''26'!BD417)</f>
        <v/>
      </c>
      <c r="BE399" s="25" t="str">
        <f>IF('1. Live'!BI417='check-Jul''26'!BE417,"",'1. Live'!BI417-'check-Jul''26'!BE417)</f>
        <v/>
      </c>
      <c r="BF399" s="25" t="str">
        <f>IF('1. Live'!BJ417='check-Jul''26'!BF417,"",'1. Live'!BJ417-'check-Jul''26'!BF417)</f>
        <v/>
      </c>
      <c r="BG399" s="25" t="str">
        <f>IF('1. Live'!BK417='check-Jul''26'!BG417,"",'1. Live'!BK417-'check-Jul''26'!BG417)</f>
        <v/>
      </c>
      <c r="BH399" s="25" t="str">
        <f>IF('1. Live'!BL417='check-Jul''26'!BH417,"",'1. Live'!BL417-'check-Jul''26'!BH417)</f>
        <v/>
      </c>
      <c r="BI399" s="25" t="str">
        <f>IF('1. Live'!BM417='check-Jul''26'!BI417,"",'1. Live'!BM417-'check-Jul''26'!BI417)</f>
        <v/>
      </c>
      <c r="BJ399" s="25" t="str">
        <f>IF('1. Live'!BN417='check-Jul''26'!BJ417,"",'1. Live'!BN417-'check-Jul''26'!BJ417)</f>
        <v/>
      </c>
      <c r="BK399" s="25" t="str">
        <f>IF('1. Live'!BO417='check-Jul''26'!BK417,"",'1. Live'!BO417-'check-Jul''26'!BK417)</f>
        <v/>
      </c>
      <c r="BL399" s="25" t="str">
        <f>IF('1. Live'!BP417='check-Jul''26'!BL417,"",'1. Live'!BP417-'check-Jul''26'!BL417)</f>
        <v/>
      </c>
      <c r="BM399" s="25" t="str">
        <f>IF('1. Live'!BQ417='check-Jul''26'!BM417,"",'1. Live'!BQ417-'check-Jul''26'!BM417)</f>
        <v/>
      </c>
      <c r="BN399" s="25" t="str">
        <f>IF('1. Live'!BR417='check-Jul''26'!BN417,"",'1. Live'!BR417-'check-Jul''26'!BN417)</f>
        <v/>
      </c>
      <c r="BO399" s="25" t="str">
        <f>IF('1. Live'!BS417='check-Jul''26'!BO417,"",'1. Live'!BS417-'check-Jul''26'!BO417)</f>
        <v/>
      </c>
      <c r="BP399" s="25" t="str">
        <f>IF('1. Live'!BT417='check-Jul''26'!BP417,"",'1. Live'!BT417-'check-Jul''26'!BP417)</f>
        <v/>
      </c>
      <c r="BQ399" s="25" t="str">
        <f>IF('1. Live'!BU417='check-Jul''26'!BQ417,"",'1. Live'!BU417-'check-Jul''26'!BQ417)</f>
        <v/>
      </c>
      <c r="BR399" s="25" t="str">
        <f>IF('1. Live'!BV417='check-Jul''26'!BR417,"",'1. Live'!BV417-'check-Jul''26'!BR417)</f>
        <v/>
      </c>
      <c r="BS399" s="25" t="str">
        <f>IF('1. Live'!BW417='check-Jul''26'!BS417,"",'1. Live'!BW417-'check-Jul''26'!BS417)</f>
        <v/>
      </c>
      <c r="BT399" s="25" t="str">
        <f>IF('1. Live'!BX417='check-Jul''26'!BT417,"",'1. Live'!BX417-'check-Jul''26'!BT417)</f>
        <v/>
      </c>
      <c r="BU399" s="25" t="str">
        <f>IF('1. Live'!BY417='check-Jul''26'!BU417,"",'1. Live'!BY417-'check-Jul''26'!BU417)</f>
        <v/>
      </c>
      <c r="BV399" s="25" t="str">
        <f>IF('1. Live'!BZ417='check-Jul''26'!BV417,"",'1. Live'!BZ417-'check-Jul''26'!BV417)</f>
        <v/>
      </c>
      <c r="BW399" s="25" t="str">
        <f>IF('1. Live'!CA417='check-Jul''26'!BW417,"",'1. Live'!CA417-'check-Jul''26'!BW417)</f>
        <v/>
      </c>
      <c r="BX399" s="25" t="str">
        <f>IF('1. Live'!CB417='check-Jul''26'!BX417,"",'1. Live'!CB417-'check-Jul''26'!BX417)</f>
        <v/>
      </c>
      <c r="BY399" s="25" t="str">
        <f>IF('1. Live'!CC417='check-Jul''26'!BY417,"",'1. Live'!CC417-'check-Jul''26'!BY417)</f>
        <v/>
      </c>
      <c r="BZ399" s="25" t="str">
        <f>IF('1. Live'!CD417='check-Jul''26'!BZ417,"",'1. Live'!CD417-'check-Jul''26'!BZ417)</f>
        <v/>
      </c>
      <c r="CA399" s="25" t="str">
        <f>IF('1. Live'!CE417='check-Jul''26'!CA417,"",'1. Live'!CE417-'check-Jul''26'!CA417)</f>
        <v/>
      </c>
      <c r="CB399" s="25" t="str">
        <f>IF('1. Live'!CF417='check-Jul''26'!CB417,"",'1. Live'!CF417-'check-Jul''26'!CB417)</f>
        <v/>
      </c>
      <c r="CC399" s="25" t="str">
        <f>IF('1. Live'!CG417='check-Jul''26'!CC417,"",'1. Live'!CG417-'check-Jul''26'!CC417)</f>
        <v/>
      </c>
      <c r="CD399" s="25" t="str">
        <f>IF('1. Live'!CH417='check-Jul''26'!CD417,"",'1. Live'!CH417-'check-Jul''26'!CD417)</f>
        <v/>
      </c>
      <c r="CE399" s="25" t="str">
        <f>IF('1. Live'!CI417='check-Jul''26'!CE417,"",'1. Live'!CI417-'check-Jul''26'!CE417)</f>
        <v/>
      </c>
      <c r="CF399" s="25" t="str">
        <f>IF('1. Live'!CJ417='check-Jul''26'!CF417,"",'1. Live'!CJ417-'check-Jul''26'!CF417)</f>
        <v/>
      </c>
      <c r="CG399" s="25" t="str">
        <f>IF('1. Live'!CK417='check-Jul''26'!CG417,"",'1. Live'!CK417-'check-Jul''26'!CG417)</f>
        <v/>
      </c>
      <c r="CH399" s="25" t="str">
        <f>IF('1. Live'!CL417='check-Jul''26'!CH417,"",'1. Live'!CL417-'check-Jul''26'!CH417)</f>
        <v/>
      </c>
      <c r="CI399" s="25" t="str">
        <f>IF('1. Live'!CM417='check-Jul''26'!CI417,"",'1. Live'!CM417-'check-Jul''26'!CI417)</f>
        <v/>
      </c>
      <c r="CJ399" s="25" t="str">
        <f>IF('1. Live'!CN417='check-Jul''26'!CJ417,"",'1. Live'!CN417-'check-Jul''26'!CJ417)</f>
        <v/>
      </c>
      <c r="CK399" s="25" t="str">
        <f>IF('1. Live'!CO417='check-Jul''26'!CK417,"",'1. Live'!CO417-'check-Jul''26'!CK417)</f>
        <v/>
      </c>
      <c r="CL399" s="25" t="str">
        <f>IF('1. Live'!CP417='check-Jul''26'!CL417,"",'1. Live'!CP417-'check-Jul''26'!CL417)</f>
        <v/>
      </c>
      <c r="CM399" s="25" t="str">
        <f>IF('1. Live'!CQ417='check-Jul''26'!CM417,"",'1. Live'!CQ417-'check-Jul''26'!CM417)</f>
        <v/>
      </c>
      <c r="CN399" s="25" t="str">
        <f>IF('1. Live'!CR417='check-Jul''26'!CN417,"",'1. Live'!CR417-'check-Jul''26'!CN417)</f>
        <v/>
      </c>
      <c r="CO399" s="25" t="str">
        <f>IF('1. Live'!CS417='check-Jul''26'!CO417,"",'1. Live'!CS417-'check-Jul''26'!CO417)</f>
        <v/>
      </c>
      <c r="CP399" s="25" t="str">
        <f>IF('1. Live'!CT417='check-Jul''26'!CP417,"",'1. Live'!CT417-'check-Jul''26'!CP417)</f>
        <v/>
      </c>
      <c r="CQ399" s="25" t="str">
        <f>IF('1. Live'!CU417='check-Jul''26'!CQ417,"",'1. Live'!CU417-'check-Jul''26'!CQ417)</f>
        <v/>
      </c>
      <c r="CR399" s="25" t="str">
        <f>IF('1. Live'!CV417='check-Jul''26'!CR417,"",'1. Live'!CV417-'check-Jul''26'!CR417)</f>
        <v/>
      </c>
      <c r="CS399" s="25" t="str">
        <f>IF('1. Live'!CW417='check-Jul''26'!CS417,"",'1. Live'!CW417-'check-Jul''26'!CS417)</f>
        <v/>
      </c>
      <c r="CT399" s="25" t="str">
        <f>IF('1. Live'!CX417='check-Jul''26'!CT417,"",'1. Live'!CX417-'check-Jul''26'!CT417)</f>
        <v/>
      </c>
      <c r="CU399" s="25" t="str">
        <f>IF('1. Live'!CY417='check-Jul''26'!CU417,"",'1. Live'!CY417-'check-Jul''26'!CU417)</f>
        <v/>
      </c>
      <c r="CV399" s="25" t="str">
        <f>IF('1. Live'!CZ417='check-Jul''26'!CV417,"",'1. Live'!CZ417-'check-Jul''26'!CV417)</f>
        <v/>
      </c>
    </row>
    <row r="400" spans="17:100" x14ac:dyDescent="0.25">
      <c r="Q400" s="26" t="str">
        <f>IF('1. Live'!N418='check-Jul''26'!I418,"",'1. Live'!N418-'check-Jul''26'!I418)</f>
        <v/>
      </c>
      <c r="R400" s="26" t="str">
        <f>IF('1. Live'!O418='check-Jul''26'!J418,"",'1. Live'!O418-'check-Jul''26'!J418)</f>
        <v/>
      </c>
      <c r="S400" s="26" t="str">
        <f>IF('1. Live'!P418='check-Jul''26'!K418,"",'1. Live'!P418-'check-Jul''26'!K418)</f>
        <v/>
      </c>
      <c r="T400" s="26" t="str">
        <f>IF('1. Live'!Q418='check-Jul''26'!L418,"",'1. Live'!Q418-'check-Jul''26'!L418)</f>
        <v/>
      </c>
      <c r="U400" s="80" t="str">
        <f>IF('1. Live'!R418='check-Jul''26'!M418,"",'1. Live'!R418-'check-Jul''26'!M418)</f>
        <v/>
      </c>
      <c r="V400" s="26" t="str">
        <f>IF('1. Live'!S418='check-Jul''26'!N418,"",'1. Live'!S418-'check-Jul''26'!N418)</f>
        <v/>
      </c>
      <c r="W400" s="25" t="str">
        <f>IF('1. Live'!T418='check-Jul''26'!O418,"",'1. Live'!T418-'check-Jul''26'!O418)</f>
        <v/>
      </c>
      <c r="X400" s="25" t="str">
        <f>IF('1. Live'!U418='check-Jul''26'!Q418,"",'1. Live'!U418-'check-Jul''26'!Q418)</f>
        <v/>
      </c>
      <c r="Y400" s="25" t="str">
        <f>IF('1. Live'!V418='check-Jul''26'!R418,"",'1. Live'!V418-'check-Jul''26'!R418)</f>
        <v/>
      </c>
      <c r="Z400" s="25" t="str">
        <f>IF('1. Live'!W418='check-Jul''26'!S418,"",'1. Live'!W418-'check-Jul''26'!S418)</f>
        <v/>
      </c>
      <c r="AA400" s="25" t="str">
        <f>IF('1. Live'!X418='check-Jul''26'!T418,"",'1. Live'!X418-'check-Jul''26'!T418)</f>
        <v/>
      </c>
      <c r="AB400" s="25" t="str">
        <f>IF('1. Live'!AF418='check-Jul''26'!AB418,"",'1. Live'!AF418-'check-Jul''26'!AB418)</f>
        <v/>
      </c>
      <c r="AC400" s="25" t="str">
        <f>IF('1. Live'!AG418='check-Jul''26'!AC418,"",'1. Live'!AG418-'check-Jul''26'!AC418)</f>
        <v/>
      </c>
      <c r="AD400" s="25" t="str">
        <f>IF('1. Live'!AH418='check-Jul''26'!AD418,"",'1. Live'!AH418-'check-Jul''26'!AD418)</f>
        <v/>
      </c>
      <c r="AE400" s="25" t="str">
        <f>IF('1. Live'!AI418='check-Jul''26'!AE418,"",'1. Live'!AI418-'check-Jul''26'!AE418)</f>
        <v/>
      </c>
      <c r="AF400" s="25" t="str">
        <f>IF('1. Live'!AJ418='check-Jul''26'!AF418,"",'1. Live'!AJ418-'check-Jul''26'!AF418)</f>
        <v/>
      </c>
      <c r="AG400" s="25" t="str">
        <f>IF('1. Live'!AK418='check-Jul''26'!AG418,"",'1. Live'!AK418-'check-Jul''26'!AG418)</f>
        <v/>
      </c>
      <c r="AH400" s="25" t="str">
        <f>IF('1. Live'!AL418='check-Jul''26'!AH418,"",'1. Live'!AL418-'check-Jul''26'!AH418)</f>
        <v/>
      </c>
      <c r="AI400" s="25" t="str">
        <f>IF('1. Live'!AM418='check-Jul''26'!AI418,"",'1. Live'!AM418-'check-Jul''26'!AI418)</f>
        <v/>
      </c>
      <c r="AJ400" s="25" t="str">
        <f>IF('1. Live'!AN418='check-Jul''26'!AJ418,"",'1. Live'!AN418-'check-Jul''26'!AJ418)</f>
        <v/>
      </c>
      <c r="AK400" s="25" t="str">
        <f>IF('1. Live'!AO418='check-Jul''26'!AK418,"",'1. Live'!AO418-'check-Jul''26'!AK418)</f>
        <v/>
      </c>
      <c r="AL400" s="25" t="str">
        <f>IF('1. Live'!AP418='check-Jul''26'!AL418,"",'1. Live'!AP418-'check-Jul''26'!AL418)</f>
        <v/>
      </c>
      <c r="AM400" s="25" t="str">
        <f>IF('1. Live'!AQ418='check-Jul''26'!AM418,"",'1. Live'!AQ418-'check-Jul''26'!AM418)</f>
        <v/>
      </c>
      <c r="AN400" s="25" t="str">
        <f>IF('1. Live'!AR418='check-Jul''26'!AN418,"",'1. Live'!AR418-'check-Jul''26'!AN418)</f>
        <v/>
      </c>
      <c r="AO400" s="25" t="str">
        <f>IF('1. Live'!AS418='check-Jul''26'!AO418,"",'1. Live'!AS418-'check-Jul''26'!AO418)</f>
        <v/>
      </c>
      <c r="AP400" s="25" t="str">
        <f>IF('1. Live'!AT418='check-Jul''26'!AP418,"",'1. Live'!AT418-'check-Jul''26'!AP418)</f>
        <v/>
      </c>
      <c r="AQ400" s="25" t="str">
        <f>IF('1. Live'!AU418='check-Jul''26'!AQ418,"",'1. Live'!AU418-'check-Jul''26'!AQ418)</f>
        <v/>
      </c>
      <c r="AR400" s="25" t="str">
        <f>IF('1. Live'!AV418='check-Jul''26'!AR418,"",'1. Live'!AV418-'check-Jul''26'!AR418)</f>
        <v/>
      </c>
      <c r="AS400" s="25" t="str">
        <f>IF('1. Live'!AW418='check-Jul''26'!AS418,"",'1. Live'!AW418-'check-Jul''26'!AS418)</f>
        <v/>
      </c>
      <c r="AT400" s="25" t="str">
        <f>IF('1. Live'!AX418='check-Jul''26'!AT418,"",'1. Live'!AX418-'check-Jul''26'!AT418)</f>
        <v/>
      </c>
      <c r="AU400" s="25" t="str">
        <f>IF('1. Live'!AY418='check-Jul''26'!AU418,"",'1. Live'!AY418-'check-Jul''26'!AU418)</f>
        <v/>
      </c>
      <c r="AV400" s="25" t="str">
        <f>IF('1. Live'!AZ418='check-Jul''26'!AV418,"",'1. Live'!AZ418-'check-Jul''26'!AV418)</f>
        <v/>
      </c>
      <c r="AW400" s="25" t="str">
        <f>IF('1. Live'!BA418='check-Jul''26'!AW418,"",'1. Live'!BA418-'check-Jul''26'!AW418)</f>
        <v/>
      </c>
      <c r="AX400" s="25" t="str">
        <f>IF('1. Live'!BB418='check-Jul''26'!AX418,"",'1. Live'!BB418-'check-Jul''26'!AX418)</f>
        <v/>
      </c>
      <c r="AY400" s="25" t="str">
        <f>IF('1. Live'!BC418='check-Jul''26'!AY418,"",'1. Live'!BC418-'check-Jul''26'!AY418)</f>
        <v/>
      </c>
      <c r="AZ400" s="25" t="str">
        <f>IF('1. Live'!BD418='check-Jul''26'!AZ418,"",'1. Live'!BD418-'check-Jul''26'!AZ418)</f>
        <v/>
      </c>
      <c r="BA400" s="25" t="str">
        <f>IF('1. Live'!BE418='check-Jul''26'!BA418,"",'1. Live'!BE418-'check-Jul''26'!BA418)</f>
        <v/>
      </c>
      <c r="BB400" s="25" t="str">
        <f>IF('1. Live'!BF418='check-Jul''26'!BB418,"",'1. Live'!BF418-'check-Jul''26'!BB418)</f>
        <v/>
      </c>
      <c r="BC400" s="25" t="str">
        <f>IF('1. Live'!BG418='check-Jul''26'!BC418,"",'1. Live'!BG418-'check-Jul''26'!BC418)</f>
        <v/>
      </c>
      <c r="BD400" s="25" t="str">
        <f>IF('1. Live'!BH418='check-Jul''26'!BD418,"",'1. Live'!BH418-'check-Jul''26'!BD418)</f>
        <v/>
      </c>
      <c r="BE400" s="25" t="str">
        <f>IF('1. Live'!BI418='check-Jul''26'!BE418,"",'1. Live'!BI418-'check-Jul''26'!BE418)</f>
        <v/>
      </c>
      <c r="BF400" s="25" t="str">
        <f>IF('1. Live'!BJ418='check-Jul''26'!BF418,"",'1. Live'!BJ418-'check-Jul''26'!BF418)</f>
        <v/>
      </c>
      <c r="BG400" s="25" t="str">
        <f>IF('1. Live'!BK418='check-Jul''26'!BG418,"",'1. Live'!BK418-'check-Jul''26'!BG418)</f>
        <v/>
      </c>
      <c r="BH400" s="25" t="str">
        <f>IF('1. Live'!BL418='check-Jul''26'!BH418,"",'1. Live'!BL418-'check-Jul''26'!BH418)</f>
        <v/>
      </c>
      <c r="BI400" s="25" t="str">
        <f>IF('1. Live'!BM418='check-Jul''26'!BI418,"",'1. Live'!BM418-'check-Jul''26'!BI418)</f>
        <v/>
      </c>
      <c r="BJ400" s="25" t="str">
        <f>IF('1. Live'!BN418='check-Jul''26'!BJ418,"",'1. Live'!BN418-'check-Jul''26'!BJ418)</f>
        <v/>
      </c>
      <c r="BK400" s="25" t="str">
        <f>IF('1. Live'!BO418='check-Jul''26'!BK418,"",'1. Live'!BO418-'check-Jul''26'!BK418)</f>
        <v/>
      </c>
      <c r="BL400" s="25" t="str">
        <f>IF('1. Live'!BP418='check-Jul''26'!BL418,"",'1. Live'!BP418-'check-Jul''26'!BL418)</f>
        <v/>
      </c>
      <c r="BM400" s="25" t="str">
        <f>IF('1. Live'!BQ418='check-Jul''26'!BM418,"",'1. Live'!BQ418-'check-Jul''26'!BM418)</f>
        <v/>
      </c>
      <c r="BN400" s="25" t="str">
        <f>IF('1. Live'!BR418='check-Jul''26'!BN418,"",'1. Live'!BR418-'check-Jul''26'!BN418)</f>
        <v/>
      </c>
      <c r="BO400" s="25" t="str">
        <f>IF('1. Live'!BS418='check-Jul''26'!BO418,"",'1. Live'!BS418-'check-Jul''26'!BO418)</f>
        <v/>
      </c>
      <c r="BP400" s="25" t="str">
        <f>IF('1. Live'!BT418='check-Jul''26'!BP418,"",'1. Live'!BT418-'check-Jul''26'!BP418)</f>
        <v/>
      </c>
      <c r="BQ400" s="25" t="str">
        <f>IF('1. Live'!BU418='check-Jul''26'!BQ418,"",'1. Live'!BU418-'check-Jul''26'!BQ418)</f>
        <v/>
      </c>
      <c r="BR400" s="25" t="str">
        <f>IF('1. Live'!BV418='check-Jul''26'!BR418,"",'1. Live'!BV418-'check-Jul''26'!BR418)</f>
        <v/>
      </c>
      <c r="BS400" s="25" t="str">
        <f>IF('1. Live'!BW418='check-Jul''26'!BS418,"",'1. Live'!BW418-'check-Jul''26'!BS418)</f>
        <v/>
      </c>
      <c r="BT400" s="25" t="str">
        <f>IF('1. Live'!BX418='check-Jul''26'!BT418,"",'1. Live'!BX418-'check-Jul''26'!BT418)</f>
        <v/>
      </c>
      <c r="BU400" s="25" t="str">
        <f>IF('1. Live'!BY418='check-Jul''26'!BU418,"",'1. Live'!BY418-'check-Jul''26'!BU418)</f>
        <v/>
      </c>
      <c r="BV400" s="25" t="str">
        <f>IF('1. Live'!BZ418='check-Jul''26'!BV418,"",'1. Live'!BZ418-'check-Jul''26'!BV418)</f>
        <v/>
      </c>
      <c r="BW400" s="25" t="str">
        <f>IF('1. Live'!CA418='check-Jul''26'!BW418,"",'1. Live'!CA418-'check-Jul''26'!BW418)</f>
        <v/>
      </c>
      <c r="BX400" s="25" t="str">
        <f>IF('1. Live'!CB418='check-Jul''26'!BX418,"",'1. Live'!CB418-'check-Jul''26'!BX418)</f>
        <v/>
      </c>
      <c r="BY400" s="25" t="str">
        <f>IF('1. Live'!CC418='check-Jul''26'!BY418,"",'1. Live'!CC418-'check-Jul''26'!BY418)</f>
        <v/>
      </c>
      <c r="BZ400" s="25" t="str">
        <f>IF('1. Live'!CD418='check-Jul''26'!BZ418,"",'1. Live'!CD418-'check-Jul''26'!BZ418)</f>
        <v/>
      </c>
      <c r="CA400" s="25" t="str">
        <f>IF('1. Live'!CE418='check-Jul''26'!CA418,"",'1. Live'!CE418-'check-Jul''26'!CA418)</f>
        <v/>
      </c>
      <c r="CB400" s="25" t="str">
        <f>IF('1. Live'!CF418='check-Jul''26'!CB418,"",'1. Live'!CF418-'check-Jul''26'!CB418)</f>
        <v/>
      </c>
      <c r="CC400" s="25" t="str">
        <f>IF('1. Live'!CG418='check-Jul''26'!CC418,"",'1. Live'!CG418-'check-Jul''26'!CC418)</f>
        <v/>
      </c>
      <c r="CD400" s="25" t="str">
        <f>IF('1. Live'!CH418='check-Jul''26'!CD418,"",'1. Live'!CH418-'check-Jul''26'!CD418)</f>
        <v/>
      </c>
      <c r="CE400" s="25" t="str">
        <f>IF('1. Live'!CI418='check-Jul''26'!CE418,"",'1. Live'!CI418-'check-Jul''26'!CE418)</f>
        <v/>
      </c>
      <c r="CF400" s="25" t="str">
        <f>IF('1. Live'!CJ418='check-Jul''26'!CF418,"",'1. Live'!CJ418-'check-Jul''26'!CF418)</f>
        <v/>
      </c>
      <c r="CG400" s="25" t="str">
        <f>IF('1. Live'!CK418='check-Jul''26'!CG418,"",'1. Live'!CK418-'check-Jul''26'!CG418)</f>
        <v/>
      </c>
      <c r="CH400" s="25" t="str">
        <f>IF('1. Live'!CL418='check-Jul''26'!CH418,"",'1. Live'!CL418-'check-Jul''26'!CH418)</f>
        <v/>
      </c>
      <c r="CI400" s="25" t="str">
        <f>IF('1. Live'!CM418='check-Jul''26'!CI418,"",'1. Live'!CM418-'check-Jul''26'!CI418)</f>
        <v/>
      </c>
      <c r="CJ400" s="25" t="str">
        <f>IF('1. Live'!CN418='check-Jul''26'!CJ418,"",'1. Live'!CN418-'check-Jul''26'!CJ418)</f>
        <v/>
      </c>
      <c r="CK400" s="25" t="str">
        <f>IF('1. Live'!CO418='check-Jul''26'!CK418,"",'1. Live'!CO418-'check-Jul''26'!CK418)</f>
        <v/>
      </c>
      <c r="CL400" s="25" t="str">
        <f>IF('1. Live'!CP418='check-Jul''26'!CL418,"",'1. Live'!CP418-'check-Jul''26'!CL418)</f>
        <v/>
      </c>
      <c r="CM400" s="25" t="str">
        <f>IF('1. Live'!CQ418='check-Jul''26'!CM418,"",'1. Live'!CQ418-'check-Jul''26'!CM418)</f>
        <v/>
      </c>
      <c r="CN400" s="25" t="str">
        <f>IF('1. Live'!CR418='check-Jul''26'!CN418,"",'1. Live'!CR418-'check-Jul''26'!CN418)</f>
        <v/>
      </c>
      <c r="CO400" s="25" t="str">
        <f>IF('1. Live'!CS418='check-Jul''26'!CO418,"",'1. Live'!CS418-'check-Jul''26'!CO418)</f>
        <v/>
      </c>
      <c r="CP400" s="25" t="str">
        <f>IF('1. Live'!CT418='check-Jul''26'!CP418,"",'1. Live'!CT418-'check-Jul''26'!CP418)</f>
        <v/>
      </c>
      <c r="CQ400" s="25" t="str">
        <f>IF('1. Live'!CU418='check-Jul''26'!CQ418,"",'1. Live'!CU418-'check-Jul''26'!CQ418)</f>
        <v/>
      </c>
      <c r="CR400" s="25" t="str">
        <f>IF('1. Live'!CV418='check-Jul''26'!CR418,"",'1. Live'!CV418-'check-Jul''26'!CR418)</f>
        <v/>
      </c>
      <c r="CS400" s="25" t="str">
        <f>IF('1. Live'!CW418='check-Jul''26'!CS418,"",'1. Live'!CW418-'check-Jul''26'!CS418)</f>
        <v/>
      </c>
      <c r="CT400" s="25" t="str">
        <f>IF('1. Live'!CX418='check-Jul''26'!CT418,"",'1. Live'!CX418-'check-Jul''26'!CT418)</f>
        <v/>
      </c>
      <c r="CU400" s="25" t="str">
        <f>IF('1. Live'!CY418='check-Jul''26'!CU418,"",'1. Live'!CY418-'check-Jul''26'!CU418)</f>
        <v/>
      </c>
      <c r="CV400" s="25" t="str">
        <f>IF('1. Live'!CZ418='check-Jul''26'!CV418,"",'1. Live'!CZ418-'check-Jul''26'!CV418)</f>
        <v/>
      </c>
    </row>
    <row r="401" spans="17:100" x14ac:dyDescent="0.25">
      <c r="Q401" s="26" t="str">
        <f>IF('1. Live'!N419='check-Jul''26'!I419,"",'1. Live'!N419-'check-Jul''26'!I419)</f>
        <v/>
      </c>
      <c r="R401" s="26" t="str">
        <f>IF('1. Live'!O419='check-Jul''26'!J419,"",'1. Live'!O419-'check-Jul''26'!J419)</f>
        <v/>
      </c>
      <c r="S401" s="26" t="str">
        <f>IF('1. Live'!P419='check-Jul''26'!K419,"",'1. Live'!P419-'check-Jul''26'!K419)</f>
        <v/>
      </c>
      <c r="T401" s="26" t="str">
        <f>IF('1. Live'!Q419='check-Jul''26'!L419,"",'1. Live'!Q419-'check-Jul''26'!L419)</f>
        <v/>
      </c>
      <c r="U401" s="80" t="str">
        <f>IF('1. Live'!R419='check-Jul''26'!M419,"",'1. Live'!R419-'check-Jul''26'!M419)</f>
        <v/>
      </c>
      <c r="V401" s="26" t="str">
        <f>IF('1. Live'!S419='check-Jul''26'!N419,"",'1. Live'!S419-'check-Jul''26'!N419)</f>
        <v/>
      </c>
      <c r="W401" s="25" t="str">
        <f>IF('1. Live'!T419='check-Jul''26'!O419,"",'1. Live'!T419-'check-Jul''26'!O419)</f>
        <v/>
      </c>
      <c r="X401" s="25" t="str">
        <f>IF('1. Live'!U419='check-Jul''26'!Q419,"",'1. Live'!U419-'check-Jul''26'!Q419)</f>
        <v/>
      </c>
      <c r="Y401" s="25" t="str">
        <f>IF('1. Live'!V419='check-Jul''26'!R419,"",'1. Live'!V419-'check-Jul''26'!R419)</f>
        <v/>
      </c>
      <c r="Z401" s="25" t="str">
        <f>IF('1. Live'!W419='check-Jul''26'!S419,"",'1. Live'!W419-'check-Jul''26'!S419)</f>
        <v/>
      </c>
      <c r="AA401" s="25" t="str">
        <f>IF('1. Live'!X419='check-Jul''26'!T419,"",'1. Live'!X419-'check-Jul''26'!T419)</f>
        <v/>
      </c>
      <c r="AB401" s="25" t="str">
        <f>IF('1. Live'!AF419='check-Jul''26'!AB419,"",'1. Live'!AF419-'check-Jul''26'!AB419)</f>
        <v/>
      </c>
      <c r="AC401" s="25" t="str">
        <f>IF('1. Live'!AG419='check-Jul''26'!AC419,"",'1. Live'!AG419-'check-Jul''26'!AC419)</f>
        <v/>
      </c>
      <c r="AD401" s="25" t="str">
        <f>IF('1. Live'!AH419='check-Jul''26'!AD419,"",'1. Live'!AH419-'check-Jul''26'!AD419)</f>
        <v/>
      </c>
      <c r="AE401" s="25" t="str">
        <f>IF('1. Live'!AI419='check-Jul''26'!AE419,"",'1. Live'!AI419-'check-Jul''26'!AE419)</f>
        <v/>
      </c>
      <c r="AF401" s="25" t="str">
        <f>IF('1. Live'!AJ419='check-Jul''26'!AF419,"",'1. Live'!AJ419-'check-Jul''26'!AF419)</f>
        <v/>
      </c>
      <c r="AG401" s="25" t="str">
        <f>IF('1. Live'!AK419='check-Jul''26'!AG419,"",'1. Live'!AK419-'check-Jul''26'!AG419)</f>
        <v/>
      </c>
      <c r="AH401" s="25" t="str">
        <f>IF('1. Live'!AL419='check-Jul''26'!AH419,"",'1. Live'!AL419-'check-Jul''26'!AH419)</f>
        <v/>
      </c>
      <c r="AI401" s="25" t="str">
        <f>IF('1. Live'!AM419='check-Jul''26'!AI419,"",'1. Live'!AM419-'check-Jul''26'!AI419)</f>
        <v/>
      </c>
      <c r="AJ401" s="25" t="str">
        <f>IF('1. Live'!AN419='check-Jul''26'!AJ419,"",'1. Live'!AN419-'check-Jul''26'!AJ419)</f>
        <v/>
      </c>
      <c r="AK401" s="25" t="str">
        <f>IF('1. Live'!AO419='check-Jul''26'!AK419,"",'1. Live'!AO419-'check-Jul''26'!AK419)</f>
        <v/>
      </c>
      <c r="AL401" s="25" t="str">
        <f>IF('1. Live'!AP419='check-Jul''26'!AL419,"",'1. Live'!AP419-'check-Jul''26'!AL419)</f>
        <v/>
      </c>
      <c r="AM401" s="25" t="str">
        <f>IF('1. Live'!AQ419='check-Jul''26'!AM419,"",'1. Live'!AQ419-'check-Jul''26'!AM419)</f>
        <v/>
      </c>
      <c r="AN401" s="25" t="str">
        <f>IF('1. Live'!AR419='check-Jul''26'!AN419,"",'1. Live'!AR419-'check-Jul''26'!AN419)</f>
        <v/>
      </c>
      <c r="AO401" s="25" t="str">
        <f>IF('1. Live'!AS419='check-Jul''26'!AO419,"",'1. Live'!AS419-'check-Jul''26'!AO419)</f>
        <v/>
      </c>
      <c r="AP401" s="25" t="str">
        <f>IF('1. Live'!AT419='check-Jul''26'!AP419,"",'1. Live'!AT419-'check-Jul''26'!AP419)</f>
        <v/>
      </c>
      <c r="AQ401" s="25" t="str">
        <f>IF('1. Live'!AU419='check-Jul''26'!AQ419,"",'1. Live'!AU419-'check-Jul''26'!AQ419)</f>
        <v/>
      </c>
      <c r="AR401" s="25" t="str">
        <f>IF('1. Live'!AV419='check-Jul''26'!AR419,"",'1. Live'!AV419-'check-Jul''26'!AR419)</f>
        <v/>
      </c>
      <c r="AS401" s="25" t="str">
        <f>IF('1. Live'!AW419='check-Jul''26'!AS419,"",'1. Live'!AW419-'check-Jul''26'!AS419)</f>
        <v/>
      </c>
      <c r="AT401" s="25" t="str">
        <f>IF('1. Live'!AX419='check-Jul''26'!AT419,"",'1. Live'!AX419-'check-Jul''26'!AT419)</f>
        <v/>
      </c>
      <c r="AU401" s="25" t="str">
        <f>IF('1. Live'!AY419='check-Jul''26'!AU419,"",'1. Live'!AY419-'check-Jul''26'!AU419)</f>
        <v/>
      </c>
      <c r="AV401" s="25" t="str">
        <f>IF('1. Live'!AZ419='check-Jul''26'!AV419,"",'1. Live'!AZ419-'check-Jul''26'!AV419)</f>
        <v/>
      </c>
      <c r="AW401" s="25" t="str">
        <f>IF('1. Live'!BA419='check-Jul''26'!AW419,"",'1. Live'!BA419-'check-Jul''26'!AW419)</f>
        <v/>
      </c>
      <c r="AX401" s="25" t="str">
        <f>IF('1. Live'!BB419='check-Jul''26'!AX419,"",'1. Live'!BB419-'check-Jul''26'!AX419)</f>
        <v/>
      </c>
      <c r="AY401" s="25" t="str">
        <f>IF('1. Live'!BC419='check-Jul''26'!AY419,"",'1. Live'!BC419-'check-Jul''26'!AY419)</f>
        <v/>
      </c>
      <c r="AZ401" s="25" t="str">
        <f>IF('1. Live'!BD419='check-Jul''26'!AZ419,"",'1. Live'!BD419-'check-Jul''26'!AZ419)</f>
        <v/>
      </c>
      <c r="BA401" s="25" t="str">
        <f>IF('1. Live'!BE419='check-Jul''26'!BA419,"",'1. Live'!BE419-'check-Jul''26'!BA419)</f>
        <v/>
      </c>
      <c r="BB401" s="25" t="str">
        <f>IF('1. Live'!BF419='check-Jul''26'!BB419,"",'1. Live'!BF419-'check-Jul''26'!BB419)</f>
        <v/>
      </c>
      <c r="BC401" s="25" t="str">
        <f>IF('1. Live'!BG419='check-Jul''26'!BC419,"",'1. Live'!BG419-'check-Jul''26'!BC419)</f>
        <v/>
      </c>
      <c r="BD401" s="25" t="str">
        <f>IF('1. Live'!BH419='check-Jul''26'!BD419,"",'1. Live'!BH419-'check-Jul''26'!BD419)</f>
        <v/>
      </c>
      <c r="BE401" s="25" t="str">
        <f>IF('1. Live'!BI419='check-Jul''26'!BE419,"",'1. Live'!BI419-'check-Jul''26'!BE419)</f>
        <v/>
      </c>
      <c r="BF401" s="25" t="str">
        <f>IF('1. Live'!BJ419='check-Jul''26'!BF419,"",'1. Live'!BJ419-'check-Jul''26'!BF419)</f>
        <v/>
      </c>
      <c r="BG401" s="25" t="str">
        <f>IF('1. Live'!BK419='check-Jul''26'!BG419,"",'1. Live'!BK419-'check-Jul''26'!BG419)</f>
        <v/>
      </c>
      <c r="BH401" s="25" t="str">
        <f>IF('1. Live'!BL419='check-Jul''26'!BH419,"",'1. Live'!BL419-'check-Jul''26'!BH419)</f>
        <v/>
      </c>
      <c r="BI401" s="25" t="str">
        <f>IF('1. Live'!BM419='check-Jul''26'!BI419,"",'1. Live'!BM419-'check-Jul''26'!BI419)</f>
        <v/>
      </c>
      <c r="BJ401" s="25" t="str">
        <f>IF('1. Live'!BN419='check-Jul''26'!BJ419,"",'1. Live'!BN419-'check-Jul''26'!BJ419)</f>
        <v/>
      </c>
      <c r="BK401" s="25" t="str">
        <f>IF('1. Live'!BO419='check-Jul''26'!BK419,"",'1. Live'!BO419-'check-Jul''26'!BK419)</f>
        <v/>
      </c>
      <c r="BL401" s="25" t="str">
        <f>IF('1. Live'!BP419='check-Jul''26'!BL419,"",'1. Live'!BP419-'check-Jul''26'!BL419)</f>
        <v/>
      </c>
      <c r="BM401" s="25" t="str">
        <f>IF('1. Live'!BQ419='check-Jul''26'!BM419,"",'1. Live'!BQ419-'check-Jul''26'!BM419)</f>
        <v/>
      </c>
      <c r="BN401" s="25" t="str">
        <f>IF('1. Live'!BR419='check-Jul''26'!BN419,"",'1. Live'!BR419-'check-Jul''26'!BN419)</f>
        <v/>
      </c>
      <c r="BO401" s="25" t="str">
        <f>IF('1. Live'!BS419='check-Jul''26'!BO419,"",'1. Live'!BS419-'check-Jul''26'!BO419)</f>
        <v/>
      </c>
      <c r="BP401" s="25" t="str">
        <f>IF('1. Live'!BT419='check-Jul''26'!BP419,"",'1. Live'!BT419-'check-Jul''26'!BP419)</f>
        <v/>
      </c>
      <c r="BQ401" s="25" t="str">
        <f>IF('1. Live'!BU419='check-Jul''26'!BQ419,"",'1. Live'!BU419-'check-Jul''26'!BQ419)</f>
        <v/>
      </c>
      <c r="BR401" s="25" t="str">
        <f>IF('1. Live'!BV419='check-Jul''26'!BR419,"",'1. Live'!BV419-'check-Jul''26'!BR419)</f>
        <v/>
      </c>
      <c r="BS401" s="25" t="str">
        <f>IF('1. Live'!BW419='check-Jul''26'!BS419,"",'1. Live'!BW419-'check-Jul''26'!BS419)</f>
        <v/>
      </c>
      <c r="BT401" s="25" t="str">
        <f>IF('1. Live'!BX419='check-Jul''26'!BT419,"",'1. Live'!BX419-'check-Jul''26'!BT419)</f>
        <v/>
      </c>
      <c r="BU401" s="25" t="str">
        <f>IF('1. Live'!BY419='check-Jul''26'!BU419,"",'1. Live'!BY419-'check-Jul''26'!BU419)</f>
        <v/>
      </c>
      <c r="BV401" s="25" t="str">
        <f>IF('1. Live'!BZ419='check-Jul''26'!BV419,"",'1. Live'!BZ419-'check-Jul''26'!BV419)</f>
        <v/>
      </c>
      <c r="BW401" s="25" t="str">
        <f>IF('1. Live'!CA419='check-Jul''26'!BW419,"",'1. Live'!CA419-'check-Jul''26'!BW419)</f>
        <v/>
      </c>
      <c r="BX401" s="25" t="str">
        <f>IF('1. Live'!CB419='check-Jul''26'!BX419,"",'1. Live'!CB419-'check-Jul''26'!BX419)</f>
        <v/>
      </c>
      <c r="BY401" s="25" t="str">
        <f>IF('1. Live'!CC419='check-Jul''26'!BY419,"",'1. Live'!CC419-'check-Jul''26'!BY419)</f>
        <v/>
      </c>
      <c r="BZ401" s="25" t="str">
        <f>IF('1. Live'!CD419='check-Jul''26'!BZ419,"",'1. Live'!CD419-'check-Jul''26'!BZ419)</f>
        <v/>
      </c>
      <c r="CA401" s="25" t="str">
        <f>IF('1. Live'!CE419='check-Jul''26'!CA419,"",'1. Live'!CE419-'check-Jul''26'!CA419)</f>
        <v/>
      </c>
      <c r="CB401" s="25" t="str">
        <f>IF('1. Live'!CF419='check-Jul''26'!CB419,"",'1. Live'!CF419-'check-Jul''26'!CB419)</f>
        <v/>
      </c>
      <c r="CC401" s="25" t="str">
        <f>IF('1. Live'!CG419='check-Jul''26'!CC419,"",'1. Live'!CG419-'check-Jul''26'!CC419)</f>
        <v/>
      </c>
      <c r="CD401" s="25" t="str">
        <f>IF('1. Live'!CH419='check-Jul''26'!CD419,"",'1. Live'!CH419-'check-Jul''26'!CD419)</f>
        <v/>
      </c>
      <c r="CE401" s="25" t="str">
        <f>IF('1. Live'!CI419='check-Jul''26'!CE419,"",'1. Live'!CI419-'check-Jul''26'!CE419)</f>
        <v/>
      </c>
      <c r="CF401" s="25" t="str">
        <f>IF('1. Live'!CJ419='check-Jul''26'!CF419,"",'1. Live'!CJ419-'check-Jul''26'!CF419)</f>
        <v/>
      </c>
      <c r="CG401" s="25" t="str">
        <f>IF('1. Live'!CK419='check-Jul''26'!CG419,"",'1. Live'!CK419-'check-Jul''26'!CG419)</f>
        <v/>
      </c>
      <c r="CH401" s="25" t="str">
        <f>IF('1. Live'!CL419='check-Jul''26'!CH419,"",'1. Live'!CL419-'check-Jul''26'!CH419)</f>
        <v/>
      </c>
      <c r="CI401" s="25" t="str">
        <f>IF('1. Live'!CM419='check-Jul''26'!CI419,"",'1. Live'!CM419-'check-Jul''26'!CI419)</f>
        <v/>
      </c>
      <c r="CJ401" s="25" t="str">
        <f>IF('1. Live'!CN419='check-Jul''26'!CJ419,"",'1. Live'!CN419-'check-Jul''26'!CJ419)</f>
        <v/>
      </c>
      <c r="CK401" s="25" t="str">
        <f>IF('1. Live'!CO419='check-Jul''26'!CK419,"",'1. Live'!CO419-'check-Jul''26'!CK419)</f>
        <v/>
      </c>
      <c r="CL401" s="25" t="str">
        <f>IF('1. Live'!CP419='check-Jul''26'!CL419,"",'1. Live'!CP419-'check-Jul''26'!CL419)</f>
        <v/>
      </c>
      <c r="CM401" s="25" t="str">
        <f>IF('1. Live'!CQ419='check-Jul''26'!CM419,"",'1. Live'!CQ419-'check-Jul''26'!CM419)</f>
        <v/>
      </c>
      <c r="CN401" s="25" t="str">
        <f>IF('1. Live'!CR419='check-Jul''26'!CN419,"",'1. Live'!CR419-'check-Jul''26'!CN419)</f>
        <v/>
      </c>
      <c r="CO401" s="25" t="str">
        <f>IF('1. Live'!CS419='check-Jul''26'!CO419,"",'1. Live'!CS419-'check-Jul''26'!CO419)</f>
        <v/>
      </c>
      <c r="CP401" s="25" t="str">
        <f>IF('1. Live'!CT419='check-Jul''26'!CP419,"",'1. Live'!CT419-'check-Jul''26'!CP419)</f>
        <v/>
      </c>
      <c r="CQ401" s="25" t="str">
        <f>IF('1. Live'!CU419='check-Jul''26'!CQ419,"",'1. Live'!CU419-'check-Jul''26'!CQ419)</f>
        <v/>
      </c>
      <c r="CR401" s="25" t="str">
        <f>IF('1. Live'!CV419='check-Jul''26'!CR419,"",'1. Live'!CV419-'check-Jul''26'!CR419)</f>
        <v/>
      </c>
      <c r="CS401" s="25" t="str">
        <f>IF('1. Live'!CW419='check-Jul''26'!CS419,"",'1. Live'!CW419-'check-Jul''26'!CS419)</f>
        <v/>
      </c>
      <c r="CT401" s="25" t="str">
        <f>IF('1. Live'!CX419='check-Jul''26'!CT419,"",'1. Live'!CX419-'check-Jul''26'!CT419)</f>
        <v/>
      </c>
      <c r="CU401" s="25" t="str">
        <f>IF('1. Live'!CY419='check-Jul''26'!CU419,"",'1. Live'!CY419-'check-Jul''26'!CU419)</f>
        <v/>
      </c>
      <c r="CV401" s="25" t="str">
        <f>IF('1. Live'!CZ419='check-Jul''26'!CV419,"",'1. Live'!CZ419-'check-Jul''26'!CV419)</f>
        <v/>
      </c>
    </row>
    <row r="402" spans="17:100" x14ac:dyDescent="0.25">
      <c r="Q402" s="26" t="str">
        <f>IF('1. Live'!N420='check-Jul''26'!I420,"",'1. Live'!N420-'check-Jul''26'!I420)</f>
        <v/>
      </c>
      <c r="R402" s="26" t="str">
        <f>IF('1. Live'!O420='check-Jul''26'!J420,"",'1. Live'!O420-'check-Jul''26'!J420)</f>
        <v/>
      </c>
      <c r="S402" s="26" t="str">
        <f>IF('1. Live'!P420='check-Jul''26'!K420,"",'1. Live'!P420-'check-Jul''26'!K420)</f>
        <v/>
      </c>
      <c r="T402" s="26" t="str">
        <f>IF('1. Live'!Q420='check-Jul''26'!L420,"",'1. Live'!Q420-'check-Jul''26'!L420)</f>
        <v/>
      </c>
      <c r="U402" s="80" t="str">
        <f>IF('1. Live'!R420='check-Jul''26'!M420,"",'1. Live'!R420-'check-Jul''26'!M420)</f>
        <v/>
      </c>
      <c r="V402" s="26" t="str">
        <f>IF('1. Live'!S420='check-Jul''26'!N420,"",'1. Live'!S420-'check-Jul''26'!N420)</f>
        <v/>
      </c>
      <c r="W402" s="25" t="str">
        <f>IF('1. Live'!T420='check-Jul''26'!O420,"",'1. Live'!T420-'check-Jul''26'!O420)</f>
        <v/>
      </c>
      <c r="X402" s="25" t="str">
        <f>IF('1. Live'!U420='check-Jul''26'!Q420,"",'1. Live'!U420-'check-Jul''26'!Q420)</f>
        <v/>
      </c>
      <c r="Y402" s="25" t="str">
        <f>IF('1. Live'!V420='check-Jul''26'!R420,"",'1. Live'!V420-'check-Jul''26'!R420)</f>
        <v/>
      </c>
      <c r="Z402" s="25" t="str">
        <f>IF('1. Live'!W420='check-Jul''26'!S420,"",'1. Live'!W420-'check-Jul''26'!S420)</f>
        <v/>
      </c>
      <c r="AA402" s="25" t="str">
        <f>IF('1. Live'!X420='check-Jul''26'!T420,"",'1. Live'!X420-'check-Jul''26'!T420)</f>
        <v/>
      </c>
      <c r="AB402" s="25" t="str">
        <f>IF('1. Live'!AF420='check-Jul''26'!AB420,"",'1. Live'!AF420-'check-Jul''26'!AB420)</f>
        <v/>
      </c>
      <c r="AC402" s="25" t="str">
        <f>IF('1. Live'!AG420='check-Jul''26'!AC420,"",'1. Live'!AG420-'check-Jul''26'!AC420)</f>
        <v/>
      </c>
      <c r="AD402" s="25" t="str">
        <f>IF('1. Live'!AH420='check-Jul''26'!AD420,"",'1. Live'!AH420-'check-Jul''26'!AD420)</f>
        <v/>
      </c>
      <c r="AE402" s="25" t="str">
        <f>IF('1. Live'!AI420='check-Jul''26'!AE420,"",'1. Live'!AI420-'check-Jul''26'!AE420)</f>
        <v/>
      </c>
      <c r="AF402" s="25" t="str">
        <f>IF('1. Live'!AJ420='check-Jul''26'!AF420,"",'1. Live'!AJ420-'check-Jul''26'!AF420)</f>
        <v/>
      </c>
      <c r="AG402" s="25" t="str">
        <f>IF('1. Live'!AK420='check-Jul''26'!AG420,"",'1. Live'!AK420-'check-Jul''26'!AG420)</f>
        <v/>
      </c>
      <c r="AH402" s="25" t="str">
        <f>IF('1. Live'!AL420='check-Jul''26'!AH420,"",'1. Live'!AL420-'check-Jul''26'!AH420)</f>
        <v/>
      </c>
      <c r="AI402" s="25" t="str">
        <f>IF('1. Live'!AM420='check-Jul''26'!AI420,"",'1. Live'!AM420-'check-Jul''26'!AI420)</f>
        <v/>
      </c>
      <c r="AJ402" s="25" t="str">
        <f>IF('1. Live'!AN420='check-Jul''26'!AJ420,"",'1. Live'!AN420-'check-Jul''26'!AJ420)</f>
        <v/>
      </c>
      <c r="AK402" s="25" t="str">
        <f>IF('1. Live'!AO420='check-Jul''26'!AK420,"",'1. Live'!AO420-'check-Jul''26'!AK420)</f>
        <v/>
      </c>
      <c r="AL402" s="25" t="str">
        <f>IF('1. Live'!AP420='check-Jul''26'!AL420,"",'1. Live'!AP420-'check-Jul''26'!AL420)</f>
        <v/>
      </c>
      <c r="AM402" s="25" t="str">
        <f>IF('1. Live'!AQ420='check-Jul''26'!AM420,"",'1. Live'!AQ420-'check-Jul''26'!AM420)</f>
        <v/>
      </c>
      <c r="AN402" s="25" t="str">
        <f>IF('1. Live'!AR420='check-Jul''26'!AN420,"",'1. Live'!AR420-'check-Jul''26'!AN420)</f>
        <v/>
      </c>
      <c r="AO402" s="25" t="str">
        <f>IF('1. Live'!AS420='check-Jul''26'!AO420,"",'1. Live'!AS420-'check-Jul''26'!AO420)</f>
        <v/>
      </c>
      <c r="AP402" s="25" t="str">
        <f>IF('1. Live'!AT420='check-Jul''26'!AP420,"",'1. Live'!AT420-'check-Jul''26'!AP420)</f>
        <v/>
      </c>
      <c r="AQ402" s="25" t="str">
        <f>IF('1. Live'!AU420='check-Jul''26'!AQ420,"",'1. Live'!AU420-'check-Jul''26'!AQ420)</f>
        <v/>
      </c>
      <c r="AR402" s="25" t="str">
        <f>IF('1. Live'!AV420='check-Jul''26'!AR420,"",'1. Live'!AV420-'check-Jul''26'!AR420)</f>
        <v/>
      </c>
      <c r="AS402" s="25" t="str">
        <f>IF('1. Live'!AW420='check-Jul''26'!AS420,"",'1. Live'!AW420-'check-Jul''26'!AS420)</f>
        <v/>
      </c>
      <c r="AT402" s="25" t="str">
        <f>IF('1. Live'!AX420='check-Jul''26'!AT420,"",'1. Live'!AX420-'check-Jul''26'!AT420)</f>
        <v/>
      </c>
      <c r="AU402" s="25" t="str">
        <f>IF('1. Live'!AY420='check-Jul''26'!AU420,"",'1. Live'!AY420-'check-Jul''26'!AU420)</f>
        <v/>
      </c>
      <c r="AV402" s="25" t="str">
        <f>IF('1. Live'!AZ420='check-Jul''26'!AV420,"",'1. Live'!AZ420-'check-Jul''26'!AV420)</f>
        <v/>
      </c>
      <c r="AW402" s="25" t="str">
        <f>IF('1. Live'!BA420='check-Jul''26'!AW420,"",'1. Live'!BA420-'check-Jul''26'!AW420)</f>
        <v/>
      </c>
      <c r="AX402" s="25" t="str">
        <f>IF('1. Live'!BB420='check-Jul''26'!AX420,"",'1. Live'!BB420-'check-Jul''26'!AX420)</f>
        <v/>
      </c>
      <c r="AY402" s="25" t="str">
        <f>IF('1. Live'!BC420='check-Jul''26'!AY420,"",'1. Live'!BC420-'check-Jul''26'!AY420)</f>
        <v/>
      </c>
      <c r="AZ402" s="25" t="str">
        <f>IF('1. Live'!BD420='check-Jul''26'!AZ420,"",'1. Live'!BD420-'check-Jul''26'!AZ420)</f>
        <v/>
      </c>
      <c r="BA402" s="25" t="str">
        <f>IF('1. Live'!BE420='check-Jul''26'!BA420,"",'1. Live'!BE420-'check-Jul''26'!BA420)</f>
        <v/>
      </c>
      <c r="BB402" s="25" t="str">
        <f>IF('1. Live'!BF420='check-Jul''26'!BB420,"",'1. Live'!BF420-'check-Jul''26'!BB420)</f>
        <v/>
      </c>
      <c r="BC402" s="25" t="str">
        <f>IF('1. Live'!BG420='check-Jul''26'!BC420,"",'1. Live'!BG420-'check-Jul''26'!BC420)</f>
        <v/>
      </c>
      <c r="BD402" s="25" t="str">
        <f>IF('1. Live'!BH420='check-Jul''26'!BD420,"",'1. Live'!BH420-'check-Jul''26'!BD420)</f>
        <v/>
      </c>
      <c r="BE402" s="25" t="str">
        <f>IF('1. Live'!BI420='check-Jul''26'!BE420,"",'1. Live'!BI420-'check-Jul''26'!BE420)</f>
        <v/>
      </c>
      <c r="BF402" s="25" t="str">
        <f>IF('1. Live'!BJ420='check-Jul''26'!BF420,"",'1. Live'!BJ420-'check-Jul''26'!BF420)</f>
        <v/>
      </c>
      <c r="BG402" s="25" t="str">
        <f>IF('1. Live'!BK420='check-Jul''26'!BG420,"",'1. Live'!BK420-'check-Jul''26'!BG420)</f>
        <v/>
      </c>
      <c r="BH402" s="25" t="str">
        <f>IF('1. Live'!BL420='check-Jul''26'!BH420,"",'1. Live'!BL420-'check-Jul''26'!BH420)</f>
        <v/>
      </c>
      <c r="BI402" s="25" t="str">
        <f>IF('1. Live'!BM420='check-Jul''26'!BI420,"",'1. Live'!BM420-'check-Jul''26'!BI420)</f>
        <v/>
      </c>
      <c r="BJ402" s="25" t="str">
        <f>IF('1. Live'!BN420='check-Jul''26'!BJ420,"",'1. Live'!BN420-'check-Jul''26'!BJ420)</f>
        <v/>
      </c>
      <c r="BK402" s="25" t="str">
        <f>IF('1. Live'!BO420='check-Jul''26'!BK420,"",'1. Live'!BO420-'check-Jul''26'!BK420)</f>
        <v/>
      </c>
      <c r="BL402" s="25" t="str">
        <f>IF('1. Live'!BP420='check-Jul''26'!BL420,"",'1. Live'!BP420-'check-Jul''26'!BL420)</f>
        <v/>
      </c>
      <c r="BM402" s="25" t="str">
        <f>IF('1. Live'!BQ420='check-Jul''26'!BM420,"",'1. Live'!BQ420-'check-Jul''26'!BM420)</f>
        <v/>
      </c>
      <c r="BN402" s="25" t="str">
        <f>IF('1. Live'!BR420='check-Jul''26'!BN420,"",'1. Live'!BR420-'check-Jul''26'!BN420)</f>
        <v/>
      </c>
      <c r="BO402" s="25" t="str">
        <f>IF('1. Live'!BS420='check-Jul''26'!BO420,"",'1. Live'!BS420-'check-Jul''26'!BO420)</f>
        <v/>
      </c>
      <c r="BP402" s="25" t="str">
        <f>IF('1. Live'!BT420='check-Jul''26'!BP420,"",'1. Live'!BT420-'check-Jul''26'!BP420)</f>
        <v/>
      </c>
      <c r="BQ402" s="25" t="str">
        <f>IF('1. Live'!BU420='check-Jul''26'!BQ420,"",'1. Live'!BU420-'check-Jul''26'!BQ420)</f>
        <v/>
      </c>
      <c r="BR402" s="25" t="str">
        <f>IF('1. Live'!BV420='check-Jul''26'!BR420,"",'1. Live'!BV420-'check-Jul''26'!BR420)</f>
        <v/>
      </c>
      <c r="BS402" s="25" t="str">
        <f>IF('1. Live'!BW420='check-Jul''26'!BS420,"",'1. Live'!BW420-'check-Jul''26'!BS420)</f>
        <v/>
      </c>
      <c r="BT402" s="25" t="str">
        <f>IF('1. Live'!BX420='check-Jul''26'!BT420,"",'1. Live'!BX420-'check-Jul''26'!BT420)</f>
        <v/>
      </c>
      <c r="BU402" s="25" t="str">
        <f>IF('1. Live'!BY420='check-Jul''26'!BU420,"",'1. Live'!BY420-'check-Jul''26'!BU420)</f>
        <v/>
      </c>
      <c r="BV402" s="25" t="str">
        <f>IF('1. Live'!BZ420='check-Jul''26'!BV420,"",'1. Live'!BZ420-'check-Jul''26'!BV420)</f>
        <v/>
      </c>
      <c r="BW402" s="25" t="str">
        <f>IF('1. Live'!CA420='check-Jul''26'!BW420,"",'1. Live'!CA420-'check-Jul''26'!BW420)</f>
        <v/>
      </c>
      <c r="BX402" s="25" t="str">
        <f>IF('1. Live'!CB420='check-Jul''26'!BX420,"",'1. Live'!CB420-'check-Jul''26'!BX420)</f>
        <v/>
      </c>
      <c r="BY402" s="25" t="str">
        <f>IF('1. Live'!CC420='check-Jul''26'!BY420,"",'1. Live'!CC420-'check-Jul''26'!BY420)</f>
        <v/>
      </c>
      <c r="BZ402" s="25" t="str">
        <f>IF('1. Live'!CD420='check-Jul''26'!BZ420,"",'1. Live'!CD420-'check-Jul''26'!BZ420)</f>
        <v/>
      </c>
      <c r="CA402" s="25" t="str">
        <f>IF('1. Live'!CE420='check-Jul''26'!CA420,"",'1. Live'!CE420-'check-Jul''26'!CA420)</f>
        <v/>
      </c>
      <c r="CB402" s="25" t="str">
        <f>IF('1. Live'!CF420='check-Jul''26'!CB420,"",'1. Live'!CF420-'check-Jul''26'!CB420)</f>
        <v/>
      </c>
      <c r="CC402" s="25" t="str">
        <f>IF('1. Live'!CG420='check-Jul''26'!CC420,"",'1. Live'!CG420-'check-Jul''26'!CC420)</f>
        <v/>
      </c>
      <c r="CD402" s="25" t="str">
        <f>IF('1. Live'!CH420='check-Jul''26'!CD420,"",'1. Live'!CH420-'check-Jul''26'!CD420)</f>
        <v/>
      </c>
      <c r="CE402" s="25" t="str">
        <f>IF('1. Live'!CI420='check-Jul''26'!CE420,"",'1. Live'!CI420-'check-Jul''26'!CE420)</f>
        <v/>
      </c>
      <c r="CF402" s="25" t="str">
        <f>IF('1. Live'!CJ420='check-Jul''26'!CF420,"",'1. Live'!CJ420-'check-Jul''26'!CF420)</f>
        <v/>
      </c>
      <c r="CG402" s="25" t="str">
        <f>IF('1. Live'!CK420='check-Jul''26'!CG420,"",'1. Live'!CK420-'check-Jul''26'!CG420)</f>
        <v/>
      </c>
      <c r="CH402" s="25" t="str">
        <f>IF('1. Live'!CL420='check-Jul''26'!CH420,"",'1. Live'!CL420-'check-Jul''26'!CH420)</f>
        <v/>
      </c>
      <c r="CI402" s="25" t="str">
        <f>IF('1. Live'!CM420='check-Jul''26'!CI420,"",'1. Live'!CM420-'check-Jul''26'!CI420)</f>
        <v/>
      </c>
      <c r="CJ402" s="25" t="str">
        <f>IF('1. Live'!CN420='check-Jul''26'!CJ420,"",'1. Live'!CN420-'check-Jul''26'!CJ420)</f>
        <v/>
      </c>
      <c r="CK402" s="25" t="str">
        <f>IF('1. Live'!CO420='check-Jul''26'!CK420,"",'1. Live'!CO420-'check-Jul''26'!CK420)</f>
        <v/>
      </c>
      <c r="CL402" s="25" t="str">
        <f>IF('1. Live'!CP420='check-Jul''26'!CL420,"",'1. Live'!CP420-'check-Jul''26'!CL420)</f>
        <v/>
      </c>
      <c r="CM402" s="25" t="str">
        <f>IF('1. Live'!CQ420='check-Jul''26'!CM420,"",'1. Live'!CQ420-'check-Jul''26'!CM420)</f>
        <v/>
      </c>
      <c r="CN402" s="25" t="str">
        <f>IF('1. Live'!CR420='check-Jul''26'!CN420,"",'1. Live'!CR420-'check-Jul''26'!CN420)</f>
        <v/>
      </c>
      <c r="CO402" s="25" t="str">
        <f>IF('1. Live'!CS420='check-Jul''26'!CO420,"",'1. Live'!CS420-'check-Jul''26'!CO420)</f>
        <v/>
      </c>
      <c r="CP402" s="25" t="str">
        <f>IF('1. Live'!CT420='check-Jul''26'!CP420,"",'1. Live'!CT420-'check-Jul''26'!CP420)</f>
        <v/>
      </c>
      <c r="CQ402" s="25" t="str">
        <f>IF('1. Live'!CU420='check-Jul''26'!CQ420,"",'1. Live'!CU420-'check-Jul''26'!CQ420)</f>
        <v/>
      </c>
      <c r="CR402" s="25" t="str">
        <f>IF('1. Live'!CV420='check-Jul''26'!CR420,"",'1. Live'!CV420-'check-Jul''26'!CR420)</f>
        <v/>
      </c>
      <c r="CS402" s="25" t="str">
        <f>IF('1. Live'!CW420='check-Jul''26'!CS420,"",'1. Live'!CW420-'check-Jul''26'!CS420)</f>
        <v/>
      </c>
      <c r="CT402" s="25" t="str">
        <f>IF('1. Live'!CX420='check-Jul''26'!CT420,"",'1. Live'!CX420-'check-Jul''26'!CT420)</f>
        <v/>
      </c>
      <c r="CU402" s="25" t="str">
        <f>IF('1. Live'!CY420='check-Jul''26'!CU420,"",'1. Live'!CY420-'check-Jul''26'!CU420)</f>
        <v/>
      </c>
      <c r="CV402" s="25" t="str">
        <f>IF('1. Live'!CZ420='check-Jul''26'!CV420,"",'1. Live'!CZ420-'check-Jul''26'!CV420)</f>
        <v/>
      </c>
    </row>
    <row r="403" spans="17:100" x14ac:dyDescent="0.25">
      <c r="Q403" s="26" t="str">
        <f>IF('1. Live'!N421='check-Jul''26'!I421,"",'1. Live'!N421-'check-Jul''26'!I421)</f>
        <v/>
      </c>
      <c r="R403" s="26" t="str">
        <f>IF('1. Live'!O421='check-Jul''26'!J421,"",'1. Live'!O421-'check-Jul''26'!J421)</f>
        <v/>
      </c>
      <c r="S403" s="26" t="str">
        <f>IF('1. Live'!P421='check-Jul''26'!K421,"",'1. Live'!P421-'check-Jul''26'!K421)</f>
        <v/>
      </c>
      <c r="T403" s="26" t="str">
        <f>IF('1. Live'!Q421='check-Jul''26'!L421,"",'1. Live'!Q421-'check-Jul''26'!L421)</f>
        <v/>
      </c>
      <c r="U403" s="80" t="str">
        <f>IF('1. Live'!R421='check-Jul''26'!M421,"",'1. Live'!R421-'check-Jul''26'!M421)</f>
        <v/>
      </c>
      <c r="V403" s="26" t="str">
        <f>IF('1. Live'!S421='check-Jul''26'!N421,"",'1. Live'!S421-'check-Jul''26'!N421)</f>
        <v/>
      </c>
      <c r="W403" s="25" t="str">
        <f>IF('1. Live'!T421='check-Jul''26'!O421,"",'1. Live'!T421-'check-Jul''26'!O421)</f>
        <v/>
      </c>
      <c r="X403" s="25" t="str">
        <f>IF('1. Live'!U421='check-Jul''26'!Q421,"",'1. Live'!U421-'check-Jul''26'!Q421)</f>
        <v/>
      </c>
      <c r="Y403" s="25" t="str">
        <f>IF('1. Live'!V421='check-Jul''26'!R421,"",'1. Live'!V421-'check-Jul''26'!R421)</f>
        <v/>
      </c>
      <c r="Z403" s="25" t="str">
        <f>IF('1. Live'!W421='check-Jul''26'!S421,"",'1. Live'!W421-'check-Jul''26'!S421)</f>
        <v/>
      </c>
      <c r="AA403" s="25" t="str">
        <f>IF('1. Live'!X421='check-Jul''26'!T421,"",'1. Live'!X421-'check-Jul''26'!T421)</f>
        <v/>
      </c>
      <c r="AB403" s="25" t="str">
        <f>IF('1. Live'!AF421='check-Jul''26'!AB421,"",'1. Live'!AF421-'check-Jul''26'!AB421)</f>
        <v/>
      </c>
      <c r="AC403" s="25" t="str">
        <f>IF('1. Live'!AG421='check-Jul''26'!AC421,"",'1. Live'!AG421-'check-Jul''26'!AC421)</f>
        <v/>
      </c>
      <c r="AD403" s="25" t="str">
        <f>IF('1. Live'!AH421='check-Jul''26'!AD421,"",'1. Live'!AH421-'check-Jul''26'!AD421)</f>
        <v/>
      </c>
      <c r="AE403" s="25" t="str">
        <f>IF('1. Live'!AI421='check-Jul''26'!AE421,"",'1. Live'!AI421-'check-Jul''26'!AE421)</f>
        <v/>
      </c>
      <c r="AF403" s="25" t="str">
        <f>IF('1. Live'!AJ421='check-Jul''26'!AF421,"",'1. Live'!AJ421-'check-Jul''26'!AF421)</f>
        <v/>
      </c>
      <c r="AG403" s="25" t="str">
        <f>IF('1. Live'!AK421='check-Jul''26'!AG421,"",'1. Live'!AK421-'check-Jul''26'!AG421)</f>
        <v/>
      </c>
      <c r="AH403" s="25" t="str">
        <f>IF('1. Live'!AL421='check-Jul''26'!AH421,"",'1. Live'!AL421-'check-Jul''26'!AH421)</f>
        <v/>
      </c>
      <c r="AI403" s="25" t="str">
        <f>IF('1. Live'!AM421='check-Jul''26'!AI421,"",'1. Live'!AM421-'check-Jul''26'!AI421)</f>
        <v/>
      </c>
      <c r="AJ403" s="25" t="str">
        <f>IF('1. Live'!AN421='check-Jul''26'!AJ421,"",'1. Live'!AN421-'check-Jul''26'!AJ421)</f>
        <v/>
      </c>
      <c r="AK403" s="25" t="str">
        <f>IF('1. Live'!AO421='check-Jul''26'!AK421,"",'1. Live'!AO421-'check-Jul''26'!AK421)</f>
        <v/>
      </c>
      <c r="AL403" s="25" t="str">
        <f>IF('1. Live'!AP421='check-Jul''26'!AL421,"",'1. Live'!AP421-'check-Jul''26'!AL421)</f>
        <v/>
      </c>
      <c r="AM403" s="25" t="str">
        <f>IF('1. Live'!AQ421='check-Jul''26'!AM421,"",'1. Live'!AQ421-'check-Jul''26'!AM421)</f>
        <v/>
      </c>
      <c r="AN403" s="25" t="str">
        <f>IF('1. Live'!AR421='check-Jul''26'!AN421,"",'1. Live'!AR421-'check-Jul''26'!AN421)</f>
        <v/>
      </c>
      <c r="AO403" s="25" t="str">
        <f>IF('1. Live'!AS421='check-Jul''26'!AO421,"",'1. Live'!AS421-'check-Jul''26'!AO421)</f>
        <v/>
      </c>
      <c r="AP403" s="25" t="str">
        <f>IF('1. Live'!AT421='check-Jul''26'!AP421,"",'1. Live'!AT421-'check-Jul''26'!AP421)</f>
        <v/>
      </c>
      <c r="AQ403" s="25" t="str">
        <f>IF('1. Live'!AU421='check-Jul''26'!AQ421,"",'1. Live'!AU421-'check-Jul''26'!AQ421)</f>
        <v/>
      </c>
      <c r="AR403" s="25" t="str">
        <f>IF('1. Live'!AV421='check-Jul''26'!AR421,"",'1. Live'!AV421-'check-Jul''26'!AR421)</f>
        <v/>
      </c>
      <c r="AS403" s="25" t="str">
        <f>IF('1. Live'!AW421='check-Jul''26'!AS421,"",'1. Live'!AW421-'check-Jul''26'!AS421)</f>
        <v/>
      </c>
      <c r="AT403" s="25" t="str">
        <f>IF('1. Live'!AX421='check-Jul''26'!AT421,"",'1. Live'!AX421-'check-Jul''26'!AT421)</f>
        <v/>
      </c>
      <c r="AU403" s="25" t="str">
        <f>IF('1. Live'!AY421='check-Jul''26'!AU421,"",'1. Live'!AY421-'check-Jul''26'!AU421)</f>
        <v/>
      </c>
      <c r="AV403" s="25" t="str">
        <f>IF('1. Live'!AZ421='check-Jul''26'!AV421,"",'1. Live'!AZ421-'check-Jul''26'!AV421)</f>
        <v/>
      </c>
      <c r="AW403" s="25" t="str">
        <f>IF('1. Live'!BA421='check-Jul''26'!AW421,"",'1. Live'!BA421-'check-Jul''26'!AW421)</f>
        <v/>
      </c>
      <c r="AX403" s="25" t="str">
        <f>IF('1. Live'!BB421='check-Jul''26'!AX421,"",'1. Live'!BB421-'check-Jul''26'!AX421)</f>
        <v/>
      </c>
      <c r="AY403" s="25" t="str">
        <f>IF('1. Live'!BC421='check-Jul''26'!AY421,"",'1. Live'!BC421-'check-Jul''26'!AY421)</f>
        <v/>
      </c>
      <c r="AZ403" s="25" t="str">
        <f>IF('1. Live'!BD421='check-Jul''26'!AZ421,"",'1. Live'!BD421-'check-Jul''26'!AZ421)</f>
        <v/>
      </c>
      <c r="BA403" s="25" t="str">
        <f>IF('1. Live'!BE421='check-Jul''26'!BA421,"",'1. Live'!BE421-'check-Jul''26'!BA421)</f>
        <v/>
      </c>
      <c r="BB403" s="25" t="str">
        <f>IF('1. Live'!BF421='check-Jul''26'!BB421,"",'1. Live'!BF421-'check-Jul''26'!BB421)</f>
        <v/>
      </c>
      <c r="BC403" s="25" t="str">
        <f>IF('1. Live'!BG421='check-Jul''26'!BC421,"",'1. Live'!BG421-'check-Jul''26'!BC421)</f>
        <v/>
      </c>
      <c r="BD403" s="25" t="str">
        <f>IF('1. Live'!BH421='check-Jul''26'!BD421,"",'1. Live'!BH421-'check-Jul''26'!BD421)</f>
        <v/>
      </c>
      <c r="BE403" s="25" t="str">
        <f>IF('1. Live'!BI421='check-Jul''26'!BE421,"",'1. Live'!BI421-'check-Jul''26'!BE421)</f>
        <v/>
      </c>
      <c r="BF403" s="25" t="str">
        <f>IF('1. Live'!BJ421='check-Jul''26'!BF421,"",'1. Live'!BJ421-'check-Jul''26'!BF421)</f>
        <v/>
      </c>
      <c r="BG403" s="25" t="str">
        <f>IF('1. Live'!BK421='check-Jul''26'!BG421,"",'1. Live'!BK421-'check-Jul''26'!BG421)</f>
        <v/>
      </c>
      <c r="BH403" s="25" t="str">
        <f>IF('1. Live'!BL421='check-Jul''26'!BH421,"",'1. Live'!BL421-'check-Jul''26'!BH421)</f>
        <v/>
      </c>
      <c r="BI403" s="25" t="str">
        <f>IF('1. Live'!BM421='check-Jul''26'!BI421,"",'1. Live'!BM421-'check-Jul''26'!BI421)</f>
        <v/>
      </c>
      <c r="BJ403" s="25" t="str">
        <f>IF('1. Live'!BN421='check-Jul''26'!BJ421,"",'1. Live'!BN421-'check-Jul''26'!BJ421)</f>
        <v/>
      </c>
      <c r="BK403" s="25" t="str">
        <f>IF('1. Live'!BO421='check-Jul''26'!BK421,"",'1. Live'!BO421-'check-Jul''26'!BK421)</f>
        <v/>
      </c>
      <c r="BL403" s="25" t="str">
        <f>IF('1. Live'!BP421='check-Jul''26'!BL421,"",'1. Live'!BP421-'check-Jul''26'!BL421)</f>
        <v/>
      </c>
      <c r="BM403" s="25" t="str">
        <f>IF('1. Live'!BQ421='check-Jul''26'!BM421,"",'1. Live'!BQ421-'check-Jul''26'!BM421)</f>
        <v/>
      </c>
      <c r="BN403" s="25" t="str">
        <f>IF('1. Live'!BR421='check-Jul''26'!BN421,"",'1. Live'!BR421-'check-Jul''26'!BN421)</f>
        <v/>
      </c>
      <c r="BO403" s="25" t="str">
        <f>IF('1. Live'!BS421='check-Jul''26'!BO421,"",'1. Live'!BS421-'check-Jul''26'!BO421)</f>
        <v/>
      </c>
      <c r="BP403" s="25" t="str">
        <f>IF('1. Live'!BT421='check-Jul''26'!BP421,"",'1. Live'!BT421-'check-Jul''26'!BP421)</f>
        <v/>
      </c>
      <c r="BQ403" s="25" t="str">
        <f>IF('1. Live'!BU421='check-Jul''26'!BQ421,"",'1. Live'!BU421-'check-Jul''26'!BQ421)</f>
        <v/>
      </c>
      <c r="BR403" s="25" t="str">
        <f>IF('1. Live'!BV421='check-Jul''26'!BR421,"",'1. Live'!BV421-'check-Jul''26'!BR421)</f>
        <v/>
      </c>
      <c r="BS403" s="25" t="str">
        <f>IF('1. Live'!BW421='check-Jul''26'!BS421,"",'1. Live'!BW421-'check-Jul''26'!BS421)</f>
        <v/>
      </c>
      <c r="BT403" s="25" t="str">
        <f>IF('1. Live'!BX421='check-Jul''26'!BT421,"",'1. Live'!BX421-'check-Jul''26'!BT421)</f>
        <v/>
      </c>
      <c r="BU403" s="25" t="str">
        <f>IF('1. Live'!BY421='check-Jul''26'!BU421,"",'1. Live'!BY421-'check-Jul''26'!BU421)</f>
        <v/>
      </c>
      <c r="BV403" s="25" t="str">
        <f>IF('1. Live'!BZ421='check-Jul''26'!BV421,"",'1. Live'!BZ421-'check-Jul''26'!BV421)</f>
        <v/>
      </c>
      <c r="BW403" s="25" t="str">
        <f>IF('1. Live'!CA421='check-Jul''26'!BW421,"",'1. Live'!CA421-'check-Jul''26'!BW421)</f>
        <v/>
      </c>
      <c r="BX403" s="25" t="str">
        <f>IF('1. Live'!CB421='check-Jul''26'!BX421,"",'1. Live'!CB421-'check-Jul''26'!BX421)</f>
        <v/>
      </c>
      <c r="BY403" s="25" t="str">
        <f>IF('1. Live'!CC421='check-Jul''26'!BY421,"",'1. Live'!CC421-'check-Jul''26'!BY421)</f>
        <v/>
      </c>
      <c r="BZ403" s="25" t="str">
        <f>IF('1. Live'!CD421='check-Jul''26'!BZ421,"",'1. Live'!CD421-'check-Jul''26'!BZ421)</f>
        <v/>
      </c>
      <c r="CA403" s="25" t="str">
        <f>IF('1. Live'!CE421='check-Jul''26'!CA421,"",'1. Live'!CE421-'check-Jul''26'!CA421)</f>
        <v/>
      </c>
      <c r="CB403" s="25" t="str">
        <f>IF('1. Live'!CF421='check-Jul''26'!CB421,"",'1. Live'!CF421-'check-Jul''26'!CB421)</f>
        <v/>
      </c>
      <c r="CC403" s="25" t="str">
        <f>IF('1. Live'!CG421='check-Jul''26'!CC421,"",'1. Live'!CG421-'check-Jul''26'!CC421)</f>
        <v/>
      </c>
      <c r="CD403" s="25" t="str">
        <f>IF('1. Live'!CH421='check-Jul''26'!CD421,"",'1. Live'!CH421-'check-Jul''26'!CD421)</f>
        <v/>
      </c>
      <c r="CE403" s="25" t="str">
        <f>IF('1. Live'!CI421='check-Jul''26'!CE421,"",'1. Live'!CI421-'check-Jul''26'!CE421)</f>
        <v/>
      </c>
      <c r="CF403" s="25" t="str">
        <f>IF('1. Live'!CJ421='check-Jul''26'!CF421,"",'1. Live'!CJ421-'check-Jul''26'!CF421)</f>
        <v/>
      </c>
      <c r="CG403" s="25" t="str">
        <f>IF('1. Live'!CK421='check-Jul''26'!CG421,"",'1. Live'!CK421-'check-Jul''26'!CG421)</f>
        <v/>
      </c>
      <c r="CH403" s="25" t="str">
        <f>IF('1. Live'!CL421='check-Jul''26'!CH421,"",'1. Live'!CL421-'check-Jul''26'!CH421)</f>
        <v/>
      </c>
      <c r="CI403" s="25" t="str">
        <f>IF('1. Live'!CM421='check-Jul''26'!CI421,"",'1. Live'!CM421-'check-Jul''26'!CI421)</f>
        <v/>
      </c>
      <c r="CJ403" s="25" t="str">
        <f>IF('1. Live'!CN421='check-Jul''26'!CJ421,"",'1. Live'!CN421-'check-Jul''26'!CJ421)</f>
        <v/>
      </c>
      <c r="CK403" s="25" t="str">
        <f>IF('1. Live'!CO421='check-Jul''26'!CK421,"",'1. Live'!CO421-'check-Jul''26'!CK421)</f>
        <v/>
      </c>
      <c r="CL403" s="25" t="str">
        <f>IF('1. Live'!CP421='check-Jul''26'!CL421,"",'1. Live'!CP421-'check-Jul''26'!CL421)</f>
        <v/>
      </c>
      <c r="CM403" s="25" t="str">
        <f>IF('1. Live'!CQ421='check-Jul''26'!CM421,"",'1. Live'!CQ421-'check-Jul''26'!CM421)</f>
        <v/>
      </c>
      <c r="CN403" s="25" t="str">
        <f>IF('1. Live'!CR421='check-Jul''26'!CN421,"",'1. Live'!CR421-'check-Jul''26'!CN421)</f>
        <v/>
      </c>
      <c r="CO403" s="25" t="str">
        <f>IF('1. Live'!CS421='check-Jul''26'!CO421,"",'1. Live'!CS421-'check-Jul''26'!CO421)</f>
        <v/>
      </c>
      <c r="CP403" s="25" t="str">
        <f>IF('1. Live'!CT421='check-Jul''26'!CP421,"",'1. Live'!CT421-'check-Jul''26'!CP421)</f>
        <v/>
      </c>
      <c r="CQ403" s="25" t="str">
        <f>IF('1. Live'!CU421='check-Jul''26'!CQ421,"",'1. Live'!CU421-'check-Jul''26'!CQ421)</f>
        <v/>
      </c>
      <c r="CR403" s="25" t="str">
        <f>IF('1. Live'!CV421='check-Jul''26'!CR421,"",'1. Live'!CV421-'check-Jul''26'!CR421)</f>
        <v/>
      </c>
      <c r="CS403" s="25" t="str">
        <f>IF('1. Live'!CW421='check-Jul''26'!CS421,"",'1. Live'!CW421-'check-Jul''26'!CS421)</f>
        <v/>
      </c>
      <c r="CT403" s="25" t="str">
        <f>IF('1. Live'!CX421='check-Jul''26'!CT421,"",'1. Live'!CX421-'check-Jul''26'!CT421)</f>
        <v/>
      </c>
      <c r="CU403" s="25" t="str">
        <f>IF('1. Live'!CY421='check-Jul''26'!CU421,"",'1. Live'!CY421-'check-Jul''26'!CU421)</f>
        <v/>
      </c>
      <c r="CV403" s="25" t="str">
        <f>IF('1. Live'!CZ421='check-Jul''26'!CV421,"",'1. Live'!CZ421-'check-Jul''26'!CV421)</f>
        <v/>
      </c>
    </row>
    <row r="404" spans="17:100" x14ac:dyDescent="0.25">
      <c r="Q404" s="26" t="str">
        <f>IF('1. Live'!N422='check-Jul''26'!I422,"",'1. Live'!N422-'check-Jul''26'!I422)</f>
        <v/>
      </c>
      <c r="R404" s="26" t="str">
        <f>IF('1. Live'!O422='check-Jul''26'!J422,"",'1. Live'!O422-'check-Jul''26'!J422)</f>
        <v/>
      </c>
      <c r="S404" s="26" t="str">
        <f>IF('1. Live'!P422='check-Jul''26'!K422,"",'1. Live'!P422-'check-Jul''26'!K422)</f>
        <v/>
      </c>
      <c r="T404" s="26" t="str">
        <f>IF('1. Live'!Q422='check-Jul''26'!L422,"",'1. Live'!Q422-'check-Jul''26'!L422)</f>
        <v/>
      </c>
      <c r="U404" s="80" t="str">
        <f>IF('1. Live'!R422='check-Jul''26'!M422,"",'1. Live'!R422-'check-Jul''26'!M422)</f>
        <v/>
      </c>
      <c r="V404" s="26" t="str">
        <f>IF('1. Live'!S422='check-Jul''26'!N422,"",'1. Live'!S422-'check-Jul''26'!N422)</f>
        <v/>
      </c>
      <c r="W404" s="25" t="str">
        <f>IF('1. Live'!T422='check-Jul''26'!O422,"",'1. Live'!T422-'check-Jul''26'!O422)</f>
        <v/>
      </c>
      <c r="X404" s="25" t="str">
        <f>IF('1. Live'!U422='check-Jul''26'!Q422,"",'1. Live'!U422-'check-Jul''26'!Q422)</f>
        <v/>
      </c>
      <c r="Y404" s="25" t="str">
        <f>IF('1. Live'!V422='check-Jul''26'!R422,"",'1. Live'!V422-'check-Jul''26'!R422)</f>
        <v/>
      </c>
      <c r="Z404" s="25" t="str">
        <f>IF('1. Live'!W422='check-Jul''26'!S422,"",'1. Live'!W422-'check-Jul''26'!S422)</f>
        <v/>
      </c>
      <c r="AA404" s="25" t="str">
        <f>IF('1. Live'!X422='check-Jul''26'!T422,"",'1. Live'!X422-'check-Jul''26'!T422)</f>
        <v/>
      </c>
      <c r="AB404" s="25" t="str">
        <f>IF('1. Live'!AF422='check-Jul''26'!AB422,"",'1. Live'!AF422-'check-Jul''26'!AB422)</f>
        <v/>
      </c>
      <c r="AC404" s="25" t="str">
        <f>IF('1. Live'!AG422='check-Jul''26'!AC422,"",'1. Live'!AG422-'check-Jul''26'!AC422)</f>
        <v/>
      </c>
      <c r="AD404" s="25" t="str">
        <f>IF('1. Live'!AH422='check-Jul''26'!AD422,"",'1. Live'!AH422-'check-Jul''26'!AD422)</f>
        <v/>
      </c>
      <c r="AE404" s="25" t="str">
        <f>IF('1. Live'!AI422='check-Jul''26'!AE422,"",'1. Live'!AI422-'check-Jul''26'!AE422)</f>
        <v/>
      </c>
      <c r="AF404" s="25" t="str">
        <f>IF('1. Live'!AJ422='check-Jul''26'!AF422,"",'1. Live'!AJ422-'check-Jul''26'!AF422)</f>
        <v/>
      </c>
      <c r="AG404" s="25" t="str">
        <f>IF('1. Live'!AK422='check-Jul''26'!AG422,"",'1. Live'!AK422-'check-Jul''26'!AG422)</f>
        <v/>
      </c>
      <c r="AH404" s="25" t="str">
        <f>IF('1. Live'!AL422='check-Jul''26'!AH422,"",'1. Live'!AL422-'check-Jul''26'!AH422)</f>
        <v/>
      </c>
      <c r="AI404" s="25" t="str">
        <f>IF('1. Live'!AM422='check-Jul''26'!AI422,"",'1. Live'!AM422-'check-Jul''26'!AI422)</f>
        <v/>
      </c>
      <c r="AJ404" s="25" t="str">
        <f>IF('1. Live'!AN422='check-Jul''26'!AJ422,"",'1. Live'!AN422-'check-Jul''26'!AJ422)</f>
        <v/>
      </c>
      <c r="AK404" s="25" t="str">
        <f>IF('1. Live'!AO422='check-Jul''26'!AK422,"",'1. Live'!AO422-'check-Jul''26'!AK422)</f>
        <v/>
      </c>
      <c r="AL404" s="25" t="str">
        <f>IF('1. Live'!AP422='check-Jul''26'!AL422,"",'1. Live'!AP422-'check-Jul''26'!AL422)</f>
        <v/>
      </c>
      <c r="AM404" s="25" t="str">
        <f>IF('1. Live'!AQ422='check-Jul''26'!AM422,"",'1. Live'!AQ422-'check-Jul''26'!AM422)</f>
        <v/>
      </c>
      <c r="AN404" s="25" t="str">
        <f>IF('1. Live'!AR422='check-Jul''26'!AN422,"",'1. Live'!AR422-'check-Jul''26'!AN422)</f>
        <v/>
      </c>
      <c r="AO404" s="25" t="str">
        <f>IF('1. Live'!AS422='check-Jul''26'!AO422,"",'1. Live'!AS422-'check-Jul''26'!AO422)</f>
        <v/>
      </c>
      <c r="AP404" s="25" t="str">
        <f>IF('1. Live'!AT422='check-Jul''26'!AP422,"",'1. Live'!AT422-'check-Jul''26'!AP422)</f>
        <v/>
      </c>
      <c r="AQ404" s="25" t="str">
        <f>IF('1. Live'!AU422='check-Jul''26'!AQ422,"",'1. Live'!AU422-'check-Jul''26'!AQ422)</f>
        <v/>
      </c>
      <c r="AR404" s="25" t="str">
        <f>IF('1. Live'!AV422='check-Jul''26'!AR422,"",'1. Live'!AV422-'check-Jul''26'!AR422)</f>
        <v/>
      </c>
      <c r="AS404" s="25" t="str">
        <f>IF('1. Live'!AW422='check-Jul''26'!AS422,"",'1. Live'!AW422-'check-Jul''26'!AS422)</f>
        <v/>
      </c>
      <c r="AT404" s="25" t="str">
        <f>IF('1. Live'!AX422='check-Jul''26'!AT422,"",'1. Live'!AX422-'check-Jul''26'!AT422)</f>
        <v/>
      </c>
      <c r="AU404" s="25" t="str">
        <f>IF('1. Live'!AY422='check-Jul''26'!AU422,"",'1. Live'!AY422-'check-Jul''26'!AU422)</f>
        <v/>
      </c>
      <c r="AV404" s="25" t="str">
        <f>IF('1. Live'!AZ422='check-Jul''26'!AV422,"",'1. Live'!AZ422-'check-Jul''26'!AV422)</f>
        <v/>
      </c>
      <c r="AW404" s="25" t="str">
        <f>IF('1. Live'!BA422='check-Jul''26'!AW422,"",'1. Live'!BA422-'check-Jul''26'!AW422)</f>
        <v/>
      </c>
      <c r="AX404" s="25" t="str">
        <f>IF('1. Live'!BB422='check-Jul''26'!AX422,"",'1. Live'!BB422-'check-Jul''26'!AX422)</f>
        <v/>
      </c>
      <c r="AY404" s="25" t="str">
        <f>IF('1. Live'!BC422='check-Jul''26'!AY422,"",'1. Live'!BC422-'check-Jul''26'!AY422)</f>
        <v/>
      </c>
      <c r="AZ404" s="25" t="str">
        <f>IF('1. Live'!BD422='check-Jul''26'!AZ422,"",'1. Live'!BD422-'check-Jul''26'!AZ422)</f>
        <v/>
      </c>
      <c r="BA404" s="25" t="str">
        <f>IF('1. Live'!BE422='check-Jul''26'!BA422,"",'1. Live'!BE422-'check-Jul''26'!BA422)</f>
        <v/>
      </c>
      <c r="BB404" s="25" t="str">
        <f>IF('1. Live'!BF422='check-Jul''26'!BB422,"",'1. Live'!BF422-'check-Jul''26'!BB422)</f>
        <v/>
      </c>
      <c r="BC404" s="25" t="str">
        <f>IF('1. Live'!BG422='check-Jul''26'!BC422,"",'1. Live'!BG422-'check-Jul''26'!BC422)</f>
        <v/>
      </c>
      <c r="BD404" s="25" t="str">
        <f>IF('1. Live'!BH422='check-Jul''26'!BD422,"",'1. Live'!BH422-'check-Jul''26'!BD422)</f>
        <v/>
      </c>
      <c r="BE404" s="25" t="str">
        <f>IF('1. Live'!BI422='check-Jul''26'!BE422,"",'1. Live'!BI422-'check-Jul''26'!BE422)</f>
        <v/>
      </c>
      <c r="BF404" s="25" t="str">
        <f>IF('1. Live'!BJ422='check-Jul''26'!BF422,"",'1. Live'!BJ422-'check-Jul''26'!BF422)</f>
        <v/>
      </c>
      <c r="BG404" s="25" t="str">
        <f>IF('1. Live'!BK422='check-Jul''26'!BG422,"",'1. Live'!BK422-'check-Jul''26'!BG422)</f>
        <v/>
      </c>
      <c r="BH404" s="25" t="str">
        <f>IF('1. Live'!BL422='check-Jul''26'!BH422,"",'1. Live'!BL422-'check-Jul''26'!BH422)</f>
        <v/>
      </c>
      <c r="BI404" s="25" t="str">
        <f>IF('1. Live'!BM422='check-Jul''26'!BI422,"",'1. Live'!BM422-'check-Jul''26'!BI422)</f>
        <v/>
      </c>
      <c r="BJ404" s="25" t="str">
        <f>IF('1. Live'!BN422='check-Jul''26'!BJ422,"",'1. Live'!BN422-'check-Jul''26'!BJ422)</f>
        <v/>
      </c>
      <c r="BK404" s="25" t="str">
        <f>IF('1. Live'!BO422='check-Jul''26'!BK422,"",'1. Live'!BO422-'check-Jul''26'!BK422)</f>
        <v/>
      </c>
      <c r="BL404" s="25" t="str">
        <f>IF('1. Live'!BP422='check-Jul''26'!BL422,"",'1. Live'!BP422-'check-Jul''26'!BL422)</f>
        <v/>
      </c>
      <c r="BM404" s="25" t="str">
        <f>IF('1. Live'!BQ422='check-Jul''26'!BM422,"",'1. Live'!BQ422-'check-Jul''26'!BM422)</f>
        <v/>
      </c>
      <c r="BN404" s="25" t="str">
        <f>IF('1. Live'!BR422='check-Jul''26'!BN422,"",'1. Live'!BR422-'check-Jul''26'!BN422)</f>
        <v/>
      </c>
      <c r="BO404" s="25" t="str">
        <f>IF('1. Live'!BS422='check-Jul''26'!BO422,"",'1. Live'!BS422-'check-Jul''26'!BO422)</f>
        <v/>
      </c>
      <c r="BP404" s="25" t="str">
        <f>IF('1. Live'!BT422='check-Jul''26'!BP422,"",'1. Live'!BT422-'check-Jul''26'!BP422)</f>
        <v/>
      </c>
      <c r="BQ404" s="25" t="str">
        <f>IF('1. Live'!BU422='check-Jul''26'!BQ422,"",'1. Live'!BU422-'check-Jul''26'!BQ422)</f>
        <v/>
      </c>
      <c r="BR404" s="25" t="str">
        <f>IF('1. Live'!BV422='check-Jul''26'!BR422,"",'1. Live'!BV422-'check-Jul''26'!BR422)</f>
        <v/>
      </c>
      <c r="BS404" s="25" t="str">
        <f>IF('1. Live'!BW422='check-Jul''26'!BS422,"",'1. Live'!BW422-'check-Jul''26'!BS422)</f>
        <v/>
      </c>
      <c r="BT404" s="25" t="str">
        <f>IF('1. Live'!BX422='check-Jul''26'!BT422,"",'1. Live'!BX422-'check-Jul''26'!BT422)</f>
        <v/>
      </c>
      <c r="BU404" s="25" t="str">
        <f>IF('1. Live'!BY422='check-Jul''26'!BU422,"",'1. Live'!BY422-'check-Jul''26'!BU422)</f>
        <v/>
      </c>
      <c r="BV404" s="25" t="str">
        <f>IF('1. Live'!BZ422='check-Jul''26'!BV422,"",'1. Live'!BZ422-'check-Jul''26'!BV422)</f>
        <v/>
      </c>
      <c r="BW404" s="25" t="str">
        <f>IF('1. Live'!CA422='check-Jul''26'!BW422,"",'1. Live'!CA422-'check-Jul''26'!BW422)</f>
        <v/>
      </c>
      <c r="BX404" s="25" t="str">
        <f>IF('1. Live'!CB422='check-Jul''26'!BX422,"",'1. Live'!CB422-'check-Jul''26'!BX422)</f>
        <v/>
      </c>
      <c r="BY404" s="25" t="str">
        <f>IF('1. Live'!CC422='check-Jul''26'!BY422,"",'1. Live'!CC422-'check-Jul''26'!BY422)</f>
        <v/>
      </c>
      <c r="BZ404" s="25" t="str">
        <f>IF('1. Live'!CD422='check-Jul''26'!BZ422,"",'1. Live'!CD422-'check-Jul''26'!BZ422)</f>
        <v/>
      </c>
      <c r="CA404" s="25" t="str">
        <f>IF('1. Live'!CE422='check-Jul''26'!CA422,"",'1. Live'!CE422-'check-Jul''26'!CA422)</f>
        <v/>
      </c>
      <c r="CB404" s="25" t="str">
        <f>IF('1. Live'!CF422='check-Jul''26'!CB422,"",'1. Live'!CF422-'check-Jul''26'!CB422)</f>
        <v/>
      </c>
      <c r="CC404" s="25" t="str">
        <f>IF('1. Live'!CG422='check-Jul''26'!CC422,"",'1. Live'!CG422-'check-Jul''26'!CC422)</f>
        <v/>
      </c>
      <c r="CD404" s="25" t="str">
        <f>IF('1. Live'!CH422='check-Jul''26'!CD422,"",'1. Live'!CH422-'check-Jul''26'!CD422)</f>
        <v/>
      </c>
      <c r="CE404" s="25" t="str">
        <f>IF('1. Live'!CI422='check-Jul''26'!CE422,"",'1. Live'!CI422-'check-Jul''26'!CE422)</f>
        <v/>
      </c>
      <c r="CF404" s="25" t="str">
        <f>IF('1. Live'!CJ422='check-Jul''26'!CF422,"",'1. Live'!CJ422-'check-Jul''26'!CF422)</f>
        <v/>
      </c>
      <c r="CG404" s="25" t="str">
        <f>IF('1. Live'!CK422='check-Jul''26'!CG422,"",'1. Live'!CK422-'check-Jul''26'!CG422)</f>
        <v/>
      </c>
      <c r="CH404" s="25" t="str">
        <f>IF('1. Live'!CL422='check-Jul''26'!CH422,"",'1. Live'!CL422-'check-Jul''26'!CH422)</f>
        <v/>
      </c>
      <c r="CI404" s="25" t="str">
        <f>IF('1. Live'!CM422='check-Jul''26'!CI422,"",'1. Live'!CM422-'check-Jul''26'!CI422)</f>
        <v/>
      </c>
      <c r="CJ404" s="25" t="str">
        <f>IF('1. Live'!CN422='check-Jul''26'!CJ422,"",'1. Live'!CN422-'check-Jul''26'!CJ422)</f>
        <v/>
      </c>
      <c r="CK404" s="25" t="str">
        <f>IF('1. Live'!CO422='check-Jul''26'!CK422,"",'1. Live'!CO422-'check-Jul''26'!CK422)</f>
        <v/>
      </c>
      <c r="CL404" s="25" t="str">
        <f>IF('1. Live'!CP422='check-Jul''26'!CL422,"",'1. Live'!CP422-'check-Jul''26'!CL422)</f>
        <v/>
      </c>
      <c r="CM404" s="25" t="str">
        <f>IF('1. Live'!CQ422='check-Jul''26'!CM422,"",'1. Live'!CQ422-'check-Jul''26'!CM422)</f>
        <v/>
      </c>
      <c r="CN404" s="25" t="str">
        <f>IF('1. Live'!CR422='check-Jul''26'!CN422,"",'1. Live'!CR422-'check-Jul''26'!CN422)</f>
        <v/>
      </c>
      <c r="CO404" s="25" t="str">
        <f>IF('1. Live'!CS422='check-Jul''26'!CO422,"",'1. Live'!CS422-'check-Jul''26'!CO422)</f>
        <v/>
      </c>
      <c r="CP404" s="25" t="str">
        <f>IF('1. Live'!CT422='check-Jul''26'!CP422,"",'1. Live'!CT422-'check-Jul''26'!CP422)</f>
        <v/>
      </c>
      <c r="CQ404" s="25" t="str">
        <f>IF('1. Live'!CU422='check-Jul''26'!CQ422,"",'1. Live'!CU422-'check-Jul''26'!CQ422)</f>
        <v/>
      </c>
      <c r="CR404" s="25" t="str">
        <f>IF('1. Live'!CV422='check-Jul''26'!CR422,"",'1. Live'!CV422-'check-Jul''26'!CR422)</f>
        <v/>
      </c>
      <c r="CS404" s="25" t="str">
        <f>IF('1. Live'!CW422='check-Jul''26'!CS422,"",'1. Live'!CW422-'check-Jul''26'!CS422)</f>
        <v/>
      </c>
      <c r="CT404" s="25" t="str">
        <f>IF('1. Live'!CX422='check-Jul''26'!CT422,"",'1. Live'!CX422-'check-Jul''26'!CT422)</f>
        <v/>
      </c>
      <c r="CU404" s="25" t="str">
        <f>IF('1. Live'!CY422='check-Jul''26'!CU422,"",'1. Live'!CY422-'check-Jul''26'!CU422)</f>
        <v/>
      </c>
      <c r="CV404" s="25" t="str">
        <f>IF('1. Live'!CZ422='check-Jul''26'!CV422,"",'1. Live'!CZ422-'check-Jul''26'!CV422)</f>
        <v/>
      </c>
    </row>
    <row r="405" spans="17:100" x14ac:dyDescent="0.25">
      <c r="Q405" s="26" t="str">
        <f>IF('1. Live'!N423='check-Jul''26'!I423,"",'1. Live'!N423-'check-Jul''26'!I423)</f>
        <v/>
      </c>
      <c r="R405" s="26" t="str">
        <f>IF('1. Live'!O423='check-Jul''26'!J423,"",'1. Live'!O423-'check-Jul''26'!J423)</f>
        <v/>
      </c>
      <c r="S405" s="26" t="str">
        <f>IF('1. Live'!P423='check-Jul''26'!K423,"",'1. Live'!P423-'check-Jul''26'!K423)</f>
        <v/>
      </c>
      <c r="T405" s="26" t="str">
        <f>IF('1. Live'!Q423='check-Jul''26'!L423,"",'1. Live'!Q423-'check-Jul''26'!L423)</f>
        <v/>
      </c>
      <c r="U405" s="80" t="str">
        <f>IF('1. Live'!R423='check-Jul''26'!M423,"",'1. Live'!R423-'check-Jul''26'!M423)</f>
        <v/>
      </c>
      <c r="V405" s="26" t="str">
        <f>IF('1. Live'!S423='check-Jul''26'!N423,"",'1. Live'!S423-'check-Jul''26'!N423)</f>
        <v/>
      </c>
      <c r="W405" s="25" t="str">
        <f>IF('1. Live'!T423='check-Jul''26'!O423,"",'1. Live'!T423-'check-Jul''26'!O423)</f>
        <v/>
      </c>
      <c r="X405" s="25" t="str">
        <f>IF('1. Live'!U423='check-Jul''26'!Q423,"",'1. Live'!U423-'check-Jul''26'!Q423)</f>
        <v/>
      </c>
      <c r="Y405" s="25" t="str">
        <f>IF('1. Live'!V423='check-Jul''26'!R423,"",'1. Live'!V423-'check-Jul''26'!R423)</f>
        <v/>
      </c>
      <c r="Z405" s="25" t="str">
        <f>IF('1. Live'!W423='check-Jul''26'!S423,"",'1. Live'!W423-'check-Jul''26'!S423)</f>
        <v/>
      </c>
      <c r="AA405" s="25" t="str">
        <f>IF('1. Live'!X423='check-Jul''26'!T423,"",'1. Live'!X423-'check-Jul''26'!T423)</f>
        <v/>
      </c>
      <c r="AB405" s="25" t="str">
        <f>IF('1. Live'!AF423='check-Jul''26'!AB423,"",'1. Live'!AF423-'check-Jul''26'!AB423)</f>
        <v/>
      </c>
      <c r="AC405" s="25" t="str">
        <f>IF('1. Live'!AG423='check-Jul''26'!AC423,"",'1. Live'!AG423-'check-Jul''26'!AC423)</f>
        <v/>
      </c>
      <c r="AD405" s="25" t="str">
        <f>IF('1. Live'!AH423='check-Jul''26'!AD423,"",'1. Live'!AH423-'check-Jul''26'!AD423)</f>
        <v/>
      </c>
      <c r="AE405" s="25" t="str">
        <f>IF('1. Live'!AI423='check-Jul''26'!AE423,"",'1. Live'!AI423-'check-Jul''26'!AE423)</f>
        <v/>
      </c>
      <c r="AF405" s="25" t="str">
        <f>IF('1. Live'!AJ423='check-Jul''26'!AF423,"",'1. Live'!AJ423-'check-Jul''26'!AF423)</f>
        <v/>
      </c>
      <c r="AG405" s="25" t="str">
        <f>IF('1. Live'!AK423='check-Jul''26'!AG423,"",'1. Live'!AK423-'check-Jul''26'!AG423)</f>
        <v/>
      </c>
      <c r="AH405" s="25" t="str">
        <f>IF('1. Live'!AL423='check-Jul''26'!AH423,"",'1. Live'!AL423-'check-Jul''26'!AH423)</f>
        <v/>
      </c>
      <c r="AI405" s="25" t="str">
        <f>IF('1. Live'!AM423='check-Jul''26'!AI423,"",'1. Live'!AM423-'check-Jul''26'!AI423)</f>
        <v/>
      </c>
      <c r="AJ405" s="25" t="str">
        <f>IF('1. Live'!AN423='check-Jul''26'!AJ423,"",'1. Live'!AN423-'check-Jul''26'!AJ423)</f>
        <v/>
      </c>
      <c r="AK405" s="25" t="str">
        <f>IF('1. Live'!AO423='check-Jul''26'!AK423,"",'1. Live'!AO423-'check-Jul''26'!AK423)</f>
        <v/>
      </c>
      <c r="AL405" s="25" t="str">
        <f>IF('1. Live'!AP423='check-Jul''26'!AL423,"",'1. Live'!AP423-'check-Jul''26'!AL423)</f>
        <v/>
      </c>
      <c r="AM405" s="25" t="str">
        <f>IF('1. Live'!AQ423='check-Jul''26'!AM423,"",'1. Live'!AQ423-'check-Jul''26'!AM423)</f>
        <v/>
      </c>
      <c r="AN405" s="25" t="str">
        <f>IF('1. Live'!AR423='check-Jul''26'!AN423,"",'1. Live'!AR423-'check-Jul''26'!AN423)</f>
        <v/>
      </c>
      <c r="AO405" s="25" t="str">
        <f>IF('1. Live'!AS423='check-Jul''26'!AO423,"",'1. Live'!AS423-'check-Jul''26'!AO423)</f>
        <v/>
      </c>
      <c r="AP405" s="25" t="str">
        <f>IF('1. Live'!AT423='check-Jul''26'!AP423,"",'1. Live'!AT423-'check-Jul''26'!AP423)</f>
        <v/>
      </c>
      <c r="AQ405" s="25" t="str">
        <f>IF('1. Live'!AU423='check-Jul''26'!AQ423,"",'1. Live'!AU423-'check-Jul''26'!AQ423)</f>
        <v/>
      </c>
      <c r="AR405" s="25" t="str">
        <f>IF('1. Live'!AV423='check-Jul''26'!AR423,"",'1. Live'!AV423-'check-Jul''26'!AR423)</f>
        <v/>
      </c>
      <c r="AS405" s="25" t="str">
        <f>IF('1. Live'!AW423='check-Jul''26'!AS423,"",'1. Live'!AW423-'check-Jul''26'!AS423)</f>
        <v/>
      </c>
      <c r="AT405" s="25" t="str">
        <f>IF('1. Live'!AX423='check-Jul''26'!AT423,"",'1. Live'!AX423-'check-Jul''26'!AT423)</f>
        <v/>
      </c>
      <c r="AU405" s="25" t="str">
        <f>IF('1. Live'!AY423='check-Jul''26'!AU423,"",'1. Live'!AY423-'check-Jul''26'!AU423)</f>
        <v/>
      </c>
      <c r="AV405" s="25" t="str">
        <f>IF('1. Live'!AZ423='check-Jul''26'!AV423,"",'1. Live'!AZ423-'check-Jul''26'!AV423)</f>
        <v/>
      </c>
      <c r="AW405" s="25" t="str">
        <f>IF('1. Live'!BA423='check-Jul''26'!AW423,"",'1. Live'!BA423-'check-Jul''26'!AW423)</f>
        <v/>
      </c>
      <c r="AX405" s="25" t="str">
        <f>IF('1. Live'!BB423='check-Jul''26'!AX423,"",'1. Live'!BB423-'check-Jul''26'!AX423)</f>
        <v/>
      </c>
      <c r="AY405" s="25" t="str">
        <f>IF('1. Live'!BC423='check-Jul''26'!AY423,"",'1. Live'!BC423-'check-Jul''26'!AY423)</f>
        <v/>
      </c>
      <c r="AZ405" s="25" t="str">
        <f>IF('1. Live'!BD423='check-Jul''26'!AZ423,"",'1. Live'!BD423-'check-Jul''26'!AZ423)</f>
        <v/>
      </c>
      <c r="BA405" s="25" t="str">
        <f>IF('1. Live'!BE423='check-Jul''26'!BA423,"",'1. Live'!BE423-'check-Jul''26'!BA423)</f>
        <v/>
      </c>
      <c r="BB405" s="25" t="str">
        <f>IF('1. Live'!BF423='check-Jul''26'!BB423,"",'1. Live'!BF423-'check-Jul''26'!BB423)</f>
        <v/>
      </c>
      <c r="BC405" s="25" t="str">
        <f>IF('1. Live'!BG423='check-Jul''26'!BC423,"",'1. Live'!BG423-'check-Jul''26'!BC423)</f>
        <v/>
      </c>
      <c r="BD405" s="25" t="str">
        <f>IF('1. Live'!BH423='check-Jul''26'!BD423,"",'1. Live'!BH423-'check-Jul''26'!BD423)</f>
        <v/>
      </c>
      <c r="BE405" s="25" t="str">
        <f>IF('1. Live'!BI423='check-Jul''26'!BE423,"",'1. Live'!BI423-'check-Jul''26'!BE423)</f>
        <v/>
      </c>
      <c r="BF405" s="25" t="str">
        <f>IF('1. Live'!BJ423='check-Jul''26'!BF423,"",'1. Live'!BJ423-'check-Jul''26'!BF423)</f>
        <v/>
      </c>
      <c r="BG405" s="25" t="str">
        <f>IF('1. Live'!BK423='check-Jul''26'!BG423,"",'1. Live'!BK423-'check-Jul''26'!BG423)</f>
        <v/>
      </c>
      <c r="BH405" s="25" t="str">
        <f>IF('1. Live'!BL423='check-Jul''26'!BH423,"",'1. Live'!BL423-'check-Jul''26'!BH423)</f>
        <v/>
      </c>
      <c r="BI405" s="25" t="str">
        <f>IF('1. Live'!BM423='check-Jul''26'!BI423,"",'1. Live'!BM423-'check-Jul''26'!BI423)</f>
        <v/>
      </c>
      <c r="BJ405" s="25" t="str">
        <f>IF('1. Live'!BN423='check-Jul''26'!BJ423,"",'1. Live'!BN423-'check-Jul''26'!BJ423)</f>
        <v/>
      </c>
      <c r="BK405" s="25" t="str">
        <f>IF('1. Live'!BO423='check-Jul''26'!BK423,"",'1. Live'!BO423-'check-Jul''26'!BK423)</f>
        <v/>
      </c>
      <c r="BL405" s="25" t="str">
        <f>IF('1. Live'!BP423='check-Jul''26'!BL423,"",'1. Live'!BP423-'check-Jul''26'!BL423)</f>
        <v/>
      </c>
      <c r="BM405" s="25" t="str">
        <f>IF('1. Live'!BQ423='check-Jul''26'!BM423,"",'1. Live'!BQ423-'check-Jul''26'!BM423)</f>
        <v/>
      </c>
      <c r="BN405" s="25" t="str">
        <f>IF('1. Live'!BR423='check-Jul''26'!BN423,"",'1. Live'!BR423-'check-Jul''26'!BN423)</f>
        <v/>
      </c>
      <c r="BO405" s="25" t="str">
        <f>IF('1. Live'!BS423='check-Jul''26'!BO423,"",'1. Live'!BS423-'check-Jul''26'!BO423)</f>
        <v/>
      </c>
      <c r="BP405" s="25" t="str">
        <f>IF('1. Live'!BT423='check-Jul''26'!BP423,"",'1. Live'!BT423-'check-Jul''26'!BP423)</f>
        <v/>
      </c>
      <c r="BQ405" s="25" t="str">
        <f>IF('1. Live'!BU423='check-Jul''26'!BQ423,"",'1. Live'!BU423-'check-Jul''26'!BQ423)</f>
        <v/>
      </c>
      <c r="BR405" s="25" t="str">
        <f>IF('1. Live'!BV423='check-Jul''26'!BR423,"",'1. Live'!BV423-'check-Jul''26'!BR423)</f>
        <v/>
      </c>
      <c r="BS405" s="25" t="str">
        <f>IF('1. Live'!BW423='check-Jul''26'!BS423,"",'1. Live'!BW423-'check-Jul''26'!BS423)</f>
        <v/>
      </c>
      <c r="BT405" s="25" t="str">
        <f>IF('1. Live'!BX423='check-Jul''26'!BT423,"",'1. Live'!BX423-'check-Jul''26'!BT423)</f>
        <v/>
      </c>
      <c r="BU405" s="25" t="str">
        <f>IF('1. Live'!BY423='check-Jul''26'!BU423,"",'1. Live'!BY423-'check-Jul''26'!BU423)</f>
        <v/>
      </c>
      <c r="BV405" s="25" t="str">
        <f>IF('1. Live'!BZ423='check-Jul''26'!BV423,"",'1. Live'!BZ423-'check-Jul''26'!BV423)</f>
        <v/>
      </c>
      <c r="BW405" s="25" t="str">
        <f>IF('1. Live'!CA423='check-Jul''26'!BW423,"",'1. Live'!CA423-'check-Jul''26'!BW423)</f>
        <v/>
      </c>
      <c r="BX405" s="25" t="str">
        <f>IF('1. Live'!CB423='check-Jul''26'!BX423,"",'1. Live'!CB423-'check-Jul''26'!BX423)</f>
        <v/>
      </c>
      <c r="BY405" s="25" t="str">
        <f>IF('1. Live'!CC423='check-Jul''26'!BY423,"",'1. Live'!CC423-'check-Jul''26'!BY423)</f>
        <v/>
      </c>
      <c r="BZ405" s="25" t="str">
        <f>IF('1. Live'!CD423='check-Jul''26'!BZ423,"",'1. Live'!CD423-'check-Jul''26'!BZ423)</f>
        <v/>
      </c>
      <c r="CA405" s="25" t="str">
        <f>IF('1. Live'!CE423='check-Jul''26'!CA423,"",'1. Live'!CE423-'check-Jul''26'!CA423)</f>
        <v/>
      </c>
      <c r="CB405" s="25" t="str">
        <f>IF('1. Live'!CF423='check-Jul''26'!CB423,"",'1. Live'!CF423-'check-Jul''26'!CB423)</f>
        <v/>
      </c>
      <c r="CC405" s="25" t="str">
        <f>IF('1. Live'!CG423='check-Jul''26'!CC423,"",'1. Live'!CG423-'check-Jul''26'!CC423)</f>
        <v/>
      </c>
      <c r="CD405" s="25" t="str">
        <f>IF('1. Live'!CH423='check-Jul''26'!CD423,"",'1. Live'!CH423-'check-Jul''26'!CD423)</f>
        <v/>
      </c>
      <c r="CE405" s="25" t="str">
        <f>IF('1. Live'!CI423='check-Jul''26'!CE423,"",'1. Live'!CI423-'check-Jul''26'!CE423)</f>
        <v/>
      </c>
      <c r="CF405" s="25" t="str">
        <f>IF('1. Live'!CJ423='check-Jul''26'!CF423,"",'1. Live'!CJ423-'check-Jul''26'!CF423)</f>
        <v/>
      </c>
      <c r="CG405" s="25" t="str">
        <f>IF('1. Live'!CK423='check-Jul''26'!CG423,"",'1. Live'!CK423-'check-Jul''26'!CG423)</f>
        <v/>
      </c>
      <c r="CH405" s="25" t="str">
        <f>IF('1. Live'!CL423='check-Jul''26'!CH423,"",'1. Live'!CL423-'check-Jul''26'!CH423)</f>
        <v/>
      </c>
      <c r="CI405" s="25" t="str">
        <f>IF('1. Live'!CM423='check-Jul''26'!CI423,"",'1. Live'!CM423-'check-Jul''26'!CI423)</f>
        <v/>
      </c>
      <c r="CJ405" s="25" t="str">
        <f>IF('1. Live'!CN423='check-Jul''26'!CJ423,"",'1. Live'!CN423-'check-Jul''26'!CJ423)</f>
        <v/>
      </c>
      <c r="CK405" s="25" t="str">
        <f>IF('1. Live'!CO423='check-Jul''26'!CK423,"",'1. Live'!CO423-'check-Jul''26'!CK423)</f>
        <v/>
      </c>
      <c r="CL405" s="25" t="str">
        <f>IF('1. Live'!CP423='check-Jul''26'!CL423,"",'1. Live'!CP423-'check-Jul''26'!CL423)</f>
        <v/>
      </c>
      <c r="CM405" s="25" t="str">
        <f>IF('1. Live'!CQ423='check-Jul''26'!CM423,"",'1. Live'!CQ423-'check-Jul''26'!CM423)</f>
        <v/>
      </c>
      <c r="CN405" s="25" t="str">
        <f>IF('1. Live'!CR423='check-Jul''26'!CN423,"",'1. Live'!CR423-'check-Jul''26'!CN423)</f>
        <v/>
      </c>
      <c r="CO405" s="25" t="str">
        <f>IF('1. Live'!CS423='check-Jul''26'!CO423,"",'1. Live'!CS423-'check-Jul''26'!CO423)</f>
        <v/>
      </c>
      <c r="CP405" s="25" t="str">
        <f>IF('1. Live'!CT423='check-Jul''26'!CP423,"",'1. Live'!CT423-'check-Jul''26'!CP423)</f>
        <v/>
      </c>
      <c r="CQ405" s="25" t="str">
        <f>IF('1. Live'!CU423='check-Jul''26'!CQ423,"",'1. Live'!CU423-'check-Jul''26'!CQ423)</f>
        <v/>
      </c>
      <c r="CR405" s="25" t="str">
        <f>IF('1. Live'!CV423='check-Jul''26'!CR423,"",'1. Live'!CV423-'check-Jul''26'!CR423)</f>
        <v/>
      </c>
      <c r="CS405" s="25" t="str">
        <f>IF('1. Live'!CW423='check-Jul''26'!CS423,"",'1. Live'!CW423-'check-Jul''26'!CS423)</f>
        <v/>
      </c>
      <c r="CT405" s="25" t="str">
        <f>IF('1. Live'!CX423='check-Jul''26'!CT423,"",'1. Live'!CX423-'check-Jul''26'!CT423)</f>
        <v/>
      </c>
      <c r="CU405" s="25" t="str">
        <f>IF('1. Live'!CY423='check-Jul''26'!CU423,"",'1. Live'!CY423-'check-Jul''26'!CU423)</f>
        <v/>
      </c>
      <c r="CV405" s="25" t="str">
        <f>IF('1. Live'!CZ423='check-Jul''26'!CV423,"",'1. Live'!CZ423-'check-Jul''26'!CV423)</f>
        <v/>
      </c>
    </row>
    <row r="406" spans="17:100" x14ac:dyDescent="0.25">
      <c r="Q406" s="26" t="str">
        <f>IF('1. Live'!N424='check-Jul''26'!I424,"",'1. Live'!N424-'check-Jul''26'!I424)</f>
        <v/>
      </c>
      <c r="R406" s="26" t="str">
        <f>IF('1. Live'!O424='check-Jul''26'!J424,"",'1. Live'!O424-'check-Jul''26'!J424)</f>
        <v/>
      </c>
      <c r="S406" s="26" t="str">
        <f>IF('1. Live'!P424='check-Jul''26'!K424,"",'1. Live'!P424-'check-Jul''26'!K424)</f>
        <v/>
      </c>
      <c r="T406" s="26" t="str">
        <f>IF('1. Live'!Q424='check-Jul''26'!L424,"",'1. Live'!Q424-'check-Jul''26'!L424)</f>
        <v/>
      </c>
      <c r="U406" s="80" t="str">
        <f>IF('1. Live'!R424='check-Jul''26'!M424,"",'1. Live'!R424-'check-Jul''26'!M424)</f>
        <v/>
      </c>
      <c r="V406" s="26" t="str">
        <f>IF('1. Live'!S424='check-Jul''26'!N424,"",'1. Live'!S424-'check-Jul''26'!N424)</f>
        <v/>
      </c>
      <c r="W406" s="25" t="str">
        <f>IF('1. Live'!T424='check-Jul''26'!O424,"",'1. Live'!T424-'check-Jul''26'!O424)</f>
        <v/>
      </c>
      <c r="X406" s="25" t="str">
        <f>IF('1. Live'!U424='check-Jul''26'!Q424,"",'1. Live'!U424-'check-Jul''26'!Q424)</f>
        <v/>
      </c>
      <c r="Y406" s="25" t="str">
        <f>IF('1. Live'!V424='check-Jul''26'!R424,"",'1. Live'!V424-'check-Jul''26'!R424)</f>
        <v/>
      </c>
      <c r="Z406" s="25" t="str">
        <f>IF('1. Live'!W424='check-Jul''26'!S424,"",'1. Live'!W424-'check-Jul''26'!S424)</f>
        <v/>
      </c>
      <c r="AA406" s="25" t="str">
        <f>IF('1. Live'!X424='check-Jul''26'!T424,"",'1. Live'!X424-'check-Jul''26'!T424)</f>
        <v/>
      </c>
      <c r="AB406" s="25" t="str">
        <f>IF('1. Live'!AF424='check-Jul''26'!AB424,"",'1. Live'!AF424-'check-Jul''26'!AB424)</f>
        <v/>
      </c>
      <c r="AC406" s="25" t="str">
        <f>IF('1. Live'!AG424='check-Jul''26'!AC424,"",'1. Live'!AG424-'check-Jul''26'!AC424)</f>
        <v/>
      </c>
      <c r="AD406" s="25" t="str">
        <f>IF('1. Live'!AH424='check-Jul''26'!AD424,"",'1. Live'!AH424-'check-Jul''26'!AD424)</f>
        <v/>
      </c>
      <c r="AE406" s="25" t="str">
        <f>IF('1. Live'!AI424='check-Jul''26'!AE424,"",'1. Live'!AI424-'check-Jul''26'!AE424)</f>
        <v/>
      </c>
      <c r="AF406" s="25" t="str">
        <f>IF('1. Live'!AJ424='check-Jul''26'!AF424,"",'1. Live'!AJ424-'check-Jul''26'!AF424)</f>
        <v/>
      </c>
      <c r="AG406" s="25" t="str">
        <f>IF('1. Live'!AK424='check-Jul''26'!AG424,"",'1. Live'!AK424-'check-Jul''26'!AG424)</f>
        <v/>
      </c>
      <c r="AH406" s="25" t="str">
        <f>IF('1. Live'!AL424='check-Jul''26'!AH424,"",'1. Live'!AL424-'check-Jul''26'!AH424)</f>
        <v/>
      </c>
      <c r="AI406" s="25" t="str">
        <f>IF('1. Live'!AM424='check-Jul''26'!AI424,"",'1. Live'!AM424-'check-Jul''26'!AI424)</f>
        <v/>
      </c>
      <c r="AJ406" s="25" t="str">
        <f>IF('1. Live'!AN424='check-Jul''26'!AJ424,"",'1. Live'!AN424-'check-Jul''26'!AJ424)</f>
        <v/>
      </c>
      <c r="AK406" s="25" t="str">
        <f>IF('1. Live'!AO424='check-Jul''26'!AK424,"",'1. Live'!AO424-'check-Jul''26'!AK424)</f>
        <v/>
      </c>
      <c r="AL406" s="25" t="str">
        <f>IF('1. Live'!AP424='check-Jul''26'!AL424,"",'1. Live'!AP424-'check-Jul''26'!AL424)</f>
        <v/>
      </c>
      <c r="AM406" s="25" t="str">
        <f>IF('1. Live'!AQ424='check-Jul''26'!AM424,"",'1. Live'!AQ424-'check-Jul''26'!AM424)</f>
        <v/>
      </c>
      <c r="AN406" s="25" t="str">
        <f>IF('1. Live'!AR424='check-Jul''26'!AN424,"",'1. Live'!AR424-'check-Jul''26'!AN424)</f>
        <v/>
      </c>
      <c r="AO406" s="25" t="str">
        <f>IF('1. Live'!AS424='check-Jul''26'!AO424,"",'1. Live'!AS424-'check-Jul''26'!AO424)</f>
        <v/>
      </c>
      <c r="AP406" s="25" t="str">
        <f>IF('1. Live'!AT424='check-Jul''26'!AP424,"",'1. Live'!AT424-'check-Jul''26'!AP424)</f>
        <v/>
      </c>
      <c r="AQ406" s="25" t="str">
        <f>IF('1. Live'!AU424='check-Jul''26'!AQ424,"",'1. Live'!AU424-'check-Jul''26'!AQ424)</f>
        <v/>
      </c>
      <c r="AR406" s="25" t="str">
        <f>IF('1. Live'!AV424='check-Jul''26'!AR424,"",'1. Live'!AV424-'check-Jul''26'!AR424)</f>
        <v/>
      </c>
      <c r="AS406" s="25" t="str">
        <f>IF('1. Live'!AW424='check-Jul''26'!AS424,"",'1. Live'!AW424-'check-Jul''26'!AS424)</f>
        <v/>
      </c>
      <c r="AT406" s="25" t="str">
        <f>IF('1. Live'!AX424='check-Jul''26'!AT424,"",'1. Live'!AX424-'check-Jul''26'!AT424)</f>
        <v/>
      </c>
      <c r="AU406" s="25" t="str">
        <f>IF('1. Live'!AY424='check-Jul''26'!AU424,"",'1. Live'!AY424-'check-Jul''26'!AU424)</f>
        <v/>
      </c>
      <c r="AV406" s="25" t="str">
        <f>IF('1. Live'!AZ424='check-Jul''26'!AV424,"",'1. Live'!AZ424-'check-Jul''26'!AV424)</f>
        <v/>
      </c>
      <c r="AW406" s="25" t="str">
        <f>IF('1. Live'!BA424='check-Jul''26'!AW424,"",'1. Live'!BA424-'check-Jul''26'!AW424)</f>
        <v/>
      </c>
      <c r="AX406" s="25" t="str">
        <f>IF('1. Live'!BB424='check-Jul''26'!AX424,"",'1. Live'!BB424-'check-Jul''26'!AX424)</f>
        <v/>
      </c>
      <c r="AY406" s="25" t="str">
        <f>IF('1. Live'!BC424='check-Jul''26'!AY424,"",'1. Live'!BC424-'check-Jul''26'!AY424)</f>
        <v/>
      </c>
      <c r="AZ406" s="25" t="str">
        <f>IF('1. Live'!BD424='check-Jul''26'!AZ424,"",'1. Live'!BD424-'check-Jul''26'!AZ424)</f>
        <v/>
      </c>
      <c r="BA406" s="25" t="str">
        <f>IF('1. Live'!BE424='check-Jul''26'!BA424,"",'1. Live'!BE424-'check-Jul''26'!BA424)</f>
        <v/>
      </c>
      <c r="BB406" s="25" t="str">
        <f>IF('1. Live'!BF424='check-Jul''26'!BB424,"",'1. Live'!BF424-'check-Jul''26'!BB424)</f>
        <v/>
      </c>
      <c r="BC406" s="25" t="str">
        <f>IF('1. Live'!BG424='check-Jul''26'!BC424,"",'1. Live'!BG424-'check-Jul''26'!BC424)</f>
        <v/>
      </c>
      <c r="BD406" s="25" t="str">
        <f>IF('1. Live'!BH424='check-Jul''26'!BD424,"",'1. Live'!BH424-'check-Jul''26'!BD424)</f>
        <v/>
      </c>
      <c r="BE406" s="25" t="str">
        <f>IF('1. Live'!BI424='check-Jul''26'!BE424,"",'1. Live'!BI424-'check-Jul''26'!BE424)</f>
        <v/>
      </c>
      <c r="BF406" s="25" t="str">
        <f>IF('1. Live'!BJ424='check-Jul''26'!BF424,"",'1. Live'!BJ424-'check-Jul''26'!BF424)</f>
        <v/>
      </c>
      <c r="BG406" s="25" t="str">
        <f>IF('1. Live'!BK424='check-Jul''26'!BG424,"",'1. Live'!BK424-'check-Jul''26'!BG424)</f>
        <v/>
      </c>
      <c r="BH406" s="25" t="str">
        <f>IF('1. Live'!BL424='check-Jul''26'!BH424,"",'1. Live'!BL424-'check-Jul''26'!BH424)</f>
        <v/>
      </c>
      <c r="BI406" s="25" t="str">
        <f>IF('1. Live'!BM424='check-Jul''26'!BI424,"",'1. Live'!BM424-'check-Jul''26'!BI424)</f>
        <v/>
      </c>
      <c r="BJ406" s="25" t="str">
        <f>IF('1. Live'!BN424='check-Jul''26'!BJ424,"",'1. Live'!BN424-'check-Jul''26'!BJ424)</f>
        <v/>
      </c>
      <c r="BK406" s="25" t="str">
        <f>IF('1. Live'!BO424='check-Jul''26'!BK424,"",'1. Live'!BO424-'check-Jul''26'!BK424)</f>
        <v/>
      </c>
      <c r="BL406" s="25" t="str">
        <f>IF('1. Live'!BP424='check-Jul''26'!BL424,"",'1. Live'!BP424-'check-Jul''26'!BL424)</f>
        <v/>
      </c>
      <c r="BM406" s="25" t="str">
        <f>IF('1. Live'!BQ424='check-Jul''26'!BM424,"",'1. Live'!BQ424-'check-Jul''26'!BM424)</f>
        <v/>
      </c>
      <c r="BN406" s="25" t="str">
        <f>IF('1. Live'!BR424='check-Jul''26'!BN424,"",'1. Live'!BR424-'check-Jul''26'!BN424)</f>
        <v/>
      </c>
      <c r="BO406" s="25" t="str">
        <f>IF('1. Live'!BS424='check-Jul''26'!BO424,"",'1. Live'!BS424-'check-Jul''26'!BO424)</f>
        <v/>
      </c>
      <c r="BP406" s="25" t="str">
        <f>IF('1. Live'!BT424='check-Jul''26'!BP424,"",'1. Live'!BT424-'check-Jul''26'!BP424)</f>
        <v/>
      </c>
      <c r="BQ406" s="25" t="str">
        <f>IF('1. Live'!BU424='check-Jul''26'!BQ424,"",'1. Live'!BU424-'check-Jul''26'!BQ424)</f>
        <v/>
      </c>
      <c r="BR406" s="25" t="str">
        <f>IF('1. Live'!BV424='check-Jul''26'!BR424,"",'1. Live'!BV424-'check-Jul''26'!BR424)</f>
        <v/>
      </c>
      <c r="BS406" s="25" t="str">
        <f>IF('1. Live'!BW424='check-Jul''26'!BS424,"",'1. Live'!BW424-'check-Jul''26'!BS424)</f>
        <v/>
      </c>
      <c r="BT406" s="25" t="str">
        <f>IF('1. Live'!BX424='check-Jul''26'!BT424,"",'1. Live'!BX424-'check-Jul''26'!BT424)</f>
        <v/>
      </c>
      <c r="BU406" s="25" t="str">
        <f>IF('1. Live'!BY424='check-Jul''26'!BU424,"",'1. Live'!BY424-'check-Jul''26'!BU424)</f>
        <v/>
      </c>
      <c r="BV406" s="25" t="str">
        <f>IF('1. Live'!BZ424='check-Jul''26'!BV424,"",'1. Live'!BZ424-'check-Jul''26'!BV424)</f>
        <v/>
      </c>
      <c r="BW406" s="25" t="str">
        <f>IF('1. Live'!CA424='check-Jul''26'!BW424,"",'1. Live'!CA424-'check-Jul''26'!BW424)</f>
        <v/>
      </c>
      <c r="BX406" s="25" t="str">
        <f>IF('1. Live'!CB424='check-Jul''26'!BX424,"",'1. Live'!CB424-'check-Jul''26'!BX424)</f>
        <v/>
      </c>
      <c r="BY406" s="25" t="str">
        <f>IF('1. Live'!CC424='check-Jul''26'!BY424,"",'1. Live'!CC424-'check-Jul''26'!BY424)</f>
        <v/>
      </c>
      <c r="BZ406" s="25" t="str">
        <f>IF('1. Live'!CD424='check-Jul''26'!BZ424,"",'1. Live'!CD424-'check-Jul''26'!BZ424)</f>
        <v/>
      </c>
      <c r="CA406" s="25" t="str">
        <f>IF('1. Live'!CE424='check-Jul''26'!CA424,"",'1. Live'!CE424-'check-Jul''26'!CA424)</f>
        <v/>
      </c>
      <c r="CB406" s="25" t="str">
        <f>IF('1. Live'!CF424='check-Jul''26'!CB424,"",'1. Live'!CF424-'check-Jul''26'!CB424)</f>
        <v/>
      </c>
      <c r="CC406" s="25" t="str">
        <f>IF('1. Live'!CG424='check-Jul''26'!CC424,"",'1. Live'!CG424-'check-Jul''26'!CC424)</f>
        <v/>
      </c>
      <c r="CD406" s="25" t="str">
        <f>IF('1. Live'!CH424='check-Jul''26'!CD424,"",'1. Live'!CH424-'check-Jul''26'!CD424)</f>
        <v/>
      </c>
      <c r="CE406" s="25" t="str">
        <f>IF('1. Live'!CI424='check-Jul''26'!CE424,"",'1. Live'!CI424-'check-Jul''26'!CE424)</f>
        <v/>
      </c>
      <c r="CF406" s="25" t="str">
        <f>IF('1. Live'!CJ424='check-Jul''26'!CF424,"",'1. Live'!CJ424-'check-Jul''26'!CF424)</f>
        <v/>
      </c>
      <c r="CG406" s="25" t="str">
        <f>IF('1. Live'!CK424='check-Jul''26'!CG424,"",'1. Live'!CK424-'check-Jul''26'!CG424)</f>
        <v/>
      </c>
      <c r="CH406" s="25" t="str">
        <f>IF('1. Live'!CL424='check-Jul''26'!CH424,"",'1. Live'!CL424-'check-Jul''26'!CH424)</f>
        <v/>
      </c>
      <c r="CI406" s="25" t="str">
        <f>IF('1. Live'!CM424='check-Jul''26'!CI424,"",'1. Live'!CM424-'check-Jul''26'!CI424)</f>
        <v/>
      </c>
      <c r="CJ406" s="25" t="str">
        <f>IF('1. Live'!CN424='check-Jul''26'!CJ424,"",'1. Live'!CN424-'check-Jul''26'!CJ424)</f>
        <v/>
      </c>
      <c r="CK406" s="25" t="str">
        <f>IF('1. Live'!CO424='check-Jul''26'!CK424,"",'1. Live'!CO424-'check-Jul''26'!CK424)</f>
        <v/>
      </c>
      <c r="CL406" s="25" t="str">
        <f>IF('1. Live'!CP424='check-Jul''26'!CL424,"",'1. Live'!CP424-'check-Jul''26'!CL424)</f>
        <v/>
      </c>
      <c r="CM406" s="25" t="str">
        <f>IF('1. Live'!CQ424='check-Jul''26'!CM424,"",'1. Live'!CQ424-'check-Jul''26'!CM424)</f>
        <v/>
      </c>
      <c r="CN406" s="25" t="str">
        <f>IF('1. Live'!CR424='check-Jul''26'!CN424,"",'1. Live'!CR424-'check-Jul''26'!CN424)</f>
        <v/>
      </c>
      <c r="CO406" s="25" t="str">
        <f>IF('1. Live'!CS424='check-Jul''26'!CO424,"",'1. Live'!CS424-'check-Jul''26'!CO424)</f>
        <v/>
      </c>
      <c r="CP406" s="25" t="str">
        <f>IF('1. Live'!CT424='check-Jul''26'!CP424,"",'1. Live'!CT424-'check-Jul''26'!CP424)</f>
        <v/>
      </c>
      <c r="CQ406" s="25" t="str">
        <f>IF('1. Live'!CU424='check-Jul''26'!CQ424,"",'1. Live'!CU424-'check-Jul''26'!CQ424)</f>
        <v/>
      </c>
      <c r="CR406" s="25" t="str">
        <f>IF('1. Live'!CV424='check-Jul''26'!CR424,"",'1. Live'!CV424-'check-Jul''26'!CR424)</f>
        <v/>
      </c>
      <c r="CS406" s="25" t="str">
        <f>IF('1. Live'!CW424='check-Jul''26'!CS424,"",'1. Live'!CW424-'check-Jul''26'!CS424)</f>
        <v/>
      </c>
      <c r="CT406" s="25" t="str">
        <f>IF('1. Live'!CX424='check-Jul''26'!CT424,"",'1. Live'!CX424-'check-Jul''26'!CT424)</f>
        <v/>
      </c>
      <c r="CU406" s="25" t="str">
        <f>IF('1. Live'!CY424='check-Jul''26'!CU424,"",'1. Live'!CY424-'check-Jul''26'!CU424)</f>
        <v/>
      </c>
      <c r="CV406" s="25" t="str">
        <f>IF('1. Live'!CZ424='check-Jul''26'!CV424,"",'1. Live'!CZ424-'check-Jul''26'!CV424)</f>
        <v/>
      </c>
    </row>
    <row r="407" spans="17:100" x14ac:dyDescent="0.25">
      <c r="Q407" s="26" t="str">
        <f>IF('1. Live'!N425='check-Jul''26'!I425,"",'1. Live'!N425-'check-Jul''26'!I425)</f>
        <v/>
      </c>
      <c r="R407" s="26" t="str">
        <f>IF('1. Live'!O425='check-Jul''26'!J425,"",'1. Live'!O425-'check-Jul''26'!J425)</f>
        <v/>
      </c>
      <c r="S407" s="26" t="str">
        <f>IF('1. Live'!P425='check-Jul''26'!K425,"",'1. Live'!P425-'check-Jul''26'!K425)</f>
        <v/>
      </c>
      <c r="T407" s="26" t="str">
        <f>IF('1. Live'!Q425='check-Jul''26'!L425,"",'1. Live'!Q425-'check-Jul''26'!L425)</f>
        <v/>
      </c>
      <c r="U407" s="80" t="str">
        <f>IF('1. Live'!R425='check-Jul''26'!M425,"",'1. Live'!R425-'check-Jul''26'!M425)</f>
        <v/>
      </c>
      <c r="V407" s="26" t="str">
        <f>IF('1. Live'!S425='check-Jul''26'!N425,"",'1. Live'!S425-'check-Jul''26'!N425)</f>
        <v/>
      </c>
      <c r="W407" s="25" t="str">
        <f>IF('1. Live'!T425='check-Jul''26'!O425,"",'1. Live'!T425-'check-Jul''26'!O425)</f>
        <v/>
      </c>
      <c r="X407" s="25" t="str">
        <f>IF('1. Live'!U425='check-Jul''26'!Q425,"",'1. Live'!U425-'check-Jul''26'!Q425)</f>
        <v/>
      </c>
      <c r="Y407" s="25" t="str">
        <f>IF('1. Live'!V425='check-Jul''26'!R425,"",'1. Live'!V425-'check-Jul''26'!R425)</f>
        <v/>
      </c>
      <c r="Z407" s="25" t="str">
        <f>IF('1. Live'!W425='check-Jul''26'!S425,"",'1. Live'!W425-'check-Jul''26'!S425)</f>
        <v/>
      </c>
      <c r="AA407" s="25" t="str">
        <f>IF('1. Live'!X425='check-Jul''26'!T425,"",'1. Live'!X425-'check-Jul''26'!T425)</f>
        <v/>
      </c>
      <c r="AB407" s="25" t="str">
        <f>IF('1. Live'!AF425='check-Jul''26'!AB425,"",'1. Live'!AF425-'check-Jul''26'!AB425)</f>
        <v/>
      </c>
      <c r="AC407" s="25" t="str">
        <f>IF('1. Live'!AG425='check-Jul''26'!AC425,"",'1. Live'!AG425-'check-Jul''26'!AC425)</f>
        <v/>
      </c>
      <c r="AD407" s="25" t="str">
        <f>IF('1. Live'!AH425='check-Jul''26'!AD425,"",'1. Live'!AH425-'check-Jul''26'!AD425)</f>
        <v/>
      </c>
      <c r="AE407" s="25" t="str">
        <f>IF('1. Live'!AI425='check-Jul''26'!AE425,"",'1. Live'!AI425-'check-Jul''26'!AE425)</f>
        <v/>
      </c>
      <c r="AF407" s="25" t="str">
        <f>IF('1. Live'!AJ425='check-Jul''26'!AF425,"",'1. Live'!AJ425-'check-Jul''26'!AF425)</f>
        <v/>
      </c>
      <c r="AG407" s="25" t="str">
        <f>IF('1. Live'!AK425='check-Jul''26'!AG425,"",'1. Live'!AK425-'check-Jul''26'!AG425)</f>
        <v/>
      </c>
      <c r="AH407" s="25" t="str">
        <f>IF('1. Live'!AL425='check-Jul''26'!AH425,"",'1. Live'!AL425-'check-Jul''26'!AH425)</f>
        <v/>
      </c>
      <c r="AI407" s="25" t="str">
        <f>IF('1. Live'!AM425='check-Jul''26'!AI425,"",'1. Live'!AM425-'check-Jul''26'!AI425)</f>
        <v/>
      </c>
      <c r="AJ407" s="25" t="str">
        <f>IF('1. Live'!AN425='check-Jul''26'!AJ425,"",'1. Live'!AN425-'check-Jul''26'!AJ425)</f>
        <v/>
      </c>
      <c r="AK407" s="25" t="str">
        <f>IF('1. Live'!AO425='check-Jul''26'!AK425,"",'1. Live'!AO425-'check-Jul''26'!AK425)</f>
        <v/>
      </c>
      <c r="AL407" s="25" t="str">
        <f>IF('1. Live'!AP425='check-Jul''26'!AL425,"",'1. Live'!AP425-'check-Jul''26'!AL425)</f>
        <v/>
      </c>
      <c r="AM407" s="25" t="str">
        <f>IF('1. Live'!AQ425='check-Jul''26'!AM425,"",'1. Live'!AQ425-'check-Jul''26'!AM425)</f>
        <v/>
      </c>
      <c r="AN407" s="25" t="str">
        <f>IF('1. Live'!AR425='check-Jul''26'!AN425,"",'1. Live'!AR425-'check-Jul''26'!AN425)</f>
        <v/>
      </c>
      <c r="AO407" s="25" t="str">
        <f>IF('1. Live'!AS425='check-Jul''26'!AO425,"",'1. Live'!AS425-'check-Jul''26'!AO425)</f>
        <v/>
      </c>
      <c r="AP407" s="25" t="str">
        <f>IF('1. Live'!AT425='check-Jul''26'!AP425,"",'1. Live'!AT425-'check-Jul''26'!AP425)</f>
        <v/>
      </c>
      <c r="AQ407" s="25" t="str">
        <f>IF('1. Live'!AU425='check-Jul''26'!AQ425,"",'1. Live'!AU425-'check-Jul''26'!AQ425)</f>
        <v/>
      </c>
      <c r="AR407" s="25" t="str">
        <f>IF('1. Live'!AV425='check-Jul''26'!AR425,"",'1. Live'!AV425-'check-Jul''26'!AR425)</f>
        <v/>
      </c>
      <c r="AS407" s="25" t="str">
        <f>IF('1. Live'!AW425='check-Jul''26'!AS425,"",'1. Live'!AW425-'check-Jul''26'!AS425)</f>
        <v/>
      </c>
      <c r="AT407" s="25" t="str">
        <f>IF('1. Live'!AX425='check-Jul''26'!AT425,"",'1. Live'!AX425-'check-Jul''26'!AT425)</f>
        <v/>
      </c>
      <c r="AU407" s="25" t="str">
        <f>IF('1. Live'!AY425='check-Jul''26'!AU425,"",'1. Live'!AY425-'check-Jul''26'!AU425)</f>
        <v/>
      </c>
      <c r="AV407" s="25" t="str">
        <f>IF('1. Live'!AZ425='check-Jul''26'!AV425,"",'1. Live'!AZ425-'check-Jul''26'!AV425)</f>
        <v/>
      </c>
      <c r="AW407" s="25" t="str">
        <f>IF('1. Live'!BA425='check-Jul''26'!AW425,"",'1. Live'!BA425-'check-Jul''26'!AW425)</f>
        <v/>
      </c>
      <c r="AX407" s="25" t="str">
        <f>IF('1. Live'!BB425='check-Jul''26'!AX425,"",'1. Live'!BB425-'check-Jul''26'!AX425)</f>
        <v/>
      </c>
      <c r="AY407" s="25" t="str">
        <f>IF('1. Live'!BC425='check-Jul''26'!AY425,"",'1. Live'!BC425-'check-Jul''26'!AY425)</f>
        <v/>
      </c>
      <c r="AZ407" s="25" t="str">
        <f>IF('1. Live'!BD425='check-Jul''26'!AZ425,"",'1. Live'!BD425-'check-Jul''26'!AZ425)</f>
        <v/>
      </c>
      <c r="BA407" s="25" t="str">
        <f>IF('1. Live'!BE425='check-Jul''26'!BA425,"",'1. Live'!BE425-'check-Jul''26'!BA425)</f>
        <v/>
      </c>
      <c r="BB407" s="25" t="str">
        <f>IF('1. Live'!BF425='check-Jul''26'!BB425,"",'1. Live'!BF425-'check-Jul''26'!BB425)</f>
        <v/>
      </c>
      <c r="BC407" s="25" t="str">
        <f>IF('1. Live'!BG425='check-Jul''26'!BC425,"",'1. Live'!BG425-'check-Jul''26'!BC425)</f>
        <v/>
      </c>
      <c r="BD407" s="25" t="str">
        <f>IF('1. Live'!BH425='check-Jul''26'!BD425,"",'1. Live'!BH425-'check-Jul''26'!BD425)</f>
        <v/>
      </c>
      <c r="BE407" s="25" t="str">
        <f>IF('1. Live'!BI425='check-Jul''26'!BE425,"",'1. Live'!BI425-'check-Jul''26'!BE425)</f>
        <v/>
      </c>
      <c r="BF407" s="25" t="str">
        <f>IF('1. Live'!BJ425='check-Jul''26'!BF425,"",'1. Live'!BJ425-'check-Jul''26'!BF425)</f>
        <v/>
      </c>
      <c r="BG407" s="25" t="str">
        <f>IF('1. Live'!BK425='check-Jul''26'!BG425,"",'1. Live'!BK425-'check-Jul''26'!BG425)</f>
        <v/>
      </c>
      <c r="BH407" s="25" t="str">
        <f>IF('1. Live'!BL425='check-Jul''26'!BH425,"",'1. Live'!BL425-'check-Jul''26'!BH425)</f>
        <v/>
      </c>
      <c r="BI407" s="25" t="str">
        <f>IF('1. Live'!BM425='check-Jul''26'!BI425,"",'1. Live'!BM425-'check-Jul''26'!BI425)</f>
        <v/>
      </c>
      <c r="BJ407" s="25" t="str">
        <f>IF('1. Live'!BN425='check-Jul''26'!BJ425,"",'1. Live'!BN425-'check-Jul''26'!BJ425)</f>
        <v/>
      </c>
      <c r="BK407" s="25" t="str">
        <f>IF('1. Live'!BO425='check-Jul''26'!BK425,"",'1. Live'!BO425-'check-Jul''26'!BK425)</f>
        <v/>
      </c>
      <c r="BL407" s="25" t="str">
        <f>IF('1. Live'!BP425='check-Jul''26'!BL425,"",'1. Live'!BP425-'check-Jul''26'!BL425)</f>
        <v/>
      </c>
      <c r="BM407" s="25" t="str">
        <f>IF('1. Live'!BQ425='check-Jul''26'!BM425,"",'1. Live'!BQ425-'check-Jul''26'!BM425)</f>
        <v/>
      </c>
      <c r="BN407" s="25" t="str">
        <f>IF('1. Live'!BR425='check-Jul''26'!BN425,"",'1. Live'!BR425-'check-Jul''26'!BN425)</f>
        <v/>
      </c>
      <c r="BO407" s="25" t="str">
        <f>IF('1. Live'!BS425='check-Jul''26'!BO425,"",'1. Live'!BS425-'check-Jul''26'!BO425)</f>
        <v/>
      </c>
      <c r="BP407" s="25" t="str">
        <f>IF('1. Live'!BT425='check-Jul''26'!BP425,"",'1. Live'!BT425-'check-Jul''26'!BP425)</f>
        <v/>
      </c>
      <c r="BQ407" s="25" t="str">
        <f>IF('1. Live'!BU425='check-Jul''26'!BQ425,"",'1. Live'!BU425-'check-Jul''26'!BQ425)</f>
        <v/>
      </c>
      <c r="BR407" s="25" t="str">
        <f>IF('1. Live'!BV425='check-Jul''26'!BR425,"",'1. Live'!BV425-'check-Jul''26'!BR425)</f>
        <v/>
      </c>
      <c r="BS407" s="25" t="str">
        <f>IF('1. Live'!BW425='check-Jul''26'!BS425,"",'1. Live'!BW425-'check-Jul''26'!BS425)</f>
        <v/>
      </c>
      <c r="BT407" s="25" t="str">
        <f>IF('1. Live'!BX425='check-Jul''26'!BT425,"",'1. Live'!BX425-'check-Jul''26'!BT425)</f>
        <v/>
      </c>
      <c r="BU407" s="25" t="str">
        <f>IF('1. Live'!BY425='check-Jul''26'!BU425,"",'1. Live'!BY425-'check-Jul''26'!BU425)</f>
        <v/>
      </c>
      <c r="BV407" s="25" t="str">
        <f>IF('1. Live'!BZ425='check-Jul''26'!BV425,"",'1. Live'!BZ425-'check-Jul''26'!BV425)</f>
        <v/>
      </c>
      <c r="BW407" s="25" t="str">
        <f>IF('1. Live'!CA425='check-Jul''26'!BW425,"",'1. Live'!CA425-'check-Jul''26'!BW425)</f>
        <v/>
      </c>
      <c r="BX407" s="25" t="str">
        <f>IF('1. Live'!CB425='check-Jul''26'!BX425,"",'1. Live'!CB425-'check-Jul''26'!BX425)</f>
        <v/>
      </c>
      <c r="BY407" s="25" t="str">
        <f>IF('1. Live'!CC425='check-Jul''26'!BY425,"",'1. Live'!CC425-'check-Jul''26'!BY425)</f>
        <v/>
      </c>
      <c r="BZ407" s="25" t="str">
        <f>IF('1. Live'!CD425='check-Jul''26'!BZ425,"",'1. Live'!CD425-'check-Jul''26'!BZ425)</f>
        <v/>
      </c>
      <c r="CA407" s="25" t="str">
        <f>IF('1. Live'!CE425='check-Jul''26'!CA425,"",'1. Live'!CE425-'check-Jul''26'!CA425)</f>
        <v/>
      </c>
      <c r="CB407" s="25" t="str">
        <f>IF('1. Live'!CF425='check-Jul''26'!CB425,"",'1. Live'!CF425-'check-Jul''26'!CB425)</f>
        <v/>
      </c>
      <c r="CC407" s="25" t="str">
        <f>IF('1. Live'!CG425='check-Jul''26'!CC425,"",'1. Live'!CG425-'check-Jul''26'!CC425)</f>
        <v/>
      </c>
      <c r="CD407" s="25" t="str">
        <f>IF('1. Live'!CH425='check-Jul''26'!CD425,"",'1. Live'!CH425-'check-Jul''26'!CD425)</f>
        <v/>
      </c>
      <c r="CE407" s="25" t="str">
        <f>IF('1. Live'!CI425='check-Jul''26'!CE425,"",'1. Live'!CI425-'check-Jul''26'!CE425)</f>
        <v/>
      </c>
      <c r="CF407" s="25" t="str">
        <f>IF('1. Live'!CJ425='check-Jul''26'!CF425,"",'1. Live'!CJ425-'check-Jul''26'!CF425)</f>
        <v/>
      </c>
      <c r="CG407" s="25" t="str">
        <f>IF('1. Live'!CK425='check-Jul''26'!CG425,"",'1. Live'!CK425-'check-Jul''26'!CG425)</f>
        <v/>
      </c>
      <c r="CH407" s="25" t="str">
        <f>IF('1. Live'!CL425='check-Jul''26'!CH425,"",'1. Live'!CL425-'check-Jul''26'!CH425)</f>
        <v/>
      </c>
      <c r="CI407" s="25" t="str">
        <f>IF('1. Live'!CM425='check-Jul''26'!CI425,"",'1. Live'!CM425-'check-Jul''26'!CI425)</f>
        <v/>
      </c>
      <c r="CJ407" s="25" t="str">
        <f>IF('1. Live'!CN425='check-Jul''26'!CJ425,"",'1. Live'!CN425-'check-Jul''26'!CJ425)</f>
        <v/>
      </c>
      <c r="CK407" s="25" t="str">
        <f>IF('1. Live'!CO425='check-Jul''26'!CK425,"",'1. Live'!CO425-'check-Jul''26'!CK425)</f>
        <v/>
      </c>
      <c r="CL407" s="25" t="str">
        <f>IF('1. Live'!CP425='check-Jul''26'!CL425,"",'1. Live'!CP425-'check-Jul''26'!CL425)</f>
        <v/>
      </c>
      <c r="CM407" s="25" t="str">
        <f>IF('1. Live'!CQ425='check-Jul''26'!CM425,"",'1. Live'!CQ425-'check-Jul''26'!CM425)</f>
        <v/>
      </c>
      <c r="CN407" s="25" t="str">
        <f>IF('1. Live'!CR425='check-Jul''26'!CN425,"",'1. Live'!CR425-'check-Jul''26'!CN425)</f>
        <v/>
      </c>
      <c r="CO407" s="25" t="str">
        <f>IF('1. Live'!CS425='check-Jul''26'!CO425,"",'1. Live'!CS425-'check-Jul''26'!CO425)</f>
        <v/>
      </c>
      <c r="CP407" s="25" t="str">
        <f>IF('1. Live'!CT425='check-Jul''26'!CP425,"",'1. Live'!CT425-'check-Jul''26'!CP425)</f>
        <v/>
      </c>
      <c r="CQ407" s="25" t="str">
        <f>IF('1. Live'!CU425='check-Jul''26'!CQ425,"",'1. Live'!CU425-'check-Jul''26'!CQ425)</f>
        <v/>
      </c>
      <c r="CR407" s="25" t="str">
        <f>IF('1. Live'!CV425='check-Jul''26'!CR425,"",'1. Live'!CV425-'check-Jul''26'!CR425)</f>
        <v/>
      </c>
      <c r="CS407" s="25" t="str">
        <f>IF('1. Live'!CW425='check-Jul''26'!CS425,"",'1. Live'!CW425-'check-Jul''26'!CS425)</f>
        <v/>
      </c>
      <c r="CT407" s="25" t="str">
        <f>IF('1. Live'!CX425='check-Jul''26'!CT425,"",'1. Live'!CX425-'check-Jul''26'!CT425)</f>
        <v/>
      </c>
      <c r="CU407" s="25" t="str">
        <f>IF('1. Live'!CY425='check-Jul''26'!CU425,"",'1. Live'!CY425-'check-Jul''26'!CU425)</f>
        <v/>
      </c>
      <c r="CV407" s="25" t="str">
        <f>IF('1. Live'!CZ425='check-Jul''26'!CV425,"",'1. Live'!CZ425-'check-Jul''26'!CV425)</f>
        <v/>
      </c>
    </row>
    <row r="408" spans="17:100" x14ac:dyDescent="0.25">
      <c r="Q408" s="26" t="str">
        <f>IF('1. Live'!N426='check-Jul''26'!I426,"",'1. Live'!N426-'check-Jul''26'!I426)</f>
        <v/>
      </c>
      <c r="R408" s="26" t="str">
        <f>IF('1. Live'!O426='check-Jul''26'!J426,"",'1. Live'!O426-'check-Jul''26'!J426)</f>
        <v/>
      </c>
      <c r="S408" s="26" t="str">
        <f>IF('1. Live'!P426='check-Jul''26'!K426,"",'1. Live'!P426-'check-Jul''26'!K426)</f>
        <v/>
      </c>
      <c r="T408" s="26" t="str">
        <f>IF('1. Live'!Q426='check-Jul''26'!L426,"",'1. Live'!Q426-'check-Jul''26'!L426)</f>
        <v/>
      </c>
      <c r="U408" s="80" t="str">
        <f>IF('1. Live'!R426='check-Jul''26'!M426,"",'1. Live'!R426-'check-Jul''26'!M426)</f>
        <v/>
      </c>
      <c r="V408" s="26" t="str">
        <f>IF('1. Live'!S426='check-Jul''26'!N426,"",'1. Live'!S426-'check-Jul''26'!N426)</f>
        <v/>
      </c>
      <c r="W408" s="25" t="str">
        <f>IF('1. Live'!T426='check-Jul''26'!O426,"",'1. Live'!T426-'check-Jul''26'!O426)</f>
        <v/>
      </c>
      <c r="X408" s="25" t="str">
        <f>IF('1. Live'!U426='check-Jul''26'!Q426,"",'1. Live'!U426-'check-Jul''26'!Q426)</f>
        <v/>
      </c>
      <c r="Y408" s="25" t="str">
        <f>IF('1. Live'!V426='check-Jul''26'!R426,"",'1. Live'!V426-'check-Jul''26'!R426)</f>
        <v/>
      </c>
      <c r="Z408" s="25" t="str">
        <f>IF('1. Live'!W426='check-Jul''26'!S426,"",'1. Live'!W426-'check-Jul''26'!S426)</f>
        <v/>
      </c>
      <c r="AA408" s="25" t="str">
        <f>IF('1. Live'!X426='check-Jul''26'!T426,"",'1. Live'!X426-'check-Jul''26'!T426)</f>
        <v/>
      </c>
      <c r="AB408" s="25" t="str">
        <f>IF('1. Live'!AF426='check-Jul''26'!AB426,"",'1. Live'!AF426-'check-Jul''26'!AB426)</f>
        <v/>
      </c>
      <c r="AC408" s="25" t="str">
        <f>IF('1. Live'!AG426='check-Jul''26'!AC426,"",'1. Live'!AG426-'check-Jul''26'!AC426)</f>
        <v/>
      </c>
      <c r="AD408" s="25" t="str">
        <f>IF('1. Live'!AH426='check-Jul''26'!AD426,"",'1. Live'!AH426-'check-Jul''26'!AD426)</f>
        <v/>
      </c>
      <c r="AE408" s="25" t="str">
        <f>IF('1. Live'!AI426='check-Jul''26'!AE426,"",'1. Live'!AI426-'check-Jul''26'!AE426)</f>
        <v/>
      </c>
      <c r="AF408" s="25" t="str">
        <f>IF('1. Live'!AJ426='check-Jul''26'!AF426,"",'1. Live'!AJ426-'check-Jul''26'!AF426)</f>
        <v/>
      </c>
      <c r="AG408" s="25" t="str">
        <f>IF('1. Live'!AK426='check-Jul''26'!AG426,"",'1. Live'!AK426-'check-Jul''26'!AG426)</f>
        <v/>
      </c>
      <c r="AH408" s="25" t="str">
        <f>IF('1. Live'!AL426='check-Jul''26'!AH426,"",'1. Live'!AL426-'check-Jul''26'!AH426)</f>
        <v/>
      </c>
      <c r="AI408" s="25" t="str">
        <f>IF('1. Live'!AM426='check-Jul''26'!AI426,"",'1. Live'!AM426-'check-Jul''26'!AI426)</f>
        <v/>
      </c>
      <c r="AJ408" s="25" t="str">
        <f>IF('1. Live'!AN426='check-Jul''26'!AJ426,"",'1. Live'!AN426-'check-Jul''26'!AJ426)</f>
        <v/>
      </c>
      <c r="AK408" s="25" t="str">
        <f>IF('1. Live'!AO426='check-Jul''26'!AK426,"",'1. Live'!AO426-'check-Jul''26'!AK426)</f>
        <v/>
      </c>
      <c r="AL408" s="25" t="str">
        <f>IF('1. Live'!AP426='check-Jul''26'!AL426,"",'1. Live'!AP426-'check-Jul''26'!AL426)</f>
        <v/>
      </c>
      <c r="AM408" s="25" t="str">
        <f>IF('1. Live'!AQ426='check-Jul''26'!AM426,"",'1. Live'!AQ426-'check-Jul''26'!AM426)</f>
        <v/>
      </c>
      <c r="AN408" s="25" t="str">
        <f>IF('1. Live'!AR426='check-Jul''26'!AN426,"",'1. Live'!AR426-'check-Jul''26'!AN426)</f>
        <v/>
      </c>
      <c r="AO408" s="25" t="str">
        <f>IF('1. Live'!AS426='check-Jul''26'!AO426,"",'1. Live'!AS426-'check-Jul''26'!AO426)</f>
        <v/>
      </c>
      <c r="AP408" s="25" t="str">
        <f>IF('1. Live'!AT426='check-Jul''26'!AP426,"",'1. Live'!AT426-'check-Jul''26'!AP426)</f>
        <v/>
      </c>
      <c r="AQ408" s="25" t="str">
        <f>IF('1. Live'!AU426='check-Jul''26'!AQ426,"",'1. Live'!AU426-'check-Jul''26'!AQ426)</f>
        <v/>
      </c>
      <c r="AR408" s="25" t="str">
        <f>IF('1. Live'!AV426='check-Jul''26'!AR426,"",'1. Live'!AV426-'check-Jul''26'!AR426)</f>
        <v/>
      </c>
      <c r="AS408" s="25" t="str">
        <f>IF('1. Live'!AW426='check-Jul''26'!AS426,"",'1. Live'!AW426-'check-Jul''26'!AS426)</f>
        <v/>
      </c>
      <c r="AT408" s="25" t="str">
        <f>IF('1. Live'!AX426='check-Jul''26'!AT426,"",'1. Live'!AX426-'check-Jul''26'!AT426)</f>
        <v/>
      </c>
      <c r="AU408" s="25" t="str">
        <f>IF('1. Live'!AY426='check-Jul''26'!AU426,"",'1. Live'!AY426-'check-Jul''26'!AU426)</f>
        <v/>
      </c>
      <c r="AV408" s="25" t="str">
        <f>IF('1. Live'!AZ426='check-Jul''26'!AV426,"",'1. Live'!AZ426-'check-Jul''26'!AV426)</f>
        <v/>
      </c>
      <c r="AW408" s="25" t="str">
        <f>IF('1. Live'!BA426='check-Jul''26'!AW426,"",'1. Live'!BA426-'check-Jul''26'!AW426)</f>
        <v/>
      </c>
      <c r="AX408" s="25" t="str">
        <f>IF('1. Live'!BB426='check-Jul''26'!AX426,"",'1. Live'!BB426-'check-Jul''26'!AX426)</f>
        <v/>
      </c>
      <c r="AY408" s="25" t="str">
        <f>IF('1. Live'!BC426='check-Jul''26'!AY426,"",'1. Live'!BC426-'check-Jul''26'!AY426)</f>
        <v/>
      </c>
      <c r="AZ408" s="25" t="str">
        <f>IF('1. Live'!BD426='check-Jul''26'!AZ426,"",'1. Live'!BD426-'check-Jul''26'!AZ426)</f>
        <v/>
      </c>
      <c r="BA408" s="25" t="str">
        <f>IF('1. Live'!BE426='check-Jul''26'!BA426,"",'1. Live'!BE426-'check-Jul''26'!BA426)</f>
        <v/>
      </c>
      <c r="BB408" s="25" t="str">
        <f>IF('1. Live'!BF426='check-Jul''26'!BB426,"",'1. Live'!BF426-'check-Jul''26'!BB426)</f>
        <v/>
      </c>
      <c r="BC408" s="25" t="str">
        <f>IF('1. Live'!BG426='check-Jul''26'!BC426,"",'1. Live'!BG426-'check-Jul''26'!BC426)</f>
        <v/>
      </c>
      <c r="BD408" s="25" t="str">
        <f>IF('1. Live'!BH426='check-Jul''26'!BD426,"",'1. Live'!BH426-'check-Jul''26'!BD426)</f>
        <v/>
      </c>
      <c r="BE408" s="25" t="str">
        <f>IF('1. Live'!BI426='check-Jul''26'!BE426,"",'1. Live'!BI426-'check-Jul''26'!BE426)</f>
        <v/>
      </c>
      <c r="BF408" s="25" t="str">
        <f>IF('1. Live'!BJ426='check-Jul''26'!BF426,"",'1. Live'!BJ426-'check-Jul''26'!BF426)</f>
        <v/>
      </c>
      <c r="BG408" s="25" t="str">
        <f>IF('1. Live'!BK426='check-Jul''26'!BG426,"",'1. Live'!BK426-'check-Jul''26'!BG426)</f>
        <v/>
      </c>
      <c r="BH408" s="25" t="str">
        <f>IF('1. Live'!BL426='check-Jul''26'!BH426,"",'1. Live'!BL426-'check-Jul''26'!BH426)</f>
        <v/>
      </c>
      <c r="BI408" s="25" t="str">
        <f>IF('1. Live'!BM426='check-Jul''26'!BI426,"",'1. Live'!BM426-'check-Jul''26'!BI426)</f>
        <v/>
      </c>
      <c r="BJ408" s="25" t="str">
        <f>IF('1. Live'!BN426='check-Jul''26'!BJ426,"",'1. Live'!BN426-'check-Jul''26'!BJ426)</f>
        <v/>
      </c>
      <c r="BK408" s="25" t="str">
        <f>IF('1. Live'!BO426='check-Jul''26'!BK426,"",'1. Live'!BO426-'check-Jul''26'!BK426)</f>
        <v/>
      </c>
      <c r="BL408" s="25" t="str">
        <f>IF('1. Live'!BP426='check-Jul''26'!BL426,"",'1. Live'!BP426-'check-Jul''26'!BL426)</f>
        <v/>
      </c>
      <c r="BM408" s="25" t="str">
        <f>IF('1. Live'!BQ426='check-Jul''26'!BM426,"",'1. Live'!BQ426-'check-Jul''26'!BM426)</f>
        <v/>
      </c>
      <c r="BN408" s="25" t="str">
        <f>IF('1. Live'!BR426='check-Jul''26'!BN426,"",'1. Live'!BR426-'check-Jul''26'!BN426)</f>
        <v/>
      </c>
      <c r="BO408" s="25" t="str">
        <f>IF('1. Live'!BS426='check-Jul''26'!BO426,"",'1. Live'!BS426-'check-Jul''26'!BO426)</f>
        <v/>
      </c>
      <c r="BP408" s="25" t="str">
        <f>IF('1. Live'!BT426='check-Jul''26'!BP426,"",'1. Live'!BT426-'check-Jul''26'!BP426)</f>
        <v/>
      </c>
      <c r="BQ408" s="25" t="str">
        <f>IF('1. Live'!BU426='check-Jul''26'!BQ426,"",'1. Live'!BU426-'check-Jul''26'!BQ426)</f>
        <v/>
      </c>
      <c r="BR408" s="25" t="str">
        <f>IF('1. Live'!BV426='check-Jul''26'!BR426,"",'1. Live'!BV426-'check-Jul''26'!BR426)</f>
        <v/>
      </c>
      <c r="BS408" s="25" t="str">
        <f>IF('1. Live'!BW426='check-Jul''26'!BS426,"",'1. Live'!BW426-'check-Jul''26'!BS426)</f>
        <v/>
      </c>
      <c r="BT408" s="25" t="str">
        <f>IF('1. Live'!BX426='check-Jul''26'!BT426,"",'1. Live'!BX426-'check-Jul''26'!BT426)</f>
        <v/>
      </c>
      <c r="BU408" s="25" t="str">
        <f>IF('1. Live'!BY426='check-Jul''26'!BU426,"",'1. Live'!BY426-'check-Jul''26'!BU426)</f>
        <v/>
      </c>
      <c r="BV408" s="25" t="str">
        <f>IF('1. Live'!BZ426='check-Jul''26'!BV426,"",'1. Live'!BZ426-'check-Jul''26'!BV426)</f>
        <v/>
      </c>
      <c r="BW408" s="25" t="str">
        <f>IF('1. Live'!CA426='check-Jul''26'!BW426,"",'1. Live'!CA426-'check-Jul''26'!BW426)</f>
        <v/>
      </c>
      <c r="BX408" s="25" t="str">
        <f>IF('1. Live'!CB426='check-Jul''26'!BX426,"",'1. Live'!CB426-'check-Jul''26'!BX426)</f>
        <v/>
      </c>
      <c r="BY408" s="25" t="str">
        <f>IF('1. Live'!CC426='check-Jul''26'!BY426,"",'1. Live'!CC426-'check-Jul''26'!BY426)</f>
        <v/>
      </c>
      <c r="BZ408" s="25" t="str">
        <f>IF('1. Live'!CD426='check-Jul''26'!BZ426,"",'1. Live'!CD426-'check-Jul''26'!BZ426)</f>
        <v/>
      </c>
      <c r="CA408" s="25" t="str">
        <f>IF('1. Live'!CE426='check-Jul''26'!CA426,"",'1. Live'!CE426-'check-Jul''26'!CA426)</f>
        <v/>
      </c>
      <c r="CB408" s="25" t="str">
        <f>IF('1. Live'!CF426='check-Jul''26'!CB426,"",'1. Live'!CF426-'check-Jul''26'!CB426)</f>
        <v/>
      </c>
      <c r="CC408" s="25" t="str">
        <f>IF('1. Live'!CG426='check-Jul''26'!CC426,"",'1. Live'!CG426-'check-Jul''26'!CC426)</f>
        <v/>
      </c>
      <c r="CD408" s="25" t="str">
        <f>IF('1. Live'!CH426='check-Jul''26'!CD426,"",'1. Live'!CH426-'check-Jul''26'!CD426)</f>
        <v/>
      </c>
      <c r="CE408" s="25" t="str">
        <f>IF('1. Live'!CI426='check-Jul''26'!CE426,"",'1. Live'!CI426-'check-Jul''26'!CE426)</f>
        <v/>
      </c>
      <c r="CF408" s="25" t="str">
        <f>IF('1. Live'!CJ426='check-Jul''26'!CF426,"",'1. Live'!CJ426-'check-Jul''26'!CF426)</f>
        <v/>
      </c>
      <c r="CG408" s="25" t="str">
        <f>IF('1. Live'!CK426='check-Jul''26'!CG426,"",'1. Live'!CK426-'check-Jul''26'!CG426)</f>
        <v/>
      </c>
      <c r="CH408" s="25" t="str">
        <f>IF('1. Live'!CL426='check-Jul''26'!CH426,"",'1. Live'!CL426-'check-Jul''26'!CH426)</f>
        <v/>
      </c>
      <c r="CI408" s="25" t="str">
        <f>IF('1. Live'!CM426='check-Jul''26'!CI426,"",'1. Live'!CM426-'check-Jul''26'!CI426)</f>
        <v/>
      </c>
      <c r="CJ408" s="25" t="str">
        <f>IF('1. Live'!CN426='check-Jul''26'!CJ426,"",'1. Live'!CN426-'check-Jul''26'!CJ426)</f>
        <v/>
      </c>
      <c r="CK408" s="25" t="str">
        <f>IF('1. Live'!CO426='check-Jul''26'!CK426,"",'1. Live'!CO426-'check-Jul''26'!CK426)</f>
        <v/>
      </c>
      <c r="CL408" s="25" t="str">
        <f>IF('1. Live'!CP426='check-Jul''26'!CL426,"",'1. Live'!CP426-'check-Jul''26'!CL426)</f>
        <v/>
      </c>
      <c r="CM408" s="25" t="str">
        <f>IF('1. Live'!CQ426='check-Jul''26'!CM426,"",'1. Live'!CQ426-'check-Jul''26'!CM426)</f>
        <v/>
      </c>
      <c r="CN408" s="25" t="str">
        <f>IF('1. Live'!CR426='check-Jul''26'!CN426,"",'1. Live'!CR426-'check-Jul''26'!CN426)</f>
        <v/>
      </c>
      <c r="CO408" s="25" t="str">
        <f>IF('1. Live'!CS426='check-Jul''26'!CO426,"",'1. Live'!CS426-'check-Jul''26'!CO426)</f>
        <v/>
      </c>
      <c r="CP408" s="25" t="str">
        <f>IF('1. Live'!CT426='check-Jul''26'!CP426,"",'1. Live'!CT426-'check-Jul''26'!CP426)</f>
        <v/>
      </c>
      <c r="CQ408" s="25" t="str">
        <f>IF('1. Live'!CU426='check-Jul''26'!CQ426,"",'1. Live'!CU426-'check-Jul''26'!CQ426)</f>
        <v/>
      </c>
      <c r="CR408" s="25" t="str">
        <f>IF('1. Live'!CV426='check-Jul''26'!CR426,"",'1. Live'!CV426-'check-Jul''26'!CR426)</f>
        <v/>
      </c>
      <c r="CS408" s="25" t="str">
        <f>IF('1. Live'!CW426='check-Jul''26'!CS426,"",'1. Live'!CW426-'check-Jul''26'!CS426)</f>
        <v/>
      </c>
      <c r="CT408" s="25" t="str">
        <f>IF('1. Live'!CX426='check-Jul''26'!CT426,"",'1. Live'!CX426-'check-Jul''26'!CT426)</f>
        <v/>
      </c>
      <c r="CU408" s="25" t="str">
        <f>IF('1. Live'!CY426='check-Jul''26'!CU426,"",'1. Live'!CY426-'check-Jul''26'!CU426)</f>
        <v/>
      </c>
      <c r="CV408" s="25" t="str">
        <f>IF('1. Live'!CZ426='check-Jul''26'!CV426,"",'1. Live'!CZ426-'check-Jul''26'!CV426)</f>
        <v/>
      </c>
    </row>
    <row r="409" spans="17:100" x14ac:dyDescent="0.25">
      <c r="Q409" s="26" t="str">
        <f>IF('1. Live'!N427='check-Jul''26'!I427,"",'1. Live'!N427-'check-Jul''26'!I427)</f>
        <v/>
      </c>
      <c r="R409" s="26" t="str">
        <f>IF('1. Live'!O427='check-Jul''26'!J427,"",'1. Live'!O427-'check-Jul''26'!J427)</f>
        <v/>
      </c>
      <c r="S409" s="26" t="str">
        <f>IF('1. Live'!P427='check-Jul''26'!K427,"",'1. Live'!P427-'check-Jul''26'!K427)</f>
        <v/>
      </c>
      <c r="T409" s="26" t="str">
        <f>IF('1. Live'!Q427='check-Jul''26'!L427,"",'1. Live'!Q427-'check-Jul''26'!L427)</f>
        <v/>
      </c>
      <c r="U409" s="80" t="str">
        <f>IF('1. Live'!R427='check-Jul''26'!M427,"",'1. Live'!R427-'check-Jul''26'!M427)</f>
        <v/>
      </c>
      <c r="V409" s="26" t="str">
        <f>IF('1. Live'!S427='check-Jul''26'!N427,"",'1. Live'!S427-'check-Jul''26'!N427)</f>
        <v/>
      </c>
      <c r="W409" s="25" t="str">
        <f>IF('1. Live'!T427='check-Jul''26'!O427,"",'1. Live'!T427-'check-Jul''26'!O427)</f>
        <v/>
      </c>
      <c r="X409" s="25" t="str">
        <f>IF('1. Live'!U427='check-Jul''26'!Q427,"",'1. Live'!U427-'check-Jul''26'!Q427)</f>
        <v/>
      </c>
      <c r="Y409" s="25" t="str">
        <f>IF('1. Live'!V427='check-Jul''26'!R427,"",'1. Live'!V427-'check-Jul''26'!R427)</f>
        <v/>
      </c>
      <c r="Z409" s="25" t="str">
        <f>IF('1. Live'!W427='check-Jul''26'!S427,"",'1. Live'!W427-'check-Jul''26'!S427)</f>
        <v/>
      </c>
      <c r="AA409" s="25" t="str">
        <f>IF('1. Live'!X427='check-Jul''26'!T427,"",'1. Live'!X427-'check-Jul''26'!T427)</f>
        <v/>
      </c>
      <c r="AB409" s="25" t="str">
        <f>IF('1. Live'!AF427='check-Jul''26'!AB427,"",'1. Live'!AF427-'check-Jul''26'!AB427)</f>
        <v/>
      </c>
      <c r="AC409" s="25" t="str">
        <f>IF('1. Live'!AG427='check-Jul''26'!AC427,"",'1. Live'!AG427-'check-Jul''26'!AC427)</f>
        <v/>
      </c>
      <c r="AD409" s="25" t="str">
        <f>IF('1. Live'!AH427='check-Jul''26'!AD427,"",'1. Live'!AH427-'check-Jul''26'!AD427)</f>
        <v/>
      </c>
      <c r="AE409" s="25" t="str">
        <f>IF('1. Live'!AI427='check-Jul''26'!AE427,"",'1. Live'!AI427-'check-Jul''26'!AE427)</f>
        <v/>
      </c>
      <c r="AF409" s="25" t="str">
        <f>IF('1. Live'!AJ427='check-Jul''26'!AF427,"",'1. Live'!AJ427-'check-Jul''26'!AF427)</f>
        <v/>
      </c>
      <c r="AG409" s="25" t="str">
        <f>IF('1. Live'!AK427='check-Jul''26'!AG427,"",'1. Live'!AK427-'check-Jul''26'!AG427)</f>
        <v/>
      </c>
      <c r="AH409" s="25" t="str">
        <f>IF('1. Live'!AL427='check-Jul''26'!AH427,"",'1. Live'!AL427-'check-Jul''26'!AH427)</f>
        <v/>
      </c>
      <c r="AI409" s="25" t="str">
        <f>IF('1. Live'!AM427='check-Jul''26'!AI427,"",'1. Live'!AM427-'check-Jul''26'!AI427)</f>
        <v/>
      </c>
      <c r="AJ409" s="25" t="str">
        <f>IF('1. Live'!AN427='check-Jul''26'!AJ427,"",'1. Live'!AN427-'check-Jul''26'!AJ427)</f>
        <v/>
      </c>
      <c r="AK409" s="25" t="str">
        <f>IF('1. Live'!AO427='check-Jul''26'!AK427,"",'1. Live'!AO427-'check-Jul''26'!AK427)</f>
        <v/>
      </c>
      <c r="AL409" s="25" t="str">
        <f>IF('1. Live'!AP427='check-Jul''26'!AL427,"",'1. Live'!AP427-'check-Jul''26'!AL427)</f>
        <v/>
      </c>
      <c r="AM409" s="25" t="str">
        <f>IF('1. Live'!AQ427='check-Jul''26'!AM427,"",'1. Live'!AQ427-'check-Jul''26'!AM427)</f>
        <v/>
      </c>
      <c r="AN409" s="25" t="str">
        <f>IF('1. Live'!AR427='check-Jul''26'!AN427,"",'1. Live'!AR427-'check-Jul''26'!AN427)</f>
        <v/>
      </c>
      <c r="AO409" s="25" t="str">
        <f>IF('1. Live'!AS427='check-Jul''26'!AO427,"",'1. Live'!AS427-'check-Jul''26'!AO427)</f>
        <v/>
      </c>
      <c r="AP409" s="25" t="str">
        <f>IF('1. Live'!AT427='check-Jul''26'!AP427,"",'1. Live'!AT427-'check-Jul''26'!AP427)</f>
        <v/>
      </c>
      <c r="AQ409" s="25" t="str">
        <f>IF('1. Live'!AU427='check-Jul''26'!AQ427,"",'1. Live'!AU427-'check-Jul''26'!AQ427)</f>
        <v/>
      </c>
      <c r="AR409" s="25" t="str">
        <f>IF('1. Live'!AV427='check-Jul''26'!AR427,"",'1. Live'!AV427-'check-Jul''26'!AR427)</f>
        <v/>
      </c>
      <c r="AS409" s="25" t="str">
        <f>IF('1. Live'!AW427='check-Jul''26'!AS427,"",'1. Live'!AW427-'check-Jul''26'!AS427)</f>
        <v/>
      </c>
      <c r="AT409" s="25" t="str">
        <f>IF('1. Live'!AX427='check-Jul''26'!AT427,"",'1. Live'!AX427-'check-Jul''26'!AT427)</f>
        <v/>
      </c>
      <c r="AU409" s="25" t="str">
        <f>IF('1. Live'!AY427='check-Jul''26'!AU427,"",'1. Live'!AY427-'check-Jul''26'!AU427)</f>
        <v/>
      </c>
      <c r="AV409" s="25" t="str">
        <f>IF('1. Live'!AZ427='check-Jul''26'!AV427,"",'1. Live'!AZ427-'check-Jul''26'!AV427)</f>
        <v/>
      </c>
      <c r="AW409" s="25" t="str">
        <f>IF('1. Live'!BA427='check-Jul''26'!AW427,"",'1. Live'!BA427-'check-Jul''26'!AW427)</f>
        <v/>
      </c>
      <c r="AX409" s="25" t="str">
        <f>IF('1. Live'!BB427='check-Jul''26'!AX427,"",'1. Live'!BB427-'check-Jul''26'!AX427)</f>
        <v/>
      </c>
      <c r="AY409" s="25" t="str">
        <f>IF('1. Live'!BC427='check-Jul''26'!AY427,"",'1. Live'!BC427-'check-Jul''26'!AY427)</f>
        <v/>
      </c>
      <c r="AZ409" s="25" t="str">
        <f>IF('1. Live'!BD427='check-Jul''26'!AZ427,"",'1. Live'!BD427-'check-Jul''26'!AZ427)</f>
        <v/>
      </c>
      <c r="BA409" s="25" t="str">
        <f>IF('1. Live'!BE427='check-Jul''26'!BA427,"",'1. Live'!BE427-'check-Jul''26'!BA427)</f>
        <v/>
      </c>
      <c r="BB409" s="25" t="str">
        <f>IF('1. Live'!BF427='check-Jul''26'!BB427,"",'1. Live'!BF427-'check-Jul''26'!BB427)</f>
        <v/>
      </c>
      <c r="BC409" s="25" t="str">
        <f>IF('1. Live'!BG427='check-Jul''26'!BC427,"",'1. Live'!BG427-'check-Jul''26'!BC427)</f>
        <v/>
      </c>
      <c r="BD409" s="25" t="str">
        <f>IF('1. Live'!BH427='check-Jul''26'!BD427,"",'1. Live'!BH427-'check-Jul''26'!BD427)</f>
        <v/>
      </c>
      <c r="BE409" s="25" t="str">
        <f>IF('1. Live'!BI427='check-Jul''26'!BE427,"",'1. Live'!BI427-'check-Jul''26'!BE427)</f>
        <v/>
      </c>
      <c r="BF409" s="25" t="str">
        <f>IF('1. Live'!BJ427='check-Jul''26'!BF427,"",'1. Live'!BJ427-'check-Jul''26'!BF427)</f>
        <v/>
      </c>
      <c r="BG409" s="25" t="str">
        <f>IF('1. Live'!BK427='check-Jul''26'!BG427,"",'1. Live'!BK427-'check-Jul''26'!BG427)</f>
        <v/>
      </c>
      <c r="BH409" s="25" t="str">
        <f>IF('1. Live'!BL427='check-Jul''26'!BH427,"",'1. Live'!BL427-'check-Jul''26'!BH427)</f>
        <v/>
      </c>
      <c r="BI409" s="25" t="str">
        <f>IF('1. Live'!BM427='check-Jul''26'!BI427,"",'1. Live'!BM427-'check-Jul''26'!BI427)</f>
        <v/>
      </c>
      <c r="BJ409" s="25" t="str">
        <f>IF('1. Live'!BN427='check-Jul''26'!BJ427,"",'1. Live'!BN427-'check-Jul''26'!BJ427)</f>
        <v/>
      </c>
      <c r="BK409" s="25" t="str">
        <f>IF('1. Live'!BO427='check-Jul''26'!BK427,"",'1. Live'!BO427-'check-Jul''26'!BK427)</f>
        <v/>
      </c>
      <c r="BL409" s="25" t="str">
        <f>IF('1. Live'!BP427='check-Jul''26'!BL427,"",'1. Live'!BP427-'check-Jul''26'!BL427)</f>
        <v/>
      </c>
      <c r="BM409" s="25" t="str">
        <f>IF('1. Live'!BQ427='check-Jul''26'!BM427,"",'1. Live'!BQ427-'check-Jul''26'!BM427)</f>
        <v/>
      </c>
      <c r="BN409" s="25" t="str">
        <f>IF('1. Live'!BR427='check-Jul''26'!BN427,"",'1. Live'!BR427-'check-Jul''26'!BN427)</f>
        <v/>
      </c>
      <c r="BO409" s="25" t="str">
        <f>IF('1. Live'!BS427='check-Jul''26'!BO427,"",'1. Live'!BS427-'check-Jul''26'!BO427)</f>
        <v/>
      </c>
      <c r="BP409" s="25" t="str">
        <f>IF('1. Live'!BT427='check-Jul''26'!BP427,"",'1. Live'!BT427-'check-Jul''26'!BP427)</f>
        <v/>
      </c>
      <c r="BQ409" s="25" t="str">
        <f>IF('1. Live'!BU427='check-Jul''26'!BQ427,"",'1. Live'!BU427-'check-Jul''26'!BQ427)</f>
        <v/>
      </c>
      <c r="BR409" s="25" t="str">
        <f>IF('1. Live'!BV427='check-Jul''26'!BR427,"",'1. Live'!BV427-'check-Jul''26'!BR427)</f>
        <v/>
      </c>
      <c r="BS409" s="25" t="str">
        <f>IF('1. Live'!BW427='check-Jul''26'!BS427,"",'1. Live'!BW427-'check-Jul''26'!BS427)</f>
        <v/>
      </c>
      <c r="BT409" s="25" t="str">
        <f>IF('1. Live'!BX427='check-Jul''26'!BT427,"",'1. Live'!BX427-'check-Jul''26'!BT427)</f>
        <v/>
      </c>
      <c r="BU409" s="25" t="str">
        <f>IF('1. Live'!BY427='check-Jul''26'!BU427,"",'1. Live'!BY427-'check-Jul''26'!BU427)</f>
        <v/>
      </c>
      <c r="BV409" s="25" t="str">
        <f>IF('1. Live'!BZ427='check-Jul''26'!BV427,"",'1. Live'!BZ427-'check-Jul''26'!BV427)</f>
        <v/>
      </c>
      <c r="BW409" s="25" t="str">
        <f>IF('1. Live'!CA427='check-Jul''26'!BW427,"",'1. Live'!CA427-'check-Jul''26'!BW427)</f>
        <v/>
      </c>
      <c r="BX409" s="25" t="str">
        <f>IF('1. Live'!CB427='check-Jul''26'!BX427,"",'1. Live'!CB427-'check-Jul''26'!BX427)</f>
        <v/>
      </c>
      <c r="BY409" s="25" t="str">
        <f>IF('1. Live'!CC427='check-Jul''26'!BY427,"",'1. Live'!CC427-'check-Jul''26'!BY427)</f>
        <v/>
      </c>
      <c r="BZ409" s="25" t="str">
        <f>IF('1. Live'!CD427='check-Jul''26'!BZ427,"",'1. Live'!CD427-'check-Jul''26'!BZ427)</f>
        <v/>
      </c>
      <c r="CA409" s="25" t="str">
        <f>IF('1. Live'!CE427='check-Jul''26'!CA427,"",'1. Live'!CE427-'check-Jul''26'!CA427)</f>
        <v/>
      </c>
      <c r="CB409" s="25" t="str">
        <f>IF('1. Live'!CF427='check-Jul''26'!CB427,"",'1. Live'!CF427-'check-Jul''26'!CB427)</f>
        <v/>
      </c>
      <c r="CC409" s="25" t="str">
        <f>IF('1. Live'!CG427='check-Jul''26'!CC427,"",'1. Live'!CG427-'check-Jul''26'!CC427)</f>
        <v/>
      </c>
      <c r="CD409" s="25" t="str">
        <f>IF('1. Live'!CH427='check-Jul''26'!CD427,"",'1. Live'!CH427-'check-Jul''26'!CD427)</f>
        <v/>
      </c>
      <c r="CE409" s="25" t="str">
        <f>IF('1. Live'!CI427='check-Jul''26'!CE427,"",'1. Live'!CI427-'check-Jul''26'!CE427)</f>
        <v/>
      </c>
      <c r="CF409" s="25" t="str">
        <f>IF('1. Live'!CJ427='check-Jul''26'!CF427,"",'1. Live'!CJ427-'check-Jul''26'!CF427)</f>
        <v/>
      </c>
      <c r="CG409" s="25" t="str">
        <f>IF('1. Live'!CK427='check-Jul''26'!CG427,"",'1. Live'!CK427-'check-Jul''26'!CG427)</f>
        <v/>
      </c>
      <c r="CH409" s="25" t="str">
        <f>IF('1. Live'!CL427='check-Jul''26'!CH427,"",'1. Live'!CL427-'check-Jul''26'!CH427)</f>
        <v/>
      </c>
      <c r="CI409" s="25" t="str">
        <f>IF('1. Live'!CM427='check-Jul''26'!CI427,"",'1. Live'!CM427-'check-Jul''26'!CI427)</f>
        <v/>
      </c>
      <c r="CJ409" s="25" t="str">
        <f>IF('1. Live'!CN427='check-Jul''26'!CJ427,"",'1. Live'!CN427-'check-Jul''26'!CJ427)</f>
        <v/>
      </c>
      <c r="CK409" s="25" t="str">
        <f>IF('1. Live'!CO427='check-Jul''26'!CK427,"",'1. Live'!CO427-'check-Jul''26'!CK427)</f>
        <v/>
      </c>
      <c r="CL409" s="25" t="str">
        <f>IF('1. Live'!CP427='check-Jul''26'!CL427,"",'1. Live'!CP427-'check-Jul''26'!CL427)</f>
        <v/>
      </c>
      <c r="CM409" s="25" t="str">
        <f>IF('1. Live'!CQ427='check-Jul''26'!CM427,"",'1. Live'!CQ427-'check-Jul''26'!CM427)</f>
        <v/>
      </c>
      <c r="CN409" s="25" t="str">
        <f>IF('1. Live'!CR427='check-Jul''26'!CN427,"",'1. Live'!CR427-'check-Jul''26'!CN427)</f>
        <v/>
      </c>
      <c r="CO409" s="25" t="str">
        <f>IF('1. Live'!CS427='check-Jul''26'!CO427,"",'1. Live'!CS427-'check-Jul''26'!CO427)</f>
        <v/>
      </c>
      <c r="CP409" s="25" t="str">
        <f>IF('1. Live'!CT427='check-Jul''26'!CP427,"",'1. Live'!CT427-'check-Jul''26'!CP427)</f>
        <v/>
      </c>
      <c r="CQ409" s="25" t="str">
        <f>IF('1. Live'!CU427='check-Jul''26'!CQ427,"",'1. Live'!CU427-'check-Jul''26'!CQ427)</f>
        <v/>
      </c>
      <c r="CR409" s="25" t="str">
        <f>IF('1. Live'!CV427='check-Jul''26'!CR427,"",'1. Live'!CV427-'check-Jul''26'!CR427)</f>
        <v/>
      </c>
      <c r="CS409" s="25" t="str">
        <f>IF('1. Live'!CW427='check-Jul''26'!CS427,"",'1. Live'!CW427-'check-Jul''26'!CS427)</f>
        <v/>
      </c>
      <c r="CT409" s="25" t="str">
        <f>IF('1. Live'!CX427='check-Jul''26'!CT427,"",'1. Live'!CX427-'check-Jul''26'!CT427)</f>
        <v/>
      </c>
      <c r="CU409" s="25" t="str">
        <f>IF('1. Live'!CY427='check-Jul''26'!CU427,"",'1. Live'!CY427-'check-Jul''26'!CU427)</f>
        <v/>
      </c>
      <c r="CV409" s="25" t="str">
        <f>IF('1. Live'!CZ427='check-Jul''26'!CV427,"",'1. Live'!CZ427-'check-Jul''26'!CV427)</f>
        <v/>
      </c>
    </row>
    <row r="410" spans="17:100" x14ac:dyDescent="0.25">
      <c r="Q410" s="26" t="str">
        <f>IF('1. Live'!N428='check-Jul''26'!I428,"",'1. Live'!N428-'check-Jul''26'!I428)</f>
        <v/>
      </c>
      <c r="R410" s="26" t="str">
        <f>IF('1. Live'!O428='check-Jul''26'!J428,"",'1. Live'!O428-'check-Jul''26'!J428)</f>
        <v/>
      </c>
      <c r="S410" s="26" t="str">
        <f>IF('1. Live'!P428='check-Jul''26'!K428,"",'1. Live'!P428-'check-Jul''26'!K428)</f>
        <v/>
      </c>
      <c r="T410" s="26" t="str">
        <f>IF('1. Live'!Q428='check-Jul''26'!L428,"",'1. Live'!Q428-'check-Jul''26'!L428)</f>
        <v/>
      </c>
      <c r="U410" s="80" t="str">
        <f>IF('1. Live'!R428='check-Jul''26'!M428,"",'1. Live'!R428-'check-Jul''26'!M428)</f>
        <v/>
      </c>
      <c r="V410" s="26" t="str">
        <f>IF('1. Live'!S428='check-Jul''26'!N428,"",'1. Live'!S428-'check-Jul''26'!N428)</f>
        <v/>
      </c>
      <c r="W410" s="25" t="str">
        <f>IF('1. Live'!T428='check-Jul''26'!O428,"",'1. Live'!T428-'check-Jul''26'!O428)</f>
        <v/>
      </c>
      <c r="X410" s="25" t="str">
        <f>IF('1. Live'!U428='check-Jul''26'!Q428,"",'1. Live'!U428-'check-Jul''26'!Q428)</f>
        <v/>
      </c>
      <c r="Y410" s="25" t="str">
        <f>IF('1. Live'!V428='check-Jul''26'!R428,"",'1. Live'!V428-'check-Jul''26'!R428)</f>
        <v/>
      </c>
      <c r="Z410" s="25" t="str">
        <f>IF('1. Live'!W428='check-Jul''26'!S428,"",'1. Live'!W428-'check-Jul''26'!S428)</f>
        <v/>
      </c>
      <c r="AA410" s="25" t="str">
        <f>IF('1. Live'!X428='check-Jul''26'!T428,"",'1. Live'!X428-'check-Jul''26'!T428)</f>
        <v/>
      </c>
      <c r="AB410" s="25" t="str">
        <f>IF('1. Live'!AF428='check-Jul''26'!AB428,"",'1. Live'!AF428-'check-Jul''26'!AB428)</f>
        <v/>
      </c>
      <c r="AC410" s="25" t="str">
        <f>IF('1. Live'!AG428='check-Jul''26'!AC428,"",'1. Live'!AG428-'check-Jul''26'!AC428)</f>
        <v/>
      </c>
      <c r="AD410" s="25" t="str">
        <f>IF('1. Live'!AH428='check-Jul''26'!AD428,"",'1. Live'!AH428-'check-Jul''26'!AD428)</f>
        <v/>
      </c>
      <c r="AE410" s="25" t="str">
        <f>IF('1. Live'!AI428='check-Jul''26'!AE428,"",'1. Live'!AI428-'check-Jul''26'!AE428)</f>
        <v/>
      </c>
      <c r="AF410" s="25" t="str">
        <f>IF('1. Live'!AJ428='check-Jul''26'!AF428,"",'1. Live'!AJ428-'check-Jul''26'!AF428)</f>
        <v/>
      </c>
      <c r="AG410" s="25" t="str">
        <f>IF('1. Live'!AK428='check-Jul''26'!AG428,"",'1. Live'!AK428-'check-Jul''26'!AG428)</f>
        <v/>
      </c>
      <c r="AH410" s="25" t="str">
        <f>IF('1. Live'!AL428='check-Jul''26'!AH428,"",'1. Live'!AL428-'check-Jul''26'!AH428)</f>
        <v/>
      </c>
      <c r="AI410" s="25" t="str">
        <f>IF('1. Live'!AM428='check-Jul''26'!AI428,"",'1. Live'!AM428-'check-Jul''26'!AI428)</f>
        <v/>
      </c>
      <c r="AJ410" s="25" t="str">
        <f>IF('1. Live'!AN428='check-Jul''26'!AJ428,"",'1. Live'!AN428-'check-Jul''26'!AJ428)</f>
        <v/>
      </c>
      <c r="AK410" s="25" t="str">
        <f>IF('1. Live'!AO428='check-Jul''26'!AK428,"",'1. Live'!AO428-'check-Jul''26'!AK428)</f>
        <v/>
      </c>
      <c r="AL410" s="25" t="str">
        <f>IF('1. Live'!AP428='check-Jul''26'!AL428,"",'1. Live'!AP428-'check-Jul''26'!AL428)</f>
        <v/>
      </c>
      <c r="AM410" s="25" t="str">
        <f>IF('1. Live'!AQ428='check-Jul''26'!AM428,"",'1. Live'!AQ428-'check-Jul''26'!AM428)</f>
        <v/>
      </c>
      <c r="AN410" s="25" t="str">
        <f>IF('1. Live'!AR428='check-Jul''26'!AN428,"",'1. Live'!AR428-'check-Jul''26'!AN428)</f>
        <v/>
      </c>
      <c r="AO410" s="25" t="str">
        <f>IF('1. Live'!AS428='check-Jul''26'!AO428,"",'1. Live'!AS428-'check-Jul''26'!AO428)</f>
        <v/>
      </c>
      <c r="AP410" s="25" t="str">
        <f>IF('1. Live'!AT428='check-Jul''26'!AP428,"",'1. Live'!AT428-'check-Jul''26'!AP428)</f>
        <v/>
      </c>
      <c r="AQ410" s="25" t="str">
        <f>IF('1. Live'!AU428='check-Jul''26'!AQ428,"",'1. Live'!AU428-'check-Jul''26'!AQ428)</f>
        <v/>
      </c>
      <c r="AR410" s="25" t="str">
        <f>IF('1. Live'!AV428='check-Jul''26'!AR428,"",'1. Live'!AV428-'check-Jul''26'!AR428)</f>
        <v/>
      </c>
      <c r="AS410" s="25" t="str">
        <f>IF('1. Live'!AW428='check-Jul''26'!AS428,"",'1. Live'!AW428-'check-Jul''26'!AS428)</f>
        <v/>
      </c>
      <c r="AT410" s="25" t="str">
        <f>IF('1. Live'!AX428='check-Jul''26'!AT428,"",'1. Live'!AX428-'check-Jul''26'!AT428)</f>
        <v/>
      </c>
      <c r="AU410" s="25" t="str">
        <f>IF('1. Live'!AY428='check-Jul''26'!AU428,"",'1. Live'!AY428-'check-Jul''26'!AU428)</f>
        <v/>
      </c>
      <c r="AV410" s="25" t="str">
        <f>IF('1. Live'!AZ428='check-Jul''26'!AV428,"",'1. Live'!AZ428-'check-Jul''26'!AV428)</f>
        <v/>
      </c>
      <c r="AW410" s="25" t="str">
        <f>IF('1. Live'!BA428='check-Jul''26'!AW428,"",'1. Live'!BA428-'check-Jul''26'!AW428)</f>
        <v/>
      </c>
      <c r="AX410" s="25" t="str">
        <f>IF('1. Live'!BB428='check-Jul''26'!AX428,"",'1. Live'!BB428-'check-Jul''26'!AX428)</f>
        <v/>
      </c>
      <c r="AY410" s="25" t="str">
        <f>IF('1. Live'!BC428='check-Jul''26'!AY428,"",'1. Live'!BC428-'check-Jul''26'!AY428)</f>
        <v/>
      </c>
      <c r="AZ410" s="25" t="str">
        <f>IF('1. Live'!BD428='check-Jul''26'!AZ428,"",'1. Live'!BD428-'check-Jul''26'!AZ428)</f>
        <v/>
      </c>
      <c r="BA410" s="25" t="str">
        <f>IF('1. Live'!BE428='check-Jul''26'!BA428,"",'1. Live'!BE428-'check-Jul''26'!BA428)</f>
        <v/>
      </c>
      <c r="BB410" s="25" t="str">
        <f>IF('1. Live'!BF428='check-Jul''26'!BB428,"",'1. Live'!BF428-'check-Jul''26'!BB428)</f>
        <v/>
      </c>
      <c r="BC410" s="25" t="str">
        <f>IF('1. Live'!BG428='check-Jul''26'!BC428,"",'1. Live'!BG428-'check-Jul''26'!BC428)</f>
        <v/>
      </c>
      <c r="BD410" s="25" t="str">
        <f>IF('1. Live'!BH428='check-Jul''26'!BD428,"",'1. Live'!BH428-'check-Jul''26'!BD428)</f>
        <v/>
      </c>
      <c r="BE410" s="25" t="str">
        <f>IF('1. Live'!BI428='check-Jul''26'!BE428,"",'1. Live'!BI428-'check-Jul''26'!BE428)</f>
        <v/>
      </c>
      <c r="BF410" s="25" t="str">
        <f>IF('1. Live'!BJ428='check-Jul''26'!BF428,"",'1. Live'!BJ428-'check-Jul''26'!BF428)</f>
        <v/>
      </c>
      <c r="BG410" s="25" t="str">
        <f>IF('1. Live'!BK428='check-Jul''26'!BG428,"",'1. Live'!BK428-'check-Jul''26'!BG428)</f>
        <v/>
      </c>
      <c r="BH410" s="25" t="str">
        <f>IF('1. Live'!BL428='check-Jul''26'!BH428,"",'1. Live'!BL428-'check-Jul''26'!BH428)</f>
        <v/>
      </c>
      <c r="BI410" s="25" t="str">
        <f>IF('1. Live'!BM428='check-Jul''26'!BI428,"",'1. Live'!BM428-'check-Jul''26'!BI428)</f>
        <v/>
      </c>
      <c r="BJ410" s="25" t="str">
        <f>IF('1. Live'!BN428='check-Jul''26'!BJ428,"",'1. Live'!BN428-'check-Jul''26'!BJ428)</f>
        <v/>
      </c>
      <c r="BK410" s="25" t="str">
        <f>IF('1. Live'!BO428='check-Jul''26'!BK428,"",'1. Live'!BO428-'check-Jul''26'!BK428)</f>
        <v/>
      </c>
      <c r="BL410" s="25" t="str">
        <f>IF('1. Live'!BP428='check-Jul''26'!BL428,"",'1. Live'!BP428-'check-Jul''26'!BL428)</f>
        <v/>
      </c>
      <c r="BM410" s="25" t="str">
        <f>IF('1. Live'!BQ428='check-Jul''26'!BM428,"",'1. Live'!BQ428-'check-Jul''26'!BM428)</f>
        <v/>
      </c>
      <c r="BN410" s="25" t="str">
        <f>IF('1. Live'!BR428='check-Jul''26'!BN428,"",'1. Live'!BR428-'check-Jul''26'!BN428)</f>
        <v/>
      </c>
      <c r="BO410" s="25" t="str">
        <f>IF('1. Live'!BS428='check-Jul''26'!BO428,"",'1. Live'!BS428-'check-Jul''26'!BO428)</f>
        <v/>
      </c>
      <c r="BP410" s="25" t="str">
        <f>IF('1. Live'!BT428='check-Jul''26'!BP428,"",'1. Live'!BT428-'check-Jul''26'!BP428)</f>
        <v/>
      </c>
      <c r="BQ410" s="25" t="str">
        <f>IF('1. Live'!BU428='check-Jul''26'!BQ428,"",'1. Live'!BU428-'check-Jul''26'!BQ428)</f>
        <v/>
      </c>
      <c r="BR410" s="25" t="str">
        <f>IF('1. Live'!BV428='check-Jul''26'!BR428,"",'1. Live'!BV428-'check-Jul''26'!BR428)</f>
        <v/>
      </c>
      <c r="BS410" s="25" t="str">
        <f>IF('1. Live'!BW428='check-Jul''26'!BS428,"",'1. Live'!BW428-'check-Jul''26'!BS428)</f>
        <v/>
      </c>
      <c r="BT410" s="25" t="str">
        <f>IF('1. Live'!BX428='check-Jul''26'!BT428,"",'1. Live'!BX428-'check-Jul''26'!BT428)</f>
        <v/>
      </c>
      <c r="BU410" s="25" t="str">
        <f>IF('1. Live'!BY428='check-Jul''26'!BU428,"",'1. Live'!BY428-'check-Jul''26'!BU428)</f>
        <v/>
      </c>
      <c r="BV410" s="25" t="str">
        <f>IF('1. Live'!BZ428='check-Jul''26'!BV428,"",'1. Live'!BZ428-'check-Jul''26'!BV428)</f>
        <v/>
      </c>
      <c r="BW410" s="25" t="str">
        <f>IF('1. Live'!CA428='check-Jul''26'!BW428,"",'1. Live'!CA428-'check-Jul''26'!BW428)</f>
        <v/>
      </c>
      <c r="BX410" s="25" t="str">
        <f>IF('1. Live'!CB428='check-Jul''26'!BX428,"",'1. Live'!CB428-'check-Jul''26'!BX428)</f>
        <v/>
      </c>
      <c r="BY410" s="25" t="str">
        <f>IF('1. Live'!CC428='check-Jul''26'!BY428,"",'1. Live'!CC428-'check-Jul''26'!BY428)</f>
        <v/>
      </c>
      <c r="BZ410" s="25" t="str">
        <f>IF('1. Live'!CD428='check-Jul''26'!BZ428,"",'1. Live'!CD428-'check-Jul''26'!BZ428)</f>
        <v/>
      </c>
      <c r="CA410" s="25" t="str">
        <f>IF('1. Live'!CE428='check-Jul''26'!CA428,"",'1. Live'!CE428-'check-Jul''26'!CA428)</f>
        <v/>
      </c>
      <c r="CB410" s="25" t="str">
        <f>IF('1. Live'!CF428='check-Jul''26'!CB428,"",'1. Live'!CF428-'check-Jul''26'!CB428)</f>
        <v/>
      </c>
      <c r="CC410" s="25" t="str">
        <f>IF('1. Live'!CG428='check-Jul''26'!CC428,"",'1. Live'!CG428-'check-Jul''26'!CC428)</f>
        <v/>
      </c>
      <c r="CD410" s="25" t="str">
        <f>IF('1. Live'!CH428='check-Jul''26'!CD428,"",'1. Live'!CH428-'check-Jul''26'!CD428)</f>
        <v/>
      </c>
      <c r="CE410" s="25" t="str">
        <f>IF('1. Live'!CI428='check-Jul''26'!CE428,"",'1. Live'!CI428-'check-Jul''26'!CE428)</f>
        <v/>
      </c>
      <c r="CF410" s="25" t="str">
        <f>IF('1. Live'!CJ428='check-Jul''26'!CF428,"",'1. Live'!CJ428-'check-Jul''26'!CF428)</f>
        <v/>
      </c>
      <c r="CG410" s="25" t="str">
        <f>IF('1. Live'!CK428='check-Jul''26'!CG428,"",'1. Live'!CK428-'check-Jul''26'!CG428)</f>
        <v/>
      </c>
      <c r="CH410" s="25" t="str">
        <f>IF('1. Live'!CL428='check-Jul''26'!CH428,"",'1. Live'!CL428-'check-Jul''26'!CH428)</f>
        <v/>
      </c>
      <c r="CI410" s="25" t="str">
        <f>IF('1. Live'!CM428='check-Jul''26'!CI428,"",'1. Live'!CM428-'check-Jul''26'!CI428)</f>
        <v/>
      </c>
      <c r="CJ410" s="25" t="str">
        <f>IF('1. Live'!CN428='check-Jul''26'!CJ428,"",'1. Live'!CN428-'check-Jul''26'!CJ428)</f>
        <v/>
      </c>
      <c r="CK410" s="25" t="str">
        <f>IF('1. Live'!CO428='check-Jul''26'!CK428,"",'1. Live'!CO428-'check-Jul''26'!CK428)</f>
        <v/>
      </c>
      <c r="CL410" s="25" t="str">
        <f>IF('1. Live'!CP428='check-Jul''26'!CL428,"",'1. Live'!CP428-'check-Jul''26'!CL428)</f>
        <v/>
      </c>
      <c r="CM410" s="25" t="str">
        <f>IF('1. Live'!CQ428='check-Jul''26'!CM428,"",'1. Live'!CQ428-'check-Jul''26'!CM428)</f>
        <v/>
      </c>
      <c r="CN410" s="25" t="str">
        <f>IF('1. Live'!CR428='check-Jul''26'!CN428,"",'1. Live'!CR428-'check-Jul''26'!CN428)</f>
        <v/>
      </c>
      <c r="CO410" s="25" t="str">
        <f>IF('1. Live'!CS428='check-Jul''26'!CO428,"",'1. Live'!CS428-'check-Jul''26'!CO428)</f>
        <v/>
      </c>
      <c r="CP410" s="25" t="str">
        <f>IF('1. Live'!CT428='check-Jul''26'!CP428,"",'1. Live'!CT428-'check-Jul''26'!CP428)</f>
        <v/>
      </c>
      <c r="CQ410" s="25" t="str">
        <f>IF('1. Live'!CU428='check-Jul''26'!CQ428,"",'1. Live'!CU428-'check-Jul''26'!CQ428)</f>
        <v/>
      </c>
      <c r="CR410" s="25" t="str">
        <f>IF('1. Live'!CV428='check-Jul''26'!CR428,"",'1. Live'!CV428-'check-Jul''26'!CR428)</f>
        <v/>
      </c>
      <c r="CS410" s="25" t="str">
        <f>IF('1. Live'!CW428='check-Jul''26'!CS428,"",'1. Live'!CW428-'check-Jul''26'!CS428)</f>
        <v/>
      </c>
      <c r="CT410" s="25" t="str">
        <f>IF('1. Live'!CX428='check-Jul''26'!CT428,"",'1. Live'!CX428-'check-Jul''26'!CT428)</f>
        <v/>
      </c>
      <c r="CU410" s="25" t="str">
        <f>IF('1. Live'!CY428='check-Jul''26'!CU428,"",'1. Live'!CY428-'check-Jul''26'!CU428)</f>
        <v/>
      </c>
      <c r="CV410" s="25" t="str">
        <f>IF('1. Live'!CZ428='check-Jul''26'!CV428,"",'1. Live'!CZ428-'check-Jul''26'!CV428)</f>
        <v/>
      </c>
    </row>
    <row r="411" spans="17:100" x14ac:dyDescent="0.25">
      <c r="Q411" s="26" t="str">
        <f>IF('1. Live'!N429='check-Jul''26'!I429,"",'1. Live'!N429-'check-Jul''26'!I429)</f>
        <v/>
      </c>
      <c r="R411" s="26" t="str">
        <f>IF('1. Live'!O429='check-Jul''26'!J429,"",'1. Live'!O429-'check-Jul''26'!J429)</f>
        <v/>
      </c>
      <c r="S411" s="26" t="str">
        <f>IF('1. Live'!P429='check-Jul''26'!K429,"",'1. Live'!P429-'check-Jul''26'!K429)</f>
        <v/>
      </c>
      <c r="T411" s="26" t="str">
        <f>IF('1. Live'!Q429='check-Jul''26'!L429,"",'1. Live'!Q429-'check-Jul''26'!L429)</f>
        <v/>
      </c>
      <c r="U411" s="80" t="str">
        <f>IF('1. Live'!R429='check-Jul''26'!M429,"",'1. Live'!R429-'check-Jul''26'!M429)</f>
        <v/>
      </c>
      <c r="V411" s="26" t="str">
        <f>IF('1. Live'!S429='check-Jul''26'!N429,"",'1. Live'!S429-'check-Jul''26'!N429)</f>
        <v/>
      </c>
      <c r="W411" s="25" t="str">
        <f>IF('1. Live'!T429='check-Jul''26'!O429,"",'1. Live'!T429-'check-Jul''26'!O429)</f>
        <v/>
      </c>
      <c r="X411" s="25" t="str">
        <f>IF('1. Live'!U429='check-Jul''26'!Q429,"",'1. Live'!U429-'check-Jul''26'!Q429)</f>
        <v/>
      </c>
      <c r="Y411" s="25" t="str">
        <f>IF('1. Live'!V429='check-Jul''26'!R429,"",'1. Live'!V429-'check-Jul''26'!R429)</f>
        <v/>
      </c>
      <c r="Z411" s="25" t="str">
        <f>IF('1. Live'!W429='check-Jul''26'!S429,"",'1. Live'!W429-'check-Jul''26'!S429)</f>
        <v/>
      </c>
      <c r="AA411" s="25" t="str">
        <f>IF('1. Live'!X429='check-Jul''26'!T429,"",'1. Live'!X429-'check-Jul''26'!T429)</f>
        <v/>
      </c>
      <c r="AB411" s="25" t="str">
        <f>IF('1. Live'!AF429='check-Jul''26'!AB429,"",'1. Live'!AF429-'check-Jul''26'!AB429)</f>
        <v/>
      </c>
      <c r="AC411" s="25" t="str">
        <f>IF('1. Live'!AG429='check-Jul''26'!AC429,"",'1. Live'!AG429-'check-Jul''26'!AC429)</f>
        <v/>
      </c>
      <c r="AD411" s="25" t="str">
        <f>IF('1. Live'!AH429='check-Jul''26'!AD429,"",'1. Live'!AH429-'check-Jul''26'!AD429)</f>
        <v/>
      </c>
      <c r="AE411" s="25" t="str">
        <f>IF('1. Live'!AI429='check-Jul''26'!AE429,"",'1. Live'!AI429-'check-Jul''26'!AE429)</f>
        <v/>
      </c>
      <c r="AF411" s="25" t="str">
        <f>IF('1. Live'!AJ429='check-Jul''26'!AF429,"",'1. Live'!AJ429-'check-Jul''26'!AF429)</f>
        <v/>
      </c>
      <c r="AG411" s="25" t="str">
        <f>IF('1. Live'!AK429='check-Jul''26'!AG429,"",'1. Live'!AK429-'check-Jul''26'!AG429)</f>
        <v/>
      </c>
      <c r="AH411" s="25" t="str">
        <f>IF('1. Live'!AL429='check-Jul''26'!AH429,"",'1. Live'!AL429-'check-Jul''26'!AH429)</f>
        <v/>
      </c>
      <c r="AI411" s="25" t="str">
        <f>IF('1. Live'!AM429='check-Jul''26'!AI429,"",'1. Live'!AM429-'check-Jul''26'!AI429)</f>
        <v/>
      </c>
      <c r="AJ411" s="25" t="str">
        <f>IF('1. Live'!AN429='check-Jul''26'!AJ429,"",'1. Live'!AN429-'check-Jul''26'!AJ429)</f>
        <v/>
      </c>
      <c r="AK411" s="25" t="str">
        <f>IF('1. Live'!AO429='check-Jul''26'!AK429,"",'1. Live'!AO429-'check-Jul''26'!AK429)</f>
        <v/>
      </c>
      <c r="AL411" s="25" t="str">
        <f>IF('1. Live'!AP429='check-Jul''26'!AL429,"",'1. Live'!AP429-'check-Jul''26'!AL429)</f>
        <v/>
      </c>
      <c r="AM411" s="25" t="str">
        <f>IF('1. Live'!AQ429='check-Jul''26'!AM429,"",'1. Live'!AQ429-'check-Jul''26'!AM429)</f>
        <v/>
      </c>
      <c r="AN411" s="25" t="str">
        <f>IF('1. Live'!AR429='check-Jul''26'!AN429,"",'1. Live'!AR429-'check-Jul''26'!AN429)</f>
        <v/>
      </c>
      <c r="AO411" s="25" t="str">
        <f>IF('1. Live'!AS429='check-Jul''26'!AO429,"",'1. Live'!AS429-'check-Jul''26'!AO429)</f>
        <v/>
      </c>
      <c r="AP411" s="25" t="str">
        <f>IF('1. Live'!AT429='check-Jul''26'!AP429,"",'1. Live'!AT429-'check-Jul''26'!AP429)</f>
        <v/>
      </c>
      <c r="AQ411" s="25" t="str">
        <f>IF('1. Live'!AU429='check-Jul''26'!AQ429,"",'1. Live'!AU429-'check-Jul''26'!AQ429)</f>
        <v/>
      </c>
      <c r="AR411" s="25" t="str">
        <f>IF('1. Live'!AV429='check-Jul''26'!AR429,"",'1. Live'!AV429-'check-Jul''26'!AR429)</f>
        <v/>
      </c>
      <c r="AS411" s="25" t="str">
        <f>IF('1. Live'!AW429='check-Jul''26'!AS429,"",'1. Live'!AW429-'check-Jul''26'!AS429)</f>
        <v/>
      </c>
      <c r="AT411" s="25" t="str">
        <f>IF('1. Live'!AX429='check-Jul''26'!AT429,"",'1. Live'!AX429-'check-Jul''26'!AT429)</f>
        <v/>
      </c>
      <c r="AU411" s="25" t="str">
        <f>IF('1. Live'!AY429='check-Jul''26'!AU429,"",'1. Live'!AY429-'check-Jul''26'!AU429)</f>
        <v/>
      </c>
      <c r="AV411" s="25" t="str">
        <f>IF('1. Live'!AZ429='check-Jul''26'!AV429,"",'1. Live'!AZ429-'check-Jul''26'!AV429)</f>
        <v/>
      </c>
      <c r="AW411" s="25" t="str">
        <f>IF('1. Live'!BA429='check-Jul''26'!AW429,"",'1. Live'!BA429-'check-Jul''26'!AW429)</f>
        <v/>
      </c>
      <c r="AX411" s="25" t="str">
        <f>IF('1. Live'!BB429='check-Jul''26'!AX429,"",'1. Live'!BB429-'check-Jul''26'!AX429)</f>
        <v/>
      </c>
      <c r="AY411" s="25" t="str">
        <f>IF('1. Live'!BC429='check-Jul''26'!AY429,"",'1. Live'!BC429-'check-Jul''26'!AY429)</f>
        <v/>
      </c>
      <c r="AZ411" s="25" t="str">
        <f>IF('1. Live'!BD429='check-Jul''26'!AZ429,"",'1. Live'!BD429-'check-Jul''26'!AZ429)</f>
        <v/>
      </c>
      <c r="BA411" s="25" t="str">
        <f>IF('1. Live'!BE429='check-Jul''26'!BA429,"",'1. Live'!BE429-'check-Jul''26'!BA429)</f>
        <v/>
      </c>
      <c r="BB411" s="25" t="str">
        <f>IF('1. Live'!BF429='check-Jul''26'!BB429,"",'1. Live'!BF429-'check-Jul''26'!BB429)</f>
        <v/>
      </c>
      <c r="BC411" s="25" t="str">
        <f>IF('1. Live'!BG429='check-Jul''26'!BC429,"",'1. Live'!BG429-'check-Jul''26'!BC429)</f>
        <v/>
      </c>
      <c r="BD411" s="25" t="str">
        <f>IF('1. Live'!BH429='check-Jul''26'!BD429,"",'1. Live'!BH429-'check-Jul''26'!BD429)</f>
        <v/>
      </c>
      <c r="BE411" s="25" t="str">
        <f>IF('1. Live'!BI429='check-Jul''26'!BE429,"",'1. Live'!BI429-'check-Jul''26'!BE429)</f>
        <v/>
      </c>
      <c r="BF411" s="25" t="str">
        <f>IF('1. Live'!BJ429='check-Jul''26'!BF429,"",'1. Live'!BJ429-'check-Jul''26'!BF429)</f>
        <v/>
      </c>
      <c r="BG411" s="25" t="str">
        <f>IF('1. Live'!BK429='check-Jul''26'!BG429,"",'1. Live'!BK429-'check-Jul''26'!BG429)</f>
        <v/>
      </c>
      <c r="BH411" s="25" t="str">
        <f>IF('1. Live'!BL429='check-Jul''26'!BH429,"",'1. Live'!BL429-'check-Jul''26'!BH429)</f>
        <v/>
      </c>
      <c r="BI411" s="25" t="str">
        <f>IF('1. Live'!BM429='check-Jul''26'!BI429,"",'1. Live'!BM429-'check-Jul''26'!BI429)</f>
        <v/>
      </c>
      <c r="BJ411" s="25" t="str">
        <f>IF('1. Live'!BN429='check-Jul''26'!BJ429,"",'1. Live'!BN429-'check-Jul''26'!BJ429)</f>
        <v/>
      </c>
      <c r="BK411" s="25" t="str">
        <f>IF('1. Live'!BO429='check-Jul''26'!BK429,"",'1. Live'!BO429-'check-Jul''26'!BK429)</f>
        <v/>
      </c>
      <c r="BL411" s="25" t="str">
        <f>IF('1. Live'!BP429='check-Jul''26'!BL429,"",'1. Live'!BP429-'check-Jul''26'!BL429)</f>
        <v/>
      </c>
      <c r="BM411" s="25" t="str">
        <f>IF('1. Live'!BQ429='check-Jul''26'!BM429,"",'1. Live'!BQ429-'check-Jul''26'!BM429)</f>
        <v/>
      </c>
      <c r="BN411" s="25" t="str">
        <f>IF('1. Live'!BR429='check-Jul''26'!BN429,"",'1. Live'!BR429-'check-Jul''26'!BN429)</f>
        <v/>
      </c>
      <c r="BO411" s="25" t="str">
        <f>IF('1. Live'!BS429='check-Jul''26'!BO429,"",'1. Live'!BS429-'check-Jul''26'!BO429)</f>
        <v/>
      </c>
      <c r="BP411" s="25" t="str">
        <f>IF('1. Live'!BT429='check-Jul''26'!BP429,"",'1. Live'!BT429-'check-Jul''26'!BP429)</f>
        <v/>
      </c>
      <c r="BQ411" s="25" t="str">
        <f>IF('1. Live'!BU429='check-Jul''26'!BQ429,"",'1. Live'!BU429-'check-Jul''26'!BQ429)</f>
        <v/>
      </c>
      <c r="BR411" s="25" t="str">
        <f>IF('1. Live'!BV429='check-Jul''26'!BR429,"",'1. Live'!BV429-'check-Jul''26'!BR429)</f>
        <v/>
      </c>
      <c r="BS411" s="25" t="str">
        <f>IF('1. Live'!BW429='check-Jul''26'!BS429,"",'1. Live'!BW429-'check-Jul''26'!BS429)</f>
        <v/>
      </c>
      <c r="BT411" s="25" t="str">
        <f>IF('1. Live'!BX429='check-Jul''26'!BT429,"",'1. Live'!BX429-'check-Jul''26'!BT429)</f>
        <v/>
      </c>
      <c r="BU411" s="25" t="str">
        <f>IF('1. Live'!BY429='check-Jul''26'!BU429,"",'1. Live'!BY429-'check-Jul''26'!BU429)</f>
        <v/>
      </c>
      <c r="BV411" s="25" t="str">
        <f>IF('1. Live'!BZ429='check-Jul''26'!BV429,"",'1. Live'!BZ429-'check-Jul''26'!BV429)</f>
        <v/>
      </c>
      <c r="BW411" s="25" t="str">
        <f>IF('1. Live'!CA429='check-Jul''26'!BW429,"",'1. Live'!CA429-'check-Jul''26'!BW429)</f>
        <v/>
      </c>
      <c r="BX411" s="25" t="str">
        <f>IF('1. Live'!CB429='check-Jul''26'!BX429,"",'1. Live'!CB429-'check-Jul''26'!BX429)</f>
        <v/>
      </c>
      <c r="BY411" s="25" t="str">
        <f>IF('1. Live'!CC429='check-Jul''26'!BY429,"",'1. Live'!CC429-'check-Jul''26'!BY429)</f>
        <v/>
      </c>
      <c r="BZ411" s="25" t="str">
        <f>IF('1. Live'!CD429='check-Jul''26'!BZ429,"",'1. Live'!CD429-'check-Jul''26'!BZ429)</f>
        <v/>
      </c>
      <c r="CA411" s="25" t="str">
        <f>IF('1. Live'!CE429='check-Jul''26'!CA429,"",'1. Live'!CE429-'check-Jul''26'!CA429)</f>
        <v/>
      </c>
      <c r="CB411" s="25" t="str">
        <f>IF('1. Live'!CF429='check-Jul''26'!CB429,"",'1. Live'!CF429-'check-Jul''26'!CB429)</f>
        <v/>
      </c>
      <c r="CC411" s="25" t="str">
        <f>IF('1. Live'!CG429='check-Jul''26'!CC429,"",'1. Live'!CG429-'check-Jul''26'!CC429)</f>
        <v/>
      </c>
      <c r="CD411" s="25" t="str">
        <f>IF('1. Live'!CH429='check-Jul''26'!CD429,"",'1. Live'!CH429-'check-Jul''26'!CD429)</f>
        <v/>
      </c>
      <c r="CE411" s="25" t="str">
        <f>IF('1. Live'!CI429='check-Jul''26'!CE429,"",'1. Live'!CI429-'check-Jul''26'!CE429)</f>
        <v/>
      </c>
      <c r="CF411" s="25" t="str">
        <f>IF('1. Live'!CJ429='check-Jul''26'!CF429,"",'1. Live'!CJ429-'check-Jul''26'!CF429)</f>
        <v/>
      </c>
      <c r="CG411" s="25" t="str">
        <f>IF('1. Live'!CK429='check-Jul''26'!CG429,"",'1. Live'!CK429-'check-Jul''26'!CG429)</f>
        <v/>
      </c>
      <c r="CH411" s="25" t="str">
        <f>IF('1. Live'!CL429='check-Jul''26'!CH429,"",'1. Live'!CL429-'check-Jul''26'!CH429)</f>
        <v/>
      </c>
      <c r="CI411" s="25" t="str">
        <f>IF('1. Live'!CM429='check-Jul''26'!CI429,"",'1. Live'!CM429-'check-Jul''26'!CI429)</f>
        <v/>
      </c>
      <c r="CJ411" s="25" t="str">
        <f>IF('1. Live'!CN429='check-Jul''26'!CJ429,"",'1. Live'!CN429-'check-Jul''26'!CJ429)</f>
        <v/>
      </c>
      <c r="CK411" s="25" t="str">
        <f>IF('1. Live'!CO429='check-Jul''26'!CK429,"",'1. Live'!CO429-'check-Jul''26'!CK429)</f>
        <v/>
      </c>
      <c r="CL411" s="25" t="str">
        <f>IF('1. Live'!CP429='check-Jul''26'!CL429,"",'1. Live'!CP429-'check-Jul''26'!CL429)</f>
        <v/>
      </c>
      <c r="CM411" s="25" t="str">
        <f>IF('1. Live'!CQ429='check-Jul''26'!CM429,"",'1. Live'!CQ429-'check-Jul''26'!CM429)</f>
        <v/>
      </c>
      <c r="CN411" s="25" t="str">
        <f>IF('1. Live'!CR429='check-Jul''26'!CN429,"",'1. Live'!CR429-'check-Jul''26'!CN429)</f>
        <v/>
      </c>
      <c r="CO411" s="25" t="str">
        <f>IF('1. Live'!CS429='check-Jul''26'!CO429,"",'1. Live'!CS429-'check-Jul''26'!CO429)</f>
        <v/>
      </c>
      <c r="CP411" s="25" t="str">
        <f>IF('1. Live'!CT429='check-Jul''26'!CP429,"",'1. Live'!CT429-'check-Jul''26'!CP429)</f>
        <v/>
      </c>
      <c r="CQ411" s="25" t="str">
        <f>IF('1. Live'!CU429='check-Jul''26'!CQ429,"",'1. Live'!CU429-'check-Jul''26'!CQ429)</f>
        <v/>
      </c>
      <c r="CR411" s="25" t="str">
        <f>IF('1. Live'!CV429='check-Jul''26'!CR429,"",'1. Live'!CV429-'check-Jul''26'!CR429)</f>
        <v/>
      </c>
      <c r="CS411" s="25" t="str">
        <f>IF('1. Live'!CW429='check-Jul''26'!CS429,"",'1. Live'!CW429-'check-Jul''26'!CS429)</f>
        <v/>
      </c>
      <c r="CT411" s="25" t="str">
        <f>IF('1. Live'!CX429='check-Jul''26'!CT429,"",'1. Live'!CX429-'check-Jul''26'!CT429)</f>
        <v/>
      </c>
      <c r="CU411" s="25" t="str">
        <f>IF('1. Live'!CY429='check-Jul''26'!CU429,"",'1. Live'!CY429-'check-Jul''26'!CU429)</f>
        <v/>
      </c>
      <c r="CV411" s="25" t="str">
        <f>IF('1. Live'!CZ429='check-Jul''26'!CV429,"",'1. Live'!CZ429-'check-Jul''26'!CV429)</f>
        <v/>
      </c>
    </row>
    <row r="412" spans="17:100" x14ac:dyDescent="0.25">
      <c r="Q412" s="26" t="str">
        <f>IF('1. Live'!N430='check-Jul''26'!I430,"",'1. Live'!N430-'check-Jul''26'!I430)</f>
        <v/>
      </c>
      <c r="R412" s="26" t="str">
        <f>IF('1. Live'!O430='check-Jul''26'!J430,"",'1. Live'!O430-'check-Jul''26'!J430)</f>
        <v/>
      </c>
      <c r="S412" s="26" t="str">
        <f>IF('1. Live'!P430='check-Jul''26'!K430,"",'1. Live'!P430-'check-Jul''26'!K430)</f>
        <v/>
      </c>
      <c r="T412" s="26" t="str">
        <f>IF('1. Live'!Q430='check-Jul''26'!L430,"",'1. Live'!Q430-'check-Jul''26'!L430)</f>
        <v/>
      </c>
      <c r="U412" s="80" t="str">
        <f>IF('1. Live'!R430='check-Jul''26'!M430,"",'1. Live'!R430-'check-Jul''26'!M430)</f>
        <v/>
      </c>
      <c r="V412" s="26" t="str">
        <f>IF('1. Live'!S430='check-Jul''26'!N430,"",'1. Live'!S430-'check-Jul''26'!N430)</f>
        <v/>
      </c>
      <c r="W412" s="25" t="str">
        <f>IF('1. Live'!T430='check-Jul''26'!O430,"",'1. Live'!T430-'check-Jul''26'!O430)</f>
        <v/>
      </c>
      <c r="X412" s="25" t="str">
        <f>IF('1. Live'!U430='check-Jul''26'!Q430,"",'1. Live'!U430-'check-Jul''26'!Q430)</f>
        <v/>
      </c>
      <c r="Y412" s="25" t="str">
        <f>IF('1. Live'!V430='check-Jul''26'!R430,"",'1. Live'!V430-'check-Jul''26'!R430)</f>
        <v/>
      </c>
      <c r="Z412" s="25" t="str">
        <f>IF('1. Live'!W430='check-Jul''26'!S430,"",'1. Live'!W430-'check-Jul''26'!S430)</f>
        <v/>
      </c>
      <c r="AA412" s="25" t="str">
        <f>IF('1. Live'!X430='check-Jul''26'!T430,"",'1. Live'!X430-'check-Jul''26'!T430)</f>
        <v/>
      </c>
      <c r="AB412" s="25" t="str">
        <f>IF('1. Live'!AF430='check-Jul''26'!AB430,"",'1. Live'!AF430-'check-Jul''26'!AB430)</f>
        <v/>
      </c>
      <c r="AC412" s="25" t="str">
        <f>IF('1. Live'!AG430='check-Jul''26'!AC430,"",'1. Live'!AG430-'check-Jul''26'!AC430)</f>
        <v/>
      </c>
      <c r="AD412" s="25" t="str">
        <f>IF('1. Live'!AH430='check-Jul''26'!AD430,"",'1. Live'!AH430-'check-Jul''26'!AD430)</f>
        <v/>
      </c>
      <c r="AE412" s="25" t="str">
        <f>IF('1. Live'!AI430='check-Jul''26'!AE430,"",'1. Live'!AI430-'check-Jul''26'!AE430)</f>
        <v/>
      </c>
      <c r="AF412" s="25" t="str">
        <f>IF('1. Live'!AJ430='check-Jul''26'!AF430,"",'1. Live'!AJ430-'check-Jul''26'!AF430)</f>
        <v/>
      </c>
      <c r="AG412" s="25" t="str">
        <f>IF('1. Live'!AK430='check-Jul''26'!AG430,"",'1. Live'!AK430-'check-Jul''26'!AG430)</f>
        <v/>
      </c>
      <c r="AH412" s="25" t="str">
        <f>IF('1. Live'!AL430='check-Jul''26'!AH430,"",'1. Live'!AL430-'check-Jul''26'!AH430)</f>
        <v/>
      </c>
      <c r="AI412" s="25" t="str">
        <f>IF('1. Live'!AM430='check-Jul''26'!AI430,"",'1. Live'!AM430-'check-Jul''26'!AI430)</f>
        <v/>
      </c>
      <c r="AJ412" s="25" t="str">
        <f>IF('1. Live'!AN430='check-Jul''26'!AJ430,"",'1. Live'!AN430-'check-Jul''26'!AJ430)</f>
        <v/>
      </c>
      <c r="AK412" s="25" t="str">
        <f>IF('1. Live'!AO430='check-Jul''26'!AK430,"",'1. Live'!AO430-'check-Jul''26'!AK430)</f>
        <v/>
      </c>
      <c r="AL412" s="25" t="str">
        <f>IF('1. Live'!AP430='check-Jul''26'!AL430,"",'1. Live'!AP430-'check-Jul''26'!AL430)</f>
        <v/>
      </c>
      <c r="AM412" s="25" t="str">
        <f>IF('1. Live'!AQ430='check-Jul''26'!AM430,"",'1. Live'!AQ430-'check-Jul''26'!AM430)</f>
        <v/>
      </c>
      <c r="AN412" s="25" t="str">
        <f>IF('1. Live'!AR430='check-Jul''26'!AN430,"",'1. Live'!AR430-'check-Jul''26'!AN430)</f>
        <v/>
      </c>
      <c r="AO412" s="25" t="str">
        <f>IF('1. Live'!AS430='check-Jul''26'!AO430,"",'1. Live'!AS430-'check-Jul''26'!AO430)</f>
        <v/>
      </c>
      <c r="AP412" s="25" t="str">
        <f>IF('1. Live'!AT430='check-Jul''26'!AP430,"",'1. Live'!AT430-'check-Jul''26'!AP430)</f>
        <v/>
      </c>
      <c r="AQ412" s="25" t="str">
        <f>IF('1. Live'!AU430='check-Jul''26'!AQ430,"",'1. Live'!AU430-'check-Jul''26'!AQ430)</f>
        <v/>
      </c>
      <c r="AR412" s="25" t="str">
        <f>IF('1. Live'!AV430='check-Jul''26'!AR430,"",'1. Live'!AV430-'check-Jul''26'!AR430)</f>
        <v/>
      </c>
      <c r="AS412" s="25" t="str">
        <f>IF('1. Live'!AW430='check-Jul''26'!AS430,"",'1. Live'!AW430-'check-Jul''26'!AS430)</f>
        <v/>
      </c>
      <c r="AT412" s="25" t="str">
        <f>IF('1. Live'!AX430='check-Jul''26'!AT430,"",'1. Live'!AX430-'check-Jul''26'!AT430)</f>
        <v/>
      </c>
      <c r="AU412" s="25" t="str">
        <f>IF('1. Live'!AY430='check-Jul''26'!AU430,"",'1. Live'!AY430-'check-Jul''26'!AU430)</f>
        <v/>
      </c>
      <c r="AV412" s="25" t="str">
        <f>IF('1. Live'!AZ430='check-Jul''26'!AV430,"",'1. Live'!AZ430-'check-Jul''26'!AV430)</f>
        <v/>
      </c>
      <c r="AW412" s="25" t="str">
        <f>IF('1. Live'!BA430='check-Jul''26'!AW430,"",'1. Live'!BA430-'check-Jul''26'!AW430)</f>
        <v/>
      </c>
      <c r="AX412" s="25" t="str">
        <f>IF('1. Live'!BB430='check-Jul''26'!AX430,"",'1. Live'!BB430-'check-Jul''26'!AX430)</f>
        <v/>
      </c>
      <c r="AY412" s="25" t="str">
        <f>IF('1. Live'!BC430='check-Jul''26'!AY430,"",'1. Live'!BC430-'check-Jul''26'!AY430)</f>
        <v/>
      </c>
      <c r="AZ412" s="25" t="str">
        <f>IF('1. Live'!BD430='check-Jul''26'!AZ430,"",'1. Live'!BD430-'check-Jul''26'!AZ430)</f>
        <v/>
      </c>
      <c r="BA412" s="25" t="str">
        <f>IF('1. Live'!BE430='check-Jul''26'!BA430,"",'1. Live'!BE430-'check-Jul''26'!BA430)</f>
        <v/>
      </c>
      <c r="BB412" s="25" t="str">
        <f>IF('1. Live'!BF430='check-Jul''26'!BB430,"",'1. Live'!BF430-'check-Jul''26'!BB430)</f>
        <v/>
      </c>
      <c r="BC412" s="25" t="str">
        <f>IF('1. Live'!BG430='check-Jul''26'!BC430,"",'1. Live'!BG430-'check-Jul''26'!BC430)</f>
        <v/>
      </c>
      <c r="BD412" s="25" t="str">
        <f>IF('1. Live'!BH430='check-Jul''26'!BD430,"",'1. Live'!BH430-'check-Jul''26'!BD430)</f>
        <v/>
      </c>
      <c r="BE412" s="25" t="str">
        <f>IF('1. Live'!BI430='check-Jul''26'!BE430,"",'1. Live'!BI430-'check-Jul''26'!BE430)</f>
        <v/>
      </c>
      <c r="BF412" s="25" t="str">
        <f>IF('1. Live'!BJ430='check-Jul''26'!BF430,"",'1. Live'!BJ430-'check-Jul''26'!BF430)</f>
        <v/>
      </c>
      <c r="BG412" s="25" t="str">
        <f>IF('1. Live'!BK430='check-Jul''26'!BG430,"",'1. Live'!BK430-'check-Jul''26'!BG430)</f>
        <v/>
      </c>
      <c r="BH412" s="25" t="str">
        <f>IF('1. Live'!BL430='check-Jul''26'!BH430,"",'1. Live'!BL430-'check-Jul''26'!BH430)</f>
        <v/>
      </c>
      <c r="BI412" s="25" t="str">
        <f>IF('1. Live'!BM430='check-Jul''26'!BI430,"",'1. Live'!BM430-'check-Jul''26'!BI430)</f>
        <v/>
      </c>
      <c r="BJ412" s="25" t="str">
        <f>IF('1. Live'!BN430='check-Jul''26'!BJ430,"",'1. Live'!BN430-'check-Jul''26'!BJ430)</f>
        <v/>
      </c>
      <c r="BK412" s="25" t="str">
        <f>IF('1. Live'!BO430='check-Jul''26'!BK430,"",'1. Live'!BO430-'check-Jul''26'!BK430)</f>
        <v/>
      </c>
      <c r="BL412" s="25" t="str">
        <f>IF('1. Live'!BP430='check-Jul''26'!BL430,"",'1. Live'!BP430-'check-Jul''26'!BL430)</f>
        <v/>
      </c>
      <c r="BM412" s="25" t="str">
        <f>IF('1. Live'!BQ430='check-Jul''26'!BM430,"",'1. Live'!BQ430-'check-Jul''26'!BM430)</f>
        <v/>
      </c>
      <c r="BN412" s="25" t="str">
        <f>IF('1. Live'!BR430='check-Jul''26'!BN430,"",'1. Live'!BR430-'check-Jul''26'!BN430)</f>
        <v/>
      </c>
      <c r="BO412" s="25" t="str">
        <f>IF('1. Live'!BS430='check-Jul''26'!BO430,"",'1. Live'!BS430-'check-Jul''26'!BO430)</f>
        <v/>
      </c>
      <c r="BP412" s="25" t="str">
        <f>IF('1. Live'!BT430='check-Jul''26'!BP430,"",'1. Live'!BT430-'check-Jul''26'!BP430)</f>
        <v/>
      </c>
      <c r="BQ412" s="25" t="str">
        <f>IF('1. Live'!BU430='check-Jul''26'!BQ430,"",'1. Live'!BU430-'check-Jul''26'!BQ430)</f>
        <v/>
      </c>
      <c r="BR412" s="25" t="str">
        <f>IF('1. Live'!BV430='check-Jul''26'!BR430,"",'1. Live'!BV430-'check-Jul''26'!BR430)</f>
        <v/>
      </c>
      <c r="BS412" s="25" t="str">
        <f>IF('1. Live'!BW430='check-Jul''26'!BS430,"",'1. Live'!BW430-'check-Jul''26'!BS430)</f>
        <v/>
      </c>
      <c r="BT412" s="25" t="str">
        <f>IF('1. Live'!BX430='check-Jul''26'!BT430,"",'1. Live'!BX430-'check-Jul''26'!BT430)</f>
        <v/>
      </c>
      <c r="BU412" s="25" t="str">
        <f>IF('1. Live'!BY430='check-Jul''26'!BU430,"",'1. Live'!BY430-'check-Jul''26'!BU430)</f>
        <v/>
      </c>
      <c r="BV412" s="25" t="str">
        <f>IF('1. Live'!BZ430='check-Jul''26'!BV430,"",'1. Live'!BZ430-'check-Jul''26'!BV430)</f>
        <v/>
      </c>
      <c r="BW412" s="25" t="str">
        <f>IF('1. Live'!CA430='check-Jul''26'!BW430,"",'1. Live'!CA430-'check-Jul''26'!BW430)</f>
        <v/>
      </c>
      <c r="BX412" s="25" t="str">
        <f>IF('1. Live'!CB430='check-Jul''26'!BX430,"",'1. Live'!CB430-'check-Jul''26'!BX430)</f>
        <v/>
      </c>
      <c r="BY412" s="25" t="str">
        <f>IF('1. Live'!CC430='check-Jul''26'!BY430,"",'1. Live'!CC430-'check-Jul''26'!BY430)</f>
        <v/>
      </c>
      <c r="BZ412" s="25" t="str">
        <f>IF('1. Live'!CD430='check-Jul''26'!BZ430,"",'1. Live'!CD430-'check-Jul''26'!BZ430)</f>
        <v/>
      </c>
      <c r="CA412" s="25" t="str">
        <f>IF('1. Live'!CE430='check-Jul''26'!CA430,"",'1. Live'!CE430-'check-Jul''26'!CA430)</f>
        <v/>
      </c>
      <c r="CB412" s="25" t="str">
        <f>IF('1. Live'!CF430='check-Jul''26'!CB430,"",'1. Live'!CF430-'check-Jul''26'!CB430)</f>
        <v/>
      </c>
      <c r="CC412" s="25" t="str">
        <f>IF('1. Live'!CG430='check-Jul''26'!CC430,"",'1. Live'!CG430-'check-Jul''26'!CC430)</f>
        <v/>
      </c>
      <c r="CD412" s="25" t="str">
        <f>IF('1. Live'!CH430='check-Jul''26'!CD430,"",'1. Live'!CH430-'check-Jul''26'!CD430)</f>
        <v/>
      </c>
      <c r="CE412" s="25" t="str">
        <f>IF('1. Live'!CI430='check-Jul''26'!CE430,"",'1. Live'!CI430-'check-Jul''26'!CE430)</f>
        <v/>
      </c>
      <c r="CF412" s="25" t="str">
        <f>IF('1. Live'!CJ430='check-Jul''26'!CF430,"",'1. Live'!CJ430-'check-Jul''26'!CF430)</f>
        <v/>
      </c>
      <c r="CG412" s="25" t="str">
        <f>IF('1. Live'!CK430='check-Jul''26'!CG430,"",'1. Live'!CK430-'check-Jul''26'!CG430)</f>
        <v/>
      </c>
      <c r="CH412" s="25" t="str">
        <f>IF('1. Live'!CL430='check-Jul''26'!CH430,"",'1. Live'!CL430-'check-Jul''26'!CH430)</f>
        <v/>
      </c>
      <c r="CI412" s="25" t="str">
        <f>IF('1. Live'!CM430='check-Jul''26'!CI430,"",'1. Live'!CM430-'check-Jul''26'!CI430)</f>
        <v/>
      </c>
      <c r="CJ412" s="25" t="str">
        <f>IF('1. Live'!CN430='check-Jul''26'!CJ430,"",'1. Live'!CN430-'check-Jul''26'!CJ430)</f>
        <v/>
      </c>
      <c r="CK412" s="25" t="str">
        <f>IF('1. Live'!CO430='check-Jul''26'!CK430,"",'1. Live'!CO430-'check-Jul''26'!CK430)</f>
        <v/>
      </c>
      <c r="CL412" s="25" t="str">
        <f>IF('1. Live'!CP430='check-Jul''26'!CL430,"",'1. Live'!CP430-'check-Jul''26'!CL430)</f>
        <v/>
      </c>
      <c r="CM412" s="25" t="str">
        <f>IF('1. Live'!CQ430='check-Jul''26'!CM430,"",'1. Live'!CQ430-'check-Jul''26'!CM430)</f>
        <v/>
      </c>
      <c r="CN412" s="25" t="str">
        <f>IF('1. Live'!CR430='check-Jul''26'!CN430,"",'1. Live'!CR430-'check-Jul''26'!CN430)</f>
        <v/>
      </c>
      <c r="CO412" s="25" t="str">
        <f>IF('1. Live'!CS430='check-Jul''26'!CO430,"",'1. Live'!CS430-'check-Jul''26'!CO430)</f>
        <v/>
      </c>
      <c r="CP412" s="25" t="str">
        <f>IF('1. Live'!CT430='check-Jul''26'!CP430,"",'1. Live'!CT430-'check-Jul''26'!CP430)</f>
        <v/>
      </c>
      <c r="CQ412" s="25" t="str">
        <f>IF('1. Live'!CU430='check-Jul''26'!CQ430,"",'1. Live'!CU430-'check-Jul''26'!CQ430)</f>
        <v/>
      </c>
      <c r="CR412" s="25" t="str">
        <f>IF('1. Live'!CV430='check-Jul''26'!CR430,"",'1. Live'!CV430-'check-Jul''26'!CR430)</f>
        <v/>
      </c>
      <c r="CS412" s="25" t="str">
        <f>IF('1. Live'!CW430='check-Jul''26'!CS430,"",'1. Live'!CW430-'check-Jul''26'!CS430)</f>
        <v/>
      </c>
      <c r="CT412" s="25" t="str">
        <f>IF('1. Live'!CX430='check-Jul''26'!CT430,"",'1. Live'!CX430-'check-Jul''26'!CT430)</f>
        <v/>
      </c>
      <c r="CU412" s="25" t="str">
        <f>IF('1. Live'!CY430='check-Jul''26'!CU430,"",'1. Live'!CY430-'check-Jul''26'!CU430)</f>
        <v/>
      </c>
      <c r="CV412" s="25" t="str">
        <f>IF('1. Live'!CZ430='check-Jul''26'!CV430,"",'1. Live'!CZ430-'check-Jul''26'!CV430)</f>
        <v/>
      </c>
    </row>
    <row r="413" spans="17:100" x14ac:dyDescent="0.25">
      <c r="Q413" s="26" t="str">
        <f>IF('1. Live'!N431='check-Jul''26'!I431,"",'1. Live'!N431-'check-Jul''26'!I431)</f>
        <v/>
      </c>
      <c r="R413" s="26" t="str">
        <f>IF('1. Live'!O431='check-Jul''26'!J431,"",'1. Live'!O431-'check-Jul''26'!J431)</f>
        <v/>
      </c>
      <c r="S413" s="26" t="str">
        <f>IF('1. Live'!P431='check-Jul''26'!K431,"",'1. Live'!P431-'check-Jul''26'!K431)</f>
        <v/>
      </c>
      <c r="T413" s="26" t="str">
        <f>IF('1. Live'!Q431='check-Jul''26'!L431,"",'1. Live'!Q431-'check-Jul''26'!L431)</f>
        <v/>
      </c>
      <c r="U413" s="80" t="str">
        <f>IF('1. Live'!R431='check-Jul''26'!M431,"",'1. Live'!R431-'check-Jul''26'!M431)</f>
        <v/>
      </c>
      <c r="V413" s="26" t="str">
        <f>IF('1. Live'!S431='check-Jul''26'!N431,"",'1. Live'!S431-'check-Jul''26'!N431)</f>
        <v/>
      </c>
      <c r="W413" s="25" t="str">
        <f>IF('1. Live'!T431='check-Jul''26'!O431,"",'1. Live'!T431-'check-Jul''26'!O431)</f>
        <v/>
      </c>
      <c r="X413" s="25" t="str">
        <f>IF('1. Live'!U431='check-Jul''26'!Q431,"",'1. Live'!U431-'check-Jul''26'!Q431)</f>
        <v/>
      </c>
      <c r="Y413" s="25" t="str">
        <f>IF('1. Live'!V431='check-Jul''26'!R431,"",'1. Live'!V431-'check-Jul''26'!R431)</f>
        <v/>
      </c>
      <c r="Z413" s="25" t="str">
        <f>IF('1. Live'!W431='check-Jul''26'!S431,"",'1. Live'!W431-'check-Jul''26'!S431)</f>
        <v/>
      </c>
      <c r="AA413" s="25" t="str">
        <f>IF('1. Live'!X431='check-Jul''26'!T431,"",'1. Live'!X431-'check-Jul''26'!T431)</f>
        <v/>
      </c>
      <c r="AB413" s="25" t="str">
        <f>IF('1. Live'!AF431='check-Jul''26'!AB431,"",'1. Live'!AF431-'check-Jul''26'!AB431)</f>
        <v/>
      </c>
      <c r="AC413" s="25" t="str">
        <f>IF('1. Live'!AG431='check-Jul''26'!AC431,"",'1. Live'!AG431-'check-Jul''26'!AC431)</f>
        <v/>
      </c>
      <c r="AD413" s="25" t="str">
        <f>IF('1. Live'!AH431='check-Jul''26'!AD431,"",'1. Live'!AH431-'check-Jul''26'!AD431)</f>
        <v/>
      </c>
      <c r="AE413" s="25" t="str">
        <f>IF('1. Live'!AI431='check-Jul''26'!AE431,"",'1. Live'!AI431-'check-Jul''26'!AE431)</f>
        <v/>
      </c>
      <c r="AF413" s="25" t="str">
        <f>IF('1. Live'!AJ431='check-Jul''26'!AF431,"",'1. Live'!AJ431-'check-Jul''26'!AF431)</f>
        <v/>
      </c>
      <c r="AG413" s="25" t="str">
        <f>IF('1. Live'!AK431='check-Jul''26'!AG431,"",'1. Live'!AK431-'check-Jul''26'!AG431)</f>
        <v/>
      </c>
      <c r="AH413" s="25" t="str">
        <f>IF('1. Live'!AL431='check-Jul''26'!AH431,"",'1. Live'!AL431-'check-Jul''26'!AH431)</f>
        <v/>
      </c>
      <c r="AI413" s="25" t="str">
        <f>IF('1. Live'!AM431='check-Jul''26'!AI431,"",'1. Live'!AM431-'check-Jul''26'!AI431)</f>
        <v/>
      </c>
      <c r="AJ413" s="25" t="str">
        <f>IF('1. Live'!AN431='check-Jul''26'!AJ431,"",'1. Live'!AN431-'check-Jul''26'!AJ431)</f>
        <v/>
      </c>
      <c r="AK413" s="25" t="str">
        <f>IF('1. Live'!AO431='check-Jul''26'!AK431,"",'1. Live'!AO431-'check-Jul''26'!AK431)</f>
        <v/>
      </c>
      <c r="AL413" s="25" t="str">
        <f>IF('1. Live'!AP431='check-Jul''26'!AL431,"",'1. Live'!AP431-'check-Jul''26'!AL431)</f>
        <v/>
      </c>
      <c r="AM413" s="25" t="str">
        <f>IF('1. Live'!AQ431='check-Jul''26'!AM431,"",'1. Live'!AQ431-'check-Jul''26'!AM431)</f>
        <v/>
      </c>
      <c r="AN413" s="25" t="str">
        <f>IF('1. Live'!AR431='check-Jul''26'!AN431,"",'1. Live'!AR431-'check-Jul''26'!AN431)</f>
        <v/>
      </c>
      <c r="AO413" s="25" t="str">
        <f>IF('1. Live'!AS431='check-Jul''26'!AO431,"",'1. Live'!AS431-'check-Jul''26'!AO431)</f>
        <v/>
      </c>
      <c r="AP413" s="25" t="str">
        <f>IF('1. Live'!AT431='check-Jul''26'!AP431,"",'1. Live'!AT431-'check-Jul''26'!AP431)</f>
        <v/>
      </c>
      <c r="AQ413" s="25" t="str">
        <f>IF('1. Live'!AU431='check-Jul''26'!AQ431,"",'1. Live'!AU431-'check-Jul''26'!AQ431)</f>
        <v/>
      </c>
      <c r="AR413" s="25" t="str">
        <f>IF('1. Live'!AV431='check-Jul''26'!AR431,"",'1. Live'!AV431-'check-Jul''26'!AR431)</f>
        <v/>
      </c>
      <c r="AS413" s="25" t="str">
        <f>IF('1. Live'!AW431='check-Jul''26'!AS431,"",'1. Live'!AW431-'check-Jul''26'!AS431)</f>
        <v/>
      </c>
      <c r="AT413" s="25" t="str">
        <f>IF('1. Live'!AX431='check-Jul''26'!AT431,"",'1. Live'!AX431-'check-Jul''26'!AT431)</f>
        <v/>
      </c>
      <c r="AU413" s="25" t="str">
        <f>IF('1. Live'!AY431='check-Jul''26'!AU431,"",'1. Live'!AY431-'check-Jul''26'!AU431)</f>
        <v/>
      </c>
      <c r="AV413" s="25" t="str">
        <f>IF('1. Live'!AZ431='check-Jul''26'!AV431,"",'1. Live'!AZ431-'check-Jul''26'!AV431)</f>
        <v/>
      </c>
      <c r="AW413" s="25" t="str">
        <f>IF('1. Live'!BA431='check-Jul''26'!AW431,"",'1. Live'!BA431-'check-Jul''26'!AW431)</f>
        <v/>
      </c>
      <c r="AX413" s="25" t="str">
        <f>IF('1. Live'!BB431='check-Jul''26'!AX431,"",'1. Live'!BB431-'check-Jul''26'!AX431)</f>
        <v/>
      </c>
      <c r="AY413" s="25" t="str">
        <f>IF('1. Live'!BC431='check-Jul''26'!AY431,"",'1. Live'!BC431-'check-Jul''26'!AY431)</f>
        <v/>
      </c>
      <c r="AZ413" s="25" t="str">
        <f>IF('1. Live'!BD431='check-Jul''26'!AZ431,"",'1. Live'!BD431-'check-Jul''26'!AZ431)</f>
        <v/>
      </c>
      <c r="BA413" s="25" t="str">
        <f>IF('1. Live'!BE431='check-Jul''26'!BA431,"",'1. Live'!BE431-'check-Jul''26'!BA431)</f>
        <v/>
      </c>
      <c r="BB413" s="25" t="str">
        <f>IF('1. Live'!BF431='check-Jul''26'!BB431,"",'1. Live'!BF431-'check-Jul''26'!BB431)</f>
        <v/>
      </c>
      <c r="BC413" s="25" t="str">
        <f>IF('1. Live'!BG431='check-Jul''26'!BC431,"",'1. Live'!BG431-'check-Jul''26'!BC431)</f>
        <v/>
      </c>
      <c r="BD413" s="25" t="str">
        <f>IF('1. Live'!BH431='check-Jul''26'!BD431,"",'1. Live'!BH431-'check-Jul''26'!BD431)</f>
        <v/>
      </c>
      <c r="BE413" s="25" t="str">
        <f>IF('1. Live'!BI431='check-Jul''26'!BE431,"",'1. Live'!BI431-'check-Jul''26'!BE431)</f>
        <v/>
      </c>
      <c r="BF413" s="25" t="str">
        <f>IF('1. Live'!BJ431='check-Jul''26'!BF431,"",'1. Live'!BJ431-'check-Jul''26'!BF431)</f>
        <v/>
      </c>
      <c r="BG413" s="25" t="str">
        <f>IF('1. Live'!BK431='check-Jul''26'!BG431,"",'1. Live'!BK431-'check-Jul''26'!BG431)</f>
        <v/>
      </c>
      <c r="BH413" s="25" t="str">
        <f>IF('1. Live'!BL431='check-Jul''26'!BH431,"",'1. Live'!BL431-'check-Jul''26'!BH431)</f>
        <v/>
      </c>
      <c r="BI413" s="25" t="str">
        <f>IF('1. Live'!BM431='check-Jul''26'!BI431,"",'1. Live'!BM431-'check-Jul''26'!BI431)</f>
        <v/>
      </c>
      <c r="BJ413" s="25" t="str">
        <f>IF('1. Live'!BN431='check-Jul''26'!BJ431,"",'1. Live'!BN431-'check-Jul''26'!BJ431)</f>
        <v/>
      </c>
      <c r="BK413" s="25" t="str">
        <f>IF('1. Live'!BO431='check-Jul''26'!BK431,"",'1. Live'!BO431-'check-Jul''26'!BK431)</f>
        <v/>
      </c>
      <c r="BL413" s="25" t="str">
        <f>IF('1. Live'!BP431='check-Jul''26'!BL431,"",'1. Live'!BP431-'check-Jul''26'!BL431)</f>
        <v/>
      </c>
      <c r="BM413" s="25" t="str">
        <f>IF('1. Live'!BQ431='check-Jul''26'!BM431,"",'1. Live'!BQ431-'check-Jul''26'!BM431)</f>
        <v/>
      </c>
      <c r="BN413" s="25" t="str">
        <f>IF('1. Live'!BR431='check-Jul''26'!BN431,"",'1. Live'!BR431-'check-Jul''26'!BN431)</f>
        <v/>
      </c>
      <c r="BO413" s="25" t="str">
        <f>IF('1. Live'!BS431='check-Jul''26'!BO431,"",'1. Live'!BS431-'check-Jul''26'!BO431)</f>
        <v/>
      </c>
      <c r="BP413" s="25" t="str">
        <f>IF('1. Live'!BT431='check-Jul''26'!BP431,"",'1. Live'!BT431-'check-Jul''26'!BP431)</f>
        <v/>
      </c>
      <c r="BQ413" s="25" t="str">
        <f>IF('1. Live'!BU431='check-Jul''26'!BQ431,"",'1. Live'!BU431-'check-Jul''26'!BQ431)</f>
        <v/>
      </c>
      <c r="BR413" s="25" t="str">
        <f>IF('1. Live'!BV431='check-Jul''26'!BR431,"",'1. Live'!BV431-'check-Jul''26'!BR431)</f>
        <v/>
      </c>
      <c r="BS413" s="25" t="str">
        <f>IF('1. Live'!BW431='check-Jul''26'!BS431,"",'1. Live'!BW431-'check-Jul''26'!BS431)</f>
        <v/>
      </c>
      <c r="BT413" s="25" t="str">
        <f>IF('1. Live'!BX431='check-Jul''26'!BT431,"",'1. Live'!BX431-'check-Jul''26'!BT431)</f>
        <v/>
      </c>
      <c r="BU413" s="25" t="str">
        <f>IF('1. Live'!BY431='check-Jul''26'!BU431,"",'1. Live'!BY431-'check-Jul''26'!BU431)</f>
        <v/>
      </c>
      <c r="BV413" s="25" t="str">
        <f>IF('1. Live'!BZ431='check-Jul''26'!BV431,"",'1. Live'!BZ431-'check-Jul''26'!BV431)</f>
        <v/>
      </c>
      <c r="BW413" s="25" t="str">
        <f>IF('1. Live'!CA431='check-Jul''26'!BW431,"",'1. Live'!CA431-'check-Jul''26'!BW431)</f>
        <v/>
      </c>
      <c r="BX413" s="25" t="str">
        <f>IF('1. Live'!CB431='check-Jul''26'!BX431,"",'1. Live'!CB431-'check-Jul''26'!BX431)</f>
        <v/>
      </c>
      <c r="BY413" s="25" t="str">
        <f>IF('1. Live'!CC431='check-Jul''26'!BY431,"",'1. Live'!CC431-'check-Jul''26'!BY431)</f>
        <v/>
      </c>
      <c r="BZ413" s="25" t="str">
        <f>IF('1. Live'!CD431='check-Jul''26'!BZ431,"",'1. Live'!CD431-'check-Jul''26'!BZ431)</f>
        <v/>
      </c>
      <c r="CA413" s="25" t="str">
        <f>IF('1. Live'!CE431='check-Jul''26'!CA431,"",'1. Live'!CE431-'check-Jul''26'!CA431)</f>
        <v/>
      </c>
      <c r="CB413" s="25" t="str">
        <f>IF('1. Live'!CF431='check-Jul''26'!CB431,"",'1. Live'!CF431-'check-Jul''26'!CB431)</f>
        <v/>
      </c>
      <c r="CC413" s="25" t="str">
        <f>IF('1. Live'!CG431='check-Jul''26'!CC431,"",'1. Live'!CG431-'check-Jul''26'!CC431)</f>
        <v/>
      </c>
      <c r="CD413" s="25" t="str">
        <f>IF('1. Live'!CH431='check-Jul''26'!CD431,"",'1. Live'!CH431-'check-Jul''26'!CD431)</f>
        <v/>
      </c>
      <c r="CE413" s="25" t="str">
        <f>IF('1. Live'!CI431='check-Jul''26'!CE431,"",'1. Live'!CI431-'check-Jul''26'!CE431)</f>
        <v/>
      </c>
      <c r="CF413" s="25" t="str">
        <f>IF('1. Live'!CJ431='check-Jul''26'!CF431,"",'1. Live'!CJ431-'check-Jul''26'!CF431)</f>
        <v/>
      </c>
      <c r="CG413" s="25" t="str">
        <f>IF('1. Live'!CK431='check-Jul''26'!CG431,"",'1. Live'!CK431-'check-Jul''26'!CG431)</f>
        <v/>
      </c>
      <c r="CH413" s="25" t="str">
        <f>IF('1. Live'!CL431='check-Jul''26'!CH431,"",'1. Live'!CL431-'check-Jul''26'!CH431)</f>
        <v/>
      </c>
      <c r="CI413" s="25" t="str">
        <f>IF('1. Live'!CM431='check-Jul''26'!CI431,"",'1. Live'!CM431-'check-Jul''26'!CI431)</f>
        <v/>
      </c>
      <c r="CJ413" s="25" t="str">
        <f>IF('1. Live'!CN431='check-Jul''26'!CJ431,"",'1. Live'!CN431-'check-Jul''26'!CJ431)</f>
        <v/>
      </c>
      <c r="CK413" s="25" t="str">
        <f>IF('1. Live'!CO431='check-Jul''26'!CK431,"",'1. Live'!CO431-'check-Jul''26'!CK431)</f>
        <v/>
      </c>
      <c r="CL413" s="25" t="str">
        <f>IF('1. Live'!CP431='check-Jul''26'!CL431,"",'1. Live'!CP431-'check-Jul''26'!CL431)</f>
        <v/>
      </c>
      <c r="CM413" s="25" t="str">
        <f>IF('1. Live'!CQ431='check-Jul''26'!CM431,"",'1. Live'!CQ431-'check-Jul''26'!CM431)</f>
        <v/>
      </c>
      <c r="CN413" s="25" t="str">
        <f>IF('1. Live'!CR431='check-Jul''26'!CN431,"",'1. Live'!CR431-'check-Jul''26'!CN431)</f>
        <v/>
      </c>
      <c r="CO413" s="25" t="str">
        <f>IF('1. Live'!CS431='check-Jul''26'!CO431,"",'1. Live'!CS431-'check-Jul''26'!CO431)</f>
        <v/>
      </c>
      <c r="CP413" s="25" t="str">
        <f>IF('1. Live'!CT431='check-Jul''26'!CP431,"",'1. Live'!CT431-'check-Jul''26'!CP431)</f>
        <v/>
      </c>
      <c r="CQ413" s="25" t="str">
        <f>IF('1. Live'!CU431='check-Jul''26'!CQ431,"",'1. Live'!CU431-'check-Jul''26'!CQ431)</f>
        <v/>
      </c>
      <c r="CR413" s="25" t="str">
        <f>IF('1. Live'!CV431='check-Jul''26'!CR431,"",'1. Live'!CV431-'check-Jul''26'!CR431)</f>
        <v/>
      </c>
      <c r="CS413" s="25" t="str">
        <f>IF('1. Live'!CW431='check-Jul''26'!CS431,"",'1. Live'!CW431-'check-Jul''26'!CS431)</f>
        <v/>
      </c>
      <c r="CT413" s="25" t="str">
        <f>IF('1. Live'!CX431='check-Jul''26'!CT431,"",'1. Live'!CX431-'check-Jul''26'!CT431)</f>
        <v/>
      </c>
      <c r="CU413" s="25" t="str">
        <f>IF('1. Live'!CY431='check-Jul''26'!CU431,"",'1. Live'!CY431-'check-Jul''26'!CU431)</f>
        <v/>
      </c>
      <c r="CV413" s="25" t="str">
        <f>IF('1. Live'!CZ431='check-Jul''26'!CV431,"",'1. Live'!CZ431-'check-Jul''26'!CV431)</f>
        <v/>
      </c>
    </row>
    <row r="414" spans="17:100" x14ac:dyDescent="0.25">
      <c r="Q414" s="26" t="str">
        <f>IF('1. Live'!N432='check-Jul''26'!I432,"",'1. Live'!N432-'check-Jul''26'!I432)</f>
        <v/>
      </c>
      <c r="R414" s="26" t="str">
        <f>IF('1. Live'!O432='check-Jul''26'!J432,"",'1. Live'!O432-'check-Jul''26'!J432)</f>
        <v/>
      </c>
      <c r="S414" s="26" t="str">
        <f>IF('1. Live'!P432='check-Jul''26'!K432,"",'1. Live'!P432-'check-Jul''26'!K432)</f>
        <v/>
      </c>
      <c r="T414" s="26" t="str">
        <f>IF('1. Live'!Q432='check-Jul''26'!L432,"",'1. Live'!Q432-'check-Jul''26'!L432)</f>
        <v/>
      </c>
      <c r="U414" s="80" t="str">
        <f>IF('1. Live'!R432='check-Jul''26'!M432,"",'1. Live'!R432-'check-Jul''26'!M432)</f>
        <v/>
      </c>
      <c r="V414" s="26" t="str">
        <f>IF('1. Live'!S432='check-Jul''26'!N432,"",'1. Live'!S432-'check-Jul''26'!N432)</f>
        <v/>
      </c>
      <c r="W414" s="25" t="str">
        <f>IF('1. Live'!T432='check-Jul''26'!O432,"",'1. Live'!T432-'check-Jul''26'!O432)</f>
        <v/>
      </c>
      <c r="X414" s="25" t="str">
        <f>IF('1. Live'!U432='check-Jul''26'!Q432,"",'1. Live'!U432-'check-Jul''26'!Q432)</f>
        <v/>
      </c>
      <c r="Y414" s="25" t="str">
        <f>IF('1. Live'!V432='check-Jul''26'!R432,"",'1. Live'!V432-'check-Jul''26'!R432)</f>
        <v/>
      </c>
      <c r="Z414" s="25" t="str">
        <f>IF('1. Live'!W432='check-Jul''26'!S432,"",'1. Live'!W432-'check-Jul''26'!S432)</f>
        <v/>
      </c>
      <c r="AA414" s="25" t="str">
        <f>IF('1. Live'!X432='check-Jul''26'!T432,"",'1. Live'!X432-'check-Jul''26'!T432)</f>
        <v/>
      </c>
      <c r="AB414" s="25" t="str">
        <f>IF('1. Live'!AF432='check-Jul''26'!AB432,"",'1. Live'!AF432-'check-Jul''26'!AB432)</f>
        <v/>
      </c>
      <c r="AC414" s="25" t="str">
        <f>IF('1. Live'!AG432='check-Jul''26'!AC432,"",'1. Live'!AG432-'check-Jul''26'!AC432)</f>
        <v/>
      </c>
      <c r="AD414" s="25" t="str">
        <f>IF('1. Live'!AH432='check-Jul''26'!AD432,"",'1. Live'!AH432-'check-Jul''26'!AD432)</f>
        <v/>
      </c>
      <c r="AE414" s="25" t="str">
        <f>IF('1. Live'!AI432='check-Jul''26'!AE432,"",'1. Live'!AI432-'check-Jul''26'!AE432)</f>
        <v/>
      </c>
      <c r="AF414" s="25" t="str">
        <f>IF('1. Live'!AJ432='check-Jul''26'!AF432,"",'1. Live'!AJ432-'check-Jul''26'!AF432)</f>
        <v/>
      </c>
      <c r="AG414" s="25" t="str">
        <f>IF('1. Live'!AK432='check-Jul''26'!AG432,"",'1. Live'!AK432-'check-Jul''26'!AG432)</f>
        <v/>
      </c>
      <c r="AH414" s="25" t="str">
        <f>IF('1. Live'!AL432='check-Jul''26'!AH432,"",'1. Live'!AL432-'check-Jul''26'!AH432)</f>
        <v/>
      </c>
      <c r="AI414" s="25" t="str">
        <f>IF('1. Live'!AM432='check-Jul''26'!AI432,"",'1. Live'!AM432-'check-Jul''26'!AI432)</f>
        <v/>
      </c>
      <c r="AJ414" s="25" t="str">
        <f>IF('1. Live'!AN432='check-Jul''26'!AJ432,"",'1. Live'!AN432-'check-Jul''26'!AJ432)</f>
        <v/>
      </c>
      <c r="AK414" s="25" t="str">
        <f>IF('1. Live'!AO432='check-Jul''26'!AK432,"",'1. Live'!AO432-'check-Jul''26'!AK432)</f>
        <v/>
      </c>
      <c r="AL414" s="25" t="str">
        <f>IF('1. Live'!AP432='check-Jul''26'!AL432,"",'1. Live'!AP432-'check-Jul''26'!AL432)</f>
        <v/>
      </c>
      <c r="AM414" s="25" t="str">
        <f>IF('1. Live'!AQ432='check-Jul''26'!AM432,"",'1. Live'!AQ432-'check-Jul''26'!AM432)</f>
        <v/>
      </c>
      <c r="AN414" s="25" t="str">
        <f>IF('1. Live'!AR432='check-Jul''26'!AN432,"",'1. Live'!AR432-'check-Jul''26'!AN432)</f>
        <v/>
      </c>
      <c r="AO414" s="25" t="str">
        <f>IF('1. Live'!AS432='check-Jul''26'!AO432,"",'1. Live'!AS432-'check-Jul''26'!AO432)</f>
        <v/>
      </c>
      <c r="AP414" s="25" t="str">
        <f>IF('1. Live'!AT432='check-Jul''26'!AP432,"",'1. Live'!AT432-'check-Jul''26'!AP432)</f>
        <v/>
      </c>
      <c r="AQ414" s="25" t="str">
        <f>IF('1. Live'!AU432='check-Jul''26'!AQ432,"",'1. Live'!AU432-'check-Jul''26'!AQ432)</f>
        <v/>
      </c>
      <c r="AR414" s="25" t="str">
        <f>IF('1. Live'!AV432='check-Jul''26'!AR432,"",'1. Live'!AV432-'check-Jul''26'!AR432)</f>
        <v/>
      </c>
      <c r="AS414" s="25" t="str">
        <f>IF('1. Live'!AW432='check-Jul''26'!AS432,"",'1. Live'!AW432-'check-Jul''26'!AS432)</f>
        <v/>
      </c>
      <c r="AT414" s="25" t="str">
        <f>IF('1. Live'!AX432='check-Jul''26'!AT432,"",'1. Live'!AX432-'check-Jul''26'!AT432)</f>
        <v/>
      </c>
      <c r="AU414" s="25" t="str">
        <f>IF('1. Live'!AY432='check-Jul''26'!AU432,"",'1. Live'!AY432-'check-Jul''26'!AU432)</f>
        <v/>
      </c>
      <c r="AV414" s="25" t="str">
        <f>IF('1. Live'!AZ432='check-Jul''26'!AV432,"",'1. Live'!AZ432-'check-Jul''26'!AV432)</f>
        <v/>
      </c>
      <c r="AW414" s="25" t="str">
        <f>IF('1. Live'!BA432='check-Jul''26'!AW432,"",'1. Live'!BA432-'check-Jul''26'!AW432)</f>
        <v/>
      </c>
      <c r="AX414" s="25" t="str">
        <f>IF('1. Live'!BB432='check-Jul''26'!AX432,"",'1. Live'!BB432-'check-Jul''26'!AX432)</f>
        <v/>
      </c>
      <c r="AY414" s="25" t="str">
        <f>IF('1. Live'!BC432='check-Jul''26'!AY432,"",'1. Live'!BC432-'check-Jul''26'!AY432)</f>
        <v/>
      </c>
      <c r="AZ414" s="25" t="str">
        <f>IF('1. Live'!BD432='check-Jul''26'!AZ432,"",'1. Live'!BD432-'check-Jul''26'!AZ432)</f>
        <v/>
      </c>
      <c r="BA414" s="25" t="str">
        <f>IF('1. Live'!BE432='check-Jul''26'!BA432,"",'1. Live'!BE432-'check-Jul''26'!BA432)</f>
        <v/>
      </c>
      <c r="BB414" s="25" t="str">
        <f>IF('1. Live'!BF432='check-Jul''26'!BB432,"",'1. Live'!BF432-'check-Jul''26'!BB432)</f>
        <v/>
      </c>
      <c r="BC414" s="25" t="str">
        <f>IF('1. Live'!BG432='check-Jul''26'!BC432,"",'1. Live'!BG432-'check-Jul''26'!BC432)</f>
        <v/>
      </c>
      <c r="BD414" s="25" t="str">
        <f>IF('1. Live'!BH432='check-Jul''26'!BD432,"",'1. Live'!BH432-'check-Jul''26'!BD432)</f>
        <v/>
      </c>
      <c r="BE414" s="25" t="str">
        <f>IF('1. Live'!BI432='check-Jul''26'!BE432,"",'1. Live'!BI432-'check-Jul''26'!BE432)</f>
        <v/>
      </c>
      <c r="BF414" s="25" t="str">
        <f>IF('1. Live'!BJ432='check-Jul''26'!BF432,"",'1. Live'!BJ432-'check-Jul''26'!BF432)</f>
        <v/>
      </c>
      <c r="BG414" s="25" t="str">
        <f>IF('1. Live'!BK432='check-Jul''26'!BG432,"",'1. Live'!BK432-'check-Jul''26'!BG432)</f>
        <v/>
      </c>
      <c r="BH414" s="25" t="str">
        <f>IF('1. Live'!BL432='check-Jul''26'!BH432,"",'1. Live'!BL432-'check-Jul''26'!BH432)</f>
        <v/>
      </c>
      <c r="BI414" s="25" t="str">
        <f>IF('1. Live'!BM432='check-Jul''26'!BI432,"",'1. Live'!BM432-'check-Jul''26'!BI432)</f>
        <v/>
      </c>
      <c r="BJ414" s="25" t="str">
        <f>IF('1. Live'!BN432='check-Jul''26'!BJ432,"",'1. Live'!BN432-'check-Jul''26'!BJ432)</f>
        <v/>
      </c>
      <c r="BK414" s="25" t="str">
        <f>IF('1. Live'!BO432='check-Jul''26'!BK432,"",'1. Live'!BO432-'check-Jul''26'!BK432)</f>
        <v/>
      </c>
      <c r="BL414" s="25" t="str">
        <f>IF('1. Live'!BP432='check-Jul''26'!BL432,"",'1. Live'!BP432-'check-Jul''26'!BL432)</f>
        <v/>
      </c>
      <c r="BM414" s="25" t="str">
        <f>IF('1. Live'!BQ432='check-Jul''26'!BM432,"",'1. Live'!BQ432-'check-Jul''26'!BM432)</f>
        <v/>
      </c>
      <c r="BN414" s="25" t="str">
        <f>IF('1. Live'!BR432='check-Jul''26'!BN432,"",'1. Live'!BR432-'check-Jul''26'!BN432)</f>
        <v/>
      </c>
      <c r="BO414" s="25" t="str">
        <f>IF('1. Live'!BS432='check-Jul''26'!BO432,"",'1. Live'!BS432-'check-Jul''26'!BO432)</f>
        <v/>
      </c>
      <c r="BP414" s="25" t="str">
        <f>IF('1. Live'!BT432='check-Jul''26'!BP432,"",'1. Live'!BT432-'check-Jul''26'!BP432)</f>
        <v/>
      </c>
      <c r="BQ414" s="25" t="str">
        <f>IF('1. Live'!BU432='check-Jul''26'!BQ432,"",'1. Live'!BU432-'check-Jul''26'!BQ432)</f>
        <v/>
      </c>
      <c r="BR414" s="25" t="str">
        <f>IF('1. Live'!BV432='check-Jul''26'!BR432,"",'1. Live'!BV432-'check-Jul''26'!BR432)</f>
        <v/>
      </c>
      <c r="BS414" s="25" t="str">
        <f>IF('1. Live'!BW432='check-Jul''26'!BS432,"",'1. Live'!BW432-'check-Jul''26'!BS432)</f>
        <v/>
      </c>
      <c r="BT414" s="25" t="str">
        <f>IF('1. Live'!BX432='check-Jul''26'!BT432,"",'1. Live'!BX432-'check-Jul''26'!BT432)</f>
        <v/>
      </c>
      <c r="BU414" s="25" t="str">
        <f>IF('1. Live'!BY432='check-Jul''26'!BU432,"",'1. Live'!BY432-'check-Jul''26'!BU432)</f>
        <v/>
      </c>
      <c r="BV414" s="25" t="str">
        <f>IF('1. Live'!BZ432='check-Jul''26'!BV432,"",'1. Live'!BZ432-'check-Jul''26'!BV432)</f>
        <v/>
      </c>
      <c r="BW414" s="25" t="str">
        <f>IF('1. Live'!CA432='check-Jul''26'!BW432,"",'1. Live'!CA432-'check-Jul''26'!BW432)</f>
        <v/>
      </c>
      <c r="BX414" s="25" t="str">
        <f>IF('1. Live'!CB432='check-Jul''26'!BX432,"",'1. Live'!CB432-'check-Jul''26'!BX432)</f>
        <v/>
      </c>
      <c r="BY414" s="25" t="str">
        <f>IF('1. Live'!CC432='check-Jul''26'!BY432,"",'1. Live'!CC432-'check-Jul''26'!BY432)</f>
        <v/>
      </c>
      <c r="BZ414" s="25" t="str">
        <f>IF('1. Live'!CD432='check-Jul''26'!BZ432,"",'1. Live'!CD432-'check-Jul''26'!BZ432)</f>
        <v/>
      </c>
      <c r="CA414" s="25" t="str">
        <f>IF('1. Live'!CE432='check-Jul''26'!CA432,"",'1. Live'!CE432-'check-Jul''26'!CA432)</f>
        <v/>
      </c>
      <c r="CB414" s="25" t="str">
        <f>IF('1. Live'!CF432='check-Jul''26'!CB432,"",'1. Live'!CF432-'check-Jul''26'!CB432)</f>
        <v/>
      </c>
      <c r="CC414" s="25" t="str">
        <f>IF('1. Live'!CG432='check-Jul''26'!CC432,"",'1. Live'!CG432-'check-Jul''26'!CC432)</f>
        <v/>
      </c>
      <c r="CD414" s="25" t="str">
        <f>IF('1. Live'!CH432='check-Jul''26'!CD432,"",'1. Live'!CH432-'check-Jul''26'!CD432)</f>
        <v/>
      </c>
      <c r="CE414" s="25" t="str">
        <f>IF('1. Live'!CI432='check-Jul''26'!CE432,"",'1. Live'!CI432-'check-Jul''26'!CE432)</f>
        <v/>
      </c>
      <c r="CF414" s="25" t="str">
        <f>IF('1. Live'!CJ432='check-Jul''26'!CF432,"",'1. Live'!CJ432-'check-Jul''26'!CF432)</f>
        <v/>
      </c>
      <c r="CG414" s="25" t="str">
        <f>IF('1. Live'!CK432='check-Jul''26'!CG432,"",'1. Live'!CK432-'check-Jul''26'!CG432)</f>
        <v/>
      </c>
      <c r="CH414" s="25" t="str">
        <f>IF('1. Live'!CL432='check-Jul''26'!CH432,"",'1. Live'!CL432-'check-Jul''26'!CH432)</f>
        <v/>
      </c>
      <c r="CI414" s="25" t="str">
        <f>IF('1. Live'!CM432='check-Jul''26'!CI432,"",'1. Live'!CM432-'check-Jul''26'!CI432)</f>
        <v/>
      </c>
      <c r="CJ414" s="25" t="str">
        <f>IF('1. Live'!CN432='check-Jul''26'!CJ432,"",'1. Live'!CN432-'check-Jul''26'!CJ432)</f>
        <v/>
      </c>
      <c r="CK414" s="25" t="str">
        <f>IF('1. Live'!CO432='check-Jul''26'!CK432,"",'1. Live'!CO432-'check-Jul''26'!CK432)</f>
        <v/>
      </c>
      <c r="CL414" s="25" t="str">
        <f>IF('1. Live'!CP432='check-Jul''26'!CL432,"",'1. Live'!CP432-'check-Jul''26'!CL432)</f>
        <v/>
      </c>
      <c r="CM414" s="25" t="str">
        <f>IF('1. Live'!CQ432='check-Jul''26'!CM432,"",'1. Live'!CQ432-'check-Jul''26'!CM432)</f>
        <v/>
      </c>
      <c r="CN414" s="25" t="str">
        <f>IF('1. Live'!CR432='check-Jul''26'!CN432,"",'1. Live'!CR432-'check-Jul''26'!CN432)</f>
        <v/>
      </c>
      <c r="CO414" s="25" t="str">
        <f>IF('1. Live'!CS432='check-Jul''26'!CO432,"",'1. Live'!CS432-'check-Jul''26'!CO432)</f>
        <v/>
      </c>
      <c r="CP414" s="25" t="str">
        <f>IF('1. Live'!CT432='check-Jul''26'!CP432,"",'1. Live'!CT432-'check-Jul''26'!CP432)</f>
        <v/>
      </c>
      <c r="CQ414" s="25" t="str">
        <f>IF('1. Live'!CU432='check-Jul''26'!CQ432,"",'1. Live'!CU432-'check-Jul''26'!CQ432)</f>
        <v/>
      </c>
      <c r="CR414" s="25" t="str">
        <f>IF('1. Live'!CV432='check-Jul''26'!CR432,"",'1. Live'!CV432-'check-Jul''26'!CR432)</f>
        <v/>
      </c>
      <c r="CS414" s="25" t="str">
        <f>IF('1. Live'!CW432='check-Jul''26'!CS432,"",'1. Live'!CW432-'check-Jul''26'!CS432)</f>
        <v/>
      </c>
      <c r="CT414" s="25" t="str">
        <f>IF('1. Live'!CX432='check-Jul''26'!CT432,"",'1. Live'!CX432-'check-Jul''26'!CT432)</f>
        <v/>
      </c>
      <c r="CU414" s="25" t="str">
        <f>IF('1. Live'!CY432='check-Jul''26'!CU432,"",'1. Live'!CY432-'check-Jul''26'!CU432)</f>
        <v/>
      </c>
      <c r="CV414" s="25" t="str">
        <f>IF('1. Live'!CZ432='check-Jul''26'!CV432,"",'1. Live'!CZ432-'check-Jul''26'!CV432)</f>
        <v/>
      </c>
    </row>
    <row r="415" spans="17:100" x14ac:dyDescent="0.25">
      <c r="Q415" s="26" t="str">
        <f>IF('1. Live'!N433='check-Jul''26'!I433,"",'1. Live'!N433-'check-Jul''26'!I433)</f>
        <v/>
      </c>
      <c r="R415" s="26" t="str">
        <f>IF('1. Live'!O433='check-Jul''26'!J433,"",'1. Live'!O433-'check-Jul''26'!J433)</f>
        <v/>
      </c>
      <c r="S415" s="26" t="str">
        <f>IF('1. Live'!P433='check-Jul''26'!K433,"",'1. Live'!P433-'check-Jul''26'!K433)</f>
        <v/>
      </c>
      <c r="T415" s="26" t="str">
        <f>IF('1. Live'!Q433='check-Jul''26'!L433,"",'1. Live'!Q433-'check-Jul''26'!L433)</f>
        <v/>
      </c>
      <c r="U415" s="80" t="str">
        <f>IF('1. Live'!R433='check-Jul''26'!M433,"",'1. Live'!R433-'check-Jul''26'!M433)</f>
        <v/>
      </c>
      <c r="V415" s="26" t="str">
        <f>IF('1. Live'!S433='check-Jul''26'!N433,"",'1. Live'!S433-'check-Jul''26'!N433)</f>
        <v/>
      </c>
      <c r="W415" s="25" t="str">
        <f>IF('1. Live'!T433='check-Jul''26'!O433,"",'1. Live'!T433-'check-Jul''26'!O433)</f>
        <v/>
      </c>
      <c r="X415" s="25" t="str">
        <f>IF('1. Live'!U433='check-Jul''26'!Q433,"",'1. Live'!U433-'check-Jul''26'!Q433)</f>
        <v/>
      </c>
      <c r="Y415" s="25" t="str">
        <f>IF('1. Live'!V433='check-Jul''26'!R433,"",'1. Live'!V433-'check-Jul''26'!R433)</f>
        <v/>
      </c>
      <c r="Z415" s="25" t="str">
        <f>IF('1. Live'!W433='check-Jul''26'!S433,"",'1. Live'!W433-'check-Jul''26'!S433)</f>
        <v/>
      </c>
      <c r="AA415" s="25" t="str">
        <f>IF('1. Live'!X433='check-Jul''26'!T433,"",'1. Live'!X433-'check-Jul''26'!T433)</f>
        <v/>
      </c>
      <c r="AB415" s="25" t="str">
        <f>IF('1. Live'!AF433='check-Jul''26'!AB433,"",'1. Live'!AF433-'check-Jul''26'!AB433)</f>
        <v/>
      </c>
      <c r="AC415" s="25" t="str">
        <f>IF('1. Live'!AG433='check-Jul''26'!AC433,"",'1. Live'!AG433-'check-Jul''26'!AC433)</f>
        <v/>
      </c>
      <c r="AD415" s="25" t="str">
        <f>IF('1. Live'!AH433='check-Jul''26'!AD433,"",'1. Live'!AH433-'check-Jul''26'!AD433)</f>
        <v/>
      </c>
      <c r="AE415" s="25" t="str">
        <f>IF('1. Live'!AI433='check-Jul''26'!AE433,"",'1. Live'!AI433-'check-Jul''26'!AE433)</f>
        <v/>
      </c>
      <c r="AF415" s="25" t="str">
        <f>IF('1. Live'!AJ433='check-Jul''26'!AF433,"",'1. Live'!AJ433-'check-Jul''26'!AF433)</f>
        <v/>
      </c>
      <c r="AG415" s="25" t="str">
        <f>IF('1. Live'!AK433='check-Jul''26'!AG433,"",'1. Live'!AK433-'check-Jul''26'!AG433)</f>
        <v/>
      </c>
      <c r="AH415" s="25" t="str">
        <f>IF('1. Live'!AL433='check-Jul''26'!AH433,"",'1. Live'!AL433-'check-Jul''26'!AH433)</f>
        <v/>
      </c>
      <c r="AI415" s="25" t="str">
        <f>IF('1. Live'!AM433='check-Jul''26'!AI433,"",'1. Live'!AM433-'check-Jul''26'!AI433)</f>
        <v/>
      </c>
      <c r="AJ415" s="25" t="str">
        <f>IF('1. Live'!AN433='check-Jul''26'!AJ433,"",'1. Live'!AN433-'check-Jul''26'!AJ433)</f>
        <v/>
      </c>
      <c r="AK415" s="25" t="str">
        <f>IF('1. Live'!AO433='check-Jul''26'!AK433,"",'1. Live'!AO433-'check-Jul''26'!AK433)</f>
        <v/>
      </c>
      <c r="AL415" s="25" t="str">
        <f>IF('1. Live'!AP433='check-Jul''26'!AL433,"",'1. Live'!AP433-'check-Jul''26'!AL433)</f>
        <v/>
      </c>
      <c r="AM415" s="25" t="str">
        <f>IF('1. Live'!AQ433='check-Jul''26'!AM433,"",'1. Live'!AQ433-'check-Jul''26'!AM433)</f>
        <v/>
      </c>
      <c r="AN415" s="25" t="str">
        <f>IF('1. Live'!AR433='check-Jul''26'!AN433,"",'1. Live'!AR433-'check-Jul''26'!AN433)</f>
        <v/>
      </c>
      <c r="AO415" s="25" t="str">
        <f>IF('1. Live'!AS433='check-Jul''26'!AO433,"",'1. Live'!AS433-'check-Jul''26'!AO433)</f>
        <v/>
      </c>
      <c r="AP415" s="25" t="str">
        <f>IF('1. Live'!AT433='check-Jul''26'!AP433,"",'1. Live'!AT433-'check-Jul''26'!AP433)</f>
        <v/>
      </c>
      <c r="AQ415" s="25" t="str">
        <f>IF('1. Live'!AU433='check-Jul''26'!AQ433,"",'1. Live'!AU433-'check-Jul''26'!AQ433)</f>
        <v/>
      </c>
      <c r="AR415" s="25" t="str">
        <f>IF('1. Live'!AV433='check-Jul''26'!AR433,"",'1. Live'!AV433-'check-Jul''26'!AR433)</f>
        <v/>
      </c>
      <c r="AS415" s="25" t="str">
        <f>IF('1. Live'!AW433='check-Jul''26'!AS433,"",'1. Live'!AW433-'check-Jul''26'!AS433)</f>
        <v/>
      </c>
      <c r="AT415" s="25" t="str">
        <f>IF('1. Live'!AX433='check-Jul''26'!AT433,"",'1. Live'!AX433-'check-Jul''26'!AT433)</f>
        <v/>
      </c>
      <c r="AU415" s="25" t="str">
        <f>IF('1. Live'!AY433='check-Jul''26'!AU433,"",'1. Live'!AY433-'check-Jul''26'!AU433)</f>
        <v/>
      </c>
      <c r="AV415" s="25" t="str">
        <f>IF('1. Live'!AZ433='check-Jul''26'!AV433,"",'1. Live'!AZ433-'check-Jul''26'!AV433)</f>
        <v/>
      </c>
      <c r="AW415" s="25" t="str">
        <f>IF('1. Live'!BA433='check-Jul''26'!AW433,"",'1. Live'!BA433-'check-Jul''26'!AW433)</f>
        <v/>
      </c>
      <c r="AX415" s="25" t="str">
        <f>IF('1. Live'!BB433='check-Jul''26'!AX433,"",'1. Live'!BB433-'check-Jul''26'!AX433)</f>
        <v/>
      </c>
      <c r="AY415" s="25" t="str">
        <f>IF('1. Live'!BC433='check-Jul''26'!AY433,"",'1. Live'!BC433-'check-Jul''26'!AY433)</f>
        <v/>
      </c>
      <c r="AZ415" s="25" t="str">
        <f>IF('1. Live'!BD433='check-Jul''26'!AZ433,"",'1. Live'!BD433-'check-Jul''26'!AZ433)</f>
        <v/>
      </c>
      <c r="BA415" s="25" t="str">
        <f>IF('1. Live'!BE433='check-Jul''26'!BA433,"",'1. Live'!BE433-'check-Jul''26'!BA433)</f>
        <v/>
      </c>
      <c r="BB415" s="25" t="str">
        <f>IF('1. Live'!BF433='check-Jul''26'!BB433,"",'1. Live'!BF433-'check-Jul''26'!BB433)</f>
        <v/>
      </c>
      <c r="BC415" s="25" t="str">
        <f>IF('1. Live'!BG433='check-Jul''26'!BC433,"",'1. Live'!BG433-'check-Jul''26'!BC433)</f>
        <v/>
      </c>
      <c r="BD415" s="25" t="str">
        <f>IF('1. Live'!BH433='check-Jul''26'!BD433,"",'1. Live'!BH433-'check-Jul''26'!BD433)</f>
        <v/>
      </c>
      <c r="BE415" s="25" t="str">
        <f>IF('1. Live'!BI433='check-Jul''26'!BE433,"",'1. Live'!BI433-'check-Jul''26'!BE433)</f>
        <v/>
      </c>
      <c r="BF415" s="25" t="str">
        <f>IF('1. Live'!BJ433='check-Jul''26'!BF433,"",'1. Live'!BJ433-'check-Jul''26'!BF433)</f>
        <v/>
      </c>
      <c r="BG415" s="25" t="str">
        <f>IF('1. Live'!BK433='check-Jul''26'!BG433,"",'1. Live'!BK433-'check-Jul''26'!BG433)</f>
        <v/>
      </c>
      <c r="BH415" s="25" t="str">
        <f>IF('1. Live'!BL433='check-Jul''26'!BH433,"",'1. Live'!BL433-'check-Jul''26'!BH433)</f>
        <v/>
      </c>
      <c r="BI415" s="25" t="str">
        <f>IF('1. Live'!BM433='check-Jul''26'!BI433,"",'1. Live'!BM433-'check-Jul''26'!BI433)</f>
        <v/>
      </c>
      <c r="BJ415" s="25" t="str">
        <f>IF('1. Live'!BN433='check-Jul''26'!BJ433,"",'1. Live'!BN433-'check-Jul''26'!BJ433)</f>
        <v/>
      </c>
      <c r="BK415" s="25" t="str">
        <f>IF('1. Live'!BO433='check-Jul''26'!BK433,"",'1. Live'!BO433-'check-Jul''26'!BK433)</f>
        <v/>
      </c>
      <c r="BL415" s="25" t="str">
        <f>IF('1. Live'!BP433='check-Jul''26'!BL433,"",'1. Live'!BP433-'check-Jul''26'!BL433)</f>
        <v/>
      </c>
      <c r="BM415" s="25" t="str">
        <f>IF('1. Live'!BQ433='check-Jul''26'!BM433,"",'1. Live'!BQ433-'check-Jul''26'!BM433)</f>
        <v/>
      </c>
      <c r="BN415" s="25" t="str">
        <f>IF('1. Live'!BR433='check-Jul''26'!BN433,"",'1. Live'!BR433-'check-Jul''26'!BN433)</f>
        <v/>
      </c>
      <c r="BO415" s="25" t="str">
        <f>IF('1. Live'!BS433='check-Jul''26'!BO433,"",'1. Live'!BS433-'check-Jul''26'!BO433)</f>
        <v/>
      </c>
      <c r="BP415" s="25" t="str">
        <f>IF('1. Live'!BT433='check-Jul''26'!BP433,"",'1. Live'!BT433-'check-Jul''26'!BP433)</f>
        <v/>
      </c>
      <c r="BQ415" s="25" t="str">
        <f>IF('1. Live'!BU433='check-Jul''26'!BQ433,"",'1. Live'!BU433-'check-Jul''26'!BQ433)</f>
        <v/>
      </c>
      <c r="BR415" s="25" t="str">
        <f>IF('1. Live'!BV433='check-Jul''26'!BR433,"",'1. Live'!BV433-'check-Jul''26'!BR433)</f>
        <v/>
      </c>
      <c r="BS415" s="25" t="str">
        <f>IF('1. Live'!BW433='check-Jul''26'!BS433,"",'1. Live'!BW433-'check-Jul''26'!BS433)</f>
        <v/>
      </c>
      <c r="BT415" s="25" t="str">
        <f>IF('1. Live'!BX433='check-Jul''26'!BT433,"",'1. Live'!BX433-'check-Jul''26'!BT433)</f>
        <v/>
      </c>
      <c r="BU415" s="25" t="str">
        <f>IF('1. Live'!BY433='check-Jul''26'!BU433,"",'1. Live'!BY433-'check-Jul''26'!BU433)</f>
        <v/>
      </c>
      <c r="BV415" s="25" t="str">
        <f>IF('1. Live'!BZ433='check-Jul''26'!BV433,"",'1. Live'!BZ433-'check-Jul''26'!BV433)</f>
        <v/>
      </c>
      <c r="BW415" s="25" t="str">
        <f>IF('1. Live'!CA433='check-Jul''26'!BW433,"",'1. Live'!CA433-'check-Jul''26'!BW433)</f>
        <v/>
      </c>
      <c r="BX415" s="25" t="str">
        <f>IF('1. Live'!CB433='check-Jul''26'!BX433,"",'1. Live'!CB433-'check-Jul''26'!BX433)</f>
        <v/>
      </c>
      <c r="BY415" s="25" t="str">
        <f>IF('1. Live'!CC433='check-Jul''26'!BY433,"",'1. Live'!CC433-'check-Jul''26'!BY433)</f>
        <v/>
      </c>
      <c r="BZ415" s="25" t="str">
        <f>IF('1. Live'!CD433='check-Jul''26'!BZ433,"",'1. Live'!CD433-'check-Jul''26'!BZ433)</f>
        <v/>
      </c>
      <c r="CA415" s="25" t="str">
        <f>IF('1. Live'!CE433='check-Jul''26'!CA433,"",'1. Live'!CE433-'check-Jul''26'!CA433)</f>
        <v/>
      </c>
      <c r="CB415" s="25" t="str">
        <f>IF('1. Live'!CF433='check-Jul''26'!CB433,"",'1. Live'!CF433-'check-Jul''26'!CB433)</f>
        <v/>
      </c>
      <c r="CC415" s="25" t="str">
        <f>IF('1. Live'!CG433='check-Jul''26'!CC433,"",'1. Live'!CG433-'check-Jul''26'!CC433)</f>
        <v/>
      </c>
      <c r="CD415" s="25" t="str">
        <f>IF('1. Live'!CH433='check-Jul''26'!CD433,"",'1. Live'!CH433-'check-Jul''26'!CD433)</f>
        <v/>
      </c>
      <c r="CE415" s="25" t="str">
        <f>IF('1. Live'!CI433='check-Jul''26'!CE433,"",'1. Live'!CI433-'check-Jul''26'!CE433)</f>
        <v/>
      </c>
      <c r="CF415" s="25" t="str">
        <f>IF('1. Live'!CJ433='check-Jul''26'!CF433,"",'1. Live'!CJ433-'check-Jul''26'!CF433)</f>
        <v/>
      </c>
      <c r="CG415" s="25" t="str">
        <f>IF('1. Live'!CK433='check-Jul''26'!CG433,"",'1. Live'!CK433-'check-Jul''26'!CG433)</f>
        <v/>
      </c>
      <c r="CH415" s="25" t="str">
        <f>IF('1. Live'!CL433='check-Jul''26'!CH433,"",'1. Live'!CL433-'check-Jul''26'!CH433)</f>
        <v/>
      </c>
      <c r="CI415" s="25" t="str">
        <f>IF('1. Live'!CM433='check-Jul''26'!CI433,"",'1. Live'!CM433-'check-Jul''26'!CI433)</f>
        <v/>
      </c>
      <c r="CJ415" s="25" t="str">
        <f>IF('1. Live'!CN433='check-Jul''26'!CJ433,"",'1. Live'!CN433-'check-Jul''26'!CJ433)</f>
        <v/>
      </c>
      <c r="CK415" s="25" t="str">
        <f>IF('1. Live'!CO433='check-Jul''26'!CK433,"",'1. Live'!CO433-'check-Jul''26'!CK433)</f>
        <v/>
      </c>
      <c r="CL415" s="25" t="str">
        <f>IF('1. Live'!CP433='check-Jul''26'!CL433,"",'1. Live'!CP433-'check-Jul''26'!CL433)</f>
        <v/>
      </c>
      <c r="CM415" s="25" t="str">
        <f>IF('1. Live'!CQ433='check-Jul''26'!CM433,"",'1. Live'!CQ433-'check-Jul''26'!CM433)</f>
        <v/>
      </c>
      <c r="CN415" s="25" t="str">
        <f>IF('1. Live'!CR433='check-Jul''26'!CN433,"",'1. Live'!CR433-'check-Jul''26'!CN433)</f>
        <v/>
      </c>
      <c r="CO415" s="25" t="str">
        <f>IF('1. Live'!CS433='check-Jul''26'!CO433,"",'1. Live'!CS433-'check-Jul''26'!CO433)</f>
        <v/>
      </c>
      <c r="CP415" s="25" t="str">
        <f>IF('1. Live'!CT433='check-Jul''26'!CP433,"",'1. Live'!CT433-'check-Jul''26'!CP433)</f>
        <v/>
      </c>
      <c r="CQ415" s="25" t="str">
        <f>IF('1. Live'!CU433='check-Jul''26'!CQ433,"",'1. Live'!CU433-'check-Jul''26'!CQ433)</f>
        <v/>
      </c>
      <c r="CR415" s="25" t="str">
        <f>IF('1. Live'!CV433='check-Jul''26'!CR433,"",'1. Live'!CV433-'check-Jul''26'!CR433)</f>
        <v/>
      </c>
      <c r="CS415" s="25" t="str">
        <f>IF('1. Live'!CW433='check-Jul''26'!CS433,"",'1. Live'!CW433-'check-Jul''26'!CS433)</f>
        <v/>
      </c>
      <c r="CT415" s="25" t="str">
        <f>IF('1. Live'!CX433='check-Jul''26'!CT433,"",'1. Live'!CX433-'check-Jul''26'!CT433)</f>
        <v/>
      </c>
      <c r="CU415" s="25" t="str">
        <f>IF('1. Live'!CY433='check-Jul''26'!CU433,"",'1. Live'!CY433-'check-Jul''26'!CU433)</f>
        <v/>
      </c>
      <c r="CV415" s="25" t="str">
        <f>IF('1. Live'!CZ433='check-Jul''26'!CV433,"",'1. Live'!CZ433-'check-Jul''26'!CV433)</f>
        <v/>
      </c>
    </row>
    <row r="416" spans="17:100" x14ac:dyDescent="0.25">
      <c r="Q416" s="26" t="str">
        <f>IF('1. Live'!N434='check-Jul''26'!I434,"",'1. Live'!N434-'check-Jul''26'!I434)</f>
        <v/>
      </c>
      <c r="R416" s="26" t="str">
        <f>IF('1. Live'!O434='check-Jul''26'!J434,"",'1. Live'!O434-'check-Jul''26'!J434)</f>
        <v/>
      </c>
      <c r="S416" s="26" t="str">
        <f>IF('1. Live'!P434='check-Jul''26'!K434,"",'1. Live'!P434-'check-Jul''26'!K434)</f>
        <v/>
      </c>
      <c r="T416" s="26" t="str">
        <f>IF('1. Live'!Q434='check-Jul''26'!L434,"",'1. Live'!Q434-'check-Jul''26'!L434)</f>
        <v/>
      </c>
      <c r="U416" s="80" t="str">
        <f>IF('1. Live'!R434='check-Jul''26'!M434,"",'1. Live'!R434-'check-Jul''26'!M434)</f>
        <v/>
      </c>
      <c r="V416" s="26" t="str">
        <f>IF('1. Live'!S434='check-Jul''26'!N434,"",'1. Live'!S434-'check-Jul''26'!N434)</f>
        <v/>
      </c>
      <c r="W416" s="25" t="str">
        <f>IF('1. Live'!T434='check-Jul''26'!O434,"",'1. Live'!T434-'check-Jul''26'!O434)</f>
        <v/>
      </c>
      <c r="X416" s="25" t="str">
        <f>IF('1. Live'!U434='check-Jul''26'!Q434,"",'1. Live'!U434-'check-Jul''26'!Q434)</f>
        <v/>
      </c>
      <c r="Y416" s="25" t="str">
        <f>IF('1. Live'!V434='check-Jul''26'!R434,"",'1. Live'!V434-'check-Jul''26'!R434)</f>
        <v/>
      </c>
      <c r="Z416" s="25" t="str">
        <f>IF('1. Live'!W434='check-Jul''26'!S434,"",'1. Live'!W434-'check-Jul''26'!S434)</f>
        <v/>
      </c>
      <c r="AA416" s="25" t="str">
        <f>IF('1. Live'!X434='check-Jul''26'!T434,"",'1. Live'!X434-'check-Jul''26'!T434)</f>
        <v/>
      </c>
      <c r="AB416" s="25" t="str">
        <f>IF('1. Live'!AF434='check-Jul''26'!AB434,"",'1. Live'!AF434-'check-Jul''26'!AB434)</f>
        <v/>
      </c>
      <c r="AC416" s="25" t="str">
        <f>IF('1. Live'!AG434='check-Jul''26'!AC434,"",'1. Live'!AG434-'check-Jul''26'!AC434)</f>
        <v/>
      </c>
      <c r="AD416" s="25" t="str">
        <f>IF('1. Live'!AH434='check-Jul''26'!AD434,"",'1. Live'!AH434-'check-Jul''26'!AD434)</f>
        <v/>
      </c>
      <c r="AE416" s="25" t="str">
        <f>IF('1. Live'!AI434='check-Jul''26'!AE434,"",'1. Live'!AI434-'check-Jul''26'!AE434)</f>
        <v/>
      </c>
      <c r="AF416" s="25" t="str">
        <f>IF('1. Live'!AJ434='check-Jul''26'!AF434,"",'1. Live'!AJ434-'check-Jul''26'!AF434)</f>
        <v/>
      </c>
      <c r="AG416" s="25" t="str">
        <f>IF('1. Live'!AK434='check-Jul''26'!AG434,"",'1. Live'!AK434-'check-Jul''26'!AG434)</f>
        <v/>
      </c>
      <c r="AH416" s="25" t="str">
        <f>IF('1. Live'!AL434='check-Jul''26'!AH434,"",'1. Live'!AL434-'check-Jul''26'!AH434)</f>
        <v/>
      </c>
      <c r="AI416" s="25" t="str">
        <f>IF('1. Live'!AM434='check-Jul''26'!AI434,"",'1. Live'!AM434-'check-Jul''26'!AI434)</f>
        <v/>
      </c>
      <c r="AJ416" s="25" t="str">
        <f>IF('1. Live'!AN434='check-Jul''26'!AJ434,"",'1. Live'!AN434-'check-Jul''26'!AJ434)</f>
        <v/>
      </c>
      <c r="AK416" s="25" t="str">
        <f>IF('1. Live'!AO434='check-Jul''26'!AK434,"",'1. Live'!AO434-'check-Jul''26'!AK434)</f>
        <v/>
      </c>
      <c r="AL416" s="25" t="str">
        <f>IF('1. Live'!AP434='check-Jul''26'!AL434,"",'1. Live'!AP434-'check-Jul''26'!AL434)</f>
        <v/>
      </c>
      <c r="AM416" s="25" t="str">
        <f>IF('1. Live'!AQ434='check-Jul''26'!AM434,"",'1. Live'!AQ434-'check-Jul''26'!AM434)</f>
        <v/>
      </c>
      <c r="AN416" s="25" t="str">
        <f>IF('1. Live'!AR434='check-Jul''26'!AN434,"",'1. Live'!AR434-'check-Jul''26'!AN434)</f>
        <v/>
      </c>
      <c r="AO416" s="25" t="str">
        <f>IF('1. Live'!AS434='check-Jul''26'!AO434,"",'1. Live'!AS434-'check-Jul''26'!AO434)</f>
        <v/>
      </c>
      <c r="AP416" s="25" t="str">
        <f>IF('1. Live'!AT434='check-Jul''26'!AP434,"",'1. Live'!AT434-'check-Jul''26'!AP434)</f>
        <v/>
      </c>
      <c r="AQ416" s="25" t="str">
        <f>IF('1. Live'!AU434='check-Jul''26'!AQ434,"",'1. Live'!AU434-'check-Jul''26'!AQ434)</f>
        <v/>
      </c>
      <c r="AR416" s="25" t="str">
        <f>IF('1. Live'!AV434='check-Jul''26'!AR434,"",'1. Live'!AV434-'check-Jul''26'!AR434)</f>
        <v/>
      </c>
      <c r="AS416" s="25" t="str">
        <f>IF('1. Live'!AW434='check-Jul''26'!AS434,"",'1. Live'!AW434-'check-Jul''26'!AS434)</f>
        <v/>
      </c>
      <c r="AT416" s="25" t="str">
        <f>IF('1. Live'!AX434='check-Jul''26'!AT434,"",'1. Live'!AX434-'check-Jul''26'!AT434)</f>
        <v/>
      </c>
      <c r="AU416" s="25" t="str">
        <f>IF('1. Live'!AY434='check-Jul''26'!AU434,"",'1. Live'!AY434-'check-Jul''26'!AU434)</f>
        <v/>
      </c>
      <c r="AV416" s="25" t="str">
        <f>IF('1. Live'!AZ434='check-Jul''26'!AV434,"",'1. Live'!AZ434-'check-Jul''26'!AV434)</f>
        <v/>
      </c>
      <c r="AW416" s="25" t="str">
        <f>IF('1. Live'!BA434='check-Jul''26'!AW434,"",'1. Live'!BA434-'check-Jul''26'!AW434)</f>
        <v/>
      </c>
      <c r="AX416" s="25" t="str">
        <f>IF('1. Live'!BB434='check-Jul''26'!AX434,"",'1. Live'!BB434-'check-Jul''26'!AX434)</f>
        <v/>
      </c>
      <c r="AY416" s="25" t="str">
        <f>IF('1. Live'!BC434='check-Jul''26'!AY434,"",'1. Live'!BC434-'check-Jul''26'!AY434)</f>
        <v/>
      </c>
      <c r="AZ416" s="25" t="str">
        <f>IF('1. Live'!BD434='check-Jul''26'!AZ434,"",'1. Live'!BD434-'check-Jul''26'!AZ434)</f>
        <v/>
      </c>
      <c r="BA416" s="25" t="str">
        <f>IF('1. Live'!BE434='check-Jul''26'!BA434,"",'1. Live'!BE434-'check-Jul''26'!BA434)</f>
        <v/>
      </c>
      <c r="BB416" s="25" t="str">
        <f>IF('1. Live'!BF434='check-Jul''26'!BB434,"",'1. Live'!BF434-'check-Jul''26'!BB434)</f>
        <v/>
      </c>
      <c r="BC416" s="25" t="str">
        <f>IF('1. Live'!BG434='check-Jul''26'!BC434,"",'1. Live'!BG434-'check-Jul''26'!BC434)</f>
        <v/>
      </c>
      <c r="BD416" s="25" t="str">
        <f>IF('1. Live'!BH434='check-Jul''26'!BD434,"",'1. Live'!BH434-'check-Jul''26'!BD434)</f>
        <v/>
      </c>
      <c r="BE416" s="25" t="str">
        <f>IF('1. Live'!BI434='check-Jul''26'!BE434,"",'1. Live'!BI434-'check-Jul''26'!BE434)</f>
        <v/>
      </c>
      <c r="BF416" s="25" t="str">
        <f>IF('1. Live'!BJ434='check-Jul''26'!BF434,"",'1. Live'!BJ434-'check-Jul''26'!BF434)</f>
        <v/>
      </c>
      <c r="BG416" s="25" t="str">
        <f>IF('1. Live'!BK434='check-Jul''26'!BG434,"",'1. Live'!BK434-'check-Jul''26'!BG434)</f>
        <v/>
      </c>
      <c r="BH416" s="25" t="str">
        <f>IF('1. Live'!BL434='check-Jul''26'!BH434,"",'1. Live'!BL434-'check-Jul''26'!BH434)</f>
        <v/>
      </c>
      <c r="BI416" s="25" t="str">
        <f>IF('1. Live'!BM434='check-Jul''26'!BI434,"",'1. Live'!BM434-'check-Jul''26'!BI434)</f>
        <v/>
      </c>
      <c r="BJ416" s="25" t="str">
        <f>IF('1. Live'!BN434='check-Jul''26'!BJ434,"",'1. Live'!BN434-'check-Jul''26'!BJ434)</f>
        <v/>
      </c>
      <c r="BK416" s="25" t="str">
        <f>IF('1. Live'!BO434='check-Jul''26'!BK434,"",'1. Live'!BO434-'check-Jul''26'!BK434)</f>
        <v/>
      </c>
      <c r="BL416" s="25" t="str">
        <f>IF('1. Live'!BP434='check-Jul''26'!BL434,"",'1. Live'!BP434-'check-Jul''26'!BL434)</f>
        <v/>
      </c>
      <c r="BM416" s="25" t="str">
        <f>IF('1. Live'!BQ434='check-Jul''26'!BM434,"",'1. Live'!BQ434-'check-Jul''26'!BM434)</f>
        <v/>
      </c>
      <c r="BN416" s="25" t="str">
        <f>IF('1. Live'!BR434='check-Jul''26'!BN434,"",'1. Live'!BR434-'check-Jul''26'!BN434)</f>
        <v/>
      </c>
      <c r="BO416" s="25" t="str">
        <f>IF('1. Live'!BS434='check-Jul''26'!BO434,"",'1. Live'!BS434-'check-Jul''26'!BO434)</f>
        <v/>
      </c>
      <c r="BP416" s="25" t="str">
        <f>IF('1. Live'!BT434='check-Jul''26'!BP434,"",'1. Live'!BT434-'check-Jul''26'!BP434)</f>
        <v/>
      </c>
      <c r="BQ416" s="25" t="str">
        <f>IF('1. Live'!BU434='check-Jul''26'!BQ434,"",'1. Live'!BU434-'check-Jul''26'!BQ434)</f>
        <v/>
      </c>
      <c r="BR416" s="25" t="str">
        <f>IF('1. Live'!BV434='check-Jul''26'!BR434,"",'1. Live'!BV434-'check-Jul''26'!BR434)</f>
        <v/>
      </c>
      <c r="BS416" s="25" t="str">
        <f>IF('1. Live'!BW434='check-Jul''26'!BS434,"",'1. Live'!BW434-'check-Jul''26'!BS434)</f>
        <v/>
      </c>
      <c r="BT416" s="25" t="str">
        <f>IF('1. Live'!BX434='check-Jul''26'!BT434,"",'1. Live'!BX434-'check-Jul''26'!BT434)</f>
        <v/>
      </c>
      <c r="BU416" s="25" t="str">
        <f>IF('1. Live'!BY434='check-Jul''26'!BU434,"",'1. Live'!BY434-'check-Jul''26'!BU434)</f>
        <v/>
      </c>
      <c r="BV416" s="25" t="str">
        <f>IF('1. Live'!BZ434='check-Jul''26'!BV434,"",'1. Live'!BZ434-'check-Jul''26'!BV434)</f>
        <v/>
      </c>
      <c r="BW416" s="25" t="str">
        <f>IF('1. Live'!CA434='check-Jul''26'!BW434,"",'1. Live'!CA434-'check-Jul''26'!BW434)</f>
        <v/>
      </c>
      <c r="BX416" s="25" t="str">
        <f>IF('1. Live'!CB434='check-Jul''26'!BX434,"",'1. Live'!CB434-'check-Jul''26'!BX434)</f>
        <v/>
      </c>
      <c r="BY416" s="25" t="str">
        <f>IF('1. Live'!CC434='check-Jul''26'!BY434,"",'1. Live'!CC434-'check-Jul''26'!BY434)</f>
        <v/>
      </c>
      <c r="BZ416" s="25" t="str">
        <f>IF('1. Live'!CD434='check-Jul''26'!BZ434,"",'1. Live'!CD434-'check-Jul''26'!BZ434)</f>
        <v/>
      </c>
      <c r="CA416" s="25" t="str">
        <f>IF('1. Live'!CE434='check-Jul''26'!CA434,"",'1. Live'!CE434-'check-Jul''26'!CA434)</f>
        <v/>
      </c>
      <c r="CB416" s="25" t="str">
        <f>IF('1. Live'!CF434='check-Jul''26'!CB434,"",'1. Live'!CF434-'check-Jul''26'!CB434)</f>
        <v/>
      </c>
      <c r="CC416" s="25" t="str">
        <f>IF('1. Live'!CG434='check-Jul''26'!CC434,"",'1. Live'!CG434-'check-Jul''26'!CC434)</f>
        <v/>
      </c>
      <c r="CD416" s="25" t="str">
        <f>IF('1. Live'!CH434='check-Jul''26'!CD434,"",'1. Live'!CH434-'check-Jul''26'!CD434)</f>
        <v/>
      </c>
      <c r="CE416" s="25" t="str">
        <f>IF('1. Live'!CI434='check-Jul''26'!CE434,"",'1. Live'!CI434-'check-Jul''26'!CE434)</f>
        <v/>
      </c>
      <c r="CF416" s="25" t="str">
        <f>IF('1. Live'!CJ434='check-Jul''26'!CF434,"",'1. Live'!CJ434-'check-Jul''26'!CF434)</f>
        <v/>
      </c>
      <c r="CG416" s="25" t="str">
        <f>IF('1. Live'!CK434='check-Jul''26'!CG434,"",'1. Live'!CK434-'check-Jul''26'!CG434)</f>
        <v/>
      </c>
      <c r="CH416" s="25" t="str">
        <f>IF('1. Live'!CL434='check-Jul''26'!CH434,"",'1. Live'!CL434-'check-Jul''26'!CH434)</f>
        <v/>
      </c>
      <c r="CI416" s="25" t="str">
        <f>IF('1. Live'!CM434='check-Jul''26'!CI434,"",'1. Live'!CM434-'check-Jul''26'!CI434)</f>
        <v/>
      </c>
      <c r="CJ416" s="25" t="str">
        <f>IF('1. Live'!CN434='check-Jul''26'!CJ434,"",'1. Live'!CN434-'check-Jul''26'!CJ434)</f>
        <v/>
      </c>
      <c r="CK416" s="25" t="str">
        <f>IF('1. Live'!CO434='check-Jul''26'!CK434,"",'1. Live'!CO434-'check-Jul''26'!CK434)</f>
        <v/>
      </c>
      <c r="CL416" s="25" t="str">
        <f>IF('1. Live'!CP434='check-Jul''26'!CL434,"",'1. Live'!CP434-'check-Jul''26'!CL434)</f>
        <v/>
      </c>
      <c r="CM416" s="25" t="str">
        <f>IF('1. Live'!CQ434='check-Jul''26'!CM434,"",'1. Live'!CQ434-'check-Jul''26'!CM434)</f>
        <v/>
      </c>
      <c r="CN416" s="25" t="str">
        <f>IF('1. Live'!CR434='check-Jul''26'!CN434,"",'1. Live'!CR434-'check-Jul''26'!CN434)</f>
        <v/>
      </c>
      <c r="CO416" s="25" t="str">
        <f>IF('1. Live'!CS434='check-Jul''26'!CO434,"",'1. Live'!CS434-'check-Jul''26'!CO434)</f>
        <v/>
      </c>
      <c r="CP416" s="25" t="str">
        <f>IF('1. Live'!CT434='check-Jul''26'!CP434,"",'1. Live'!CT434-'check-Jul''26'!CP434)</f>
        <v/>
      </c>
      <c r="CQ416" s="25" t="str">
        <f>IF('1. Live'!CU434='check-Jul''26'!CQ434,"",'1. Live'!CU434-'check-Jul''26'!CQ434)</f>
        <v/>
      </c>
      <c r="CR416" s="25" t="str">
        <f>IF('1. Live'!CV434='check-Jul''26'!CR434,"",'1. Live'!CV434-'check-Jul''26'!CR434)</f>
        <v/>
      </c>
      <c r="CS416" s="25" t="str">
        <f>IF('1. Live'!CW434='check-Jul''26'!CS434,"",'1. Live'!CW434-'check-Jul''26'!CS434)</f>
        <v/>
      </c>
      <c r="CT416" s="25" t="str">
        <f>IF('1. Live'!CX434='check-Jul''26'!CT434,"",'1. Live'!CX434-'check-Jul''26'!CT434)</f>
        <v/>
      </c>
      <c r="CU416" s="25" t="str">
        <f>IF('1. Live'!CY434='check-Jul''26'!CU434,"",'1. Live'!CY434-'check-Jul''26'!CU434)</f>
        <v/>
      </c>
      <c r="CV416" s="25" t="str">
        <f>IF('1. Live'!CZ434='check-Jul''26'!CV434,"",'1. Live'!CZ434-'check-Jul''26'!CV434)</f>
        <v/>
      </c>
    </row>
    <row r="417" spans="17:100" x14ac:dyDescent="0.25">
      <c r="Q417" s="26" t="str">
        <f>IF('1. Live'!N435='check-Jul''26'!I435,"",'1. Live'!N435-'check-Jul''26'!I435)</f>
        <v/>
      </c>
      <c r="R417" s="26" t="str">
        <f>IF('1. Live'!O435='check-Jul''26'!J435,"",'1. Live'!O435-'check-Jul''26'!J435)</f>
        <v/>
      </c>
      <c r="S417" s="26" t="str">
        <f>IF('1. Live'!P435='check-Jul''26'!K435,"",'1. Live'!P435-'check-Jul''26'!K435)</f>
        <v/>
      </c>
      <c r="T417" s="26" t="str">
        <f>IF('1. Live'!Q435='check-Jul''26'!L435,"",'1. Live'!Q435-'check-Jul''26'!L435)</f>
        <v/>
      </c>
      <c r="U417" s="80" t="str">
        <f>IF('1. Live'!R435='check-Jul''26'!M435,"",'1. Live'!R435-'check-Jul''26'!M435)</f>
        <v/>
      </c>
      <c r="V417" s="26" t="str">
        <f>IF('1. Live'!S435='check-Jul''26'!N435,"",'1. Live'!S435-'check-Jul''26'!N435)</f>
        <v/>
      </c>
      <c r="W417" s="25" t="str">
        <f>IF('1. Live'!T435='check-Jul''26'!O435,"",'1. Live'!T435-'check-Jul''26'!O435)</f>
        <v/>
      </c>
      <c r="X417" s="25" t="str">
        <f>IF('1. Live'!U435='check-Jul''26'!Q435,"",'1. Live'!U435-'check-Jul''26'!Q435)</f>
        <v/>
      </c>
      <c r="Y417" s="25" t="str">
        <f>IF('1. Live'!V435='check-Jul''26'!R435,"",'1. Live'!V435-'check-Jul''26'!R435)</f>
        <v/>
      </c>
      <c r="Z417" s="25" t="str">
        <f>IF('1. Live'!W435='check-Jul''26'!S435,"",'1. Live'!W435-'check-Jul''26'!S435)</f>
        <v/>
      </c>
      <c r="AA417" s="25" t="str">
        <f>IF('1. Live'!X435='check-Jul''26'!T435,"",'1. Live'!X435-'check-Jul''26'!T435)</f>
        <v/>
      </c>
      <c r="AB417" s="25" t="str">
        <f>IF('1. Live'!AF435='check-Jul''26'!AB435,"",'1. Live'!AF435-'check-Jul''26'!AB435)</f>
        <v/>
      </c>
      <c r="AC417" s="25" t="str">
        <f>IF('1. Live'!AG435='check-Jul''26'!AC435,"",'1. Live'!AG435-'check-Jul''26'!AC435)</f>
        <v/>
      </c>
      <c r="AD417" s="25" t="str">
        <f>IF('1. Live'!AH435='check-Jul''26'!AD435,"",'1. Live'!AH435-'check-Jul''26'!AD435)</f>
        <v/>
      </c>
      <c r="AE417" s="25" t="str">
        <f>IF('1. Live'!AI435='check-Jul''26'!AE435,"",'1. Live'!AI435-'check-Jul''26'!AE435)</f>
        <v/>
      </c>
      <c r="AF417" s="25" t="str">
        <f>IF('1. Live'!AJ435='check-Jul''26'!AF435,"",'1. Live'!AJ435-'check-Jul''26'!AF435)</f>
        <v/>
      </c>
      <c r="AG417" s="25" t="str">
        <f>IF('1. Live'!AK435='check-Jul''26'!AG435,"",'1. Live'!AK435-'check-Jul''26'!AG435)</f>
        <v/>
      </c>
      <c r="AH417" s="25" t="str">
        <f>IF('1. Live'!AL435='check-Jul''26'!AH435,"",'1. Live'!AL435-'check-Jul''26'!AH435)</f>
        <v/>
      </c>
      <c r="AI417" s="25" t="str">
        <f>IF('1. Live'!AM435='check-Jul''26'!AI435,"",'1. Live'!AM435-'check-Jul''26'!AI435)</f>
        <v/>
      </c>
      <c r="AJ417" s="25" t="str">
        <f>IF('1. Live'!AN435='check-Jul''26'!AJ435,"",'1. Live'!AN435-'check-Jul''26'!AJ435)</f>
        <v/>
      </c>
      <c r="AK417" s="25" t="str">
        <f>IF('1. Live'!AO435='check-Jul''26'!AK435,"",'1. Live'!AO435-'check-Jul''26'!AK435)</f>
        <v/>
      </c>
      <c r="AL417" s="25" t="str">
        <f>IF('1. Live'!AP435='check-Jul''26'!AL435,"",'1. Live'!AP435-'check-Jul''26'!AL435)</f>
        <v/>
      </c>
      <c r="AM417" s="25" t="str">
        <f>IF('1. Live'!AQ435='check-Jul''26'!AM435,"",'1. Live'!AQ435-'check-Jul''26'!AM435)</f>
        <v/>
      </c>
      <c r="AN417" s="25" t="str">
        <f>IF('1. Live'!AR435='check-Jul''26'!AN435,"",'1. Live'!AR435-'check-Jul''26'!AN435)</f>
        <v/>
      </c>
      <c r="AO417" s="25" t="str">
        <f>IF('1. Live'!AS435='check-Jul''26'!AO435,"",'1. Live'!AS435-'check-Jul''26'!AO435)</f>
        <v/>
      </c>
      <c r="AP417" s="25" t="str">
        <f>IF('1. Live'!AT435='check-Jul''26'!AP435,"",'1. Live'!AT435-'check-Jul''26'!AP435)</f>
        <v/>
      </c>
      <c r="AQ417" s="25" t="str">
        <f>IF('1. Live'!AU435='check-Jul''26'!AQ435,"",'1. Live'!AU435-'check-Jul''26'!AQ435)</f>
        <v/>
      </c>
      <c r="AR417" s="25" t="str">
        <f>IF('1. Live'!AV435='check-Jul''26'!AR435,"",'1. Live'!AV435-'check-Jul''26'!AR435)</f>
        <v/>
      </c>
      <c r="AS417" s="25" t="str">
        <f>IF('1. Live'!AW435='check-Jul''26'!AS435,"",'1. Live'!AW435-'check-Jul''26'!AS435)</f>
        <v/>
      </c>
      <c r="AT417" s="25" t="str">
        <f>IF('1. Live'!AX435='check-Jul''26'!AT435,"",'1. Live'!AX435-'check-Jul''26'!AT435)</f>
        <v/>
      </c>
      <c r="AU417" s="25" t="str">
        <f>IF('1. Live'!AY435='check-Jul''26'!AU435,"",'1. Live'!AY435-'check-Jul''26'!AU435)</f>
        <v/>
      </c>
      <c r="AV417" s="25" t="str">
        <f>IF('1. Live'!AZ435='check-Jul''26'!AV435,"",'1. Live'!AZ435-'check-Jul''26'!AV435)</f>
        <v/>
      </c>
      <c r="AW417" s="25" t="str">
        <f>IF('1. Live'!BA435='check-Jul''26'!AW435,"",'1. Live'!BA435-'check-Jul''26'!AW435)</f>
        <v/>
      </c>
      <c r="AX417" s="25" t="str">
        <f>IF('1. Live'!BB435='check-Jul''26'!AX435,"",'1. Live'!BB435-'check-Jul''26'!AX435)</f>
        <v/>
      </c>
      <c r="AY417" s="25" t="str">
        <f>IF('1. Live'!BC435='check-Jul''26'!AY435,"",'1. Live'!BC435-'check-Jul''26'!AY435)</f>
        <v/>
      </c>
      <c r="AZ417" s="25" t="str">
        <f>IF('1. Live'!BD435='check-Jul''26'!AZ435,"",'1. Live'!BD435-'check-Jul''26'!AZ435)</f>
        <v/>
      </c>
      <c r="BA417" s="25" t="str">
        <f>IF('1. Live'!BE435='check-Jul''26'!BA435,"",'1. Live'!BE435-'check-Jul''26'!BA435)</f>
        <v/>
      </c>
      <c r="BB417" s="25" t="str">
        <f>IF('1. Live'!BF435='check-Jul''26'!BB435,"",'1. Live'!BF435-'check-Jul''26'!BB435)</f>
        <v/>
      </c>
      <c r="BC417" s="25" t="str">
        <f>IF('1. Live'!BG435='check-Jul''26'!BC435,"",'1. Live'!BG435-'check-Jul''26'!BC435)</f>
        <v/>
      </c>
      <c r="BD417" s="25" t="str">
        <f>IF('1. Live'!BH435='check-Jul''26'!BD435,"",'1. Live'!BH435-'check-Jul''26'!BD435)</f>
        <v/>
      </c>
      <c r="BE417" s="25" t="str">
        <f>IF('1. Live'!BI435='check-Jul''26'!BE435,"",'1. Live'!BI435-'check-Jul''26'!BE435)</f>
        <v/>
      </c>
      <c r="BF417" s="25" t="str">
        <f>IF('1. Live'!BJ435='check-Jul''26'!BF435,"",'1. Live'!BJ435-'check-Jul''26'!BF435)</f>
        <v/>
      </c>
      <c r="BG417" s="25" t="str">
        <f>IF('1. Live'!BK435='check-Jul''26'!BG435,"",'1. Live'!BK435-'check-Jul''26'!BG435)</f>
        <v/>
      </c>
      <c r="BH417" s="25" t="str">
        <f>IF('1. Live'!BL435='check-Jul''26'!BH435,"",'1. Live'!BL435-'check-Jul''26'!BH435)</f>
        <v/>
      </c>
      <c r="BI417" s="25" t="str">
        <f>IF('1. Live'!BM435='check-Jul''26'!BI435,"",'1. Live'!BM435-'check-Jul''26'!BI435)</f>
        <v/>
      </c>
      <c r="BJ417" s="25" t="str">
        <f>IF('1. Live'!BN435='check-Jul''26'!BJ435,"",'1. Live'!BN435-'check-Jul''26'!BJ435)</f>
        <v/>
      </c>
      <c r="BK417" s="25" t="str">
        <f>IF('1. Live'!BO435='check-Jul''26'!BK435,"",'1. Live'!BO435-'check-Jul''26'!BK435)</f>
        <v/>
      </c>
      <c r="BL417" s="25" t="str">
        <f>IF('1. Live'!BP435='check-Jul''26'!BL435,"",'1. Live'!BP435-'check-Jul''26'!BL435)</f>
        <v/>
      </c>
      <c r="BM417" s="25" t="str">
        <f>IF('1. Live'!BQ435='check-Jul''26'!BM435,"",'1. Live'!BQ435-'check-Jul''26'!BM435)</f>
        <v/>
      </c>
      <c r="BN417" s="25" t="str">
        <f>IF('1. Live'!BR435='check-Jul''26'!BN435,"",'1. Live'!BR435-'check-Jul''26'!BN435)</f>
        <v/>
      </c>
      <c r="BO417" s="25" t="str">
        <f>IF('1. Live'!BS435='check-Jul''26'!BO435,"",'1. Live'!BS435-'check-Jul''26'!BO435)</f>
        <v/>
      </c>
      <c r="BP417" s="25" t="str">
        <f>IF('1. Live'!BT435='check-Jul''26'!BP435,"",'1. Live'!BT435-'check-Jul''26'!BP435)</f>
        <v/>
      </c>
      <c r="BQ417" s="25" t="str">
        <f>IF('1. Live'!BU435='check-Jul''26'!BQ435,"",'1. Live'!BU435-'check-Jul''26'!BQ435)</f>
        <v/>
      </c>
      <c r="BR417" s="25" t="str">
        <f>IF('1. Live'!BV435='check-Jul''26'!BR435,"",'1. Live'!BV435-'check-Jul''26'!BR435)</f>
        <v/>
      </c>
      <c r="BS417" s="25" t="str">
        <f>IF('1. Live'!BW435='check-Jul''26'!BS435,"",'1. Live'!BW435-'check-Jul''26'!BS435)</f>
        <v/>
      </c>
      <c r="BT417" s="25" t="str">
        <f>IF('1. Live'!BX435='check-Jul''26'!BT435,"",'1. Live'!BX435-'check-Jul''26'!BT435)</f>
        <v/>
      </c>
      <c r="BU417" s="25" t="str">
        <f>IF('1. Live'!BY435='check-Jul''26'!BU435,"",'1. Live'!BY435-'check-Jul''26'!BU435)</f>
        <v/>
      </c>
      <c r="BV417" s="25" t="str">
        <f>IF('1. Live'!BZ435='check-Jul''26'!BV435,"",'1. Live'!BZ435-'check-Jul''26'!BV435)</f>
        <v/>
      </c>
      <c r="BW417" s="25" t="str">
        <f>IF('1. Live'!CA435='check-Jul''26'!BW435,"",'1. Live'!CA435-'check-Jul''26'!BW435)</f>
        <v/>
      </c>
      <c r="BX417" s="25" t="str">
        <f>IF('1. Live'!CB435='check-Jul''26'!BX435,"",'1. Live'!CB435-'check-Jul''26'!BX435)</f>
        <v/>
      </c>
      <c r="BY417" s="25" t="str">
        <f>IF('1. Live'!CC435='check-Jul''26'!BY435,"",'1. Live'!CC435-'check-Jul''26'!BY435)</f>
        <v/>
      </c>
      <c r="BZ417" s="25" t="str">
        <f>IF('1. Live'!CD435='check-Jul''26'!BZ435,"",'1. Live'!CD435-'check-Jul''26'!BZ435)</f>
        <v/>
      </c>
      <c r="CA417" s="25" t="str">
        <f>IF('1. Live'!CE435='check-Jul''26'!CA435,"",'1. Live'!CE435-'check-Jul''26'!CA435)</f>
        <v/>
      </c>
      <c r="CB417" s="25" t="str">
        <f>IF('1. Live'!CF435='check-Jul''26'!CB435,"",'1. Live'!CF435-'check-Jul''26'!CB435)</f>
        <v/>
      </c>
      <c r="CC417" s="25" t="str">
        <f>IF('1. Live'!CG435='check-Jul''26'!CC435,"",'1. Live'!CG435-'check-Jul''26'!CC435)</f>
        <v/>
      </c>
      <c r="CD417" s="25" t="str">
        <f>IF('1. Live'!CH435='check-Jul''26'!CD435,"",'1. Live'!CH435-'check-Jul''26'!CD435)</f>
        <v/>
      </c>
      <c r="CE417" s="25" t="str">
        <f>IF('1. Live'!CI435='check-Jul''26'!CE435,"",'1. Live'!CI435-'check-Jul''26'!CE435)</f>
        <v/>
      </c>
      <c r="CF417" s="25" t="str">
        <f>IF('1. Live'!CJ435='check-Jul''26'!CF435,"",'1. Live'!CJ435-'check-Jul''26'!CF435)</f>
        <v/>
      </c>
      <c r="CG417" s="25" t="str">
        <f>IF('1. Live'!CK435='check-Jul''26'!CG435,"",'1. Live'!CK435-'check-Jul''26'!CG435)</f>
        <v/>
      </c>
      <c r="CH417" s="25" t="str">
        <f>IF('1. Live'!CL435='check-Jul''26'!CH435,"",'1. Live'!CL435-'check-Jul''26'!CH435)</f>
        <v/>
      </c>
      <c r="CI417" s="25" t="str">
        <f>IF('1. Live'!CM435='check-Jul''26'!CI435,"",'1. Live'!CM435-'check-Jul''26'!CI435)</f>
        <v/>
      </c>
      <c r="CJ417" s="25" t="str">
        <f>IF('1. Live'!CN435='check-Jul''26'!CJ435,"",'1. Live'!CN435-'check-Jul''26'!CJ435)</f>
        <v/>
      </c>
      <c r="CK417" s="25" t="str">
        <f>IF('1. Live'!CO435='check-Jul''26'!CK435,"",'1. Live'!CO435-'check-Jul''26'!CK435)</f>
        <v/>
      </c>
      <c r="CL417" s="25" t="str">
        <f>IF('1. Live'!CP435='check-Jul''26'!CL435,"",'1. Live'!CP435-'check-Jul''26'!CL435)</f>
        <v/>
      </c>
      <c r="CM417" s="25" t="str">
        <f>IF('1. Live'!CQ435='check-Jul''26'!CM435,"",'1. Live'!CQ435-'check-Jul''26'!CM435)</f>
        <v/>
      </c>
      <c r="CN417" s="25" t="str">
        <f>IF('1. Live'!CR435='check-Jul''26'!CN435,"",'1. Live'!CR435-'check-Jul''26'!CN435)</f>
        <v/>
      </c>
      <c r="CO417" s="25" t="str">
        <f>IF('1. Live'!CS435='check-Jul''26'!CO435,"",'1. Live'!CS435-'check-Jul''26'!CO435)</f>
        <v/>
      </c>
      <c r="CP417" s="25" t="str">
        <f>IF('1. Live'!CT435='check-Jul''26'!CP435,"",'1. Live'!CT435-'check-Jul''26'!CP435)</f>
        <v/>
      </c>
      <c r="CQ417" s="25" t="str">
        <f>IF('1. Live'!CU435='check-Jul''26'!CQ435,"",'1. Live'!CU435-'check-Jul''26'!CQ435)</f>
        <v/>
      </c>
      <c r="CR417" s="25" t="str">
        <f>IF('1. Live'!CV435='check-Jul''26'!CR435,"",'1. Live'!CV435-'check-Jul''26'!CR435)</f>
        <v/>
      </c>
      <c r="CS417" s="25" t="str">
        <f>IF('1. Live'!CW435='check-Jul''26'!CS435,"",'1. Live'!CW435-'check-Jul''26'!CS435)</f>
        <v/>
      </c>
      <c r="CT417" s="25" t="str">
        <f>IF('1. Live'!CX435='check-Jul''26'!CT435,"",'1. Live'!CX435-'check-Jul''26'!CT435)</f>
        <v/>
      </c>
      <c r="CU417" s="25" t="str">
        <f>IF('1. Live'!CY435='check-Jul''26'!CU435,"",'1. Live'!CY435-'check-Jul''26'!CU435)</f>
        <v/>
      </c>
      <c r="CV417" s="25" t="str">
        <f>IF('1. Live'!CZ435='check-Jul''26'!CV435,"",'1. Live'!CZ435-'check-Jul''26'!CV435)</f>
        <v/>
      </c>
    </row>
    <row r="418" spans="17:100" x14ac:dyDescent="0.25">
      <c r="Q418" s="26" t="str">
        <f>IF('1. Live'!N436='check-Jul''26'!I436,"",'1. Live'!N436-'check-Jul''26'!I436)</f>
        <v/>
      </c>
      <c r="R418" s="26" t="str">
        <f>IF('1. Live'!O436='check-Jul''26'!J436,"",'1. Live'!O436-'check-Jul''26'!J436)</f>
        <v/>
      </c>
      <c r="S418" s="26" t="str">
        <f>IF('1. Live'!P436='check-Jul''26'!K436,"",'1. Live'!P436-'check-Jul''26'!K436)</f>
        <v/>
      </c>
      <c r="T418" s="26" t="str">
        <f>IF('1. Live'!Q436='check-Jul''26'!L436,"",'1. Live'!Q436-'check-Jul''26'!L436)</f>
        <v/>
      </c>
      <c r="U418" s="80" t="str">
        <f>IF('1. Live'!R436='check-Jul''26'!M436,"",'1. Live'!R436-'check-Jul''26'!M436)</f>
        <v/>
      </c>
      <c r="V418" s="26" t="str">
        <f>IF('1. Live'!S436='check-Jul''26'!N436,"",'1. Live'!S436-'check-Jul''26'!N436)</f>
        <v/>
      </c>
      <c r="W418" s="25" t="str">
        <f>IF('1. Live'!T436='check-Jul''26'!O436,"",'1. Live'!T436-'check-Jul''26'!O436)</f>
        <v/>
      </c>
      <c r="X418" s="25" t="str">
        <f>IF('1. Live'!U436='check-Jul''26'!Q436,"",'1. Live'!U436-'check-Jul''26'!Q436)</f>
        <v/>
      </c>
      <c r="Y418" s="25" t="str">
        <f>IF('1. Live'!V436='check-Jul''26'!R436,"",'1. Live'!V436-'check-Jul''26'!R436)</f>
        <v/>
      </c>
      <c r="Z418" s="25" t="str">
        <f>IF('1. Live'!W436='check-Jul''26'!S436,"",'1. Live'!W436-'check-Jul''26'!S436)</f>
        <v/>
      </c>
      <c r="AA418" s="25" t="str">
        <f>IF('1. Live'!X436='check-Jul''26'!T436,"",'1. Live'!X436-'check-Jul''26'!T436)</f>
        <v/>
      </c>
      <c r="AB418" s="25" t="str">
        <f>IF('1. Live'!AF436='check-Jul''26'!AB436,"",'1. Live'!AF436-'check-Jul''26'!AB436)</f>
        <v/>
      </c>
      <c r="AC418" s="25" t="str">
        <f>IF('1. Live'!AG436='check-Jul''26'!AC436,"",'1. Live'!AG436-'check-Jul''26'!AC436)</f>
        <v/>
      </c>
      <c r="AD418" s="25" t="str">
        <f>IF('1. Live'!AH436='check-Jul''26'!AD436,"",'1. Live'!AH436-'check-Jul''26'!AD436)</f>
        <v/>
      </c>
      <c r="AE418" s="25" t="str">
        <f>IF('1. Live'!AI436='check-Jul''26'!AE436,"",'1. Live'!AI436-'check-Jul''26'!AE436)</f>
        <v/>
      </c>
      <c r="AF418" s="25" t="str">
        <f>IF('1. Live'!AJ436='check-Jul''26'!AF436,"",'1. Live'!AJ436-'check-Jul''26'!AF436)</f>
        <v/>
      </c>
      <c r="AG418" s="25" t="str">
        <f>IF('1. Live'!AK436='check-Jul''26'!AG436,"",'1. Live'!AK436-'check-Jul''26'!AG436)</f>
        <v/>
      </c>
      <c r="AH418" s="25" t="str">
        <f>IF('1. Live'!AL436='check-Jul''26'!AH436,"",'1. Live'!AL436-'check-Jul''26'!AH436)</f>
        <v/>
      </c>
      <c r="AI418" s="25" t="str">
        <f>IF('1. Live'!AM436='check-Jul''26'!AI436,"",'1. Live'!AM436-'check-Jul''26'!AI436)</f>
        <v/>
      </c>
      <c r="AJ418" s="25" t="str">
        <f>IF('1. Live'!AN436='check-Jul''26'!AJ436,"",'1. Live'!AN436-'check-Jul''26'!AJ436)</f>
        <v/>
      </c>
      <c r="AK418" s="25" t="str">
        <f>IF('1. Live'!AO436='check-Jul''26'!AK436,"",'1. Live'!AO436-'check-Jul''26'!AK436)</f>
        <v/>
      </c>
      <c r="AL418" s="25" t="str">
        <f>IF('1. Live'!AP436='check-Jul''26'!AL436,"",'1. Live'!AP436-'check-Jul''26'!AL436)</f>
        <v/>
      </c>
      <c r="AM418" s="25" t="str">
        <f>IF('1. Live'!AQ436='check-Jul''26'!AM436,"",'1. Live'!AQ436-'check-Jul''26'!AM436)</f>
        <v/>
      </c>
      <c r="AN418" s="25" t="str">
        <f>IF('1. Live'!AR436='check-Jul''26'!AN436,"",'1. Live'!AR436-'check-Jul''26'!AN436)</f>
        <v/>
      </c>
      <c r="AO418" s="25" t="str">
        <f>IF('1. Live'!AS436='check-Jul''26'!AO436,"",'1. Live'!AS436-'check-Jul''26'!AO436)</f>
        <v/>
      </c>
      <c r="AP418" s="25" t="str">
        <f>IF('1. Live'!AT436='check-Jul''26'!AP436,"",'1. Live'!AT436-'check-Jul''26'!AP436)</f>
        <v/>
      </c>
      <c r="AQ418" s="25" t="str">
        <f>IF('1. Live'!AU436='check-Jul''26'!AQ436,"",'1. Live'!AU436-'check-Jul''26'!AQ436)</f>
        <v/>
      </c>
      <c r="AR418" s="25" t="str">
        <f>IF('1. Live'!AV436='check-Jul''26'!AR436,"",'1. Live'!AV436-'check-Jul''26'!AR436)</f>
        <v/>
      </c>
      <c r="AS418" s="25" t="str">
        <f>IF('1. Live'!AW436='check-Jul''26'!AS436,"",'1. Live'!AW436-'check-Jul''26'!AS436)</f>
        <v/>
      </c>
      <c r="AT418" s="25" t="str">
        <f>IF('1. Live'!AX436='check-Jul''26'!AT436,"",'1. Live'!AX436-'check-Jul''26'!AT436)</f>
        <v/>
      </c>
      <c r="AU418" s="25" t="str">
        <f>IF('1. Live'!AY436='check-Jul''26'!AU436,"",'1. Live'!AY436-'check-Jul''26'!AU436)</f>
        <v/>
      </c>
      <c r="AV418" s="25" t="str">
        <f>IF('1. Live'!AZ436='check-Jul''26'!AV436,"",'1. Live'!AZ436-'check-Jul''26'!AV436)</f>
        <v/>
      </c>
      <c r="AW418" s="25" t="str">
        <f>IF('1. Live'!BA436='check-Jul''26'!AW436,"",'1. Live'!BA436-'check-Jul''26'!AW436)</f>
        <v/>
      </c>
      <c r="AX418" s="25" t="str">
        <f>IF('1. Live'!BB436='check-Jul''26'!AX436,"",'1. Live'!BB436-'check-Jul''26'!AX436)</f>
        <v/>
      </c>
      <c r="AY418" s="25" t="str">
        <f>IF('1. Live'!BC436='check-Jul''26'!AY436,"",'1. Live'!BC436-'check-Jul''26'!AY436)</f>
        <v/>
      </c>
      <c r="AZ418" s="25" t="str">
        <f>IF('1. Live'!BD436='check-Jul''26'!AZ436,"",'1. Live'!BD436-'check-Jul''26'!AZ436)</f>
        <v/>
      </c>
      <c r="BA418" s="25" t="str">
        <f>IF('1. Live'!BE436='check-Jul''26'!BA436,"",'1. Live'!BE436-'check-Jul''26'!BA436)</f>
        <v/>
      </c>
      <c r="BB418" s="25" t="str">
        <f>IF('1. Live'!BF436='check-Jul''26'!BB436,"",'1. Live'!BF436-'check-Jul''26'!BB436)</f>
        <v/>
      </c>
      <c r="BC418" s="25" t="str">
        <f>IF('1. Live'!BG436='check-Jul''26'!BC436,"",'1. Live'!BG436-'check-Jul''26'!BC436)</f>
        <v/>
      </c>
      <c r="BD418" s="25" t="str">
        <f>IF('1. Live'!BH436='check-Jul''26'!BD436,"",'1. Live'!BH436-'check-Jul''26'!BD436)</f>
        <v/>
      </c>
      <c r="BE418" s="25" t="str">
        <f>IF('1. Live'!BI436='check-Jul''26'!BE436,"",'1. Live'!BI436-'check-Jul''26'!BE436)</f>
        <v/>
      </c>
      <c r="BF418" s="25" t="str">
        <f>IF('1. Live'!BJ436='check-Jul''26'!BF436,"",'1. Live'!BJ436-'check-Jul''26'!BF436)</f>
        <v/>
      </c>
      <c r="BG418" s="25" t="str">
        <f>IF('1. Live'!BK436='check-Jul''26'!BG436,"",'1. Live'!BK436-'check-Jul''26'!BG436)</f>
        <v/>
      </c>
      <c r="BH418" s="25" t="str">
        <f>IF('1. Live'!BL436='check-Jul''26'!BH436,"",'1. Live'!BL436-'check-Jul''26'!BH436)</f>
        <v/>
      </c>
      <c r="BI418" s="25" t="str">
        <f>IF('1. Live'!BM436='check-Jul''26'!BI436,"",'1. Live'!BM436-'check-Jul''26'!BI436)</f>
        <v/>
      </c>
      <c r="BJ418" s="25" t="str">
        <f>IF('1. Live'!BN436='check-Jul''26'!BJ436,"",'1. Live'!BN436-'check-Jul''26'!BJ436)</f>
        <v/>
      </c>
      <c r="BK418" s="25" t="str">
        <f>IF('1. Live'!BO436='check-Jul''26'!BK436,"",'1. Live'!BO436-'check-Jul''26'!BK436)</f>
        <v/>
      </c>
      <c r="BL418" s="25" t="str">
        <f>IF('1. Live'!BP436='check-Jul''26'!BL436,"",'1. Live'!BP436-'check-Jul''26'!BL436)</f>
        <v/>
      </c>
      <c r="BM418" s="25" t="str">
        <f>IF('1. Live'!BQ436='check-Jul''26'!BM436,"",'1. Live'!BQ436-'check-Jul''26'!BM436)</f>
        <v/>
      </c>
      <c r="BN418" s="25" t="str">
        <f>IF('1. Live'!BR436='check-Jul''26'!BN436,"",'1. Live'!BR436-'check-Jul''26'!BN436)</f>
        <v/>
      </c>
      <c r="BO418" s="25" t="str">
        <f>IF('1. Live'!BS436='check-Jul''26'!BO436,"",'1. Live'!BS436-'check-Jul''26'!BO436)</f>
        <v/>
      </c>
      <c r="BP418" s="25" t="str">
        <f>IF('1. Live'!BT436='check-Jul''26'!BP436,"",'1. Live'!BT436-'check-Jul''26'!BP436)</f>
        <v/>
      </c>
      <c r="BQ418" s="25" t="str">
        <f>IF('1. Live'!BU436='check-Jul''26'!BQ436,"",'1. Live'!BU436-'check-Jul''26'!BQ436)</f>
        <v/>
      </c>
      <c r="BR418" s="25" t="str">
        <f>IF('1. Live'!BV436='check-Jul''26'!BR436,"",'1. Live'!BV436-'check-Jul''26'!BR436)</f>
        <v/>
      </c>
      <c r="BS418" s="25" t="str">
        <f>IF('1. Live'!BW436='check-Jul''26'!BS436,"",'1. Live'!BW436-'check-Jul''26'!BS436)</f>
        <v/>
      </c>
      <c r="BT418" s="25" t="str">
        <f>IF('1. Live'!BX436='check-Jul''26'!BT436,"",'1. Live'!BX436-'check-Jul''26'!BT436)</f>
        <v/>
      </c>
      <c r="BU418" s="25" t="str">
        <f>IF('1. Live'!BY436='check-Jul''26'!BU436,"",'1. Live'!BY436-'check-Jul''26'!BU436)</f>
        <v/>
      </c>
      <c r="BV418" s="25" t="str">
        <f>IF('1. Live'!BZ436='check-Jul''26'!BV436,"",'1. Live'!BZ436-'check-Jul''26'!BV436)</f>
        <v/>
      </c>
      <c r="BW418" s="25" t="str">
        <f>IF('1. Live'!CA436='check-Jul''26'!BW436,"",'1. Live'!CA436-'check-Jul''26'!BW436)</f>
        <v/>
      </c>
      <c r="BX418" s="25" t="str">
        <f>IF('1. Live'!CB436='check-Jul''26'!BX436,"",'1. Live'!CB436-'check-Jul''26'!BX436)</f>
        <v/>
      </c>
      <c r="BY418" s="25" t="str">
        <f>IF('1. Live'!CC436='check-Jul''26'!BY436,"",'1. Live'!CC436-'check-Jul''26'!BY436)</f>
        <v/>
      </c>
      <c r="BZ418" s="25" t="str">
        <f>IF('1. Live'!CD436='check-Jul''26'!BZ436,"",'1. Live'!CD436-'check-Jul''26'!BZ436)</f>
        <v/>
      </c>
      <c r="CA418" s="25" t="str">
        <f>IF('1. Live'!CE436='check-Jul''26'!CA436,"",'1. Live'!CE436-'check-Jul''26'!CA436)</f>
        <v/>
      </c>
      <c r="CB418" s="25" t="str">
        <f>IF('1. Live'!CF436='check-Jul''26'!CB436,"",'1. Live'!CF436-'check-Jul''26'!CB436)</f>
        <v/>
      </c>
      <c r="CC418" s="25" t="str">
        <f>IF('1. Live'!CG436='check-Jul''26'!CC436,"",'1. Live'!CG436-'check-Jul''26'!CC436)</f>
        <v/>
      </c>
      <c r="CD418" s="25" t="str">
        <f>IF('1. Live'!CH436='check-Jul''26'!CD436,"",'1. Live'!CH436-'check-Jul''26'!CD436)</f>
        <v/>
      </c>
      <c r="CE418" s="25" t="str">
        <f>IF('1. Live'!CI436='check-Jul''26'!CE436,"",'1. Live'!CI436-'check-Jul''26'!CE436)</f>
        <v/>
      </c>
      <c r="CF418" s="25" t="str">
        <f>IF('1. Live'!CJ436='check-Jul''26'!CF436,"",'1. Live'!CJ436-'check-Jul''26'!CF436)</f>
        <v/>
      </c>
      <c r="CG418" s="25" t="str">
        <f>IF('1. Live'!CK436='check-Jul''26'!CG436,"",'1. Live'!CK436-'check-Jul''26'!CG436)</f>
        <v/>
      </c>
      <c r="CH418" s="25" t="str">
        <f>IF('1. Live'!CL436='check-Jul''26'!CH436,"",'1. Live'!CL436-'check-Jul''26'!CH436)</f>
        <v/>
      </c>
      <c r="CI418" s="25" t="str">
        <f>IF('1. Live'!CM436='check-Jul''26'!CI436,"",'1. Live'!CM436-'check-Jul''26'!CI436)</f>
        <v/>
      </c>
      <c r="CJ418" s="25" t="str">
        <f>IF('1. Live'!CN436='check-Jul''26'!CJ436,"",'1. Live'!CN436-'check-Jul''26'!CJ436)</f>
        <v/>
      </c>
      <c r="CK418" s="25" t="str">
        <f>IF('1. Live'!CO436='check-Jul''26'!CK436,"",'1. Live'!CO436-'check-Jul''26'!CK436)</f>
        <v/>
      </c>
      <c r="CL418" s="25" t="str">
        <f>IF('1. Live'!CP436='check-Jul''26'!CL436,"",'1. Live'!CP436-'check-Jul''26'!CL436)</f>
        <v/>
      </c>
      <c r="CM418" s="25" t="str">
        <f>IF('1. Live'!CQ436='check-Jul''26'!CM436,"",'1. Live'!CQ436-'check-Jul''26'!CM436)</f>
        <v/>
      </c>
      <c r="CN418" s="25" t="str">
        <f>IF('1. Live'!CR436='check-Jul''26'!CN436,"",'1. Live'!CR436-'check-Jul''26'!CN436)</f>
        <v/>
      </c>
      <c r="CO418" s="25" t="str">
        <f>IF('1. Live'!CS436='check-Jul''26'!CO436,"",'1. Live'!CS436-'check-Jul''26'!CO436)</f>
        <v/>
      </c>
      <c r="CP418" s="25" t="str">
        <f>IF('1. Live'!CT436='check-Jul''26'!CP436,"",'1. Live'!CT436-'check-Jul''26'!CP436)</f>
        <v/>
      </c>
      <c r="CQ418" s="25" t="str">
        <f>IF('1. Live'!CU436='check-Jul''26'!CQ436,"",'1. Live'!CU436-'check-Jul''26'!CQ436)</f>
        <v/>
      </c>
      <c r="CR418" s="25" t="str">
        <f>IF('1. Live'!CV436='check-Jul''26'!CR436,"",'1. Live'!CV436-'check-Jul''26'!CR436)</f>
        <v/>
      </c>
      <c r="CS418" s="25" t="str">
        <f>IF('1. Live'!CW436='check-Jul''26'!CS436,"",'1. Live'!CW436-'check-Jul''26'!CS436)</f>
        <v/>
      </c>
      <c r="CT418" s="25" t="str">
        <f>IF('1. Live'!CX436='check-Jul''26'!CT436,"",'1. Live'!CX436-'check-Jul''26'!CT436)</f>
        <v/>
      </c>
      <c r="CU418" s="25" t="str">
        <f>IF('1. Live'!CY436='check-Jul''26'!CU436,"",'1. Live'!CY436-'check-Jul''26'!CU436)</f>
        <v/>
      </c>
      <c r="CV418" s="25" t="str">
        <f>IF('1. Live'!CZ436='check-Jul''26'!CV436,"",'1. Live'!CZ436-'check-Jul''26'!CV436)</f>
        <v/>
      </c>
    </row>
    <row r="419" spans="17:100" x14ac:dyDescent="0.25">
      <c r="Q419" s="26" t="str">
        <f>IF('1. Live'!N437='check-Jul''26'!I437,"",'1. Live'!N437-'check-Jul''26'!I437)</f>
        <v/>
      </c>
      <c r="R419" s="26" t="str">
        <f>IF('1. Live'!O437='check-Jul''26'!J437,"",'1. Live'!O437-'check-Jul''26'!J437)</f>
        <v/>
      </c>
      <c r="S419" s="26" t="str">
        <f>IF('1. Live'!P437='check-Jul''26'!K437,"",'1. Live'!P437-'check-Jul''26'!K437)</f>
        <v/>
      </c>
      <c r="T419" s="26" t="str">
        <f>IF('1. Live'!Q437='check-Jul''26'!L437,"",'1. Live'!Q437-'check-Jul''26'!L437)</f>
        <v/>
      </c>
      <c r="U419" s="80" t="str">
        <f>IF('1. Live'!R437='check-Jul''26'!M437,"",'1. Live'!R437-'check-Jul''26'!M437)</f>
        <v/>
      </c>
      <c r="V419" s="26" t="str">
        <f>IF('1. Live'!S437='check-Jul''26'!N437,"",'1. Live'!S437-'check-Jul''26'!N437)</f>
        <v/>
      </c>
      <c r="W419" s="25" t="str">
        <f>IF('1. Live'!T437='check-Jul''26'!O437,"",'1. Live'!T437-'check-Jul''26'!O437)</f>
        <v/>
      </c>
      <c r="X419" s="25" t="str">
        <f>IF('1. Live'!U437='check-Jul''26'!Q437,"",'1. Live'!U437-'check-Jul''26'!Q437)</f>
        <v/>
      </c>
      <c r="Y419" s="25" t="str">
        <f>IF('1. Live'!V437='check-Jul''26'!R437,"",'1. Live'!V437-'check-Jul''26'!R437)</f>
        <v/>
      </c>
      <c r="Z419" s="25" t="str">
        <f>IF('1. Live'!W437='check-Jul''26'!S437,"",'1. Live'!W437-'check-Jul''26'!S437)</f>
        <v/>
      </c>
      <c r="AA419" s="25" t="str">
        <f>IF('1. Live'!X437='check-Jul''26'!T437,"",'1. Live'!X437-'check-Jul''26'!T437)</f>
        <v/>
      </c>
      <c r="AB419" s="25" t="str">
        <f>IF('1. Live'!AF437='check-Jul''26'!AB437,"",'1. Live'!AF437-'check-Jul''26'!AB437)</f>
        <v/>
      </c>
      <c r="AC419" s="25" t="str">
        <f>IF('1. Live'!AG437='check-Jul''26'!AC437,"",'1. Live'!AG437-'check-Jul''26'!AC437)</f>
        <v/>
      </c>
      <c r="AD419" s="25" t="str">
        <f>IF('1. Live'!AH437='check-Jul''26'!AD437,"",'1. Live'!AH437-'check-Jul''26'!AD437)</f>
        <v/>
      </c>
      <c r="AE419" s="25" t="str">
        <f>IF('1. Live'!AI437='check-Jul''26'!AE437,"",'1. Live'!AI437-'check-Jul''26'!AE437)</f>
        <v/>
      </c>
      <c r="AF419" s="25" t="str">
        <f>IF('1. Live'!AJ437='check-Jul''26'!AF437,"",'1. Live'!AJ437-'check-Jul''26'!AF437)</f>
        <v/>
      </c>
      <c r="AG419" s="25" t="str">
        <f>IF('1. Live'!AK437='check-Jul''26'!AG437,"",'1. Live'!AK437-'check-Jul''26'!AG437)</f>
        <v/>
      </c>
      <c r="AH419" s="25" t="str">
        <f>IF('1. Live'!AL437='check-Jul''26'!AH437,"",'1. Live'!AL437-'check-Jul''26'!AH437)</f>
        <v/>
      </c>
      <c r="AI419" s="25" t="str">
        <f>IF('1. Live'!AM437='check-Jul''26'!AI437,"",'1. Live'!AM437-'check-Jul''26'!AI437)</f>
        <v/>
      </c>
      <c r="AJ419" s="25" t="str">
        <f>IF('1. Live'!AN437='check-Jul''26'!AJ437,"",'1. Live'!AN437-'check-Jul''26'!AJ437)</f>
        <v/>
      </c>
      <c r="AK419" s="25" t="str">
        <f>IF('1. Live'!AO437='check-Jul''26'!AK437,"",'1. Live'!AO437-'check-Jul''26'!AK437)</f>
        <v/>
      </c>
      <c r="AL419" s="25" t="str">
        <f>IF('1. Live'!AP437='check-Jul''26'!AL437,"",'1. Live'!AP437-'check-Jul''26'!AL437)</f>
        <v/>
      </c>
      <c r="AM419" s="25" t="str">
        <f>IF('1. Live'!AQ437='check-Jul''26'!AM437,"",'1. Live'!AQ437-'check-Jul''26'!AM437)</f>
        <v/>
      </c>
      <c r="AN419" s="25" t="str">
        <f>IF('1. Live'!AR437='check-Jul''26'!AN437,"",'1. Live'!AR437-'check-Jul''26'!AN437)</f>
        <v/>
      </c>
      <c r="AO419" s="25" t="str">
        <f>IF('1. Live'!AS437='check-Jul''26'!AO437,"",'1. Live'!AS437-'check-Jul''26'!AO437)</f>
        <v/>
      </c>
      <c r="AP419" s="25" t="str">
        <f>IF('1. Live'!AT437='check-Jul''26'!AP437,"",'1. Live'!AT437-'check-Jul''26'!AP437)</f>
        <v/>
      </c>
      <c r="AQ419" s="25" t="str">
        <f>IF('1. Live'!AU437='check-Jul''26'!AQ437,"",'1. Live'!AU437-'check-Jul''26'!AQ437)</f>
        <v/>
      </c>
      <c r="AR419" s="25" t="str">
        <f>IF('1. Live'!AV437='check-Jul''26'!AR437,"",'1. Live'!AV437-'check-Jul''26'!AR437)</f>
        <v/>
      </c>
      <c r="AS419" s="25" t="str">
        <f>IF('1. Live'!AW437='check-Jul''26'!AS437,"",'1. Live'!AW437-'check-Jul''26'!AS437)</f>
        <v/>
      </c>
      <c r="AT419" s="25" t="str">
        <f>IF('1. Live'!AX437='check-Jul''26'!AT437,"",'1. Live'!AX437-'check-Jul''26'!AT437)</f>
        <v/>
      </c>
      <c r="AU419" s="25" t="str">
        <f>IF('1. Live'!AY437='check-Jul''26'!AU437,"",'1. Live'!AY437-'check-Jul''26'!AU437)</f>
        <v/>
      </c>
      <c r="AV419" s="25" t="str">
        <f>IF('1. Live'!AZ437='check-Jul''26'!AV437,"",'1. Live'!AZ437-'check-Jul''26'!AV437)</f>
        <v/>
      </c>
      <c r="AW419" s="25" t="str">
        <f>IF('1. Live'!BA437='check-Jul''26'!AW437,"",'1. Live'!BA437-'check-Jul''26'!AW437)</f>
        <v/>
      </c>
      <c r="AX419" s="25" t="str">
        <f>IF('1. Live'!BB437='check-Jul''26'!AX437,"",'1. Live'!BB437-'check-Jul''26'!AX437)</f>
        <v/>
      </c>
      <c r="AY419" s="25" t="str">
        <f>IF('1. Live'!BC437='check-Jul''26'!AY437,"",'1. Live'!BC437-'check-Jul''26'!AY437)</f>
        <v/>
      </c>
      <c r="AZ419" s="25" t="str">
        <f>IF('1. Live'!BD437='check-Jul''26'!AZ437,"",'1. Live'!BD437-'check-Jul''26'!AZ437)</f>
        <v/>
      </c>
      <c r="BA419" s="25" t="str">
        <f>IF('1. Live'!BE437='check-Jul''26'!BA437,"",'1. Live'!BE437-'check-Jul''26'!BA437)</f>
        <v/>
      </c>
      <c r="BB419" s="25" t="str">
        <f>IF('1. Live'!BF437='check-Jul''26'!BB437,"",'1. Live'!BF437-'check-Jul''26'!BB437)</f>
        <v/>
      </c>
      <c r="BC419" s="25" t="str">
        <f>IF('1. Live'!BG437='check-Jul''26'!BC437,"",'1. Live'!BG437-'check-Jul''26'!BC437)</f>
        <v/>
      </c>
      <c r="BD419" s="25" t="str">
        <f>IF('1. Live'!BH437='check-Jul''26'!BD437,"",'1. Live'!BH437-'check-Jul''26'!BD437)</f>
        <v/>
      </c>
      <c r="BE419" s="25" t="str">
        <f>IF('1. Live'!BI437='check-Jul''26'!BE437,"",'1. Live'!BI437-'check-Jul''26'!BE437)</f>
        <v/>
      </c>
      <c r="BF419" s="25" t="str">
        <f>IF('1. Live'!BJ437='check-Jul''26'!BF437,"",'1. Live'!BJ437-'check-Jul''26'!BF437)</f>
        <v/>
      </c>
      <c r="BG419" s="25" t="str">
        <f>IF('1. Live'!BK437='check-Jul''26'!BG437,"",'1. Live'!BK437-'check-Jul''26'!BG437)</f>
        <v/>
      </c>
      <c r="BH419" s="25" t="str">
        <f>IF('1. Live'!BL437='check-Jul''26'!BH437,"",'1. Live'!BL437-'check-Jul''26'!BH437)</f>
        <v/>
      </c>
      <c r="BI419" s="25" t="str">
        <f>IF('1. Live'!BM437='check-Jul''26'!BI437,"",'1. Live'!BM437-'check-Jul''26'!BI437)</f>
        <v/>
      </c>
      <c r="BJ419" s="25" t="str">
        <f>IF('1. Live'!BN437='check-Jul''26'!BJ437,"",'1. Live'!BN437-'check-Jul''26'!BJ437)</f>
        <v/>
      </c>
      <c r="BK419" s="25" t="str">
        <f>IF('1. Live'!BO437='check-Jul''26'!BK437,"",'1. Live'!BO437-'check-Jul''26'!BK437)</f>
        <v/>
      </c>
      <c r="BL419" s="25" t="str">
        <f>IF('1. Live'!BP437='check-Jul''26'!BL437,"",'1. Live'!BP437-'check-Jul''26'!BL437)</f>
        <v/>
      </c>
      <c r="BM419" s="25" t="str">
        <f>IF('1. Live'!BQ437='check-Jul''26'!BM437,"",'1. Live'!BQ437-'check-Jul''26'!BM437)</f>
        <v/>
      </c>
      <c r="BN419" s="25" t="str">
        <f>IF('1. Live'!BR437='check-Jul''26'!BN437,"",'1. Live'!BR437-'check-Jul''26'!BN437)</f>
        <v/>
      </c>
      <c r="BO419" s="25" t="str">
        <f>IF('1. Live'!BS437='check-Jul''26'!BO437,"",'1. Live'!BS437-'check-Jul''26'!BO437)</f>
        <v/>
      </c>
      <c r="BP419" s="25" t="str">
        <f>IF('1. Live'!BT437='check-Jul''26'!BP437,"",'1. Live'!BT437-'check-Jul''26'!BP437)</f>
        <v/>
      </c>
      <c r="BQ419" s="25" t="str">
        <f>IF('1. Live'!BU437='check-Jul''26'!BQ437,"",'1. Live'!BU437-'check-Jul''26'!BQ437)</f>
        <v/>
      </c>
      <c r="BR419" s="25" t="str">
        <f>IF('1. Live'!BV437='check-Jul''26'!BR437,"",'1. Live'!BV437-'check-Jul''26'!BR437)</f>
        <v/>
      </c>
      <c r="BS419" s="25" t="str">
        <f>IF('1. Live'!BW437='check-Jul''26'!BS437,"",'1. Live'!BW437-'check-Jul''26'!BS437)</f>
        <v/>
      </c>
      <c r="BT419" s="25" t="str">
        <f>IF('1. Live'!BX437='check-Jul''26'!BT437,"",'1. Live'!BX437-'check-Jul''26'!BT437)</f>
        <v/>
      </c>
      <c r="BU419" s="25" t="str">
        <f>IF('1. Live'!BY437='check-Jul''26'!BU437,"",'1. Live'!BY437-'check-Jul''26'!BU437)</f>
        <v/>
      </c>
      <c r="BV419" s="25" t="str">
        <f>IF('1. Live'!BZ437='check-Jul''26'!BV437,"",'1. Live'!BZ437-'check-Jul''26'!BV437)</f>
        <v/>
      </c>
      <c r="BW419" s="25" t="str">
        <f>IF('1. Live'!CA437='check-Jul''26'!BW437,"",'1. Live'!CA437-'check-Jul''26'!BW437)</f>
        <v/>
      </c>
      <c r="BX419" s="25" t="str">
        <f>IF('1. Live'!CB437='check-Jul''26'!BX437,"",'1. Live'!CB437-'check-Jul''26'!BX437)</f>
        <v/>
      </c>
      <c r="BY419" s="25" t="str">
        <f>IF('1. Live'!CC437='check-Jul''26'!BY437,"",'1. Live'!CC437-'check-Jul''26'!BY437)</f>
        <v/>
      </c>
      <c r="BZ419" s="25" t="str">
        <f>IF('1. Live'!CD437='check-Jul''26'!BZ437,"",'1. Live'!CD437-'check-Jul''26'!BZ437)</f>
        <v/>
      </c>
      <c r="CA419" s="25" t="str">
        <f>IF('1. Live'!CE437='check-Jul''26'!CA437,"",'1. Live'!CE437-'check-Jul''26'!CA437)</f>
        <v/>
      </c>
      <c r="CB419" s="25" t="str">
        <f>IF('1. Live'!CF437='check-Jul''26'!CB437,"",'1. Live'!CF437-'check-Jul''26'!CB437)</f>
        <v/>
      </c>
      <c r="CC419" s="25" t="str">
        <f>IF('1. Live'!CG437='check-Jul''26'!CC437,"",'1. Live'!CG437-'check-Jul''26'!CC437)</f>
        <v/>
      </c>
      <c r="CD419" s="25" t="str">
        <f>IF('1. Live'!CH437='check-Jul''26'!CD437,"",'1. Live'!CH437-'check-Jul''26'!CD437)</f>
        <v/>
      </c>
      <c r="CE419" s="25" t="str">
        <f>IF('1. Live'!CI437='check-Jul''26'!CE437,"",'1. Live'!CI437-'check-Jul''26'!CE437)</f>
        <v/>
      </c>
      <c r="CF419" s="25" t="str">
        <f>IF('1. Live'!CJ437='check-Jul''26'!CF437,"",'1. Live'!CJ437-'check-Jul''26'!CF437)</f>
        <v/>
      </c>
      <c r="CG419" s="25" t="str">
        <f>IF('1. Live'!CK437='check-Jul''26'!CG437,"",'1. Live'!CK437-'check-Jul''26'!CG437)</f>
        <v/>
      </c>
      <c r="CH419" s="25" t="str">
        <f>IF('1. Live'!CL437='check-Jul''26'!CH437,"",'1. Live'!CL437-'check-Jul''26'!CH437)</f>
        <v/>
      </c>
      <c r="CI419" s="25" t="str">
        <f>IF('1. Live'!CM437='check-Jul''26'!CI437,"",'1. Live'!CM437-'check-Jul''26'!CI437)</f>
        <v/>
      </c>
      <c r="CJ419" s="25" t="str">
        <f>IF('1. Live'!CN437='check-Jul''26'!CJ437,"",'1. Live'!CN437-'check-Jul''26'!CJ437)</f>
        <v/>
      </c>
      <c r="CK419" s="25" t="str">
        <f>IF('1. Live'!CO437='check-Jul''26'!CK437,"",'1. Live'!CO437-'check-Jul''26'!CK437)</f>
        <v/>
      </c>
      <c r="CL419" s="25" t="str">
        <f>IF('1. Live'!CP437='check-Jul''26'!CL437,"",'1. Live'!CP437-'check-Jul''26'!CL437)</f>
        <v/>
      </c>
      <c r="CM419" s="25" t="str">
        <f>IF('1. Live'!CQ437='check-Jul''26'!CM437,"",'1. Live'!CQ437-'check-Jul''26'!CM437)</f>
        <v/>
      </c>
      <c r="CN419" s="25" t="str">
        <f>IF('1. Live'!CR437='check-Jul''26'!CN437,"",'1. Live'!CR437-'check-Jul''26'!CN437)</f>
        <v/>
      </c>
      <c r="CO419" s="25" t="str">
        <f>IF('1. Live'!CS437='check-Jul''26'!CO437,"",'1. Live'!CS437-'check-Jul''26'!CO437)</f>
        <v/>
      </c>
      <c r="CP419" s="25" t="str">
        <f>IF('1. Live'!CT437='check-Jul''26'!CP437,"",'1. Live'!CT437-'check-Jul''26'!CP437)</f>
        <v/>
      </c>
      <c r="CQ419" s="25" t="str">
        <f>IF('1. Live'!CU437='check-Jul''26'!CQ437,"",'1. Live'!CU437-'check-Jul''26'!CQ437)</f>
        <v/>
      </c>
      <c r="CR419" s="25" t="str">
        <f>IF('1. Live'!CV437='check-Jul''26'!CR437,"",'1. Live'!CV437-'check-Jul''26'!CR437)</f>
        <v/>
      </c>
      <c r="CS419" s="25" t="str">
        <f>IF('1. Live'!CW437='check-Jul''26'!CS437,"",'1. Live'!CW437-'check-Jul''26'!CS437)</f>
        <v/>
      </c>
      <c r="CT419" s="25" t="str">
        <f>IF('1. Live'!CX437='check-Jul''26'!CT437,"",'1. Live'!CX437-'check-Jul''26'!CT437)</f>
        <v/>
      </c>
      <c r="CU419" s="25" t="str">
        <f>IF('1. Live'!CY437='check-Jul''26'!CU437,"",'1. Live'!CY437-'check-Jul''26'!CU437)</f>
        <v/>
      </c>
      <c r="CV419" s="25" t="str">
        <f>IF('1. Live'!CZ437='check-Jul''26'!CV437,"",'1. Live'!CZ437-'check-Jul''26'!CV437)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09" t="s">
        <v>474</v>
      </c>
      <c r="C2" s="309" t="s">
        <v>475</v>
      </c>
    </row>
    <row r="3" spans="2:3" ht="15.75" thickBot="1" x14ac:dyDescent="0.3">
      <c r="B3" s="310" t="s">
        <v>476</v>
      </c>
      <c r="C3" s="311" t="s">
        <v>477</v>
      </c>
    </row>
    <row r="4" spans="2:3" ht="15.75" thickBot="1" x14ac:dyDescent="0.3">
      <c r="B4" s="312" t="s">
        <v>75</v>
      </c>
      <c r="C4" s="313" t="s">
        <v>478</v>
      </c>
    </row>
    <row r="5" spans="2:3" ht="15.75" thickBot="1" x14ac:dyDescent="0.3">
      <c r="B5" s="310" t="s">
        <v>162</v>
      </c>
      <c r="C5" s="311" t="s">
        <v>479</v>
      </c>
    </row>
    <row r="6" spans="2:3" ht="15.75" thickBot="1" x14ac:dyDescent="0.3">
      <c r="B6" s="312" t="s">
        <v>11</v>
      </c>
      <c r="C6" s="313" t="s">
        <v>480</v>
      </c>
    </row>
    <row r="7" spans="2:3" ht="15.75" thickBot="1" x14ac:dyDescent="0.3">
      <c r="B7" s="310" t="s">
        <v>481</v>
      </c>
      <c r="C7" s="311" t="s">
        <v>482</v>
      </c>
    </row>
    <row r="8" spans="2:3" ht="15.75" thickBot="1" x14ac:dyDescent="0.3">
      <c r="B8" s="312" t="s">
        <v>24</v>
      </c>
      <c r="C8" s="313" t="s">
        <v>483</v>
      </c>
    </row>
    <row r="9" spans="2:3" ht="15.75" thickBot="1" x14ac:dyDescent="0.3">
      <c r="B9" s="310" t="s">
        <v>484</v>
      </c>
      <c r="C9" s="311" t="s">
        <v>485</v>
      </c>
    </row>
    <row r="10" spans="2:3" ht="15.75" thickBot="1" x14ac:dyDescent="0.3">
      <c r="B10" s="312" t="s">
        <v>486</v>
      </c>
      <c r="C10" s="313" t="s">
        <v>487</v>
      </c>
    </row>
    <row r="11" spans="2:3" ht="15.75" thickBot="1" x14ac:dyDescent="0.3">
      <c r="B11" s="310" t="s">
        <v>8</v>
      </c>
      <c r="C11" s="311" t="s">
        <v>488</v>
      </c>
    </row>
    <row r="12" spans="2:3" ht="15.75" thickBot="1" x14ac:dyDescent="0.3">
      <c r="B12" s="312" t="s">
        <v>489</v>
      </c>
      <c r="C12" s="313" t="s">
        <v>490</v>
      </c>
    </row>
    <row r="13" spans="2:3" ht="15.75" thickBot="1" x14ac:dyDescent="0.3">
      <c r="B13" s="310" t="s">
        <v>118</v>
      </c>
      <c r="C13" s="311" t="s">
        <v>491</v>
      </c>
    </row>
    <row r="14" spans="2:3" ht="15.75" thickBot="1" x14ac:dyDescent="0.3">
      <c r="B14" s="312" t="s">
        <v>282</v>
      </c>
      <c r="C14" s="313" t="s">
        <v>492</v>
      </c>
    </row>
    <row r="15" spans="2:3" ht="15.75" thickBot="1" x14ac:dyDescent="0.3">
      <c r="B15" s="310" t="s">
        <v>493</v>
      </c>
      <c r="C15" s="311" t="s">
        <v>494</v>
      </c>
    </row>
    <row r="16" spans="2:3" ht="15.75" thickBot="1" x14ac:dyDescent="0.3">
      <c r="B16" s="312" t="s">
        <v>495</v>
      </c>
      <c r="C16" s="313" t="s">
        <v>496</v>
      </c>
    </row>
    <row r="17" spans="2:3" ht="15.75" thickBot="1" x14ac:dyDescent="0.3">
      <c r="B17" s="310" t="s">
        <v>497</v>
      </c>
      <c r="C17" s="311" t="s">
        <v>498</v>
      </c>
    </row>
    <row r="18" spans="2:3" ht="15.75" thickBot="1" x14ac:dyDescent="0.3">
      <c r="B18" s="312" t="s">
        <v>45</v>
      </c>
      <c r="C18" s="313" t="s">
        <v>499</v>
      </c>
    </row>
    <row r="20" spans="2:3" ht="15.75" thickBot="1" x14ac:dyDescent="0.3"/>
    <row r="21" spans="2:3" ht="15.75" thickBot="1" x14ac:dyDescent="0.3">
      <c r="B21" s="309" t="s">
        <v>474</v>
      </c>
      <c r="C21" s="309" t="s">
        <v>475</v>
      </c>
    </row>
    <row r="22" spans="2:3" ht="15.75" thickBot="1" x14ac:dyDescent="0.3">
      <c r="B22" s="310" t="s">
        <v>500</v>
      </c>
      <c r="C22" s="311" t="s">
        <v>513</v>
      </c>
    </row>
    <row r="23" spans="2:3" ht="15.75" thickBot="1" x14ac:dyDescent="0.3">
      <c r="B23" s="312" t="s">
        <v>501</v>
      </c>
      <c r="C23" s="313" t="s">
        <v>512</v>
      </c>
    </row>
    <row r="24" spans="2:3" ht="15.75" thickBot="1" x14ac:dyDescent="0.3">
      <c r="B24" s="310" t="s">
        <v>502</v>
      </c>
      <c r="C24" s="311" t="s">
        <v>508</v>
      </c>
    </row>
    <row r="25" spans="2:3" ht="15.75" thickBot="1" x14ac:dyDescent="0.3">
      <c r="B25" s="312" t="s">
        <v>504</v>
      </c>
      <c r="C25" s="313" t="s">
        <v>503</v>
      </c>
    </row>
    <row r="26" spans="2:3" ht="15.75" thickBot="1" x14ac:dyDescent="0.3">
      <c r="B26" s="310" t="s">
        <v>505</v>
      </c>
      <c r="C26" s="311" t="s">
        <v>509</v>
      </c>
    </row>
    <row r="27" spans="2:3" ht="15.75" thickBot="1" x14ac:dyDescent="0.3">
      <c r="B27" s="312" t="s">
        <v>506</v>
      </c>
      <c r="C27" s="313" t="s">
        <v>510</v>
      </c>
    </row>
    <row r="28" spans="2:3" ht="15.75" thickBot="1" x14ac:dyDescent="0.3">
      <c r="B28" s="310" t="s">
        <v>507</v>
      </c>
      <c r="C28" s="311" t="s">
        <v>511</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2.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d="http://www.w3.org/2001/XMLSchema" xmlns:xsi="http://www.w3.org/2001/XMLSchema-instance" xmlns="http://www.boldonjames.com/2008/01/sie/internal/label" sislVersion="0" policy="3328d060-d216-4afe-9302-ccc930dd7d37" origin="userSelected"/>
</file>

<file path=customXml/item5.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Props1.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2.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4.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5.xml><?xml version="1.0" encoding="utf-8"?>
<ds:datastoreItem xmlns:ds="http://schemas.openxmlformats.org/officeDocument/2006/customXml" ds:itemID="{F8C65B98-28BF-485F-9D9E-AF05C5A6D45D}">
  <ds:schemaRefs>
    <ds:schemaRef ds:uri="http://schemas.openxmlformats.org/package/2006/metadata/core-properties"/>
    <ds:schemaRef ds:uri="http://purl.org/dc/dcmitype/"/>
    <ds:schemaRef ds:uri="http://schemas.microsoft.com/office/infopath/2007/PartnerControls"/>
    <ds:schemaRef ds:uri="7803c916-e26e-49a8-bd24-afe82e94a325"/>
    <ds:schemaRef ds:uri="http://purl.org/dc/elements/1.1/"/>
    <ds:schemaRef ds:uri="http://schemas.microsoft.com/office/2006/documentManagement/types"/>
    <ds:schemaRef ds:uri="http://purl.org/dc/terms/"/>
    <ds:schemaRef ds:uri="http://schemas.microsoft.com/office/2006/metadata/properties"/>
    <ds:schemaRef ds:uri="81655cd2-6b43-44bd-a08f-07597e38ecf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vt:lpstr>
      <vt:lpstr>E. Board</vt:lpstr>
      <vt:lpstr>A. All deals (a)</vt:lpstr>
      <vt:lpstr>9. All deals (b)</vt:lpstr>
      <vt:lpstr>8. WLD Grant C-133</vt:lpstr>
      <vt:lpstr>8. NewSpace</vt:lpstr>
      <vt:lpstr>MGX</vt:lpstr>
      <vt:lpstr>Log</vt:lpstr>
      <vt:lpstr>check-Jul'26</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2026-09-02T06:07:54Z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